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470CA94F-F31F-4117-92D6-B7974969C810}" xr6:coauthVersionLast="47" xr6:coauthVersionMax="47" xr10:uidLastSave="{00000000-0000-0000-0000-000000000000}"/>
  <bookViews>
    <workbookView xWindow="-120" yWindow="-120" windowWidth="29040" windowHeight="1572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Interface'!$J$12:$V$1005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1" i="1" l="1"/>
  <c r="B7" i="3"/>
  <c r="D20" i="1"/>
  <c r="B10" i="3" s="1"/>
  <c r="D24" i="1"/>
  <c r="B13" i="3" s="1"/>
  <c r="D22" i="1"/>
  <c r="B8" i="3" s="1"/>
  <c r="D19" i="1"/>
  <c r="B11" i="3" s="1"/>
  <c r="D21" i="1"/>
  <c r="B9" i="3" s="1"/>
  <c r="D9" i="1"/>
  <c r="D51" i="1" s="1"/>
  <c r="D25" i="1"/>
  <c r="B12" i="3" s="1"/>
  <c r="G4" i="1"/>
  <c r="B14" i="3" s="1"/>
  <c r="G5" i="1"/>
  <c r="B15" i="3" s="1"/>
  <c r="G6" i="1"/>
  <c r="B16" i="3" s="1"/>
  <c r="C25" i="1"/>
  <c r="B1" i="1"/>
  <c r="G55" i="1"/>
  <c r="B29" i="3" s="1"/>
  <c r="G66" i="1"/>
  <c r="B55" i="3" s="1"/>
  <c r="G15" i="1"/>
  <c r="B42" i="3" s="1"/>
  <c r="G65" i="1"/>
  <c r="B54" i="3" s="1"/>
  <c r="G54" i="1"/>
  <c r="B28" i="3" s="1"/>
  <c r="G14" i="1"/>
  <c r="B41" i="3" s="1"/>
  <c r="D7" i="1"/>
  <c r="D8" i="1" s="1"/>
  <c r="D47" i="1"/>
  <c r="D48" i="1"/>
  <c r="D49" i="1"/>
  <c r="D59" i="1"/>
  <c r="D58" i="1"/>
  <c r="D60" i="1"/>
  <c r="D15" i="3"/>
  <c r="E15" i="3"/>
  <c r="E14" i="3"/>
  <c r="D14" i="3"/>
  <c r="E13" i="3"/>
  <c r="D13" i="3"/>
  <c r="E12" i="3"/>
  <c r="D12" i="3"/>
  <c r="E11" i="3"/>
  <c r="D11" i="3"/>
  <c r="E10" i="3"/>
  <c r="E9" i="3"/>
  <c r="D9" i="3"/>
  <c r="D8" i="3"/>
  <c r="E19" i="3"/>
  <c r="D21" i="3"/>
  <c r="E21" i="3"/>
  <c r="D22" i="3"/>
  <c r="E22" i="3"/>
  <c r="D23" i="3"/>
  <c r="E23" i="3"/>
  <c r="D24" i="3"/>
  <c r="E24" i="3"/>
  <c r="E20" i="3"/>
  <c r="D20" i="3"/>
  <c r="D17" i="3"/>
  <c r="D18" i="3"/>
  <c r="E18" i="3"/>
  <c r="A1" i="4" a="1"/>
  <c r="D52" i="1" l="1"/>
  <c r="R14" i="1" s="1"/>
  <c r="D50" i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G52" i="1" s="1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9" i="3" s="1"/>
  <c r="J9" i="3" s="1"/>
  <c r="B21" i="1"/>
  <c r="B44" i="1"/>
  <c r="D44" i="1"/>
  <c r="B37" i="3"/>
  <c r="B30" i="3"/>
  <c r="D19" i="3"/>
  <c r="D10" i="3"/>
  <c r="AI10" i="3" a="1"/>
  <c r="AI11" i="3" a="1"/>
  <c r="AI12" i="3" a="1"/>
  <c r="G9" i="1" l="1"/>
  <c r="D54" i="1"/>
  <c r="B18" i="3" s="1"/>
  <c r="AI10" i="3"/>
  <c r="AI12" i="3"/>
  <c r="AI11" i="3"/>
  <c r="D62" i="1"/>
  <c r="B50" i="3" s="1"/>
  <c r="G58" i="1"/>
  <c r="G63" i="1"/>
  <c r="D13" i="1"/>
  <c r="G11" i="1"/>
  <c r="G10" i="1"/>
  <c r="D12" i="1"/>
  <c r="B31" i="3" s="1"/>
  <c r="G13" i="1"/>
  <c r="G12" i="1"/>
  <c r="D55" i="1"/>
  <c r="D53" i="1" s="1"/>
  <c r="G51" i="1"/>
  <c r="G49" i="1"/>
  <c r="G48" i="1"/>
  <c r="G47" i="1"/>
  <c r="G59" i="1"/>
  <c r="G62" i="1"/>
  <c r="G60" i="1"/>
  <c r="D65" i="1"/>
  <c r="B44" i="3" s="1"/>
  <c r="D66" i="1"/>
  <c r="D64" i="1" s="1"/>
  <c r="B50" i="1" l="1"/>
  <c r="D63" i="1"/>
  <c r="B52" i="3" s="1"/>
  <c r="B45" i="3"/>
  <c r="B46" i="3"/>
  <c r="B19" i="3"/>
  <c r="B20" i="3"/>
  <c r="D11" i="1"/>
  <c r="B32" i="3" s="1"/>
  <c r="B33" i="3"/>
  <c r="C12" i="1"/>
  <c r="B36" i="3"/>
  <c r="B38" i="3"/>
  <c r="B35" i="3"/>
  <c r="B40" i="3"/>
  <c r="B34" i="3"/>
  <c r="B61" i="1" l="1"/>
  <c r="C67" i="1" s="1"/>
  <c r="C56" i="1"/>
  <c r="B14" i="1"/>
  <c r="C14" i="1" s="1"/>
  <c r="B43" i="3"/>
  <c r="B49" i="3"/>
  <c r="B48" i="3"/>
  <c r="B47" i="3"/>
  <c r="B53" i="3"/>
  <c r="B51" i="3"/>
  <c r="B17" i="3"/>
  <c r="B27" i="3"/>
  <c r="B23" i="3"/>
  <c r="B22" i="3"/>
  <c r="B21" i="3"/>
  <c r="B25" i="3"/>
  <c r="B26" i="3"/>
  <c r="J8" i="3" s="1"/>
  <c r="B24" i="3"/>
  <c r="AH10" i="3" a="1"/>
  <c r="J11" i="3" a="1"/>
  <c r="AH12" i="3" a="1"/>
  <c r="K1" i="3" a="1"/>
  <c r="AH11" i="3" a="1"/>
  <c r="AG12" i="3" a="1"/>
  <c r="AG6" i="3" a="1"/>
  <c r="AG10" i="3" a="1"/>
  <c r="AG11" i="3" a="1"/>
  <c r="K1" i="3" l="1"/>
  <c r="S1" i="3"/>
  <c r="R2" i="3"/>
  <c r="R4" i="3" s="1"/>
  <c r="Q3" i="3"/>
  <c r="N3" i="3"/>
  <c r="N5" i="3" s="1"/>
  <c r="Q1" i="3"/>
  <c r="R1" i="3"/>
  <c r="L1" i="3"/>
  <c r="K2" i="3"/>
  <c r="S2" i="3"/>
  <c r="R3" i="3"/>
  <c r="M1" i="3"/>
  <c r="L2" i="3"/>
  <c r="L4" i="3" s="1"/>
  <c r="K3" i="3"/>
  <c r="S3" i="3"/>
  <c r="O3" i="3"/>
  <c r="O5" i="3" s="1"/>
  <c r="Q2" i="3"/>
  <c r="N1" i="3"/>
  <c r="M2" i="3"/>
  <c r="L3" i="3"/>
  <c r="L5" i="3" s="1"/>
  <c r="O1" i="3"/>
  <c r="N2" i="3"/>
  <c r="M3" i="3"/>
  <c r="M5" i="3" s="1"/>
  <c r="P1" i="3"/>
  <c r="O2" i="3"/>
  <c r="P2" i="3"/>
  <c r="P3" i="3"/>
  <c r="J11" i="3"/>
  <c r="R11" i="3"/>
  <c r="M12" i="3"/>
  <c r="U12" i="3"/>
  <c r="P13" i="3"/>
  <c r="K14" i="3"/>
  <c r="S14" i="3"/>
  <c r="N15" i="3"/>
  <c r="V15" i="3"/>
  <c r="Q16" i="3"/>
  <c r="L17" i="3"/>
  <c r="T17" i="3"/>
  <c r="O18" i="3"/>
  <c r="J19" i="3"/>
  <c r="R19" i="3"/>
  <c r="M20" i="3"/>
  <c r="U20" i="3"/>
  <c r="P21" i="3"/>
  <c r="K22" i="3"/>
  <c r="S22" i="3"/>
  <c r="N23" i="3"/>
  <c r="V23" i="3"/>
  <c r="Q24" i="3"/>
  <c r="L25" i="3"/>
  <c r="T25" i="3"/>
  <c r="O26" i="3"/>
  <c r="J27" i="3"/>
  <c r="R27" i="3"/>
  <c r="M28" i="3"/>
  <c r="U28" i="3"/>
  <c r="P29" i="3"/>
  <c r="K30" i="3"/>
  <c r="S30" i="3"/>
  <c r="N31" i="3"/>
  <c r="V31" i="3"/>
  <c r="Q32" i="3"/>
  <c r="L33" i="3"/>
  <c r="T33" i="3"/>
  <c r="O34" i="3"/>
  <c r="J35" i="3"/>
  <c r="R35" i="3"/>
  <c r="M36" i="3"/>
  <c r="U36" i="3"/>
  <c r="P37" i="3"/>
  <c r="K38" i="3"/>
  <c r="S38" i="3"/>
  <c r="N39" i="3"/>
  <c r="V39" i="3"/>
  <c r="Q40" i="3"/>
  <c r="L41" i="3"/>
  <c r="T41" i="3"/>
  <c r="O42" i="3"/>
  <c r="J43" i="3"/>
  <c r="R43" i="3"/>
  <c r="M44" i="3"/>
  <c r="U44" i="3"/>
  <c r="P45" i="3"/>
  <c r="K46" i="3"/>
  <c r="S46" i="3"/>
  <c r="N47" i="3"/>
  <c r="V47" i="3"/>
  <c r="Q48" i="3"/>
  <c r="L49" i="3"/>
  <c r="T49" i="3"/>
  <c r="O50" i="3"/>
  <c r="J51" i="3"/>
  <c r="R51" i="3"/>
  <c r="M52" i="3"/>
  <c r="U52" i="3"/>
  <c r="P53" i="3"/>
  <c r="K54" i="3"/>
  <c r="S54" i="3"/>
  <c r="N55" i="3"/>
  <c r="V55" i="3"/>
  <c r="Q56" i="3"/>
  <c r="L57" i="3"/>
  <c r="T57" i="3"/>
  <c r="O58" i="3"/>
  <c r="J59" i="3"/>
  <c r="R59" i="3"/>
  <c r="M60" i="3"/>
  <c r="U60" i="3"/>
  <c r="P61" i="3"/>
  <c r="K62" i="3"/>
  <c r="S62" i="3"/>
  <c r="K11" i="3"/>
  <c r="S11" i="3"/>
  <c r="N12" i="3"/>
  <c r="V12" i="3"/>
  <c r="Q13" i="3"/>
  <c r="L14" i="3"/>
  <c r="T14" i="3"/>
  <c r="O15" i="3"/>
  <c r="J16" i="3"/>
  <c r="R16" i="3"/>
  <c r="M17" i="3"/>
  <c r="U17" i="3"/>
  <c r="P18" i="3"/>
  <c r="K19" i="3"/>
  <c r="S19" i="3"/>
  <c r="N20" i="3"/>
  <c r="V20" i="3"/>
  <c r="Q21" i="3"/>
  <c r="L22" i="3"/>
  <c r="T22" i="3"/>
  <c r="O23" i="3"/>
  <c r="J24" i="3"/>
  <c r="R24" i="3"/>
  <c r="M25" i="3"/>
  <c r="U25" i="3"/>
  <c r="P26" i="3"/>
  <c r="K27" i="3"/>
  <c r="S27" i="3"/>
  <c r="N28" i="3"/>
  <c r="V28" i="3"/>
  <c r="Q29" i="3"/>
  <c r="L30" i="3"/>
  <c r="T30" i="3"/>
  <c r="O31" i="3"/>
  <c r="J32" i="3"/>
  <c r="R32" i="3"/>
  <c r="M33" i="3"/>
  <c r="U33" i="3"/>
  <c r="P34" i="3"/>
  <c r="K35" i="3"/>
  <c r="S35" i="3"/>
  <c r="N36" i="3"/>
  <c r="V36" i="3"/>
  <c r="Q37" i="3"/>
  <c r="L38" i="3"/>
  <c r="T38" i="3"/>
  <c r="O39" i="3"/>
  <c r="J40" i="3"/>
  <c r="R40" i="3"/>
  <c r="M41" i="3"/>
  <c r="U41" i="3"/>
  <c r="P42" i="3"/>
  <c r="K43" i="3"/>
  <c r="S43" i="3"/>
  <c r="N44" i="3"/>
  <c r="V44" i="3"/>
  <c r="Q45" i="3"/>
  <c r="L46" i="3"/>
  <c r="T46" i="3"/>
  <c r="O47" i="3"/>
  <c r="J48" i="3"/>
  <c r="R48" i="3"/>
  <c r="M49" i="3"/>
  <c r="U49" i="3"/>
  <c r="P50" i="3"/>
  <c r="K51" i="3"/>
  <c r="S51" i="3"/>
  <c r="N52" i="3"/>
  <c r="V52" i="3"/>
  <c r="Q53" i="3"/>
  <c r="L54" i="3"/>
  <c r="T54" i="3"/>
  <c r="O55" i="3"/>
  <c r="J56" i="3"/>
  <c r="R56" i="3"/>
  <c r="M57" i="3"/>
  <c r="U57" i="3"/>
  <c r="P58" i="3"/>
  <c r="K59" i="3"/>
  <c r="S59" i="3"/>
  <c r="N60" i="3"/>
  <c r="V60" i="3"/>
  <c r="Q61" i="3"/>
  <c r="L62" i="3"/>
  <c r="L11" i="3"/>
  <c r="T11" i="3"/>
  <c r="O12" i="3"/>
  <c r="J13" i="3"/>
  <c r="R13" i="3"/>
  <c r="M14" i="3"/>
  <c r="U14" i="3"/>
  <c r="P15" i="3"/>
  <c r="K16" i="3"/>
  <c r="S16" i="3"/>
  <c r="N17" i="3"/>
  <c r="V17" i="3"/>
  <c r="Q18" i="3"/>
  <c r="L19" i="3"/>
  <c r="T19" i="3"/>
  <c r="O20" i="3"/>
  <c r="J21" i="3"/>
  <c r="R21" i="3"/>
  <c r="M22" i="3"/>
  <c r="U22" i="3"/>
  <c r="P23" i="3"/>
  <c r="K24" i="3"/>
  <c r="S24" i="3"/>
  <c r="N25" i="3"/>
  <c r="V25" i="3"/>
  <c r="Q26" i="3"/>
  <c r="L27" i="3"/>
  <c r="T27" i="3"/>
  <c r="O28" i="3"/>
  <c r="J29" i="3"/>
  <c r="R29" i="3"/>
  <c r="M30" i="3"/>
  <c r="U30" i="3"/>
  <c r="P31" i="3"/>
  <c r="K32" i="3"/>
  <c r="S32" i="3"/>
  <c r="N33" i="3"/>
  <c r="V33" i="3"/>
  <c r="Q34" i="3"/>
  <c r="L35" i="3"/>
  <c r="T35" i="3"/>
  <c r="O36" i="3"/>
  <c r="J37" i="3"/>
  <c r="R37" i="3"/>
  <c r="M38" i="3"/>
  <c r="U38" i="3"/>
  <c r="P39" i="3"/>
  <c r="K40" i="3"/>
  <c r="S40" i="3"/>
  <c r="N41" i="3"/>
  <c r="V41" i="3"/>
  <c r="Q42" i="3"/>
  <c r="L43" i="3"/>
  <c r="T43" i="3"/>
  <c r="O44" i="3"/>
  <c r="J45" i="3"/>
  <c r="R45" i="3"/>
  <c r="M46" i="3"/>
  <c r="U46" i="3"/>
  <c r="P47" i="3"/>
  <c r="K48" i="3"/>
  <c r="S48" i="3"/>
  <c r="N49" i="3"/>
  <c r="V49" i="3"/>
  <c r="Q50" i="3"/>
  <c r="L51" i="3"/>
  <c r="T51" i="3"/>
  <c r="O52" i="3"/>
  <c r="J53" i="3"/>
  <c r="R53" i="3"/>
  <c r="M54" i="3"/>
  <c r="U54" i="3"/>
  <c r="P55" i="3"/>
  <c r="K56" i="3"/>
  <c r="S56" i="3"/>
  <c r="N57" i="3"/>
  <c r="V57" i="3"/>
  <c r="Q58" i="3"/>
  <c r="L59" i="3"/>
  <c r="T59" i="3"/>
  <c r="O6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T61" i="3"/>
  <c r="O62" i="3"/>
  <c r="J63" i="3"/>
  <c r="O11" i="3"/>
  <c r="R12" i="3"/>
  <c r="U13" i="3"/>
  <c r="K15" i="3"/>
  <c r="N16" i="3"/>
  <c r="Q17" i="3"/>
  <c r="T18" i="3"/>
  <c r="J20" i="3"/>
  <c r="M21" i="3"/>
  <c r="P22" i="3"/>
  <c r="S23" i="3"/>
  <c r="V24" i="3"/>
  <c r="L26" i="3"/>
  <c r="O27" i="3"/>
  <c r="R28" i="3"/>
  <c r="U29" i="3"/>
  <c r="K31" i="3"/>
  <c r="N32" i="3"/>
  <c r="Q33" i="3"/>
  <c r="T34" i="3"/>
  <c r="J36" i="3"/>
  <c r="M37" i="3"/>
  <c r="P38" i="3"/>
  <c r="S39" i="3"/>
  <c r="V40" i="3"/>
  <c r="L42" i="3"/>
  <c r="O43" i="3"/>
  <c r="R44" i="3"/>
  <c r="U45" i="3"/>
  <c r="K47" i="3"/>
  <c r="N48" i="3"/>
  <c r="Q49" i="3"/>
  <c r="T50" i="3"/>
  <c r="J52" i="3"/>
  <c r="M53" i="3"/>
  <c r="P54" i="3"/>
  <c r="S55" i="3"/>
  <c r="V56" i="3"/>
  <c r="L58" i="3"/>
  <c r="O59" i="3"/>
  <c r="R60" i="3"/>
  <c r="R61" i="3"/>
  <c r="Q62" i="3"/>
  <c r="N63" i="3"/>
  <c r="V63" i="3"/>
  <c r="Q64" i="3"/>
  <c r="L65" i="3"/>
  <c r="T65" i="3"/>
  <c r="O66" i="3"/>
  <c r="J67" i="3"/>
  <c r="R67" i="3"/>
  <c r="M68" i="3"/>
  <c r="U68" i="3"/>
  <c r="P69" i="3"/>
  <c r="K70" i="3"/>
  <c r="S70" i="3"/>
  <c r="N71" i="3"/>
  <c r="V71" i="3"/>
  <c r="Q72" i="3"/>
  <c r="L73" i="3"/>
  <c r="T73" i="3"/>
  <c r="O74" i="3"/>
  <c r="J75" i="3"/>
  <c r="R75" i="3"/>
  <c r="M76" i="3"/>
  <c r="U76" i="3"/>
  <c r="P77" i="3"/>
  <c r="K78" i="3"/>
  <c r="S78" i="3"/>
  <c r="N79" i="3"/>
  <c r="V79" i="3"/>
  <c r="Q80" i="3"/>
  <c r="L81" i="3"/>
  <c r="T81" i="3"/>
  <c r="O82" i="3"/>
  <c r="J83" i="3"/>
  <c r="R83" i="3"/>
  <c r="M84" i="3"/>
  <c r="U84" i="3"/>
  <c r="P85" i="3"/>
  <c r="K86" i="3"/>
  <c r="S86" i="3"/>
  <c r="N87" i="3"/>
  <c r="V87" i="3"/>
  <c r="Q88" i="3"/>
  <c r="P11" i="3"/>
  <c r="S12" i="3"/>
  <c r="V13" i="3"/>
  <c r="L15" i="3"/>
  <c r="O16" i="3"/>
  <c r="R17" i="3"/>
  <c r="U18" i="3"/>
  <c r="K20" i="3"/>
  <c r="N21" i="3"/>
  <c r="Q22" i="3"/>
  <c r="T23" i="3"/>
  <c r="J25" i="3"/>
  <c r="M26" i="3"/>
  <c r="P27" i="3"/>
  <c r="S28" i="3"/>
  <c r="V29" i="3"/>
  <c r="L31" i="3"/>
  <c r="O32" i="3"/>
  <c r="R33" i="3"/>
  <c r="U34" i="3"/>
  <c r="K36" i="3"/>
  <c r="N37" i="3"/>
  <c r="Q38" i="3"/>
  <c r="T39" i="3"/>
  <c r="U11" i="3"/>
  <c r="K13" i="3"/>
  <c r="N14" i="3"/>
  <c r="Q15" i="3"/>
  <c r="T16" i="3"/>
  <c r="J18" i="3"/>
  <c r="M19" i="3"/>
  <c r="P20" i="3"/>
  <c r="S21" i="3"/>
  <c r="V22" i="3"/>
  <c r="L24" i="3"/>
  <c r="O25" i="3"/>
  <c r="R26" i="3"/>
  <c r="U27" i="3"/>
  <c r="K29" i="3"/>
  <c r="N30" i="3"/>
  <c r="Q31" i="3"/>
  <c r="T32" i="3"/>
  <c r="J34" i="3"/>
  <c r="M35" i="3"/>
  <c r="P36" i="3"/>
  <c r="S37" i="3"/>
  <c r="V38" i="3"/>
  <c r="L40" i="3"/>
  <c r="O41" i="3"/>
  <c r="R42" i="3"/>
  <c r="U43" i="3"/>
  <c r="K45" i="3"/>
  <c r="N46" i="3"/>
  <c r="Q47" i="3"/>
  <c r="T48" i="3"/>
  <c r="J50" i="3"/>
  <c r="M51" i="3"/>
  <c r="P52" i="3"/>
  <c r="S53" i="3"/>
  <c r="V54" i="3"/>
  <c r="L56" i="3"/>
  <c r="O57" i="3"/>
  <c r="R58" i="3"/>
  <c r="U59" i="3"/>
  <c r="J61" i="3"/>
  <c r="V61" i="3"/>
  <c r="U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L88" i="3"/>
  <c r="T88" i="3"/>
  <c r="O89" i="3"/>
  <c r="M11" i="3"/>
  <c r="N13" i="3"/>
  <c r="M15" i="3"/>
  <c r="K17" i="3"/>
  <c r="O19" i="3"/>
  <c r="K21" i="3"/>
  <c r="L23" i="3"/>
  <c r="K25" i="3"/>
  <c r="V26" i="3"/>
  <c r="M29" i="3"/>
  <c r="V30" i="3"/>
  <c r="J33" i="3"/>
  <c r="V34" i="3"/>
  <c r="T36" i="3"/>
  <c r="K39" i="3"/>
  <c r="T40" i="3"/>
  <c r="N42" i="3"/>
  <c r="K44" i="3"/>
  <c r="S45" i="3"/>
  <c r="M47" i="3"/>
  <c r="J49" i="3"/>
  <c r="R50" i="3"/>
  <c r="L52" i="3"/>
  <c r="V53" i="3"/>
  <c r="Q55" i="3"/>
  <c r="K57" i="3"/>
  <c r="U58" i="3"/>
  <c r="P60" i="3"/>
  <c r="U61" i="3"/>
  <c r="K63" i="3"/>
  <c r="U63" i="3"/>
  <c r="S64" i="3"/>
  <c r="Q65" i="3"/>
  <c r="N66" i="3"/>
  <c r="L67" i="3"/>
  <c r="J68" i="3"/>
  <c r="T68" i="3"/>
  <c r="R69" i="3"/>
  <c r="P70" i="3"/>
  <c r="M71" i="3"/>
  <c r="K72" i="3"/>
  <c r="V72" i="3"/>
  <c r="S73" i="3"/>
  <c r="Q74" i="3"/>
  <c r="O75" i="3"/>
  <c r="L76" i="3"/>
  <c r="J77" i="3"/>
  <c r="U77" i="3"/>
  <c r="R78" i="3"/>
  <c r="P79" i="3"/>
  <c r="N80" i="3"/>
  <c r="K81" i="3"/>
  <c r="V81" i="3"/>
  <c r="T82" i="3"/>
  <c r="Q83" i="3"/>
  <c r="O84" i="3"/>
  <c r="M85" i="3"/>
  <c r="J86" i="3"/>
  <c r="U86" i="3"/>
  <c r="S87" i="3"/>
  <c r="P88" i="3"/>
  <c r="M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02" i="3"/>
  <c r="U102" i="3"/>
  <c r="P103" i="3"/>
  <c r="Q11" i="3"/>
  <c r="O13" i="3"/>
  <c r="S15" i="3"/>
  <c r="O17" i="3"/>
  <c r="P19" i="3"/>
  <c r="O21" i="3"/>
  <c r="M23" i="3"/>
  <c r="Q25" i="3"/>
  <c r="M27" i="3"/>
  <c r="N29" i="3"/>
  <c r="M31" i="3"/>
  <c r="K33" i="3"/>
  <c r="O35" i="3"/>
  <c r="K37" i="3"/>
  <c r="L39" i="3"/>
  <c r="J41" i="3"/>
  <c r="T42" i="3"/>
  <c r="L44" i="3"/>
  <c r="V45" i="3"/>
  <c r="S47" i="3"/>
  <c r="K49" i="3"/>
  <c r="U50" i="3"/>
  <c r="R52" i="3"/>
  <c r="J54" i="3"/>
  <c r="T55" i="3"/>
  <c r="Q57" i="3"/>
  <c r="V58" i="3"/>
  <c r="S60" i="3"/>
  <c r="J62" i="3"/>
  <c r="L63" i="3"/>
  <c r="J64" i="3"/>
  <c r="U64" i="3"/>
  <c r="R65" i="3"/>
  <c r="P66" i="3"/>
  <c r="N67" i="3"/>
  <c r="K68" i="3"/>
  <c r="V68" i="3"/>
  <c r="T69" i="3"/>
  <c r="Q70" i="3"/>
  <c r="O71" i="3"/>
  <c r="M72" i="3"/>
  <c r="J73" i="3"/>
  <c r="U73" i="3"/>
  <c r="S74" i="3"/>
  <c r="P75" i="3"/>
  <c r="N76" i="3"/>
  <c r="L77" i="3"/>
  <c r="V77" i="3"/>
  <c r="T78" i="3"/>
  <c r="R79" i="3"/>
  <c r="O80" i="3"/>
  <c r="M81" i="3"/>
  <c r="K82" i="3"/>
  <c r="U82" i="3"/>
  <c r="S83" i="3"/>
  <c r="Q84" i="3"/>
  <c r="N85" i="3"/>
  <c r="L86" i="3"/>
  <c r="J87" i="3"/>
  <c r="T87" i="3"/>
  <c r="R88" i="3"/>
  <c r="N89" i="3"/>
  <c r="J90" i="3"/>
  <c r="R90" i="3"/>
  <c r="M91" i="3"/>
  <c r="U91" i="3"/>
  <c r="P92" i="3"/>
  <c r="K93" i="3"/>
  <c r="S93" i="3"/>
  <c r="N94" i="3"/>
  <c r="V94" i="3"/>
  <c r="Q95" i="3"/>
  <c r="L96" i="3"/>
  <c r="T96" i="3"/>
  <c r="O97" i="3"/>
  <c r="J98" i="3"/>
  <c r="J12" i="3"/>
  <c r="S13" i="3"/>
  <c r="T15" i="3"/>
  <c r="S17" i="3"/>
  <c r="Q19" i="3"/>
  <c r="U21" i="3"/>
  <c r="Q23" i="3"/>
  <c r="R25" i="3"/>
  <c r="Q27" i="3"/>
  <c r="O29" i="3"/>
  <c r="S31" i="3"/>
  <c r="O33" i="3"/>
  <c r="P35" i="3"/>
  <c r="O37" i="3"/>
  <c r="M39" i="3"/>
  <c r="K41" i="3"/>
  <c r="U42" i="3"/>
  <c r="P44" i="3"/>
  <c r="J46" i="3"/>
  <c r="T47" i="3"/>
  <c r="O49" i="3"/>
  <c r="V50" i="3"/>
  <c r="S52" i="3"/>
  <c r="N54" i="3"/>
  <c r="U55" i="3"/>
  <c r="R57" i="3"/>
  <c r="M59" i="3"/>
  <c r="T60" i="3"/>
  <c r="M62" i="3"/>
  <c r="M63" i="3"/>
  <c r="K64" i="3"/>
  <c r="V64" i="3"/>
  <c r="S65" i="3"/>
  <c r="Q66" i="3"/>
  <c r="O67" i="3"/>
  <c r="L68" i="3"/>
  <c r="J69" i="3"/>
  <c r="U69" i="3"/>
  <c r="R70" i="3"/>
  <c r="P71" i="3"/>
  <c r="N72" i="3"/>
  <c r="K73" i="3"/>
  <c r="V73" i="3"/>
  <c r="T74" i="3"/>
  <c r="Q75" i="3"/>
  <c r="O76" i="3"/>
  <c r="M77" i="3"/>
  <c r="J78" i="3"/>
  <c r="U78" i="3"/>
  <c r="S79" i="3"/>
  <c r="P80" i="3"/>
  <c r="N81" i="3"/>
  <c r="L82" i="3"/>
  <c r="V82" i="3"/>
  <c r="T83" i="3"/>
  <c r="R84" i="3"/>
  <c r="O85" i="3"/>
  <c r="M86" i="3"/>
  <c r="K87" i="3"/>
  <c r="U87" i="3"/>
  <c r="S88" i="3"/>
  <c r="P89" i="3"/>
  <c r="K90" i="3"/>
  <c r="S90" i="3"/>
  <c r="N91" i="3"/>
  <c r="V91" i="3"/>
  <c r="Q92" i="3"/>
  <c r="L93" i="3"/>
  <c r="T93" i="3"/>
  <c r="O94" i="3"/>
  <c r="J95" i="3"/>
  <c r="R95" i="3"/>
  <c r="M96" i="3"/>
  <c r="U96" i="3"/>
  <c r="P97" i="3"/>
  <c r="K98" i="3"/>
  <c r="S98" i="3"/>
  <c r="N99" i="3"/>
  <c r="V99" i="3"/>
  <c r="Q100" i="3"/>
  <c r="L101" i="3"/>
  <c r="T101" i="3"/>
  <c r="O102" i="3"/>
  <c r="J103" i="3"/>
  <c r="R103" i="3"/>
  <c r="M104" i="3"/>
  <c r="U104" i="3"/>
  <c r="K12" i="3"/>
  <c r="J14" i="3"/>
  <c r="U15" i="3"/>
  <c r="L18" i="3"/>
  <c r="U19" i="3"/>
  <c r="V21" i="3"/>
  <c r="U23" i="3"/>
  <c r="S25" i="3"/>
  <c r="J28" i="3"/>
  <c r="S29" i="3"/>
  <c r="T31" i="3"/>
  <c r="S33" i="3"/>
  <c r="Q35" i="3"/>
  <c r="U37" i="3"/>
  <c r="Q39" i="3"/>
  <c r="Q41" i="3"/>
  <c r="V42" i="3"/>
  <c r="S44" i="3"/>
  <c r="P46" i="3"/>
  <c r="U47" i="3"/>
  <c r="R49" i="3"/>
  <c r="O51" i="3"/>
  <c r="T52" i="3"/>
  <c r="Q54" i="3"/>
  <c r="N56" i="3"/>
  <c r="S57" i="3"/>
  <c r="P59" i="3"/>
  <c r="K61" i="3"/>
  <c r="N62" i="3"/>
  <c r="O63" i="3"/>
  <c r="M64" i="3"/>
  <c r="J65" i="3"/>
  <c r="U65" i="3"/>
  <c r="S66" i="3"/>
  <c r="P67" i="3"/>
  <c r="N68" i="3"/>
  <c r="L69" i="3"/>
  <c r="V69" i="3"/>
  <c r="T70" i="3"/>
  <c r="R71" i="3"/>
  <c r="O72" i="3"/>
  <c r="M73" i="3"/>
  <c r="K74" i="3"/>
  <c r="U74" i="3"/>
  <c r="S75" i="3"/>
  <c r="Q76" i="3"/>
  <c r="N77" i="3"/>
  <c r="L78" i="3"/>
  <c r="J79" i="3"/>
  <c r="T79" i="3"/>
  <c r="R80" i="3"/>
  <c r="P81" i="3"/>
  <c r="M82" i="3"/>
  <c r="K83" i="3"/>
  <c r="V83" i="3"/>
  <c r="S84" i="3"/>
  <c r="Q85" i="3"/>
  <c r="O86" i="3"/>
  <c r="L87" i="3"/>
  <c r="J88" i="3"/>
  <c r="U88" i="3"/>
  <c r="Q89" i="3"/>
  <c r="L90" i="3"/>
  <c r="T90" i="3"/>
  <c r="O91" i="3"/>
  <c r="J92" i="3"/>
  <c r="R92" i="3"/>
  <c r="P12" i="3"/>
  <c r="Q14" i="3"/>
  <c r="P16" i="3"/>
  <c r="N18" i="3"/>
  <c r="R20" i="3"/>
  <c r="N22" i="3"/>
  <c r="O24" i="3"/>
  <c r="N26" i="3"/>
  <c r="L28" i="3"/>
  <c r="P30" i="3"/>
  <c r="L32" i="3"/>
  <c r="M34" i="3"/>
  <c r="L36" i="3"/>
  <c r="J38" i="3"/>
  <c r="N40" i="3"/>
  <c r="S41" i="3"/>
  <c r="P43" i="3"/>
  <c r="M45" i="3"/>
  <c r="R46" i="3"/>
  <c r="O48" i="3"/>
  <c r="L50" i="3"/>
  <c r="Q51" i="3"/>
  <c r="N53" i="3"/>
  <c r="K55" i="3"/>
  <c r="P56" i="3"/>
  <c r="M58" i="3"/>
  <c r="J60" i="3"/>
  <c r="N61" i="3"/>
  <c r="R62" i="3"/>
  <c r="R63" i="3"/>
  <c r="O64" i="3"/>
  <c r="M65" i="3"/>
  <c r="K66" i="3"/>
  <c r="U66" i="3"/>
  <c r="S67" i="3"/>
  <c r="Q68" i="3"/>
  <c r="N69" i="3"/>
  <c r="L70" i="3"/>
  <c r="J71" i="3"/>
  <c r="T71" i="3"/>
  <c r="R72" i="3"/>
  <c r="P73" i="3"/>
  <c r="M74" i="3"/>
  <c r="K75" i="3"/>
  <c r="V75" i="3"/>
  <c r="S76" i="3"/>
  <c r="Q77" i="3"/>
  <c r="O78" i="3"/>
  <c r="L79" i="3"/>
  <c r="J80" i="3"/>
  <c r="U80" i="3"/>
  <c r="R81" i="3"/>
  <c r="P82" i="3"/>
  <c r="N83" i="3"/>
  <c r="K84" i="3"/>
  <c r="V84" i="3"/>
  <c r="T85" i="3"/>
  <c r="Q86" i="3"/>
  <c r="O87" i="3"/>
  <c r="M88" i="3"/>
  <c r="J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3" i="3"/>
  <c r="R18" i="3"/>
  <c r="N24" i="3"/>
  <c r="T28" i="3"/>
  <c r="N34" i="3"/>
  <c r="U39" i="3"/>
  <c r="J44" i="3"/>
  <c r="P48" i="3"/>
  <c r="K53" i="3"/>
  <c r="J57" i="3"/>
  <c r="O61" i="3"/>
  <c r="N64" i="3"/>
  <c r="M66" i="3"/>
  <c r="R68" i="3"/>
  <c r="U70" i="3"/>
  <c r="U72" i="3"/>
  <c r="L75" i="3"/>
  <c r="O77" i="3"/>
  <c r="O79" i="3"/>
  <c r="S81" i="3"/>
  <c r="J84" i="3"/>
  <c r="V85" i="3"/>
  <c r="N88" i="3"/>
  <c r="M90" i="3"/>
  <c r="S91" i="3"/>
  <c r="N93" i="3"/>
  <c r="Q94" i="3"/>
  <c r="T95" i="3"/>
  <c r="J97" i="3"/>
  <c r="M98" i="3"/>
  <c r="M99" i="3"/>
  <c r="M100" i="3"/>
  <c r="M101" i="3"/>
  <c r="L102" i="3"/>
  <c r="L103" i="3"/>
  <c r="V103" i="3"/>
  <c r="R104" i="3"/>
  <c r="N105" i="3"/>
  <c r="V105" i="3"/>
  <c r="Q106" i="3"/>
  <c r="L107" i="3"/>
  <c r="T107" i="3"/>
  <c r="O108" i="3"/>
  <c r="J109" i="3"/>
  <c r="R109" i="3"/>
  <c r="M110" i="3"/>
  <c r="U110" i="3"/>
  <c r="P111" i="3"/>
  <c r="K112" i="3"/>
  <c r="S112" i="3"/>
  <c r="N113" i="3"/>
  <c r="V113" i="3"/>
  <c r="Q114" i="3"/>
  <c r="L115" i="3"/>
  <c r="T115" i="3"/>
  <c r="O116" i="3"/>
  <c r="J117" i="3"/>
  <c r="R117" i="3"/>
  <c r="M118" i="3"/>
  <c r="U118" i="3"/>
  <c r="P119" i="3"/>
  <c r="K120" i="3"/>
  <c r="S120" i="3"/>
  <c r="N121" i="3"/>
  <c r="V121" i="3"/>
  <c r="Q122" i="3"/>
  <c r="L123" i="3"/>
  <c r="T123" i="3"/>
  <c r="O124" i="3"/>
  <c r="J125" i="3"/>
  <c r="R125" i="3"/>
  <c r="M126" i="3"/>
  <c r="U126" i="3"/>
  <c r="P127" i="3"/>
  <c r="K128" i="3"/>
  <c r="S128" i="3"/>
  <c r="N129" i="3"/>
  <c r="V129" i="3"/>
  <c r="Q130" i="3"/>
  <c r="L131" i="3"/>
  <c r="T131" i="3"/>
  <c r="O132" i="3"/>
  <c r="J133" i="3"/>
  <c r="R133" i="3"/>
  <c r="M134" i="3"/>
  <c r="U134" i="3"/>
  <c r="P135" i="3"/>
  <c r="K136" i="3"/>
  <c r="S136" i="3"/>
  <c r="N137" i="3"/>
  <c r="V137" i="3"/>
  <c r="Q138" i="3"/>
  <c r="L139" i="3"/>
  <c r="T139" i="3"/>
  <c r="O140" i="3"/>
  <c r="J141" i="3"/>
  <c r="R141" i="3"/>
  <c r="M142" i="3"/>
  <c r="U142" i="3"/>
  <c r="P143" i="3"/>
  <c r="K144" i="3"/>
  <c r="S144" i="3"/>
  <c r="N145" i="3"/>
  <c r="V145" i="3"/>
  <c r="Q146" i="3"/>
  <c r="L147" i="3"/>
  <c r="T147" i="3"/>
  <c r="O148" i="3"/>
  <c r="J149" i="3"/>
  <c r="R149" i="3"/>
  <c r="M150" i="3"/>
  <c r="U150" i="3"/>
  <c r="P151" i="3"/>
  <c r="K152" i="3"/>
  <c r="S152" i="3"/>
  <c r="N153" i="3"/>
  <c r="V153" i="3"/>
  <c r="Q154" i="3"/>
  <c r="L155" i="3"/>
  <c r="T155" i="3"/>
  <c r="O156" i="3"/>
  <c r="J157" i="3"/>
  <c r="R157" i="3"/>
  <c r="M158" i="3"/>
  <c r="U158" i="3"/>
  <c r="P159" i="3"/>
  <c r="K160" i="3"/>
  <c r="S160" i="3"/>
  <c r="N161" i="3"/>
  <c r="V161" i="3"/>
  <c r="Q162" i="3"/>
  <c r="L163" i="3"/>
  <c r="T163" i="3"/>
  <c r="O164" i="3"/>
  <c r="J165" i="3"/>
  <c r="R165" i="3"/>
  <c r="M166" i="3"/>
  <c r="U166" i="3"/>
  <c r="P167" i="3"/>
  <c r="K168" i="3"/>
  <c r="S168" i="3"/>
  <c r="N169" i="3"/>
  <c r="V169" i="3"/>
  <c r="Q170" i="3"/>
  <c r="L171" i="3"/>
  <c r="T171" i="3"/>
  <c r="O172" i="3"/>
  <c r="J173" i="3"/>
  <c r="R173" i="3"/>
  <c r="M174" i="3"/>
  <c r="U174" i="3"/>
  <c r="P175" i="3"/>
  <c r="P14" i="3"/>
  <c r="V18" i="3"/>
  <c r="P24" i="3"/>
  <c r="J30" i="3"/>
  <c r="R34" i="3"/>
  <c r="O40" i="3"/>
  <c r="T44" i="3"/>
  <c r="V48" i="3"/>
  <c r="O53" i="3"/>
  <c r="J58" i="3"/>
  <c r="S61" i="3"/>
  <c r="P64" i="3"/>
  <c r="T66" i="3"/>
  <c r="S68" i="3"/>
  <c r="K71" i="3"/>
  <c r="N73" i="3"/>
  <c r="N75" i="3"/>
  <c r="R77" i="3"/>
  <c r="U79" i="3"/>
  <c r="U81" i="3"/>
  <c r="L84" i="3"/>
  <c r="P86" i="3"/>
  <c r="O88" i="3"/>
  <c r="O90" i="3"/>
  <c r="K92" i="3"/>
  <c r="P93" i="3"/>
  <c r="S94" i="3"/>
  <c r="V95" i="3"/>
  <c r="L97" i="3"/>
  <c r="O98" i="3"/>
  <c r="O99" i="3"/>
  <c r="N100" i="3"/>
  <c r="N101" i="3"/>
  <c r="N102" i="3"/>
  <c r="M103" i="3"/>
  <c r="J104" i="3"/>
  <c r="S104" i="3"/>
  <c r="O105" i="3"/>
  <c r="J106" i="3"/>
  <c r="R106" i="3"/>
  <c r="M107" i="3"/>
  <c r="U107" i="3"/>
  <c r="P108" i="3"/>
  <c r="K109" i="3"/>
  <c r="S109" i="3"/>
  <c r="N110" i="3"/>
  <c r="V110" i="3"/>
  <c r="Q111" i="3"/>
  <c r="L112" i="3"/>
  <c r="T112" i="3"/>
  <c r="O113" i="3"/>
  <c r="J114" i="3"/>
  <c r="R114" i="3"/>
  <c r="M115" i="3"/>
  <c r="U115" i="3"/>
  <c r="P116" i="3"/>
  <c r="K117" i="3"/>
  <c r="S117" i="3"/>
  <c r="N118" i="3"/>
  <c r="V118" i="3"/>
  <c r="Q119" i="3"/>
  <c r="L120" i="3"/>
  <c r="T120" i="3"/>
  <c r="O121" i="3"/>
  <c r="J122" i="3"/>
  <c r="R122" i="3"/>
  <c r="M123" i="3"/>
  <c r="U123" i="3"/>
  <c r="P124" i="3"/>
  <c r="K125" i="3"/>
  <c r="S125" i="3"/>
  <c r="N126" i="3"/>
  <c r="V126" i="3"/>
  <c r="Q127" i="3"/>
  <c r="L128" i="3"/>
  <c r="T128" i="3"/>
  <c r="O129" i="3"/>
  <c r="J130" i="3"/>
  <c r="R130" i="3"/>
  <c r="M131" i="3"/>
  <c r="U131" i="3"/>
  <c r="P132" i="3"/>
  <c r="K133" i="3"/>
  <c r="S133" i="3"/>
  <c r="N134" i="3"/>
  <c r="R14" i="3"/>
  <c r="L20" i="3"/>
  <c r="T24" i="3"/>
  <c r="Q30" i="3"/>
  <c r="U35" i="3"/>
  <c r="P40" i="3"/>
  <c r="N45" i="3"/>
  <c r="S49" i="3"/>
  <c r="U53" i="3"/>
  <c r="N58" i="3"/>
  <c r="P62" i="3"/>
  <c r="R64" i="3"/>
  <c r="V66" i="3"/>
  <c r="M69" i="3"/>
  <c r="L71" i="3"/>
  <c r="Q73" i="3"/>
  <c r="T75" i="3"/>
  <c r="T77" i="3"/>
  <c r="K80" i="3"/>
  <c r="N82" i="3"/>
  <c r="N84" i="3"/>
  <c r="R86" i="3"/>
  <c r="V88" i="3"/>
  <c r="P90" i="3"/>
  <c r="M92" i="3"/>
  <c r="Q93" i="3"/>
  <c r="T94" i="3"/>
  <c r="J96" i="3"/>
  <c r="M97" i="3"/>
  <c r="P98" i="3"/>
  <c r="P99" i="3"/>
  <c r="P100" i="3"/>
  <c r="P101" i="3"/>
  <c r="P102" i="3"/>
  <c r="N103" i="3"/>
  <c r="K104" i="3"/>
  <c r="T104" i="3"/>
  <c r="P105" i="3"/>
  <c r="K106" i="3"/>
  <c r="S106" i="3"/>
  <c r="N107" i="3"/>
  <c r="V107" i="3"/>
  <c r="Q108" i="3"/>
  <c r="L109" i="3"/>
  <c r="T109" i="3"/>
  <c r="O110" i="3"/>
  <c r="J111" i="3"/>
  <c r="R111" i="3"/>
  <c r="M112" i="3"/>
  <c r="U112" i="3"/>
  <c r="P113" i="3"/>
  <c r="K114" i="3"/>
  <c r="S114" i="3"/>
  <c r="N115" i="3"/>
  <c r="V115" i="3"/>
  <c r="Q116" i="3"/>
  <c r="L117" i="3"/>
  <c r="T117" i="3"/>
  <c r="O118" i="3"/>
  <c r="J119" i="3"/>
  <c r="R119" i="3"/>
  <c r="M120" i="3"/>
  <c r="U120" i="3"/>
  <c r="P121" i="3"/>
  <c r="K122" i="3"/>
  <c r="S122" i="3"/>
  <c r="N123" i="3"/>
  <c r="V123" i="3"/>
  <c r="Q124" i="3"/>
  <c r="L125" i="3"/>
  <c r="T125" i="3"/>
  <c r="O126" i="3"/>
  <c r="J127" i="3"/>
  <c r="R127" i="3"/>
  <c r="M128" i="3"/>
  <c r="U128" i="3"/>
  <c r="P129" i="3"/>
  <c r="K130" i="3"/>
  <c r="S130" i="3"/>
  <c r="N131" i="3"/>
  <c r="V14" i="3"/>
  <c r="S20" i="3"/>
  <c r="J26" i="3"/>
  <c r="R30" i="3"/>
  <c r="R36" i="3"/>
  <c r="R41" i="3"/>
  <c r="O45" i="3"/>
  <c r="M50" i="3"/>
  <c r="R54" i="3"/>
  <c r="T58" i="3"/>
  <c r="T62" i="3"/>
  <c r="K65" i="3"/>
  <c r="K67" i="3"/>
  <c r="O69" i="3"/>
  <c r="S71" i="3"/>
  <c r="R73" i="3"/>
  <c r="J76" i="3"/>
  <c r="M78" i="3"/>
  <c r="M80" i="3"/>
  <c r="Q82" i="3"/>
  <c r="T84" i="3"/>
  <c r="T86" i="3"/>
  <c r="K89" i="3"/>
  <c r="U90" i="3"/>
  <c r="N92" i="3"/>
  <c r="U93" i="3"/>
  <c r="K95" i="3"/>
  <c r="N96" i="3"/>
  <c r="Q97" i="3"/>
  <c r="R98" i="3"/>
  <c r="R99" i="3"/>
  <c r="R100" i="3"/>
  <c r="Q101" i="3"/>
  <c r="Q102" i="3"/>
  <c r="O103" i="3"/>
  <c r="L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L16" i="3"/>
  <c r="T26" i="3"/>
  <c r="S36" i="3"/>
  <c r="Q46" i="3"/>
  <c r="L55" i="3"/>
  <c r="V62" i="3"/>
  <c r="Q67" i="3"/>
  <c r="U71" i="3"/>
  <c r="K76" i="3"/>
  <c r="S80" i="3"/>
  <c r="J85" i="3"/>
  <c r="L89" i="3"/>
  <c r="S92" i="3"/>
  <c r="L95" i="3"/>
  <c r="R97" i="3"/>
  <c r="S99" i="3"/>
  <c r="S101" i="3"/>
  <c r="Q103" i="3"/>
  <c r="J105" i="3"/>
  <c r="M106" i="3"/>
  <c r="P107" i="3"/>
  <c r="S108" i="3"/>
  <c r="V109" i="3"/>
  <c r="L111" i="3"/>
  <c r="O112" i="3"/>
  <c r="R113" i="3"/>
  <c r="U114" i="3"/>
  <c r="K116" i="3"/>
  <c r="N117" i="3"/>
  <c r="Q118" i="3"/>
  <c r="T119" i="3"/>
  <c r="J121" i="3"/>
  <c r="M122" i="3"/>
  <c r="P123" i="3"/>
  <c r="S124" i="3"/>
  <c r="V125" i="3"/>
  <c r="L127" i="3"/>
  <c r="O128" i="3"/>
  <c r="R129" i="3"/>
  <c r="U130" i="3"/>
  <c r="V131" i="3"/>
  <c r="U132" i="3"/>
  <c r="V133" i="3"/>
  <c r="T134" i="3"/>
  <c r="R135" i="3"/>
  <c r="P136" i="3"/>
  <c r="M137" i="3"/>
  <c r="K138" i="3"/>
  <c r="V138" i="3"/>
  <c r="S139" i="3"/>
  <c r="Q140" i="3"/>
  <c r="O141" i="3"/>
  <c r="L142" i="3"/>
  <c r="J143" i="3"/>
  <c r="U143" i="3"/>
  <c r="R144" i="3"/>
  <c r="P145" i="3"/>
  <c r="N146" i="3"/>
  <c r="K147" i="3"/>
  <c r="V147" i="3"/>
  <c r="T148" i="3"/>
  <c r="Q149" i="3"/>
  <c r="O150" i="3"/>
  <c r="M151" i="3"/>
  <c r="J152" i="3"/>
  <c r="U152" i="3"/>
  <c r="S153" i="3"/>
  <c r="P154" i="3"/>
  <c r="N155" i="3"/>
  <c r="L156" i="3"/>
  <c r="V156" i="3"/>
  <c r="T157" i="3"/>
  <c r="R158" i="3"/>
  <c r="O159" i="3"/>
  <c r="L160" i="3"/>
  <c r="U160" i="3"/>
  <c r="Q161" i="3"/>
  <c r="M162" i="3"/>
  <c r="V162" i="3"/>
  <c r="R163" i="3"/>
  <c r="N164" i="3"/>
  <c r="K165" i="3"/>
  <c r="T165" i="3"/>
  <c r="P166" i="3"/>
  <c r="L167" i="3"/>
  <c r="U167" i="3"/>
  <c r="Q168" i="3"/>
  <c r="M169" i="3"/>
  <c r="J170" i="3"/>
  <c r="S170" i="3"/>
  <c r="O171" i="3"/>
  <c r="K172" i="3"/>
  <c r="T172" i="3"/>
  <c r="P173" i="3"/>
  <c r="L174" i="3"/>
  <c r="V174" i="3"/>
  <c r="R175" i="3"/>
  <c r="M176" i="3"/>
  <c r="U176" i="3"/>
  <c r="P177" i="3"/>
  <c r="K178" i="3"/>
  <c r="S178" i="3"/>
  <c r="N179" i="3"/>
  <c r="V179" i="3"/>
  <c r="Q180" i="3"/>
  <c r="L181" i="3"/>
  <c r="T181" i="3"/>
  <c r="O182" i="3"/>
  <c r="J183" i="3"/>
  <c r="R183" i="3"/>
  <c r="M184" i="3"/>
  <c r="U184" i="3"/>
  <c r="P185" i="3"/>
  <c r="K186" i="3"/>
  <c r="S186" i="3"/>
  <c r="N187" i="3"/>
  <c r="V187" i="3"/>
  <c r="Q188" i="3"/>
  <c r="L189" i="3"/>
  <c r="T189" i="3"/>
  <c r="O190" i="3"/>
  <c r="J191" i="3"/>
  <c r="R191" i="3"/>
  <c r="M192" i="3"/>
  <c r="U192" i="3"/>
  <c r="P193" i="3"/>
  <c r="K194" i="3"/>
  <c r="S194" i="3"/>
  <c r="N195" i="3"/>
  <c r="V195" i="3"/>
  <c r="Q196" i="3"/>
  <c r="L197" i="3"/>
  <c r="T197" i="3"/>
  <c r="O198" i="3"/>
  <c r="J199" i="3"/>
  <c r="R199" i="3"/>
  <c r="M200" i="3"/>
  <c r="U200" i="3"/>
  <c r="P201" i="3"/>
  <c r="K202" i="3"/>
  <c r="S202" i="3"/>
  <c r="N203" i="3"/>
  <c r="V203" i="3"/>
  <c r="Q204" i="3"/>
  <c r="L205" i="3"/>
  <c r="T205" i="3"/>
  <c r="O206" i="3"/>
  <c r="J207" i="3"/>
  <c r="V16" i="3"/>
  <c r="U26" i="3"/>
  <c r="V37" i="3"/>
  <c r="V46" i="3"/>
  <c r="M55" i="3"/>
  <c r="P63" i="3"/>
  <c r="T67" i="3"/>
  <c r="J72" i="3"/>
  <c r="R76" i="3"/>
  <c r="V80" i="3"/>
  <c r="L85" i="3"/>
  <c r="R89" i="3"/>
  <c r="U92" i="3"/>
  <c r="N95" i="3"/>
  <c r="T97" i="3"/>
  <c r="U99" i="3"/>
  <c r="U101" i="3"/>
  <c r="S103" i="3"/>
  <c r="K105" i="3"/>
  <c r="N106" i="3"/>
  <c r="Q107" i="3"/>
  <c r="T108" i="3"/>
  <c r="J110" i="3"/>
  <c r="M111" i="3"/>
  <c r="P112" i="3"/>
  <c r="S113" i="3"/>
  <c r="V114" i="3"/>
  <c r="L116" i="3"/>
  <c r="O117" i="3"/>
  <c r="R118" i="3"/>
  <c r="U119" i="3"/>
  <c r="K121" i="3"/>
  <c r="N122" i="3"/>
  <c r="Q123" i="3"/>
  <c r="T124" i="3"/>
  <c r="J126" i="3"/>
  <c r="M127" i="3"/>
  <c r="P128" i="3"/>
  <c r="S129" i="3"/>
  <c r="V130" i="3"/>
  <c r="K132" i="3"/>
  <c r="V132" i="3"/>
  <c r="J134" i="3"/>
  <c r="V134" i="3"/>
  <c r="T135" i="3"/>
  <c r="Q136" i="3"/>
  <c r="O137" i="3"/>
  <c r="M138" i="3"/>
  <c r="J139" i="3"/>
  <c r="U139" i="3"/>
  <c r="S140" i="3"/>
  <c r="P141" i="3"/>
  <c r="N142" i="3"/>
  <c r="L143" i="3"/>
  <c r="V143" i="3"/>
  <c r="T144" i="3"/>
  <c r="R145" i="3"/>
  <c r="O146" i="3"/>
  <c r="M147" i="3"/>
  <c r="K148" i="3"/>
  <c r="U148" i="3"/>
  <c r="S149" i="3"/>
  <c r="Q150" i="3"/>
  <c r="N151" i="3"/>
  <c r="L152" i="3"/>
  <c r="J153" i="3"/>
  <c r="T153" i="3"/>
  <c r="R154" i="3"/>
  <c r="P155" i="3"/>
  <c r="M156" i="3"/>
  <c r="K157" i="3"/>
  <c r="V157" i="3"/>
  <c r="S158" i="3"/>
  <c r="Q159" i="3"/>
  <c r="M160" i="3"/>
  <c r="V160" i="3"/>
  <c r="R161" i="3"/>
  <c r="N162" i="3"/>
  <c r="J163" i="3"/>
  <c r="S163" i="3"/>
  <c r="P164" i="3"/>
  <c r="L165" i="3"/>
  <c r="U165" i="3"/>
  <c r="Q166" i="3"/>
  <c r="M167" i="3"/>
  <c r="V167" i="3"/>
  <c r="J17" i="3"/>
  <c r="K28" i="3"/>
  <c r="N38" i="3"/>
  <c r="L47" i="3"/>
  <c r="O56" i="3"/>
  <c r="S63" i="3"/>
  <c r="V67" i="3"/>
  <c r="P72" i="3"/>
  <c r="T76" i="3"/>
  <c r="J81" i="3"/>
  <c r="R85" i="3"/>
  <c r="T89" i="3"/>
  <c r="V92" i="3"/>
  <c r="O95" i="3"/>
  <c r="U97" i="3"/>
  <c r="J100" i="3"/>
  <c r="V101" i="3"/>
  <c r="T103" i="3"/>
  <c r="L105" i="3"/>
  <c r="O106" i="3"/>
  <c r="R107" i="3"/>
  <c r="U108" i="3"/>
  <c r="K110" i="3"/>
  <c r="N111" i="3"/>
  <c r="Q112" i="3"/>
  <c r="T113" i="3"/>
  <c r="J115" i="3"/>
  <c r="M116" i="3"/>
  <c r="P117" i="3"/>
  <c r="S118" i="3"/>
  <c r="V119" i="3"/>
  <c r="L121" i="3"/>
  <c r="O122" i="3"/>
  <c r="R123" i="3"/>
  <c r="U124" i="3"/>
  <c r="K126" i="3"/>
  <c r="N127" i="3"/>
  <c r="Q128" i="3"/>
  <c r="T129" i="3"/>
  <c r="J131" i="3"/>
  <c r="L132" i="3"/>
  <c r="L133" i="3"/>
  <c r="K134" i="3"/>
  <c r="J135" i="3"/>
  <c r="U135" i="3"/>
  <c r="R136" i="3"/>
  <c r="P137" i="3"/>
  <c r="N138" i="3"/>
  <c r="K139" i="3"/>
  <c r="V139" i="3"/>
  <c r="T140" i="3"/>
  <c r="Q141" i="3"/>
  <c r="O142" i="3"/>
  <c r="M143" i="3"/>
  <c r="J144" i="3"/>
  <c r="U144" i="3"/>
  <c r="S145" i="3"/>
  <c r="P146" i="3"/>
  <c r="N147" i="3"/>
  <c r="L148" i="3"/>
  <c r="V148" i="3"/>
  <c r="T149" i="3"/>
  <c r="R150" i="3"/>
  <c r="O151" i="3"/>
  <c r="M152" i="3"/>
  <c r="K153" i="3"/>
  <c r="U153" i="3"/>
  <c r="S154" i="3"/>
  <c r="Q155" i="3"/>
  <c r="N156" i="3"/>
  <c r="L157" i="3"/>
  <c r="J158" i="3"/>
  <c r="T158" i="3"/>
  <c r="R159" i="3"/>
  <c r="N160" i="3"/>
  <c r="J161" i="3"/>
  <c r="S161" i="3"/>
  <c r="O162" i="3"/>
  <c r="K163" i="3"/>
  <c r="U163" i="3"/>
  <c r="Q164" i="3"/>
  <c r="M165" i="3"/>
  <c r="V165" i="3"/>
  <c r="R166" i="3"/>
  <c r="N167" i="3"/>
  <c r="M18" i="3"/>
  <c r="P28" i="3"/>
  <c r="R38" i="3"/>
  <c r="L48" i="3"/>
  <c r="T56" i="3"/>
  <c r="T63" i="3"/>
  <c r="O68" i="3"/>
  <c r="S72" i="3"/>
  <c r="V76" i="3"/>
  <c r="Q81" i="3"/>
  <c r="U85" i="3"/>
  <c r="U89" i="3"/>
  <c r="M93" i="3"/>
  <c r="S95" i="3"/>
  <c r="L98" i="3"/>
  <c r="K100" i="3"/>
  <c r="K102" i="3"/>
  <c r="U103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K131" i="3"/>
  <c r="M132" i="3"/>
  <c r="N133" i="3"/>
  <c r="L134" i="3"/>
  <c r="L135" i="3"/>
  <c r="V135" i="3"/>
  <c r="T136" i="3"/>
  <c r="R137" i="3"/>
  <c r="O138" i="3"/>
  <c r="M139" i="3"/>
  <c r="K140" i="3"/>
  <c r="U140" i="3"/>
  <c r="S141" i="3"/>
  <c r="Q142" i="3"/>
  <c r="N143" i="3"/>
  <c r="L144" i="3"/>
  <c r="J145" i="3"/>
  <c r="T145" i="3"/>
  <c r="R146" i="3"/>
  <c r="P147" i="3"/>
  <c r="M148" i="3"/>
  <c r="K149" i="3"/>
  <c r="V149" i="3"/>
  <c r="S150" i="3"/>
  <c r="Q151" i="3"/>
  <c r="O152" i="3"/>
  <c r="L153" i="3"/>
  <c r="J154" i="3"/>
  <c r="U154" i="3"/>
  <c r="R155" i="3"/>
  <c r="P156" i="3"/>
  <c r="N157" i="3"/>
  <c r="K158" i="3"/>
  <c r="V158" i="3"/>
  <c r="S159" i="3"/>
  <c r="O160" i="3"/>
  <c r="K161" i="3"/>
  <c r="T161" i="3"/>
  <c r="P162" i="3"/>
  <c r="M163" i="3"/>
  <c r="V163" i="3"/>
  <c r="R164" i="3"/>
  <c r="N165" i="3"/>
  <c r="J166" i="3"/>
  <c r="S166" i="3"/>
  <c r="O167" i="3"/>
  <c r="L168" i="3"/>
  <c r="U168" i="3"/>
  <c r="Q169" i="3"/>
  <c r="M170" i="3"/>
  <c r="V170" i="3"/>
  <c r="R171" i="3"/>
  <c r="N172" i="3"/>
  <c r="K173" i="3"/>
  <c r="T173" i="3"/>
  <c r="P174" i="3"/>
  <c r="L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T20" i="3"/>
  <c r="J42" i="3"/>
  <c r="Q59" i="3"/>
  <c r="Q69" i="3"/>
  <c r="P78" i="3"/>
  <c r="M87" i="3"/>
  <c r="V93" i="3"/>
  <c r="T98" i="3"/>
  <c r="S102" i="3"/>
  <c r="R105" i="3"/>
  <c r="K108" i="3"/>
  <c r="Q110" i="3"/>
  <c r="J113" i="3"/>
  <c r="P115" i="3"/>
  <c r="V117" i="3"/>
  <c r="O120" i="3"/>
  <c r="U122" i="3"/>
  <c r="N125" i="3"/>
  <c r="T127" i="3"/>
  <c r="M130" i="3"/>
  <c r="N132" i="3"/>
  <c r="O134" i="3"/>
  <c r="J136" i="3"/>
  <c r="S137" i="3"/>
  <c r="N139" i="3"/>
  <c r="V140" i="3"/>
  <c r="R142" i="3"/>
  <c r="M144" i="3"/>
  <c r="U145" i="3"/>
  <c r="Q147" i="3"/>
  <c r="L149" i="3"/>
  <c r="T150" i="3"/>
  <c r="P152" i="3"/>
  <c r="K154" i="3"/>
  <c r="S155" i="3"/>
  <c r="O157" i="3"/>
  <c r="J159" i="3"/>
  <c r="P160" i="3"/>
  <c r="U161" i="3"/>
  <c r="N163" i="3"/>
  <c r="S164" i="3"/>
  <c r="K166" i="3"/>
  <c r="Q167" i="3"/>
  <c r="P168" i="3"/>
  <c r="P169" i="3"/>
  <c r="O170" i="3"/>
  <c r="N171" i="3"/>
  <c r="M172" i="3"/>
  <c r="M173" i="3"/>
  <c r="K174" i="3"/>
  <c r="K175" i="3"/>
  <c r="J176" i="3"/>
  <c r="T176" i="3"/>
  <c r="R177" i="3"/>
  <c r="P178" i="3"/>
  <c r="M179" i="3"/>
  <c r="K180" i="3"/>
  <c r="V180" i="3"/>
  <c r="S181" i="3"/>
  <c r="Q182" i="3"/>
  <c r="O183" i="3"/>
  <c r="L184" i="3"/>
  <c r="J185" i="3"/>
  <c r="U185" i="3"/>
  <c r="Q186" i="3"/>
  <c r="M187" i="3"/>
  <c r="J188" i="3"/>
  <c r="S188" i="3"/>
  <c r="O189" i="3"/>
  <c r="K190" i="3"/>
  <c r="T190" i="3"/>
  <c r="P191" i="3"/>
  <c r="L192" i="3"/>
  <c r="V192" i="3"/>
  <c r="R193" i="3"/>
  <c r="N194" i="3"/>
  <c r="J195" i="3"/>
  <c r="S195" i="3"/>
  <c r="O196" i="3"/>
  <c r="K197" i="3"/>
  <c r="U197" i="3"/>
  <c r="Q198" i="3"/>
  <c r="M199" i="3"/>
  <c r="V199" i="3"/>
  <c r="R200" i="3"/>
  <c r="N201" i="3"/>
  <c r="J202" i="3"/>
  <c r="T202" i="3"/>
  <c r="P203" i="3"/>
  <c r="L204" i="3"/>
  <c r="U204" i="3"/>
  <c r="Q205" i="3"/>
  <c r="M206" i="3"/>
  <c r="V206" i="3"/>
  <c r="R207" i="3"/>
  <c r="M208" i="3"/>
  <c r="U208" i="3"/>
  <c r="P209" i="3"/>
  <c r="K210" i="3"/>
  <c r="S210" i="3"/>
  <c r="N211" i="3"/>
  <c r="V211" i="3"/>
  <c r="Q212" i="3"/>
  <c r="L213" i="3"/>
  <c r="T213" i="3"/>
  <c r="O214" i="3"/>
  <c r="J215" i="3"/>
  <c r="R215" i="3"/>
  <c r="M216" i="3"/>
  <c r="U216" i="3"/>
  <c r="P217" i="3"/>
  <c r="K218" i="3"/>
  <c r="S218" i="3"/>
  <c r="N219" i="3"/>
  <c r="V219" i="3"/>
  <c r="Q220" i="3"/>
  <c r="L221" i="3"/>
  <c r="T221" i="3"/>
  <c r="O222" i="3"/>
  <c r="J223" i="3"/>
  <c r="R223" i="3"/>
  <c r="M224" i="3"/>
  <c r="U224" i="3"/>
  <c r="P225" i="3"/>
  <c r="K226" i="3"/>
  <c r="S226" i="3"/>
  <c r="N227" i="3"/>
  <c r="V227" i="3"/>
  <c r="Q228" i="3"/>
  <c r="L229" i="3"/>
  <c r="T229" i="3"/>
  <c r="O230" i="3"/>
  <c r="J231" i="3"/>
  <c r="R231" i="3"/>
  <c r="M232" i="3"/>
  <c r="U232" i="3"/>
  <c r="P233" i="3"/>
  <c r="K234" i="3"/>
  <c r="S234" i="3"/>
  <c r="N235" i="3"/>
  <c r="V235" i="3"/>
  <c r="Q236" i="3"/>
  <c r="L237" i="3"/>
  <c r="T237" i="3"/>
  <c r="O238" i="3"/>
  <c r="J239" i="3"/>
  <c r="R239" i="3"/>
  <c r="M240" i="3"/>
  <c r="U240" i="3"/>
  <c r="P241" i="3"/>
  <c r="K242" i="3"/>
  <c r="S242" i="3"/>
  <c r="N243" i="3"/>
  <c r="V243" i="3"/>
  <c r="Q244" i="3"/>
  <c r="L245" i="3"/>
  <c r="T245" i="3"/>
  <c r="O246" i="3"/>
  <c r="J247" i="3"/>
  <c r="R247" i="3"/>
  <c r="M248" i="3"/>
  <c r="U248" i="3"/>
  <c r="P249" i="3"/>
  <c r="K250" i="3"/>
  <c r="S250" i="3"/>
  <c r="N251" i="3"/>
  <c r="V251" i="3"/>
  <c r="Q252" i="3"/>
  <c r="L253" i="3"/>
  <c r="T253" i="3"/>
  <c r="J22" i="3"/>
  <c r="M42" i="3"/>
  <c r="K60" i="3"/>
  <c r="J70" i="3"/>
  <c r="Q78" i="3"/>
  <c r="P87" i="3"/>
  <c r="K94" i="3"/>
  <c r="U98" i="3"/>
  <c r="T102" i="3"/>
  <c r="S105" i="3"/>
  <c r="L108" i="3"/>
  <c r="R110" i="3"/>
  <c r="K113" i="3"/>
  <c r="Q115" i="3"/>
  <c r="J118" i="3"/>
  <c r="P120" i="3"/>
  <c r="V122" i="3"/>
  <c r="O125" i="3"/>
  <c r="U127" i="3"/>
  <c r="N130" i="3"/>
  <c r="Q132" i="3"/>
  <c r="Q134" i="3"/>
  <c r="L136" i="3"/>
  <c r="T137" i="3"/>
  <c r="P139" i="3"/>
  <c r="K141" i="3"/>
  <c r="S142" i="3"/>
  <c r="O144" i="3"/>
  <c r="J146" i="3"/>
  <c r="R147" i="3"/>
  <c r="N149" i="3"/>
  <c r="V150" i="3"/>
  <c r="Q152" i="3"/>
  <c r="M154" i="3"/>
  <c r="U155" i="3"/>
  <c r="P157" i="3"/>
  <c r="L159" i="3"/>
  <c r="Q160" i="3"/>
  <c r="J162" i="3"/>
  <c r="O163" i="3"/>
  <c r="T164" i="3"/>
  <c r="L166" i="3"/>
  <c r="R167" i="3"/>
  <c r="R168" i="3"/>
  <c r="R169" i="3"/>
  <c r="P170" i="3"/>
  <c r="P171" i="3"/>
  <c r="P172" i="3"/>
  <c r="N173" i="3"/>
  <c r="N174" i="3"/>
  <c r="M175" i="3"/>
  <c r="K176" i="3"/>
  <c r="V176" i="3"/>
  <c r="T177" i="3"/>
  <c r="Q178" i="3"/>
  <c r="O179" i="3"/>
  <c r="M180" i="3"/>
  <c r="J181" i="3"/>
  <c r="U181" i="3"/>
  <c r="S182" i="3"/>
  <c r="P183" i="3"/>
  <c r="N184" i="3"/>
  <c r="L185" i="3"/>
  <c r="V185" i="3"/>
  <c r="R186" i="3"/>
  <c r="O187" i="3"/>
  <c r="K188" i="3"/>
  <c r="T188" i="3"/>
  <c r="P189" i="3"/>
  <c r="L190" i="3"/>
  <c r="U190" i="3"/>
  <c r="Q191" i="3"/>
  <c r="N192" i="3"/>
  <c r="J193" i="3"/>
  <c r="S193" i="3"/>
  <c r="O194" i="3"/>
  <c r="K195" i="3"/>
  <c r="T195" i="3"/>
  <c r="P196" i="3"/>
  <c r="M197" i="3"/>
  <c r="V197" i="3"/>
  <c r="R198" i="3"/>
  <c r="N199" i="3"/>
  <c r="J200" i="3"/>
  <c r="S200" i="3"/>
  <c r="O201" i="3"/>
  <c r="L202" i="3"/>
  <c r="U202" i="3"/>
  <c r="Q203" i="3"/>
  <c r="M204" i="3"/>
  <c r="V204" i="3"/>
  <c r="R205" i="3"/>
  <c r="R22" i="3"/>
  <c r="M43" i="3"/>
  <c r="L60" i="3"/>
  <c r="M70" i="3"/>
  <c r="K79" i="3"/>
  <c r="R87" i="3"/>
  <c r="L94" i="3"/>
  <c r="J99" i="3"/>
  <c r="V102" i="3"/>
  <c r="T105" i="3"/>
  <c r="M108" i="3"/>
  <c r="S110" i="3"/>
  <c r="L113" i="3"/>
  <c r="R115" i="3"/>
  <c r="K118" i="3"/>
  <c r="Q120" i="3"/>
  <c r="J123" i="3"/>
  <c r="P125" i="3"/>
  <c r="V127" i="3"/>
  <c r="O130" i="3"/>
  <c r="S132" i="3"/>
  <c r="R134" i="3"/>
  <c r="M136" i="3"/>
  <c r="U137" i="3"/>
  <c r="Q139" i="3"/>
  <c r="L141" i="3"/>
  <c r="T142" i="3"/>
  <c r="P144" i="3"/>
  <c r="K146" i="3"/>
  <c r="S147" i="3"/>
  <c r="O149" i="3"/>
  <c r="J151" i="3"/>
  <c r="R152" i="3"/>
  <c r="N154" i="3"/>
  <c r="V155" i="3"/>
  <c r="Q157" i="3"/>
  <c r="M159" i="3"/>
  <c r="R160" i="3"/>
  <c r="K162" i="3"/>
  <c r="P163" i="3"/>
  <c r="U164" i="3"/>
  <c r="N166" i="3"/>
  <c r="S167" i="3"/>
  <c r="T168" i="3"/>
  <c r="S169" i="3"/>
  <c r="R170" i="3"/>
  <c r="Q171" i="3"/>
  <c r="Q172" i="3"/>
  <c r="O173" i="3"/>
  <c r="O174" i="3"/>
  <c r="N175" i="3"/>
  <c r="L176" i="3"/>
  <c r="J177" i="3"/>
  <c r="U177" i="3"/>
  <c r="R178" i="3"/>
  <c r="P179" i="3"/>
  <c r="N180" i="3"/>
  <c r="K181" i="3"/>
  <c r="V181" i="3"/>
  <c r="T182" i="3"/>
  <c r="Q183" i="3"/>
  <c r="O184" i="3"/>
  <c r="M185" i="3"/>
  <c r="J186" i="3"/>
  <c r="T186" i="3"/>
  <c r="P187" i="3"/>
  <c r="L188" i="3"/>
  <c r="U188" i="3"/>
  <c r="Q189" i="3"/>
  <c r="M190" i="3"/>
  <c r="V190" i="3"/>
  <c r="S191" i="3"/>
  <c r="O192" i="3"/>
  <c r="K193" i="3"/>
  <c r="T193" i="3"/>
  <c r="P194" i="3"/>
  <c r="L195" i="3"/>
  <c r="U195" i="3"/>
  <c r="R196" i="3"/>
  <c r="N197" i="3"/>
  <c r="J198" i="3"/>
  <c r="S198" i="3"/>
  <c r="O199" i="3"/>
  <c r="K200" i="3"/>
  <c r="T200" i="3"/>
  <c r="Q201" i="3"/>
  <c r="M202" i="3"/>
  <c r="V202" i="3"/>
  <c r="R203" i="3"/>
  <c r="N204" i="3"/>
  <c r="J205" i="3"/>
  <c r="S205" i="3"/>
  <c r="K23" i="3"/>
  <c r="Q43" i="3"/>
  <c r="M61" i="3"/>
  <c r="O70" i="3"/>
  <c r="M79" i="3"/>
  <c r="K88" i="3"/>
  <c r="P94" i="3"/>
  <c r="K99" i="3"/>
  <c r="K103" i="3"/>
  <c r="U105" i="3"/>
  <c r="N108" i="3"/>
  <c r="T110" i="3"/>
  <c r="M113" i="3"/>
  <c r="S115" i="3"/>
  <c r="L118" i="3"/>
  <c r="R120" i="3"/>
  <c r="K123" i="3"/>
  <c r="Q125" i="3"/>
  <c r="J128" i="3"/>
  <c r="P130" i="3"/>
  <c r="T132" i="3"/>
  <c r="S134" i="3"/>
  <c r="O136" i="3"/>
  <c r="J138" i="3"/>
  <c r="R139" i="3"/>
  <c r="N141" i="3"/>
  <c r="V142" i="3"/>
  <c r="Q144" i="3"/>
  <c r="M146" i="3"/>
  <c r="U147" i="3"/>
  <c r="P149" i="3"/>
  <c r="L151" i="3"/>
  <c r="T152" i="3"/>
  <c r="O154" i="3"/>
  <c r="K156" i="3"/>
  <c r="S157" i="3"/>
  <c r="N159" i="3"/>
  <c r="T160" i="3"/>
  <c r="L162" i="3"/>
  <c r="Q163" i="3"/>
  <c r="V164" i="3"/>
  <c r="O166" i="3"/>
  <c r="T167" i="3"/>
  <c r="V168" i="3"/>
  <c r="T169" i="3"/>
  <c r="T170" i="3"/>
  <c r="S171" i="3"/>
  <c r="R172" i="3"/>
  <c r="Q173" i="3"/>
  <c r="Q174" i="3"/>
  <c r="O175" i="3"/>
  <c r="N176" i="3"/>
  <c r="L177" i="3"/>
  <c r="V177" i="3"/>
  <c r="T178" i="3"/>
  <c r="R179" i="3"/>
  <c r="O180" i="3"/>
  <c r="M181" i="3"/>
  <c r="K182" i="3"/>
  <c r="U182" i="3"/>
  <c r="S183" i="3"/>
  <c r="Q184" i="3"/>
  <c r="N185" i="3"/>
  <c r="L186" i="3"/>
  <c r="U186" i="3"/>
  <c r="Q187" i="3"/>
  <c r="M188" i="3"/>
  <c r="V188" i="3"/>
  <c r="R189" i="3"/>
  <c r="N190" i="3"/>
  <c r="K191" i="3"/>
  <c r="T191" i="3"/>
  <c r="P192" i="3"/>
  <c r="L193" i="3"/>
  <c r="U193" i="3"/>
  <c r="Q194" i="3"/>
  <c r="M195" i="3"/>
  <c r="J196" i="3"/>
  <c r="S196" i="3"/>
  <c r="O197" i="3"/>
  <c r="K198" i="3"/>
  <c r="T198" i="3"/>
  <c r="P199" i="3"/>
  <c r="L200" i="3"/>
  <c r="V200" i="3"/>
  <c r="R201" i="3"/>
  <c r="N202" i="3"/>
  <c r="J203" i="3"/>
  <c r="S203" i="3"/>
  <c r="O204" i="3"/>
  <c r="K205" i="3"/>
  <c r="U205" i="3"/>
  <c r="Q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U31" i="3"/>
  <c r="N65" i="3"/>
  <c r="S82" i="3"/>
  <c r="O96" i="3"/>
  <c r="N104" i="3"/>
  <c r="N109" i="3"/>
  <c r="M114" i="3"/>
  <c r="L119" i="3"/>
  <c r="K124" i="3"/>
  <c r="J129" i="3"/>
  <c r="O133" i="3"/>
  <c r="U136" i="3"/>
  <c r="L140" i="3"/>
  <c r="O143" i="3"/>
  <c r="S146" i="3"/>
  <c r="J150" i="3"/>
  <c r="M153" i="3"/>
  <c r="Q156" i="3"/>
  <c r="T159" i="3"/>
  <c r="R162" i="3"/>
  <c r="O165" i="3"/>
  <c r="J168" i="3"/>
  <c r="U169" i="3"/>
  <c r="U171" i="3"/>
  <c r="S173" i="3"/>
  <c r="Q175" i="3"/>
  <c r="M177" i="3"/>
  <c r="U178" i="3"/>
  <c r="P180" i="3"/>
  <c r="L182" i="3"/>
  <c r="T183" i="3"/>
  <c r="O185" i="3"/>
  <c r="V186" i="3"/>
  <c r="N188" i="3"/>
  <c r="S189" i="3"/>
  <c r="L191" i="3"/>
  <c r="Q192" i="3"/>
  <c r="V193" i="3"/>
  <c r="O195" i="3"/>
  <c r="T196" i="3"/>
  <c r="L198" i="3"/>
  <c r="Q199" i="3"/>
  <c r="J201" i="3"/>
  <c r="O202" i="3"/>
  <c r="T203" i="3"/>
  <c r="M205" i="3"/>
  <c r="N206" i="3"/>
  <c r="N207" i="3"/>
  <c r="K208" i="3"/>
  <c r="V208" i="3"/>
  <c r="T209" i="3"/>
  <c r="Q210" i="3"/>
  <c r="O211" i="3"/>
  <c r="M212" i="3"/>
  <c r="J213" i="3"/>
  <c r="U213" i="3"/>
  <c r="S214" i="3"/>
  <c r="P215" i="3"/>
  <c r="N216" i="3"/>
  <c r="L217" i="3"/>
  <c r="V217" i="3"/>
  <c r="T218" i="3"/>
  <c r="R219" i="3"/>
  <c r="O220" i="3"/>
  <c r="M221" i="3"/>
  <c r="K222" i="3"/>
  <c r="T222" i="3"/>
  <c r="P223" i="3"/>
  <c r="L224" i="3"/>
  <c r="V224" i="3"/>
  <c r="R225" i="3"/>
  <c r="N226" i="3"/>
  <c r="J227" i="3"/>
  <c r="S227" i="3"/>
  <c r="O228" i="3"/>
  <c r="K229" i="3"/>
  <c r="U229" i="3"/>
  <c r="Q230" i="3"/>
  <c r="M231" i="3"/>
  <c r="V231" i="3"/>
  <c r="R232" i="3"/>
  <c r="N233" i="3"/>
  <c r="J234" i="3"/>
  <c r="T234" i="3"/>
  <c r="P235" i="3"/>
  <c r="L236" i="3"/>
  <c r="U236" i="3"/>
  <c r="Q237" i="3"/>
  <c r="M238" i="3"/>
  <c r="V238" i="3"/>
  <c r="S239" i="3"/>
  <c r="O240" i="3"/>
  <c r="K241" i="3"/>
  <c r="T241" i="3"/>
  <c r="P242" i="3"/>
  <c r="L243" i="3"/>
  <c r="U243" i="3"/>
  <c r="R244" i="3"/>
  <c r="N245" i="3"/>
  <c r="J246" i="3"/>
  <c r="S246" i="3"/>
  <c r="O247" i="3"/>
  <c r="K248" i="3"/>
  <c r="T248" i="3"/>
  <c r="Q249" i="3"/>
  <c r="M250" i="3"/>
  <c r="V250" i="3"/>
  <c r="R251" i="3"/>
  <c r="N252" i="3"/>
  <c r="J253" i="3"/>
  <c r="S253" i="3"/>
  <c r="O254" i="3"/>
  <c r="J255" i="3"/>
  <c r="R255" i="3"/>
  <c r="M256" i="3"/>
  <c r="U256" i="3"/>
  <c r="P257" i="3"/>
  <c r="K258" i="3"/>
  <c r="S258" i="3"/>
  <c r="N259" i="3"/>
  <c r="V259" i="3"/>
  <c r="Q260" i="3"/>
  <c r="L261" i="3"/>
  <c r="T261" i="3"/>
  <c r="O262" i="3"/>
  <c r="J263" i="3"/>
  <c r="R263" i="3"/>
  <c r="M264" i="3"/>
  <c r="U264" i="3"/>
  <c r="P265" i="3"/>
  <c r="K266" i="3"/>
  <c r="S266" i="3"/>
  <c r="N267" i="3"/>
  <c r="V267" i="3"/>
  <c r="Q268" i="3"/>
  <c r="L269" i="3"/>
  <c r="T269" i="3"/>
  <c r="O270" i="3"/>
  <c r="J271" i="3"/>
  <c r="R271" i="3"/>
  <c r="M272" i="3"/>
  <c r="U272" i="3"/>
  <c r="P273" i="3"/>
  <c r="K274" i="3"/>
  <c r="S274" i="3"/>
  <c r="N275" i="3"/>
  <c r="V275" i="3"/>
  <c r="Q276" i="3"/>
  <c r="L277" i="3"/>
  <c r="T277" i="3"/>
  <c r="O278" i="3"/>
  <c r="J279" i="3"/>
  <c r="R279" i="3"/>
  <c r="M280" i="3"/>
  <c r="U280" i="3"/>
  <c r="P281" i="3"/>
  <c r="K282" i="3"/>
  <c r="S282" i="3"/>
  <c r="N283" i="3"/>
  <c r="V283" i="3"/>
  <c r="Q284" i="3"/>
  <c r="L285" i="3"/>
  <c r="T285" i="3"/>
  <c r="O286" i="3"/>
  <c r="J287" i="3"/>
  <c r="R287" i="3"/>
  <c r="M288" i="3"/>
  <c r="U288" i="3"/>
  <c r="P289" i="3"/>
  <c r="K290" i="3"/>
  <c r="S290" i="3"/>
  <c r="N291" i="3"/>
  <c r="V291" i="3"/>
  <c r="Q292" i="3"/>
  <c r="L293" i="3"/>
  <c r="T293" i="3"/>
  <c r="O294" i="3"/>
  <c r="J295" i="3"/>
  <c r="R295" i="3"/>
  <c r="M296" i="3"/>
  <c r="U296" i="3"/>
  <c r="P297" i="3"/>
  <c r="K298" i="3"/>
  <c r="S298" i="3"/>
  <c r="N299" i="3"/>
  <c r="V299" i="3"/>
  <c r="Q300" i="3"/>
  <c r="L301" i="3"/>
  <c r="T301" i="3"/>
  <c r="O302" i="3"/>
  <c r="J303" i="3"/>
  <c r="P32" i="3"/>
  <c r="P65" i="3"/>
  <c r="L83" i="3"/>
  <c r="Q96" i="3"/>
  <c r="O104" i="3"/>
  <c r="O109" i="3"/>
  <c r="N114" i="3"/>
  <c r="M119" i="3"/>
  <c r="L124" i="3"/>
  <c r="K129" i="3"/>
  <c r="P133" i="3"/>
  <c r="J137" i="3"/>
  <c r="M140" i="3"/>
  <c r="Q143" i="3"/>
  <c r="U146" i="3"/>
  <c r="K150" i="3"/>
  <c r="O153" i="3"/>
  <c r="S156" i="3"/>
  <c r="U159" i="3"/>
  <c r="S162" i="3"/>
  <c r="P165" i="3"/>
  <c r="M168" i="3"/>
  <c r="K170" i="3"/>
  <c r="V171" i="3"/>
  <c r="U173" i="3"/>
  <c r="S175" i="3"/>
  <c r="N177" i="3"/>
  <c r="J179" i="3"/>
  <c r="R180" i="3"/>
  <c r="M182" i="3"/>
  <c r="V183" i="3"/>
  <c r="Q185" i="3"/>
  <c r="J187" i="3"/>
  <c r="O188" i="3"/>
  <c r="U189" i="3"/>
  <c r="M191" i="3"/>
  <c r="R192" i="3"/>
  <c r="J194" i="3"/>
  <c r="P195" i="3"/>
  <c r="U196" i="3"/>
  <c r="M198" i="3"/>
  <c r="S199" i="3"/>
  <c r="K201" i="3"/>
  <c r="P202" i="3"/>
  <c r="U203" i="3"/>
  <c r="N205" i="3"/>
  <c r="P206" i="3"/>
  <c r="O207" i="3"/>
  <c r="L208" i="3"/>
  <c r="J209" i="3"/>
  <c r="U209" i="3"/>
  <c r="R210" i="3"/>
  <c r="P211" i="3"/>
  <c r="N212" i="3"/>
  <c r="K213" i="3"/>
  <c r="V213" i="3"/>
  <c r="T214" i="3"/>
  <c r="Q215" i="3"/>
  <c r="O216" i="3"/>
  <c r="M217" i="3"/>
  <c r="J218" i="3"/>
  <c r="U218" i="3"/>
  <c r="S219" i="3"/>
  <c r="P220" i="3"/>
  <c r="N221" i="3"/>
  <c r="L222" i="3"/>
  <c r="U222" i="3"/>
  <c r="Q223" i="3"/>
  <c r="N224" i="3"/>
  <c r="J225" i="3"/>
  <c r="S225" i="3"/>
  <c r="O226" i="3"/>
  <c r="K227" i="3"/>
  <c r="T227" i="3"/>
  <c r="P228" i="3"/>
  <c r="M229" i="3"/>
  <c r="V229" i="3"/>
  <c r="R230" i="3"/>
  <c r="N231" i="3"/>
  <c r="J232" i="3"/>
  <c r="S232" i="3"/>
  <c r="O233" i="3"/>
  <c r="L234" i="3"/>
  <c r="U234" i="3"/>
  <c r="Q235" i="3"/>
  <c r="M236" i="3"/>
  <c r="V236" i="3"/>
  <c r="R237" i="3"/>
  <c r="N238" i="3"/>
  <c r="K239" i="3"/>
  <c r="T239" i="3"/>
  <c r="P240" i="3"/>
  <c r="L241" i="3"/>
  <c r="U241" i="3"/>
  <c r="Q242" i="3"/>
  <c r="M243" i="3"/>
  <c r="J244" i="3"/>
  <c r="S244" i="3"/>
  <c r="O245" i="3"/>
  <c r="K246" i="3"/>
  <c r="T246" i="3"/>
  <c r="P247" i="3"/>
  <c r="L248" i="3"/>
  <c r="V248" i="3"/>
  <c r="R249" i="3"/>
  <c r="N250" i="3"/>
  <c r="J251" i="3"/>
  <c r="S251" i="3"/>
  <c r="O252" i="3"/>
  <c r="K253" i="3"/>
  <c r="U253" i="3"/>
  <c r="P254" i="3"/>
  <c r="K255" i="3"/>
  <c r="S255" i="3"/>
  <c r="N256" i="3"/>
  <c r="V256" i="3"/>
  <c r="Q257" i="3"/>
  <c r="L258" i="3"/>
  <c r="T258" i="3"/>
  <c r="O259" i="3"/>
  <c r="J260" i="3"/>
  <c r="R260" i="3"/>
  <c r="M261" i="3"/>
  <c r="U261" i="3"/>
  <c r="P262" i="3"/>
  <c r="K263" i="3"/>
  <c r="S263" i="3"/>
  <c r="N264" i="3"/>
  <c r="V264" i="3"/>
  <c r="Q265" i="3"/>
  <c r="L266" i="3"/>
  <c r="T266" i="3"/>
  <c r="O267" i="3"/>
  <c r="J268" i="3"/>
  <c r="R268" i="3"/>
  <c r="M269" i="3"/>
  <c r="U269" i="3"/>
  <c r="P270" i="3"/>
  <c r="K271" i="3"/>
  <c r="S271" i="3"/>
  <c r="N272" i="3"/>
  <c r="V272" i="3"/>
  <c r="Q273" i="3"/>
  <c r="L274" i="3"/>
  <c r="T274" i="3"/>
  <c r="O275" i="3"/>
  <c r="J276" i="3"/>
  <c r="R276" i="3"/>
  <c r="M277" i="3"/>
  <c r="U277" i="3"/>
  <c r="P278" i="3"/>
  <c r="K279" i="3"/>
  <c r="S279" i="3"/>
  <c r="N280" i="3"/>
  <c r="V280" i="3"/>
  <c r="Q281" i="3"/>
  <c r="V32" i="3"/>
  <c r="V65" i="3"/>
  <c r="O83" i="3"/>
  <c r="R96" i="3"/>
  <c r="P104" i="3"/>
  <c r="P109" i="3"/>
  <c r="O114" i="3"/>
  <c r="N119" i="3"/>
  <c r="M124" i="3"/>
  <c r="L129" i="3"/>
  <c r="Q133" i="3"/>
  <c r="K137" i="3"/>
  <c r="N140" i="3"/>
  <c r="R143" i="3"/>
  <c r="V146" i="3"/>
  <c r="L150" i="3"/>
  <c r="P153" i="3"/>
  <c r="T156" i="3"/>
  <c r="V159" i="3"/>
  <c r="T162" i="3"/>
  <c r="Q165" i="3"/>
  <c r="N168" i="3"/>
  <c r="L170" i="3"/>
  <c r="J172" i="3"/>
  <c r="V173" i="3"/>
  <c r="T175" i="3"/>
  <c r="O177" i="3"/>
  <c r="K179" i="3"/>
  <c r="S180" i="3"/>
  <c r="N182" i="3"/>
  <c r="J184" i="3"/>
  <c r="R185" i="3"/>
  <c r="K187" i="3"/>
  <c r="P188" i="3"/>
  <c r="V189" i="3"/>
  <c r="N191" i="3"/>
  <c r="S192" i="3"/>
  <c r="L194" i="3"/>
  <c r="Q195" i="3"/>
  <c r="V196" i="3"/>
  <c r="N198" i="3"/>
  <c r="T199" i="3"/>
  <c r="L201" i="3"/>
  <c r="Q202" i="3"/>
  <c r="J204" i="3"/>
  <c r="O205" i="3"/>
  <c r="R206" i="3"/>
  <c r="P207" i="3"/>
  <c r="N208" i="3"/>
  <c r="L209" i="3"/>
  <c r="V209" i="3"/>
  <c r="T210" i="3"/>
  <c r="R211" i="3"/>
  <c r="O212" i="3"/>
  <c r="M213" i="3"/>
  <c r="K214" i="3"/>
  <c r="U214" i="3"/>
  <c r="S215" i="3"/>
  <c r="Q216" i="3"/>
  <c r="N217" i="3"/>
  <c r="L218" i="3"/>
  <c r="J219" i="3"/>
  <c r="T219" i="3"/>
  <c r="R220" i="3"/>
  <c r="P221" i="3"/>
  <c r="M222" i="3"/>
  <c r="V222" i="3"/>
  <c r="S223" i="3"/>
  <c r="O224" i="3"/>
  <c r="K225" i="3"/>
  <c r="T225" i="3"/>
  <c r="P226" i="3"/>
  <c r="L227" i="3"/>
  <c r="U227" i="3"/>
  <c r="R228" i="3"/>
  <c r="N229" i="3"/>
  <c r="J230" i="3"/>
  <c r="S230" i="3"/>
  <c r="O231" i="3"/>
  <c r="K232" i="3"/>
  <c r="T232" i="3"/>
  <c r="Q233" i="3"/>
  <c r="M234" i="3"/>
  <c r="V234" i="3"/>
  <c r="R235" i="3"/>
  <c r="N236" i="3"/>
  <c r="J237" i="3"/>
  <c r="S237" i="3"/>
  <c r="P238" i="3"/>
  <c r="L239" i="3"/>
  <c r="U239" i="3"/>
  <c r="Q240" i="3"/>
  <c r="M241" i="3"/>
  <c r="V241" i="3"/>
  <c r="R242" i="3"/>
  <c r="O243" i="3"/>
  <c r="K244" i="3"/>
  <c r="T244" i="3"/>
  <c r="P245" i="3"/>
  <c r="L246" i="3"/>
  <c r="U246" i="3"/>
  <c r="Q247" i="3"/>
  <c r="N248" i="3"/>
  <c r="J249" i="3"/>
  <c r="S249" i="3"/>
  <c r="O250" i="3"/>
  <c r="K251" i="3"/>
  <c r="T251" i="3"/>
  <c r="P252" i="3"/>
  <c r="M253" i="3"/>
  <c r="V253" i="3"/>
  <c r="Q254" i="3"/>
  <c r="L255" i="3"/>
  <c r="T255" i="3"/>
  <c r="O256" i="3"/>
  <c r="J257" i="3"/>
  <c r="R257" i="3"/>
  <c r="M258" i="3"/>
  <c r="U258" i="3"/>
  <c r="P259" i="3"/>
  <c r="K260" i="3"/>
  <c r="S260" i="3"/>
  <c r="N261" i="3"/>
  <c r="V261" i="3"/>
  <c r="Q262" i="3"/>
  <c r="L263" i="3"/>
  <c r="T263" i="3"/>
  <c r="O264" i="3"/>
  <c r="J265" i="3"/>
  <c r="R265" i="3"/>
  <c r="M266" i="3"/>
  <c r="U266" i="3"/>
  <c r="P267" i="3"/>
  <c r="K268" i="3"/>
  <c r="S268" i="3"/>
  <c r="N269" i="3"/>
  <c r="V269" i="3"/>
  <c r="Q270" i="3"/>
  <c r="L271" i="3"/>
  <c r="T271" i="3"/>
  <c r="O272" i="3"/>
  <c r="J273" i="3"/>
  <c r="R273" i="3"/>
  <c r="M274" i="3"/>
  <c r="U274" i="3"/>
  <c r="P275" i="3"/>
  <c r="K276" i="3"/>
  <c r="S276" i="3"/>
  <c r="N277" i="3"/>
  <c r="V277" i="3"/>
  <c r="Q278" i="3"/>
  <c r="L279" i="3"/>
  <c r="T279" i="3"/>
  <c r="O280" i="3"/>
  <c r="J281" i="3"/>
  <c r="R281" i="3"/>
  <c r="M282" i="3"/>
  <c r="L34" i="3"/>
  <c r="L66" i="3"/>
  <c r="P83" i="3"/>
  <c r="V96" i="3"/>
  <c r="Q104" i="3"/>
  <c r="Q109" i="3"/>
  <c r="P114" i="3"/>
  <c r="O119" i="3"/>
  <c r="N124" i="3"/>
  <c r="M129" i="3"/>
  <c r="T133" i="3"/>
  <c r="L137" i="3"/>
  <c r="P140" i="3"/>
  <c r="T143" i="3"/>
  <c r="J147" i="3"/>
  <c r="N150" i="3"/>
  <c r="R153" i="3"/>
  <c r="U156" i="3"/>
  <c r="J160" i="3"/>
  <c r="U162" i="3"/>
  <c r="S165" i="3"/>
  <c r="O168" i="3"/>
  <c r="N170" i="3"/>
  <c r="L172" i="3"/>
  <c r="J174" i="3"/>
  <c r="V175" i="3"/>
  <c r="Q177" i="3"/>
  <c r="L179" i="3"/>
  <c r="U180" i="3"/>
  <c r="P182" i="3"/>
  <c r="K184" i="3"/>
  <c r="T185" i="3"/>
  <c r="L187" i="3"/>
  <c r="R188" i="3"/>
  <c r="J190" i="3"/>
  <c r="O191" i="3"/>
  <c r="T192" i="3"/>
  <c r="M194" i="3"/>
  <c r="R195" i="3"/>
  <c r="J197" i="3"/>
  <c r="P198" i="3"/>
  <c r="U199" i="3"/>
  <c r="M201" i="3"/>
  <c r="R202" i="3"/>
  <c r="K204" i="3"/>
  <c r="P205" i="3"/>
  <c r="S206" i="3"/>
  <c r="Q207" i="3"/>
  <c r="O208" i="3"/>
  <c r="M209" i="3"/>
  <c r="J210" i="3"/>
  <c r="U210" i="3"/>
  <c r="S211" i="3"/>
  <c r="P212" i="3"/>
  <c r="N213" i="3"/>
  <c r="L214" i="3"/>
  <c r="V214" i="3"/>
  <c r="T215" i="3"/>
  <c r="R216" i="3"/>
  <c r="O217" i="3"/>
  <c r="M218" i="3"/>
  <c r="K219" i="3"/>
  <c r="U219" i="3"/>
  <c r="S220" i="3"/>
  <c r="Q221" i="3"/>
  <c r="N222" i="3"/>
  <c r="K223" i="3"/>
  <c r="T223" i="3"/>
  <c r="P224" i="3"/>
  <c r="L225" i="3"/>
  <c r="U225" i="3"/>
  <c r="Q226" i="3"/>
  <c r="M227" i="3"/>
  <c r="J228" i="3"/>
  <c r="S228" i="3"/>
  <c r="O229" i="3"/>
  <c r="K230" i="3"/>
  <c r="T230" i="3"/>
  <c r="P231" i="3"/>
  <c r="L232" i="3"/>
  <c r="V232" i="3"/>
  <c r="R233" i="3"/>
  <c r="N234" i="3"/>
  <c r="J235" i="3"/>
  <c r="S235" i="3"/>
  <c r="O236" i="3"/>
  <c r="K237" i="3"/>
  <c r="U237" i="3"/>
  <c r="Q238" i="3"/>
  <c r="M239" i="3"/>
  <c r="V239" i="3"/>
  <c r="R240" i="3"/>
  <c r="N241" i="3"/>
  <c r="J242" i="3"/>
  <c r="T242" i="3"/>
  <c r="P243" i="3"/>
  <c r="L244" i="3"/>
  <c r="U244" i="3"/>
  <c r="Q245" i="3"/>
  <c r="M246" i="3"/>
  <c r="V246" i="3"/>
  <c r="S247" i="3"/>
  <c r="O248" i="3"/>
  <c r="K249" i="3"/>
  <c r="T249" i="3"/>
  <c r="P250" i="3"/>
  <c r="L251" i="3"/>
  <c r="U251" i="3"/>
  <c r="R252" i="3"/>
  <c r="N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L12" i="3"/>
  <c r="P74" i="3"/>
  <c r="V100" i="3"/>
  <c r="V111" i="3"/>
  <c r="T121" i="3"/>
  <c r="R131" i="3"/>
  <c r="S138" i="3"/>
  <c r="M145" i="3"/>
  <c r="U151" i="3"/>
  <c r="O158" i="3"/>
  <c r="L164" i="3"/>
  <c r="L169" i="3"/>
  <c r="V172" i="3"/>
  <c r="R176" i="3"/>
  <c r="U179" i="3"/>
  <c r="L183" i="3"/>
  <c r="O186" i="3"/>
  <c r="M189" i="3"/>
  <c r="J192" i="3"/>
  <c r="U194" i="3"/>
  <c r="R197" i="3"/>
  <c r="P200" i="3"/>
  <c r="M203" i="3"/>
  <c r="K206" i="3"/>
  <c r="V207" i="3"/>
  <c r="Q209" i="3"/>
  <c r="L211" i="3"/>
  <c r="U212" i="3"/>
  <c r="P214" i="3"/>
  <c r="K216" i="3"/>
  <c r="T217" i="3"/>
  <c r="O219" i="3"/>
  <c r="J221" i="3"/>
  <c r="R222" i="3"/>
  <c r="J224" i="3"/>
  <c r="O225" i="3"/>
  <c r="U226" i="3"/>
  <c r="M228" i="3"/>
  <c r="R229" i="3"/>
  <c r="K231" i="3"/>
  <c r="P232" i="3"/>
  <c r="U233" i="3"/>
  <c r="M235" i="3"/>
  <c r="S236" i="3"/>
  <c r="K238" i="3"/>
  <c r="P239" i="3"/>
  <c r="V240" i="3"/>
  <c r="N242" i="3"/>
  <c r="S243" i="3"/>
  <c r="K245" i="3"/>
  <c r="Q246" i="3"/>
  <c r="V247" i="3"/>
  <c r="N249" i="3"/>
  <c r="T250" i="3"/>
  <c r="L252" i="3"/>
  <c r="Q253" i="3"/>
  <c r="U254" i="3"/>
  <c r="K256" i="3"/>
  <c r="N257" i="3"/>
  <c r="Q258" i="3"/>
  <c r="T259" i="3"/>
  <c r="J261" i="3"/>
  <c r="M262" i="3"/>
  <c r="P263" i="3"/>
  <c r="S264" i="3"/>
  <c r="V265" i="3"/>
  <c r="L267" i="3"/>
  <c r="O268" i="3"/>
  <c r="R269" i="3"/>
  <c r="U270" i="3"/>
  <c r="K272" i="3"/>
  <c r="N273" i="3"/>
  <c r="Q274" i="3"/>
  <c r="T275" i="3"/>
  <c r="J277" i="3"/>
  <c r="M278" i="3"/>
  <c r="P279" i="3"/>
  <c r="S280" i="3"/>
  <c r="V281" i="3"/>
  <c r="U282" i="3"/>
  <c r="S283" i="3"/>
  <c r="P284" i="3"/>
  <c r="N285" i="3"/>
  <c r="L286" i="3"/>
  <c r="V286" i="3"/>
  <c r="T287" i="3"/>
  <c r="R288" i="3"/>
  <c r="O289" i="3"/>
  <c r="M290" i="3"/>
  <c r="J291" i="3"/>
  <c r="S291" i="3"/>
  <c r="O292" i="3"/>
  <c r="K293" i="3"/>
  <c r="U293" i="3"/>
  <c r="Q294" i="3"/>
  <c r="M295" i="3"/>
  <c r="V295" i="3"/>
  <c r="R296" i="3"/>
  <c r="N297" i="3"/>
  <c r="J298" i="3"/>
  <c r="T298" i="3"/>
  <c r="P299" i="3"/>
  <c r="L300" i="3"/>
  <c r="U300" i="3"/>
  <c r="Q301" i="3"/>
  <c r="M302" i="3"/>
  <c r="V302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N50" i="3"/>
  <c r="J91" i="3"/>
  <c r="U106" i="3"/>
  <c r="S116" i="3"/>
  <c r="Q126" i="3"/>
  <c r="M135" i="3"/>
  <c r="T141" i="3"/>
  <c r="N148" i="3"/>
  <c r="V154" i="3"/>
  <c r="L161" i="3"/>
  <c r="T166" i="3"/>
  <c r="U170" i="3"/>
  <c r="R174" i="3"/>
  <c r="J178" i="3"/>
  <c r="N181" i="3"/>
  <c r="R184" i="3"/>
  <c r="R187" i="3"/>
  <c r="P190" i="3"/>
  <c r="M193" i="3"/>
  <c r="K196" i="3"/>
  <c r="U198" i="3"/>
  <c r="S201" i="3"/>
  <c r="P204" i="3"/>
  <c r="T206" i="3"/>
  <c r="Q208" i="3"/>
  <c r="L210" i="3"/>
  <c r="T211" i="3"/>
  <c r="P213" i="3"/>
  <c r="K215" i="3"/>
  <c r="S216" i="3"/>
  <c r="O218" i="3"/>
  <c r="J220" i="3"/>
  <c r="R221" i="3"/>
  <c r="L223" i="3"/>
  <c r="Q224" i="3"/>
  <c r="V225" i="3"/>
  <c r="O227" i="3"/>
  <c r="T228" i="3"/>
  <c r="L230" i="3"/>
  <c r="Q231" i="3"/>
  <c r="J233" i="3"/>
  <c r="O234" i="3"/>
  <c r="T235" i="3"/>
  <c r="M237" i="3"/>
  <c r="R238" i="3"/>
  <c r="J240" i="3"/>
  <c r="O241" i="3"/>
  <c r="U242" i="3"/>
  <c r="M244" i="3"/>
  <c r="R245" i="3"/>
  <c r="K247" i="3"/>
  <c r="P248" i="3"/>
  <c r="U249" i="3"/>
  <c r="M251" i="3"/>
  <c r="S252" i="3"/>
  <c r="K254" i="3"/>
  <c r="N255" i="3"/>
  <c r="Q256" i="3"/>
  <c r="T257" i="3"/>
  <c r="J259" i="3"/>
  <c r="M260" i="3"/>
  <c r="P261" i="3"/>
  <c r="S262" i="3"/>
  <c r="V263" i="3"/>
  <c r="L265" i="3"/>
  <c r="O266" i="3"/>
  <c r="R267" i="3"/>
  <c r="U268" i="3"/>
  <c r="K270" i="3"/>
  <c r="N271" i="3"/>
  <c r="Q272" i="3"/>
  <c r="T273" i="3"/>
  <c r="J275" i="3"/>
  <c r="M276" i="3"/>
  <c r="P277" i="3"/>
  <c r="S278" i="3"/>
  <c r="V279" i="3"/>
  <c r="L281" i="3"/>
  <c r="L282" i="3"/>
  <c r="K283" i="3"/>
  <c r="U283" i="3"/>
  <c r="S284" i="3"/>
  <c r="Q285" i="3"/>
  <c r="N286" i="3"/>
  <c r="L287" i="3"/>
  <c r="J288" i="3"/>
  <c r="T288" i="3"/>
  <c r="R289" i="3"/>
  <c r="P290" i="3"/>
  <c r="L291" i="3"/>
  <c r="U291" i="3"/>
  <c r="R292" i="3"/>
  <c r="N293" i="3"/>
  <c r="J294" i="3"/>
  <c r="S294" i="3"/>
  <c r="O295" i="3"/>
  <c r="K296" i="3"/>
  <c r="T296" i="3"/>
  <c r="Q297" i="3"/>
  <c r="M298" i="3"/>
  <c r="V298" i="3"/>
  <c r="R299" i="3"/>
  <c r="N300" i="3"/>
  <c r="J301" i="3"/>
  <c r="S301" i="3"/>
  <c r="P302" i="3"/>
  <c r="L303" i="3"/>
  <c r="T303" i="3"/>
  <c r="O304" i="3"/>
  <c r="J305" i="3"/>
  <c r="R305" i="3"/>
  <c r="M306" i="3"/>
  <c r="U306" i="3"/>
  <c r="P307" i="3"/>
  <c r="K308" i="3"/>
  <c r="S308" i="3"/>
  <c r="N309" i="3"/>
  <c r="V309" i="3"/>
  <c r="Q310" i="3"/>
  <c r="L311" i="3"/>
  <c r="T311" i="3"/>
  <c r="O312" i="3"/>
  <c r="J313" i="3"/>
  <c r="R313" i="3"/>
  <c r="M314" i="3"/>
  <c r="U314" i="3"/>
  <c r="P315" i="3"/>
  <c r="K316" i="3"/>
  <c r="S316" i="3"/>
  <c r="N317" i="3"/>
  <c r="V317" i="3"/>
  <c r="Q318" i="3"/>
  <c r="L319" i="3"/>
  <c r="T319" i="3"/>
  <c r="O320" i="3"/>
  <c r="J321" i="3"/>
  <c r="R321" i="3"/>
  <c r="M322" i="3"/>
  <c r="U322" i="3"/>
  <c r="P323" i="3"/>
  <c r="K324" i="3"/>
  <c r="S324" i="3"/>
  <c r="N325" i="3"/>
  <c r="V325" i="3"/>
  <c r="Q326" i="3"/>
  <c r="L327" i="3"/>
  <c r="T327" i="3"/>
  <c r="O328" i="3"/>
  <c r="J329" i="3"/>
  <c r="R329" i="3"/>
  <c r="M330" i="3"/>
  <c r="U330" i="3"/>
  <c r="P331" i="3"/>
  <c r="K332" i="3"/>
  <c r="S332" i="3"/>
  <c r="N333" i="3"/>
  <c r="V333" i="3"/>
  <c r="Q334" i="3"/>
  <c r="L335" i="3"/>
  <c r="T335" i="3"/>
  <c r="O336" i="3"/>
  <c r="J337" i="3"/>
  <c r="R337" i="3"/>
  <c r="M338" i="3"/>
  <c r="U338" i="3"/>
  <c r="P339" i="3"/>
  <c r="K340" i="3"/>
  <c r="S340" i="3"/>
  <c r="N341" i="3"/>
  <c r="V341" i="3"/>
  <c r="Q342" i="3"/>
  <c r="L343" i="3"/>
  <c r="T343" i="3"/>
  <c r="O344" i="3"/>
  <c r="J345" i="3"/>
  <c r="R345" i="3"/>
  <c r="M346" i="3"/>
  <c r="U346" i="3"/>
  <c r="P347" i="3"/>
  <c r="K348" i="3"/>
  <c r="S348" i="3"/>
  <c r="N349" i="3"/>
  <c r="V349" i="3"/>
  <c r="Q350" i="3"/>
  <c r="L351" i="3"/>
  <c r="T351" i="3"/>
  <c r="O352" i="3"/>
  <c r="J353" i="3"/>
  <c r="R353" i="3"/>
  <c r="P51" i="3"/>
  <c r="K91" i="3"/>
  <c r="V106" i="3"/>
  <c r="T116" i="3"/>
  <c r="R126" i="3"/>
  <c r="N135" i="3"/>
  <c r="V141" i="3"/>
  <c r="P148" i="3"/>
  <c r="J155" i="3"/>
  <c r="M161" i="3"/>
  <c r="V166" i="3"/>
  <c r="J171" i="3"/>
  <c r="S174" i="3"/>
  <c r="L178" i="3"/>
  <c r="P181" i="3"/>
  <c r="S184" i="3"/>
  <c r="S187" i="3"/>
  <c r="Q190" i="3"/>
  <c r="N193" i="3"/>
  <c r="L196" i="3"/>
  <c r="V198" i="3"/>
  <c r="T201" i="3"/>
  <c r="R204" i="3"/>
  <c r="U206" i="3"/>
  <c r="R208" i="3"/>
  <c r="M210" i="3"/>
  <c r="U211" i="3"/>
  <c r="Q213" i="3"/>
  <c r="L215" i="3"/>
  <c r="T216" i="3"/>
  <c r="P218" i="3"/>
  <c r="K220" i="3"/>
  <c r="S221" i="3"/>
  <c r="M223" i="3"/>
  <c r="R224" i="3"/>
  <c r="J226" i="3"/>
  <c r="P227" i="3"/>
  <c r="U228" i="3"/>
  <c r="M230" i="3"/>
  <c r="S231" i="3"/>
  <c r="K233" i="3"/>
  <c r="P234" i="3"/>
  <c r="U235" i="3"/>
  <c r="N237" i="3"/>
  <c r="S238" i="3"/>
  <c r="K240" i="3"/>
  <c r="Q241" i="3"/>
  <c r="V242" i="3"/>
  <c r="N244" i="3"/>
  <c r="S245" i="3"/>
  <c r="L247" i="3"/>
  <c r="Q248" i="3"/>
  <c r="V249" i="3"/>
  <c r="O251" i="3"/>
  <c r="T252" i="3"/>
  <c r="L254" i="3"/>
  <c r="O255" i="3"/>
  <c r="R256" i="3"/>
  <c r="U257" i="3"/>
  <c r="K259" i="3"/>
  <c r="N260" i="3"/>
  <c r="Q261" i="3"/>
  <c r="T262" i="3"/>
  <c r="J264" i="3"/>
  <c r="M265" i="3"/>
  <c r="P266" i="3"/>
  <c r="S267" i="3"/>
  <c r="V268" i="3"/>
  <c r="L270" i="3"/>
  <c r="O271" i="3"/>
  <c r="R272" i="3"/>
  <c r="U273" i="3"/>
  <c r="K275" i="3"/>
  <c r="N276" i="3"/>
  <c r="Q277" i="3"/>
  <c r="T278" i="3"/>
  <c r="J280" i="3"/>
  <c r="M281" i="3"/>
  <c r="O282" i="3"/>
  <c r="L283" i="3"/>
  <c r="J284" i="3"/>
  <c r="U284" i="3"/>
  <c r="R285" i="3"/>
  <c r="P286" i="3"/>
  <c r="N287" i="3"/>
  <c r="K288" i="3"/>
  <c r="V288" i="3"/>
  <c r="T289" i="3"/>
  <c r="Q290" i="3"/>
  <c r="M291" i="3"/>
  <c r="J292" i="3"/>
  <c r="S292" i="3"/>
  <c r="O293" i="3"/>
  <c r="K294" i="3"/>
  <c r="T294" i="3"/>
  <c r="P295" i="3"/>
  <c r="L296" i="3"/>
  <c r="V296" i="3"/>
  <c r="R297" i="3"/>
  <c r="N298" i="3"/>
  <c r="J299" i="3"/>
  <c r="S299" i="3"/>
  <c r="O300" i="3"/>
  <c r="K301" i="3"/>
  <c r="U301" i="3"/>
  <c r="Q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O341" i="3"/>
  <c r="J342" i="3"/>
  <c r="K52" i="3"/>
  <c r="R91" i="3"/>
  <c r="K107" i="3"/>
  <c r="V116" i="3"/>
  <c r="T126" i="3"/>
  <c r="Q135" i="3"/>
  <c r="K142" i="3"/>
  <c r="S148" i="3"/>
  <c r="M155" i="3"/>
  <c r="P161" i="3"/>
  <c r="K167" i="3"/>
  <c r="M171" i="3"/>
  <c r="J175" i="3"/>
  <c r="O178" i="3"/>
  <c r="R181" i="3"/>
  <c r="V184" i="3"/>
  <c r="U187" i="3"/>
  <c r="S190" i="3"/>
  <c r="Q193" i="3"/>
  <c r="N196" i="3"/>
  <c r="L199" i="3"/>
  <c r="V201" i="3"/>
  <c r="T204" i="3"/>
  <c r="L207" i="3"/>
  <c r="T208" i="3"/>
  <c r="P210" i="3"/>
  <c r="K212" i="3"/>
  <c r="S213" i="3"/>
  <c r="O215" i="3"/>
  <c r="J217" i="3"/>
  <c r="R218" i="3"/>
  <c r="N220" i="3"/>
  <c r="V221" i="3"/>
  <c r="O223" i="3"/>
  <c r="T224" i="3"/>
  <c r="M226" i="3"/>
  <c r="R227" i="3"/>
  <c r="J229" i="3"/>
  <c r="P230" i="3"/>
  <c r="U231" i="3"/>
  <c r="M233" i="3"/>
  <c r="R234" i="3"/>
  <c r="K236" i="3"/>
  <c r="P237" i="3"/>
  <c r="U238" i="3"/>
  <c r="N240" i="3"/>
  <c r="S241" i="3"/>
  <c r="K243" i="3"/>
  <c r="P244" i="3"/>
  <c r="V245" i="3"/>
  <c r="N247" i="3"/>
  <c r="S248" i="3"/>
  <c r="L250" i="3"/>
  <c r="Q251" i="3"/>
  <c r="V252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O281" i="3"/>
  <c r="Q282" i="3"/>
  <c r="O283" i="3"/>
  <c r="M284" i="3"/>
  <c r="J285" i="3"/>
  <c r="U285" i="3"/>
  <c r="S286" i="3"/>
  <c r="P287" i="3"/>
  <c r="N288" i="3"/>
  <c r="L289" i="3"/>
  <c r="V289" i="3"/>
  <c r="T290" i="3"/>
  <c r="P291" i="3"/>
  <c r="L292" i="3"/>
  <c r="U292" i="3"/>
  <c r="Q293" i="3"/>
  <c r="M294" i="3"/>
  <c r="V294" i="3"/>
  <c r="S295" i="3"/>
  <c r="O296" i="3"/>
  <c r="K297" i="3"/>
  <c r="T297" i="3"/>
  <c r="P298" i="3"/>
  <c r="L299" i="3"/>
  <c r="U299" i="3"/>
  <c r="R300" i="3"/>
  <c r="N301" i="3"/>
  <c r="J302" i="3"/>
  <c r="S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M353" i="3"/>
  <c r="U353" i="3"/>
  <c r="T12" i="3"/>
  <c r="K101" i="3"/>
  <c r="U121" i="3"/>
  <c r="U138" i="3"/>
  <c r="V151" i="3"/>
  <c r="M164" i="3"/>
  <c r="L173" i="3"/>
  <c r="J180" i="3"/>
  <c r="P186" i="3"/>
  <c r="K192" i="3"/>
  <c r="S197" i="3"/>
  <c r="O203" i="3"/>
  <c r="J208" i="3"/>
  <c r="M211" i="3"/>
  <c r="Q214" i="3"/>
  <c r="U217" i="3"/>
  <c r="K221" i="3"/>
  <c r="K224" i="3"/>
  <c r="V226" i="3"/>
  <c r="S229" i="3"/>
  <c r="Q232" i="3"/>
  <c r="O235" i="3"/>
  <c r="L238" i="3"/>
  <c r="J241" i="3"/>
  <c r="T243" i="3"/>
  <c r="R246" i="3"/>
  <c r="O249" i="3"/>
  <c r="M252" i="3"/>
  <c r="V254" i="3"/>
  <c r="O257" i="3"/>
  <c r="U259" i="3"/>
  <c r="N262" i="3"/>
  <c r="T264" i="3"/>
  <c r="M267" i="3"/>
  <c r="S269" i="3"/>
  <c r="L272" i="3"/>
  <c r="R274" i="3"/>
  <c r="K277" i="3"/>
  <c r="Q279" i="3"/>
  <c r="J282" i="3"/>
  <c r="T283" i="3"/>
  <c r="P285" i="3"/>
  <c r="K287" i="3"/>
  <c r="S288" i="3"/>
  <c r="O290" i="3"/>
  <c r="T291" i="3"/>
  <c r="M293" i="3"/>
  <c r="R294" i="3"/>
  <c r="J296" i="3"/>
  <c r="O297" i="3"/>
  <c r="U298" i="3"/>
  <c r="M300" i="3"/>
  <c r="R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O342" i="3"/>
  <c r="M343" i="3"/>
  <c r="K344" i="3"/>
  <c r="U344" i="3"/>
  <c r="S345" i="3"/>
  <c r="Q346" i="3"/>
  <c r="N347" i="3"/>
  <c r="L348" i="3"/>
  <c r="J349" i="3"/>
  <c r="T349" i="3"/>
  <c r="R350" i="3"/>
  <c r="P351" i="3"/>
  <c r="M352" i="3"/>
  <c r="K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U51" i="3"/>
  <c r="J107" i="3"/>
  <c r="S126" i="3"/>
  <c r="J142" i="3"/>
  <c r="K155" i="3"/>
  <c r="J167" i="3"/>
  <c r="T174" i="3"/>
  <c r="Q181" i="3"/>
  <c r="T187" i="3"/>
  <c r="O193" i="3"/>
  <c r="K199" i="3"/>
  <c r="S204" i="3"/>
  <c r="S208" i="3"/>
  <c r="J212" i="3"/>
  <c r="N215" i="3"/>
  <c r="Q218" i="3"/>
  <c r="U221" i="3"/>
  <c r="S224" i="3"/>
  <c r="Q227" i="3"/>
  <c r="N230" i="3"/>
  <c r="L233" i="3"/>
  <c r="J236" i="3"/>
  <c r="T238" i="3"/>
  <c r="R241" i="3"/>
  <c r="O244" i="3"/>
  <c r="M247" i="3"/>
  <c r="J250" i="3"/>
  <c r="U252" i="3"/>
  <c r="P255" i="3"/>
  <c r="V257" i="3"/>
  <c r="O260" i="3"/>
  <c r="U262" i="3"/>
  <c r="N265" i="3"/>
  <c r="T267" i="3"/>
  <c r="M270" i="3"/>
  <c r="S272" i="3"/>
  <c r="L275" i="3"/>
  <c r="R277" i="3"/>
  <c r="K280" i="3"/>
  <c r="P282" i="3"/>
  <c r="K284" i="3"/>
  <c r="S285" i="3"/>
  <c r="O287" i="3"/>
  <c r="J289" i="3"/>
  <c r="R290" i="3"/>
  <c r="K292" i="3"/>
  <c r="P293" i="3"/>
  <c r="U294" i="3"/>
  <c r="N296" i="3"/>
  <c r="S297" i="3"/>
  <c r="K299" i="3"/>
  <c r="P300" i="3"/>
  <c r="V301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P341" i="3"/>
  <c r="P342" i="3"/>
  <c r="N343" i="3"/>
  <c r="L344" i="3"/>
  <c r="V344" i="3"/>
  <c r="T345" i="3"/>
  <c r="R346" i="3"/>
  <c r="O347" i="3"/>
  <c r="M348" i="3"/>
  <c r="K349" i="3"/>
  <c r="U349" i="3"/>
  <c r="S350" i="3"/>
  <c r="Q351" i="3"/>
  <c r="N352" i="3"/>
  <c r="L353" i="3"/>
  <c r="J354" i="3"/>
  <c r="R354" i="3"/>
  <c r="M355" i="3"/>
  <c r="U355" i="3"/>
  <c r="P356" i="3"/>
  <c r="K357" i="3"/>
  <c r="S357" i="3"/>
  <c r="N358" i="3"/>
  <c r="V358" i="3"/>
  <c r="Q359" i="3"/>
  <c r="L360" i="3"/>
  <c r="T360" i="3"/>
  <c r="O361" i="3"/>
  <c r="J362" i="3"/>
  <c r="R362" i="3"/>
  <c r="M363" i="3"/>
  <c r="U363" i="3"/>
  <c r="P364" i="3"/>
  <c r="K365" i="3"/>
  <c r="S365" i="3"/>
  <c r="N366" i="3"/>
  <c r="V366" i="3"/>
  <c r="Q367" i="3"/>
  <c r="L368" i="3"/>
  <c r="T368" i="3"/>
  <c r="O369" i="3"/>
  <c r="J370" i="3"/>
  <c r="R370" i="3"/>
  <c r="M371" i="3"/>
  <c r="U371" i="3"/>
  <c r="P372" i="3"/>
  <c r="K373" i="3"/>
  <c r="S373" i="3"/>
  <c r="N374" i="3"/>
  <c r="V374" i="3"/>
  <c r="Q375" i="3"/>
  <c r="L376" i="3"/>
  <c r="T376" i="3"/>
  <c r="O377" i="3"/>
  <c r="J378" i="3"/>
  <c r="R378" i="3"/>
  <c r="M379" i="3"/>
  <c r="U379" i="3"/>
  <c r="P380" i="3"/>
  <c r="K381" i="3"/>
  <c r="S381" i="3"/>
  <c r="N382" i="3"/>
  <c r="V382" i="3"/>
  <c r="Q383" i="3"/>
  <c r="L384" i="3"/>
  <c r="T384" i="3"/>
  <c r="O385" i="3"/>
  <c r="J386" i="3"/>
  <c r="R386" i="3"/>
  <c r="M387" i="3"/>
  <c r="U387" i="3"/>
  <c r="P388" i="3"/>
  <c r="K389" i="3"/>
  <c r="S389" i="3"/>
  <c r="N390" i="3"/>
  <c r="V390" i="3"/>
  <c r="Q391" i="3"/>
  <c r="L392" i="3"/>
  <c r="T392" i="3"/>
  <c r="O393" i="3"/>
  <c r="J394" i="3"/>
  <c r="R394" i="3"/>
  <c r="L74" i="3"/>
  <c r="T111" i="3"/>
  <c r="P131" i="3"/>
  <c r="K145" i="3"/>
  <c r="L158" i="3"/>
  <c r="J169" i="3"/>
  <c r="O176" i="3"/>
  <c r="V182" i="3"/>
  <c r="J189" i="3"/>
  <c r="R194" i="3"/>
  <c r="N200" i="3"/>
  <c r="V205" i="3"/>
  <c r="N209" i="3"/>
  <c r="R212" i="3"/>
  <c r="V215" i="3"/>
  <c r="L219" i="3"/>
  <c r="P222" i="3"/>
  <c r="M225" i="3"/>
  <c r="K228" i="3"/>
  <c r="U230" i="3"/>
  <c r="S233" i="3"/>
  <c r="P236" i="3"/>
  <c r="N239" i="3"/>
  <c r="L242" i="3"/>
  <c r="V244" i="3"/>
  <c r="T247" i="3"/>
  <c r="Q250" i="3"/>
  <c r="O253" i="3"/>
  <c r="V255" i="3"/>
  <c r="O258" i="3"/>
  <c r="U260" i="3"/>
  <c r="N263" i="3"/>
  <c r="T265" i="3"/>
  <c r="M268" i="3"/>
  <c r="S270" i="3"/>
  <c r="L273" i="3"/>
  <c r="R275" i="3"/>
  <c r="K278" i="3"/>
  <c r="Q280" i="3"/>
  <c r="R282" i="3"/>
  <c r="N284" i="3"/>
  <c r="V285" i="3"/>
  <c r="Q287" i="3"/>
  <c r="M289" i="3"/>
  <c r="U290" i="3"/>
  <c r="M292" i="3"/>
  <c r="R293" i="3"/>
  <c r="K295" i="3"/>
  <c r="P296" i="3"/>
  <c r="U297" i="3"/>
  <c r="M299" i="3"/>
  <c r="S300" i="3"/>
  <c r="K302" i="3"/>
  <c r="P303" i="3"/>
  <c r="S304" i="3"/>
  <c r="V305" i="3"/>
  <c r="L307" i="3"/>
  <c r="O308" i="3"/>
  <c r="R309" i="3"/>
  <c r="U310" i="3"/>
  <c r="K312" i="3"/>
  <c r="N313" i="3"/>
  <c r="Q314" i="3"/>
  <c r="T315" i="3"/>
  <c r="J317" i="3"/>
  <c r="M318" i="3"/>
  <c r="P319" i="3"/>
  <c r="S320" i="3"/>
  <c r="V321" i="3"/>
  <c r="L323" i="3"/>
  <c r="O324" i="3"/>
  <c r="R325" i="3"/>
  <c r="U326" i="3"/>
  <c r="K328" i="3"/>
  <c r="N329" i="3"/>
  <c r="Q330" i="3"/>
  <c r="T331" i="3"/>
  <c r="J333" i="3"/>
  <c r="M334" i="3"/>
  <c r="P335" i="3"/>
  <c r="S336" i="3"/>
  <c r="V337" i="3"/>
  <c r="L339" i="3"/>
  <c r="O340" i="3"/>
  <c r="R341" i="3"/>
  <c r="R342" i="3"/>
  <c r="P343" i="3"/>
  <c r="M344" i="3"/>
  <c r="K345" i="3"/>
  <c r="V345" i="3"/>
  <c r="S346" i="3"/>
  <c r="Q347" i="3"/>
  <c r="O348" i="3"/>
  <c r="L349" i="3"/>
  <c r="J350" i="3"/>
  <c r="U350" i="3"/>
  <c r="R351" i="3"/>
  <c r="P352" i="3"/>
  <c r="N353" i="3"/>
  <c r="K354" i="3"/>
  <c r="S354" i="3"/>
  <c r="N355" i="3"/>
  <c r="V355" i="3"/>
  <c r="Q356" i="3"/>
  <c r="L357" i="3"/>
  <c r="T357" i="3"/>
  <c r="O358" i="3"/>
  <c r="J359" i="3"/>
  <c r="R359" i="3"/>
  <c r="M360" i="3"/>
  <c r="U360" i="3"/>
  <c r="P361" i="3"/>
  <c r="K362" i="3"/>
  <c r="S362" i="3"/>
  <c r="N363" i="3"/>
  <c r="V363" i="3"/>
  <c r="Q364" i="3"/>
  <c r="L365" i="3"/>
  <c r="T365" i="3"/>
  <c r="O366" i="3"/>
  <c r="J367" i="3"/>
  <c r="R367" i="3"/>
  <c r="M368" i="3"/>
  <c r="U368" i="3"/>
  <c r="P369" i="3"/>
  <c r="K370" i="3"/>
  <c r="S370" i="3"/>
  <c r="N371" i="3"/>
  <c r="V371" i="3"/>
  <c r="Q372" i="3"/>
  <c r="L373" i="3"/>
  <c r="T373" i="3"/>
  <c r="O374" i="3"/>
  <c r="J375" i="3"/>
  <c r="R375" i="3"/>
  <c r="M376" i="3"/>
  <c r="U376" i="3"/>
  <c r="P377" i="3"/>
  <c r="K378" i="3"/>
  <c r="S378" i="3"/>
  <c r="N379" i="3"/>
  <c r="V379" i="3"/>
  <c r="Q380" i="3"/>
  <c r="L381" i="3"/>
  <c r="T381" i="3"/>
  <c r="O382" i="3"/>
  <c r="J383" i="3"/>
  <c r="R383" i="3"/>
  <c r="M384" i="3"/>
  <c r="U384" i="3"/>
  <c r="P385" i="3"/>
  <c r="K386" i="3"/>
  <c r="S386" i="3"/>
  <c r="N387" i="3"/>
  <c r="V387" i="3"/>
  <c r="Q388" i="3"/>
  <c r="L389" i="3"/>
  <c r="T389" i="3"/>
  <c r="O390" i="3"/>
  <c r="J391" i="3"/>
  <c r="R391" i="3"/>
  <c r="M392" i="3"/>
  <c r="U392" i="3"/>
  <c r="P393" i="3"/>
  <c r="K394" i="3"/>
  <c r="S394" i="3"/>
  <c r="N395" i="3"/>
  <c r="V395" i="3"/>
  <c r="Q396" i="3"/>
  <c r="L397" i="3"/>
  <c r="T397" i="3"/>
  <c r="O398" i="3"/>
  <c r="J399" i="3"/>
  <c r="R399" i="3"/>
  <c r="M400" i="3"/>
  <c r="U400" i="3"/>
  <c r="P401" i="3"/>
  <c r="K402" i="3"/>
  <c r="S402" i="3"/>
  <c r="N403" i="3"/>
  <c r="V403" i="3"/>
  <c r="Q404" i="3"/>
  <c r="L405" i="3"/>
  <c r="T405" i="3"/>
  <c r="O406" i="3"/>
  <c r="J407" i="3"/>
  <c r="R407" i="3"/>
  <c r="M408" i="3"/>
  <c r="U408" i="3"/>
  <c r="P409" i="3"/>
  <c r="K410" i="3"/>
  <c r="N74" i="3"/>
  <c r="U111" i="3"/>
  <c r="Q131" i="3"/>
  <c r="L145" i="3"/>
  <c r="N158" i="3"/>
  <c r="K169" i="3"/>
  <c r="Q176" i="3"/>
  <c r="K183" i="3"/>
  <c r="K189" i="3"/>
  <c r="T194" i="3"/>
  <c r="O200" i="3"/>
  <c r="J206" i="3"/>
  <c r="O209" i="3"/>
  <c r="S212" i="3"/>
  <c r="J216" i="3"/>
  <c r="M219" i="3"/>
  <c r="Q222" i="3"/>
  <c r="N225" i="3"/>
  <c r="L228" i="3"/>
  <c r="V230" i="3"/>
  <c r="T233" i="3"/>
  <c r="R236" i="3"/>
  <c r="O239" i="3"/>
  <c r="M242" i="3"/>
  <c r="J245" i="3"/>
  <c r="U247" i="3"/>
  <c r="R250" i="3"/>
  <c r="P253" i="3"/>
  <c r="J256" i="3"/>
  <c r="P258" i="3"/>
  <c r="V260" i="3"/>
  <c r="O263" i="3"/>
  <c r="U265" i="3"/>
  <c r="N268" i="3"/>
  <c r="T270" i="3"/>
  <c r="M273" i="3"/>
  <c r="S275" i="3"/>
  <c r="L278" i="3"/>
  <c r="R280" i="3"/>
  <c r="T282" i="3"/>
  <c r="O284" i="3"/>
  <c r="K286" i="3"/>
  <c r="S287" i="3"/>
  <c r="N289" i="3"/>
  <c r="V290" i="3"/>
  <c r="N292" i="3"/>
  <c r="S293" i="3"/>
  <c r="L295" i="3"/>
  <c r="Q296" i="3"/>
  <c r="V297" i="3"/>
  <c r="O299" i="3"/>
  <c r="T300" i="3"/>
  <c r="L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S341" i="3"/>
  <c r="S342" i="3"/>
  <c r="Q343" i="3"/>
  <c r="N344" i="3"/>
  <c r="L345" i="3"/>
  <c r="J346" i="3"/>
  <c r="T346" i="3"/>
  <c r="R347" i="3"/>
  <c r="P348" i="3"/>
  <c r="M349" i="3"/>
  <c r="K350" i="3"/>
  <c r="V350" i="3"/>
  <c r="S351" i="3"/>
  <c r="Q352" i="3"/>
  <c r="O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P91" i="3"/>
  <c r="U116" i="3"/>
  <c r="O135" i="3"/>
  <c r="Q148" i="3"/>
  <c r="O161" i="3"/>
  <c r="K171" i="3"/>
  <c r="M178" i="3"/>
  <c r="T184" i="3"/>
  <c r="R190" i="3"/>
  <c r="M196" i="3"/>
  <c r="U201" i="3"/>
  <c r="K207" i="3"/>
  <c r="O210" i="3"/>
  <c r="R213" i="3"/>
  <c r="V216" i="3"/>
  <c r="M220" i="3"/>
  <c r="N223" i="3"/>
  <c r="L226" i="3"/>
  <c r="V228" i="3"/>
  <c r="T231" i="3"/>
  <c r="Q234" i="3"/>
  <c r="O237" i="3"/>
  <c r="L240" i="3"/>
  <c r="J243" i="3"/>
  <c r="U245" i="3"/>
  <c r="R248" i="3"/>
  <c r="P251" i="3"/>
  <c r="M254" i="3"/>
  <c r="S256" i="3"/>
  <c r="L259" i="3"/>
  <c r="R261" i="3"/>
  <c r="K264" i="3"/>
  <c r="Q266" i="3"/>
  <c r="J269" i="3"/>
  <c r="P271" i="3"/>
  <c r="V273" i="3"/>
  <c r="O276" i="3"/>
  <c r="U278" i="3"/>
  <c r="N281" i="3"/>
  <c r="M283" i="3"/>
  <c r="V284" i="3"/>
  <c r="Q286" i="3"/>
  <c r="L288" i="3"/>
  <c r="U289" i="3"/>
  <c r="O291" i="3"/>
  <c r="T292" i="3"/>
  <c r="L294" i="3"/>
  <c r="Q295" i="3"/>
  <c r="J297" i="3"/>
  <c r="O298" i="3"/>
  <c r="T299" i="3"/>
  <c r="M301" i="3"/>
  <c r="R302" i="3"/>
  <c r="V303" i="3"/>
  <c r="L305" i="3"/>
  <c r="O306" i="3"/>
  <c r="R307" i="3"/>
  <c r="U308" i="3"/>
  <c r="K310" i="3"/>
  <c r="N311" i="3"/>
  <c r="Q312" i="3"/>
  <c r="T313" i="3"/>
  <c r="J315" i="3"/>
  <c r="M316" i="3"/>
  <c r="P317" i="3"/>
  <c r="S318" i="3"/>
  <c r="V319" i="3"/>
  <c r="L321" i="3"/>
  <c r="O322" i="3"/>
  <c r="R323" i="3"/>
  <c r="U324" i="3"/>
  <c r="K326" i="3"/>
  <c r="N327" i="3"/>
  <c r="Q328" i="3"/>
  <c r="T329" i="3"/>
  <c r="J331" i="3"/>
  <c r="M332" i="3"/>
  <c r="P333" i="3"/>
  <c r="S334" i="3"/>
  <c r="V335" i="3"/>
  <c r="L337" i="3"/>
  <c r="O338" i="3"/>
  <c r="R339" i="3"/>
  <c r="U340" i="3"/>
  <c r="K342" i="3"/>
  <c r="V342" i="3"/>
  <c r="S343" i="3"/>
  <c r="Q344" i="3"/>
  <c r="O345" i="3"/>
  <c r="L346" i="3"/>
  <c r="J347" i="3"/>
  <c r="U347" i="3"/>
  <c r="R348" i="3"/>
  <c r="P349" i="3"/>
  <c r="N350" i="3"/>
  <c r="K351" i="3"/>
  <c r="V351" i="3"/>
  <c r="T352" i="3"/>
  <c r="Q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S100" i="3"/>
  <c r="R121" i="3"/>
  <c r="P138" i="3"/>
  <c r="R151" i="3"/>
  <c r="J164" i="3"/>
  <c r="S172" i="3"/>
  <c r="S179" i="3"/>
  <c r="M186" i="3"/>
  <c r="U191" i="3"/>
  <c r="P197" i="3"/>
  <c r="K203" i="3"/>
  <c r="S207" i="3"/>
  <c r="J211" i="3"/>
  <c r="M214" i="3"/>
  <c r="Q217" i="3"/>
  <c r="U220" i="3"/>
  <c r="U223" i="3"/>
  <c r="R226" i="3"/>
  <c r="P229" i="3"/>
  <c r="N232" i="3"/>
  <c r="K235" i="3"/>
  <c r="V237" i="3"/>
  <c r="S240" i="3"/>
  <c r="Q243" i="3"/>
  <c r="N246" i="3"/>
  <c r="L249" i="3"/>
  <c r="J252" i="3"/>
  <c r="S254" i="3"/>
  <c r="L257" i="3"/>
  <c r="R259" i="3"/>
  <c r="K262" i="3"/>
  <c r="Q264" i="3"/>
  <c r="J267" i="3"/>
  <c r="P269" i="3"/>
  <c r="V271" i="3"/>
  <c r="O274" i="3"/>
  <c r="U276" i="3"/>
  <c r="N279" i="3"/>
  <c r="T281" i="3"/>
  <c r="P283" i="3"/>
  <c r="K285" i="3"/>
  <c r="T286" i="3"/>
  <c r="O288" i="3"/>
  <c r="J290" i="3"/>
  <c r="Q291" i="3"/>
  <c r="V292" i="3"/>
  <c r="N294" i="3"/>
  <c r="T295" i="3"/>
  <c r="L297" i="3"/>
  <c r="Q298" i="3"/>
  <c r="J300" i="3"/>
  <c r="O301" i="3"/>
  <c r="T302" i="3"/>
  <c r="K304" i="3"/>
  <c r="N305" i="3"/>
  <c r="Q306" i="3"/>
  <c r="T307" i="3"/>
  <c r="J309" i="3"/>
  <c r="M310" i="3"/>
  <c r="P311" i="3"/>
  <c r="S312" i="3"/>
  <c r="V313" i="3"/>
  <c r="L315" i="3"/>
  <c r="O316" i="3"/>
  <c r="R317" i="3"/>
  <c r="U318" i="3"/>
  <c r="K320" i="3"/>
  <c r="N321" i="3"/>
  <c r="Q322" i="3"/>
  <c r="T323" i="3"/>
  <c r="J325" i="3"/>
  <c r="M326" i="3"/>
  <c r="P327" i="3"/>
  <c r="S328" i="3"/>
  <c r="V329" i="3"/>
  <c r="L331" i="3"/>
  <c r="O332" i="3"/>
  <c r="R333" i="3"/>
  <c r="U334" i="3"/>
  <c r="K336" i="3"/>
  <c r="N337" i="3"/>
  <c r="Q338" i="3"/>
  <c r="T339" i="3"/>
  <c r="J341" i="3"/>
  <c r="M342" i="3"/>
  <c r="V74" i="3"/>
  <c r="Q158" i="3"/>
  <c r="N189" i="3"/>
  <c r="R209" i="3"/>
  <c r="S222" i="3"/>
  <c r="V233" i="3"/>
  <c r="M245" i="3"/>
  <c r="L256" i="3"/>
  <c r="J266" i="3"/>
  <c r="U275" i="3"/>
  <c r="R284" i="3"/>
  <c r="K291" i="3"/>
  <c r="S296" i="3"/>
  <c r="N302" i="3"/>
  <c r="O307" i="3"/>
  <c r="N312" i="3"/>
  <c r="M317" i="3"/>
  <c r="L322" i="3"/>
  <c r="K327" i="3"/>
  <c r="J332" i="3"/>
  <c r="V336" i="3"/>
  <c r="U341" i="3"/>
  <c r="P344" i="3"/>
  <c r="O346" i="3"/>
  <c r="T348" i="3"/>
  <c r="J351" i="3"/>
  <c r="V352" i="3"/>
  <c r="J355" i="3"/>
  <c r="S356" i="3"/>
  <c r="L358" i="3"/>
  <c r="V359" i="3"/>
  <c r="R361" i="3"/>
  <c r="K363" i="3"/>
  <c r="U364" i="3"/>
  <c r="Q366" i="3"/>
  <c r="J368" i="3"/>
  <c r="T369" i="3"/>
  <c r="P371" i="3"/>
  <c r="V372" i="3"/>
  <c r="S374" i="3"/>
  <c r="O376" i="3"/>
  <c r="U377" i="3"/>
  <c r="R379" i="3"/>
  <c r="N381" i="3"/>
  <c r="T382" i="3"/>
  <c r="Q384" i="3"/>
  <c r="M386" i="3"/>
  <c r="S387" i="3"/>
  <c r="P389" i="3"/>
  <c r="K391" i="3"/>
  <c r="N392" i="3"/>
  <c r="N393" i="3"/>
  <c r="O394" i="3"/>
  <c r="M395" i="3"/>
  <c r="K396" i="3"/>
  <c r="V396" i="3"/>
  <c r="S397" i="3"/>
  <c r="Q398" i="3"/>
  <c r="O399" i="3"/>
  <c r="L400" i="3"/>
  <c r="J401" i="3"/>
  <c r="U401" i="3"/>
  <c r="R402" i="3"/>
  <c r="P403" i="3"/>
  <c r="N404" i="3"/>
  <c r="K405" i="3"/>
  <c r="V405" i="3"/>
  <c r="R406" i="3"/>
  <c r="N407" i="3"/>
  <c r="J408" i="3"/>
  <c r="S408" i="3"/>
  <c r="O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Q433" i="3"/>
  <c r="L434" i="3"/>
  <c r="T434" i="3"/>
  <c r="O435" i="3"/>
  <c r="J436" i="3"/>
  <c r="R436" i="3"/>
  <c r="M437" i="3"/>
  <c r="U437" i="3"/>
  <c r="P438" i="3"/>
  <c r="K439" i="3"/>
  <c r="S439" i="3"/>
  <c r="N440" i="3"/>
  <c r="V440" i="3"/>
  <c r="Q441" i="3"/>
  <c r="L442" i="3"/>
  <c r="T442" i="3"/>
  <c r="O443" i="3"/>
  <c r="J444" i="3"/>
  <c r="R444" i="3"/>
  <c r="M445" i="3"/>
  <c r="U445" i="3"/>
  <c r="P446" i="3"/>
  <c r="K447" i="3"/>
  <c r="S447" i="3"/>
  <c r="N448" i="3"/>
  <c r="V448" i="3"/>
  <c r="Q449" i="3"/>
  <c r="L450" i="3"/>
  <c r="T450" i="3"/>
  <c r="O451" i="3"/>
  <c r="J452" i="3"/>
  <c r="R452" i="3"/>
  <c r="M453" i="3"/>
  <c r="U453" i="3"/>
  <c r="P454" i="3"/>
  <c r="K455" i="3"/>
  <c r="S455" i="3"/>
  <c r="N456" i="3"/>
  <c r="V456" i="3"/>
  <c r="Q457" i="3"/>
  <c r="L458" i="3"/>
  <c r="T458" i="3"/>
  <c r="O459" i="3"/>
  <c r="J460" i="3"/>
  <c r="U100" i="3"/>
  <c r="K164" i="3"/>
  <c r="V191" i="3"/>
  <c r="K211" i="3"/>
  <c r="V223" i="3"/>
  <c r="L235" i="3"/>
  <c r="P246" i="3"/>
  <c r="M257" i="3"/>
  <c r="K267" i="3"/>
  <c r="V276" i="3"/>
  <c r="M285" i="3"/>
  <c r="R291" i="3"/>
  <c r="M297" i="3"/>
  <c r="U302" i="3"/>
  <c r="U307" i="3"/>
  <c r="T312" i="3"/>
  <c r="S317" i="3"/>
  <c r="R322" i="3"/>
  <c r="Q327" i="3"/>
  <c r="P332" i="3"/>
  <c r="O337" i="3"/>
  <c r="N342" i="3"/>
  <c r="S344" i="3"/>
  <c r="V346" i="3"/>
  <c r="U348" i="3"/>
  <c r="M351" i="3"/>
  <c r="P353" i="3"/>
  <c r="K355" i="3"/>
  <c r="U356" i="3"/>
  <c r="Q358" i="3"/>
  <c r="J360" i="3"/>
  <c r="T361" i="3"/>
  <c r="P363" i="3"/>
  <c r="V364" i="3"/>
  <c r="S366" i="3"/>
  <c r="O368" i="3"/>
  <c r="U369" i="3"/>
  <c r="R371" i="3"/>
  <c r="N373" i="3"/>
  <c r="T374" i="3"/>
  <c r="Q376" i="3"/>
  <c r="M378" i="3"/>
  <c r="S379" i="3"/>
  <c r="P381" i="3"/>
  <c r="L383" i="3"/>
  <c r="R384" i="3"/>
  <c r="O386" i="3"/>
  <c r="K388" i="3"/>
  <c r="Q389" i="3"/>
  <c r="L391" i="3"/>
  <c r="O392" i="3"/>
  <c r="Q393" i="3"/>
  <c r="P394" i="3"/>
  <c r="O395" i="3"/>
  <c r="M396" i="3"/>
  <c r="J397" i="3"/>
  <c r="U397" i="3"/>
  <c r="S398" i="3"/>
  <c r="P399" i="3"/>
  <c r="N400" i="3"/>
  <c r="L401" i="3"/>
  <c r="V401" i="3"/>
  <c r="T402" i="3"/>
  <c r="R403" i="3"/>
  <c r="O404" i="3"/>
  <c r="M405" i="3"/>
  <c r="J406" i="3"/>
  <c r="S406" i="3"/>
  <c r="O407" i="3"/>
  <c r="K408" i="3"/>
  <c r="T408" i="3"/>
  <c r="Q409" i="3"/>
  <c r="M410" i="3"/>
  <c r="U410" i="3"/>
  <c r="P411" i="3"/>
  <c r="K412" i="3"/>
  <c r="S412" i="3"/>
  <c r="N413" i="3"/>
  <c r="V413" i="3"/>
  <c r="Q414" i="3"/>
  <c r="L415" i="3"/>
  <c r="T415" i="3"/>
  <c r="O416" i="3"/>
  <c r="J417" i="3"/>
  <c r="R417" i="3"/>
  <c r="M418" i="3"/>
  <c r="U418" i="3"/>
  <c r="P419" i="3"/>
  <c r="K420" i="3"/>
  <c r="S420" i="3"/>
  <c r="N421" i="3"/>
  <c r="V421" i="3"/>
  <c r="Q422" i="3"/>
  <c r="L423" i="3"/>
  <c r="T423" i="3"/>
  <c r="O424" i="3"/>
  <c r="J425" i="3"/>
  <c r="R425" i="3"/>
  <c r="M426" i="3"/>
  <c r="U426" i="3"/>
  <c r="P427" i="3"/>
  <c r="K428" i="3"/>
  <c r="S428" i="3"/>
  <c r="N429" i="3"/>
  <c r="V429" i="3"/>
  <c r="Q430" i="3"/>
  <c r="L431" i="3"/>
  <c r="T431" i="3"/>
  <c r="O432" i="3"/>
  <c r="J433" i="3"/>
  <c r="R433" i="3"/>
  <c r="M434" i="3"/>
  <c r="U434" i="3"/>
  <c r="P435" i="3"/>
  <c r="K436" i="3"/>
  <c r="S436" i="3"/>
  <c r="N437" i="3"/>
  <c r="V437" i="3"/>
  <c r="Q438" i="3"/>
  <c r="L439" i="3"/>
  <c r="T439" i="3"/>
  <c r="O440" i="3"/>
  <c r="J441" i="3"/>
  <c r="R441" i="3"/>
  <c r="M442" i="3"/>
  <c r="U442" i="3"/>
  <c r="P443" i="3"/>
  <c r="K444" i="3"/>
  <c r="S444" i="3"/>
  <c r="N445" i="3"/>
  <c r="V445" i="3"/>
  <c r="Q446" i="3"/>
  <c r="L447" i="3"/>
  <c r="T447" i="3"/>
  <c r="O448" i="3"/>
  <c r="J449" i="3"/>
  <c r="R449" i="3"/>
  <c r="M450" i="3"/>
  <c r="U450" i="3"/>
  <c r="P451" i="3"/>
  <c r="K452" i="3"/>
  <c r="S452" i="3"/>
  <c r="N453" i="3"/>
  <c r="V453" i="3"/>
  <c r="Q454" i="3"/>
  <c r="L455" i="3"/>
  <c r="T455" i="3"/>
  <c r="O456" i="3"/>
  <c r="J457" i="3"/>
  <c r="R457" i="3"/>
  <c r="M458" i="3"/>
  <c r="U458" i="3"/>
  <c r="P459" i="3"/>
  <c r="K460" i="3"/>
  <c r="S460" i="3"/>
  <c r="N461" i="3"/>
  <c r="V461" i="3"/>
  <c r="Q462" i="3"/>
  <c r="L463" i="3"/>
  <c r="T463" i="3"/>
  <c r="O464" i="3"/>
  <c r="J465" i="3"/>
  <c r="R465" i="3"/>
  <c r="M466" i="3"/>
  <c r="U466" i="3"/>
  <c r="P467" i="3"/>
  <c r="K468" i="3"/>
  <c r="S468" i="3"/>
  <c r="N469" i="3"/>
  <c r="V469" i="3"/>
  <c r="J112" i="3"/>
  <c r="O169" i="3"/>
  <c r="V194" i="3"/>
  <c r="V212" i="3"/>
  <c r="Q225" i="3"/>
  <c r="T236" i="3"/>
  <c r="J248" i="3"/>
  <c r="R258" i="3"/>
  <c r="P268" i="3"/>
  <c r="N278" i="3"/>
  <c r="M286" i="3"/>
  <c r="P292" i="3"/>
  <c r="L298" i="3"/>
  <c r="S303" i="3"/>
  <c r="R308" i="3"/>
  <c r="Q313" i="3"/>
  <c r="P318" i="3"/>
  <c r="O323" i="3"/>
  <c r="N328" i="3"/>
  <c r="M333" i="3"/>
  <c r="L338" i="3"/>
  <c r="U342" i="3"/>
  <c r="T344" i="3"/>
  <c r="L347" i="3"/>
  <c r="O349" i="3"/>
  <c r="N351" i="3"/>
  <c r="S353" i="3"/>
  <c r="P355" i="3"/>
  <c r="V356" i="3"/>
  <c r="S358" i="3"/>
  <c r="O360" i="3"/>
  <c r="U361" i="3"/>
  <c r="R363" i="3"/>
  <c r="N365" i="3"/>
  <c r="T366" i="3"/>
  <c r="Q368" i="3"/>
  <c r="M370" i="3"/>
  <c r="S371" i="3"/>
  <c r="P373" i="3"/>
  <c r="L375" i="3"/>
  <c r="R376" i="3"/>
  <c r="O378" i="3"/>
  <c r="K380" i="3"/>
  <c r="Q381" i="3"/>
  <c r="N383" i="3"/>
  <c r="J385" i="3"/>
  <c r="P386" i="3"/>
  <c r="M388" i="3"/>
  <c r="V389" i="3"/>
  <c r="N391" i="3"/>
  <c r="Q392" i="3"/>
  <c r="R393" i="3"/>
  <c r="Q394" i="3"/>
  <c r="P395" i="3"/>
  <c r="N396" i="3"/>
  <c r="K397" i="3"/>
  <c r="V397" i="3"/>
  <c r="T398" i="3"/>
  <c r="Q399" i="3"/>
  <c r="O400" i="3"/>
  <c r="M401" i="3"/>
  <c r="J402" i="3"/>
  <c r="U402" i="3"/>
  <c r="S403" i="3"/>
  <c r="P404" i="3"/>
  <c r="N405" i="3"/>
  <c r="K406" i="3"/>
  <c r="T406" i="3"/>
  <c r="P407" i="3"/>
  <c r="L408" i="3"/>
  <c r="V408" i="3"/>
  <c r="R409" i="3"/>
  <c r="N410" i="3"/>
  <c r="V410" i="3"/>
  <c r="Q411" i="3"/>
  <c r="L412" i="3"/>
  <c r="T412" i="3"/>
  <c r="O413" i="3"/>
  <c r="J414" i="3"/>
  <c r="R414" i="3"/>
  <c r="M415" i="3"/>
  <c r="U415" i="3"/>
  <c r="P416" i="3"/>
  <c r="K417" i="3"/>
  <c r="S417" i="3"/>
  <c r="N418" i="3"/>
  <c r="V418" i="3"/>
  <c r="Q419" i="3"/>
  <c r="L420" i="3"/>
  <c r="T420" i="3"/>
  <c r="O421" i="3"/>
  <c r="J422" i="3"/>
  <c r="R422" i="3"/>
  <c r="M423" i="3"/>
  <c r="U423" i="3"/>
  <c r="P424" i="3"/>
  <c r="K425" i="3"/>
  <c r="S425" i="3"/>
  <c r="N426" i="3"/>
  <c r="V426" i="3"/>
  <c r="Q427" i="3"/>
  <c r="L428" i="3"/>
  <c r="T428" i="3"/>
  <c r="O429" i="3"/>
  <c r="J430" i="3"/>
  <c r="R430" i="3"/>
  <c r="M431" i="3"/>
  <c r="U431" i="3"/>
  <c r="P432" i="3"/>
  <c r="K433" i="3"/>
  <c r="S433" i="3"/>
  <c r="N434" i="3"/>
  <c r="V434" i="3"/>
  <c r="Q435" i="3"/>
  <c r="L436" i="3"/>
  <c r="T436" i="3"/>
  <c r="O437" i="3"/>
  <c r="J438" i="3"/>
  <c r="R438" i="3"/>
  <c r="M439" i="3"/>
  <c r="U439" i="3"/>
  <c r="P440" i="3"/>
  <c r="K441" i="3"/>
  <c r="S441" i="3"/>
  <c r="N442" i="3"/>
  <c r="V442" i="3"/>
  <c r="Q443" i="3"/>
  <c r="L444" i="3"/>
  <c r="T444" i="3"/>
  <c r="O445" i="3"/>
  <c r="J446" i="3"/>
  <c r="R446" i="3"/>
  <c r="M447" i="3"/>
  <c r="U447" i="3"/>
  <c r="P448" i="3"/>
  <c r="K449" i="3"/>
  <c r="S449" i="3"/>
  <c r="N450" i="3"/>
  <c r="V450" i="3"/>
  <c r="Q451" i="3"/>
  <c r="L452" i="3"/>
  <c r="T452" i="3"/>
  <c r="O453" i="3"/>
  <c r="J454" i="3"/>
  <c r="R454" i="3"/>
  <c r="M455" i="3"/>
  <c r="U455" i="3"/>
  <c r="P456" i="3"/>
  <c r="K457" i="3"/>
  <c r="S457" i="3"/>
  <c r="N458" i="3"/>
  <c r="V458" i="3"/>
  <c r="Q459" i="3"/>
  <c r="L460" i="3"/>
  <c r="S121" i="3"/>
  <c r="U172" i="3"/>
  <c r="Q197" i="3"/>
  <c r="N214" i="3"/>
  <c r="T226" i="3"/>
  <c r="J238" i="3"/>
  <c r="M249" i="3"/>
  <c r="S259" i="3"/>
  <c r="Q269" i="3"/>
  <c r="O279" i="3"/>
  <c r="U286" i="3"/>
  <c r="J293" i="3"/>
  <c r="R298" i="3"/>
  <c r="L304" i="3"/>
  <c r="K309" i="3"/>
  <c r="J314" i="3"/>
  <c r="V318" i="3"/>
  <c r="U323" i="3"/>
  <c r="T328" i="3"/>
  <c r="S333" i="3"/>
  <c r="R338" i="3"/>
  <c r="J343" i="3"/>
  <c r="N345" i="3"/>
  <c r="M347" i="3"/>
  <c r="R349" i="3"/>
  <c r="U351" i="3"/>
  <c r="T353" i="3"/>
  <c r="R355" i="3"/>
  <c r="N357" i="3"/>
  <c r="T358" i="3"/>
  <c r="Q360" i="3"/>
  <c r="M362" i="3"/>
  <c r="S363" i="3"/>
  <c r="P365" i="3"/>
  <c r="L367" i="3"/>
  <c r="R368" i="3"/>
  <c r="O370" i="3"/>
  <c r="K372" i="3"/>
  <c r="Q373" i="3"/>
  <c r="N375" i="3"/>
  <c r="J377" i="3"/>
  <c r="P378" i="3"/>
  <c r="M380" i="3"/>
  <c r="V381" i="3"/>
  <c r="O383" i="3"/>
  <c r="L385" i="3"/>
  <c r="U386" i="3"/>
  <c r="N388" i="3"/>
  <c r="K390" i="3"/>
  <c r="O391" i="3"/>
  <c r="R392" i="3"/>
  <c r="T393" i="3"/>
  <c r="T394" i="3"/>
  <c r="R395" i="3"/>
  <c r="O396" i="3"/>
  <c r="M397" i="3"/>
  <c r="K398" i="3"/>
  <c r="U398" i="3"/>
  <c r="S399" i="3"/>
  <c r="Q400" i="3"/>
  <c r="N401" i="3"/>
  <c r="L402" i="3"/>
  <c r="J403" i="3"/>
  <c r="T403" i="3"/>
  <c r="R404" i="3"/>
  <c r="P405" i="3"/>
  <c r="L406" i="3"/>
  <c r="U406" i="3"/>
  <c r="Q407" i="3"/>
  <c r="N408" i="3"/>
  <c r="J409" i="3"/>
  <c r="S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S131" i="3"/>
  <c r="S176" i="3"/>
  <c r="Q200" i="3"/>
  <c r="L216" i="3"/>
  <c r="N228" i="3"/>
  <c r="Q239" i="3"/>
  <c r="U250" i="3"/>
  <c r="K261" i="3"/>
  <c r="V270" i="3"/>
  <c r="T280" i="3"/>
  <c r="V287" i="3"/>
  <c r="V293" i="3"/>
  <c r="Q299" i="3"/>
  <c r="V304" i="3"/>
  <c r="U309" i="3"/>
  <c r="T314" i="3"/>
  <c r="S319" i="3"/>
  <c r="R324" i="3"/>
  <c r="Q329" i="3"/>
  <c r="P334" i="3"/>
  <c r="O339" i="3"/>
  <c r="K343" i="3"/>
  <c r="P345" i="3"/>
  <c r="T347" i="3"/>
  <c r="S349" i="3"/>
  <c r="K352" i="3"/>
  <c r="M354" i="3"/>
  <c r="S355" i="3"/>
  <c r="P357" i="3"/>
  <c r="L359" i="3"/>
  <c r="R360" i="3"/>
  <c r="O362" i="3"/>
  <c r="K364" i="3"/>
  <c r="Q365" i="3"/>
  <c r="N367" i="3"/>
  <c r="J369" i="3"/>
  <c r="P370" i="3"/>
  <c r="M372" i="3"/>
  <c r="V373" i="3"/>
  <c r="O375" i="3"/>
  <c r="L377" i="3"/>
  <c r="U378" i="3"/>
  <c r="N380" i="3"/>
  <c r="K382" i="3"/>
  <c r="T383" i="3"/>
  <c r="M385" i="3"/>
  <c r="J387" i="3"/>
  <c r="S388" i="3"/>
  <c r="L390" i="3"/>
  <c r="S391" i="3"/>
  <c r="V392" i="3"/>
  <c r="U393" i="3"/>
  <c r="U394" i="3"/>
  <c r="S395" i="3"/>
  <c r="P396" i="3"/>
  <c r="N397" i="3"/>
  <c r="L398" i="3"/>
  <c r="V398" i="3"/>
  <c r="T399" i="3"/>
  <c r="R400" i="3"/>
  <c r="O401" i="3"/>
  <c r="M402" i="3"/>
  <c r="K403" i="3"/>
  <c r="U403" i="3"/>
  <c r="S404" i="3"/>
  <c r="Q405" i="3"/>
  <c r="M406" i="3"/>
  <c r="V406" i="3"/>
  <c r="S407" i="3"/>
  <c r="O408" i="3"/>
  <c r="K409" i="3"/>
  <c r="T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R138" i="3"/>
  <c r="T179" i="3"/>
  <c r="L203" i="3"/>
  <c r="R217" i="3"/>
  <c r="Q229" i="3"/>
  <c r="T240" i="3"/>
  <c r="K252" i="3"/>
  <c r="L262" i="3"/>
  <c r="J272" i="3"/>
  <c r="U281" i="3"/>
  <c r="Q288" i="3"/>
  <c r="P294" i="3"/>
  <c r="K300" i="3"/>
  <c r="O305" i="3"/>
  <c r="N310" i="3"/>
  <c r="M315" i="3"/>
  <c r="L320" i="3"/>
  <c r="K325" i="3"/>
  <c r="J330" i="3"/>
  <c r="V334" i="3"/>
  <c r="U339" i="3"/>
  <c r="R343" i="3"/>
  <c r="Q345" i="3"/>
  <c r="V347" i="3"/>
  <c r="M350" i="3"/>
  <c r="L352" i="3"/>
  <c r="O354" i="3"/>
  <c r="K356" i="3"/>
  <c r="Q357" i="3"/>
  <c r="N359" i="3"/>
  <c r="J361" i="3"/>
  <c r="P362" i="3"/>
  <c r="M364" i="3"/>
  <c r="V365" i="3"/>
  <c r="O367" i="3"/>
  <c r="L369" i="3"/>
  <c r="U370" i="3"/>
  <c r="N372" i="3"/>
  <c r="K374" i="3"/>
  <c r="T375" i="3"/>
  <c r="M377" i="3"/>
  <c r="J379" i="3"/>
  <c r="S380" i="3"/>
  <c r="L382" i="3"/>
  <c r="V383" i="3"/>
  <c r="R385" i="3"/>
  <c r="K387" i="3"/>
  <c r="U388" i="3"/>
  <c r="Q390" i="3"/>
  <c r="T391" i="3"/>
  <c r="J393" i="3"/>
  <c r="V393" i="3"/>
  <c r="J395" i="3"/>
  <c r="T395" i="3"/>
  <c r="R396" i="3"/>
  <c r="P397" i="3"/>
  <c r="M398" i="3"/>
  <c r="K399" i="3"/>
  <c r="V399" i="3"/>
  <c r="S400" i="3"/>
  <c r="Q401" i="3"/>
  <c r="O402" i="3"/>
  <c r="L403" i="3"/>
  <c r="J404" i="3"/>
  <c r="U404" i="3"/>
  <c r="R405" i="3"/>
  <c r="N406" i="3"/>
  <c r="K407" i="3"/>
  <c r="T407" i="3"/>
  <c r="P408" i="3"/>
  <c r="L409" i="3"/>
  <c r="U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O145" i="3"/>
  <c r="L231" i="3"/>
  <c r="O273" i="3"/>
  <c r="V300" i="3"/>
  <c r="V320" i="3"/>
  <c r="R340" i="3"/>
  <c r="O350" i="3"/>
  <c r="V357" i="3"/>
  <c r="N364" i="3"/>
  <c r="J371" i="3"/>
  <c r="R377" i="3"/>
  <c r="J384" i="3"/>
  <c r="S390" i="3"/>
  <c r="K395" i="3"/>
  <c r="N398" i="3"/>
  <c r="R401" i="3"/>
  <c r="V404" i="3"/>
  <c r="U407" i="3"/>
  <c r="R410" i="3"/>
  <c r="K413" i="3"/>
  <c r="Q415" i="3"/>
  <c r="J418" i="3"/>
  <c r="P420" i="3"/>
  <c r="V422" i="3"/>
  <c r="O425" i="3"/>
  <c r="U427" i="3"/>
  <c r="L430" i="3"/>
  <c r="R431" i="3"/>
  <c r="O433" i="3"/>
  <c r="S434" i="3"/>
  <c r="V435" i="3"/>
  <c r="L437" i="3"/>
  <c r="O438" i="3"/>
  <c r="R439" i="3"/>
  <c r="U440" i="3"/>
  <c r="K442" i="3"/>
  <c r="L443" i="3"/>
  <c r="M444" i="3"/>
  <c r="K445" i="3"/>
  <c r="L446" i="3"/>
  <c r="J447" i="3"/>
  <c r="K448" i="3"/>
  <c r="L449" i="3"/>
  <c r="J450" i="3"/>
  <c r="K451" i="3"/>
  <c r="V451" i="3"/>
  <c r="J453" i="3"/>
  <c r="K454" i="3"/>
  <c r="V454" i="3"/>
  <c r="J456" i="3"/>
  <c r="U456" i="3"/>
  <c r="V457" i="3"/>
  <c r="J459" i="3"/>
  <c r="U459" i="3"/>
  <c r="T460" i="3"/>
  <c r="P461" i="3"/>
  <c r="L462" i="3"/>
  <c r="U462" i="3"/>
  <c r="Q463" i="3"/>
  <c r="M464" i="3"/>
  <c r="V464" i="3"/>
  <c r="S465" i="3"/>
  <c r="O466" i="3"/>
  <c r="K467" i="3"/>
  <c r="T467" i="3"/>
  <c r="P468" i="3"/>
  <c r="L469" i="3"/>
  <c r="U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S540" i="3"/>
  <c r="N541" i="3"/>
  <c r="V541" i="3"/>
  <c r="Q542" i="3"/>
  <c r="L543" i="3"/>
  <c r="T543" i="3"/>
  <c r="O544" i="3"/>
  <c r="J545" i="3"/>
  <c r="R545" i="3"/>
  <c r="M546" i="3"/>
  <c r="U546" i="3"/>
  <c r="P547" i="3"/>
  <c r="K548" i="3"/>
  <c r="S548" i="3"/>
  <c r="N549" i="3"/>
  <c r="V549" i="3"/>
  <c r="Q550" i="3"/>
  <c r="L551" i="3"/>
  <c r="T551" i="3"/>
  <c r="O552" i="3"/>
  <c r="J553" i="3"/>
  <c r="R553" i="3"/>
  <c r="M554" i="3"/>
  <c r="U554" i="3"/>
  <c r="P555" i="3"/>
  <c r="T151" i="3"/>
  <c r="O232" i="3"/>
  <c r="P274" i="3"/>
  <c r="P301" i="3"/>
  <c r="O321" i="3"/>
  <c r="K341" i="3"/>
  <c r="P350" i="3"/>
  <c r="K358" i="3"/>
  <c r="S364" i="3"/>
  <c r="K371" i="3"/>
  <c r="T377" i="3"/>
  <c r="O384" i="3"/>
  <c r="T390" i="3"/>
  <c r="L395" i="3"/>
  <c r="P398" i="3"/>
  <c r="T401" i="3"/>
  <c r="J405" i="3"/>
  <c r="V407" i="3"/>
  <c r="S410" i="3"/>
  <c r="L413" i="3"/>
  <c r="R415" i="3"/>
  <c r="K418" i="3"/>
  <c r="Q420" i="3"/>
  <c r="J423" i="3"/>
  <c r="P425" i="3"/>
  <c r="V427" i="3"/>
  <c r="N430" i="3"/>
  <c r="J432" i="3"/>
  <c r="P433" i="3"/>
  <c r="K435" i="3"/>
  <c r="N436" i="3"/>
  <c r="Q437" i="3"/>
  <c r="T438" i="3"/>
  <c r="J440" i="3"/>
  <c r="M441" i="3"/>
  <c r="O442" i="3"/>
  <c r="M443" i="3"/>
  <c r="N444" i="3"/>
  <c r="L445" i="3"/>
  <c r="M446" i="3"/>
  <c r="N447" i="3"/>
  <c r="L448" i="3"/>
  <c r="M449" i="3"/>
  <c r="K450" i="3"/>
  <c r="L451" i="3"/>
  <c r="M452" i="3"/>
  <c r="K453" i="3"/>
  <c r="L454" i="3"/>
  <c r="J455" i="3"/>
  <c r="K456" i="3"/>
  <c r="L457" i="3"/>
  <c r="J458" i="3"/>
  <c r="K459" i="3"/>
  <c r="V459" i="3"/>
  <c r="U460" i="3"/>
  <c r="Q461" i="3"/>
  <c r="M462" i="3"/>
  <c r="V462" i="3"/>
  <c r="R463" i="3"/>
  <c r="N464" i="3"/>
  <c r="K465" i="3"/>
  <c r="T465" i="3"/>
  <c r="P466" i="3"/>
  <c r="L467" i="3"/>
  <c r="U467" i="3"/>
  <c r="Q468" i="3"/>
  <c r="M469" i="3"/>
  <c r="J470" i="3"/>
  <c r="R470" i="3"/>
  <c r="M471" i="3"/>
  <c r="U471" i="3"/>
  <c r="P472" i="3"/>
  <c r="K473" i="3"/>
  <c r="S473" i="3"/>
  <c r="N474" i="3"/>
  <c r="V474" i="3"/>
  <c r="Q475" i="3"/>
  <c r="L476" i="3"/>
  <c r="T476" i="3"/>
  <c r="O477" i="3"/>
  <c r="J478" i="3"/>
  <c r="R478" i="3"/>
  <c r="M479" i="3"/>
  <c r="U479" i="3"/>
  <c r="P480" i="3"/>
  <c r="K481" i="3"/>
  <c r="S481" i="3"/>
  <c r="N482" i="3"/>
  <c r="V482" i="3"/>
  <c r="Q483" i="3"/>
  <c r="L484" i="3"/>
  <c r="T484" i="3"/>
  <c r="O485" i="3"/>
  <c r="J486" i="3"/>
  <c r="R486" i="3"/>
  <c r="M487" i="3"/>
  <c r="U487" i="3"/>
  <c r="P488" i="3"/>
  <c r="K489" i="3"/>
  <c r="S489" i="3"/>
  <c r="N490" i="3"/>
  <c r="V490" i="3"/>
  <c r="Q491" i="3"/>
  <c r="L492" i="3"/>
  <c r="T492" i="3"/>
  <c r="O493" i="3"/>
  <c r="J494" i="3"/>
  <c r="R494" i="3"/>
  <c r="M495" i="3"/>
  <c r="U495" i="3"/>
  <c r="P496" i="3"/>
  <c r="K497" i="3"/>
  <c r="S497" i="3"/>
  <c r="N498" i="3"/>
  <c r="V498" i="3"/>
  <c r="Q499" i="3"/>
  <c r="L500" i="3"/>
  <c r="T500" i="3"/>
  <c r="O501" i="3"/>
  <c r="J502" i="3"/>
  <c r="R502" i="3"/>
  <c r="M503" i="3"/>
  <c r="U503" i="3"/>
  <c r="P504" i="3"/>
  <c r="K505" i="3"/>
  <c r="S505" i="3"/>
  <c r="N506" i="3"/>
  <c r="V506" i="3"/>
  <c r="Q507" i="3"/>
  <c r="L508" i="3"/>
  <c r="T508" i="3"/>
  <c r="O509" i="3"/>
  <c r="J510" i="3"/>
  <c r="R510" i="3"/>
  <c r="M511" i="3"/>
  <c r="U511" i="3"/>
  <c r="P512" i="3"/>
  <c r="K513" i="3"/>
  <c r="S513" i="3"/>
  <c r="N514" i="3"/>
  <c r="V514" i="3"/>
  <c r="Q515" i="3"/>
  <c r="L516" i="3"/>
  <c r="T516" i="3"/>
  <c r="O517" i="3"/>
  <c r="J518" i="3"/>
  <c r="R518" i="3"/>
  <c r="M519" i="3"/>
  <c r="U519" i="3"/>
  <c r="P520" i="3"/>
  <c r="K521" i="3"/>
  <c r="S521" i="3"/>
  <c r="N522" i="3"/>
  <c r="V522" i="3"/>
  <c r="Q523" i="3"/>
  <c r="L524" i="3"/>
  <c r="T524" i="3"/>
  <c r="O525" i="3"/>
  <c r="J526" i="3"/>
  <c r="R526" i="3"/>
  <c r="M527" i="3"/>
  <c r="U527" i="3"/>
  <c r="P528" i="3"/>
  <c r="K529" i="3"/>
  <c r="S529" i="3"/>
  <c r="N530" i="3"/>
  <c r="V530" i="3"/>
  <c r="Q531" i="3"/>
  <c r="L532" i="3"/>
  <c r="T532" i="3"/>
  <c r="O533" i="3"/>
  <c r="J534" i="3"/>
  <c r="R534" i="3"/>
  <c r="M535" i="3"/>
  <c r="U535" i="3"/>
  <c r="P536" i="3"/>
  <c r="K537" i="3"/>
  <c r="S537" i="3"/>
  <c r="N538" i="3"/>
  <c r="V538" i="3"/>
  <c r="Q539" i="3"/>
  <c r="L540" i="3"/>
  <c r="T540" i="3"/>
  <c r="O541" i="3"/>
  <c r="J542" i="3"/>
  <c r="R542" i="3"/>
  <c r="M543" i="3"/>
  <c r="U543" i="3"/>
  <c r="P544" i="3"/>
  <c r="K545" i="3"/>
  <c r="S545" i="3"/>
  <c r="N546" i="3"/>
  <c r="V546" i="3"/>
  <c r="Q547" i="3"/>
  <c r="L548" i="3"/>
  <c r="T548" i="3"/>
  <c r="O549" i="3"/>
  <c r="J550" i="3"/>
  <c r="R550" i="3"/>
  <c r="M551" i="3"/>
  <c r="U551" i="3"/>
  <c r="P552" i="3"/>
  <c r="K553" i="3"/>
  <c r="S553" i="3"/>
  <c r="N554" i="3"/>
  <c r="V554" i="3"/>
  <c r="Q555" i="3"/>
  <c r="L556" i="3"/>
  <c r="N183" i="3"/>
  <c r="O242" i="3"/>
  <c r="J283" i="3"/>
  <c r="L306" i="3"/>
  <c r="U325" i="3"/>
  <c r="U343" i="3"/>
  <c r="S352" i="3"/>
  <c r="O359" i="3"/>
  <c r="K366" i="3"/>
  <c r="S372" i="3"/>
  <c r="K379" i="3"/>
  <c r="T385" i="3"/>
  <c r="V391" i="3"/>
  <c r="U395" i="3"/>
  <c r="L399" i="3"/>
  <c r="P402" i="3"/>
  <c r="S405" i="3"/>
  <c r="Q408" i="3"/>
  <c r="M411" i="3"/>
  <c r="S413" i="3"/>
  <c r="L416" i="3"/>
  <c r="R418" i="3"/>
  <c r="K421" i="3"/>
  <c r="Q423" i="3"/>
  <c r="J426" i="3"/>
  <c r="P428" i="3"/>
  <c r="O430" i="3"/>
  <c r="L432" i="3"/>
  <c r="U433" i="3"/>
  <c r="L435" i="3"/>
  <c r="O436" i="3"/>
  <c r="R437" i="3"/>
  <c r="U438" i="3"/>
  <c r="K440" i="3"/>
  <c r="N441" i="3"/>
  <c r="P442" i="3"/>
  <c r="N443" i="3"/>
  <c r="O444" i="3"/>
  <c r="P445" i="3"/>
  <c r="N446" i="3"/>
  <c r="O447" i="3"/>
  <c r="M448" i="3"/>
  <c r="N449" i="3"/>
  <c r="O450" i="3"/>
  <c r="M451" i="3"/>
  <c r="N452" i="3"/>
  <c r="L453" i="3"/>
  <c r="M454" i="3"/>
  <c r="N455" i="3"/>
  <c r="L456" i="3"/>
  <c r="M457" i="3"/>
  <c r="K458" i="3"/>
  <c r="L459" i="3"/>
  <c r="M460" i="3"/>
  <c r="V460" i="3"/>
  <c r="R461" i="3"/>
  <c r="N462" i="3"/>
  <c r="J463" i="3"/>
  <c r="S463" i="3"/>
  <c r="P464" i="3"/>
  <c r="L465" i="3"/>
  <c r="U465" i="3"/>
  <c r="Q466" i="3"/>
  <c r="M467" i="3"/>
  <c r="V467" i="3"/>
  <c r="R468" i="3"/>
  <c r="O469" i="3"/>
  <c r="K470" i="3"/>
  <c r="S470" i="3"/>
  <c r="N471" i="3"/>
  <c r="V471" i="3"/>
  <c r="Q472" i="3"/>
  <c r="L473" i="3"/>
  <c r="T473" i="3"/>
  <c r="O474" i="3"/>
  <c r="J475" i="3"/>
  <c r="R475" i="3"/>
  <c r="M476" i="3"/>
  <c r="U476" i="3"/>
  <c r="P477" i="3"/>
  <c r="K478" i="3"/>
  <c r="S478" i="3"/>
  <c r="N479" i="3"/>
  <c r="V479" i="3"/>
  <c r="Q480" i="3"/>
  <c r="L481" i="3"/>
  <c r="T481" i="3"/>
  <c r="O482" i="3"/>
  <c r="J483" i="3"/>
  <c r="R483" i="3"/>
  <c r="M484" i="3"/>
  <c r="U484" i="3"/>
  <c r="P485" i="3"/>
  <c r="K486" i="3"/>
  <c r="S486" i="3"/>
  <c r="N487" i="3"/>
  <c r="V487" i="3"/>
  <c r="Q488" i="3"/>
  <c r="L489" i="3"/>
  <c r="T489" i="3"/>
  <c r="O490" i="3"/>
  <c r="J491" i="3"/>
  <c r="R491" i="3"/>
  <c r="M492" i="3"/>
  <c r="U492" i="3"/>
  <c r="P493" i="3"/>
  <c r="K494" i="3"/>
  <c r="S494" i="3"/>
  <c r="N495" i="3"/>
  <c r="V495" i="3"/>
  <c r="Q496" i="3"/>
  <c r="L497" i="3"/>
  <c r="T497" i="3"/>
  <c r="O498" i="3"/>
  <c r="J499" i="3"/>
  <c r="R499" i="3"/>
  <c r="M500" i="3"/>
  <c r="U500" i="3"/>
  <c r="P501" i="3"/>
  <c r="K502" i="3"/>
  <c r="S502" i="3"/>
  <c r="N503" i="3"/>
  <c r="V503" i="3"/>
  <c r="Q504" i="3"/>
  <c r="L505" i="3"/>
  <c r="T505" i="3"/>
  <c r="O506" i="3"/>
  <c r="J507" i="3"/>
  <c r="R507" i="3"/>
  <c r="M508" i="3"/>
  <c r="U508" i="3"/>
  <c r="P509" i="3"/>
  <c r="K510" i="3"/>
  <c r="S510" i="3"/>
  <c r="N511" i="3"/>
  <c r="V511" i="3"/>
  <c r="Q512" i="3"/>
  <c r="L513" i="3"/>
  <c r="T513" i="3"/>
  <c r="O514" i="3"/>
  <c r="J515" i="3"/>
  <c r="R515" i="3"/>
  <c r="M516" i="3"/>
  <c r="U516" i="3"/>
  <c r="P517" i="3"/>
  <c r="K518" i="3"/>
  <c r="S518" i="3"/>
  <c r="N519" i="3"/>
  <c r="V519" i="3"/>
  <c r="Q520" i="3"/>
  <c r="L521" i="3"/>
  <c r="T521" i="3"/>
  <c r="O522" i="3"/>
  <c r="J523" i="3"/>
  <c r="R523" i="3"/>
  <c r="M524" i="3"/>
  <c r="U524" i="3"/>
  <c r="P525" i="3"/>
  <c r="K526" i="3"/>
  <c r="S526" i="3"/>
  <c r="N527" i="3"/>
  <c r="V527" i="3"/>
  <c r="Q528" i="3"/>
  <c r="L529" i="3"/>
  <c r="T529" i="3"/>
  <c r="O530" i="3"/>
  <c r="J531" i="3"/>
  <c r="R531" i="3"/>
  <c r="M532" i="3"/>
  <c r="U532" i="3"/>
  <c r="P533" i="3"/>
  <c r="K534" i="3"/>
  <c r="S534" i="3"/>
  <c r="N535" i="3"/>
  <c r="V535" i="3"/>
  <c r="Q536" i="3"/>
  <c r="L537" i="3"/>
  <c r="T537" i="3"/>
  <c r="O538" i="3"/>
  <c r="J539" i="3"/>
  <c r="R539" i="3"/>
  <c r="M540" i="3"/>
  <c r="U540" i="3"/>
  <c r="P541" i="3"/>
  <c r="K542" i="3"/>
  <c r="S542" i="3"/>
  <c r="N543" i="3"/>
  <c r="V543" i="3"/>
  <c r="Q544" i="3"/>
  <c r="L545" i="3"/>
  <c r="T545" i="3"/>
  <c r="O546" i="3"/>
  <c r="J547" i="3"/>
  <c r="R547" i="3"/>
  <c r="M548" i="3"/>
  <c r="U548" i="3"/>
  <c r="P549" i="3"/>
  <c r="K550" i="3"/>
  <c r="S550" i="3"/>
  <c r="N551" i="3"/>
  <c r="V551" i="3"/>
  <c r="Q552" i="3"/>
  <c r="N186" i="3"/>
  <c r="R243" i="3"/>
  <c r="R283" i="3"/>
  <c r="R306" i="3"/>
  <c r="N326" i="3"/>
  <c r="V343" i="3"/>
  <c r="U352" i="3"/>
  <c r="T359" i="3"/>
  <c r="L366" i="3"/>
  <c r="U372" i="3"/>
  <c r="P379" i="3"/>
  <c r="U385" i="3"/>
  <c r="J392" i="3"/>
  <c r="J396" i="3"/>
  <c r="N399" i="3"/>
  <c r="Q402" i="3"/>
  <c r="U405" i="3"/>
  <c r="R408" i="3"/>
  <c r="N411" i="3"/>
  <c r="T413" i="3"/>
  <c r="M416" i="3"/>
  <c r="S418" i="3"/>
  <c r="L421" i="3"/>
  <c r="R423" i="3"/>
  <c r="K426" i="3"/>
  <c r="Q428" i="3"/>
  <c r="T430" i="3"/>
  <c r="M432" i="3"/>
  <c r="J434" i="3"/>
  <c r="M435" i="3"/>
  <c r="P436" i="3"/>
  <c r="S437" i="3"/>
  <c r="V438" i="3"/>
  <c r="L440" i="3"/>
  <c r="O441" i="3"/>
  <c r="Q442" i="3"/>
  <c r="R443" i="3"/>
  <c r="P444" i="3"/>
  <c r="Q445" i="3"/>
  <c r="O446" i="3"/>
  <c r="P447" i="3"/>
  <c r="Q448" i="3"/>
  <c r="O449" i="3"/>
  <c r="P450" i="3"/>
  <c r="N451" i="3"/>
  <c r="O452" i="3"/>
  <c r="P453" i="3"/>
  <c r="N454" i="3"/>
  <c r="O455" i="3"/>
  <c r="M456" i="3"/>
  <c r="N457" i="3"/>
  <c r="O458" i="3"/>
  <c r="M459" i="3"/>
  <c r="N460" i="3"/>
  <c r="J461" i="3"/>
  <c r="S461" i="3"/>
  <c r="O462" i="3"/>
  <c r="K463" i="3"/>
  <c r="U463" i="3"/>
  <c r="Q464" i="3"/>
  <c r="M465" i="3"/>
  <c r="V465" i="3"/>
  <c r="R466" i="3"/>
  <c r="N467" i="3"/>
  <c r="J468" i="3"/>
  <c r="T468" i="3"/>
  <c r="P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L206" i="3"/>
  <c r="R253" i="3"/>
  <c r="Q289" i="3"/>
  <c r="K311" i="3"/>
  <c r="T330" i="3"/>
  <c r="K346" i="3"/>
  <c r="P354" i="3"/>
  <c r="L361" i="3"/>
  <c r="T367" i="3"/>
  <c r="L374" i="3"/>
  <c r="U380" i="3"/>
  <c r="P387" i="3"/>
  <c r="L393" i="3"/>
  <c r="S396" i="3"/>
  <c r="J400" i="3"/>
  <c r="M403" i="3"/>
  <c r="P406" i="3"/>
  <c r="M409" i="3"/>
  <c r="U411" i="3"/>
  <c r="N414" i="3"/>
  <c r="T416" i="3"/>
  <c r="M419" i="3"/>
  <c r="S421" i="3"/>
  <c r="L424" i="3"/>
  <c r="R426" i="3"/>
  <c r="K429" i="3"/>
  <c r="V430" i="3"/>
  <c r="R432" i="3"/>
  <c r="K434" i="3"/>
  <c r="N435" i="3"/>
  <c r="Q436" i="3"/>
  <c r="T437" i="3"/>
  <c r="J439" i="3"/>
  <c r="M440" i="3"/>
  <c r="P441" i="3"/>
  <c r="R442" i="3"/>
  <c r="S443" i="3"/>
  <c r="Q444" i="3"/>
  <c r="R445" i="3"/>
  <c r="S446" i="3"/>
  <c r="Q447" i="3"/>
  <c r="R448" i="3"/>
  <c r="P449" i="3"/>
  <c r="Q450" i="3"/>
  <c r="R451" i="3"/>
  <c r="P452" i="3"/>
  <c r="Q453" i="3"/>
  <c r="O454" i="3"/>
  <c r="P455" i="3"/>
  <c r="Q456" i="3"/>
  <c r="O457" i="3"/>
  <c r="P458" i="3"/>
  <c r="N459" i="3"/>
  <c r="O460" i="3"/>
  <c r="K461" i="3"/>
  <c r="T461" i="3"/>
  <c r="P462" i="3"/>
  <c r="M463" i="3"/>
  <c r="V463" i="3"/>
  <c r="R464" i="3"/>
  <c r="N465" i="3"/>
  <c r="J466" i="3"/>
  <c r="S466" i="3"/>
  <c r="O467" i="3"/>
  <c r="L468" i="3"/>
  <c r="U468" i="3"/>
  <c r="Q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T207" i="3"/>
  <c r="T254" i="3"/>
  <c r="L290" i="3"/>
  <c r="Q311" i="3"/>
  <c r="M331" i="3"/>
  <c r="N346" i="3"/>
  <c r="U354" i="3"/>
  <c r="M361" i="3"/>
  <c r="V367" i="3"/>
  <c r="Q374" i="3"/>
  <c r="V380" i="3"/>
  <c r="R387" i="3"/>
  <c r="M393" i="3"/>
  <c r="U396" i="3"/>
  <c r="K400" i="3"/>
  <c r="O403" i="3"/>
  <c r="Q406" i="3"/>
  <c r="N409" i="3"/>
  <c r="V411" i="3"/>
  <c r="O414" i="3"/>
  <c r="U416" i="3"/>
  <c r="N419" i="3"/>
  <c r="T421" i="3"/>
  <c r="M424" i="3"/>
  <c r="S426" i="3"/>
  <c r="L429" i="3"/>
  <c r="J431" i="3"/>
  <c r="T432" i="3"/>
  <c r="P434" i="3"/>
  <c r="S435" i="3"/>
  <c r="V436" i="3"/>
  <c r="L438" i="3"/>
  <c r="O439" i="3"/>
  <c r="R440" i="3"/>
  <c r="U441" i="3"/>
  <c r="S442" i="3"/>
  <c r="T443" i="3"/>
  <c r="U444" i="3"/>
  <c r="S445" i="3"/>
  <c r="T446" i="3"/>
  <c r="R447" i="3"/>
  <c r="S448" i="3"/>
  <c r="T449" i="3"/>
  <c r="R450" i="3"/>
  <c r="S451" i="3"/>
  <c r="Q452" i="3"/>
  <c r="R453" i="3"/>
  <c r="S454" i="3"/>
  <c r="Q455" i="3"/>
  <c r="R456" i="3"/>
  <c r="P457" i="3"/>
  <c r="Q458" i="3"/>
  <c r="R459" i="3"/>
  <c r="P460" i="3"/>
  <c r="L461" i="3"/>
  <c r="U461" i="3"/>
  <c r="R462" i="3"/>
  <c r="N463" i="3"/>
  <c r="J464" i="3"/>
  <c r="S464" i="3"/>
  <c r="O465" i="3"/>
  <c r="K466" i="3"/>
  <c r="T466" i="3"/>
  <c r="Q467" i="3"/>
  <c r="M468" i="3"/>
  <c r="V468" i="3"/>
  <c r="R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P219" i="3"/>
  <c r="S335" i="3"/>
  <c r="M369" i="3"/>
  <c r="L394" i="3"/>
  <c r="L407" i="3"/>
  <c r="O417" i="3"/>
  <c r="M427" i="3"/>
  <c r="Q434" i="3"/>
  <c r="P439" i="3"/>
  <c r="U443" i="3"/>
  <c r="V447" i="3"/>
  <c r="T451" i="3"/>
  <c r="R455" i="3"/>
  <c r="S459" i="3"/>
  <c r="S462" i="3"/>
  <c r="P465" i="3"/>
  <c r="N468" i="3"/>
  <c r="J471" i="3"/>
  <c r="P473" i="3"/>
  <c r="V475" i="3"/>
  <c r="O478" i="3"/>
  <c r="U480" i="3"/>
  <c r="N483" i="3"/>
  <c r="T485" i="3"/>
  <c r="M488" i="3"/>
  <c r="S490" i="3"/>
  <c r="L493" i="3"/>
  <c r="R495" i="3"/>
  <c r="K498" i="3"/>
  <c r="Q500" i="3"/>
  <c r="J503" i="3"/>
  <c r="P505" i="3"/>
  <c r="V507" i="3"/>
  <c r="O510" i="3"/>
  <c r="U512" i="3"/>
  <c r="N515" i="3"/>
  <c r="T517" i="3"/>
  <c r="M520" i="3"/>
  <c r="S522" i="3"/>
  <c r="L525" i="3"/>
  <c r="R527" i="3"/>
  <c r="K530" i="3"/>
  <c r="Q532" i="3"/>
  <c r="O534" i="3"/>
  <c r="K536" i="3"/>
  <c r="Q537" i="3"/>
  <c r="T538" i="3"/>
  <c r="J540" i="3"/>
  <c r="M541" i="3"/>
  <c r="N542" i="3"/>
  <c r="O543" i="3"/>
  <c r="M544" i="3"/>
  <c r="N545" i="3"/>
  <c r="L546" i="3"/>
  <c r="M547" i="3"/>
  <c r="N548" i="3"/>
  <c r="L549" i="3"/>
  <c r="M550" i="3"/>
  <c r="K551" i="3"/>
  <c r="L552" i="3"/>
  <c r="L553" i="3"/>
  <c r="V553" i="3"/>
  <c r="S554" i="3"/>
  <c r="R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V220" i="3"/>
  <c r="L336" i="3"/>
  <c r="R369" i="3"/>
  <c r="M394" i="3"/>
  <c r="M407" i="3"/>
  <c r="P417" i="3"/>
  <c r="N427" i="3"/>
  <c r="R434" i="3"/>
  <c r="Q439" i="3"/>
  <c r="V443" i="3"/>
  <c r="J448" i="3"/>
  <c r="U451" i="3"/>
  <c r="V455" i="3"/>
  <c r="T459" i="3"/>
  <c r="T462" i="3"/>
  <c r="Q465" i="3"/>
  <c r="O468" i="3"/>
  <c r="K471" i="3"/>
  <c r="Q473" i="3"/>
  <c r="J476" i="3"/>
  <c r="P478" i="3"/>
  <c r="V480" i="3"/>
  <c r="O483" i="3"/>
  <c r="U485" i="3"/>
  <c r="N488" i="3"/>
  <c r="T490" i="3"/>
  <c r="M493" i="3"/>
  <c r="S495" i="3"/>
  <c r="L498" i="3"/>
  <c r="R500" i="3"/>
  <c r="K503" i="3"/>
  <c r="Q505" i="3"/>
  <c r="J508" i="3"/>
  <c r="P510" i="3"/>
  <c r="V512" i="3"/>
  <c r="O515" i="3"/>
  <c r="U517" i="3"/>
  <c r="N520" i="3"/>
  <c r="T522" i="3"/>
  <c r="M525" i="3"/>
  <c r="S527" i="3"/>
  <c r="L530" i="3"/>
  <c r="R532" i="3"/>
  <c r="P534" i="3"/>
  <c r="M536" i="3"/>
  <c r="U537" i="3"/>
  <c r="K539" i="3"/>
  <c r="N540" i="3"/>
  <c r="Q541" i="3"/>
  <c r="O542" i="3"/>
  <c r="P543" i="3"/>
  <c r="N544" i="3"/>
  <c r="O545" i="3"/>
  <c r="P546" i="3"/>
  <c r="N547" i="3"/>
  <c r="O548" i="3"/>
  <c r="M549" i="3"/>
  <c r="N550" i="3"/>
  <c r="O551" i="3"/>
  <c r="M552" i="3"/>
  <c r="M553" i="3"/>
  <c r="J554" i="3"/>
  <c r="T554" i="3"/>
  <c r="S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J621" i="3"/>
  <c r="R621" i="3"/>
  <c r="M622" i="3"/>
  <c r="U622" i="3"/>
  <c r="P623" i="3"/>
  <c r="K624" i="3"/>
  <c r="S624" i="3"/>
  <c r="N625" i="3"/>
  <c r="V625" i="3"/>
  <c r="Q626" i="3"/>
  <c r="L627" i="3"/>
  <c r="T627" i="3"/>
  <c r="O628" i="3"/>
  <c r="J629" i="3"/>
  <c r="Q263" i="3"/>
  <c r="J348" i="3"/>
  <c r="V375" i="3"/>
  <c r="Q397" i="3"/>
  <c r="V409" i="3"/>
  <c r="U419" i="3"/>
  <c r="S429" i="3"/>
  <c r="T435" i="3"/>
  <c r="S440" i="3"/>
  <c r="V444" i="3"/>
  <c r="T448" i="3"/>
  <c r="U452" i="3"/>
  <c r="S456" i="3"/>
  <c r="Q460" i="3"/>
  <c r="O463" i="3"/>
  <c r="L466" i="3"/>
  <c r="J469" i="3"/>
  <c r="R471" i="3"/>
  <c r="K474" i="3"/>
  <c r="Q476" i="3"/>
  <c r="J479" i="3"/>
  <c r="P481" i="3"/>
  <c r="V483" i="3"/>
  <c r="O486" i="3"/>
  <c r="U488" i="3"/>
  <c r="N491" i="3"/>
  <c r="T493" i="3"/>
  <c r="M496" i="3"/>
  <c r="S498" i="3"/>
  <c r="L501" i="3"/>
  <c r="R503" i="3"/>
  <c r="K506" i="3"/>
  <c r="Q508" i="3"/>
  <c r="J511" i="3"/>
  <c r="P513" i="3"/>
  <c r="V515" i="3"/>
  <c r="O518" i="3"/>
  <c r="U520" i="3"/>
  <c r="N523" i="3"/>
  <c r="T525" i="3"/>
  <c r="M528" i="3"/>
  <c r="S530" i="3"/>
  <c r="L533" i="3"/>
  <c r="U534" i="3"/>
  <c r="N536" i="3"/>
  <c r="V537" i="3"/>
  <c r="L539" i="3"/>
  <c r="O540" i="3"/>
  <c r="R541" i="3"/>
  <c r="P542" i="3"/>
  <c r="Q543" i="3"/>
  <c r="R544" i="3"/>
  <c r="P545" i="3"/>
  <c r="Q546" i="3"/>
  <c r="O547" i="3"/>
  <c r="P548" i="3"/>
  <c r="Q549" i="3"/>
  <c r="O550" i="3"/>
  <c r="P551" i="3"/>
  <c r="N552" i="3"/>
  <c r="N553" i="3"/>
  <c r="K554" i="3"/>
  <c r="J555" i="3"/>
  <c r="T555" i="3"/>
  <c r="P556" i="3"/>
  <c r="K557" i="3"/>
  <c r="S557" i="3"/>
  <c r="N558" i="3"/>
  <c r="V558" i="3"/>
  <c r="Q559" i="3"/>
  <c r="L560" i="3"/>
  <c r="T560" i="3"/>
  <c r="O561" i="3"/>
  <c r="J562" i="3"/>
  <c r="R562" i="3"/>
  <c r="M563" i="3"/>
  <c r="U563" i="3"/>
  <c r="P564" i="3"/>
  <c r="K565" i="3"/>
  <c r="S565" i="3"/>
  <c r="N566" i="3"/>
  <c r="V566" i="3"/>
  <c r="Q567" i="3"/>
  <c r="L568" i="3"/>
  <c r="T568" i="3"/>
  <c r="O569" i="3"/>
  <c r="J570" i="3"/>
  <c r="R570" i="3"/>
  <c r="M571" i="3"/>
  <c r="U571" i="3"/>
  <c r="P572" i="3"/>
  <c r="K573" i="3"/>
  <c r="S573" i="3"/>
  <c r="N574" i="3"/>
  <c r="V574" i="3"/>
  <c r="Q575" i="3"/>
  <c r="L576" i="3"/>
  <c r="T576" i="3"/>
  <c r="O577" i="3"/>
  <c r="J578" i="3"/>
  <c r="R578" i="3"/>
  <c r="M579" i="3"/>
  <c r="U579" i="3"/>
  <c r="P580" i="3"/>
  <c r="K581" i="3"/>
  <c r="S581" i="3"/>
  <c r="N582" i="3"/>
  <c r="V582" i="3"/>
  <c r="Q583" i="3"/>
  <c r="L584" i="3"/>
  <c r="T584" i="3"/>
  <c r="O585" i="3"/>
  <c r="J586" i="3"/>
  <c r="R586" i="3"/>
  <c r="M587" i="3"/>
  <c r="U587" i="3"/>
  <c r="P588" i="3"/>
  <c r="K589" i="3"/>
  <c r="S589" i="3"/>
  <c r="N590" i="3"/>
  <c r="V590" i="3"/>
  <c r="Q591" i="3"/>
  <c r="L592" i="3"/>
  <c r="T592" i="3"/>
  <c r="O593" i="3"/>
  <c r="J594" i="3"/>
  <c r="R594" i="3"/>
  <c r="M595" i="3"/>
  <c r="U595" i="3"/>
  <c r="P596" i="3"/>
  <c r="K597" i="3"/>
  <c r="S597" i="3"/>
  <c r="N598" i="3"/>
  <c r="V598" i="3"/>
  <c r="Q599" i="3"/>
  <c r="L600" i="3"/>
  <c r="T600" i="3"/>
  <c r="O601" i="3"/>
  <c r="J602" i="3"/>
  <c r="R602" i="3"/>
  <c r="M603" i="3"/>
  <c r="U603" i="3"/>
  <c r="P604" i="3"/>
  <c r="K605" i="3"/>
  <c r="S605" i="3"/>
  <c r="N606" i="3"/>
  <c r="V606" i="3"/>
  <c r="Q607" i="3"/>
  <c r="L608" i="3"/>
  <c r="T608" i="3"/>
  <c r="O609" i="3"/>
  <c r="J610" i="3"/>
  <c r="R610" i="3"/>
  <c r="M611" i="3"/>
  <c r="U611" i="3"/>
  <c r="P612" i="3"/>
  <c r="K613" i="3"/>
  <c r="S613" i="3"/>
  <c r="N614" i="3"/>
  <c r="V614" i="3"/>
  <c r="Q615" i="3"/>
  <c r="L616" i="3"/>
  <c r="T616" i="3"/>
  <c r="O617" i="3"/>
  <c r="J618" i="3"/>
  <c r="R618" i="3"/>
  <c r="M619" i="3"/>
  <c r="U619" i="3"/>
  <c r="P620" i="3"/>
  <c r="K621" i="3"/>
  <c r="S621" i="3"/>
  <c r="N622" i="3"/>
  <c r="V622" i="3"/>
  <c r="Q623" i="3"/>
  <c r="L624" i="3"/>
  <c r="T624" i="3"/>
  <c r="O625" i="3"/>
  <c r="J626" i="3"/>
  <c r="R626" i="3"/>
  <c r="M627" i="3"/>
  <c r="U627" i="3"/>
  <c r="P628" i="3"/>
  <c r="R264" i="3"/>
  <c r="Q348" i="3"/>
  <c r="J376" i="3"/>
  <c r="R397" i="3"/>
  <c r="J410" i="3"/>
  <c r="V419" i="3"/>
  <c r="T429" i="3"/>
  <c r="U435" i="3"/>
  <c r="T440" i="3"/>
  <c r="J445" i="3"/>
  <c r="U448" i="3"/>
  <c r="V452" i="3"/>
  <c r="T456" i="3"/>
  <c r="R460" i="3"/>
  <c r="P463" i="3"/>
  <c r="N466" i="3"/>
  <c r="K469" i="3"/>
  <c r="S471" i="3"/>
  <c r="L474" i="3"/>
  <c r="R476" i="3"/>
  <c r="K479" i="3"/>
  <c r="Q481" i="3"/>
  <c r="J484" i="3"/>
  <c r="P486" i="3"/>
  <c r="V488" i="3"/>
  <c r="O491" i="3"/>
  <c r="U493" i="3"/>
  <c r="N496" i="3"/>
  <c r="T498" i="3"/>
  <c r="M501" i="3"/>
  <c r="S503" i="3"/>
  <c r="L506" i="3"/>
  <c r="R508" i="3"/>
  <c r="K511" i="3"/>
  <c r="Q513" i="3"/>
  <c r="J516" i="3"/>
  <c r="P518" i="3"/>
  <c r="V520" i="3"/>
  <c r="O523" i="3"/>
  <c r="U525" i="3"/>
  <c r="N528" i="3"/>
  <c r="T530" i="3"/>
  <c r="M533" i="3"/>
  <c r="J535" i="3"/>
  <c r="S536" i="3"/>
  <c r="K538" i="3"/>
  <c r="N539" i="3"/>
  <c r="Q540" i="3"/>
  <c r="S541" i="3"/>
  <c r="T542" i="3"/>
  <c r="R543" i="3"/>
  <c r="S544" i="3"/>
  <c r="Q545" i="3"/>
  <c r="R546" i="3"/>
  <c r="S547" i="3"/>
  <c r="Q548" i="3"/>
  <c r="R549" i="3"/>
  <c r="P550" i="3"/>
  <c r="Q551" i="3"/>
  <c r="R552" i="3"/>
  <c r="O553" i="3"/>
  <c r="L554" i="3"/>
  <c r="K555" i="3"/>
  <c r="U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U295" i="3"/>
  <c r="N356" i="3"/>
  <c r="S382" i="3"/>
  <c r="V400" i="3"/>
  <c r="Q412" i="3"/>
  <c r="O422" i="3"/>
  <c r="Q431" i="3"/>
  <c r="K437" i="3"/>
  <c r="J442" i="3"/>
  <c r="K446" i="3"/>
  <c r="V449" i="3"/>
  <c r="T453" i="3"/>
  <c r="U457" i="3"/>
  <c r="O461" i="3"/>
  <c r="L464" i="3"/>
  <c r="J467" i="3"/>
  <c r="T469" i="3"/>
  <c r="N472" i="3"/>
  <c r="T474" i="3"/>
  <c r="M477" i="3"/>
  <c r="S479" i="3"/>
  <c r="L482" i="3"/>
  <c r="R484" i="3"/>
  <c r="K487" i="3"/>
  <c r="Q489" i="3"/>
  <c r="J492" i="3"/>
  <c r="P494" i="3"/>
  <c r="V496" i="3"/>
  <c r="O499" i="3"/>
  <c r="U501" i="3"/>
  <c r="N504" i="3"/>
  <c r="T506" i="3"/>
  <c r="M509" i="3"/>
  <c r="S511" i="3"/>
  <c r="L514" i="3"/>
  <c r="R516" i="3"/>
  <c r="K519" i="3"/>
  <c r="Q521" i="3"/>
  <c r="J524" i="3"/>
  <c r="P526" i="3"/>
  <c r="V528" i="3"/>
  <c r="O531" i="3"/>
  <c r="T533" i="3"/>
  <c r="P535" i="3"/>
  <c r="V536" i="3"/>
  <c r="P538" i="3"/>
  <c r="S539" i="3"/>
  <c r="V540" i="3"/>
  <c r="U541" i="3"/>
  <c r="V542" i="3"/>
  <c r="J544" i="3"/>
  <c r="U544" i="3"/>
  <c r="V545" i="3"/>
  <c r="T546" i="3"/>
  <c r="U547" i="3"/>
  <c r="V548" i="3"/>
  <c r="T549" i="3"/>
  <c r="U550" i="3"/>
  <c r="S551" i="3"/>
  <c r="T552" i="3"/>
  <c r="Q553" i="3"/>
  <c r="P554" i="3"/>
  <c r="M555" i="3"/>
  <c r="J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K628" i="3"/>
  <c r="S628" i="3"/>
  <c r="J316" i="3"/>
  <c r="U362" i="3"/>
  <c r="V388" i="3"/>
  <c r="K404" i="3"/>
  <c r="V414" i="3"/>
  <c r="T424" i="3"/>
  <c r="U432" i="3"/>
  <c r="M438" i="3"/>
  <c r="J443" i="3"/>
  <c r="U446" i="3"/>
  <c r="S450" i="3"/>
  <c r="T454" i="3"/>
  <c r="R458" i="3"/>
  <c r="J462" i="3"/>
  <c r="T464" i="3"/>
  <c r="R467" i="3"/>
  <c r="O470" i="3"/>
  <c r="U472" i="3"/>
  <c r="N475" i="3"/>
  <c r="T477" i="3"/>
  <c r="M480" i="3"/>
  <c r="S482" i="3"/>
  <c r="L485" i="3"/>
  <c r="R487" i="3"/>
  <c r="K490" i="3"/>
  <c r="Q492" i="3"/>
  <c r="J495" i="3"/>
  <c r="P497" i="3"/>
  <c r="V499" i="3"/>
  <c r="O502" i="3"/>
  <c r="U504" i="3"/>
  <c r="N507" i="3"/>
  <c r="T509" i="3"/>
  <c r="M512" i="3"/>
  <c r="S514" i="3"/>
  <c r="L517" i="3"/>
  <c r="R519" i="3"/>
  <c r="K522" i="3"/>
  <c r="Q524" i="3"/>
  <c r="J527" i="3"/>
  <c r="P529" i="3"/>
  <c r="V531" i="3"/>
  <c r="U533" i="3"/>
  <c r="R535" i="3"/>
  <c r="N537" i="3"/>
  <c r="Q538" i="3"/>
  <c r="T539" i="3"/>
  <c r="J541" i="3"/>
  <c r="L542" i="3"/>
  <c r="J543" i="3"/>
  <c r="K544" i="3"/>
  <c r="V544" i="3"/>
  <c r="J546" i="3"/>
  <c r="K547" i="3"/>
  <c r="V547" i="3"/>
  <c r="J549" i="3"/>
  <c r="U549" i="3"/>
  <c r="V550" i="3"/>
  <c r="J552" i="3"/>
  <c r="U552" i="3"/>
  <c r="T553" i="3"/>
  <c r="Q554" i="3"/>
  <c r="N555" i="3"/>
  <c r="K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T612" i="3"/>
  <c r="O613" i="3"/>
  <c r="J614" i="3"/>
  <c r="R614" i="3"/>
  <c r="M615" i="3"/>
  <c r="U615" i="3"/>
  <c r="P616" i="3"/>
  <c r="K617" i="3"/>
  <c r="S617" i="3"/>
  <c r="N618" i="3"/>
  <c r="V618" i="3"/>
  <c r="Q619" i="3"/>
  <c r="L620" i="3"/>
  <c r="T620" i="3"/>
  <c r="O621" i="3"/>
  <c r="N295" i="3"/>
  <c r="P412" i="3"/>
  <c r="V441" i="3"/>
  <c r="T457" i="3"/>
  <c r="S469" i="3"/>
  <c r="R479" i="3"/>
  <c r="P489" i="3"/>
  <c r="N499" i="3"/>
  <c r="L509" i="3"/>
  <c r="J519" i="3"/>
  <c r="U528" i="3"/>
  <c r="U536" i="3"/>
  <c r="T541" i="3"/>
  <c r="U545" i="3"/>
  <c r="S549" i="3"/>
  <c r="P553" i="3"/>
  <c r="R556" i="3"/>
  <c r="K559" i="3"/>
  <c r="Q561" i="3"/>
  <c r="J564" i="3"/>
  <c r="P566" i="3"/>
  <c r="V568" i="3"/>
  <c r="O571" i="3"/>
  <c r="U573" i="3"/>
  <c r="N576" i="3"/>
  <c r="T578" i="3"/>
  <c r="M581" i="3"/>
  <c r="S583" i="3"/>
  <c r="L586" i="3"/>
  <c r="R588" i="3"/>
  <c r="K591" i="3"/>
  <c r="Q593" i="3"/>
  <c r="J596" i="3"/>
  <c r="P598" i="3"/>
  <c r="V600" i="3"/>
  <c r="O603" i="3"/>
  <c r="U605" i="3"/>
  <c r="N608" i="3"/>
  <c r="T610" i="3"/>
  <c r="M613" i="3"/>
  <c r="J615" i="3"/>
  <c r="Q616" i="3"/>
  <c r="L618" i="3"/>
  <c r="V619" i="3"/>
  <c r="P621" i="3"/>
  <c r="S622" i="3"/>
  <c r="V623" i="3"/>
  <c r="L625" i="3"/>
  <c r="O626" i="3"/>
  <c r="Q627" i="3"/>
  <c r="Q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P316" i="3"/>
  <c r="J415" i="3"/>
  <c r="K443" i="3"/>
  <c r="S458" i="3"/>
  <c r="P470" i="3"/>
  <c r="N480" i="3"/>
  <c r="L490" i="3"/>
  <c r="J500" i="3"/>
  <c r="U509" i="3"/>
  <c r="S519" i="3"/>
  <c r="Q529" i="3"/>
  <c r="P537" i="3"/>
  <c r="M542" i="3"/>
  <c r="K546" i="3"/>
  <c r="L550" i="3"/>
  <c r="U553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P613" i="3"/>
  <c r="K615" i="3"/>
  <c r="U616" i="3"/>
  <c r="O618" i="3"/>
  <c r="J620" i="3"/>
  <c r="T621" i="3"/>
  <c r="J623" i="3"/>
  <c r="M624" i="3"/>
  <c r="P625" i="3"/>
  <c r="S626" i="3"/>
  <c r="R627" i="3"/>
  <c r="R628" i="3"/>
  <c r="O629" i="3"/>
  <c r="J630" i="3"/>
  <c r="R630" i="3"/>
  <c r="M631" i="3"/>
  <c r="U631" i="3"/>
  <c r="P632" i="3"/>
  <c r="K633" i="3"/>
  <c r="S633" i="3"/>
  <c r="N634" i="3"/>
  <c r="V634" i="3"/>
  <c r="Q635" i="3"/>
  <c r="L636" i="3"/>
  <c r="T636" i="3"/>
  <c r="O637" i="3"/>
  <c r="J638" i="3"/>
  <c r="R638" i="3"/>
  <c r="M639" i="3"/>
  <c r="U639" i="3"/>
  <c r="P640" i="3"/>
  <c r="K641" i="3"/>
  <c r="S641" i="3"/>
  <c r="N642" i="3"/>
  <c r="V642" i="3"/>
  <c r="Q643" i="3"/>
  <c r="L644" i="3"/>
  <c r="T644" i="3"/>
  <c r="O645" i="3"/>
  <c r="J646" i="3"/>
  <c r="R646" i="3"/>
  <c r="M647" i="3"/>
  <c r="U647" i="3"/>
  <c r="P648" i="3"/>
  <c r="K649" i="3"/>
  <c r="S649" i="3"/>
  <c r="N650" i="3"/>
  <c r="V650" i="3"/>
  <c r="Q651" i="3"/>
  <c r="L652" i="3"/>
  <c r="T652" i="3"/>
  <c r="O653" i="3"/>
  <c r="J654" i="3"/>
  <c r="R654" i="3"/>
  <c r="M655" i="3"/>
  <c r="U655" i="3"/>
  <c r="P656" i="3"/>
  <c r="K657" i="3"/>
  <c r="S657" i="3"/>
  <c r="N658" i="3"/>
  <c r="V658" i="3"/>
  <c r="Q659" i="3"/>
  <c r="L660" i="3"/>
  <c r="T660" i="3"/>
  <c r="O661" i="3"/>
  <c r="J662" i="3"/>
  <c r="R662" i="3"/>
  <c r="M356" i="3"/>
  <c r="N422" i="3"/>
  <c r="T445" i="3"/>
  <c r="M461" i="3"/>
  <c r="M472" i="3"/>
  <c r="K482" i="3"/>
  <c r="V491" i="3"/>
  <c r="T501" i="3"/>
  <c r="R511" i="3"/>
  <c r="P521" i="3"/>
  <c r="N531" i="3"/>
  <c r="L538" i="3"/>
  <c r="U542" i="3"/>
  <c r="S546" i="3"/>
  <c r="T550" i="3"/>
  <c r="O554" i="3"/>
  <c r="M557" i="3"/>
  <c r="S559" i="3"/>
  <c r="L562" i="3"/>
  <c r="R564" i="3"/>
  <c r="K567" i="3"/>
  <c r="Q569" i="3"/>
  <c r="J572" i="3"/>
  <c r="P574" i="3"/>
  <c r="V576" i="3"/>
  <c r="O579" i="3"/>
  <c r="U581" i="3"/>
  <c r="N584" i="3"/>
  <c r="T586" i="3"/>
  <c r="M589" i="3"/>
  <c r="S591" i="3"/>
  <c r="L594" i="3"/>
  <c r="R596" i="3"/>
  <c r="K599" i="3"/>
  <c r="Q601" i="3"/>
  <c r="J604" i="3"/>
  <c r="P606" i="3"/>
  <c r="V608" i="3"/>
  <c r="O611" i="3"/>
  <c r="T613" i="3"/>
  <c r="N615" i="3"/>
  <c r="V616" i="3"/>
  <c r="S618" i="3"/>
  <c r="M620" i="3"/>
  <c r="U621" i="3"/>
  <c r="K623" i="3"/>
  <c r="N624" i="3"/>
  <c r="Q625" i="3"/>
  <c r="T626" i="3"/>
  <c r="S627" i="3"/>
  <c r="T628" i="3"/>
  <c r="P629" i="3"/>
  <c r="K630" i="3"/>
  <c r="S630" i="3"/>
  <c r="N631" i="3"/>
  <c r="V631" i="3"/>
  <c r="Q632" i="3"/>
  <c r="L633" i="3"/>
  <c r="T633" i="3"/>
  <c r="O634" i="3"/>
  <c r="J635" i="3"/>
  <c r="R635" i="3"/>
  <c r="M636" i="3"/>
  <c r="U636" i="3"/>
  <c r="P637" i="3"/>
  <c r="K638" i="3"/>
  <c r="S638" i="3"/>
  <c r="N639" i="3"/>
  <c r="V639" i="3"/>
  <c r="Q640" i="3"/>
  <c r="L641" i="3"/>
  <c r="T641" i="3"/>
  <c r="O642" i="3"/>
  <c r="J643" i="3"/>
  <c r="R643" i="3"/>
  <c r="M644" i="3"/>
  <c r="U644" i="3"/>
  <c r="P645" i="3"/>
  <c r="K646" i="3"/>
  <c r="S646" i="3"/>
  <c r="N647" i="3"/>
  <c r="V647" i="3"/>
  <c r="Q648" i="3"/>
  <c r="L649" i="3"/>
  <c r="T649" i="3"/>
  <c r="O650" i="3"/>
  <c r="J651" i="3"/>
  <c r="R651" i="3"/>
  <c r="M652" i="3"/>
  <c r="U652" i="3"/>
  <c r="P653" i="3"/>
  <c r="K654" i="3"/>
  <c r="S654" i="3"/>
  <c r="N655" i="3"/>
  <c r="V655" i="3"/>
  <c r="Q656" i="3"/>
  <c r="L657" i="3"/>
  <c r="T657" i="3"/>
  <c r="O658" i="3"/>
  <c r="J659" i="3"/>
  <c r="R659" i="3"/>
  <c r="M660" i="3"/>
  <c r="U660" i="3"/>
  <c r="P661" i="3"/>
  <c r="K662" i="3"/>
  <c r="S662" i="3"/>
  <c r="N663" i="3"/>
  <c r="V663" i="3"/>
  <c r="Q664" i="3"/>
  <c r="L665" i="3"/>
  <c r="T665" i="3"/>
  <c r="O666" i="3"/>
  <c r="J667" i="3"/>
  <c r="R667" i="3"/>
  <c r="M668" i="3"/>
  <c r="U668" i="3"/>
  <c r="P669" i="3"/>
  <c r="K670" i="3"/>
  <c r="S670" i="3"/>
  <c r="N671" i="3"/>
  <c r="V671" i="3"/>
  <c r="Q672" i="3"/>
  <c r="L673" i="3"/>
  <c r="T673" i="3"/>
  <c r="O674" i="3"/>
  <c r="J675" i="3"/>
  <c r="R675" i="3"/>
  <c r="M676" i="3"/>
  <c r="U676" i="3"/>
  <c r="P677" i="3"/>
  <c r="K678" i="3"/>
  <c r="S678" i="3"/>
  <c r="N679" i="3"/>
  <c r="V679" i="3"/>
  <c r="Q680" i="3"/>
  <c r="L681" i="3"/>
  <c r="T681" i="3"/>
  <c r="O682" i="3"/>
  <c r="J683" i="3"/>
  <c r="R683" i="3"/>
  <c r="M684" i="3"/>
  <c r="U684" i="3"/>
  <c r="P685" i="3"/>
  <c r="K686" i="3"/>
  <c r="S686" i="3"/>
  <c r="N687" i="3"/>
  <c r="V687" i="3"/>
  <c r="Q688" i="3"/>
  <c r="L689" i="3"/>
  <c r="T689" i="3"/>
  <c r="O690" i="3"/>
  <c r="J691" i="3"/>
  <c r="R691" i="3"/>
  <c r="M692" i="3"/>
  <c r="U692" i="3"/>
  <c r="P693" i="3"/>
  <c r="K694" i="3"/>
  <c r="S694" i="3"/>
  <c r="N695" i="3"/>
  <c r="V695" i="3"/>
  <c r="Q696" i="3"/>
  <c r="L697" i="3"/>
  <c r="T697" i="3"/>
  <c r="O698" i="3"/>
  <c r="J699" i="3"/>
  <c r="R699" i="3"/>
  <c r="M700" i="3"/>
  <c r="U700" i="3"/>
  <c r="P701" i="3"/>
  <c r="K702" i="3"/>
  <c r="S702" i="3"/>
  <c r="N703" i="3"/>
  <c r="V703" i="3"/>
  <c r="Q704" i="3"/>
  <c r="L705" i="3"/>
  <c r="T705" i="3"/>
  <c r="O706" i="3"/>
  <c r="J707" i="3"/>
  <c r="R707" i="3"/>
  <c r="M708" i="3"/>
  <c r="U708" i="3"/>
  <c r="P709" i="3"/>
  <c r="K710" i="3"/>
  <c r="S710" i="3"/>
  <c r="N711" i="3"/>
  <c r="V711" i="3"/>
  <c r="Q712" i="3"/>
  <c r="L713" i="3"/>
  <c r="T713" i="3"/>
  <c r="O714" i="3"/>
  <c r="J715" i="3"/>
  <c r="R715" i="3"/>
  <c r="M716" i="3"/>
  <c r="U716" i="3"/>
  <c r="P717" i="3"/>
  <c r="K718" i="3"/>
  <c r="S718" i="3"/>
  <c r="N719" i="3"/>
  <c r="V719" i="3"/>
  <c r="Q720" i="3"/>
  <c r="L721" i="3"/>
  <c r="T721" i="3"/>
  <c r="O722" i="3"/>
  <c r="J723" i="3"/>
  <c r="R723" i="3"/>
  <c r="M724" i="3"/>
  <c r="U724" i="3"/>
  <c r="P725" i="3"/>
  <c r="K726" i="3"/>
  <c r="S726" i="3"/>
  <c r="N727" i="3"/>
  <c r="V727" i="3"/>
  <c r="Q728" i="3"/>
  <c r="L729" i="3"/>
  <c r="T729" i="3"/>
  <c r="O730" i="3"/>
  <c r="J731" i="3"/>
  <c r="R731" i="3"/>
  <c r="M732" i="3"/>
  <c r="U732" i="3"/>
  <c r="P733" i="3"/>
  <c r="K734" i="3"/>
  <c r="S734" i="3"/>
  <c r="N735" i="3"/>
  <c r="V735" i="3"/>
  <c r="Q736" i="3"/>
  <c r="L737" i="3"/>
  <c r="T737" i="3"/>
  <c r="O738" i="3"/>
  <c r="J739" i="3"/>
  <c r="R739" i="3"/>
  <c r="M740" i="3"/>
  <c r="U740" i="3"/>
  <c r="P741" i="3"/>
  <c r="K742" i="3"/>
  <c r="S742" i="3"/>
  <c r="N743" i="3"/>
  <c r="V743" i="3"/>
  <c r="Q744" i="3"/>
  <c r="L745" i="3"/>
  <c r="T745" i="3"/>
  <c r="O746" i="3"/>
  <c r="J747" i="3"/>
  <c r="R747" i="3"/>
  <c r="M748" i="3"/>
  <c r="U748" i="3"/>
  <c r="P749" i="3"/>
  <c r="K750" i="3"/>
  <c r="S750" i="3"/>
  <c r="N751" i="3"/>
  <c r="V751" i="3"/>
  <c r="Q752" i="3"/>
  <c r="L753" i="3"/>
  <c r="T753" i="3"/>
  <c r="O754" i="3"/>
  <c r="J755" i="3"/>
  <c r="R755" i="3"/>
  <c r="M756" i="3"/>
  <c r="U756" i="3"/>
  <c r="P757" i="3"/>
  <c r="K758" i="3"/>
  <c r="S758" i="3"/>
  <c r="N759" i="3"/>
  <c r="V759" i="3"/>
  <c r="Q760" i="3"/>
  <c r="L761" i="3"/>
  <c r="T761" i="3"/>
  <c r="O762" i="3"/>
  <c r="J763" i="3"/>
  <c r="R763" i="3"/>
  <c r="M764" i="3"/>
  <c r="U764" i="3"/>
  <c r="P765" i="3"/>
  <c r="K766" i="3"/>
  <c r="S766" i="3"/>
  <c r="N767" i="3"/>
  <c r="V767" i="3"/>
  <c r="Q768" i="3"/>
  <c r="L769" i="3"/>
  <c r="T769" i="3"/>
  <c r="O770" i="3"/>
  <c r="J771" i="3"/>
  <c r="R771" i="3"/>
  <c r="M772" i="3"/>
  <c r="U772" i="3"/>
  <c r="P773" i="3"/>
  <c r="K774" i="3"/>
  <c r="S774" i="3"/>
  <c r="N775" i="3"/>
  <c r="V775" i="3"/>
  <c r="Q776" i="3"/>
  <c r="L777" i="3"/>
  <c r="T777" i="3"/>
  <c r="O778" i="3"/>
  <c r="J779" i="3"/>
  <c r="R779" i="3"/>
  <c r="M780" i="3"/>
  <c r="U780" i="3"/>
  <c r="P781" i="3"/>
  <c r="K782" i="3"/>
  <c r="S782" i="3"/>
  <c r="N783" i="3"/>
  <c r="V783" i="3"/>
  <c r="Q784" i="3"/>
  <c r="L785" i="3"/>
  <c r="T785" i="3"/>
  <c r="O786" i="3"/>
  <c r="J787" i="3"/>
  <c r="R787" i="3"/>
  <c r="M788" i="3"/>
  <c r="U788" i="3"/>
  <c r="P789" i="3"/>
  <c r="K790" i="3"/>
  <c r="S790" i="3"/>
  <c r="N791" i="3"/>
  <c r="V791" i="3"/>
  <c r="Q792" i="3"/>
  <c r="L793" i="3"/>
  <c r="T793" i="3"/>
  <c r="O794" i="3"/>
  <c r="J795" i="3"/>
  <c r="R795" i="3"/>
  <c r="M796" i="3"/>
  <c r="U796" i="3"/>
  <c r="P797" i="3"/>
  <c r="K798" i="3"/>
  <c r="S798" i="3"/>
  <c r="N799" i="3"/>
  <c r="V799" i="3"/>
  <c r="Q800" i="3"/>
  <c r="L801" i="3"/>
  <c r="T801" i="3"/>
  <c r="O802" i="3"/>
  <c r="J803" i="3"/>
  <c r="R803" i="3"/>
  <c r="M804" i="3"/>
  <c r="U804" i="3"/>
  <c r="P805" i="3"/>
  <c r="K806" i="3"/>
  <c r="S806" i="3"/>
  <c r="N807" i="3"/>
  <c r="J363" i="3"/>
  <c r="U424" i="3"/>
  <c r="V446" i="3"/>
  <c r="K462" i="3"/>
  <c r="V472" i="3"/>
  <c r="T482" i="3"/>
  <c r="R492" i="3"/>
  <c r="P502" i="3"/>
  <c r="N512" i="3"/>
  <c r="L522" i="3"/>
  <c r="J532" i="3"/>
  <c r="S538" i="3"/>
  <c r="K543" i="3"/>
  <c r="L547" i="3"/>
  <c r="J551" i="3"/>
  <c r="R554" i="3"/>
  <c r="P557" i="3"/>
  <c r="V559" i="3"/>
  <c r="O562" i="3"/>
  <c r="U564" i="3"/>
  <c r="N567" i="3"/>
  <c r="T569" i="3"/>
  <c r="M572" i="3"/>
  <c r="S574" i="3"/>
  <c r="L577" i="3"/>
  <c r="R579" i="3"/>
  <c r="K582" i="3"/>
  <c r="Q584" i="3"/>
  <c r="J587" i="3"/>
  <c r="P589" i="3"/>
  <c r="V591" i="3"/>
  <c r="O594" i="3"/>
  <c r="U596" i="3"/>
  <c r="N599" i="3"/>
  <c r="T601" i="3"/>
  <c r="M604" i="3"/>
  <c r="S606" i="3"/>
  <c r="L609" i="3"/>
  <c r="R611" i="3"/>
  <c r="U613" i="3"/>
  <c r="R615" i="3"/>
  <c r="L617" i="3"/>
  <c r="T618" i="3"/>
  <c r="Q620" i="3"/>
  <c r="J622" i="3"/>
  <c r="M623" i="3"/>
  <c r="P624" i="3"/>
  <c r="S625" i="3"/>
  <c r="V626" i="3"/>
  <c r="V627" i="3"/>
  <c r="U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T662" i="3"/>
  <c r="O663" i="3"/>
  <c r="J664" i="3"/>
  <c r="R664" i="3"/>
  <c r="M665" i="3"/>
  <c r="U665" i="3"/>
  <c r="P666" i="3"/>
  <c r="K667" i="3"/>
  <c r="S667" i="3"/>
  <c r="N668" i="3"/>
  <c r="V668" i="3"/>
  <c r="Q669" i="3"/>
  <c r="L670" i="3"/>
  <c r="T670" i="3"/>
  <c r="O671" i="3"/>
  <c r="J672" i="3"/>
  <c r="R672" i="3"/>
  <c r="M673" i="3"/>
  <c r="U673" i="3"/>
  <c r="P674" i="3"/>
  <c r="K675" i="3"/>
  <c r="S675" i="3"/>
  <c r="N676" i="3"/>
  <c r="V676" i="3"/>
  <c r="Q677" i="3"/>
  <c r="L678" i="3"/>
  <c r="T678" i="3"/>
  <c r="O679" i="3"/>
  <c r="J680" i="3"/>
  <c r="R680" i="3"/>
  <c r="M681" i="3"/>
  <c r="U681" i="3"/>
  <c r="P682" i="3"/>
  <c r="K683" i="3"/>
  <c r="S683" i="3"/>
  <c r="N684" i="3"/>
  <c r="V684" i="3"/>
  <c r="Q685" i="3"/>
  <c r="L686" i="3"/>
  <c r="T686" i="3"/>
  <c r="O687" i="3"/>
  <c r="J688" i="3"/>
  <c r="R688" i="3"/>
  <c r="M689" i="3"/>
  <c r="U689" i="3"/>
  <c r="P690" i="3"/>
  <c r="K691" i="3"/>
  <c r="S691" i="3"/>
  <c r="N692" i="3"/>
  <c r="V692" i="3"/>
  <c r="Q693" i="3"/>
  <c r="L694" i="3"/>
  <c r="T694" i="3"/>
  <c r="O695" i="3"/>
  <c r="J696" i="3"/>
  <c r="R696" i="3"/>
  <c r="M697" i="3"/>
  <c r="U697" i="3"/>
  <c r="P698" i="3"/>
  <c r="K699" i="3"/>
  <c r="S699" i="3"/>
  <c r="N700" i="3"/>
  <c r="V700" i="3"/>
  <c r="Q701" i="3"/>
  <c r="L702" i="3"/>
  <c r="T702" i="3"/>
  <c r="O703" i="3"/>
  <c r="J704" i="3"/>
  <c r="R704" i="3"/>
  <c r="M705" i="3"/>
  <c r="U705" i="3"/>
  <c r="P706" i="3"/>
  <c r="K707" i="3"/>
  <c r="S707" i="3"/>
  <c r="N708" i="3"/>
  <c r="V708" i="3"/>
  <c r="Q709" i="3"/>
  <c r="L710" i="3"/>
  <c r="T710" i="3"/>
  <c r="O711" i="3"/>
  <c r="J712" i="3"/>
  <c r="R712" i="3"/>
  <c r="M713" i="3"/>
  <c r="U713" i="3"/>
  <c r="P714" i="3"/>
  <c r="K715" i="3"/>
  <c r="S715" i="3"/>
  <c r="N716" i="3"/>
  <c r="V716" i="3"/>
  <c r="Q717" i="3"/>
  <c r="L718" i="3"/>
  <c r="T718" i="3"/>
  <c r="O719" i="3"/>
  <c r="J720" i="3"/>
  <c r="R720" i="3"/>
  <c r="M721" i="3"/>
  <c r="U721" i="3"/>
  <c r="P722" i="3"/>
  <c r="K723" i="3"/>
  <c r="S723" i="3"/>
  <c r="N724" i="3"/>
  <c r="V724" i="3"/>
  <c r="Q725" i="3"/>
  <c r="L726" i="3"/>
  <c r="T726" i="3"/>
  <c r="O727" i="3"/>
  <c r="J728" i="3"/>
  <c r="R728" i="3"/>
  <c r="M729" i="3"/>
  <c r="U729" i="3"/>
  <c r="P730" i="3"/>
  <c r="K731" i="3"/>
  <c r="S731" i="3"/>
  <c r="N732" i="3"/>
  <c r="V732" i="3"/>
  <c r="Q733" i="3"/>
  <c r="L734" i="3"/>
  <c r="T734" i="3"/>
  <c r="O735" i="3"/>
  <c r="J736" i="3"/>
  <c r="R736" i="3"/>
  <c r="M737" i="3"/>
  <c r="U737" i="3"/>
  <c r="P738" i="3"/>
  <c r="K739" i="3"/>
  <c r="S739" i="3"/>
  <c r="N740" i="3"/>
  <c r="V740" i="3"/>
  <c r="Q741" i="3"/>
  <c r="L742" i="3"/>
  <c r="T742" i="3"/>
  <c r="O743" i="3"/>
  <c r="J744" i="3"/>
  <c r="R744" i="3"/>
  <c r="M745" i="3"/>
  <c r="U745" i="3"/>
  <c r="P746" i="3"/>
  <c r="K747" i="3"/>
  <c r="S747" i="3"/>
  <c r="N748" i="3"/>
  <c r="V748" i="3"/>
  <c r="Q749" i="3"/>
  <c r="L750" i="3"/>
  <c r="T750" i="3"/>
  <c r="O751" i="3"/>
  <c r="J752" i="3"/>
  <c r="R752" i="3"/>
  <c r="M753" i="3"/>
  <c r="U753" i="3"/>
  <c r="P754" i="3"/>
  <c r="K755" i="3"/>
  <c r="S755" i="3"/>
  <c r="N756" i="3"/>
  <c r="V756" i="3"/>
  <c r="Q757" i="3"/>
  <c r="L758" i="3"/>
  <c r="T758" i="3"/>
  <c r="O759" i="3"/>
  <c r="J760" i="3"/>
  <c r="R760" i="3"/>
  <c r="M761" i="3"/>
  <c r="U761" i="3"/>
  <c r="P762" i="3"/>
  <c r="K763" i="3"/>
  <c r="S763" i="3"/>
  <c r="N764" i="3"/>
  <c r="V764" i="3"/>
  <c r="Q765" i="3"/>
  <c r="L766" i="3"/>
  <c r="T766" i="3"/>
  <c r="O767" i="3"/>
  <c r="J768" i="3"/>
  <c r="R768" i="3"/>
  <c r="M769" i="3"/>
  <c r="U769" i="3"/>
  <c r="P770" i="3"/>
  <c r="K771" i="3"/>
  <c r="S771" i="3"/>
  <c r="N772" i="3"/>
  <c r="V772" i="3"/>
  <c r="Q773" i="3"/>
  <c r="L774" i="3"/>
  <c r="T774" i="3"/>
  <c r="O775" i="3"/>
  <c r="J776" i="3"/>
  <c r="R776" i="3"/>
  <c r="M777" i="3"/>
  <c r="U777" i="3"/>
  <c r="P778" i="3"/>
  <c r="K779" i="3"/>
  <c r="S779" i="3"/>
  <c r="N780" i="3"/>
  <c r="V780" i="3"/>
  <c r="Q781" i="3"/>
  <c r="L782" i="3"/>
  <c r="T782" i="3"/>
  <c r="O783" i="3"/>
  <c r="J784" i="3"/>
  <c r="R784" i="3"/>
  <c r="M785" i="3"/>
  <c r="U785" i="3"/>
  <c r="P786" i="3"/>
  <c r="K787" i="3"/>
  <c r="S787" i="3"/>
  <c r="N788" i="3"/>
  <c r="V788" i="3"/>
  <c r="Q789" i="3"/>
  <c r="L790" i="3"/>
  <c r="T790" i="3"/>
  <c r="O791" i="3"/>
  <c r="J792" i="3"/>
  <c r="R792" i="3"/>
  <c r="M793" i="3"/>
  <c r="U793" i="3"/>
  <c r="P794" i="3"/>
  <c r="Q382" i="3"/>
  <c r="O431" i="3"/>
  <c r="U449" i="3"/>
  <c r="K464" i="3"/>
  <c r="S474" i="3"/>
  <c r="Q484" i="3"/>
  <c r="O494" i="3"/>
  <c r="M504" i="3"/>
  <c r="K514" i="3"/>
  <c r="V523" i="3"/>
  <c r="R533" i="3"/>
  <c r="O539" i="3"/>
  <c r="S543" i="3"/>
  <c r="T547" i="3"/>
  <c r="R551" i="3"/>
  <c r="L555" i="3"/>
  <c r="U557" i="3"/>
  <c r="N560" i="3"/>
  <c r="T562" i="3"/>
  <c r="M565" i="3"/>
  <c r="S567" i="3"/>
  <c r="L570" i="3"/>
  <c r="R572" i="3"/>
  <c r="K575" i="3"/>
  <c r="Q577" i="3"/>
  <c r="J580" i="3"/>
  <c r="P582" i="3"/>
  <c r="V584" i="3"/>
  <c r="O587" i="3"/>
  <c r="U589" i="3"/>
  <c r="N592" i="3"/>
  <c r="T594" i="3"/>
  <c r="M597" i="3"/>
  <c r="S599" i="3"/>
  <c r="L602" i="3"/>
  <c r="R604" i="3"/>
  <c r="K607" i="3"/>
  <c r="Q609" i="3"/>
  <c r="J612" i="3"/>
  <c r="K614" i="3"/>
  <c r="S615" i="3"/>
  <c r="P617" i="3"/>
  <c r="J619" i="3"/>
  <c r="R620" i="3"/>
  <c r="K622" i="3"/>
  <c r="N623" i="3"/>
  <c r="Q624" i="3"/>
  <c r="T625" i="3"/>
  <c r="J627" i="3"/>
  <c r="J628" i="3"/>
  <c r="V628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662" i="3"/>
  <c r="U662" i="3"/>
  <c r="P663" i="3"/>
  <c r="K664" i="3"/>
  <c r="S664" i="3"/>
  <c r="N665" i="3"/>
  <c r="V665" i="3"/>
  <c r="Q666" i="3"/>
  <c r="L667" i="3"/>
  <c r="T667" i="3"/>
  <c r="O668" i="3"/>
  <c r="J669" i="3"/>
  <c r="R669" i="3"/>
  <c r="M670" i="3"/>
  <c r="U670" i="3"/>
  <c r="P671" i="3"/>
  <c r="K672" i="3"/>
  <c r="S672" i="3"/>
  <c r="N673" i="3"/>
  <c r="V673" i="3"/>
  <c r="Q674" i="3"/>
  <c r="L675" i="3"/>
  <c r="T675" i="3"/>
  <c r="O676" i="3"/>
  <c r="J677" i="3"/>
  <c r="R677" i="3"/>
  <c r="M678" i="3"/>
  <c r="U678" i="3"/>
  <c r="P679" i="3"/>
  <c r="K680" i="3"/>
  <c r="S680" i="3"/>
  <c r="N681" i="3"/>
  <c r="V681" i="3"/>
  <c r="Q682" i="3"/>
  <c r="L683" i="3"/>
  <c r="T683" i="3"/>
  <c r="O684" i="3"/>
  <c r="J685" i="3"/>
  <c r="R685" i="3"/>
  <c r="M686" i="3"/>
  <c r="U686" i="3"/>
  <c r="P687" i="3"/>
  <c r="K688" i="3"/>
  <c r="S688" i="3"/>
  <c r="N689" i="3"/>
  <c r="V689" i="3"/>
  <c r="Q690" i="3"/>
  <c r="L691" i="3"/>
  <c r="T691" i="3"/>
  <c r="O692" i="3"/>
  <c r="J693" i="3"/>
  <c r="R693" i="3"/>
  <c r="M694" i="3"/>
  <c r="U694" i="3"/>
  <c r="P695" i="3"/>
  <c r="K696" i="3"/>
  <c r="S696" i="3"/>
  <c r="N697" i="3"/>
  <c r="V697" i="3"/>
  <c r="Q698" i="3"/>
  <c r="L699" i="3"/>
  <c r="T699" i="3"/>
  <c r="O700" i="3"/>
  <c r="J701" i="3"/>
  <c r="R701" i="3"/>
  <c r="M702" i="3"/>
  <c r="U702" i="3"/>
  <c r="P703" i="3"/>
  <c r="K704" i="3"/>
  <c r="S704" i="3"/>
  <c r="N705" i="3"/>
  <c r="V705" i="3"/>
  <c r="Q706" i="3"/>
  <c r="L707" i="3"/>
  <c r="T707" i="3"/>
  <c r="O708" i="3"/>
  <c r="J709" i="3"/>
  <c r="R709" i="3"/>
  <c r="M710" i="3"/>
  <c r="U710" i="3"/>
  <c r="P711" i="3"/>
  <c r="K712" i="3"/>
  <c r="S712" i="3"/>
  <c r="N713" i="3"/>
  <c r="V713" i="3"/>
  <c r="Q714" i="3"/>
  <c r="L715" i="3"/>
  <c r="T715" i="3"/>
  <c r="O716" i="3"/>
  <c r="J717" i="3"/>
  <c r="R717" i="3"/>
  <c r="M718" i="3"/>
  <c r="U718" i="3"/>
  <c r="P719" i="3"/>
  <c r="K720" i="3"/>
  <c r="S720" i="3"/>
  <c r="N721" i="3"/>
  <c r="V721" i="3"/>
  <c r="Q722" i="3"/>
  <c r="L723" i="3"/>
  <c r="T723" i="3"/>
  <c r="O724" i="3"/>
  <c r="J725" i="3"/>
  <c r="R725" i="3"/>
  <c r="M726" i="3"/>
  <c r="U726" i="3"/>
  <c r="P727" i="3"/>
  <c r="K728" i="3"/>
  <c r="S728" i="3"/>
  <c r="N729" i="3"/>
  <c r="V729" i="3"/>
  <c r="Q730" i="3"/>
  <c r="L731" i="3"/>
  <c r="T731" i="3"/>
  <c r="O732" i="3"/>
  <c r="J733" i="3"/>
  <c r="R733" i="3"/>
  <c r="M734" i="3"/>
  <c r="U734" i="3"/>
  <c r="P735" i="3"/>
  <c r="K736" i="3"/>
  <c r="S736" i="3"/>
  <c r="N737" i="3"/>
  <c r="V737" i="3"/>
  <c r="Q738" i="3"/>
  <c r="L739" i="3"/>
  <c r="T739" i="3"/>
  <c r="O740" i="3"/>
  <c r="J741" i="3"/>
  <c r="R741" i="3"/>
  <c r="M742" i="3"/>
  <c r="U742" i="3"/>
  <c r="P743" i="3"/>
  <c r="K744" i="3"/>
  <c r="S744" i="3"/>
  <c r="N745" i="3"/>
  <c r="V745" i="3"/>
  <c r="Q746" i="3"/>
  <c r="L747" i="3"/>
  <c r="T747" i="3"/>
  <c r="O748" i="3"/>
  <c r="J749" i="3"/>
  <c r="R749" i="3"/>
  <c r="M750" i="3"/>
  <c r="U750" i="3"/>
  <c r="P751" i="3"/>
  <c r="K752" i="3"/>
  <c r="S752" i="3"/>
  <c r="N753" i="3"/>
  <c r="V753" i="3"/>
  <c r="Q754" i="3"/>
  <c r="L755" i="3"/>
  <c r="T755" i="3"/>
  <c r="O756" i="3"/>
  <c r="J757" i="3"/>
  <c r="R757" i="3"/>
  <c r="M758" i="3"/>
  <c r="U758" i="3"/>
  <c r="P759" i="3"/>
  <c r="K760" i="3"/>
  <c r="S760" i="3"/>
  <c r="N761" i="3"/>
  <c r="V761" i="3"/>
  <c r="Q762" i="3"/>
  <c r="L763" i="3"/>
  <c r="T763" i="3"/>
  <c r="O764" i="3"/>
  <c r="J765" i="3"/>
  <c r="R765" i="3"/>
  <c r="M766" i="3"/>
  <c r="U766" i="3"/>
  <c r="P767" i="3"/>
  <c r="K768" i="3"/>
  <c r="S768" i="3"/>
  <c r="N389" i="3"/>
  <c r="M433" i="3"/>
  <c r="J451" i="3"/>
  <c r="U464" i="3"/>
  <c r="O475" i="3"/>
  <c r="M485" i="3"/>
  <c r="K495" i="3"/>
  <c r="V504" i="3"/>
  <c r="T514" i="3"/>
  <c r="R524" i="3"/>
  <c r="M534" i="3"/>
  <c r="V539" i="3"/>
  <c r="L544" i="3"/>
  <c r="J548" i="3"/>
  <c r="K552" i="3"/>
  <c r="O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O614" i="3"/>
  <c r="V615" i="3"/>
  <c r="Q617" i="3"/>
  <c r="N619" i="3"/>
  <c r="U620" i="3"/>
  <c r="O622" i="3"/>
  <c r="R623" i="3"/>
  <c r="U624" i="3"/>
  <c r="K626" i="3"/>
  <c r="K627" i="3"/>
  <c r="L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V806" i="3"/>
  <c r="Q807" i="3"/>
  <c r="T400" i="3"/>
  <c r="L477" i="3"/>
  <c r="Q516" i="3"/>
  <c r="T544" i="3"/>
  <c r="P558" i="3"/>
  <c r="N568" i="3"/>
  <c r="L578" i="3"/>
  <c r="J588" i="3"/>
  <c r="U597" i="3"/>
  <c r="S607" i="3"/>
  <c r="M616" i="3"/>
  <c r="P622" i="3"/>
  <c r="N627" i="3"/>
  <c r="O630" i="3"/>
  <c r="U632" i="3"/>
  <c r="N635" i="3"/>
  <c r="T637" i="3"/>
  <c r="M640" i="3"/>
  <c r="S642" i="3"/>
  <c r="L645" i="3"/>
  <c r="R647" i="3"/>
  <c r="K650" i="3"/>
  <c r="Q652" i="3"/>
  <c r="J655" i="3"/>
  <c r="P657" i="3"/>
  <c r="V659" i="3"/>
  <c r="O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P768" i="3"/>
  <c r="R769" i="3"/>
  <c r="S770" i="3"/>
  <c r="Q771" i="3"/>
  <c r="R772" i="3"/>
  <c r="R773" i="3"/>
  <c r="Q774" i="3"/>
  <c r="R775" i="3"/>
  <c r="P776" i="3"/>
  <c r="Q777" i="3"/>
  <c r="Q778" i="3"/>
  <c r="P779" i="3"/>
  <c r="Q780" i="3"/>
  <c r="O781" i="3"/>
  <c r="P782" i="3"/>
  <c r="P783" i="3"/>
  <c r="O784" i="3"/>
  <c r="P785" i="3"/>
  <c r="N786" i="3"/>
  <c r="O787" i="3"/>
  <c r="O788" i="3"/>
  <c r="N789" i="3"/>
  <c r="O790" i="3"/>
  <c r="M791" i="3"/>
  <c r="N792" i="3"/>
  <c r="N793" i="3"/>
  <c r="M794" i="3"/>
  <c r="L795" i="3"/>
  <c r="J796" i="3"/>
  <c r="T796" i="3"/>
  <c r="R797" i="3"/>
  <c r="P798" i="3"/>
  <c r="M799" i="3"/>
  <c r="K800" i="3"/>
  <c r="V800" i="3"/>
  <c r="S801" i="3"/>
  <c r="Q802" i="3"/>
  <c r="O803" i="3"/>
  <c r="L804" i="3"/>
  <c r="J805" i="3"/>
  <c r="U805" i="3"/>
  <c r="R806" i="3"/>
  <c r="P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U875" i="3"/>
  <c r="P876" i="3"/>
  <c r="K877" i="3"/>
  <c r="S877" i="3"/>
  <c r="N878" i="3"/>
  <c r="V878" i="3"/>
  <c r="Q879" i="3"/>
  <c r="L880" i="3"/>
  <c r="T880" i="3"/>
  <c r="O881" i="3"/>
  <c r="J882" i="3"/>
  <c r="R882" i="3"/>
  <c r="M883" i="3"/>
  <c r="U883" i="3"/>
  <c r="P884" i="3"/>
  <c r="K885" i="3"/>
  <c r="S885" i="3"/>
  <c r="N886" i="3"/>
  <c r="V886" i="3"/>
  <c r="Q887" i="3"/>
  <c r="L888" i="3"/>
  <c r="T888" i="3"/>
  <c r="O889" i="3"/>
  <c r="J890" i="3"/>
  <c r="R890" i="3"/>
  <c r="M891" i="3"/>
  <c r="U891" i="3"/>
  <c r="P892" i="3"/>
  <c r="K893" i="3"/>
  <c r="S893" i="3"/>
  <c r="N894" i="3"/>
  <c r="V894" i="3"/>
  <c r="Q895" i="3"/>
  <c r="L896" i="3"/>
  <c r="T896" i="3"/>
  <c r="O897" i="3"/>
  <c r="J898" i="3"/>
  <c r="R898" i="3"/>
  <c r="M899" i="3"/>
  <c r="U899" i="3"/>
  <c r="P900" i="3"/>
  <c r="K901" i="3"/>
  <c r="S901" i="3"/>
  <c r="N902" i="3"/>
  <c r="V902" i="3"/>
  <c r="Q903" i="3"/>
  <c r="L904" i="3"/>
  <c r="T904" i="3"/>
  <c r="O905" i="3"/>
  <c r="J906" i="3"/>
  <c r="R906" i="3"/>
  <c r="M907" i="3"/>
  <c r="U907" i="3"/>
  <c r="P908" i="3"/>
  <c r="K909" i="3"/>
  <c r="S909" i="3"/>
  <c r="N910" i="3"/>
  <c r="V910" i="3"/>
  <c r="Q911" i="3"/>
  <c r="L912" i="3"/>
  <c r="T912" i="3"/>
  <c r="O913" i="3"/>
  <c r="J914" i="3"/>
  <c r="R914" i="3"/>
  <c r="M915" i="3"/>
  <c r="U915" i="3"/>
  <c r="P916" i="3"/>
  <c r="K917" i="3"/>
  <c r="S917" i="3"/>
  <c r="N918" i="3"/>
  <c r="V918" i="3"/>
  <c r="Q919" i="3"/>
  <c r="L920" i="3"/>
  <c r="T920" i="3"/>
  <c r="O921" i="3"/>
  <c r="J922" i="3"/>
  <c r="M404" i="3"/>
  <c r="U477" i="3"/>
  <c r="M517" i="3"/>
  <c r="M545" i="3"/>
  <c r="S558" i="3"/>
  <c r="Q568" i="3"/>
  <c r="O578" i="3"/>
  <c r="M588" i="3"/>
  <c r="K598" i="3"/>
  <c r="V607" i="3"/>
  <c r="N616" i="3"/>
  <c r="R622" i="3"/>
  <c r="O627" i="3"/>
  <c r="P630" i="3"/>
  <c r="V632" i="3"/>
  <c r="O635" i="3"/>
  <c r="U637" i="3"/>
  <c r="N640" i="3"/>
  <c r="T642" i="3"/>
  <c r="M645" i="3"/>
  <c r="S647" i="3"/>
  <c r="L650" i="3"/>
  <c r="R652" i="3"/>
  <c r="K655" i="3"/>
  <c r="Q657" i="3"/>
  <c r="J660" i="3"/>
  <c r="P662" i="3"/>
  <c r="M664" i="3"/>
  <c r="P665" i="3"/>
  <c r="S666" i="3"/>
  <c r="V667" i="3"/>
  <c r="L669" i="3"/>
  <c r="O670" i="3"/>
  <c r="R671" i="3"/>
  <c r="U672" i="3"/>
  <c r="K674" i="3"/>
  <c r="N675" i="3"/>
  <c r="Q676" i="3"/>
  <c r="T677" i="3"/>
  <c r="J679" i="3"/>
  <c r="M680" i="3"/>
  <c r="P681" i="3"/>
  <c r="S682" i="3"/>
  <c r="V683" i="3"/>
  <c r="L685" i="3"/>
  <c r="O686" i="3"/>
  <c r="R687" i="3"/>
  <c r="U688" i="3"/>
  <c r="K690" i="3"/>
  <c r="N691" i="3"/>
  <c r="Q692" i="3"/>
  <c r="T693" i="3"/>
  <c r="J695" i="3"/>
  <c r="M696" i="3"/>
  <c r="P697" i="3"/>
  <c r="S698" i="3"/>
  <c r="V699" i="3"/>
  <c r="L701" i="3"/>
  <c r="O702" i="3"/>
  <c r="R703" i="3"/>
  <c r="U704" i="3"/>
  <c r="K706" i="3"/>
  <c r="N707" i="3"/>
  <c r="Q708" i="3"/>
  <c r="T709" i="3"/>
  <c r="J711" i="3"/>
  <c r="M712" i="3"/>
  <c r="P713" i="3"/>
  <c r="S714" i="3"/>
  <c r="V715" i="3"/>
  <c r="L717" i="3"/>
  <c r="O718" i="3"/>
  <c r="R719" i="3"/>
  <c r="U720" i="3"/>
  <c r="K722" i="3"/>
  <c r="N723" i="3"/>
  <c r="Q724" i="3"/>
  <c r="T725" i="3"/>
  <c r="J727" i="3"/>
  <c r="M728" i="3"/>
  <c r="P729" i="3"/>
  <c r="S730" i="3"/>
  <c r="V731" i="3"/>
  <c r="L733" i="3"/>
  <c r="O734" i="3"/>
  <c r="R735" i="3"/>
  <c r="U736" i="3"/>
  <c r="K738" i="3"/>
  <c r="N739" i="3"/>
  <c r="Q740" i="3"/>
  <c r="T741" i="3"/>
  <c r="J743" i="3"/>
  <c r="M744" i="3"/>
  <c r="P745" i="3"/>
  <c r="S746" i="3"/>
  <c r="V747" i="3"/>
  <c r="L749" i="3"/>
  <c r="O750" i="3"/>
  <c r="R751" i="3"/>
  <c r="U752" i="3"/>
  <c r="K754" i="3"/>
  <c r="N755" i="3"/>
  <c r="Q756" i="3"/>
  <c r="T757" i="3"/>
  <c r="J759" i="3"/>
  <c r="M760" i="3"/>
  <c r="P761" i="3"/>
  <c r="S762" i="3"/>
  <c r="V763" i="3"/>
  <c r="L765" i="3"/>
  <c r="O766" i="3"/>
  <c r="R767" i="3"/>
  <c r="U768" i="3"/>
  <c r="S769" i="3"/>
  <c r="T770" i="3"/>
  <c r="T771" i="3"/>
  <c r="S772" i="3"/>
  <c r="T773" i="3"/>
  <c r="R774" i="3"/>
  <c r="S775" i="3"/>
  <c r="S776" i="3"/>
  <c r="R777" i="3"/>
  <c r="S778" i="3"/>
  <c r="Q779" i="3"/>
  <c r="R780" i="3"/>
  <c r="R781" i="3"/>
  <c r="Q782" i="3"/>
  <c r="R783" i="3"/>
  <c r="P784" i="3"/>
  <c r="Q785" i="3"/>
  <c r="Q786" i="3"/>
  <c r="P787" i="3"/>
  <c r="Q788" i="3"/>
  <c r="O789" i="3"/>
  <c r="P790" i="3"/>
  <c r="P791" i="3"/>
  <c r="O792" i="3"/>
  <c r="P793" i="3"/>
  <c r="N794" i="3"/>
  <c r="N795" i="3"/>
  <c r="K796" i="3"/>
  <c r="V796" i="3"/>
  <c r="T797" i="3"/>
  <c r="Q798" i="3"/>
  <c r="O799" i="3"/>
  <c r="M800" i="3"/>
  <c r="J801" i="3"/>
  <c r="U801" i="3"/>
  <c r="S802" i="3"/>
  <c r="P803" i="3"/>
  <c r="N804" i="3"/>
  <c r="L805" i="3"/>
  <c r="V805" i="3"/>
  <c r="T806" i="3"/>
  <c r="R807" i="3"/>
  <c r="M808" i="3"/>
  <c r="U808" i="3"/>
  <c r="P809" i="3"/>
  <c r="K810" i="3"/>
  <c r="S810" i="3"/>
  <c r="N811" i="3"/>
  <c r="V811" i="3"/>
  <c r="Q812" i="3"/>
  <c r="L813" i="3"/>
  <c r="T813" i="3"/>
  <c r="O814" i="3"/>
  <c r="J815" i="3"/>
  <c r="R815" i="3"/>
  <c r="M816" i="3"/>
  <c r="U816" i="3"/>
  <c r="P817" i="3"/>
  <c r="K818" i="3"/>
  <c r="S818" i="3"/>
  <c r="N819" i="3"/>
  <c r="V819" i="3"/>
  <c r="Q820" i="3"/>
  <c r="L821" i="3"/>
  <c r="T821" i="3"/>
  <c r="O822" i="3"/>
  <c r="J823" i="3"/>
  <c r="R823" i="3"/>
  <c r="M824" i="3"/>
  <c r="U824" i="3"/>
  <c r="P825" i="3"/>
  <c r="K826" i="3"/>
  <c r="S826" i="3"/>
  <c r="N827" i="3"/>
  <c r="V827" i="3"/>
  <c r="Q828" i="3"/>
  <c r="L829" i="3"/>
  <c r="T829" i="3"/>
  <c r="O830" i="3"/>
  <c r="J831" i="3"/>
  <c r="R831" i="3"/>
  <c r="M832" i="3"/>
  <c r="U832" i="3"/>
  <c r="P833" i="3"/>
  <c r="K834" i="3"/>
  <c r="S834" i="3"/>
  <c r="N835" i="3"/>
  <c r="V835" i="3"/>
  <c r="Q836" i="3"/>
  <c r="L837" i="3"/>
  <c r="T837" i="3"/>
  <c r="O838" i="3"/>
  <c r="J839" i="3"/>
  <c r="R839" i="3"/>
  <c r="M840" i="3"/>
  <c r="U840" i="3"/>
  <c r="P841" i="3"/>
  <c r="K842" i="3"/>
  <c r="S842" i="3"/>
  <c r="N843" i="3"/>
  <c r="V843" i="3"/>
  <c r="Q844" i="3"/>
  <c r="L845" i="3"/>
  <c r="T845" i="3"/>
  <c r="O846" i="3"/>
  <c r="J847" i="3"/>
  <c r="R847" i="3"/>
  <c r="M848" i="3"/>
  <c r="U848" i="3"/>
  <c r="P849" i="3"/>
  <c r="K850" i="3"/>
  <c r="S850" i="3"/>
  <c r="N851" i="3"/>
  <c r="V851" i="3"/>
  <c r="Q852" i="3"/>
  <c r="L853" i="3"/>
  <c r="T853" i="3"/>
  <c r="O854" i="3"/>
  <c r="J855" i="3"/>
  <c r="R855" i="3"/>
  <c r="M856" i="3"/>
  <c r="U856" i="3"/>
  <c r="P857" i="3"/>
  <c r="K858" i="3"/>
  <c r="S858" i="3"/>
  <c r="N859" i="3"/>
  <c r="V859" i="3"/>
  <c r="Q860" i="3"/>
  <c r="L861" i="3"/>
  <c r="T861" i="3"/>
  <c r="O862" i="3"/>
  <c r="J863" i="3"/>
  <c r="R863" i="3"/>
  <c r="M864" i="3"/>
  <c r="U864" i="3"/>
  <c r="P865" i="3"/>
  <c r="K866" i="3"/>
  <c r="S866" i="3"/>
  <c r="N867" i="3"/>
  <c r="V867" i="3"/>
  <c r="Q868" i="3"/>
  <c r="L869" i="3"/>
  <c r="T869" i="3"/>
  <c r="O870" i="3"/>
  <c r="J871" i="3"/>
  <c r="R871" i="3"/>
  <c r="M872" i="3"/>
  <c r="U872" i="3"/>
  <c r="P873" i="3"/>
  <c r="K874" i="3"/>
  <c r="S874" i="3"/>
  <c r="N875" i="3"/>
  <c r="V875" i="3"/>
  <c r="Q876" i="3"/>
  <c r="L877" i="3"/>
  <c r="T877" i="3"/>
  <c r="O878" i="3"/>
  <c r="J879" i="3"/>
  <c r="R879" i="3"/>
  <c r="M880" i="3"/>
  <c r="U880" i="3"/>
  <c r="P881" i="3"/>
  <c r="K882" i="3"/>
  <c r="S882" i="3"/>
  <c r="N883" i="3"/>
  <c r="V883" i="3"/>
  <c r="Q884" i="3"/>
  <c r="L885" i="3"/>
  <c r="T885" i="3"/>
  <c r="O886" i="3"/>
  <c r="J887" i="3"/>
  <c r="R887" i="3"/>
  <c r="M888" i="3"/>
  <c r="U888" i="3"/>
  <c r="P889" i="3"/>
  <c r="K890" i="3"/>
  <c r="S890" i="3"/>
  <c r="N891" i="3"/>
  <c r="V891" i="3"/>
  <c r="Q892" i="3"/>
  <c r="L893" i="3"/>
  <c r="T893" i="3"/>
  <c r="O894" i="3"/>
  <c r="J895" i="3"/>
  <c r="R895" i="3"/>
  <c r="M896" i="3"/>
  <c r="U896" i="3"/>
  <c r="P897" i="3"/>
  <c r="K898" i="3"/>
  <c r="S898" i="3"/>
  <c r="N899" i="3"/>
  <c r="V899" i="3"/>
  <c r="Q900" i="3"/>
  <c r="L901" i="3"/>
  <c r="T901" i="3"/>
  <c r="O902" i="3"/>
  <c r="J903" i="3"/>
  <c r="R903" i="3"/>
  <c r="M904" i="3"/>
  <c r="U904" i="3"/>
  <c r="P905" i="3"/>
  <c r="K906" i="3"/>
  <c r="S906" i="3"/>
  <c r="N907" i="3"/>
  <c r="V907" i="3"/>
  <c r="Q908" i="3"/>
  <c r="L909" i="3"/>
  <c r="T909" i="3"/>
  <c r="O910" i="3"/>
  <c r="J911" i="3"/>
  <c r="R911" i="3"/>
  <c r="M912" i="3"/>
  <c r="U912" i="3"/>
  <c r="P913" i="3"/>
  <c r="K914" i="3"/>
  <c r="S914" i="3"/>
  <c r="N915" i="3"/>
  <c r="V915" i="3"/>
  <c r="Q916" i="3"/>
  <c r="L917" i="3"/>
  <c r="J437" i="3"/>
  <c r="J487" i="3"/>
  <c r="O526" i="3"/>
  <c r="R548" i="3"/>
  <c r="V560" i="3"/>
  <c r="T570" i="3"/>
  <c r="R580" i="3"/>
  <c r="P590" i="3"/>
  <c r="N600" i="3"/>
  <c r="L610" i="3"/>
  <c r="T617" i="3"/>
  <c r="S623" i="3"/>
  <c r="M628" i="3"/>
  <c r="J631" i="3"/>
  <c r="P633" i="3"/>
  <c r="V635" i="3"/>
  <c r="O638" i="3"/>
  <c r="U640" i="3"/>
  <c r="N643" i="3"/>
  <c r="T645" i="3"/>
  <c r="M648" i="3"/>
  <c r="S650" i="3"/>
  <c r="L653" i="3"/>
  <c r="R655" i="3"/>
  <c r="K658" i="3"/>
  <c r="Q660" i="3"/>
  <c r="J663" i="3"/>
  <c r="N664" i="3"/>
  <c r="Q665" i="3"/>
  <c r="T666" i="3"/>
  <c r="J668" i="3"/>
  <c r="M669" i="3"/>
  <c r="P670" i="3"/>
  <c r="S671" i="3"/>
  <c r="V672" i="3"/>
  <c r="L674" i="3"/>
  <c r="O675" i="3"/>
  <c r="R676" i="3"/>
  <c r="U677" i="3"/>
  <c r="K679" i="3"/>
  <c r="N680" i="3"/>
  <c r="Q681" i="3"/>
  <c r="T682" i="3"/>
  <c r="J684" i="3"/>
  <c r="M685" i="3"/>
  <c r="P686" i="3"/>
  <c r="S687" i="3"/>
  <c r="V688" i="3"/>
  <c r="L690" i="3"/>
  <c r="O691" i="3"/>
  <c r="R692" i="3"/>
  <c r="U693" i="3"/>
  <c r="K695" i="3"/>
  <c r="N696" i="3"/>
  <c r="Q697" i="3"/>
  <c r="T698" i="3"/>
  <c r="J700" i="3"/>
  <c r="M701" i="3"/>
  <c r="P702" i="3"/>
  <c r="S703" i="3"/>
  <c r="V704" i="3"/>
  <c r="L706" i="3"/>
  <c r="O707" i="3"/>
  <c r="R708" i="3"/>
  <c r="U709" i="3"/>
  <c r="K711" i="3"/>
  <c r="N712" i="3"/>
  <c r="Q713" i="3"/>
  <c r="T714" i="3"/>
  <c r="J716" i="3"/>
  <c r="M717" i="3"/>
  <c r="P718" i="3"/>
  <c r="S719" i="3"/>
  <c r="V720" i="3"/>
  <c r="L722" i="3"/>
  <c r="O723" i="3"/>
  <c r="R724" i="3"/>
  <c r="U725" i="3"/>
  <c r="K727" i="3"/>
  <c r="N728" i="3"/>
  <c r="Q729" i="3"/>
  <c r="T730" i="3"/>
  <c r="J732" i="3"/>
  <c r="M733" i="3"/>
  <c r="P734" i="3"/>
  <c r="S735" i="3"/>
  <c r="V736" i="3"/>
  <c r="L738" i="3"/>
  <c r="O739" i="3"/>
  <c r="R740" i="3"/>
  <c r="U741" i="3"/>
  <c r="K743" i="3"/>
  <c r="N744" i="3"/>
  <c r="Q745" i="3"/>
  <c r="T746" i="3"/>
  <c r="J748" i="3"/>
  <c r="M749" i="3"/>
  <c r="P750" i="3"/>
  <c r="S751" i="3"/>
  <c r="V752" i="3"/>
  <c r="L754" i="3"/>
  <c r="O755" i="3"/>
  <c r="R756" i="3"/>
  <c r="U757" i="3"/>
  <c r="K759" i="3"/>
  <c r="N760" i="3"/>
  <c r="Q761" i="3"/>
  <c r="T762" i="3"/>
  <c r="J764" i="3"/>
  <c r="M765" i="3"/>
  <c r="P766" i="3"/>
  <c r="S767" i="3"/>
  <c r="V768" i="3"/>
  <c r="V769" i="3"/>
  <c r="U770" i="3"/>
  <c r="V771" i="3"/>
  <c r="T772" i="3"/>
  <c r="U773" i="3"/>
  <c r="U774" i="3"/>
  <c r="T775" i="3"/>
  <c r="U776" i="3"/>
  <c r="S777" i="3"/>
  <c r="T778" i="3"/>
  <c r="T779" i="3"/>
  <c r="S780" i="3"/>
  <c r="T781" i="3"/>
  <c r="R782" i="3"/>
  <c r="S783" i="3"/>
  <c r="S784" i="3"/>
  <c r="R785" i="3"/>
  <c r="S786" i="3"/>
  <c r="Q787" i="3"/>
  <c r="R788" i="3"/>
  <c r="R789" i="3"/>
  <c r="Q790" i="3"/>
  <c r="R791" i="3"/>
  <c r="P792" i="3"/>
  <c r="Q793" i="3"/>
  <c r="Q794" i="3"/>
  <c r="O795" i="3"/>
  <c r="L796" i="3"/>
  <c r="J797" i="3"/>
  <c r="U797" i="3"/>
  <c r="R798" i="3"/>
  <c r="P799" i="3"/>
  <c r="N800" i="3"/>
  <c r="K801" i="3"/>
  <c r="V801" i="3"/>
  <c r="T802" i="3"/>
  <c r="Q803" i="3"/>
  <c r="O804" i="3"/>
  <c r="M805" i="3"/>
  <c r="J806" i="3"/>
  <c r="U806" i="3"/>
  <c r="S807" i="3"/>
  <c r="N808" i="3"/>
  <c r="V808" i="3"/>
  <c r="Q809" i="3"/>
  <c r="L810" i="3"/>
  <c r="T810" i="3"/>
  <c r="O811" i="3"/>
  <c r="J812" i="3"/>
  <c r="R812" i="3"/>
  <c r="M813" i="3"/>
  <c r="U813" i="3"/>
  <c r="P814" i="3"/>
  <c r="K815" i="3"/>
  <c r="S815" i="3"/>
  <c r="N816" i="3"/>
  <c r="V816" i="3"/>
  <c r="Q817" i="3"/>
  <c r="L818" i="3"/>
  <c r="T818" i="3"/>
  <c r="O819" i="3"/>
  <c r="J820" i="3"/>
  <c r="R820" i="3"/>
  <c r="M821" i="3"/>
  <c r="U821" i="3"/>
  <c r="P822" i="3"/>
  <c r="K823" i="3"/>
  <c r="S823" i="3"/>
  <c r="N824" i="3"/>
  <c r="V824" i="3"/>
  <c r="Q825" i="3"/>
  <c r="L826" i="3"/>
  <c r="T826" i="3"/>
  <c r="O827" i="3"/>
  <c r="J828" i="3"/>
  <c r="R828" i="3"/>
  <c r="M829" i="3"/>
  <c r="U829" i="3"/>
  <c r="P830" i="3"/>
  <c r="K831" i="3"/>
  <c r="S831" i="3"/>
  <c r="N832" i="3"/>
  <c r="V832" i="3"/>
  <c r="Q833" i="3"/>
  <c r="L834" i="3"/>
  <c r="T834" i="3"/>
  <c r="O835" i="3"/>
  <c r="J836" i="3"/>
  <c r="R836" i="3"/>
  <c r="M837" i="3"/>
  <c r="U837" i="3"/>
  <c r="P838" i="3"/>
  <c r="K839" i="3"/>
  <c r="S839" i="3"/>
  <c r="N840" i="3"/>
  <c r="V840" i="3"/>
  <c r="Q841" i="3"/>
  <c r="L842" i="3"/>
  <c r="T842" i="3"/>
  <c r="O843" i="3"/>
  <c r="J844" i="3"/>
  <c r="R844" i="3"/>
  <c r="M845" i="3"/>
  <c r="U845" i="3"/>
  <c r="P846" i="3"/>
  <c r="K847" i="3"/>
  <c r="S847" i="3"/>
  <c r="N848" i="3"/>
  <c r="V848" i="3"/>
  <c r="Q849" i="3"/>
  <c r="L850" i="3"/>
  <c r="T850" i="3"/>
  <c r="O851" i="3"/>
  <c r="J852" i="3"/>
  <c r="R852" i="3"/>
  <c r="M853" i="3"/>
  <c r="U853" i="3"/>
  <c r="P854" i="3"/>
  <c r="K855" i="3"/>
  <c r="S855" i="3"/>
  <c r="N856" i="3"/>
  <c r="V856" i="3"/>
  <c r="Q857" i="3"/>
  <c r="L858" i="3"/>
  <c r="T858" i="3"/>
  <c r="O859" i="3"/>
  <c r="J860" i="3"/>
  <c r="R860" i="3"/>
  <c r="M861" i="3"/>
  <c r="U861" i="3"/>
  <c r="P862" i="3"/>
  <c r="K863" i="3"/>
  <c r="S863" i="3"/>
  <c r="N864" i="3"/>
  <c r="V864" i="3"/>
  <c r="Q865" i="3"/>
  <c r="L866" i="3"/>
  <c r="T866" i="3"/>
  <c r="O867" i="3"/>
  <c r="J868" i="3"/>
  <c r="R868" i="3"/>
  <c r="M869" i="3"/>
  <c r="U869" i="3"/>
  <c r="P870" i="3"/>
  <c r="K871" i="3"/>
  <c r="S871" i="3"/>
  <c r="N872" i="3"/>
  <c r="V872" i="3"/>
  <c r="Q873" i="3"/>
  <c r="L874" i="3"/>
  <c r="T874" i="3"/>
  <c r="O875" i="3"/>
  <c r="J876" i="3"/>
  <c r="R876" i="3"/>
  <c r="M877" i="3"/>
  <c r="U877" i="3"/>
  <c r="P878" i="3"/>
  <c r="K879" i="3"/>
  <c r="S879" i="3"/>
  <c r="N880" i="3"/>
  <c r="V880" i="3"/>
  <c r="Q881" i="3"/>
  <c r="L882" i="3"/>
  <c r="T882" i="3"/>
  <c r="O883" i="3"/>
  <c r="J884" i="3"/>
  <c r="R884" i="3"/>
  <c r="M885" i="3"/>
  <c r="U885" i="3"/>
  <c r="P886" i="3"/>
  <c r="K887" i="3"/>
  <c r="S887" i="3"/>
  <c r="N888" i="3"/>
  <c r="V888" i="3"/>
  <c r="Q889" i="3"/>
  <c r="L890" i="3"/>
  <c r="T890" i="3"/>
  <c r="O891" i="3"/>
  <c r="J892" i="3"/>
  <c r="R892" i="3"/>
  <c r="M893" i="3"/>
  <c r="U893" i="3"/>
  <c r="P894" i="3"/>
  <c r="K895" i="3"/>
  <c r="S895" i="3"/>
  <c r="N896" i="3"/>
  <c r="V896" i="3"/>
  <c r="Q897" i="3"/>
  <c r="L898" i="3"/>
  <c r="T898" i="3"/>
  <c r="O899" i="3"/>
  <c r="J900" i="3"/>
  <c r="R900" i="3"/>
  <c r="M901" i="3"/>
  <c r="U901" i="3"/>
  <c r="P902" i="3"/>
  <c r="K903" i="3"/>
  <c r="S903" i="3"/>
  <c r="N904" i="3"/>
  <c r="V904" i="3"/>
  <c r="N438" i="3"/>
  <c r="S487" i="3"/>
  <c r="K527" i="3"/>
  <c r="K549" i="3"/>
  <c r="L561" i="3"/>
  <c r="J571" i="3"/>
  <c r="U580" i="3"/>
  <c r="S590" i="3"/>
  <c r="Q600" i="3"/>
  <c r="O610" i="3"/>
  <c r="K618" i="3"/>
  <c r="U623" i="3"/>
  <c r="N628" i="3"/>
  <c r="K631" i="3"/>
  <c r="Q633" i="3"/>
  <c r="J636" i="3"/>
  <c r="P638" i="3"/>
  <c r="V640" i="3"/>
  <c r="O643" i="3"/>
  <c r="U645" i="3"/>
  <c r="N648" i="3"/>
  <c r="T650" i="3"/>
  <c r="M653" i="3"/>
  <c r="S655" i="3"/>
  <c r="L658" i="3"/>
  <c r="R660" i="3"/>
  <c r="K663" i="3"/>
  <c r="O664" i="3"/>
  <c r="R665" i="3"/>
  <c r="U666" i="3"/>
  <c r="K668" i="3"/>
  <c r="N669" i="3"/>
  <c r="Q670" i="3"/>
  <c r="T671" i="3"/>
  <c r="J673" i="3"/>
  <c r="M674" i="3"/>
  <c r="P675" i="3"/>
  <c r="S676" i="3"/>
  <c r="V677" i="3"/>
  <c r="L679" i="3"/>
  <c r="O680" i="3"/>
  <c r="R681" i="3"/>
  <c r="U682" i="3"/>
  <c r="K684" i="3"/>
  <c r="N685" i="3"/>
  <c r="Q686" i="3"/>
  <c r="T687" i="3"/>
  <c r="J689" i="3"/>
  <c r="M690" i="3"/>
  <c r="P691" i="3"/>
  <c r="S692" i="3"/>
  <c r="V693" i="3"/>
  <c r="L695" i="3"/>
  <c r="O696" i="3"/>
  <c r="R697" i="3"/>
  <c r="U698" i="3"/>
  <c r="K700" i="3"/>
  <c r="N701" i="3"/>
  <c r="Q702" i="3"/>
  <c r="T703" i="3"/>
  <c r="J705" i="3"/>
  <c r="M706" i="3"/>
  <c r="P707" i="3"/>
  <c r="S708" i="3"/>
  <c r="V709" i="3"/>
  <c r="L711" i="3"/>
  <c r="O712" i="3"/>
  <c r="R713" i="3"/>
  <c r="U714" i="3"/>
  <c r="K716" i="3"/>
  <c r="N717" i="3"/>
  <c r="Q718" i="3"/>
  <c r="T719" i="3"/>
  <c r="J721" i="3"/>
  <c r="M722" i="3"/>
  <c r="P723" i="3"/>
  <c r="S724" i="3"/>
  <c r="V725" i="3"/>
  <c r="L727" i="3"/>
  <c r="O728" i="3"/>
  <c r="R729" i="3"/>
  <c r="U730" i="3"/>
  <c r="K732" i="3"/>
  <c r="N733" i="3"/>
  <c r="Q734" i="3"/>
  <c r="T735" i="3"/>
  <c r="J737" i="3"/>
  <c r="M738" i="3"/>
  <c r="P739" i="3"/>
  <c r="S740" i="3"/>
  <c r="V741" i="3"/>
  <c r="L743" i="3"/>
  <c r="O744" i="3"/>
  <c r="R745" i="3"/>
  <c r="U746" i="3"/>
  <c r="K748" i="3"/>
  <c r="N749" i="3"/>
  <c r="Q750" i="3"/>
  <c r="T751" i="3"/>
  <c r="J753" i="3"/>
  <c r="M754" i="3"/>
  <c r="P755" i="3"/>
  <c r="S756" i="3"/>
  <c r="V757" i="3"/>
  <c r="L759" i="3"/>
  <c r="O760" i="3"/>
  <c r="R761" i="3"/>
  <c r="U762" i="3"/>
  <c r="K764" i="3"/>
  <c r="N765" i="3"/>
  <c r="Q766" i="3"/>
  <c r="T767" i="3"/>
  <c r="J769" i="3"/>
  <c r="K770" i="3"/>
  <c r="V770" i="3"/>
  <c r="J772" i="3"/>
  <c r="J773" i="3"/>
  <c r="V773" i="3"/>
  <c r="J775" i="3"/>
  <c r="U775" i="3"/>
  <c r="V776" i="3"/>
  <c r="V777" i="3"/>
  <c r="U778" i="3"/>
  <c r="V779" i="3"/>
  <c r="T780" i="3"/>
  <c r="U781" i="3"/>
  <c r="U782" i="3"/>
  <c r="T783" i="3"/>
  <c r="U784" i="3"/>
  <c r="S785" i="3"/>
  <c r="T786" i="3"/>
  <c r="T787" i="3"/>
  <c r="S788" i="3"/>
  <c r="T789" i="3"/>
  <c r="R790" i="3"/>
  <c r="S791" i="3"/>
  <c r="S792" i="3"/>
  <c r="R793" i="3"/>
  <c r="S794" i="3"/>
  <c r="P795" i="3"/>
  <c r="N796" i="3"/>
  <c r="L797" i="3"/>
  <c r="V797" i="3"/>
  <c r="T798" i="3"/>
  <c r="R799" i="3"/>
  <c r="O800" i="3"/>
  <c r="M801" i="3"/>
  <c r="K802" i="3"/>
  <c r="U802" i="3"/>
  <c r="S803" i="3"/>
  <c r="Q804" i="3"/>
  <c r="N805" i="3"/>
  <c r="L806" i="3"/>
  <c r="J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U454" i="3"/>
  <c r="Q497" i="3"/>
  <c r="S535" i="3"/>
  <c r="V552" i="3"/>
  <c r="R563" i="3"/>
  <c r="P573" i="3"/>
  <c r="N583" i="3"/>
  <c r="L593" i="3"/>
  <c r="J603" i="3"/>
  <c r="U612" i="3"/>
  <c r="R619" i="3"/>
  <c r="K625" i="3"/>
  <c r="M629" i="3"/>
  <c r="S631" i="3"/>
  <c r="L634" i="3"/>
  <c r="R636" i="3"/>
  <c r="K639" i="3"/>
  <c r="Q641" i="3"/>
  <c r="J644" i="3"/>
  <c r="P646" i="3"/>
  <c r="V648" i="3"/>
  <c r="O651" i="3"/>
  <c r="U653" i="3"/>
  <c r="N656" i="3"/>
  <c r="T658" i="3"/>
  <c r="M661" i="3"/>
  <c r="R663" i="3"/>
  <c r="U664" i="3"/>
  <c r="K666" i="3"/>
  <c r="N667" i="3"/>
  <c r="Q668" i="3"/>
  <c r="T669" i="3"/>
  <c r="J671" i="3"/>
  <c r="M672" i="3"/>
  <c r="P673" i="3"/>
  <c r="S674" i="3"/>
  <c r="V675" i="3"/>
  <c r="L677" i="3"/>
  <c r="O678" i="3"/>
  <c r="R679" i="3"/>
  <c r="U680" i="3"/>
  <c r="K682" i="3"/>
  <c r="N683" i="3"/>
  <c r="Q684" i="3"/>
  <c r="T685" i="3"/>
  <c r="J687" i="3"/>
  <c r="M688" i="3"/>
  <c r="P689" i="3"/>
  <c r="S690" i="3"/>
  <c r="V691" i="3"/>
  <c r="L693" i="3"/>
  <c r="O694" i="3"/>
  <c r="R695" i="3"/>
  <c r="U696" i="3"/>
  <c r="K698" i="3"/>
  <c r="N699" i="3"/>
  <c r="Q700" i="3"/>
  <c r="T701" i="3"/>
  <c r="J703" i="3"/>
  <c r="M704" i="3"/>
  <c r="P705" i="3"/>
  <c r="S706" i="3"/>
  <c r="V707" i="3"/>
  <c r="L709" i="3"/>
  <c r="O710" i="3"/>
  <c r="R711" i="3"/>
  <c r="U712" i="3"/>
  <c r="K714" i="3"/>
  <c r="N715" i="3"/>
  <c r="Q716" i="3"/>
  <c r="T717" i="3"/>
  <c r="J719" i="3"/>
  <c r="M720" i="3"/>
  <c r="P721" i="3"/>
  <c r="S722" i="3"/>
  <c r="V723" i="3"/>
  <c r="L725" i="3"/>
  <c r="O726" i="3"/>
  <c r="R727" i="3"/>
  <c r="U728" i="3"/>
  <c r="K730" i="3"/>
  <c r="N731" i="3"/>
  <c r="Q732" i="3"/>
  <c r="T733" i="3"/>
  <c r="J735" i="3"/>
  <c r="M736" i="3"/>
  <c r="P737" i="3"/>
  <c r="S738" i="3"/>
  <c r="V739" i="3"/>
  <c r="L741" i="3"/>
  <c r="O742" i="3"/>
  <c r="R743" i="3"/>
  <c r="U744" i="3"/>
  <c r="K746" i="3"/>
  <c r="N747" i="3"/>
  <c r="Q748" i="3"/>
  <c r="T749" i="3"/>
  <c r="J751" i="3"/>
  <c r="M752" i="3"/>
  <c r="P753" i="3"/>
  <c r="S754" i="3"/>
  <c r="V755" i="3"/>
  <c r="L757" i="3"/>
  <c r="O758" i="3"/>
  <c r="R759" i="3"/>
  <c r="U760" i="3"/>
  <c r="K762" i="3"/>
  <c r="N763" i="3"/>
  <c r="Q764" i="3"/>
  <c r="T765" i="3"/>
  <c r="J767" i="3"/>
  <c r="M768" i="3"/>
  <c r="N769" i="3"/>
  <c r="M770" i="3"/>
  <c r="N771" i="3"/>
  <c r="L772" i="3"/>
  <c r="M773" i="3"/>
  <c r="M774" i="3"/>
  <c r="L775" i="3"/>
  <c r="M776" i="3"/>
  <c r="K777" i="3"/>
  <c r="L778" i="3"/>
  <c r="L779" i="3"/>
  <c r="K780" i="3"/>
  <c r="L781" i="3"/>
  <c r="J782" i="3"/>
  <c r="K783" i="3"/>
  <c r="K784" i="3"/>
  <c r="J785" i="3"/>
  <c r="K786" i="3"/>
  <c r="V786" i="3"/>
  <c r="J788" i="3"/>
  <c r="J789" i="3"/>
  <c r="V789" i="3"/>
  <c r="J791" i="3"/>
  <c r="U791" i="3"/>
  <c r="V792" i="3"/>
  <c r="V793" i="3"/>
  <c r="U794" i="3"/>
  <c r="S795" i="3"/>
  <c r="Q796" i="3"/>
  <c r="N797" i="3"/>
  <c r="L798" i="3"/>
  <c r="J799" i="3"/>
  <c r="T799" i="3"/>
  <c r="R800" i="3"/>
  <c r="P801" i="3"/>
  <c r="M802" i="3"/>
  <c r="K803" i="3"/>
  <c r="V803" i="3"/>
  <c r="S804" i="3"/>
  <c r="Q805" i="3"/>
  <c r="O806" i="3"/>
  <c r="L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S453" i="3"/>
  <c r="L541" i="3"/>
  <c r="S575" i="3"/>
  <c r="T602" i="3"/>
  <c r="M621" i="3"/>
  <c r="M632" i="3"/>
  <c r="J639" i="3"/>
  <c r="R644" i="3"/>
  <c r="V651" i="3"/>
  <c r="S658" i="3"/>
  <c r="T663" i="3"/>
  <c r="O667" i="3"/>
  <c r="R670" i="3"/>
  <c r="R673" i="3"/>
  <c r="M677" i="3"/>
  <c r="P680" i="3"/>
  <c r="P683" i="3"/>
  <c r="K687" i="3"/>
  <c r="N690" i="3"/>
  <c r="N693" i="3"/>
  <c r="V696" i="3"/>
  <c r="L700" i="3"/>
  <c r="L703" i="3"/>
  <c r="T706" i="3"/>
  <c r="J710" i="3"/>
  <c r="J713" i="3"/>
  <c r="R716" i="3"/>
  <c r="U719" i="3"/>
  <c r="U722" i="3"/>
  <c r="P726" i="3"/>
  <c r="S729" i="3"/>
  <c r="S732" i="3"/>
  <c r="N736" i="3"/>
  <c r="Q739" i="3"/>
  <c r="Q742" i="3"/>
  <c r="L746" i="3"/>
  <c r="O749" i="3"/>
  <c r="O752" i="3"/>
  <c r="J756" i="3"/>
  <c r="M759" i="3"/>
  <c r="M762" i="3"/>
  <c r="U765" i="3"/>
  <c r="K769" i="3"/>
  <c r="P771" i="3"/>
  <c r="O774" i="3"/>
  <c r="J777" i="3"/>
  <c r="O779" i="3"/>
  <c r="M782" i="3"/>
  <c r="V784" i="3"/>
  <c r="N787" i="3"/>
  <c r="J790" i="3"/>
  <c r="U792" i="3"/>
  <c r="K795" i="3"/>
  <c r="O797" i="3"/>
  <c r="S799" i="3"/>
  <c r="R801" i="3"/>
  <c r="J804" i="3"/>
  <c r="M806" i="3"/>
  <c r="K808" i="3"/>
  <c r="U809" i="3"/>
  <c r="Q811" i="3"/>
  <c r="J813" i="3"/>
  <c r="T814" i="3"/>
  <c r="P816" i="3"/>
  <c r="V817" i="3"/>
  <c r="S819" i="3"/>
  <c r="O821" i="3"/>
  <c r="U822" i="3"/>
  <c r="R824" i="3"/>
  <c r="N826" i="3"/>
  <c r="T827" i="3"/>
  <c r="Q829" i="3"/>
  <c r="M831" i="3"/>
  <c r="S832" i="3"/>
  <c r="P834" i="3"/>
  <c r="L836" i="3"/>
  <c r="R837" i="3"/>
  <c r="O839" i="3"/>
  <c r="K841" i="3"/>
  <c r="Q842" i="3"/>
  <c r="N844" i="3"/>
  <c r="J846" i="3"/>
  <c r="P847" i="3"/>
  <c r="M849" i="3"/>
  <c r="V850" i="3"/>
  <c r="O852" i="3"/>
  <c r="L854" i="3"/>
  <c r="U855" i="3"/>
  <c r="N857" i="3"/>
  <c r="K859" i="3"/>
  <c r="T860" i="3"/>
  <c r="M862" i="3"/>
  <c r="J864" i="3"/>
  <c r="S865" i="3"/>
  <c r="L867" i="3"/>
  <c r="V868" i="3"/>
  <c r="R870" i="3"/>
  <c r="K872" i="3"/>
  <c r="U873" i="3"/>
  <c r="Q875" i="3"/>
  <c r="V876" i="3"/>
  <c r="L878" i="3"/>
  <c r="O879" i="3"/>
  <c r="R880" i="3"/>
  <c r="U881" i="3"/>
  <c r="K883" i="3"/>
  <c r="N884" i="3"/>
  <c r="Q885" i="3"/>
  <c r="T886" i="3"/>
  <c r="J888" i="3"/>
  <c r="M889" i="3"/>
  <c r="P890" i="3"/>
  <c r="S891" i="3"/>
  <c r="T892" i="3"/>
  <c r="R893" i="3"/>
  <c r="S894" i="3"/>
  <c r="T895" i="3"/>
  <c r="R896" i="3"/>
  <c r="S897" i="3"/>
  <c r="Q898" i="3"/>
  <c r="R899" i="3"/>
  <c r="S900" i="3"/>
  <c r="Q901" i="3"/>
  <c r="R902" i="3"/>
  <c r="P903" i="3"/>
  <c r="Q904" i="3"/>
  <c r="Q905" i="3"/>
  <c r="N906" i="3"/>
  <c r="K907" i="3"/>
  <c r="J908" i="3"/>
  <c r="T908" i="3"/>
  <c r="Q909" i="3"/>
  <c r="P910" i="3"/>
  <c r="M911" i="3"/>
  <c r="J912" i="3"/>
  <c r="V912" i="3"/>
  <c r="S913" i="3"/>
  <c r="P914" i="3"/>
  <c r="O915" i="3"/>
  <c r="L916" i="3"/>
  <c r="V916" i="3"/>
  <c r="T917" i="3"/>
  <c r="P918" i="3"/>
  <c r="L919" i="3"/>
  <c r="U919" i="3"/>
  <c r="Q920" i="3"/>
  <c r="M921" i="3"/>
  <c r="V921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K1005" i="3"/>
  <c r="S1005" i="3"/>
  <c r="T585" i="3"/>
  <c r="M695" i="3"/>
  <c r="V714" i="3"/>
  <c r="T727" i="3"/>
  <c r="R734" i="3"/>
  <c r="P744" i="3"/>
  <c r="N754" i="3"/>
  <c r="L764" i="3"/>
  <c r="L773" i="3"/>
  <c r="M783" i="3"/>
  <c r="L791" i="3"/>
  <c r="O798" i="3"/>
  <c r="V804" i="3"/>
  <c r="Q810" i="3"/>
  <c r="P815" i="3"/>
  <c r="L822" i="3"/>
  <c r="K827" i="3"/>
  <c r="J832" i="3"/>
  <c r="V836" i="3"/>
  <c r="U841" i="3"/>
  <c r="J845" i="3"/>
  <c r="V849" i="3"/>
  <c r="U854" i="3"/>
  <c r="T859" i="3"/>
  <c r="S864" i="3"/>
  <c r="L868" i="3"/>
  <c r="O871" i="3"/>
  <c r="N876" i="3"/>
  <c r="J880" i="3"/>
  <c r="P882" i="3"/>
  <c r="L886" i="3"/>
  <c r="K891" i="3"/>
  <c r="L894" i="3"/>
  <c r="L897" i="3"/>
  <c r="L900" i="3"/>
  <c r="J904" i="3"/>
  <c r="T906" i="3"/>
  <c r="M909" i="3"/>
  <c r="T910" i="3"/>
  <c r="M913" i="3"/>
  <c r="S915" i="3"/>
  <c r="O917" i="3"/>
  <c r="P919" i="3"/>
  <c r="V920" i="3"/>
  <c r="N922" i="3"/>
  <c r="L924" i="3"/>
  <c r="R926" i="3"/>
  <c r="U927" i="3"/>
  <c r="K929" i="3"/>
  <c r="N930" i="3"/>
  <c r="L932" i="3"/>
  <c r="O933" i="3"/>
  <c r="R934" i="3"/>
  <c r="V466" i="3"/>
  <c r="S552" i="3"/>
  <c r="V575" i="3"/>
  <c r="M605" i="3"/>
  <c r="V624" i="3"/>
  <c r="N632" i="3"/>
  <c r="R639" i="3"/>
  <c r="O646" i="3"/>
  <c r="J652" i="3"/>
  <c r="N659" i="3"/>
  <c r="P664" i="3"/>
  <c r="P667" i="3"/>
  <c r="K671" i="3"/>
  <c r="N674" i="3"/>
  <c r="N677" i="3"/>
  <c r="V680" i="3"/>
  <c r="L684" i="3"/>
  <c r="L687" i="3"/>
  <c r="T690" i="3"/>
  <c r="J694" i="3"/>
  <c r="J697" i="3"/>
  <c r="R700" i="3"/>
  <c r="U703" i="3"/>
  <c r="U706" i="3"/>
  <c r="P710" i="3"/>
  <c r="S713" i="3"/>
  <c r="S716" i="3"/>
  <c r="N720" i="3"/>
  <c r="Q723" i="3"/>
  <c r="Q726" i="3"/>
  <c r="L730" i="3"/>
  <c r="O733" i="3"/>
  <c r="O736" i="3"/>
  <c r="J740" i="3"/>
  <c r="M743" i="3"/>
  <c r="M746" i="3"/>
  <c r="U749" i="3"/>
  <c r="K753" i="3"/>
  <c r="K756" i="3"/>
  <c r="S759" i="3"/>
  <c r="V762" i="3"/>
  <c r="V765" i="3"/>
  <c r="P769" i="3"/>
  <c r="K772" i="3"/>
  <c r="P774" i="3"/>
  <c r="N777" i="3"/>
  <c r="J780" i="3"/>
  <c r="O782" i="3"/>
  <c r="K785" i="3"/>
  <c r="V787" i="3"/>
  <c r="M790" i="3"/>
  <c r="J793" i="3"/>
  <c r="Q795" i="3"/>
  <c r="Q797" i="3"/>
  <c r="U799" i="3"/>
  <c r="L802" i="3"/>
  <c r="K804" i="3"/>
  <c r="P806" i="3"/>
  <c r="P808" i="3"/>
  <c r="V809" i="3"/>
  <c r="S811" i="3"/>
  <c r="O813" i="3"/>
  <c r="U814" i="3"/>
  <c r="R816" i="3"/>
  <c r="N818" i="3"/>
  <c r="T819" i="3"/>
  <c r="Q821" i="3"/>
  <c r="M823" i="3"/>
  <c r="S824" i="3"/>
  <c r="P826" i="3"/>
  <c r="L828" i="3"/>
  <c r="R829" i="3"/>
  <c r="O831" i="3"/>
  <c r="K833" i="3"/>
  <c r="Q834" i="3"/>
  <c r="N836" i="3"/>
  <c r="J838" i="3"/>
  <c r="P839" i="3"/>
  <c r="M841" i="3"/>
  <c r="V842" i="3"/>
  <c r="O844" i="3"/>
  <c r="L846" i="3"/>
  <c r="U847" i="3"/>
  <c r="N849" i="3"/>
  <c r="K851" i="3"/>
  <c r="T852" i="3"/>
  <c r="M854" i="3"/>
  <c r="J856" i="3"/>
  <c r="S857" i="3"/>
  <c r="L859" i="3"/>
  <c r="V860" i="3"/>
  <c r="R862" i="3"/>
  <c r="K864" i="3"/>
  <c r="U865" i="3"/>
  <c r="Q867" i="3"/>
  <c r="J869" i="3"/>
  <c r="T870" i="3"/>
  <c r="P872" i="3"/>
  <c r="V873" i="3"/>
  <c r="S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T891" i="3"/>
  <c r="U892" i="3"/>
  <c r="V893" i="3"/>
  <c r="T894" i="3"/>
  <c r="U895" i="3"/>
  <c r="S896" i="3"/>
  <c r="T897" i="3"/>
  <c r="U898" i="3"/>
  <c r="S899" i="3"/>
  <c r="T900" i="3"/>
  <c r="R901" i="3"/>
  <c r="S902" i="3"/>
  <c r="T903" i="3"/>
  <c r="R904" i="3"/>
  <c r="R905" i="3"/>
  <c r="O906" i="3"/>
  <c r="L907" i="3"/>
  <c r="K908" i="3"/>
  <c r="U908" i="3"/>
  <c r="R909" i="3"/>
  <c r="Q910" i="3"/>
  <c r="N911" i="3"/>
  <c r="K912" i="3"/>
  <c r="J913" i="3"/>
  <c r="T913" i="3"/>
  <c r="Q914" i="3"/>
  <c r="P915" i="3"/>
  <c r="M916" i="3"/>
  <c r="J917" i="3"/>
  <c r="U917" i="3"/>
  <c r="Q918" i="3"/>
  <c r="M919" i="3"/>
  <c r="V919" i="3"/>
  <c r="R920" i="3"/>
  <c r="N921" i="3"/>
  <c r="K922" i="3"/>
  <c r="S922" i="3"/>
  <c r="N923" i="3"/>
  <c r="V923" i="3"/>
  <c r="Q924" i="3"/>
  <c r="L925" i="3"/>
  <c r="T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T933" i="3"/>
  <c r="O934" i="3"/>
  <c r="J935" i="3"/>
  <c r="R935" i="3"/>
  <c r="M936" i="3"/>
  <c r="U936" i="3"/>
  <c r="P937" i="3"/>
  <c r="K938" i="3"/>
  <c r="S938" i="3"/>
  <c r="N939" i="3"/>
  <c r="V939" i="3"/>
  <c r="Q940" i="3"/>
  <c r="L941" i="3"/>
  <c r="T941" i="3"/>
  <c r="O942" i="3"/>
  <c r="J943" i="3"/>
  <c r="R943" i="3"/>
  <c r="M944" i="3"/>
  <c r="U944" i="3"/>
  <c r="P945" i="3"/>
  <c r="K946" i="3"/>
  <c r="S946" i="3"/>
  <c r="N947" i="3"/>
  <c r="V947" i="3"/>
  <c r="Q948" i="3"/>
  <c r="L949" i="3"/>
  <c r="T949" i="3"/>
  <c r="O950" i="3"/>
  <c r="J951" i="3"/>
  <c r="R951" i="3"/>
  <c r="M952" i="3"/>
  <c r="U952" i="3"/>
  <c r="P953" i="3"/>
  <c r="K954" i="3"/>
  <c r="S954" i="3"/>
  <c r="N955" i="3"/>
  <c r="V955" i="3"/>
  <c r="Q956" i="3"/>
  <c r="L957" i="3"/>
  <c r="T957" i="3"/>
  <c r="O958" i="3"/>
  <c r="J959" i="3"/>
  <c r="R959" i="3"/>
  <c r="M960" i="3"/>
  <c r="U960" i="3"/>
  <c r="P961" i="3"/>
  <c r="K962" i="3"/>
  <c r="S962" i="3"/>
  <c r="N963" i="3"/>
  <c r="V963" i="3"/>
  <c r="Q964" i="3"/>
  <c r="L965" i="3"/>
  <c r="T965" i="3"/>
  <c r="O966" i="3"/>
  <c r="J967" i="3"/>
  <c r="R967" i="3"/>
  <c r="M968" i="3"/>
  <c r="U968" i="3"/>
  <c r="P969" i="3"/>
  <c r="K970" i="3"/>
  <c r="S970" i="3"/>
  <c r="N971" i="3"/>
  <c r="V971" i="3"/>
  <c r="Q972" i="3"/>
  <c r="L973" i="3"/>
  <c r="T973" i="3"/>
  <c r="O974" i="3"/>
  <c r="J975" i="3"/>
  <c r="R975" i="3"/>
  <c r="M976" i="3"/>
  <c r="U976" i="3"/>
  <c r="P977" i="3"/>
  <c r="K978" i="3"/>
  <c r="S978" i="3"/>
  <c r="N979" i="3"/>
  <c r="V979" i="3"/>
  <c r="Q980" i="3"/>
  <c r="L981" i="3"/>
  <c r="T981" i="3"/>
  <c r="O982" i="3"/>
  <c r="J983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J991" i="3"/>
  <c r="R991" i="3"/>
  <c r="M992" i="3"/>
  <c r="U992" i="3"/>
  <c r="P993" i="3"/>
  <c r="K994" i="3"/>
  <c r="S994" i="3"/>
  <c r="N995" i="3"/>
  <c r="V995" i="3"/>
  <c r="Q996" i="3"/>
  <c r="L997" i="3"/>
  <c r="T997" i="3"/>
  <c r="O998" i="3"/>
  <c r="J999" i="3"/>
  <c r="R999" i="3"/>
  <c r="M1000" i="3"/>
  <c r="U1000" i="3"/>
  <c r="P1001" i="3"/>
  <c r="K1002" i="3"/>
  <c r="S1002" i="3"/>
  <c r="N1003" i="3"/>
  <c r="V1003" i="3"/>
  <c r="Q1004" i="3"/>
  <c r="L1005" i="3"/>
  <c r="T1005" i="3"/>
  <c r="O563" i="3"/>
  <c r="L629" i="3"/>
  <c r="T634" i="3"/>
  <c r="K642" i="3"/>
  <c r="U648" i="3"/>
  <c r="P654" i="3"/>
  <c r="T661" i="3"/>
  <c r="S668" i="3"/>
  <c r="N672" i="3"/>
  <c r="Q675" i="3"/>
  <c r="L682" i="3"/>
  <c r="O688" i="3"/>
  <c r="M698" i="3"/>
  <c r="K705" i="3"/>
  <c r="S711" i="3"/>
  <c r="V717" i="3"/>
  <c r="T724" i="3"/>
  <c r="R737" i="3"/>
  <c r="P747" i="3"/>
  <c r="N757" i="3"/>
  <c r="L767" i="3"/>
  <c r="P775" i="3"/>
  <c r="J781" i="3"/>
  <c r="T788" i="3"/>
  <c r="O796" i="3"/>
  <c r="V802" i="3"/>
  <c r="K809" i="3"/>
  <c r="J814" i="3"/>
  <c r="V818" i="3"/>
  <c r="U823" i="3"/>
  <c r="T828" i="3"/>
  <c r="S833" i="3"/>
  <c r="R838" i="3"/>
  <c r="Q843" i="3"/>
  <c r="P848" i="3"/>
  <c r="O853" i="3"/>
  <c r="N858" i="3"/>
  <c r="M863" i="3"/>
  <c r="R869" i="3"/>
  <c r="Q877" i="3"/>
  <c r="M881" i="3"/>
  <c r="V884" i="3"/>
  <c r="R888" i="3"/>
  <c r="M892" i="3"/>
  <c r="M895" i="3"/>
  <c r="M898" i="3"/>
  <c r="K902" i="3"/>
  <c r="K905" i="3"/>
  <c r="Q907" i="3"/>
  <c r="S911" i="3"/>
  <c r="V914" i="3"/>
  <c r="K918" i="3"/>
  <c r="M920" i="3"/>
  <c r="V922" i="3"/>
  <c r="O925" i="3"/>
  <c r="P928" i="3"/>
  <c r="V930" i="3"/>
  <c r="S467" i="3"/>
  <c r="V555" i="3"/>
  <c r="K583" i="3"/>
  <c r="P605" i="3"/>
  <c r="L626" i="3"/>
  <c r="K634" i="3"/>
  <c r="S639" i="3"/>
  <c r="J647" i="3"/>
  <c r="T653" i="3"/>
  <c r="O659" i="3"/>
  <c r="V664" i="3"/>
  <c r="L668" i="3"/>
  <c r="L671" i="3"/>
  <c r="T674" i="3"/>
  <c r="J678" i="3"/>
  <c r="J681" i="3"/>
  <c r="R684" i="3"/>
  <c r="U687" i="3"/>
  <c r="U690" i="3"/>
  <c r="P694" i="3"/>
  <c r="S697" i="3"/>
  <c r="S700" i="3"/>
  <c r="N704" i="3"/>
  <c r="Q707" i="3"/>
  <c r="Q710" i="3"/>
  <c r="L714" i="3"/>
  <c r="O717" i="3"/>
  <c r="O720" i="3"/>
  <c r="J724" i="3"/>
  <c r="M727" i="3"/>
  <c r="M730" i="3"/>
  <c r="U733" i="3"/>
  <c r="K737" i="3"/>
  <c r="K740" i="3"/>
  <c r="S743" i="3"/>
  <c r="V746" i="3"/>
  <c r="V749" i="3"/>
  <c r="Q753" i="3"/>
  <c r="T756" i="3"/>
  <c r="T759" i="3"/>
  <c r="O763" i="3"/>
  <c r="R766" i="3"/>
  <c r="Q769" i="3"/>
  <c r="O772" i="3"/>
  <c r="K775" i="3"/>
  <c r="P777" i="3"/>
  <c r="L780" i="3"/>
  <c r="J783" i="3"/>
  <c r="N785" i="3"/>
  <c r="K788" i="3"/>
  <c r="U790" i="3"/>
  <c r="K793" i="3"/>
  <c r="T795" i="3"/>
  <c r="J798" i="3"/>
  <c r="J800" i="3"/>
  <c r="N802" i="3"/>
  <c r="R804" i="3"/>
  <c r="Q806" i="3"/>
  <c r="R808" i="3"/>
  <c r="N810" i="3"/>
  <c r="T811" i="3"/>
  <c r="Q813" i="3"/>
  <c r="M815" i="3"/>
  <c r="S816" i="3"/>
  <c r="P818" i="3"/>
  <c r="L820" i="3"/>
  <c r="R821" i="3"/>
  <c r="O823" i="3"/>
  <c r="K825" i="3"/>
  <c r="Q826" i="3"/>
  <c r="N828" i="3"/>
  <c r="J830" i="3"/>
  <c r="P831" i="3"/>
  <c r="M833" i="3"/>
  <c r="V834" i="3"/>
  <c r="O836" i="3"/>
  <c r="L838" i="3"/>
  <c r="U839" i="3"/>
  <c r="N841" i="3"/>
  <c r="K843" i="3"/>
  <c r="T844" i="3"/>
  <c r="M846" i="3"/>
  <c r="J848" i="3"/>
  <c r="S849" i="3"/>
  <c r="L851" i="3"/>
  <c r="V852" i="3"/>
  <c r="R854" i="3"/>
  <c r="K856" i="3"/>
  <c r="U857" i="3"/>
  <c r="Q859" i="3"/>
  <c r="J861" i="3"/>
  <c r="T862" i="3"/>
  <c r="P864" i="3"/>
  <c r="V865" i="3"/>
  <c r="S867" i="3"/>
  <c r="O869" i="3"/>
  <c r="U870" i="3"/>
  <c r="R872" i="3"/>
  <c r="N874" i="3"/>
  <c r="T875" i="3"/>
  <c r="O877" i="3"/>
  <c r="R878" i="3"/>
  <c r="U879" i="3"/>
  <c r="K881" i="3"/>
  <c r="N882" i="3"/>
  <c r="Q883" i="3"/>
  <c r="T884" i="3"/>
  <c r="J886" i="3"/>
  <c r="M887" i="3"/>
  <c r="P888" i="3"/>
  <c r="S889" i="3"/>
  <c r="V890" i="3"/>
  <c r="K892" i="3"/>
  <c r="V892" i="3"/>
  <c r="J894" i="3"/>
  <c r="U894" i="3"/>
  <c r="V895" i="3"/>
  <c r="J897" i="3"/>
  <c r="U897" i="3"/>
  <c r="V898" i="3"/>
  <c r="T899" i="3"/>
  <c r="U900" i="3"/>
  <c r="V901" i="3"/>
  <c r="T902" i="3"/>
  <c r="U903" i="3"/>
  <c r="S904" i="3"/>
  <c r="S905" i="3"/>
  <c r="P906" i="3"/>
  <c r="O907" i="3"/>
  <c r="L908" i="3"/>
  <c r="V908" i="3"/>
  <c r="U909" i="3"/>
  <c r="R910" i="3"/>
  <c r="O911" i="3"/>
  <c r="N912" i="3"/>
  <c r="K913" i="3"/>
  <c r="U913" i="3"/>
  <c r="T914" i="3"/>
  <c r="Q915" i="3"/>
  <c r="N916" i="3"/>
  <c r="M917" i="3"/>
  <c r="V917" i="3"/>
  <c r="R918" i="3"/>
  <c r="N919" i="3"/>
  <c r="J920" i="3"/>
  <c r="S920" i="3"/>
  <c r="P921" i="3"/>
  <c r="L922" i="3"/>
  <c r="T922" i="3"/>
  <c r="O923" i="3"/>
  <c r="J924" i="3"/>
  <c r="R924" i="3"/>
  <c r="M925" i="3"/>
  <c r="U925" i="3"/>
  <c r="P926" i="3"/>
  <c r="K927" i="3"/>
  <c r="S927" i="3"/>
  <c r="N928" i="3"/>
  <c r="V928" i="3"/>
  <c r="Q929" i="3"/>
  <c r="L930" i="3"/>
  <c r="T930" i="3"/>
  <c r="O931" i="3"/>
  <c r="J932" i="3"/>
  <c r="R932" i="3"/>
  <c r="M933" i="3"/>
  <c r="U933" i="3"/>
  <c r="P934" i="3"/>
  <c r="K935" i="3"/>
  <c r="S935" i="3"/>
  <c r="N936" i="3"/>
  <c r="V936" i="3"/>
  <c r="Q937" i="3"/>
  <c r="L938" i="3"/>
  <c r="T938" i="3"/>
  <c r="O939" i="3"/>
  <c r="J940" i="3"/>
  <c r="R940" i="3"/>
  <c r="M941" i="3"/>
  <c r="U941" i="3"/>
  <c r="P942" i="3"/>
  <c r="K943" i="3"/>
  <c r="S943" i="3"/>
  <c r="N944" i="3"/>
  <c r="V944" i="3"/>
  <c r="Q945" i="3"/>
  <c r="L946" i="3"/>
  <c r="T946" i="3"/>
  <c r="O947" i="3"/>
  <c r="J948" i="3"/>
  <c r="R948" i="3"/>
  <c r="M949" i="3"/>
  <c r="U949" i="3"/>
  <c r="P950" i="3"/>
  <c r="K951" i="3"/>
  <c r="S951" i="3"/>
  <c r="N952" i="3"/>
  <c r="V952" i="3"/>
  <c r="Q953" i="3"/>
  <c r="L954" i="3"/>
  <c r="T954" i="3"/>
  <c r="O955" i="3"/>
  <c r="J956" i="3"/>
  <c r="R956" i="3"/>
  <c r="M957" i="3"/>
  <c r="U957" i="3"/>
  <c r="P958" i="3"/>
  <c r="K959" i="3"/>
  <c r="S959" i="3"/>
  <c r="N960" i="3"/>
  <c r="V960" i="3"/>
  <c r="Q961" i="3"/>
  <c r="L962" i="3"/>
  <c r="T962" i="3"/>
  <c r="O963" i="3"/>
  <c r="J964" i="3"/>
  <c r="R964" i="3"/>
  <c r="M965" i="3"/>
  <c r="U965" i="3"/>
  <c r="P966" i="3"/>
  <c r="K967" i="3"/>
  <c r="S967" i="3"/>
  <c r="N968" i="3"/>
  <c r="V968" i="3"/>
  <c r="Q969" i="3"/>
  <c r="L970" i="3"/>
  <c r="T970" i="3"/>
  <c r="O971" i="3"/>
  <c r="J972" i="3"/>
  <c r="R972" i="3"/>
  <c r="M973" i="3"/>
  <c r="U973" i="3"/>
  <c r="P974" i="3"/>
  <c r="K975" i="3"/>
  <c r="S975" i="3"/>
  <c r="N976" i="3"/>
  <c r="V976" i="3"/>
  <c r="Q977" i="3"/>
  <c r="L978" i="3"/>
  <c r="T978" i="3"/>
  <c r="O979" i="3"/>
  <c r="J980" i="3"/>
  <c r="R980" i="3"/>
  <c r="M981" i="3"/>
  <c r="U981" i="3"/>
  <c r="P982" i="3"/>
  <c r="K983" i="3"/>
  <c r="S983" i="3"/>
  <c r="N984" i="3"/>
  <c r="V984" i="3"/>
  <c r="Q985" i="3"/>
  <c r="L986" i="3"/>
  <c r="T986" i="3"/>
  <c r="O987" i="3"/>
  <c r="J988" i="3"/>
  <c r="R988" i="3"/>
  <c r="M989" i="3"/>
  <c r="U989" i="3"/>
  <c r="P990" i="3"/>
  <c r="K991" i="3"/>
  <c r="S991" i="3"/>
  <c r="N992" i="3"/>
  <c r="V992" i="3"/>
  <c r="Q993" i="3"/>
  <c r="L994" i="3"/>
  <c r="T994" i="3"/>
  <c r="O995" i="3"/>
  <c r="J996" i="3"/>
  <c r="R996" i="3"/>
  <c r="M997" i="3"/>
  <c r="U997" i="3"/>
  <c r="P998" i="3"/>
  <c r="K999" i="3"/>
  <c r="S999" i="3"/>
  <c r="N1000" i="3"/>
  <c r="V1000" i="3"/>
  <c r="Q1001" i="3"/>
  <c r="L1002" i="3"/>
  <c r="T1002" i="3"/>
  <c r="O1003" i="3"/>
  <c r="J1004" i="3"/>
  <c r="R1004" i="3"/>
  <c r="M1005" i="3"/>
  <c r="U1005" i="3"/>
  <c r="P614" i="3"/>
  <c r="Q874" i="3"/>
  <c r="U496" i="3"/>
  <c r="M556" i="3"/>
  <c r="Q585" i="3"/>
  <c r="R612" i="3"/>
  <c r="N626" i="3"/>
  <c r="S634" i="3"/>
  <c r="P641" i="3"/>
  <c r="K647" i="3"/>
  <c r="O654" i="3"/>
  <c r="L661" i="3"/>
  <c r="J665" i="3"/>
  <c r="R668" i="3"/>
  <c r="U671" i="3"/>
  <c r="U674" i="3"/>
  <c r="P678" i="3"/>
  <c r="S681" i="3"/>
  <c r="S684" i="3"/>
  <c r="N688" i="3"/>
  <c r="Q691" i="3"/>
  <c r="Q694" i="3"/>
  <c r="L698" i="3"/>
  <c r="O701" i="3"/>
  <c r="O704" i="3"/>
  <c r="J708" i="3"/>
  <c r="M711" i="3"/>
  <c r="M714" i="3"/>
  <c r="U717" i="3"/>
  <c r="K721" i="3"/>
  <c r="K724" i="3"/>
  <c r="S727" i="3"/>
  <c r="V730" i="3"/>
  <c r="V733" i="3"/>
  <c r="Q737" i="3"/>
  <c r="T740" i="3"/>
  <c r="T743" i="3"/>
  <c r="O747" i="3"/>
  <c r="R750" i="3"/>
  <c r="R753" i="3"/>
  <c r="M757" i="3"/>
  <c r="P760" i="3"/>
  <c r="P763" i="3"/>
  <c r="K767" i="3"/>
  <c r="L770" i="3"/>
  <c r="Q772" i="3"/>
  <c r="M775" i="3"/>
  <c r="K778" i="3"/>
  <c r="O780" i="3"/>
  <c r="L783" i="3"/>
  <c r="V785" i="3"/>
  <c r="L788" i="3"/>
  <c r="K791" i="3"/>
  <c r="S793" i="3"/>
  <c r="V795" i="3"/>
  <c r="M798" i="3"/>
  <c r="P800" i="3"/>
  <c r="P802" i="3"/>
  <c r="T804" i="3"/>
  <c r="K807" i="3"/>
  <c r="S808" i="3"/>
  <c r="P810" i="3"/>
  <c r="L812" i="3"/>
  <c r="R813" i="3"/>
  <c r="O815" i="3"/>
  <c r="K817" i="3"/>
  <c r="Q818" i="3"/>
  <c r="N820" i="3"/>
  <c r="J822" i="3"/>
  <c r="P823" i="3"/>
  <c r="M825" i="3"/>
  <c r="V826" i="3"/>
  <c r="O828" i="3"/>
  <c r="L830" i="3"/>
  <c r="U831" i="3"/>
  <c r="N833" i="3"/>
  <c r="K835" i="3"/>
  <c r="T836" i="3"/>
  <c r="M838" i="3"/>
  <c r="J840" i="3"/>
  <c r="S841" i="3"/>
  <c r="L843" i="3"/>
  <c r="V844" i="3"/>
  <c r="R846" i="3"/>
  <c r="K848" i="3"/>
  <c r="U849" i="3"/>
  <c r="Q851" i="3"/>
  <c r="J853" i="3"/>
  <c r="T854" i="3"/>
  <c r="P856" i="3"/>
  <c r="V857" i="3"/>
  <c r="S859" i="3"/>
  <c r="O861" i="3"/>
  <c r="U862" i="3"/>
  <c r="R864" i="3"/>
  <c r="N866" i="3"/>
  <c r="T867" i="3"/>
  <c r="Q869" i="3"/>
  <c r="M871" i="3"/>
  <c r="S872" i="3"/>
  <c r="P874" i="3"/>
  <c r="L876" i="3"/>
  <c r="P877" i="3"/>
  <c r="S878" i="3"/>
  <c r="V879" i="3"/>
  <c r="L881" i="3"/>
  <c r="O882" i="3"/>
  <c r="R883" i="3"/>
  <c r="U884" i="3"/>
  <c r="K886" i="3"/>
  <c r="N887" i="3"/>
  <c r="Q888" i="3"/>
  <c r="T889" i="3"/>
  <c r="J891" i="3"/>
  <c r="L892" i="3"/>
  <c r="J893" i="3"/>
  <c r="K894" i="3"/>
  <c r="L895" i="3"/>
  <c r="J896" i="3"/>
  <c r="K897" i="3"/>
  <c r="V897" i="3"/>
  <c r="J899" i="3"/>
  <c r="K900" i="3"/>
  <c r="V900" i="3"/>
  <c r="J902" i="3"/>
  <c r="U902" i="3"/>
  <c r="V903" i="3"/>
  <c r="J905" i="3"/>
  <c r="T905" i="3"/>
  <c r="Q906" i="3"/>
  <c r="P907" i="3"/>
  <c r="M908" i="3"/>
  <c r="J909" i="3"/>
  <c r="V909" i="3"/>
  <c r="S910" i="3"/>
  <c r="P911" i="3"/>
  <c r="O912" i="3"/>
  <c r="L913" i="3"/>
  <c r="V913" i="3"/>
  <c r="U914" i="3"/>
  <c r="R915" i="3"/>
  <c r="O916" i="3"/>
  <c r="N917" i="3"/>
  <c r="J918" i="3"/>
  <c r="S918" i="3"/>
  <c r="O919" i="3"/>
  <c r="K920" i="3"/>
  <c r="U920" i="3"/>
  <c r="Q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N1005" i="3"/>
  <c r="V1005" i="3"/>
  <c r="S506" i="3"/>
  <c r="S665" i="3"/>
  <c r="Q678" i="3"/>
  <c r="O685" i="3"/>
  <c r="J692" i="3"/>
  <c r="U701" i="3"/>
  <c r="K708" i="3"/>
  <c r="Q721" i="3"/>
  <c r="O731" i="3"/>
  <c r="M741" i="3"/>
  <c r="K751" i="3"/>
  <c r="V760" i="3"/>
  <c r="N770" i="3"/>
  <c r="M778" i="3"/>
  <c r="L786" i="3"/>
  <c r="K794" i="3"/>
  <c r="S800" i="3"/>
  <c r="M807" i="3"/>
  <c r="N812" i="3"/>
  <c r="M817" i="3"/>
  <c r="O820" i="3"/>
  <c r="N825" i="3"/>
  <c r="M830" i="3"/>
  <c r="L835" i="3"/>
  <c r="K840" i="3"/>
  <c r="T846" i="3"/>
  <c r="S851" i="3"/>
  <c r="R856" i="3"/>
  <c r="Q861" i="3"/>
  <c r="P866" i="3"/>
  <c r="K873" i="3"/>
  <c r="T878" i="3"/>
  <c r="S883" i="3"/>
  <c r="O887" i="3"/>
  <c r="U889" i="3"/>
  <c r="N893" i="3"/>
  <c r="K896" i="3"/>
  <c r="K899" i="3"/>
  <c r="J901" i="3"/>
  <c r="L903" i="3"/>
  <c r="U905" i="3"/>
  <c r="N908" i="3"/>
  <c r="J910" i="3"/>
  <c r="P912" i="3"/>
  <c r="L914" i="3"/>
  <c r="R916" i="3"/>
  <c r="T918" i="3"/>
  <c r="R921" i="3"/>
  <c r="Q923" i="3"/>
  <c r="J926" i="3"/>
  <c r="M927" i="3"/>
  <c r="S929" i="3"/>
  <c r="Q931" i="3"/>
  <c r="J934" i="3"/>
  <c r="M935" i="3"/>
  <c r="U935" i="3"/>
  <c r="P936" i="3"/>
  <c r="O507" i="3"/>
  <c r="U565" i="3"/>
  <c r="V592" i="3"/>
  <c r="S614" i="3"/>
  <c r="T629" i="3"/>
  <c r="Q636" i="3"/>
  <c r="L642" i="3"/>
  <c r="P649" i="3"/>
  <c r="M656" i="3"/>
  <c r="U661" i="3"/>
  <c r="L666" i="3"/>
  <c r="O669" i="3"/>
  <c r="O672" i="3"/>
  <c r="J676" i="3"/>
  <c r="M679" i="3"/>
  <c r="M682" i="3"/>
  <c r="U685" i="3"/>
  <c r="K689" i="3"/>
  <c r="K692" i="3"/>
  <c r="S695" i="3"/>
  <c r="V698" i="3"/>
  <c r="V701" i="3"/>
  <c r="Q705" i="3"/>
  <c r="T708" i="3"/>
  <c r="T711" i="3"/>
  <c r="O715" i="3"/>
  <c r="R718" i="3"/>
  <c r="R721" i="3"/>
  <c r="M725" i="3"/>
  <c r="P728" i="3"/>
  <c r="P731" i="3"/>
  <c r="K735" i="3"/>
  <c r="N738" i="3"/>
  <c r="N741" i="3"/>
  <c r="V744" i="3"/>
  <c r="L748" i="3"/>
  <c r="L751" i="3"/>
  <c r="T754" i="3"/>
  <c r="J758" i="3"/>
  <c r="J761" i="3"/>
  <c r="R764" i="3"/>
  <c r="U767" i="3"/>
  <c r="Q770" i="3"/>
  <c r="N773" i="3"/>
  <c r="K776" i="3"/>
  <c r="N778" i="3"/>
  <c r="M781" i="3"/>
  <c r="U783" i="3"/>
  <c r="M786" i="3"/>
  <c r="L789" i="3"/>
  <c r="T791" i="3"/>
  <c r="L794" i="3"/>
  <c r="R796" i="3"/>
  <c r="U798" i="3"/>
  <c r="U800" i="3"/>
  <c r="L803" i="3"/>
  <c r="O805" i="3"/>
  <c r="O807" i="3"/>
  <c r="M809" i="3"/>
  <c r="V810" i="3"/>
  <c r="O812" i="3"/>
  <c r="L814" i="3"/>
  <c r="U815" i="3"/>
  <c r="N817" i="3"/>
  <c r="K819" i="3"/>
  <c r="T820" i="3"/>
  <c r="M822" i="3"/>
  <c r="J824" i="3"/>
  <c r="S825" i="3"/>
  <c r="L827" i="3"/>
  <c r="V828" i="3"/>
  <c r="R830" i="3"/>
  <c r="K832" i="3"/>
  <c r="U833" i="3"/>
  <c r="Q835" i="3"/>
  <c r="J837" i="3"/>
  <c r="T838" i="3"/>
  <c r="P840" i="3"/>
  <c r="V841" i="3"/>
  <c r="S843" i="3"/>
  <c r="O845" i="3"/>
  <c r="U846" i="3"/>
  <c r="R848" i="3"/>
  <c r="N850" i="3"/>
  <c r="T851" i="3"/>
  <c r="Q853" i="3"/>
  <c r="M855" i="3"/>
  <c r="S856" i="3"/>
  <c r="P858" i="3"/>
  <c r="L860" i="3"/>
  <c r="R861" i="3"/>
  <c r="O863" i="3"/>
  <c r="K865" i="3"/>
  <c r="Q866" i="3"/>
  <c r="N868" i="3"/>
  <c r="J870" i="3"/>
  <c r="P871" i="3"/>
  <c r="M873" i="3"/>
  <c r="V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L891" i="3"/>
  <c r="N892" i="3"/>
  <c r="O893" i="3"/>
  <c r="M894" i="3"/>
  <c r="N895" i="3"/>
  <c r="O896" i="3"/>
  <c r="M897" i="3"/>
  <c r="N898" i="3"/>
  <c r="L899" i="3"/>
  <c r="M900" i="3"/>
  <c r="N901" i="3"/>
  <c r="L902" i="3"/>
  <c r="M903" i="3"/>
  <c r="K904" i="3"/>
  <c r="L905" i="3"/>
  <c r="V905" i="3"/>
  <c r="U906" i="3"/>
  <c r="R907" i="3"/>
  <c r="O908" i="3"/>
  <c r="N909" i="3"/>
  <c r="K910" i="3"/>
  <c r="U910" i="3"/>
  <c r="T911" i="3"/>
  <c r="Q912" i="3"/>
  <c r="N913" i="3"/>
  <c r="M914" i="3"/>
  <c r="J915" i="3"/>
  <c r="T915" i="3"/>
  <c r="S916" i="3"/>
  <c r="P917" i="3"/>
  <c r="L918" i="3"/>
  <c r="U918" i="3"/>
  <c r="R919" i="3"/>
  <c r="N920" i="3"/>
  <c r="J921" i="3"/>
  <c r="S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1005" i="3"/>
  <c r="J862" i="3"/>
  <c r="T926" i="3"/>
  <c r="T934" i="3"/>
  <c r="R936" i="3"/>
  <c r="U937" i="3"/>
  <c r="K939" i="3"/>
  <c r="N940" i="3"/>
  <c r="Q941" i="3"/>
  <c r="L942" i="3"/>
  <c r="O943" i="3"/>
  <c r="R944" i="3"/>
  <c r="M945" i="3"/>
  <c r="P946" i="3"/>
  <c r="S947" i="3"/>
  <c r="V948" i="3"/>
  <c r="L950" i="3"/>
  <c r="O951" i="3"/>
  <c r="R952" i="3"/>
  <c r="U953" i="3"/>
  <c r="K955" i="3"/>
  <c r="N956" i="3"/>
  <c r="Q957" i="3"/>
  <c r="T958" i="3"/>
  <c r="J960" i="3"/>
  <c r="M961" i="3"/>
  <c r="P962" i="3"/>
  <c r="S963" i="3"/>
  <c r="V964" i="3"/>
  <c r="L966" i="3"/>
  <c r="O967" i="3"/>
  <c r="J968" i="3"/>
  <c r="M969" i="3"/>
  <c r="P970" i="3"/>
  <c r="S971" i="3"/>
  <c r="V972" i="3"/>
  <c r="L974" i="3"/>
  <c r="O975" i="3"/>
  <c r="R976" i="3"/>
  <c r="U977" i="3"/>
  <c r="K979" i="3"/>
  <c r="N980" i="3"/>
  <c r="Q981" i="3"/>
  <c r="T982" i="3"/>
  <c r="J984" i="3"/>
  <c r="J992" i="3"/>
  <c r="K995" i="3"/>
  <c r="N996" i="3"/>
  <c r="Q997" i="3"/>
  <c r="T998" i="3"/>
  <c r="J1000" i="3"/>
  <c r="M1001" i="3"/>
  <c r="U1001" i="3"/>
  <c r="P1002" i="3"/>
  <c r="S1003" i="3"/>
  <c r="V1004" i="3"/>
  <c r="K535" i="3"/>
  <c r="K566" i="3"/>
  <c r="O595" i="3"/>
  <c r="O619" i="3"/>
  <c r="U629" i="3"/>
  <c r="L637" i="3"/>
  <c r="V643" i="3"/>
  <c r="Q649" i="3"/>
  <c r="U656" i="3"/>
  <c r="M663" i="3"/>
  <c r="M666" i="3"/>
  <c r="U669" i="3"/>
  <c r="K673" i="3"/>
  <c r="K676" i="3"/>
  <c r="S679" i="3"/>
  <c r="V682" i="3"/>
  <c r="V685" i="3"/>
  <c r="Q689" i="3"/>
  <c r="T692" i="3"/>
  <c r="T695" i="3"/>
  <c r="O699" i="3"/>
  <c r="R702" i="3"/>
  <c r="R705" i="3"/>
  <c r="M709" i="3"/>
  <c r="P712" i="3"/>
  <c r="P715" i="3"/>
  <c r="K719" i="3"/>
  <c r="N722" i="3"/>
  <c r="N725" i="3"/>
  <c r="V728" i="3"/>
  <c r="L732" i="3"/>
  <c r="L735" i="3"/>
  <c r="T738" i="3"/>
  <c r="J742" i="3"/>
  <c r="J745" i="3"/>
  <c r="R748" i="3"/>
  <c r="U751" i="3"/>
  <c r="U754" i="3"/>
  <c r="P758" i="3"/>
  <c r="S761" i="3"/>
  <c r="S764" i="3"/>
  <c r="N768" i="3"/>
  <c r="L771" i="3"/>
  <c r="O773" i="3"/>
  <c r="N776" i="3"/>
  <c r="V778" i="3"/>
  <c r="N781" i="3"/>
  <c r="M784" i="3"/>
  <c r="U786" i="3"/>
  <c r="M789" i="3"/>
  <c r="K792" i="3"/>
  <c r="T794" i="3"/>
  <c r="S796" i="3"/>
  <c r="K799" i="3"/>
  <c r="N801" i="3"/>
  <c r="N803" i="3"/>
  <c r="R805" i="3"/>
  <c r="U807" i="3"/>
  <c r="N809" i="3"/>
  <c r="K811" i="3"/>
  <c r="T812" i="3"/>
  <c r="M814" i="3"/>
  <c r="J816" i="3"/>
  <c r="S817" i="3"/>
  <c r="L819" i="3"/>
  <c r="V820" i="3"/>
  <c r="R822" i="3"/>
  <c r="K824" i="3"/>
  <c r="U825" i="3"/>
  <c r="Q827" i="3"/>
  <c r="J829" i="3"/>
  <c r="T830" i="3"/>
  <c r="P832" i="3"/>
  <c r="V833" i="3"/>
  <c r="S835" i="3"/>
  <c r="O837" i="3"/>
  <c r="U838" i="3"/>
  <c r="R840" i="3"/>
  <c r="N842" i="3"/>
  <c r="T843" i="3"/>
  <c r="Q845" i="3"/>
  <c r="M847" i="3"/>
  <c r="S848" i="3"/>
  <c r="P850" i="3"/>
  <c r="L852" i="3"/>
  <c r="R853" i="3"/>
  <c r="O855" i="3"/>
  <c r="K857" i="3"/>
  <c r="Q858" i="3"/>
  <c r="N860" i="3"/>
  <c r="P863" i="3"/>
  <c r="M865" i="3"/>
  <c r="V866" i="3"/>
  <c r="O868" i="3"/>
  <c r="L870" i="3"/>
  <c r="U871" i="3"/>
  <c r="N873" i="3"/>
  <c r="K875" i="3"/>
  <c r="T876" i="3"/>
  <c r="J878" i="3"/>
  <c r="M879" i="3"/>
  <c r="P880" i="3"/>
  <c r="S881" i="3"/>
  <c r="V882" i="3"/>
  <c r="L884" i="3"/>
  <c r="O885" i="3"/>
  <c r="R886" i="3"/>
  <c r="U887" i="3"/>
  <c r="K889" i="3"/>
  <c r="N890" i="3"/>
  <c r="Q891" i="3"/>
  <c r="O892" i="3"/>
  <c r="P893" i="3"/>
  <c r="Q894" i="3"/>
  <c r="O895" i="3"/>
  <c r="P896" i="3"/>
  <c r="N897" i="3"/>
  <c r="O898" i="3"/>
  <c r="P899" i="3"/>
  <c r="N900" i="3"/>
  <c r="O901" i="3"/>
  <c r="M902" i="3"/>
  <c r="N903" i="3"/>
  <c r="O904" i="3"/>
  <c r="M905" i="3"/>
  <c r="L906" i="3"/>
  <c r="V906" i="3"/>
  <c r="S907" i="3"/>
  <c r="R908" i="3"/>
  <c r="O909" i="3"/>
  <c r="L910" i="3"/>
  <c r="K911" i="3"/>
  <c r="U911" i="3"/>
  <c r="R912" i="3"/>
  <c r="Q913" i="3"/>
  <c r="N914" i="3"/>
  <c r="K915" i="3"/>
  <c r="J916" i="3"/>
  <c r="T916" i="3"/>
  <c r="Q917" i="3"/>
  <c r="M918" i="3"/>
  <c r="J919" i="3"/>
  <c r="S919" i="3"/>
  <c r="O920" i="3"/>
  <c r="K921" i="3"/>
  <c r="T921" i="3"/>
  <c r="P922" i="3"/>
  <c r="K923" i="3"/>
  <c r="S923" i="3"/>
  <c r="N924" i="3"/>
  <c r="V924" i="3"/>
  <c r="Q925" i="3"/>
  <c r="L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O935" i="3"/>
  <c r="J936" i="3"/>
  <c r="M937" i="3"/>
  <c r="P938" i="3"/>
  <c r="S939" i="3"/>
  <c r="V940" i="3"/>
  <c r="T942" i="3"/>
  <c r="J944" i="3"/>
  <c r="U945" i="3"/>
  <c r="K947" i="3"/>
  <c r="N948" i="3"/>
  <c r="Q949" i="3"/>
  <c r="T950" i="3"/>
  <c r="J952" i="3"/>
  <c r="M953" i="3"/>
  <c r="P954" i="3"/>
  <c r="S955" i="3"/>
  <c r="V956" i="3"/>
  <c r="L958" i="3"/>
  <c r="O959" i="3"/>
  <c r="R960" i="3"/>
  <c r="U961" i="3"/>
  <c r="K963" i="3"/>
  <c r="N964" i="3"/>
  <c r="Q965" i="3"/>
  <c r="T966" i="3"/>
  <c r="R968" i="3"/>
  <c r="U969" i="3"/>
  <c r="K971" i="3"/>
  <c r="N972" i="3"/>
  <c r="Q973" i="3"/>
  <c r="T974" i="3"/>
  <c r="J976" i="3"/>
  <c r="M977" i="3"/>
  <c r="P978" i="3"/>
  <c r="S979" i="3"/>
  <c r="V980" i="3"/>
  <c r="L982" i="3"/>
  <c r="O983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R992" i="3"/>
  <c r="M993" i="3"/>
  <c r="U993" i="3"/>
  <c r="P994" i="3"/>
  <c r="S995" i="3"/>
  <c r="V996" i="3"/>
  <c r="L998" i="3"/>
  <c r="O999" i="3"/>
  <c r="R1000" i="3"/>
  <c r="K1003" i="3"/>
  <c r="N1004" i="3"/>
  <c r="Q1005" i="3"/>
  <c r="R540" i="3"/>
  <c r="V656" i="3"/>
  <c r="R686" i="3"/>
  <c r="V712" i="3"/>
  <c r="U738" i="3"/>
  <c r="O765" i="3"/>
  <c r="L787" i="3"/>
  <c r="T805" i="3"/>
  <c r="Q819" i="3"/>
  <c r="R832" i="3"/>
  <c r="R845" i="3"/>
  <c r="V858" i="3"/>
  <c r="J872" i="3"/>
  <c r="J883" i="3"/>
  <c r="S892" i="3"/>
  <c r="O900" i="3"/>
  <c r="T907" i="3"/>
  <c r="O914" i="3"/>
  <c r="P920" i="3"/>
  <c r="J925" i="3"/>
  <c r="V929" i="3"/>
  <c r="M934" i="3"/>
  <c r="V937" i="3"/>
  <c r="O940" i="3"/>
  <c r="U942" i="3"/>
  <c r="N945" i="3"/>
  <c r="T947" i="3"/>
  <c r="M950" i="3"/>
  <c r="S952" i="3"/>
  <c r="L955" i="3"/>
  <c r="R957" i="3"/>
  <c r="K960" i="3"/>
  <c r="Q962" i="3"/>
  <c r="J965" i="3"/>
  <c r="P967" i="3"/>
  <c r="V969" i="3"/>
  <c r="O972" i="3"/>
  <c r="U974" i="3"/>
  <c r="N977" i="3"/>
  <c r="T979" i="3"/>
  <c r="M982" i="3"/>
  <c r="S984" i="3"/>
  <c r="L987" i="3"/>
  <c r="R989" i="3"/>
  <c r="K992" i="3"/>
  <c r="Q994" i="3"/>
  <c r="J997" i="3"/>
  <c r="P999" i="3"/>
  <c r="V1001" i="3"/>
  <c r="O1004" i="3"/>
  <c r="T948" i="3"/>
  <c r="Q673" i="3"/>
  <c r="V825" i="3"/>
  <c r="K878" i="3"/>
  <c r="P904" i="3"/>
  <c r="R917" i="3"/>
  <c r="O932" i="3"/>
  <c r="Q946" i="3"/>
  <c r="V953" i="3"/>
  <c r="N961" i="3"/>
  <c r="L971" i="3"/>
  <c r="Q978" i="3"/>
  <c r="N993" i="3"/>
  <c r="S1000" i="3"/>
  <c r="U735" i="3"/>
  <c r="T803" i="3"/>
  <c r="L844" i="3"/>
  <c r="T881" i="3"/>
  <c r="T919" i="3"/>
  <c r="S937" i="3"/>
  <c r="P952" i="3"/>
  <c r="U959" i="3"/>
  <c r="L972" i="3"/>
  <c r="P984" i="3"/>
  <c r="M999" i="3"/>
  <c r="M573" i="3"/>
  <c r="S663" i="3"/>
  <c r="R689" i="3"/>
  <c r="L716" i="3"/>
  <c r="P742" i="3"/>
  <c r="O768" i="3"/>
  <c r="U789" i="3"/>
  <c r="J808" i="3"/>
  <c r="J821" i="3"/>
  <c r="N834" i="3"/>
  <c r="O847" i="3"/>
  <c r="O860" i="3"/>
  <c r="S873" i="3"/>
  <c r="M884" i="3"/>
  <c r="Q893" i="3"/>
  <c r="P901" i="3"/>
  <c r="S908" i="3"/>
  <c r="L915" i="3"/>
  <c r="L921" i="3"/>
  <c r="R925" i="3"/>
  <c r="Q930" i="3"/>
  <c r="U934" i="3"/>
  <c r="N938" i="3"/>
  <c r="T940" i="3"/>
  <c r="M943" i="3"/>
  <c r="S945" i="3"/>
  <c r="L948" i="3"/>
  <c r="R950" i="3"/>
  <c r="K953" i="3"/>
  <c r="Q955" i="3"/>
  <c r="J958" i="3"/>
  <c r="P960" i="3"/>
  <c r="V962" i="3"/>
  <c r="O965" i="3"/>
  <c r="U967" i="3"/>
  <c r="N970" i="3"/>
  <c r="T972" i="3"/>
  <c r="M975" i="3"/>
  <c r="S977" i="3"/>
  <c r="L980" i="3"/>
  <c r="R982" i="3"/>
  <c r="K985" i="3"/>
  <c r="Q987" i="3"/>
  <c r="J990" i="3"/>
  <c r="P992" i="3"/>
  <c r="V994" i="3"/>
  <c r="O997" i="3"/>
  <c r="U999" i="3"/>
  <c r="N1002" i="3"/>
  <c r="T1004" i="3"/>
  <c r="M951" i="3"/>
  <c r="L956" i="3"/>
  <c r="K961" i="3"/>
  <c r="Q963" i="3"/>
  <c r="J966" i="3"/>
  <c r="P968" i="3"/>
  <c r="O973" i="3"/>
  <c r="U975" i="3"/>
  <c r="N978" i="3"/>
  <c r="T980" i="3"/>
  <c r="M983" i="3"/>
  <c r="S985" i="3"/>
  <c r="L988" i="3"/>
  <c r="K993" i="3"/>
  <c r="Q995" i="3"/>
  <c r="J998" i="3"/>
  <c r="P1000" i="3"/>
  <c r="V1002" i="3"/>
  <c r="O1005" i="3"/>
  <c r="R631" i="3"/>
  <c r="N752" i="3"/>
  <c r="O776" i="3"/>
  <c r="M797" i="3"/>
  <c r="M839" i="3"/>
  <c r="N865" i="3"/>
  <c r="V887" i="3"/>
  <c r="L911" i="3"/>
  <c r="P927" i="3"/>
  <c r="R941" i="3"/>
  <c r="J949" i="3"/>
  <c r="O956" i="3"/>
  <c r="M966" i="3"/>
  <c r="R973" i="3"/>
  <c r="P983" i="3"/>
  <c r="O988" i="3"/>
  <c r="T995" i="3"/>
  <c r="R1005" i="3"/>
  <c r="N709" i="3"/>
  <c r="U830" i="3"/>
  <c r="Q899" i="3"/>
  <c r="T924" i="3"/>
  <c r="R942" i="3"/>
  <c r="O957" i="3"/>
  <c r="T964" i="3"/>
  <c r="R974" i="3"/>
  <c r="V986" i="3"/>
  <c r="N994" i="3"/>
  <c r="L1004" i="3"/>
  <c r="R595" i="3"/>
  <c r="V666" i="3"/>
  <c r="M693" i="3"/>
  <c r="L719" i="3"/>
  <c r="S745" i="3"/>
  <c r="O771" i="3"/>
  <c r="M792" i="3"/>
  <c r="S809" i="3"/>
  <c r="T822" i="3"/>
  <c r="T835" i="3"/>
  <c r="K849" i="3"/>
  <c r="L862" i="3"/>
  <c r="L875" i="3"/>
  <c r="P885" i="3"/>
  <c r="R894" i="3"/>
  <c r="Q902" i="3"/>
  <c r="P909" i="3"/>
  <c r="K916" i="3"/>
  <c r="U921" i="3"/>
  <c r="M926" i="3"/>
  <c r="L931" i="3"/>
  <c r="P935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J1005" i="3"/>
  <c r="O941" i="3"/>
  <c r="P699" i="3"/>
  <c r="V812" i="3"/>
  <c r="N852" i="3"/>
  <c r="Q896" i="3"/>
  <c r="L923" i="3"/>
  <c r="S936" i="3"/>
  <c r="K944" i="3"/>
  <c r="P951" i="3"/>
  <c r="U958" i="3"/>
  <c r="S968" i="3"/>
  <c r="J981" i="3"/>
  <c r="U990" i="3"/>
  <c r="L1003" i="3"/>
  <c r="N651" i="3"/>
  <c r="M857" i="3"/>
  <c r="J907" i="3"/>
  <c r="L940" i="3"/>
  <c r="J950" i="3"/>
  <c r="M967" i="3"/>
  <c r="Q979" i="3"/>
  <c r="O989" i="3"/>
  <c r="S1001" i="3"/>
  <c r="L621" i="3"/>
  <c r="V669" i="3"/>
  <c r="P696" i="3"/>
  <c r="T722" i="3"/>
  <c r="S748" i="3"/>
  <c r="J774" i="3"/>
  <c r="V794" i="3"/>
  <c r="L811" i="3"/>
  <c r="P824" i="3"/>
  <c r="Q837" i="3"/>
  <c r="Q850" i="3"/>
  <c r="U863" i="3"/>
  <c r="U876" i="3"/>
  <c r="S886" i="3"/>
  <c r="P895" i="3"/>
  <c r="O903" i="3"/>
  <c r="M910" i="3"/>
  <c r="U916" i="3"/>
  <c r="Q922" i="3"/>
  <c r="U926" i="3"/>
  <c r="T931" i="3"/>
  <c r="K936" i="3"/>
  <c r="V938" i="3"/>
  <c r="U943" i="3"/>
  <c r="N946" i="3"/>
  <c r="S953" i="3"/>
  <c r="R958" i="3"/>
  <c r="V970" i="3"/>
  <c r="R990" i="3"/>
  <c r="J726" i="3"/>
  <c r="L939" i="3"/>
  <c r="T963" i="3"/>
  <c r="K976" i="3"/>
  <c r="V985" i="3"/>
  <c r="M998" i="3"/>
  <c r="O683" i="3"/>
  <c r="R891" i="3"/>
  <c r="N929" i="3"/>
  <c r="Q947" i="3"/>
  <c r="N962" i="3"/>
  <c r="K977" i="3"/>
  <c r="T996" i="3"/>
  <c r="M637" i="3"/>
  <c r="T676" i="3"/>
  <c r="K703" i="3"/>
  <c r="J729" i="3"/>
  <c r="Q755" i="3"/>
  <c r="N779" i="3"/>
  <c r="L799" i="3"/>
  <c r="R814" i="3"/>
  <c r="S827" i="3"/>
  <c r="S840" i="3"/>
  <c r="J854" i="3"/>
  <c r="K867" i="3"/>
  <c r="N879" i="3"/>
  <c r="L889" i="3"/>
  <c r="R897" i="3"/>
  <c r="N905" i="3"/>
  <c r="V911" i="3"/>
  <c r="O918" i="3"/>
  <c r="T923" i="3"/>
  <c r="K928" i="3"/>
  <c r="T932" i="3"/>
  <c r="K937" i="3"/>
  <c r="Q939" i="3"/>
  <c r="J942" i="3"/>
  <c r="P944" i="3"/>
  <c r="V946" i="3"/>
  <c r="O949" i="3"/>
  <c r="U951" i="3"/>
  <c r="N954" i="3"/>
  <c r="T956" i="3"/>
  <c r="M959" i="3"/>
  <c r="S961" i="3"/>
  <c r="L964" i="3"/>
  <c r="R966" i="3"/>
  <c r="K969" i="3"/>
  <c r="Q971" i="3"/>
  <c r="J974" i="3"/>
  <c r="P976" i="3"/>
  <c r="V978" i="3"/>
  <c r="O981" i="3"/>
  <c r="U983" i="3"/>
  <c r="N986" i="3"/>
  <c r="T988" i="3"/>
  <c r="M991" i="3"/>
  <c r="S993" i="3"/>
  <c r="L996" i="3"/>
  <c r="R998" i="3"/>
  <c r="K1001" i="3"/>
  <c r="Q1003" i="3"/>
  <c r="Q644" i="3"/>
  <c r="T679" i="3"/>
  <c r="N706" i="3"/>
  <c r="R732" i="3"/>
  <c r="Q758" i="3"/>
  <c r="V781" i="3"/>
  <c r="Q801" i="3"/>
  <c r="K816" i="3"/>
  <c r="O829" i="3"/>
  <c r="P842" i="3"/>
  <c r="P855" i="3"/>
  <c r="T868" i="3"/>
  <c r="Q880" i="3"/>
  <c r="O890" i="3"/>
  <c r="P898" i="3"/>
  <c r="M906" i="3"/>
  <c r="S912" i="3"/>
  <c r="K919" i="3"/>
  <c r="O924" i="3"/>
  <c r="S928" i="3"/>
  <c r="J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L762" i="3"/>
  <c r="N784" i="3"/>
  <c r="U817" i="3"/>
  <c r="M870" i="3"/>
  <c r="R913" i="3"/>
  <c r="R933" i="3"/>
  <c r="K945" i="3"/>
  <c r="V954" i="3"/>
  <c r="S969" i="3"/>
  <c r="J982" i="3"/>
  <c r="U991" i="3"/>
  <c r="AN6" i="3"/>
  <c r="AK7" i="3"/>
  <c r="AH8" i="3"/>
  <c r="AP8" i="3"/>
  <c r="AM9" i="3"/>
  <c r="AM8" i="3"/>
  <c r="AG6" i="3"/>
  <c r="AO6" i="3"/>
  <c r="AL7" i="3"/>
  <c r="AI8" i="3"/>
  <c r="AQ8" i="3"/>
  <c r="AN9" i="3"/>
  <c r="AJ6" i="3"/>
  <c r="AO7" i="3"/>
  <c r="AI9" i="3"/>
  <c r="AK6" i="3"/>
  <c r="AH6" i="3"/>
  <c r="AP6" i="3"/>
  <c r="AM7" i="3"/>
  <c r="AJ8" i="3"/>
  <c r="AG9" i="3"/>
  <c r="AO9" i="3"/>
  <c r="AG7" i="3"/>
  <c r="AL8" i="3"/>
  <c r="AQ9" i="3"/>
  <c r="AH7" i="3"/>
  <c r="AJ9" i="3"/>
  <c r="AI6" i="3"/>
  <c r="AQ6" i="3"/>
  <c r="AN7" i="3"/>
  <c r="AK8" i="3"/>
  <c r="AH9" i="3"/>
  <c r="AP9" i="3"/>
  <c r="AL6" i="3"/>
  <c r="AI7" i="3"/>
  <c r="AQ7" i="3"/>
  <c r="AN8" i="3"/>
  <c r="AK9" i="3"/>
  <c r="AJ7" i="3"/>
  <c r="AG8" i="3"/>
  <c r="AO8" i="3"/>
  <c r="AL9" i="3"/>
  <c r="AP7" i="3"/>
  <c r="AM6" i="3"/>
  <c r="AG11" i="3"/>
  <c r="AH11" i="3"/>
  <c r="AG12" i="3"/>
  <c r="AH10" i="3"/>
  <c r="AG10" i="3"/>
  <c r="AH12" i="3"/>
  <c r="T3" i="3" l="1"/>
  <c r="K4" i="3"/>
  <c r="T2" i="3"/>
  <c r="Y15" i="3"/>
  <c r="Y23" i="3"/>
  <c r="Y39" i="3"/>
  <c r="Y47" i="3"/>
  <c r="Y12" i="3"/>
  <c r="Y20" i="3"/>
  <c r="Y28" i="3"/>
  <c r="Y36" i="3"/>
  <c r="Y60" i="3"/>
  <c r="Y19" i="3"/>
  <c r="Y27" i="3"/>
  <c r="Y43" i="3"/>
  <c r="Y24" i="3"/>
  <c r="Y32" i="3"/>
  <c r="Y40" i="3"/>
  <c r="Y48" i="3"/>
  <c r="Y13" i="3"/>
  <c r="Y29" i="3"/>
  <c r="Y61" i="3"/>
  <c r="Y75" i="3"/>
  <c r="Y83" i="3"/>
  <c r="Y33" i="3"/>
  <c r="Y69" i="3"/>
  <c r="Y77" i="3"/>
  <c r="Y85" i="3"/>
  <c r="Y101" i="3"/>
  <c r="Y22" i="3"/>
  <c r="Y38" i="3"/>
  <c r="Y54" i="3"/>
  <c r="Y74" i="3"/>
  <c r="Y82" i="3"/>
  <c r="Y90" i="3"/>
  <c r="Y98" i="3"/>
  <c r="Y106" i="3"/>
  <c r="Y21" i="3"/>
  <c r="Y37" i="3"/>
  <c r="Y53" i="3"/>
  <c r="Y59" i="3"/>
  <c r="Y63" i="3"/>
  <c r="Y79" i="3"/>
  <c r="Y25" i="3"/>
  <c r="Y41" i="3"/>
  <c r="I50" i="3" a="1"/>
  <c r="I50" i="3" s="1"/>
  <c r="Y57" i="3"/>
  <c r="Y65" i="3"/>
  <c r="Y73" i="3"/>
  <c r="Y14" i="3"/>
  <c r="Y30" i="3"/>
  <c r="Y46" i="3"/>
  <c r="Y70" i="3"/>
  <c r="Y78" i="3"/>
  <c r="Y86" i="3"/>
  <c r="Y97" i="3"/>
  <c r="Y109" i="3"/>
  <c r="Y133" i="3"/>
  <c r="Y141" i="3"/>
  <c r="Y149" i="3"/>
  <c r="Y42" i="3"/>
  <c r="Y76" i="3"/>
  <c r="Y88" i="3"/>
  <c r="Y102" i="3"/>
  <c r="Y114" i="3"/>
  <c r="Y122" i="3"/>
  <c r="Y130" i="3"/>
  <c r="Y138" i="3"/>
  <c r="Y146" i="3"/>
  <c r="Y154" i="3"/>
  <c r="Y34" i="3"/>
  <c r="Y62" i="3"/>
  <c r="Y95" i="3"/>
  <c r="Y99" i="3"/>
  <c r="Y113" i="3"/>
  <c r="Y121" i="3"/>
  <c r="Y129" i="3"/>
  <c r="Y100" i="3"/>
  <c r="Y110" i="3"/>
  <c r="Y118" i="3"/>
  <c r="Y126" i="3"/>
  <c r="Y134" i="3"/>
  <c r="Y89" i="3"/>
  <c r="Y107" i="3"/>
  <c r="Y111" i="3"/>
  <c r="Y127" i="3"/>
  <c r="Y139" i="3"/>
  <c r="Y157" i="3"/>
  <c r="Y165" i="3"/>
  <c r="Y173" i="3"/>
  <c r="Y181" i="3"/>
  <c r="Y197" i="3"/>
  <c r="Y205" i="3"/>
  <c r="Y213" i="3"/>
  <c r="Y94" i="3"/>
  <c r="Y116" i="3"/>
  <c r="Y140" i="3"/>
  <c r="Y144" i="3"/>
  <c r="Y162" i="3"/>
  <c r="Y170" i="3"/>
  <c r="Y178" i="3"/>
  <c r="Y186" i="3"/>
  <c r="Y194" i="3"/>
  <c r="Y202" i="3"/>
  <c r="Y210" i="3"/>
  <c r="Y18" i="3"/>
  <c r="Y64" i="3"/>
  <c r="Y103" i="3"/>
  <c r="Y119" i="3"/>
  <c r="Y137" i="3"/>
  <c r="Y151" i="3"/>
  <c r="Y161" i="3"/>
  <c r="Y169" i="3"/>
  <c r="Y185" i="3"/>
  <c r="Y193" i="3"/>
  <c r="Y201" i="3"/>
  <c r="Y209" i="3"/>
  <c r="Y58" i="3"/>
  <c r="Y84" i="3"/>
  <c r="Y108" i="3"/>
  <c r="Y124" i="3"/>
  <c r="Y142" i="3"/>
  <c r="Y158" i="3"/>
  <c r="Y182" i="3"/>
  <c r="Y190" i="3"/>
  <c r="Y198" i="3"/>
  <c r="Y206" i="3"/>
  <c r="Y214" i="3"/>
  <c r="R17" i="1"/>
  <c r="Y50" i="3"/>
  <c r="Y105" i="3"/>
  <c r="Y123" i="3"/>
  <c r="Y143" i="3"/>
  <c r="Y131" i="3"/>
  <c r="Y135" i="3"/>
  <c r="Y145" i="3"/>
  <c r="Y167" i="3"/>
  <c r="Y183" i="3"/>
  <c r="Y199" i="3"/>
  <c r="Y215" i="3"/>
  <c r="Y221" i="3"/>
  <c r="Y229" i="3"/>
  <c r="Y237" i="3"/>
  <c r="Y245" i="3"/>
  <c r="Y253" i="3"/>
  <c r="Y261" i="3"/>
  <c r="Y269" i="3"/>
  <c r="Y277" i="3"/>
  <c r="Y285" i="3"/>
  <c r="Y293" i="3"/>
  <c r="Y301" i="3"/>
  <c r="Y309" i="3"/>
  <c r="Y325" i="3"/>
  <c r="Y341" i="3"/>
  <c r="Y349" i="3"/>
  <c r="Y357" i="3"/>
  <c r="Y365" i="3"/>
  <c r="Y373" i="3"/>
  <c r="Y68" i="3"/>
  <c r="Y96" i="3"/>
  <c r="Y150" i="3"/>
  <c r="Y156" i="3"/>
  <c r="Y172" i="3"/>
  <c r="Y188" i="3"/>
  <c r="Y204" i="3"/>
  <c r="Y218" i="3"/>
  <c r="Y226" i="3"/>
  <c r="Y234" i="3"/>
  <c r="Y242" i="3"/>
  <c r="Y250" i="3"/>
  <c r="Y258" i="3"/>
  <c r="Y266" i="3"/>
  <c r="Y274" i="3"/>
  <c r="Y282" i="3"/>
  <c r="Y290" i="3"/>
  <c r="Y298" i="3"/>
  <c r="Y306" i="3"/>
  <c r="Y314" i="3"/>
  <c r="Y322" i="3"/>
  <c r="Y338" i="3"/>
  <c r="Y346" i="3"/>
  <c r="Y354" i="3"/>
  <c r="Y362" i="3"/>
  <c r="Y370" i="3"/>
  <c r="Y80" i="3"/>
  <c r="Y91" i="3"/>
  <c r="Y115" i="3"/>
  <c r="Y132" i="3"/>
  <c r="Y159" i="3"/>
  <c r="Y175" i="3"/>
  <c r="Y191" i="3"/>
  <c r="Y207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29" i="3"/>
  <c r="Y337" i="3"/>
  <c r="Y345" i="3"/>
  <c r="Y353" i="3"/>
  <c r="Y361" i="3"/>
  <c r="Y369" i="3"/>
  <c r="Y26" i="3"/>
  <c r="Y120" i="3"/>
  <c r="Y136" i="3"/>
  <c r="Y164" i="3"/>
  <c r="Y180" i="3"/>
  <c r="Y196" i="3"/>
  <c r="Y212" i="3"/>
  <c r="Y222" i="3"/>
  <c r="Y230" i="3"/>
  <c r="Y238" i="3"/>
  <c r="Y246" i="3"/>
  <c r="Y254" i="3"/>
  <c r="Y262" i="3"/>
  <c r="Y270" i="3"/>
  <c r="Y278" i="3"/>
  <c r="Y286" i="3"/>
  <c r="Y302" i="3"/>
  <c r="Y310" i="3"/>
  <c r="Y318" i="3"/>
  <c r="Y326" i="3"/>
  <c r="Y334" i="3"/>
  <c r="Y342" i="3"/>
  <c r="Y350" i="3"/>
  <c r="Y366" i="3"/>
  <c r="Y179" i="3"/>
  <c r="Y211" i="3"/>
  <c r="Y227" i="3"/>
  <c r="Y243" i="3"/>
  <c r="Y259" i="3"/>
  <c r="Y275" i="3"/>
  <c r="Y128" i="3"/>
  <c r="Y148" i="3"/>
  <c r="Y184" i="3"/>
  <c r="Y216" i="3"/>
  <c r="Y232" i="3"/>
  <c r="Y248" i="3"/>
  <c r="Y264" i="3"/>
  <c r="Y155" i="3"/>
  <c r="Y187" i="3"/>
  <c r="Y231" i="3"/>
  <c r="Y247" i="3"/>
  <c r="Y263" i="3"/>
  <c r="Y279" i="3"/>
  <c r="Y295" i="3"/>
  <c r="Y311" i="3"/>
  <c r="Y327" i="3"/>
  <c r="Y343" i="3"/>
  <c r="Y359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152" i="3"/>
  <c r="Y160" i="3"/>
  <c r="Y192" i="3"/>
  <c r="Y220" i="3"/>
  <c r="Y236" i="3"/>
  <c r="Y252" i="3"/>
  <c r="Y268" i="3"/>
  <c r="Y284" i="3"/>
  <c r="Y300" i="3"/>
  <c r="Y316" i="3"/>
  <c r="Y332" i="3"/>
  <c r="Y348" i="3"/>
  <c r="Y364" i="3"/>
  <c r="Y378" i="3"/>
  <c r="Y386" i="3"/>
  <c r="Y394" i="3"/>
  <c r="Y402" i="3"/>
  <c r="Y410" i="3"/>
  <c r="Y426" i="3"/>
  <c r="Y442" i="3"/>
  <c r="Y450" i="3"/>
  <c r="Y458" i="3"/>
  <c r="Y112" i="3"/>
  <c r="Y163" i="3"/>
  <c r="Y195" i="3"/>
  <c r="Y219" i="3"/>
  <c r="Y235" i="3"/>
  <c r="Y251" i="3"/>
  <c r="Y267" i="3"/>
  <c r="Y168" i="3"/>
  <c r="Y200" i="3"/>
  <c r="Y224" i="3"/>
  <c r="Y240" i="3"/>
  <c r="Y256" i="3"/>
  <c r="Y272" i="3"/>
  <c r="Y147" i="3"/>
  <c r="Y171" i="3"/>
  <c r="Y203" i="3"/>
  <c r="Y223" i="3"/>
  <c r="Y239" i="3"/>
  <c r="Y255" i="3"/>
  <c r="Y271" i="3"/>
  <c r="Y287" i="3"/>
  <c r="Y303" i="3"/>
  <c r="Y319" i="3"/>
  <c r="Y335" i="3"/>
  <c r="Y351" i="3"/>
  <c r="Y367" i="3"/>
  <c r="Y377" i="3"/>
  <c r="Y385" i="3"/>
  <c r="Y393" i="3"/>
  <c r="Y401" i="3"/>
  <c r="Y409" i="3"/>
  <c r="Y417" i="3"/>
  <c r="Y425" i="3"/>
  <c r="Y433" i="3"/>
  <c r="Y441" i="3"/>
  <c r="Y449" i="3"/>
  <c r="Y457" i="3"/>
  <c r="Y465" i="3"/>
  <c r="Y92" i="3"/>
  <c r="Y176" i="3"/>
  <c r="Y208" i="3"/>
  <c r="Y228" i="3"/>
  <c r="Y244" i="3"/>
  <c r="Y260" i="3"/>
  <c r="Y276" i="3"/>
  <c r="Y292" i="3"/>
  <c r="Y308" i="3"/>
  <c r="Y324" i="3"/>
  <c r="Y340" i="3"/>
  <c r="Y356" i="3"/>
  <c r="Y372" i="3"/>
  <c r="Y374" i="3"/>
  <c r="Y382" i="3"/>
  <c r="Y390" i="3"/>
  <c r="Y398" i="3"/>
  <c r="Y406" i="3"/>
  <c r="Y414" i="3"/>
  <c r="Y422" i="3"/>
  <c r="Y430" i="3"/>
  <c r="Y438" i="3"/>
  <c r="Y446" i="3"/>
  <c r="Y454" i="3"/>
  <c r="Y462" i="3"/>
  <c r="Y470" i="3"/>
  <c r="Y291" i="3"/>
  <c r="Y323" i="3"/>
  <c r="Y355" i="3"/>
  <c r="Y379" i="3"/>
  <c r="Y395" i="3"/>
  <c r="Y411" i="3"/>
  <c r="Y427" i="3"/>
  <c r="Y443" i="3"/>
  <c r="Y459" i="3"/>
  <c r="Y484" i="3"/>
  <c r="Y492" i="3"/>
  <c r="Y296" i="3"/>
  <c r="Y328" i="3"/>
  <c r="Y360" i="3"/>
  <c r="Y384" i="3"/>
  <c r="Y400" i="3"/>
  <c r="Y416" i="3"/>
  <c r="Y432" i="3"/>
  <c r="Y448" i="3"/>
  <c r="Y481" i="3"/>
  <c r="Y489" i="3"/>
  <c r="Y497" i="3"/>
  <c r="Y299" i="3"/>
  <c r="Y331" i="3"/>
  <c r="Y363" i="3"/>
  <c r="Y383" i="3"/>
  <c r="Y399" i="3"/>
  <c r="Y415" i="3"/>
  <c r="Y431" i="3"/>
  <c r="Y447" i="3"/>
  <c r="Y463" i="3"/>
  <c r="Y464" i="3"/>
  <c r="Y466" i="3"/>
  <c r="Y467" i="3"/>
  <c r="Y476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304" i="3"/>
  <c r="Y336" i="3"/>
  <c r="Y368" i="3"/>
  <c r="Y388" i="3"/>
  <c r="Y404" i="3"/>
  <c r="Y420" i="3"/>
  <c r="Y436" i="3"/>
  <c r="Y468" i="3"/>
  <c r="Y471" i="3"/>
  <c r="Y472" i="3"/>
  <c r="Y483" i="3"/>
  <c r="Y491" i="3"/>
  <c r="Y499" i="3"/>
  <c r="Y507" i="3"/>
  <c r="Y515" i="3"/>
  <c r="Y523" i="3"/>
  <c r="Y531" i="3"/>
  <c r="Y539" i="3"/>
  <c r="Y547" i="3"/>
  <c r="Y555" i="3"/>
  <c r="Y563" i="3"/>
  <c r="Y571" i="3"/>
  <c r="Y579" i="3"/>
  <c r="Y587" i="3"/>
  <c r="Y595" i="3"/>
  <c r="Y603" i="3"/>
  <c r="Y611" i="3"/>
  <c r="Y619" i="3"/>
  <c r="Y627" i="3"/>
  <c r="Y635" i="3"/>
  <c r="Y643" i="3"/>
  <c r="Y651" i="3"/>
  <c r="Y659" i="3"/>
  <c r="Y667" i="3"/>
  <c r="Y307" i="3"/>
  <c r="Y339" i="3"/>
  <c r="Y371" i="3"/>
  <c r="Y387" i="3"/>
  <c r="Y403" i="3"/>
  <c r="Y419" i="3"/>
  <c r="Y435" i="3"/>
  <c r="Y451" i="3"/>
  <c r="Y473" i="3"/>
  <c r="Y480" i="3"/>
  <c r="Y488" i="3"/>
  <c r="Y496" i="3"/>
  <c r="Y280" i="3"/>
  <c r="Y312" i="3"/>
  <c r="Y344" i="3"/>
  <c r="Y376" i="3"/>
  <c r="Y392" i="3"/>
  <c r="Y408" i="3"/>
  <c r="Y424" i="3"/>
  <c r="Y440" i="3"/>
  <c r="Y456" i="3"/>
  <c r="Y474" i="3"/>
  <c r="Y477" i="3"/>
  <c r="Y485" i="3"/>
  <c r="Y493" i="3"/>
  <c r="Y501" i="3"/>
  <c r="Y283" i="3"/>
  <c r="Y315" i="3"/>
  <c r="Y347" i="3"/>
  <c r="Y375" i="3"/>
  <c r="Y391" i="3"/>
  <c r="Y407" i="3"/>
  <c r="Y423" i="3"/>
  <c r="Y439" i="3"/>
  <c r="Y455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288" i="3"/>
  <c r="Y320" i="3"/>
  <c r="Y352" i="3"/>
  <c r="Y380" i="3"/>
  <c r="Y396" i="3"/>
  <c r="Y412" i="3"/>
  <c r="Y428" i="3"/>
  <c r="Y444" i="3"/>
  <c r="Y460" i="3"/>
  <c r="Y475" i="3"/>
  <c r="Y479" i="3"/>
  <c r="Y487" i="3"/>
  <c r="Y495" i="3"/>
  <c r="Y503" i="3"/>
  <c r="Y511" i="3"/>
  <c r="Y519" i="3"/>
  <c r="Y527" i="3"/>
  <c r="Y535" i="3"/>
  <c r="Y543" i="3"/>
  <c r="Y551" i="3"/>
  <c r="Y559" i="3"/>
  <c r="Y567" i="3"/>
  <c r="Y575" i="3"/>
  <c r="Y583" i="3"/>
  <c r="Y591" i="3"/>
  <c r="Y599" i="3"/>
  <c r="Y607" i="3"/>
  <c r="Y615" i="3"/>
  <c r="Y623" i="3"/>
  <c r="Y631" i="3"/>
  <c r="Y639" i="3"/>
  <c r="Y647" i="3"/>
  <c r="Y655" i="3"/>
  <c r="Y663" i="3"/>
  <c r="Y671" i="3"/>
  <c r="Y513" i="3"/>
  <c r="Y529" i="3"/>
  <c r="Y545" i="3"/>
  <c r="Y561" i="3"/>
  <c r="Y577" i="3"/>
  <c r="Y593" i="3"/>
  <c r="Y609" i="3"/>
  <c r="Y625" i="3"/>
  <c r="Y641" i="3"/>
  <c r="Y657" i="3"/>
  <c r="Y683" i="3"/>
  <c r="Y691" i="3"/>
  <c r="Y500" i="3"/>
  <c r="Y512" i="3"/>
  <c r="Y528" i="3"/>
  <c r="Y544" i="3"/>
  <c r="Y560" i="3"/>
  <c r="Y576" i="3"/>
  <c r="Y517" i="3"/>
  <c r="Y533" i="3"/>
  <c r="Y549" i="3"/>
  <c r="Y565" i="3"/>
  <c r="Y581" i="3"/>
  <c r="Y597" i="3"/>
  <c r="Y613" i="3"/>
  <c r="Y629" i="3"/>
  <c r="Y645" i="3"/>
  <c r="Y661" i="3"/>
  <c r="Y672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516" i="3"/>
  <c r="Y532" i="3"/>
  <c r="Y548" i="3"/>
  <c r="Y564" i="3"/>
  <c r="Y580" i="3"/>
  <c r="Y596" i="3"/>
  <c r="Y612" i="3"/>
  <c r="Y628" i="3"/>
  <c r="Y644" i="3"/>
  <c r="Y660" i="3"/>
  <c r="Y677" i="3"/>
  <c r="Y682" i="3"/>
  <c r="Y690" i="3"/>
  <c r="Y698" i="3"/>
  <c r="Y706" i="3"/>
  <c r="Y714" i="3"/>
  <c r="Y722" i="3"/>
  <c r="Y730" i="3"/>
  <c r="Y738" i="3"/>
  <c r="Y746" i="3"/>
  <c r="Y754" i="3"/>
  <c r="Y762" i="3"/>
  <c r="Y770" i="3"/>
  <c r="Y778" i="3"/>
  <c r="Y786" i="3"/>
  <c r="Y794" i="3"/>
  <c r="Y802" i="3"/>
  <c r="Y810" i="3"/>
  <c r="Y818" i="3"/>
  <c r="Y826" i="3"/>
  <c r="Y834" i="3"/>
  <c r="Y842" i="3"/>
  <c r="Y850" i="3"/>
  <c r="Y858" i="3"/>
  <c r="Y866" i="3"/>
  <c r="Y874" i="3"/>
  <c r="Y882" i="3"/>
  <c r="Y890" i="3"/>
  <c r="Y898" i="3"/>
  <c r="Y505" i="3"/>
  <c r="Y521" i="3"/>
  <c r="Y537" i="3"/>
  <c r="Y553" i="3"/>
  <c r="Y569" i="3"/>
  <c r="Y585" i="3"/>
  <c r="Y601" i="3"/>
  <c r="Y617" i="3"/>
  <c r="Y633" i="3"/>
  <c r="Y649" i="3"/>
  <c r="Y665" i="3"/>
  <c r="Y675" i="3"/>
  <c r="Y679" i="3"/>
  <c r="Y687" i="3"/>
  <c r="Y504" i="3"/>
  <c r="Y520" i="3"/>
  <c r="Y536" i="3"/>
  <c r="Y552" i="3"/>
  <c r="Y568" i="3"/>
  <c r="Y509" i="3"/>
  <c r="Y525" i="3"/>
  <c r="Y541" i="3"/>
  <c r="Y557" i="3"/>
  <c r="Y573" i="3"/>
  <c r="Y589" i="3"/>
  <c r="Y605" i="3"/>
  <c r="Y621" i="3"/>
  <c r="Y637" i="3"/>
  <c r="Y653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905" i="3"/>
  <c r="Y508" i="3"/>
  <c r="Y524" i="3"/>
  <c r="Y540" i="3"/>
  <c r="Y556" i="3"/>
  <c r="Y572" i="3"/>
  <c r="Y588" i="3"/>
  <c r="Y604" i="3"/>
  <c r="Y620" i="3"/>
  <c r="Y636" i="3"/>
  <c r="Y652" i="3"/>
  <c r="Y668" i="3"/>
  <c r="Y669" i="3"/>
  <c r="Y670" i="3"/>
  <c r="Y676" i="3"/>
  <c r="Y678" i="3"/>
  <c r="Y686" i="3"/>
  <c r="Y694" i="3"/>
  <c r="Y702" i="3"/>
  <c r="Y710" i="3"/>
  <c r="Y718" i="3"/>
  <c r="Y726" i="3"/>
  <c r="Y734" i="3"/>
  <c r="Y742" i="3"/>
  <c r="Y750" i="3"/>
  <c r="Y758" i="3"/>
  <c r="Y766" i="3"/>
  <c r="Y774" i="3"/>
  <c r="Y782" i="3"/>
  <c r="Y790" i="3"/>
  <c r="Y798" i="3"/>
  <c r="Y806" i="3"/>
  <c r="Y814" i="3"/>
  <c r="Y822" i="3"/>
  <c r="Y830" i="3"/>
  <c r="Y838" i="3"/>
  <c r="Y846" i="3"/>
  <c r="Y854" i="3"/>
  <c r="Y862" i="3"/>
  <c r="Y870" i="3"/>
  <c r="Y878" i="3"/>
  <c r="Y886" i="3"/>
  <c r="Y894" i="3"/>
  <c r="Y902" i="3"/>
  <c r="Y608" i="3"/>
  <c r="Y674" i="3"/>
  <c r="Y703" i="3"/>
  <c r="Y719" i="3"/>
  <c r="Y735" i="3"/>
  <c r="Y751" i="3"/>
  <c r="Y767" i="3"/>
  <c r="Y783" i="3"/>
  <c r="Y799" i="3"/>
  <c r="Y815" i="3"/>
  <c r="Y901" i="3"/>
  <c r="Y584" i="3"/>
  <c r="Y648" i="3"/>
  <c r="Y708" i="3"/>
  <c r="Y724" i="3"/>
  <c r="Y740" i="3"/>
  <c r="Y756" i="3"/>
  <c r="Y772" i="3"/>
  <c r="Y788" i="3"/>
  <c r="Y804" i="3"/>
  <c r="Y820" i="3"/>
  <c r="Y836" i="3"/>
  <c r="Y852" i="3"/>
  <c r="Y868" i="3"/>
  <c r="Y624" i="3"/>
  <c r="Y680" i="3"/>
  <c r="Y692" i="3"/>
  <c r="Y707" i="3"/>
  <c r="Y723" i="3"/>
  <c r="Y739" i="3"/>
  <c r="Y755" i="3"/>
  <c r="Y771" i="3"/>
  <c r="Y787" i="3"/>
  <c r="Y803" i="3"/>
  <c r="Y819" i="3"/>
  <c r="Y835" i="3"/>
  <c r="Y851" i="3"/>
  <c r="Y867" i="3"/>
  <c r="Y883" i="3"/>
  <c r="Y899" i="3"/>
  <c r="Y906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600" i="3"/>
  <c r="Y664" i="3"/>
  <c r="Y696" i="3"/>
  <c r="Y712" i="3"/>
  <c r="Y728" i="3"/>
  <c r="Y744" i="3"/>
  <c r="Y760" i="3"/>
  <c r="Y776" i="3"/>
  <c r="Y792" i="3"/>
  <c r="Y808" i="3"/>
  <c r="Y824" i="3"/>
  <c r="Y840" i="3"/>
  <c r="Y856" i="3"/>
  <c r="Y872" i="3"/>
  <c r="Y888" i="3"/>
  <c r="Y915" i="3"/>
  <c r="Y923" i="3"/>
  <c r="Y931" i="3"/>
  <c r="Y939" i="3"/>
  <c r="Y947" i="3"/>
  <c r="Y955" i="3"/>
  <c r="Y963" i="3"/>
  <c r="Y971" i="3"/>
  <c r="Y979" i="3"/>
  <c r="Y987" i="3"/>
  <c r="Y995" i="3"/>
  <c r="Y1003" i="3"/>
  <c r="Y640" i="3"/>
  <c r="Y688" i="3"/>
  <c r="Y695" i="3"/>
  <c r="Y711" i="3"/>
  <c r="Y727" i="3"/>
  <c r="Y743" i="3"/>
  <c r="Y759" i="3"/>
  <c r="Y775" i="3"/>
  <c r="Y791" i="3"/>
  <c r="Y807" i="3"/>
  <c r="Y823" i="3"/>
  <c r="Y839" i="3"/>
  <c r="Y855" i="3"/>
  <c r="Y616" i="3"/>
  <c r="Y673" i="3"/>
  <c r="Y700" i="3"/>
  <c r="Y716" i="3"/>
  <c r="Y732" i="3"/>
  <c r="Y748" i="3"/>
  <c r="Y764" i="3"/>
  <c r="Y780" i="3"/>
  <c r="Y796" i="3"/>
  <c r="Y812" i="3"/>
  <c r="Y828" i="3"/>
  <c r="Y844" i="3"/>
  <c r="Y860" i="3"/>
  <c r="Y592" i="3"/>
  <c r="Y656" i="3"/>
  <c r="Y699" i="3"/>
  <c r="Y715" i="3"/>
  <c r="Y731" i="3"/>
  <c r="Y747" i="3"/>
  <c r="Y763" i="3"/>
  <c r="Y779" i="3"/>
  <c r="Y795" i="3"/>
  <c r="Y811" i="3"/>
  <c r="Y827" i="3"/>
  <c r="Y843" i="3"/>
  <c r="Y859" i="3"/>
  <c r="Y875" i="3"/>
  <c r="Y891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831" i="3"/>
  <c r="Y863" i="3"/>
  <c r="Y895" i="3"/>
  <c r="Y903" i="3"/>
  <c r="Y904" i="3"/>
  <c r="Y632" i="3"/>
  <c r="Y684" i="3"/>
  <c r="Y704" i="3"/>
  <c r="Y720" i="3"/>
  <c r="Y736" i="3"/>
  <c r="Y752" i="3"/>
  <c r="Y768" i="3"/>
  <c r="Y784" i="3"/>
  <c r="Y800" i="3"/>
  <c r="Y816" i="3"/>
  <c r="Y832" i="3"/>
  <c r="Y848" i="3"/>
  <c r="Y864" i="3"/>
  <c r="Y880" i="3"/>
  <c r="Y896" i="3"/>
  <c r="Y911" i="3"/>
  <c r="Y919" i="3"/>
  <c r="Y927" i="3"/>
  <c r="Y935" i="3"/>
  <c r="Y943" i="3"/>
  <c r="Y951" i="3"/>
  <c r="Y959" i="3"/>
  <c r="Y967" i="3"/>
  <c r="Y975" i="3"/>
  <c r="Y983" i="3"/>
  <c r="Y991" i="3"/>
  <c r="Y999" i="3"/>
  <c r="Y847" i="3"/>
  <c r="Y879" i="3"/>
  <c r="Y871" i="3"/>
  <c r="Y887" i="3"/>
  <c r="Y900" i="3"/>
  <c r="Y913" i="3"/>
  <c r="Y929" i="3"/>
  <c r="Y945" i="3"/>
  <c r="Y961" i="3"/>
  <c r="Y977" i="3"/>
  <c r="Y993" i="3"/>
  <c r="Y965" i="3"/>
  <c r="Y997" i="3"/>
  <c r="Y964" i="3"/>
  <c r="Y884" i="3"/>
  <c r="Y909" i="3"/>
  <c r="Y912" i="3"/>
  <c r="Y928" i="3"/>
  <c r="Y944" i="3"/>
  <c r="Y960" i="3"/>
  <c r="Y976" i="3"/>
  <c r="Y992" i="3"/>
  <c r="Y917" i="3"/>
  <c r="Y933" i="3"/>
  <c r="Y949" i="3"/>
  <c r="Y981" i="3"/>
  <c r="Y908" i="3"/>
  <c r="Y916" i="3"/>
  <c r="Y932" i="3"/>
  <c r="Y948" i="3"/>
  <c r="Y980" i="3"/>
  <c r="Y996" i="3"/>
  <c r="Y921" i="3"/>
  <c r="Y937" i="3"/>
  <c r="Y953" i="3"/>
  <c r="Y969" i="3"/>
  <c r="Y985" i="3"/>
  <c r="Y1001" i="3"/>
  <c r="Y941" i="3"/>
  <c r="Y973" i="3"/>
  <c r="Y1005" i="3"/>
  <c r="Y876" i="3"/>
  <c r="Y907" i="3"/>
  <c r="Y924" i="3"/>
  <c r="Y940" i="3"/>
  <c r="Y956" i="3"/>
  <c r="Y972" i="3"/>
  <c r="Y892" i="3"/>
  <c r="Y920" i="3"/>
  <c r="Y936" i="3"/>
  <c r="Y952" i="3"/>
  <c r="Y968" i="3"/>
  <c r="Y984" i="3"/>
  <c r="Y1000" i="3"/>
  <c r="Y925" i="3"/>
  <c r="Y957" i="3"/>
  <c r="Y989" i="3"/>
  <c r="Y988" i="3"/>
  <c r="Y1004" i="3"/>
  <c r="Y45" i="3"/>
  <c r="Y31" i="3"/>
  <c r="Y55" i="3"/>
  <c r="Y44" i="3"/>
  <c r="Y52" i="3"/>
  <c r="Y17" i="3"/>
  <c r="Y35" i="3"/>
  <c r="Y16" i="3"/>
  <c r="Y71" i="3"/>
  <c r="Y87" i="3"/>
  <c r="Y67" i="3"/>
  <c r="Y81" i="3"/>
  <c r="Y93" i="3"/>
  <c r="Y66" i="3"/>
  <c r="Y125" i="3"/>
  <c r="Y189" i="3"/>
  <c r="Y117" i="3"/>
  <c r="Y104" i="3"/>
  <c r="Y177" i="3"/>
  <c r="Y166" i="3"/>
  <c r="Y174" i="3"/>
  <c r="Y153" i="3"/>
  <c r="Y333" i="3"/>
  <c r="Y330" i="3"/>
  <c r="Y434" i="3"/>
  <c r="Y452" i="3"/>
  <c r="Y418" i="3"/>
  <c r="Y49" i="3"/>
  <c r="Y56" i="3"/>
  <c r="Y72" i="3"/>
  <c r="Y358" i="3"/>
  <c r="Y317" i="3"/>
  <c r="Y294" i="3"/>
  <c r="Y51" i="3"/>
  <c r="Q9" i="3" l="1"/>
  <c r="Q5" i="3" s="1"/>
  <c r="Q8" i="3"/>
  <c r="Q4" i="3" s="1"/>
  <c r="AA13" i="3"/>
  <c r="AB884" i="3"/>
  <c r="AA885" i="3"/>
  <c r="X997" i="3"/>
  <c r="H997" i="3"/>
  <c r="I997" i="3"/>
  <c r="X988" i="3"/>
  <c r="I988" i="3"/>
  <c r="H988" i="3"/>
  <c r="X975" i="3"/>
  <c r="H975" i="3"/>
  <c r="I975" i="3"/>
  <c r="AA901" i="3"/>
  <c r="AB900" i="3"/>
  <c r="AA944" i="3"/>
  <c r="AB943" i="3"/>
  <c r="X935" i="3"/>
  <c r="I935" i="3"/>
  <c r="H935" i="3"/>
  <c r="AB992" i="3"/>
  <c r="AA993" i="3"/>
  <c r="X945" i="3"/>
  <c r="I945" i="3"/>
  <c r="H945" i="3"/>
  <c r="AB964" i="3"/>
  <c r="AA965" i="3"/>
  <c r="AA949" i="3"/>
  <c r="AB948" i="3"/>
  <c r="AA945" i="3"/>
  <c r="AB944" i="3"/>
  <c r="AB956" i="3"/>
  <c r="AA957" i="3"/>
  <c r="X1001" i="3"/>
  <c r="H1001" i="3"/>
  <c r="I1001" i="3"/>
  <c r="X937" i="3"/>
  <c r="I937" i="3"/>
  <c r="H937" i="3"/>
  <c r="AA937" i="3"/>
  <c r="AB936" i="3"/>
  <c r="X996" i="3"/>
  <c r="H996" i="3"/>
  <c r="I996" i="3"/>
  <c r="AB991" i="3"/>
  <c r="AA992" i="3"/>
  <c r="X932" i="3"/>
  <c r="I932" i="3"/>
  <c r="H932" i="3"/>
  <c r="AB927" i="3"/>
  <c r="AA928" i="3"/>
  <c r="AB844" i="3"/>
  <c r="AA845" i="3"/>
  <c r="X785" i="3"/>
  <c r="I785" i="3"/>
  <c r="H785" i="3"/>
  <c r="X983" i="3"/>
  <c r="I983" i="3"/>
  <c r="H983" i="3"/>
  <c r="AA979" i="3"/>
  <c r="AB978" i="3"/>
  <c r="X919" i="3"/>
  <c r="H919" i="3"/>
  <c r="I919" i="3"/>
  <c r="AB914" i="3"/>
  <c r="AA915" i="3"/>
  <c r="AB792" i="3"/>
  <c r="AA793" i="3"/>
  <c r="X733" i="3"/>
  <c r="I733" i="3"/>
  <c r="H733" i="3"/>
  <c r="AB908" i="3"/>
  <c r="AA909" i="3"/>
  <c r="X986" i="3"/>
  <c r="H986" i="3"/>
  <c r="I986" i="3"/>
  <c r="AA982" i="3"/>
  <c r="AB981" i="3"/>
  <c r="X922" i="3"/>
  <c r="H922" i="3"/>
  <c r="I922" i="3"/>
  <c r="AA918" i="3"/>
  <c r="AB917" i="3"/>
  <c r="AA805" i="3"/>
  <c r="AB804" i="3"/>
  <c r="X745" i="3"/>
  <c r="I745" i="3"/>
  <c r="H745" i="3"/>
  <c r="X853" i="3"/>
  <c r="I853" i="3"/>
  <c r="H853" i="3"/>
  <c r="X984" i="3"/>
  <c r="I984" i="3"/>
  <c r="H984" i="3"/>
  <c r="AB979" i="3"/>
  <c r="AA980" i="3"/>
  <c r="X920" i="3"/>
  <c r="H920" i="3"/>
  <c r="I920" i="3"/>
  <c r="AA916" i="3"/>
  <c r="AB915" i="3"/>
  <c r="AA797" i="3"/>
  <c r="AB796" i="3"/>
  <c r="X737" i="3"/>
  <c r="H737" i="3"/>
  <c r="I737" i="3"/>
  <c r="X971" i="3"/>
  <c r="H971" i="3"/>
  <c r="I971" i="3"/>
  <c r="AA967" i="3"/>
  <c r="AB966" i="3"/>
  <c r="X907" i="3"/>
  <c r="H907" i="3"/>
  <c r="I907" i="3"/>
  <c r="AB902" i="3"/>
  <c r="AA903" i="3"/>
  <c r="AA745" i="3"/>
  <c r="AB744" i="3"/>
  <c r="H679" i="3"/>
  <c r="X679" i="3"/>
  <c r="I679" i="3"/>
  <c r="X958" i="3"/>
  <c r="H958" i="3"/>
  <c r="I958" i="3"/>
  <c r="AB953" i="3"/>
  <c r="AA954" i="3"/>
  <c r="X894" i="3"/>
  <c r="I894" i="3"/>
  <c r="H894" i="3"/>
  <c r="AB889" i="3"/>
  <c r="AA890" i="3"/>
  <c r="X869" i="3"/>
  <c r="I869" i="3"/>
  <c r="H869" i="3"/>
  <c r="AB692" i="3"/>
  <c r="AA693" i="3"/>
  <c r="X805" i="3"/>
  <c r="H805" i="3"/>
  <c r="I805" i="3"/>
  <c r="X741" i="3"/>
  <c r="H741" i="3"/>
  <c r="I741" i="3"/>
  <c r="X860" i="3"/>
  <c r="I860" i="3"/>
  <c r="H860" i="3"/>
  <c r="AB855" i="3"/>
  <c r="AA856" i="3"/>
  <c r="X796" i="3"/>
  <c r="H796" i="3"/>
  <c r="I796" i="3"/>
  <c r="AB791" i="3"/>
  <c r="AA792" i="3"/>
  <c r="X732" i="3"/>
  <c r="I732" i="3"/>
  <c r="H732" i="3"/>
  <c r="AA728" i="3"/>
  <c r="AB727" i="3"/>
  <c r="X687" i="3"/>
  <c r="I687" i="3"/>
  <c r="H687" i="3"/>
  <c r="AB670" i="3"/>
  <c r="AA671" i="3"/>
  <c r="X611" i="3"/>
  <c r="I611" i="3"/>
  <c r="H611" i="3"/>
  <c r="AA550" i="3"/>
  <c r="AB549" i="3"/>
  <c r="X863" i="3"/>
  <c r="H863" i="3"/>
  <c r="I863" i="3"/>
  <c r="AA859" i="3"/>
  <c r="AB858" i="3"/>
  <c r="X799" i="3"/>
  <c r="H799" i="3"/>
  <c r="I799" i="3"/>
  <c r="AA795" i="3"/>
  <c r="AB794" i="3"/>
  <c r="X735" i="3"/>
  <c r="I735" i="3"/>
  <c r="H735" i="3"/>
  <c r="AA731" i="3"/>
  <c r="AB730" i="3"/>
  <c r="AB682" i="3"/>
  <c r="AA683" i="3"/>
  <c r="X623" i="3"/>
  <c r="I623" i="3"/>
  <c r="H623" i="3"/>
  <c r="AA598" i="3"/>
  <c r="AB597" i="3"/>
  <c r="X494" i="3"/>
  <c r="H494" i="3"/>
  <c r="I494" i="3"/>
  <c r="X810" i="3"/>
  <c r="H810" i="3"/>
  <c r="I810" i="3"/>
  <c r="AA806" i="3"/>
  <c r="AB805" i="3"/>
  <c r="X746" i="3"/>
  <c r="I746" i="3"/>
  <c r="H746" i="3"/>
  <c r="AA742" i="3"/>
  <c r="AB741" i="3"/>
  <c r="X667" i="3"/>
  <c r="I667" i="3"/>
  <c r="H667" i="3"/>
  <c r="X832" i="3"/>
  <c r="I832" i="3"/>
  <c r="H832" i="3"/>
  <c r="AA828" i="3"/>
  <c r="AB827" i="3"/>
  <c r="X768" i="3"/>
  <c r="H768" i="3"/>
  <c r="I768" i="3"/>
  <c r="AB763" i="3"/>
  <c r="AA764" i="3"/>
  <c r="X704" i="3"/>
  <c r="H704" i="3"/>
  <c r="I704" i="3"/>
  <c r="AB699" i="3"/>
  <c r="AA700" i="3"/>
  <c r="X835" i="3"/>
  <c r="I835" i="3"/>
  <c r="H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I838" i="3"/>
  <c r="H838" i="3"/>
  <c r="AA834" i="3"/>
  <c r="AB833" i="3"/>
  <c r="X774" i="3"/>
  <c r="H774" i="3"/>
  <c r="I774" i="3"/>
  <c r="AB769" i="3"/>
  <c r="AA770" i="3"/>
  <c r="X710" i="3"/>
  <c r="I710" i="3"/>
  <c r="H710" i="3"/>
  <c r="AB705" i="3"/>
  <c r="AA706" i="3"/>
  <c r="X626" i="3"/>
  <c r="I626" i="3"/>
  <c r="H626" i="3"/>
  <c r="AB621" i="3"/>
  <c r="AA622" i="3"/>
  <c r="X550" i="3"/>
  <c r="H550" i="3"/>
  <c r="I550" i="3"/>
  <c r="X661" i="3"/>
  <c r="H661" i="3"/>
  <c r="I661" i="3"/>
  <c r="AA657" i="3"/>
  <c r="AB656" i="3"/>
  <c r="X648" i="3"/>
  <c r="I648" i="3"/>
  <c r="H648" i="3"/>
  <c r="AB643" i="3"/>
  <c r="AA644" i="3"/>
  <c r="X678" i="3"/>
  <c r="I678" i="3"/>
  <c r="H678" i="3"/>
  <c r="AB673" i="3"/>
  <c r="AA674" i="3"/>
  <c r="X614" i="3"/>
  <c r="I614" i="3"/>
  <c r="H614" i="3"/>
  <c r="AB609" i="3"/>
  <c r="AA610" i="3"/>
  <c r="AB561" i="3"/>
  <c r="AA562" i="3"/>
  <c r="AA329" i="3"/>
  <c r="AB328" i="3"/>
  <c r="AB684" i="3"/>
  <c r="AA685" i="3"/>
  <c r="X625" i="3"/>
  <c r="H625" i="3"/>
  <c r="I625" i="3"/>
  <c r="AB620" i="3"/>
  <c r="AA621" i="3"/>
  <c r="X605" i="3"/>
  <c r="H605" i="3"/>
  <c r="I605" i="3"/>
  <c r="X546" i="3"/>
  <c r="H546" i="3"/>
  <c r="I546" i="3"/>
  <c r="X660" i="3"/>
  <c r="I660" i="3"/>
  <c r="H660" i="3"/>
  <c r="AA656" i="3"/>
  <c r="AB655" i="3"/>
  <c r="X597" i="3"/>
  <c r="H597" i="3"/>
  <c r="I597" i="3"/>
  <c r="AA593" i="3"/>
  <c r="AB592" i="3"/>
  <c r="X533" i="3"/>
  <c r="I533" i="3"/>
  <c r="H533" i="3"/>
  <c r="I474" i="3"/>
  <c r="X474" i="3"/>
  <c r="H474" i="3"/>
  <c r="X568" i="3"/>
  <c r="H568" i="3"/>
  <c r="I568" i="3"/>
  <c r="AB563" i="3"/>
  <c r="AA564" i="3"/>
  <c r="X603" i="3"/>
  <c r="I603" i="3"/>
  <c r="H603" i="3"/>
  <c r="AB598" i="3"/>
  <c r="AA599" i="3"/>
  <c r="X539" i="3"/>
  <c r="I539" i="3"/>
  <c r="H539" i="3"/>
  <c r="AA535" i="3"/>
  <c r="AB534" i="3"/>
  <c r="X498" i="3"/>
  <c r="H498" i="3"/>
  <c r="I498" i="3"/>
  <c r="AB604" i="3"/>
  <c r="AA605" i="3"/>
  <c r="X545" i="3"/>
  <c r="I545" i="3"/>
  <c r="H545" i="3"/>
  <c r="AB540" i="3"/>
  <c r="AA541" i="3"/>
  <c r="X521" i="3"/>
  <c r="I521" i="3"/>
  <c r="H521" i="3"/>
  <c r="X596" i="3"/>
  <c r="I596" i="3"/>
  <c r="H596" i="3"/>
  <c r="AB591" i="3"/>
  <c r="AA592" i="3"/>
  <c r="X532" i="3"/>
  <c r="I532" i="3"/>
  <c r="H532" i="3"/>
  <c r="I470" i="3"/>
  <c r="X470" i="3"/>
  <c r="H470" i="3"/>
  <c r="AA603" i="3"/>
  <c r="AB602" i="3"/>
  <c r="X543" i="3"/>
  <c r="H543" i="3"/>
  <c r="I543" i="3"/>
  <c r="AB538" i="3"/>
  <c r="AA539" i="3"/>
  <c r="X514" i="3"/>
  <c r="H514" i="3"/>
  <c r="I514" i="3"/>
  <c r="X513" i="3"/>
  <c r="H513" i="3"/>
  <c r="I513" i="3"/>
  <c r="AB508" i="3"/>
  <c r="AA509" i="3"/>
  <c r="X524" i="3"/>
  <c r="I524" i="3"/>
  <c r="H524" i="3"/>
  <c r="AA520" i="3"/>
  <c r="AB519" i="3"/>
  <c r="X460" i="3"/>
  <c r="I460" i="3"/>
  <c r="H460" i="3"/>
  <c r="AA456" i="3"/>
  <c r="AB455" i="3"/>
  <c r="H471" i="3"/>
  <c r="I471" i="3"/>
  <c r="X471" i="3"/>
  <c r="AB466" i="3"/>
  <c r="AA467" i="3"/>
  <c r="AB412" i="3"/>
  <c r="AA413" i="3"/>
  <c r="H477" i="3"/>
  <c r="X477" i="3"/>
  <c r="I477" i="3"/>
  <c r="AB472" i="3"/>
  <c r="AA473" i="3"/>
  <c r="AB436" i="3"/>
  <c r="AA437" i="3"/>
  <c r="X377" i="3"/>
  <c r="H377" i="3"/>
  <c r="I377" i="3"/>
  <c r="AA313" i="3"/>
  <c r="AB312" i="3"/>
  <c r="H488" i="3"/>
  <c r="I488" i="3"/>
  <c r="X488" i="3"/>
  <c r="AB483" i="3"/>
  <c r="AA484" i="3"/>
  <c r="I421" i="3"/>
  <c r="H421" i="3"/>
  <c r="X421" i="3"/>
  <c r="I499" i="3"/>
  <c r="X499" i="3"/>
  <c r="H499" i="3"/>
  <c r="AB494" i="3"/>
  <c r="AA495" i="3"/>
  <c r="H349" i="3"/>
  <c r="X349" i="3"/>
  <c r="I349" i="3"/>
  <c r="X432" i="3"/>
  <c r="H432" i="3"/>
  <c r="I432" i="3"/>
  <c r="AA428" i="3"/>
  <c r="AB427" i="3"/>
  <c r="X294" i="3"/>
  <c r="H294" i="3"/>
  <c r="I294" i="3"/>
  <c r="I443" i="3"/>
  <c r="H443" i="3"/>
  <c r="X443" i="3"/>
  <c r="AB438" i="3"/>
  <c r="AA439" i="3"/>
  <c r="H379" i="3"/>
  <c r="X379" i="3"/>
  <c r="I379" i="3"/>
  <c r="AB374" i="3"/>
  <c r="AA375" i="3"/>
  <c r="AB320" i="3"/>
  <c r="AA321" i="3"/>
  <c r="AB449" i="3"/>
  <c r="AA450" i="3"/>
  <c r="X390" i="3"/>
  <c r="H390" i="3"/>
  <c r="I390" i="3"/>
  <c r="AA386" i="3"/>
  <c r="AB385" i="3"/>
  <c r="AA365" i="3"/>
  <c r="AB364" i="3"/>
  <c r="X305" i="3"/>
  <c r="H305" i="3"/>
  <c r="I305" i="3"/>
  <c r="H396" i="3"/>
  <c r="I396" i="3"/>
  <c r="X396" i="3"/>
  <c r="AB391" i="3"/>
  <c r="AA392" i="3"/>
  <c r="H329" i="3"/>
  <c r="I329" i="3"/>
  <c r="X329" i="3"/>
  <c r="H407" i="3"/>
  <c r="I407" i="3"/>
  <c r="X407" i="3"/>
  <c r="AB402" i="3"/>
  <c r="AA403" i="3"/>
  <c r="AB216" i="3"/>
  <c r="AA217" i="3"/>
  <c r="X394" i="3"/>
  <c r="H394" i="3"/>
  <c r="I394" i="3"/>
  <c r="AB389" i="3"/>
  <c r="AA390" i="3"/>
  <c r="H321" i="3"/>
  <c r="X321" i="3"/>
  <c r="I321" i="3"/>
  <c r="H344" i="3"/>
  <c r="X344" i="3"/>
  <c r="I344" i="3"/>
  <c r="AB339" i="3"/>
  <c r="AA340" i="3"/>
  <c r="AA293" i="3"/>
  <c r="AB292" i="3"/>
  <c r="X355" i="3"/>
  <c r="I355" i="3"/>
  <c r="H355" i="3"/>
  <c r="AA351" i="3"/>
  <c r="AB350" i="3"/>
  <c r="I342" i="3"/>
  <c r="X342" i="3"/>
  <c r="H342" i="3"/>
  <c r="AB337" i="3"/>
  <c r="AA338" i="3"/>
  <c r="H288" i="3"/>
  <c r="I288" i="3"/>
  <c r="X288" i="3"/>
  <c r="X348" i="3"/>
  <c r="I348" i="3"/>
  <c r="H348" i="3"/>
  <c r="AA344" i="3"/>
  <c r="AB343" i="3"/>
  <c r="I359" i="3"/>
  <c r="H359" i="3"/>
  <c r="X359" i="3"/>
  <c r="AA355" i="3"/>
  <c r="AB354" i="3"/>
  <c r="H346" i="3"/>
  <c r="X346" i="3"/>
  <c r="I346" i="3"/>
  <c r="AB341" i="3"/>
  <c r="AA342" i="3"/>
  <c r="H256" i="3"/>
  <c r="X256" i="3"/>
  <c r="I256" i="3"/>
  <c r="AA252" i="3"/>
  <c r="AB251" i="3"/>
  <c r="AA201" i="3"/>
  <c r="AB200" i="3"/>
  <c r="AA157" i="3"/>
  <c r="AB156" i="3"/>
  <c r="X283" i="3"/>
  <c r="H283" i="3"/>
  <c r="I283" i="3"/>
  <c r="AB278" i="3"/>
  <c r="AA279" i="3"/>
  <c r="H219" i="3"/>
  <c r="I219" i="3"/>
  <c r="X219" i="3"/>
  <c r="AA215" i="3"/>
  <c r="AB214" i="3"/>
  <c r="I238" i="3"/>
  <c r="X238" i="3"/>
  <c r="H238" i="3"/>
  <c r="AB233" i="3"/>
  <c r="AA234" i="3"/>
  <c r="I204" i="3"/>
  <c r="X204" i="3"/>
  <c r="H204" i="3"/>
  <c r="H244" i="3"/>
  <c r="X244" i="3"/>
  <c r="I244" i="3"/>
  <c r="AA240" i="3"/>
  <c r="AB239" i="3"/>
  <c r="X255" i="3"/>
  <c r="H255" i="3"/>
  <c r="I255" i="3"/>
  <c r="AA251" i="3"/>
  <c r="AB250" i="3"/>
  <c r="AA197" i="3"/>
  <c r="AB196" i="3"/>
  <c r="H266" i="3"/>
  <c r="I266" i="3"/>
  <c r="X266" i="3"/>
  <c r="AB261" i="3"/>
  <c r="AA262" i="3"/>
  <c r="X181" i="3"/>
  <c r="I181" i="3"/>
  <c r="H181" i="3"/>
  <c r="X180" i="3"/>
  <c r="I180" i="3"/>
  <c r="H180" i="3"/>
  <c r="AA176" i="3"/>
  <c r="AB175" i="3"/>
  <c r="I199" i="3"/>
  <c r="X199" i="3"/>
  <c r="H199" i="3"/>
  <c r="AA195" i="3"/>
  <c r="AB194" i="3"/>
  <c r="AA92" i="3"/>
  <c r="AB91" i="3"/>
  <c r="AB197" i="3"/>
  <c r="AA198" i="3"/>
  <c r="AB160" i="3"/>
  <c r="AA161" i="3"/>
  <c r="I168" i="3"/>
  <c r="X168" i="3"/>
  <c r="H168" i="3"/>
  <c r="H203" i="3"/>
  <c r="I203" i="3"/>
  <c r="X203" i="3"/>
  <c r="AB198" i="3"/>
  <c r="AA199" i="3"/>
  <c r="X129" i="3"/>
  <c r="I129" i="3"/>
  <c r="H129" i="3"/>
  <c r="X174" i="3"/>
  <c r="H174" i="3"/>
  <c r="I174" i="3"/>
  <c r="AA170" i="3"/>
  <c r="AB169" i="3"/>
  <c r="X132" i="3"/>
  <c r="H132" i="3"/>
  <c r="I132" i="3"/>
  <c r="AA128" i="3"/>
  <c r="AB127" i="3"/>
  <c r="AB119" i="3"/>
  <c r="AA120" i="3"/>
  <c r="I108" i="3"/>
  <c r="H108" i="3"/>
  <c r="X108" i="3"/>
  <c r="X135" i="3"/>
  <c r="I135" i="3"/>
  <c r="H135" i="3"/>
  <c r="AB130" i="3"/>
  <c r="AA131" i="3"/>
  <c r="AA116" i="3"/>
  <c r="AB115" i="3"/>
  <c r="I136" i="3"/>
  <c r="X136" i="3"/>
  <c r="H136" i="3"/>
  <c r="AB131" i="3"/>
  <c r="AA132" i="3"/>
  <c r="AB126" i="3"/>
  <c r="AA127" i="3"/>
  <c r="I80" i="3"/>
  <c r="H80" i="3"/>
  <c r="X80" i="3"/>
  <c r="H155" i="3"/>
  <c r="I155" i="3"/>
  <c r="X155" i="3"/>
  <c r="AB150" i="3"/>
  <c r="AA151" i="3"/>
  <c r="AB69" i="3"/>
  <c r="AA70" i="3"/>
  <c r="H134" i="3"/>
  <c r="X134" i="3"/>
  <c r="I134" i="3"/>
  <c r="AA130" i="3"/>
  <c r="AB129" i="3"/>
  <c r="X107" i="3"/>
  <c r="H107" i="3"/>
  <c r="I107" i="3"/>
  <c r="AB102" i="3"/>
  <c r="AA103" i="3"/>
  <c r="AB121" i="3"/>
  <c r="AA122" i="3"/>
  <c r="X114" i="3"/>
  <c r="H114" i="3"/>
  <c r="I114" i="3"/>
  <c r="AA110" i="3"/>
  <c r="AB109" i="3"/>
  <c r="X117" i="3"/>
  <c r="H117" i="3"/>
  <c r="I117" i="3"/>
  <c r="AB112" i="3"/>
  <c r="AA113" i="3"/>
  <c r="I72" i="3"/>
  <c r="X72" i="3"/>
  <c r="H72" i="3"/>
  <c r="X69" i="3"/>
  <c r="H69" i="3"/>
  <c r="I69" i="3"/>
  <c r="AB64" i="3"/>
  <c r="AA65" i="3"/>
  <c r="X67" i="3"/>
  <c r="H67" i="3"/>
  <c r="I67" i="3"/>
  <c r="X61" i="3"/>
  <c r="H61" i="3"/>
  <c r="I61" i="3"/>
  <c r="I70" i="3"/>
  <c r="X70" i="3"/>
  <c r="H70" i="3"/>
  <c r="AB65" i="3"/>
  <c r="AA66" i="3"/>
  <c r="I73" i="3"/>
  <c r="X73" i="3"/>
  <c r="H73" i="3"/>
  <c r="AB68" i="3"/>
  <c r="AA69" i="3"/>
  <c r="H76" i="3"/>
  <c r="I76" i="3"/>
  <c r="X76" i="3"/>
  <c r="AA72" i="3"/>
  <c r="AB71" i="3"/>
  <c r="I79" i="3"/>
  <c r="H79" i="3"/>
  <c r="X79" i="3"/>
  <c r="AA75" i="3"/>
  <c r="AB74" i="3"/>
  <c r="AB16" i="3"/>
  <c r="AA17" i="3"/>
  <c r="H12" i="3"/>
  <c r="I12" i="3"/>
  <c r="K9" i="3"/>
  <c r="K5" i="3" s="1"/>
  <c r="X12" i="3"/>
  <c r="X15" i="3"/>
  <c r="I15" i="3"/>
  <c r="H15" i="3"/>
  <c r="X873" i="3"/>
  <c r="H873" i="3"/>
  <c r="I873" i="3"/>
  <c r="X765" i="3"/>
  <c r="H765" i="3"/>
  <c r="I765" i="3"/>
  <c r="AA773" i="3"/>
  <c r="AB772" i="3"/>
  <c r="X933" i="3"/>
  <c r="H933" i="3"/>
  <c r="I933" i="3"/>
  <c r="AB1004" i="3"/>
  <c r="AA1005" i="3"/>
  <c r="X989" i="3"/>
  <c r="H989" i="3"/>
  <c r="I989" i="3"/>
  <c r="AB928" i="3"/>
  <c r="AA929" i="3"/>
  <c r="AB940" i="3"/>
  <c r="AA941" i="3"/>
  <c r="AA985" i="3"/>
  <c r="AB984" i="3"/>
  <c r="X981" i="3"/>
  <c r="H981" i="3"/>
  <c r="I981" i="3"/>
  <c r="X993" i="3"/>
  <c r="H993" i="3"/>
  <c r="I993" i="3"/>
  <c r="X973" i="3"/>
  <c r="H973" i="3"/>
  <c r="I973" i="3"/>
  <c r="X897" i="3"/>
  <c r="I897" i="3"/>
  <c r="H897" i="3"/>
  <c r="AA877" i="3"/>
  <c r="AB876" i="3"/>
  <c r="X956" i="3"/>
  <c r="I956" i="3"/>
  <c r="H956" i="3"/>
  <c r="AB951" i="3"/>
  <c r="AA952" i="3"/>
  <c r="X892" i="3"/>
  <c r="I892" i="3"/>
  <c r="H892" i="3"/>
  <c r="AA888" i="3"/>
  <c r="AB887" i="3"/>
  <c r="AB1002" i="3"/>
  <c r="AA1003" i="3"/>
  <c r="X943" i="3"/>
  <c r="I943" i="3"/>
  <c r="H943" i="3"/>
  <c r="AA939" i="3"/>
  <c r="AB938" i="3"/>
  <c r="X879" i="3"/>
  <c r="H879" i="3"/>
  <c r="I879" i="3"/>
  <c r="AA875" i="3"/>
  <c r="AB874" i="3"/>
  <c r="X829" i="3"/>
  <c r="H829" i="3"/>
  <c r="I829" i="3"/>
  <c r="AB1005" i="3"/>
  <c r="X946" i="3"/>
  <c r="I946" i="3"/>
  <c r="H946" i="3"/>
  <c r="AB941" i="3"/>
  <c r="AA942" i="3"/>
  <c r="X882" i="3"/>
  <c r="H882" i="3"/>
  <c r="I882" i="3"/>
  <c r="AB877" i="3"/>
  <c r="AA878" i="3"/>
  <c r="X841" i="3"/>
  <c r="H841" i="3"/>
  <c r="I841" i="3"/>
  <c r="X725" i="3"/>
  <c r="I725" i="3"/>
  <c r="H725" i="3"/>
  <c r="AA905" i="3"/>
  <c r="AB904" i="3"/>
  <c r="AB1003" i="3"/>
  <c r="AA1004" i="3"/>
  <c r="X944" i="3"/>
  <c r="I944" i="3"/>
  <c r="H944" i="3"/>
  <c r="AB939" i="3"/>
  <c r="AA940" i="3"/>
  <c r="X880" i="3"/>
  <c r="H880" i="3"/>
  <c r="I880" i="3"/>
  <c r="AA876" i="3"/>
  <c r="AB875" i="3"/>
  <c r="X833" i="3"/>
  <c r="H833" i="3"/>
  <c r="I833" i="3"/>
  <c r="AB896" i="3"/>
  <c r="AA897" i="3"/>
  <c r="X885" i="3"/>
  <c r="H885" i="3"/>
  <c r="I885" i="3"/>
  <c r="X995" i="3"/>
  <c r="H995" i="3"/>
  <c r="I995" i="3"/>
  <c r="AB990" i="3"/>
  <c r="AA991" i="3"/>
  <c r="X931" i="3"/>
  <c r="H931" i="3"/>
  <c r="I931" i="3"/>
  <c r="AB926" i="3"/>
  <c r="AA927" i="3"/>
  <c r="AA841" i="3"/>
  <c r="AB840" i="3"/>
  <c r="X781" i="3"/>
  <c r="H781" i="3"/>
  <c r="I781" i="3"/>
  <c r="X982" i="3"/>
  <c r="H982" i="3"/>
  <c r="I982" i="3"/>
  <c r="AB977" i="3"/>
  <c r="AA978" i="3"/>
  <c r="X918" i="3"/>
  <c r="I918" i="3"/>
  <c r="H918" i="3"/>
  <c r="AB913" i="3"/>
  <c r="AA914" i="3"/>
  <c r="AB788" i="3"/>
  <c r="AA789" i="3"/>
  <c r="X729" i="3"/>
  <c r="H729" i="3"/>
  <c r="I729" i="3"/>
  <c r="X820" i="3"/>
  <c r="H820" i="3"/>
  <c r="I820" i="3"/>
  <c r="AA816" i="3"/>
  <c r="AB815" i="3"/>
  <c r="X756" i="3"/>
  <c r="H756" i="3"/>
  <c r="I756" i="3"/>
  <c r="AB751" i="3"/>
  <c r="AA752" i="3"/>
  <c r="X692" i="3"/>
  <c r="H692" i="3"/>
  <c r="I692" i="3"/>
  <c r="X823" i="3"/>
  <c r="I823" i="3"/>
  <c r="H823" i="3"/>
  <c r="AA819" i="3"/>
  <c r="AB818" i="3"/>
  <c r="X759" i="3"/>
  <c r="I759" i="3"/>
  <c r="H759" i="3"/>
  <c r="AB754" i="3"/>
  <c r="AA755" i="3"/>
  <c r="X695" i="3"/>
  <c r="H695" i="3"/>
  <c r="I695" i="3"/>
  <c r="AB690" i="3"/>
  <c r="AA691" i="3"/>
  <c r="X834" i="3"/>
  <c r="I834" i="3"/>
  <c r="H834" i="3"/>
  <c r="AB829" i="3"/>
  <c r="AA830" i="3"/>
  <c r="X770" i="3"/>
  <c r="H770" i="3"/>
  <c r="I770" i="3"/>
  <c r="AA766" i="3"/>
  <c r="AB765" i="3"/>
  <c r="X706" i="3"/>
  <c r="I706" i="3"/>
  <c r="H706" i="3"/>
  <c r="AA702" i="3"/>
  <c r="AB701" i="3"/>
  <c r="AA643" i="3"/>
  <c r="AB642" i="3"/>
  <c r="X856" i="3"/>
  <c r="I856" i="3"/>
  <c r="H856" i="3"/>
  <c r="AB851" i="3"/>
  <c r="AA852" i="3"/>
  <c r="X792" i="3"/>
  <c r="I792" i="3"/>
  <c r="H792" i="3"/>
  <c r="AA788" i="3"/>
  <c r="AB787" i="3"/>
  <c r="X728" i="3"/>
  <c r="H728" i="3"/>
  <c r="I728" i="3"/>
  <c r="AB723" i="3"/>
  <c r="AA724" i="3"/>
  <c r="AB654" i="3"/>
  <c r="AA655" i="3"/>
  <c r="X859" i="3"/>
  <c r="H859" i="3"/>
  <c r="I859" i="3"/>
  <c r="AA855" i="3"/>
  <c r="AB854" i="3"/>
  <c r="X795" i="3"/>
  <c r="H795" i="3"/>
  <c r="I795" i="3"/>
  <c r="AA791" i="3"/>
  <c r="AB790" i="3"/>
  <c r="X731" i="3"/>
  <c r="H731" i="3"/>
  <c r="I731" i="3"/>
  <c r="AB726" i="3"/>
  <c r="AA727" i="3"/>
  <c r="AA686" i="3"/>
  <c r="AB685" i="3"/>
  <c r="AA667" i="3"/>
  <c r="AB666" i="3"/>
  <c r="X607" i="3"/>
  <c r="I607" i="3"/>
  <c r="H607" i="3"/>
  <c r="AB533" i="3"/>
  <c r="AA534" i="3"/>
  <c r="X862" i="3"/>
  <c r="I862" i="3"/>
  <c r="H862" i="3"/>
  <c r="AA858" i="3"/>
  <c r="AB857" i="3"/>
  <c r="X798" i="3"/>
  <c r="H798" i="3"/>
  <c r="I798" i="3"/>
  <c r="AB793" i="3"/>
  <c r="AA794" i="3"/>
  <c r="X734" i="3"/>
  <c r="H734" i="3"/>
  <c r="I734" i="3"/>
  <c r="AA730" i="3"/>
  <c r="AB729" i="3"/>
  <c r="AB678" i="3"/>
  <c r="AA679" i="3"/>
  <c r="X619" i="3"/>
  <c r="H619" i="3"/>
  <c r="I619" i="3"/>
  <c r="AB581" i="3"/>
  <c r="AA582" i="3"/>
  <c r="X650" i="3"/>
  <c r="I650" i="3"/>
  <c r="H650" i="3"/>
  <c r="AA646" i="3"/>
  <c r="AB645" i="3"/>
  <c r="X526" i="3"/>
  <c r="H526" i="3"/>
  <c r="I526" i="3"/>
  <c r="X685" i="3"/>
  <c r="I685" i="3"/>
  <c r="H685" i="3"/>
  <c r="AB680" i="3"/>
  <c r="AA681" i="3"/>
  <c r="X621" i="3"/>
  <c r="H621" i="3"/>
  <c r="I621" i="3"/>
  <c r="AB616" i="3"/>
  <c r="AA617" i="3"/>
  <c r="AA590" i="3"/>
  <c r="AB589" i="3"/>
  <c r="X530" i="3"/>
  <c r="I530" i="3"/>
  <c r="H530" i="3"/>
  <c r="H462" i="3"/>
  <c r="I462" i="3"/>
  <c r="X462" i="3"/>
  <c r="X672" i="3"/>
  <c r="I672" i="3"/>
  <c r="H672" i="3"/>
  <c r="AA668" i="3"/>
  <c r="AB667" i="3"/>
  <c r="X608" i="3"/>
  <c r="H608" i="3"/>
  <c r="I608" i="3"/>
  <c r="AA538" i="3"/>
  <c r="AB537" i="3"/>
  <c r="X638" i="3"/>
  <c r="I638" i="3"/>
  <c r="H638" i="3"/>
  <c r="AA634" i="3"/>
  <c r="AB633" i="3"/>
  <c r="X598" i="3"/>
  <c r="H598" i="3"/>
  <c r="I598" i="3"/>
  <c r="X649" i="3"/>
  <c r="H649" i="3"/>
  <c r="I649" i="3"/>
  <c r="AB644" i="3"/>
  <c r="AA645" i="3"/>
  <c r="X684" i="3"/>
  <c r="I684" i="3"/>
  <c r="H684" i="3"/>
  <c r="AB679" i="3"/>
  <c r="AA680" i="3"/>
  <c r="X620" i="3"/>
  <c r="I620" i="3"/>
  <c r="H620" i="3"/>
  <c r="AB615" i="3"/>
  <c r="AA616" i="3"/>
  <c r="AB585" i="3"/>
  <c r="AA586" i="3"/>
  <c r="X557" i="3"/>
  <c r="I557" i="3"/>
  <c r="H557" i="3"/>
  <c r="AA553" i="3"/>
  <c r="AB552" i="3"/>
  <c r="X592" i="3"/>
  <c r="I592" i="3"/>
  <c r="H592" i="3"/>
  <c r="AB587" i="3"/>
  <c r="AA588" i="3"/>
  <c r="AA514" i="3"/>
  <c r="AB513" i="3"/>
  <c r="H454" i="3"/>
  <c r="I454" i="3"/>
  <c r="X454" i="3"/>
  <c r="X563" i="3"/>
  <c r="H563" i="3"/>
  <c r="I563" i="3"/>
  <c r="AA559" i="3"/>
  <c r="AB558" i="3"/>
  <c r="AA393" i="3"/>
  <c r="AB392" i="3"/>
  <c r="X569" i="3"/>
  <c r="H569" i="3"/>
  <c r="I569" i="3"/>
  <c r="AB564" i="3"/>
  <c r="AA565" i="3"/>
  <c r="X556" i="3"/>
  <c r="H556" i="3"/>
  <c r="I556" i="3"/>
  <c r="AA552" i="3"/>
  <c r="AB551" i="3"/>
  <c r="X567" i="3"/>
  <c r="H567" i="3"/>
  <c r="I567" i="3"/>
  <c r="AA563" i="3"/>
  <c r="AB562" i="3"/>
  <c r="I473" i="3"/>
  <c r="H473" i="3"/>
  <c r="X473" i="3"/>
  <c r="AA469" i="3"/>
  <c r="AB468" i="3"/>
  <c r="AA421" i="3"/>
  <c r="AB420" i="3"/>
  <c r="I484" i="3"/>
  <c r="X484" i="3"/>
  <c r="H484" i="3"/>
  <c r="AB479" i="3"/>
  <c r="AA480" i="3"/>
  <c r="H405" i="3"/>
  <c r="X405" i="3"/>
  <c r="I405" i="3"/>
  <c r="H495" i="3"/>
  <c r="I495" i="3"/>
  <c r="X495" i="3"/>
  <c r="AA491" i="3"/>
  <c r="AB490" i="3"/>
  <c r="H449" i="3"/>
  <c r="X449" i="3"/>
  <c r="I449" i="3"/>
  <c r="H501" i="3"/>
  <c r="I501" i="3"/>
  <c r="X501" i="3"/>
  <c r="AB496" i="3"/>
  <c r="AA497" i="3"/>
  <c r="X512" i="3"/>
  <c r="I512" i="3"/>
  <c r="H512" i="3"/>
  <c r="AB507" i="3"/>
  <c r="AA508" i="3"/>
  <c r="X523" i="3"/>
  <c r="H523" i="3"/>
  <c r="I523" i="3"/>
  <c r="AB518" i="3"/>
  <c r="AA519" i="3"/>
  <c r="H459" i="3"/>
  <c r="I459" i="3"/>
  <c r="X459" i="3"/>
  <c r="AB454" i="3"/>
  <c r="AA455" i="3"/>
  <c r="AB451" i="3"/>
  <c r="AA452" i="3"/>
  <c r="H392" i="3"/>
  <c r="X392" i="3"/>
  <c r="I392" i="3"/>
  <c r="AB387" i="3"/>
  <c r="AA388" i="3"/>
  <c r="H313" i="3"/>
  <c r="X313" i="3"/>
  <c r="I313" i="3"/>
  <c r="AB289" i="3"/>
  <c r="AA290" i="3"/>
  <c r="X403" i="3"/>
  <c r="H403" i="3"/>
  <c r="I403" i="3"/>
  <c r="AA399" i="3"/>
  <c r="AB398" i="3"/>
  <c r="X357" i="3"/>
  <c r="H357" i="3"/>
  <c r="I357" i="3"/>
  <c r="H414" i="3"/>
  <c r="X414" i="3"/>
  <c r="I414" i="3"/>
  <c r="AB409" i="3"/>
  <c r="AA410" i="3"/>
  <c r="X420" i="3"/>
  <c r="I420" i="3"/>
  <c r="H420" i="3"/>
  <c r="AB415" i="3"/>
  <c r="AA416" i="3"/>
  <c r="H431" i="3"/>
  <c r="X431" i="3"/>
  <c r="I431" i="3"/>
  <c r="AB426" i="3"/>
  <c r="AA427" i="3"/>
  <c r="H285" i="3"/>
  <c r="I285" i="3"/>
  <c r="X285" i="3"/>
  <c r="H418" i="3"/>
  <c r="I418" i="3"/>
  <c r="X418" i="3"/>
  <c r="AB413" i="3"/>
  <c r="AA414" i="3"/>
  <c r="X368" i="3"/>
  <c r="H368" i="3"/>
  <c r="I368" i="3"/>
  <c r="AB363" i="3"/>
  <c r="AA364" i="3"/>
  <c r="I304" i="3"/>
  <c r="H304" i="3"/>
  <c r="X304" i="3"/>
  <c r="AA300" i="3"/>
  <c r="AB299" i="3"/>
  <c r="I315" i="3"/>
  <c r="H315" i="3"/>
  <c r="X315" i="3"/>
  <c r="AA311" i="3"/>
  <c r="AB310" i="3"/>
  <c r="X293" i="3"/>
  <c r="I293" i="3"/>
  <c r="H293" i="3"/>
  <c r="AB240" i="3"/>
  <c r="AA241" i="3"/>
  <c r="I366" i="3"/>
  <c r="X366" i="3"/>
  <c r="H366" i="3"/>
  <c r="AB361" i="3"/>
  <c r="AA362" i="3"/>
  <c r="H302" i="3"/>
  <c r="I302" i="3"/>
  <c r="X302" i="3"/>
  <c r="I372" i="3"/>
  <c r="H372" i="3"/>
  <c r="X372" i="3"/>
  <c r="AA368" i="3"/>
  <c r="AB367" i="3"/>
  <c r="H308" i="3"/>
  <c r="I308" i="3"/>
  <c r="X308" i="3"/>
  <c r="AA304" i="3"/>
  <c r="AB303" i="3"/>
  <c r="X289" i="3"/>
  <c r="H289" i="3"/>
  <c r="I289" i="3"/>
  <c r="H319" i="3"/>
  <c r="X319" i="3"/>
  <c r="I319" i="3"/>
  <c r="AA315" i="3"/>
  <c r="AB314" i="3"/>
  <c r="AB256" i="3"/>
  <c r="AA257" i="3"/>
  <c r="H370" i="3"/>
  <c r="X370" i="3"/>
  <c r="I370" i="3"/>
  <c r="AB365" i="3"/>
  <c r="AA366" i="3"/>
  <c r="H306" i="3"/>
  <c r="I306" i="3"/>
  <c r="X306" i="3"/>
  <c r="AA302" i="3"/>
  <c r="AB301" i="3"/>
  <c r="I280" i="3"/>
  <c r="X280" i="3"/>
  <c r="H280" i="3"/>
  <c r="AA276" i="3"/>
  <c r="AB275" i="3"/>
  <c r="I216" i="3"/>
  <c r="X216" i="3"/>
  <c r="H216" i="3"/>
  <c r="H243" i="3"/>
  <c r="I243" i="3"/>
  <c r="X243" i="3"/>
  <c r="AB238" i="3"/>
  <c r="AA239" i="3"/>
  <c r="AB204" i="3"/>
  <c r="AA205" i="3"/>
  <c r="H262" i="3"/>
  <c r="I262" i="3"/>
  <c r="X262" i="3"/>
  <c r="AB257" i="3"/>
  <c r="AA258" i="3"/>
  <c r="I164" i="3"/>
  <c r="X164" i="3"/>
  <c r="H164" i="3"/>
  <c r="I268" i="3"/>
  <c r="X268" i="3"/>
  <c r="H268" i="3"/>
  <c r="AB263" i="3"/>
  <c r="AA264" i="3"/>
  <c r="H205" i="3"/>
  <c r="X205" i="3"/>
  <c r="I205" i="3"/>
  <c r="I189" i="3"/>
  <c r="H189" i="3"/>
  <c r="X189" i="3"/>
  <c r="I88" i="3"/>
  <c r="X88" i="3"/>
  <c r="H88" i="3"/>
  <c r="H279" i="3"/>
  <c r="X279" i="3"/>
  <c r="I279" i="3"/>
  <c r="AA275" i="3"/>
  <c r="AB274" i="3"/>
  <c r="X215" i="3"/>
  <c r="I215" i="3"/>
  <c r="H215" i="3"/>
  <c r="X290" i="3"/>
  <c r="I290" i="3"/>
  <c r="H290" i="3"/>
  <c r="AB285" i="3"/>
  <c r="AA286" i="3"/>
  <c r="H226" i="3"/>
  <c r="X226" i="3"/>
  <c r="I226" i="3"/>
  <c r="AA222" i="3"/>
  <c r="AB221" i="3"/>
  <c r="AB199" i="3"/>
  <c r="AA200" i="3"/>
  <c r="I133" i="3"/>
  <c r="H133" i="3"/>
  <c r="X133" i="3"/>
  <c r="X192" i="3"/>
  <c r="I192" i="3"/>
  <c r="H192" i="3"/>
  <c r="AB187" i="3"/>
  <c r="AA188" i="3"/>
  <c r="AB144" i="3"/>
  <c r="AA145" i="3"/>
  <c r="X198" i="3"/>
  <c r="I198" i="3"/>
  <c r="H198" i="3"/>
  <c r="AA194" i="3"/>
  <c r="AB193" i="3"/>
  <c r="AB151" i="3"/>
  <c r="AA152" i="3"/>
  <c r="H159" i="3"/>
  <c r="X159" i="3"/>
  <c r="I159" i="3"/>
  <c r="AB154" i="3"/>
  <c r="AA155" i="3"/>
  <c r="I160" i="3"/>
  <c r="X160" i="3"/>
  <c r="H160" i="3"/>
  <c r="AB155" i="3"/>
  <c r="AA156" i="3"/>
  <c r="X116" i="3"/>
  <c r="H116" i="3"/>
  <c r="I116" i="3"/>
  <c r="AB124" i="3"/>
  <c r="AA125" i="3"/>
  <c r="AA100" i="3"/>
  <c r="AB99" i="3"/>
  <c r="X158" i="3"/>
  <c r="H158" i="3"/>
  <c r="I158" i="3"/>
  <c r="AB153" i="3"/>
  <c r="AA154" i="3"/>
  <c r="I66" i="3"/>
  <c r="X66" i="3"/>
  <c r="H66" i="3"/>
  <c r="H97" i="3"/>
  <c r="X97" i="3"/>
  <c r="I97" i="3"/>
  <c r="AA93" i="3"/>
  <c r="AB92" i="3"/>
  <c r="H85" i="3"/>
  <c r="I85" i="3"/>
  <c r="X85" i="3"/>
  <c r="X95" i="3"/>
  <c r="I95" i="3"/>
  <c r="H95" i="3"/>
  <c r="AB90" i="3"/>
  <c r="AA91" i="3"/>
  <c r="AB81" i="3"/>
  <c r="AA82" i="3"/>
  <c r="AB77" i="3"/>
  <c r="AA78" i="3"/>
  <c r="AB44" i="3"/>
  <c r="AA45" i="3"/>
  <c r="AB86" i="3"/>
  <c r="AA87" i="3"/>
  <c r="AB40" i="3"/>
  <c r="AA41" i="3"/>
  <c r="AB46" i="3"/>
  <c r="AA47" i="3"/>
  <c r="AA53" i="3"/>
  <c r="AB52" i="3"/>
  <c r="X58" i="3"/>
  <c r="H58" i="3"/>
  <c r="I58" i="3"/>
  <c r="X36" i="3"/>
  <c r="H36" i="3"/>
  <c r="I36" i="3"/>
  <c r="AB31" i="3"/>
  <c r="AA32" i="3"/>
  <c r="I39" i="3"/>
  <c r="X39" i="3"/>
  <c r="H39" i="3"/>
  <c r="AB34" i="3"/>
  <c r="AA35" i="3"/>
  <c r="I32" i="3"/>
  <c r="H32" i="3"/>
  <c r="X32" i="3"/>
  <c r="AA28" i="3"/>
  <c r="AB27" i="3"/>
  <c r="H30" i="3"/>
  <c r="I30" i="3"/>
  <c r="X30" i="3"/>
  <c r="AA26" i="3"/>
  <c r="AB25" i="3"/>
  <c r="AA977" i="3"/>
  <c r="AB976" i="3"/>
  <c r="X1004" i="3"/>
  <c r="I1004" i="3"/>
  <c r="H1004" i="3"/>
  <c r="X930" i="3"/>
  <c r="I930" i="3"/>
  <c r="H930" i="3"/>
  <c r="X881" i="3"/>
  <c r="I881" i="3"/>
  <c r="H881" i="3"/>
  <c r="AA920" i="3"/>
  <c r="AB919" i="3"/>
  <c r="X985" i="3"/>
  <c r="I985" i="3"/>
  <c r="H985" i="3"/>
  <c r="X965" i="3"/>
  <c r="I965" i="3"/>
  <c r="H965" i="3"/>
  <c r="AB924" i="3"/>
  <c r="AA925" i="3"/>
  <c r="X977" i="3"/>
  <c r="H977" i="3"/>
  <c r="I977" i="3"/>
  <c r="AB932" i="3"/>
  <c r="AA933" i="3"/>
  <c r="X905" i="3"/>
  <c r="I905" i="3"/>
  <c r="H905" i="3"/>
  <c r="X980" i="3"/>
  <c r="H980" i="3"/>
  <c r="I980" i="3"/>
  <c r="AA976" i="3"/>
  <c r="AB975" i="3"/>
  <c r="X916" i="3"/>
  <c r="H916" i="3"/>
  <c r="I916" i="3"/>
  <c r="AA912" i="3"/>
  <c r="AB911" i="3"/>
  <c r="AB780" i="3"/>
  <c r="AA781" i="3"/>
  <c r="X721" i="3"/>
  <c r="H721" i="3"/>
  <c r="I721" i="3"/>
  <c r="X967" i="3"/>
  <c r="H967" i="3"/>
  <c r="I967" i="3"/>
  <c r="AA963" i="3"/>
  <c r="AB962" i="3"/>
  <c r="X903" i="3"/>
  <c r="H903" i="3"/>
  <c r="I903" i="3"/>
  <c r="AA899" i="3"/>
  <c r="AB898" i="3"/>
  <c r="AB728" i="3"/>
  <c r="AA729" i="3"/>
  <c r="AA917" i="3"/>
  <c r="AB916" i="3"/>
  <c r="X970" i="3"/>
  <c r="I970" i="3"/>
  <c r="H970" i="3"/>
  <c r="AA966" i="3"/>
  <c r="AB965" i="3"/>
  <c r="X906" i="3"/>
  <c r="H906" i="3"/>
  <c r="I906" i="3"/>
  <c r="AA902" i="3"/>
  <c r="AB901" i="3"/>
  <c r="AB740" i="3"/>
  <c r="AA741" i="3"/>
  <c r="X663" i="3"/>
  <c r="H663" i="3"/>
  <c r="I663" i="3"/>
  <c r="AB848" i="3"/>
  <c r="AA849" i="3"/>
  <c r="X789" i="3"/>
  <c r="H789" i="3"/>
  <c r="I789" i="3"/>
  <c r="X968" i="3"/>
  <c r="H968" i="3"/>
  <c r="I968" i="3"/>
  <c r="AA964" i="3"/>
  <c r="AB963" i="3"/>
  <c r="X904" i="3"/>
  <c r="H904" i="3"/>
  <c r="I904" i="3"/>
  <c r="AA900" i="3"/>
  <c r="AB899" i="3"/>
  <c r="AB732" i="3"/>
  <c r="AA733" i="3"/>
  <c r="X955" i="3"/>
  <c r="H955" i="3"/>
  <c r="I955" i="3"/>
  <c r="AA951" i="3"/>
  <c r="AB950" i="3"/>
  <c r="X891" i="3"/>
  <c r="H891" i="3"/>
  <c r="I891" i="3"/>
  <c r="AB886" i="3"/>
  <c r="AA887" i="3"/>
  <c r="AB1001" i="3"/>
  <c r="AA1002" i="3"/>
  <c r="X942" i="3"/>
  <c r="I942" i="3"/>
  <c r="H942" i="3"/>
  <c r="AA938" i="3"/>
  <c r="AB937" i="3"/>
  <c r="X878" i="3"/>
  <c r="I878" i="3"/>
  <c r="H878" i="3"/>
  <c r="AA874" i="3"/>
  <c r="AB873" i="3"/>
  <c r="X825" i="3"/>
  <c r="I825" i="3"/>
  <c r="H825" i="3"/>
  <c r="AA687" i="3"/>
  <c r="AB686" i="3"/>
  <c r="AB864" i="3"/>
  <c r="AA865" i="3"/>
  <c r="AB800" i="3"/>
  <c r="AA801" i="3"/>
  <c r="AB736" i="3"/>
  <c r="AA737" i="3"/>
  <c r="X844" i="3"/>
  <c r="H844" i="3"/>
  <c r="I844" i="3"/>
  <c r="AB839" i="3"/>
  <c r="AA840" i="3"/>
  <c r="X780" i="3"/>
  <c r="H780" i="3"/>
  <c r="I780" i="3"/>
  <c r="AB775" i="3"/>
  <c r="AA776" i="3"/>
  <c r="X716" i="3"/>
  <c r="H716" i="3"/>
  <c r="I716" i="3"/>
  <c r="AB711" i="3"/>
  <c r="AA712" i="3"/>
  <c r="AA607" i="3"/>
  <c r="AB606" i="3"/>
  <c r="AB529" i="3"/>
  <c r="AA530" i="3"/>
  <c r="X847" i="3"/>
  <c r="H847" i="3"/>
  <c r="I847" i="3"/>
  <c r="AB842" i="3"/>
  <c r="AA843" i="3"/>
  <c r="X783" i="3"/>
  <c r="I783" i="3"/>
  <c r="H783" i="3"/>
  <c r="AA779" i="3"/>
  <c r="AB778" i="3"/>
  <c r="X719" i="3"/>
  <c r="H719" i="3"/>
  <c r="I719" i="3"/>
  <c r="AB714" i="3"/>
  <c r="AA715" i="3"/>
  <c r="AA619" i="3"/>
  <c r="AB618" i="3"/>
  <c r="X858" i="3"/>
  <c r="I858" i="3"/>
  <c r="H858" i="3"/>
  <c r="AA854" i="3"/>
  <c r="AB853" i="3"/>
  <c r="X794" i="3"/>
  <c r="I794" i="3"/>
  <c r="H794" i="3"/>
  <c r="AA790" i="3"/>
  <c r="AB789" i="3"/>
  <c r="X730" i="3"/>
  <c r="H730" i="3"/>
  <c r="I730" i="3"/>
  <c r="AB725" i="3"/>
  <c r="AA726" i="3"/>
  <c r="AB662" i="3"/>
  <c r="AA663" i="3"/>
  <c r="AB489" i="3"/>
  <c r="AA490" i="3"/>
  <c r="X816" i="3"/>
  <c r="I816" i="3"/>
  <c r="H816" i="3"/>
  <c r="AB811" i="3"/>
  <c r="AA812" i="3"/>
  <c r="X752" i="3"/>
  <c r="H752" i="3"/>
  <c r="I752" i="3"/>
  <c r="AB747" i="3"/>
  <c r="AA748" i="3"/>
  <c r="X554" i="3"/>
  <c r="I554" i="3"/>
  <c r="H554" i="3"/>
  <c r="X819" i="3"/>
  <c r="H819" i="3"/>
  <c r="I819" i="3"/>
  <c r="AB814" i="3"/>
  <c r="AA815" i="3"/>
  <c r="X755" i="3"/>
  <c r="H755" i="3"/>
  <c r="I755" i="3"/>
  <c r="AB750" i="3"/>
  <c r="AA751" i="3"/>
  <c r="X691" i="3"/>
  <c r="I691" i="3"/>
  <c r="H691" i="3"/>
  <c r="X602" i="3"/>
  <c r="H602" i="3"/>
  <c r="I602" i="3"/>
  <c r="X822" i="3"/>
  <c r="I822" i="3"/>
  <c r="H822" i="3"/>
  <c r="AA818" i="3"/>
  <c r="AB817" i="3"/>
  <c r="X758" i="3"/>
  <c r="H758" i="3"/>
  <c r="I758" i="3"/>
  <c r="AB753" i="3"/>
  <c r="AA754" i="3"/>
  <c r="X694" i="3"/>
  <c r="H694" i="3"/>
  <c r="I694" i="3"/>
  <c r="AB689" i="3"/>
  <c r="AA690" i="3"/>
  <c r="X570" i="3"/>
  <c r="I570" i="3"/>
  <c r="H570" i="3"/>
  <c r="X674" i="3"/>
  <c r="H674" i="3"/>
  <c r="I674" i="3"/>
  <c r="AB669" i="3"/>
  <c r="AA670" i="3"/>
  <c r="X610" i="3"/>
  <c r="H610" i="3"/>
  <c r="I610" i="3"/>
  <c r="AB545" i="3"/>
  <c r="AA546" i="3"/>
  <c r="AA522" i="3"/>
  <c r="AB521" i="3"/>
  <c r="X645" i="3"/>
  <c r="I645" i="3"/>
  <c r="H645" i="3"/>
  <c r="AB640" i="3"/>
  <c r="AA641" i="3"/>
  <c r="X632" i="3"/>
  <c r="I632" i="3"/>
  <c r="H632" i="3"/>
  <c r="AA628" i="3"/>
  <c r="AB627" i="3"/>
  <c r="X574" i="3"/>
  <c r="H574" i="3"/>
  <c r="I574" i="3"/>
  <c r="X662" i="3"/>
  <c r="H662" i="3"/>
  <c r="I662" i="3"/>
  <c r="AA658" i="3"/>
  <c r="AB657" i="3"/>
  <c r="X673" i="3"/>
  <c r="I673" i="3"/>
  <c r="H673" i="3"/>
  <c r="AB668" i="3"/>
  <c r="AA669" i="3"/>
  <c r="X609" i="3"/>
  <c r="H609" i="3"/>
  <c r="I609" i="3"/>
  <c r="AA542" i="3"/>
  <c r="AB541" i="3"/>
  <c r="X644" i="3"/>
  <c r="I644" i="3"/>
  <c r="H644" i="3"/>
  <c r="AA640" i="3"/>
  <c r="AB639" i="3"/>
  <c r="X581" i="3"/>
  <c r="I581" i="3"/>
  <c r="H581" i="3"/>
  <c r="AA577" i="3"/>
  <c r="AB576" i="3"/>
  <c r="AB524" i="3"/>
  <c r="AA525" i="3"/>
  <c r="AB469" i="3"/>
  <c r="AA470" i="3"/>
  <c r="X552" i="3"/>
  <c r="H552" i="3"/>
  <c r="I552" i="3"/>
  <c r="AA548" i="3"/>
  <c r="AB547" i="3"/>
  <c r="X587" i="3"/>
  <c r="I587" i="3"/>
  <c r="H587" i="3"/>
  <c r="AA583" i="3"/>
  <c r="AB582" i="3"/>
  <c r="AC582" i="3" s="1"/>
  <c r="AA494" i="3"/>
  <c r="AB493" i="3"/>
  <c r="X593" i="3"/>
  <c r="I593" i="3"/>
  <c r="H593" i="3"/>
  <c r="AB588" i="3"/>
  <c r="AA589" i="3"/>
  <c r="AB517" i="3"/>
  <c r="AA518" i="3"/>
  <c r="X458" i="3"/>
  <c r="I458" i="3"/>
  <c r="H458" i="3"/>
  <c r="X580" i="3"/>
  <c r="I580" i="3"/>
  <c r="H580" i="3"/>
  <c r="AB575" i="3"/>
  <c r="AA576" i="3"/>
  <c r="AB522" i="3"/>
  <c r="AA523" i="3"/>
  <c r="AA466" i="3"/>
  <c r="AB465" i="3"/>
  <c r="X591" i="3"/>
  <c r="H591" i="3"/>
  <c r="I591" i="3"/>
  <c r="AA587" i="3"/>
  <c r="AB586" i="3"/>
  <c r="AB509" i="3"/>
  <c r="AA510" i="3"/>
  <c r="H497" i="3"/>
  <c r="I497" i="3"/>
  <c r="X497" i="3"/>
  <c r="AA493" i="3"/>
  <c r="AB492" i="3"/>
  <c r="X317" i="3"/>
  <c r="H317" i="3"/>
  <c r="I317" i="3"/>
  <c r="X508" i="3"/>
  <c r="H508" i="3"/>
  <c r="I508" i="3"/>
  <c r="AB503" i="3"/>
  <c r="AA504" i="3"/>
  <c r="X519" i="3"/>
  <c r="H519" i="3"/>
  <c r="I519" i="3"/>
  <c r="AB514" i="3"/>
  <c r="AA515" i="3"/>
  <c r="X455" i="3"/>
  <c r="I455" i="3"/>
  <c r="H455" i="3"/>
  <c r="X525" i="3"/>
  <c r="H525" i="3"/>
  <c r="I525" i="3"/>
  <c r="AB520" i="3"/>
  <c r="AA521" i="3"/>
  <c r="H461" i="3"/>
  <c r="X461" i="3"/>
  <c r="I461" i="3"/>
  <c r="AA457" i="3"/>
  <c r="AB456" i="3"/>
  <c r="H472" i="3"/>
  <c r="I472" i="3"/>
  <c r="X472" i="3"/>
  <c r="AB467" i="3"/>
  <c r="AA468" i="3"/>
  <c r="AB416" i="3"/>
  <c r="AA417" i="3"/>
  <c r="I483" i="3"/>
  <c r="X483" i="3"/>
  <c r="H483" i="3"/>
  <c r="AB478" i="3"/>
  <c r="AA479" i="3"/>
  <c r="X401" i="3"/>
  <c r="H401" i="3"/>
  <c r="I401" i="3"/>
  <c r="X416" i="3"/>
  <c r="H416" i="3"/>
  <c r="I416" i="3"/>
  <c r="AA412" i="3"/>
  <c r="AB411" i="3"/>
  <c r="H427" i="3"/>
  <c r="X427" i="3"/>
  <c r="I427" i="3"/>
  <c r="AB422" i="3"/>
  <c r="AA423" i="3"/>
  <c r="AA373" i="3"/>
  <c r="AB372" i="3"/>
  <c r="H221" i="3"/>
  <c r="I221" i="3"/>
  <c r="X221" i="3"/>
  <c r="I438" i="3"/>
  <c r="X438" i="3"/>
  <c r="H438" i="3"/>
  <c r="AA434" i="3"/>
  <c r="AB433" i="3"/>
  <c r="I374" i="3"/>
  <c r="X374" i="3"/>
  <c r="H374" i="3"/>
  <c r="AB300" i="3"/>
  <c r="AA301" i="3"/>
  <c r="H444" i="3"/>
  <c r="X444" i="3"/>
  <c r="I444" i="3"/>
  <c r="AA440" i="3"/>
  <c r="AB439" i="3"/>
  <c r="H380" i="3"/>
  <c r="X380" i="3"/>
  <c r="I380" i="3"/>
  <c r="AA376" i="3"/>
  <c r="AB375" i="3"/>
  <c r="AB324" i="3"/>
  <c r="AA325" i="3"/>
  <c r="AB450" i="3"/>
  <c r="AA451" i="3"/>
  <c r="H391" i="3"/>
  <c r="I391" i="3"/>
  <c r="X391" i="3"/>
  <c r="AA387" i="3"/>
  <c r="AB386" i="3"/>
  <c r="AA369" i="3"/>
  <c r="AB368" i="3"/>
  <c r="AC368" i="3" s="1"/>
  <c r="H309" i="3"/>
  <c r="X309" i="3"/>
  <c r="I309" i="3"/>
  <c r="AA149" i="3"/>
  <c r="AB148" i="3"/>
  <c r="X442" i="3"/>
  <c r="H442" i="3"/>
  <c r="I442" i="3"/>
  <c r="AB437" i="3"/>
  <c r="AA438" i="3"/>
  <c r="I378" i="3"/>
  <c r="X378" i="3"/>
  <c r="H378" i="3"/>
  <c r="AB316" i="3"/>
  <c r="AA317" i="3"/>
  <c r="X328" i="3"/>
  <c r="H328" i="3"/>
  <c r="I328" i="3"/>
  <c r="AB323" i="3"/>
  <c r="AA324" i="3"/>
  <c r="X233" i="3"/>
  <c r="H233" i="3"/>
  <c r="I233" i="3"/>
  <c r="X339" i="3"/>
  <c r="I339" i="3"/>
  <c r="H339" i="3"/>
  <c r="AB334" i="3"/>
  <c r="AA335" i="3"/>
  <c r="H277" i="3"/>
  <c r="I277" i="3"/>
  <c r="X277" i="3"/>
  <c r="I326" i="3"/>
  <c r="H326" i="3"/>
  <c r="X326" i="3"/>
  <c r="AA322" i="3"/>
  <c r="AB321" i="3"/>
  <c r="AB284" i="3"/>
  <c r="AA285" i="3"/>
  <c r="H225" i="3"/>
  <c r="X225" i="3"/>
  <c r="I225" i="3"/>
  <c r="X332" i="3"/>
  <c r="H332" i="3"/>
  <c r="I332" i="3"/>
  <c r="AA328" i="3"/>
  <c r="AB327" i="3"/>
  <c r="AB297" i="3"/>
  <c r="AA298" i="3"/>
  <c r="H249" i="3"/>
  <c r="I249" i="3"/>
  <c r="X249" i="3"/>
  <c r="I343" i="3"/>
  <c r="H343" i="3"/>
  <c r="X343" i="3"/>
  <c r="AB338" i="3"/>
  <c r="AA339" i="3"/>
  <c r="X330" i="3"/>
  <c r="H330" i="3"/>
  <c r="I330" i="3"/>
  <c r="AA326" i="3"/>
  <c r="AB325" i="3"/>
  <c r="I241" i="3"/>
  <c r="H241" i="3"/>
  <c r="X241" i="3"/>
  <c r="I240" i="3"/>
  <c r="H240" i="3"/>
  <c r="X240" i="3"/>
  <c r="AA236" i="3"/>
  <c r="AB235" i="3"/>
  <c r="AA209" i="3"/>
  <c r="AB208" i="3"/>
  <c r="X137" i="3"/>
  <c r="I137" i="3"/>
  <c r="H137" i="3"/>
  <c r="I267" i="3"/>
  <c r="X267" i="3"/>
  <c r="H267" i="3"/>
  <c r="AB262" i="3"/>
  <c r="AA263" i="3"/>
  <c r="H185" i="3"/>
  <c r="X185" i="3"/>
  <c r="I185" i="3"/>
  <c r="I286" i="3"/>
  <c r="H286" i="3"/>
  <c r="X286" i="3"/>
  <c r="AB281" i="3"/>
  <c r="AA282" i="3"/>
  <c r="H222" i="3"/>
  <c r="I222" i="3"/>
  <c r="X222" i="3"/>
  <c r="AA218" i="3"/>
  <c r="AB217" i="3"/>
  <c r="H292" i="3"/>
  <c r="I292" i="3"/>
  <c r="X292" i="3"/>
  <c r="AB287" i="3"/>
  <c r="AA288" i="3"/>
  <c r="I228" i="3"/>
  <c r="X228" i="3"/>
  <c r="H228" i="3"/>
  <c r="AA224" i="3"/>
  <c r="AB223" i="3"/>
  <c r="AB298" i="3"/>
  <c r="AA299" i="3"/>
  <c r="H239" i="3"/>
  <c r="I239" i="3"/>
  <c r="X239" i="3"/>
  <c r="AB234" i="3"/>
  <c r="AA235" i="3"/>
  <c r="X250" i="3"/>
  <c r="H250" i="3"/>
  <c r="I250" i="3"/>
  <c r="AB245" i="3"/>
  <c r="AA246" i="3"/>
  <c r="AB176" i="3"/>
  <c r="AA177" i="3"/>
  <c r="H183" i="3"/>
  <c r="X183" i="3"/>
  <c r="I183" i="3"/>
  <c r="AB178" i="3"/>
  <c r="AA179" i="3"/>
  <c r="I186" i="3"/>
  <c r="H186" i="3"/>
  <c r="X186" i="3"/>
  <c r="AB181" i="3"/>
  <c r="AA182" i="3"/>
  <c r="AA212" i="3"/>
  <c r="AB211" i="3"/>
  <c r="H187" i="3"/>
  <c r="I187" i="3"/>
  <c r="X187" i="3"/>
  <c r="AB182" i="3"/>
  <c r="AA183" i="3"/>
  <c r="AB103" i="3"/>
  <c r="AA104" i="3"/>
  <c r="H146" i="3"/>
  <c r="I146" i="3"/>
  <c r="X146" i="3"/>
  <c r="AA142" i="3"/>
  <c r="AB141" i="3"/>
  <c r="I139" i="3"/>
  <c r="X139" i="3"/>
  <c r="H139" i="3"/>
  <c r="AB134" i="3"/>
  <c r="AA135" i="3"/>
  <c r="I123" i="3"/>
  <c r="X123" i="3"/>
  <c r="H123" i="3"/>
  <c r="X91" i="3"/>
  <c r="I91" i="3"/>
  <c r="H91" i="3"/>
  <c r="X110" i="3"/>
  <c r="I110" i="3"/>
  <c r="H110" i="3"/>
  <c r="AB105" i="3"/>
  <c r="AA106" i="3"/>
  <c r="I34" i="3"/>
  <c r="H34" i="3"/>
  <c r="X34" i="3"/>
  <c r="H119" i="3"/>
  <c r="X119" i="3"/>
  <c r="I119" i="3"/>
  <c r="AB114" i="3"/>
  <c r="AA115" i="3"/>
  <c r="X18" i="3"/>
  <c r="H18" i="3"/>
  <c r="I18" i="3"/>
  <c r="I98" i="3"/>
  <c r="X98" i="3"/>
  <c r="H98" i="3"/>
  <c r="AA94" i="3"/>
  <c r="AB93" i="3"/>
  <c r="X101" i="3"/>
  <c r="H101" i="3"/>
  <c r="I101" i="3"/>
  <c r="AB96" i="3"/>
  <c r="AA97" i="3"/>
  <c r="AB67" i="3"/>
  <c r="AA68" i="3"/>
  <c r="I33" i="3"/>
  <c r="X33" i="3"/>
  <c r="H33" i="3"/>
  <c r="H29" i="3"/>
  <c r="I29" i="3"/>
  <c r="X29" i="3"/>
  <c r="H35" i="3"/>
  <c r="I35" i="3"/>
  <c r="X35" i="3"/>
  <c r="I41" i="3"/>
  <c r="H41" i="3"/>
  <c r="X41" i="3"/>
  <c r="AA38" i="3"/>
  <c r="AB37" i="3"/>
  <c r="X53" i="3"/>
  <c r="H53" i="3"/>
  <c r="I53" i="3"/>
  <c r="I60" i="3"/>
  <c r="X60" i="3"/>
  <c r="H60" i="3"/>
  <c r="AB55" i="3"/>
  <c r="AA56" i="3"/>
  <c r="H63" i="3"/>
  <c r="I63" i="3"/>
  <c r="X63" i="3"/>
  <c r="AA59" i="3"/>
  <c r="AB58" i="3"/>
  <c r="X56" i="3"/>
  <c r="H56" i="3"/>
  <c r="I56" i="3"/>
  <c r="AA52" i="3"/>
  <c r="AB51" i="3"/>
  <c r="H54" i="3"/>
  <c r="I54" i="3"/>
  <c r="X54" i="3"/>
  <c r="AB49" i="3"/>
  <c r="AA50" i="3"/>
  <c r="AB980" i="3"/>
  <c r="AA981" i="3"/>
  <c r="X969" i="3"/>
  <c r="H969" i="3"/>
  <c r="I969" i="3"/>
  <c r="AB968" i="3"/>
  <c r="AA969" i="3"/>
  <c r="AB935" i="3"/>
  <c r="AA936" i="3"/>
  <c r="AB871" i="3"/>
  <c r="AA872" i="3"/>
  <c r="X817" i="3"/>
  <c r="H817" i="3"/>
  <c r="I817" i="3"/>
  <c r="X991" i="3"/>
  <c r="H991" i="3"/>
  <c r="I991" i="3"/>
  <c r="X927" i="3"/>
  <c r="H927" i="3"/>
  <c r="I927" i="3"/>
  <c r="AB824" i="3"/>
  <c r="AA825" i="3"/>
  <c r="X994" i="3"/>
  <c r="H994" i="3"/>
  <c r="I994" i="3"/>
  <c r="AB720" i="3"/>
  <c r="AA721" i="3"/>
  <c r="X992" i="3"/>
  <c r="H992" i="3"/>
  <c r="I992" i="3"/>
  <c r="AB923" i="3"/>
  <c r="AA924" i="3"/>
  <c r="AB828" i="3"/>
  <c r="AA829" i="3"/>
  <c r="X769" i="3"/>
  <c r="I769" i="3"/>
  <c r="H769" i="3"/>
  <c r="X893" i="3"/>
  <c r="H893" i="3"/>
  <c r="I893" i="3"/>
  <c r="AA873" i="3"/>
  <c r="AB872" i="3"/>
  <c r="X979" i="3"/>
  <c r="H979" i="3"/>
  <c r="I979" i="3"/>
  <c r="AB974" i="3"/>
  <c r="AA975" i="3"/>
  <c r="X915" i="3"/>
  <c r="H915" i="3"/>
  <c r="I915" i="3"/>
  <c r="AA911" i="3"/>
  <c r="AB910" i="3"/>
  <c r="AB776" i="3"/>
  <c r="AA777" i="3"/>
  <c r="X717" i="3"/>
  <c r="H717" i="3"/>
  <c r="I717" i="3"/>
  <c r="X966" i="3"/>
  <c r="I966" i="3"/>
  <c r="H966" i="3"/>
  <c r="AA962" i="3"/>
  <c r="AB961" i="3"/>
  <c r="X902" i="3"/>
  <c r="H902" i="3"/>
  <c r="I902" i="3"/>
  <c r="AA898" i="3"/>
  <c r="AB897" i="3"/>
  <c r="AC897" i="3" s="1"/>
  <c r="AB724" i="3"/>
  <c r="AA725" i="3"/>
  <c r="X837" i="3"/>
  <c r="I837" i="3"/>
  <c r="H837" i="3"/>
  <c r="X868" i="3"/>
  <c r="I868" i="3"/>
  <c r="H868" i="3"/>
  <c r="AA864" i="3"/>
  <c r="AB863" i="3"/>
  <c r="X804" i="3"/>
  <c r="H804" i="3"/>
  <c r="I804" i="3"/>
  <c r="AA800" i="3"/>
  <c r="AB799" i="3"/>
  <c r="X740" i="3"/>
  <c r="H740" i="3"/>
  <c r="I740" i="3"/>
  <c r="AA736" i="3"/>
  <c r="AB735" i="3"/>
  <c r="X643" i="3"/>
  <c r="H643" i="3"/>
  <c r="I643" i="3"/>
  <c r="AA867" i="3"/>
  <c r="AB866" i="3"/>
  <c r="X807" i="3"/>
  <c r="I807" i="3"/>
  <c r="H807" i="3"/>
  <c r="AA803" i="3"/>
  <c r="AB802" i="3"/>
  <c r="AB738" i="3"/>
  <c r="AA739" i="3"/>
  <c r="X655" i="3"/>
  <c r="H655" i="3"/>
  <c r="I655" i="3"/>
  <c r="X818" i="3"/>
  <c r="H818" i="3"/>
  <c r="I818" i="3"/>
  <c r="AA814" i="3"/>
  <c r="AB813" i="3"/>
  <c r="X754" i="3"/>
  <c r="I754" i="3"/>
  <c r="H754" i="3"/>
  <c r="AB749" i="3"/>
  <c r="AA750" i="3"/>
  <c r="X690" i="3"/>
  <c r="I690" i="3"/>
  <c r="H690" i="3"/>
  <c r="X586" i="3"/>
  <c r="H586" i="3"/>
  <c r="I586" i="3"/>
  <c r="H445" i="3"/>
  <c r="X445" i="3"/>
  <c r="I445" i="3"/>
  <c r="X840" i="3"/>
  <c r="I840" i="3"/>
  <c r="H840" i="3"/>
  <c r="AB835" i="3"/>
  <c r="AA836" i="3"/>
  <c r="X776" i="3"/>
  <c r="H776" i="3"/>
  <c r="I776" i="3"/>
  <c r="AB771" i="3"/>
  <c r="AA772" i="3"/>
  <c r="X712" i="3"/>
  <c r="H712" i="3"/>
  <c r="I712" i="3"/>
  <c r="AB707" i="3"/>
  <c r="AA708" i="3"/>
  <c r="X843" i="3"/>
  <c r="I843" i="3"/>
  <c r="H843" i="3"/>
  <c r="AA839" i="3"/>
  <c r="AB838" i="3"/>
  <c r="X779" i="3"/>
  <c r="H779" i="3"/>
  <c r="I779" i="3"/>
  <c r="AA775" i="3"/>
  <c r="AB774" i="3"/>
  <c r="X715" i="3"/>
  <c r="H715" i="3"/>
  <c r="I715" i="3"/>
  <c r="AA711" i="3"/>
  <c r="AB710" i="3"/>
  <c r="X846" i="3"/>
  <c r="I846" i="3"/>
  <c r="H846" i="3"/>
  <c r="AA842" i="3"/>
  <c r="AB841" i="3"/>
  <c r="X782" i="3"/>
  <c r="H782" i="3"/>
  <c r="I782" i="3"/>
  <c r="AA778" i="3"/>
  <c r="AB777" i="3"/>
  <c r="X718" i="3"/>
  <c r="H718" i="3"/>
  <c r="I718" i="3"/>
  <c r="AA714" i="3"/>
  <c r="AB713" i="3"/>
  <c r="AB614" i="3"/>
  <c r="AA615" i="3"/>
  <c r="X634" i="3"/>
  <c r="H634" i="3"/>
  <c r="I634" i="3"/>
  <c r="AB629" i="3"/>
  <c r="AA630" i="3"/>
  <c r="X582" i="3"/>
  <c r="H582" i="3"/>
  <c r="I582" i="3"/>
  <c r="H381" i="3"/>
  <c r="I381" i="3"/>
  <c r="X381" i="3"/>
  <c r="X669" i="3"/>
  <c r="I669" i="3"/>
  <c r="H669" i="3"/>
  <c r="AA665" i="3"/>
  <c r="AB664" i="3"/>
  <c r="X656" i="3"/>
  <c r="I656" i="3"/>
  <c r="H656" i="3"/>
  <c r="AA652" i="3"/>
  <c r="AB651" i="3"/>
  <c r="X686" i="3"/>
  <c r="H686" i="3"/>
  <c r="I686" i="3"/>
  <c r="AB681" i="3"/>
  <c r="AA682" i="3"/>
  <c r="X622" i="3"/>
  <c r="H622" i="3"/>
  <c r="I622" i="3"/>
  <c r="AB617" i="3"/>
  <c r="AA618" i="3"/>
  <c r="AB593" i="3"/>
  <c r="AA594" i="3"/>
  <c r="X534" i="3"/>
  <c r="H534" i="3"/>
  <c r="I534" i="3"/>
  <c r="I478" i="3"/>
  <c r="H478" i="3"/>
  <c r="X478" i="3"/>
  <c r="X633" i="3"/>
  <c r="H633" i="3"/>
  <c r="I633" i="3"/>
  <c r="AA629" i="3"/>
  <c r="AB628" i="3"/>
  <c r="X578" i="3"/>
  <c r="H578" i="3"/>
  <c r="I578" i="3"/>
  <c r="X668" i="3"/>
  <c r="H668" i="3"/>
  <c r="I668" i="3"/>
  <c r="AB663" i="3"/>
  <c r="AA664" i="3"/>
  <c r="AB505" i="3"/>
  <c r="AA506" i="3"/>
  <c r="AB600" i="3"/>
  <c r="AA601" i="3"/>
  <c r="X541" i="3"/>
  <c r="I541" i="3"/>
  <c r="H541" i="3"/>
  <c r="AB536" i="3"/>
  <c r="AA537" i="3"/>
  <c r="X506" i="3"/>
  <c r="H506" i="3"/>
  <c r="I506" i="3"/>
  <c r="X576" i="3"/>
  <c r="I576" i="3"/>
  <c r="H576" i="3"/>
  <c r="AB571" i="3"/>
  <c r="AA572" i="3"/>
  <c r="X547" i="3"/>
  <c r="H547" i="3"/>
  <c r="I547" i="3"/>
  <c r="AA543" i="3"/>
  <c r="AB542" i="3"/>
  <c r="AB525" i="3"/>
  <c r="AA526" i="3"/>
  <c r="AB371" i="3"/>
  <c r="AA372" i="3"/>
  <c r="X553" i="3"/>
  <c r="H553" i="3"/>
  <c r="I553" i="3"/>
  <c r="AA549" i="3"/>
  <c r="AB548" i="3"/>
  <c r="X604" i="3"/>
  <c r="I604" i="3"/>
  <c r="H604" i="3"/>
  <c r="AA600" i="3"/>
  <c r="AB599" i="3"/>
  <c r="X540" i="3"/>
  <c r="H540" i="3"/>
  <c r="I540" i="3"/>
  <c r="AB535" i="3"/>
  <c r="AA536" i="3"/>
  <c r="X502" i="3"/>
  <c r="H502" i="3"/>
  <c r="I502" i="3"/>
  <c r="X551" i="3"/>
  <c r="I551" i="3"/>
  <c r="H551" i="3"/>
  <c r="AB546" i="3"/>
  <c r="AA547" i="3"/>
  <c r="AB516" i="3"/>
  <c r="AA517" i="3"/>
  <c r="X457" i="3"/>
  <c r="H457" i="3"/>
  <c r="I457" i="3"/>
  <c r="AA453" i="3"/>
  <c r="AB452" i="3"/>
  <c r="AB527" i="3"/>
  <c r="AA528" i="3"/>
  <c r="H468" i="3"/>
  <c r="X468" i="3"/>
  <c r="I468" i="3"/>
  <c r="AB463" i="3"/>
  <c r="AA464" i="3"/>
  <c r="AB400" i="3"/>
  <c r="AA401" i="3"/>
  <c r="X479" i="3"/>
  <c r="I479" i="3"/>
  <c r="H479" i="3"/>
  <c r="AA475" i="3"/>
  <c r="AB474" i="3"/>
  <c r="AB444" i="3"/>
  <c r="AA445" i="3"/>
  <c r="I385" i="3"/>
  <c r="H385" i="3"/>
  <c r="X385" i="3"/>
  <c r="AA345" i="3"/>
  <c r="AB344" i="3"/>
  <c r="I485" i="3"/>
  <c r="X485" i="3"/>
  <c r="H485" i="3"/>
  <c r="AB480" i="3"/>
  <c r="AA481" i="3"/>
  <c r="X409" i="3"/>
  <c r="I409" i="3"/>
  <c r="H409" i="3"/>
  <c r="AB248" i="3"/>
  <c r="AA249" i="3"/>
  <c r="I496" i="3"/>
  <c r="H496" i="3"/>
  <c r="X496" i="3"/>
  <c r="AB491" i="3"/>
  <c r="AA492" i="3"/>
  <c r="X301" i="3"/>
  <c r="I301" i="3"/>
  <c r="H301" i="3"/>
  <c r="X507" i="3"/>
  <c r="H507" i="3"/>
  <c r="I507" i="3"/>
  <c r="AA503" i="3"/>
  <c r="AB502" i="3"/>
  <c r="H440" i="3"/>
  <c r="X440" i="3"/>
  <c r="I440" i="3"/>
  <c r="AA436" i="3"/>
  <c r="AB435" i="3"/>
  <c r="H376" i="3"/>
  <c r="X376" i="3"/>
  <c r="I376" i="3"/>
  <c r="AA309" i="3"/>
  <c r="AB308" i="3"/>
  <c r="I451" i="3"/>
  <c r="X451" i="3"/>
  <c r="H451" i="3"/>
  <c r="AA447" i="3"/>
  <c r="AB446" i="3"/>
  <c r="H387" i="3"/>
  <c r="X387" i="3"/>
  <c r="I387" i="3"/>
  <c r="AA383" i="3"/>
  <c r="AB382" i="3"/>
  <c r="AB352" i="3"/>
  <c r="AA353" i="3"/>
  <c r="H398" i="3"/>
  <c r="I398" i="3"/>
  <c r="X398" i="3"/>
  <c r="AB393" i="3"/>
  <c r="AC393" i="3" s="1"/>
  <c r="AA394" i="3"/>
  <c r="H373" i="3"/>
  <c r="I373" i="3"/>
  <c r="X373" i="3"/>
  <c r="X337" i="3"/>
  <c r="H337" i="3"/>
  <c r="I337" i="3"/>
  <c r="I404" i="3"/>
  <c r="H404" i="3"/>
  <c r="X404" i="3"/>
  <c r="AB399" i="3"/>
  <c r="AA400" i="3"/>
  <c r="I361" i="3"/>
  <c r="H361" i="3"/>
  <c r="X361" i="3"/>
  <c r="I415" i="3"/>
  <c r="X415" i="3"/>
  <c r="H415" i="3"/>
  <c r="AB410" i="3"/>
  <c r="AA411" i="3"/>
  <c r="I402" i="3"/>
  <c r="X402" i="3"/>
  <c r="H402" i="3"/>
  <c r="AB397" i="3"/>
  <c r="AA398" i="3"/>
  <c r="H353" i="3"/>
  <c r="X353" i="3"/>
  <c r="I353" i="3"/>
  <c r="H352" i="3"/>
  <c r="I352" i="3"/>
  <c r="X352" i="3"/>
  <c r="AA348" i="3"/>
  <c r="AB347" i="3"/>
  <c r="H363" i="3"/>
  <c r="I363" i="3"/>
  <c r="X363" i="3"/>
  <c r="AB358" i="3"/>
  <c r="AA359" i="3"/>
  <c r="X299" i="3"/>
  <c r="I299" i="3"/>
  <c r="H299" i="3"/>
  <c r="I350" i="3"/>
  <c r="H350" i="3"/>
  <c r="X350" i="3"/>
  <c r="AB345" i="3"/>
  <c r="AA346" i="3"/>
  <c r="I356" i="3"/>
  <c r="H356" i="3"/>
  <c r="X356" i="3"/>
  <c r="AA352" i="3"/>
  <c r="AB351" i="3"/>
  <c r="X296" i="3"/>
  <c r="H296" i="3"/>
  <c r="I296" i="3"/>
  <c r="X367" i="3"/>
  <c r="I367" i="3"/>
  <c r="H367" i="3"/>
  <c r="AB362" i="3"/>
  <c r="AA363" i="3"/>
  <c r="H303" i="3"/>
  <c r="X303" i="3"/>
  <c r="I303" i="3"/>
  <c r="H354" i="3"/>
  <c r="X354" i="3"/>
  <c r="I354" i="3"/>
  <c r="AB349" i="3"/>
  <c r="AA350" i="3"/>
  <c r="H264" i="3"/>
  <c r="I264" i="3"/>
  <c r="X264" i="3"/>
  <c r="AA260" i="3"/>
  <c r="AB259" i="3"/>
  <c r="I173" i="3"/>
  <c r="H173" i="3"/>
  <c r="X173" i="3"/>
  <c r="I291" i="3"/>
  <c r="H291" i="3"/>
  <c r="X291" i="3"/>
  <c r="AA287" i="3"/>
  <c r="AB286" i="3"/>
  <c r="I227" i="3"/>
  <c r="X227" i="3"/>
  <c r="H227" i="3"/>
  <c r="AA223" i="3"/>
  <c r="AB222" i="3"/>
  <c r="X246" i="3"/>
  <c r="H246" i="3"/>
  <c r="I246" i="3"/>
  <c r="AB241" i="3"/>
  <c r="AA242" i="3"/>
  <c r="H252" i="3"/>
  <c r="X252" i="3"/>
  <c r="I252" i="3"/>
  <c r="AA248" i="3"/>
  <c r="AB247" i="3"/>
  <c r="AB184" i="3"/>
  <c r="AA185" i="3"/>
  <c r="H263" i="3"/>
  <c r="I263" i="3"/>
  <c r="X263" i="3"/>
  <c r="AB258" i="3"/>
  <c r="AA259" i="3"/>
  <c r="H169" i="3"/>
  <c r="X169" i="3"/>
  <c r="I169" i="3"/>
  <c r="X274" i="3"/>
  <c r="I274" i="3"/>
  <c r="H274" i="3"/>
  <c r="AB269" i="3"/>
  <c r="AA270" i="3"/>
  <c r="AB207" i="3"/>
  <c r="AA208" i="3"/>
  <c r="H188" i="3"/>
  <c r="X188" i="3"/>
  <c r="I188" i="3"/>
  <c r="AB183" i="3"/>
  <c r="AA184" i="3"/>
  <c r="AB128" i="3"/>
  <c r="AA129" i="3"/>
  <c r="H207" i="3"/>
  <c r="I207" i="3"/>
  <c r="X207" i="3"/>
  <c r="AB202" i="3"/>
  <c r="AA203" i="3"/>
  <c r="X145" i="3"/>
  <c r="I145" i="3"/>
  <c r="H145" i="3"/>
  <c r="H176" i="3"/>
  <c r="X176" i="3"/>
  <c r="I176" i="3"/>
  <c r="AA172" i="3"/>
  <c r="AB171" i="3"/>
  <c r="I211" i="3"/>
  <c r="H211" i="3"/>
  <c r="X211" i="3"/>
  <c r="AA207" i="3"/>
  <c r="AB206" i="3"/>
  <c r="I182" i="3"/>
  <c r="X182" i="3"/>
  <c r="H182" i="3"/>
  <c r="AB177" i="3"/>
  <c r="AA178" i="3"/>
  <c r="X140" i="3"/>
  <c r="H140" i="3"/>
  <c r="I140" i="3"/>
  <c r="AA136" i="3"/>
  <c r="AB135" i="3"/>
  <c r="H143" i="3"/>
  <c r="I143" i="3"/>
  <c r="X143" i="3"/>
  <c r="AA139" i="3"/>
  <c r="AB138" i="3"/>
  <c r="I144" i="3"/>
  <c r="X144" i="3"/>
  <c r="H144" i="3"/>
  <c r="AA140" i="3"/>
  <c r="AB139" i="3"/>
  <c r="AB123" i="3"/>
  <c r="AA124" i="3"/>
  <c r="AA39" i="3"/>
  <c r="AB38" i="3"/>
  <c r="X163" i="3"/>
  <c r="I163" i="3"/>
  <c r="H163" i="3"/>
  <c r="AA159" i="3"/>
  <c r="AB158" i="3"/>
  <c r="X112" i="3"/>
  <c r="H112" i="3"/>
  <c r="I112" i="3"/>
  <c r="H142" i="3"/>
  <c r="X142" i="3"/>
  <c r="I142" i="3"/>
  <c r="AA138" i="3"/>
  <c r="AB137" i="3"/>
  <c r="AB110" i="3"/>
  <c r="AA111" i="3"/>
  <c r="I64" i="3"/>
  <c r="X64" i="3"/>
  <c r="H64" i="3"/>
  <c r="H59" i="3"/>
  <c r="I59" i="3"/>
  <c r="X59" i="3"/>
  <c r="AB29" i="3"/>
  <c r="AA30" i="3"/>
  <c r="AB13" i="3"/>
  <c r="AA14" i="3"/>
  <c r="X122" i="3"/>
  <c r="H122" i="3"/>
  <c r="I122" i="3"/>
  <c r="AA118" i="3"/>
  <c r="AB117" i="3"/>
  <c r="X125" i="3"/>
  <c r="H125" i="3"/>
  <c r="I125" i="3"/>
  <c r="AB120" i="3"/>
  <c r="AA121" i="3"/>
  <c r="I77" i="3"/>
  <c r="X77" i="3"/>
  <c r="H77" i="3"/>
  <c r="AB72" i="3"/>
  <c r="AA73" i="3"/>
  <c r="H75" i="3"/>
  <c r="X75" i="3"/>
  <c r="I75" i="3"/>
  <c r="AB70" i="3"/>
  <c r="AA71" i="3"/>
  <c r="H78" i="3"/>
  <c r="X78" i="3"/>
  <c r="I78" i="3"/>
  <c r="AB73" i="3"/>
  <c r="AA74" i="3"/>
  <c r="AB14" i="3"/>
  <c r="AA15" i="3"/>
  <c r="I81" i="3"/>
  <c r="X81" i="3"/>
  <c r="H81" i="3"/>
  <c r="AB76" i="3"/>
  <c r="AA77" i="3"/>
  <c r="AB20" i="3"/>
  <c r="AA21" i="3"/>
  <c r="H84" i="3"/>
  <c r="X84" i="3"/>
  <c r="I84" i="3"/>
  <c r="AA80" i="3"/>
  <c r="AB79" i="3"/>
  <c r="I26" i="3"/>
  <c r="H26" i="3"/>
  <c r="X26" i="3"/>
  <c r="H87" i="3"/>
  <c r="X87" i="3"/>
  <c r="I87" i="3"/>
  <c r="AB82" i="3"/>
  <c r="AA83" i="3"/>
  <c r="AB32" i="3"/>
  <c r="AA33" i="3"/>
  <c r="I20" i="3"/>
  <c r="H20" i="3"/>
  <c r="X20" i="3"/>
  <c r="AA16" i="3"/>
  <c r="AB15" i="3"/>
  <c r="X23" i="3"/>
  <c r="H23" i="3"/>
  <c r="I23" i="3"/>
  <c r="AB18" i="3"/>
  <c r="AA19" i="3"/>
  <c r="X16" i="3"/>
  <c r="H16" i="3"/>
  <c r="I16" i="3"/>
  <c r="I14" i="3"/>
  <c r="X14" i="3"/>
  <c r="H14" i="3"/>
  <c r="AB960" i="3"/>
  <c r="AA961" i="3"/>
  <c r="AA973" i="3"/>
  <c r="AB972" i="3"/>
  <c r="X957" i="3"/>
  <c r="H957" i="3"/>
  <c r="I957" i="3"/>
  <c r="X1005" i="3"/>
  <c r="I1005" i="3"/>
  <c r="H1005" i="3"/>
  <c r="X964" i="3"/>
  <c r="I964" i="3"/>
  <c r="H964" i="3"/>
  <c r="AB959" i="3"/>
  <c r="AA960" i="3"/>
  <c r="X900" i="3"/>
  <c r="I900" i="3"/>
  <c r="H900" i="3"/>
  <c r="AB895" i="3"/>
  <c r="AA896" i="3"/>
  <c r="AB716" i="3"/>
  <c r="AA717" i="3"/>
  <c r="X951" i="3"/>
  <c r="H951" i="3"/>
  <c r="I951" i="3"/>
  <c r="AB946" i="3"/>
  <c r="AA947" i="3"/>
  <c r="X887" i="3"/>
  <c r="H887" i="3"/>
  <c r="I887" i="3"/>
  <c r="AB882" i="3"/>
  <c r="AA883" i="3"/>
  <c r="X861" i="3"/>
  <c r="H861" i="3"/>
  <c r="I861" i="3"/>
  <c r="AB674" i="3"/>
  <c r="AA675" i="3"/>
  <c r="X954" i="3"/>
  <c r="H954" i="3"/>
  <c r="I954" i="3"/>
  <c r="AA950" i="3"/>
  <c r="AB949" i="3"/>
  <c r="X890" i="3"/>
  <c r="I890" i="3"/>
  <c r="H890" i="3"/>
  <c r="AB885" i="3"/>
  <c r="AA886" i="3"/>
  <c r="AA785" i="3"/>
  <c r="AB784" i="3"/>
  <c r="X757" i="3"/>
  <c r="I757" i="3"/>
  <c r="H757" i="3"/>
  <c r="AB912" i="3"/>
  <c r="AA913" i="3"/>
  <c r="X952" i="3"/>
  <c r="I952" i="3"/>
  <c r="H952" i="3"/>
  <c r="AB947" i="3"/>
  <c r="AA948" i="3"/>
  <c r="X888" i="3"/>
  <c r="I888" i="3"/>
  <c r="H888" i="3"/>
  <c r="AB883" i="3"/>
  <c r="AA884" i="3"/>
  <c r="X865" i="3"/>
  <c r="H865" i="3"/>
  <c r="I865" i="3"/>
  <c r="X1003" i="3"/>
  <c r="H1003" i="3"/>
  <c r="I1003" i="3"/>
  <c r="AB998" i="3"/>
  <c r="AA999" i="3"/>
  <c r="X939" i="3"/>
  <c r="I939" i="3"/>
  <c r="H939" i="3"/>
  <c r="AB934" i="3"/>
  <c r="AA935" i="3"/>
  <c r="X875" i="3"/>
  <c r="I875" i="3"/>
  <c r="H875" i="3"/>
  <c r="AB870" i="3"/>
  <c r="AA871" i="3"/>
  <c r="X813" i="3"/>
  <c r="H813" i="3"/>
  <c r="I813" i="3"/>
  <c r="X990" i="3"/>
  <c r="H990" i="3"/>
  <c r="I990" i="3"/>
  <c r="AB985" i="3"/>
  <c r="AA986" i="3"/>
  <c r="X926" i="3"/>
  <c r="H926" i="3"/>
  <c r="I926" i="3"/>
  <c r="AB921" i="3"/>
  <c r="AA922" i="3"/>
  <c r="AA821" i="3"/>
  <c r="AB820" i="3"/>
  <c r="X761" i="3"/>
  <c r="H761" i="3"/>
  <c r="I761" i="3"/>
  <c r="X773" i="3"/>
  <c r="I773" i="3"/>
  <c r="H773" i="3"/>
  <c r="X828" i="3"/>
  <c r="H828" i="3"/>
  <c r="I828" i="3"/>
  <c r="AB823" i="3"/>
  <c r="AA824" i="3"/>
  <c r="X764" i="3"/>
  <c r="H764" i="3"/>
  <c r="I764" i="3"/>
  <c r="AA760" i="3"/>
  <c r="AB759" i="3"/>
  <c r="X700" i="3"/>
  <c r="H700" i="3"/>
  <c r="I700" i="3"/>
  <c r="AA696" i="3"/>
  <c r="AB695" i="3"/>
  <c r="X831" i="3"/>
  <c r="H831" i="3"/>
  <c r="I831" i="3"/>
  <c r="AB826" i="3"/>
  <c r="AA827" i="3"/>
  <c r="X767" i="3"/>
  <c r="H767" i="3"/>
  <c r="I767" i="3"/>
  <c r="AA763" i="3"/>
  <c r="AB762" i="3"/>
  <c r="X703" i="3"/>
  <c r="H703" i="3"/>
  <c r="I703" i="3"/>
  <c r="AB698" i="3"/>
  <c r="AA699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B709" i="3"/>
  <c r="AA710" i="3"/>
  <c r="X615" i="3"/>
  <c r="I615" i="3"/>
  <c r="H615" i="3"/>
  <c r="AA566" i="3"/>
  <c r="AB565" i="3"/>
  <c r="X864" i="3"/>
  <c r="H864" i="3"/>
  <c r="I864" i="3"/>
  <c r="AB859" i="3"/>
  <c r="AA860" i="3"/>
  <c r="X800" i="3"/>
  <c r="H800" i="3"/>
  <c r="I800" i="3"/>
  <c r="AB795" i="3"/>
  <c r="AA796" i="3"/>
  <c r="X736" i="3"/>
  <c r="H736" i="3"/>
  <c r="I736" i="3"/>
  <c r="AB731" i="3"/>
  <c r="AA732" i="3"/>
  <c r="X627" i="3"/>
  <c r="I627" i="3"/>
  <c r="H627" i="3"/>
  <c r="X867" i="3"/>
  <c r="H867" i="3"/>
  <c r="I867" i="3"/>
  <c r="AB862" i="3"/>
  <c r="AA863" i="3"/>
  <c r="X803" i="3"/>
  <c r="I803" i="3"/>
  <c r="H803" i="3"/>
  <c r="AA799" i="3"/>
  <c r="AB798" i="3"/>
  <c r="X739" i="3"/>
  <c r="I739" i="3"/>
  <c r="H739" i="3"/>
  <c r="AB734" i="3"/>
  <c r="AA735" i="3"/>
  <c r="X639" i="3"/>
  <c r="I639" i="3"/>
  <c r="H639" i="3"/>
  <c r="AB865" i="3"/>
  <c r="AA866" i="3"/>
  <c r="X806" i="3"/>
  <c r="H806" i="3"/>
  <c r="I806" i="3"/>
  <c r="AB801" i="3"/>
  <c r="AC801" i="3" s="1"/>
  <c r="AA802" i="3"/>
  <c r="X742" i="3"/>
  <c r="H742" i="3"/>
  <c r="I742" i="3"/>
  <c r="AB737" i="3"/>
  <c r="AA738" i="3"/>
  <c r="X651" i="3"/>
  <c r="I651" i="3"/>
  <c r="H651" i="3"/>
  <c r="X631" i="3"/>
  <c r="H631" i="3"/>
  <c r="I631" i="3"/>
  <c r="X658" i="3"/>
  <c r="H658" i="3"/>
  <c r="I658" i="3"/>
  <c r="AB653" i="3"/>
  <c r="AA654" i="3"/>
  <c r="AC654" i="3" s="1"/>
  <c r="AA689" i="3"/>
  <c r="AB688" i="3"/>
  <c r="X629" i="3"/>
  <c r="I629" i="3"/>
  <c r="H629" i="3"/>
  <c r="AB624" i="3"/>
  <c r="AA625" i="3"/>
  <c r="X562" i="3"/>
  <c r="H562" i="3"/>
  <c r="I562" i="3"/>
  <c r="AB376" i="3"/>
  <c r="AC376" i="3" s="1"/>
  <c r="AA377" i="3"/>
  <c r="X680" i="3"/>
  <c r="H680" i="3"/>
  <c r="I680" i="3"/>
  <c r="AA676" i="3"/>
  <c r="AB675" i="3"/>
  <c r="X616" i="3"/>
  <c r="I616" i="3"/>
  <c r="H616" i="3"/>
  <c r="AA612" i="3"/>
  <c r="AB611" i="3"/>
  <c r="AB569" i="3"/>
  <c r="AA570" i="3"/>
  <c r="X646" i="3"/>
  <c r="H646" i="3"/>
  <c r="I646" i="3"/>
  <c r="AB641" i="3"/>
  <c r="AA642" i="3"/>
  <c r="X657" i="3"/>
  <c r="I657" i="3"/>
  <c r="H657" i="3"/>
  <c r="AB652" i="3"/>
  <c r="AA653" i="3"/>
  <c r="AB687" i="3"/>
  <c r="AA688" i="3"/>
  <c r="X628" i="3"/>
  <c r="I628" i="3"/>
  <c r="H628" i="3"/>
  <c r="AB623" i="3"/>
  <c r="AA624" i="3"/>
  <c r="X558" i="3"/>
  <c r="I558" i="3"/>
  <c r="H558" i="3"/>
  <c r="X565" i="3"/>
  <c r="I565" i="3"/>
  <c r="H565" i="3"/>
  <c r="AA561" i="3"/>
  <c r="AB560" i="3"/>
  <c r="AB424" i="3"/>
  <c r="AA425" i="3"/>
  <c r="X600" i="3"/>
  <c r="I600" i="3"/>
  <c r="H600" i="3"/>
  <c r="AA596" i="3"/>
  <c r="AB595" i="3"/>
  <c r="X536" i="3"/>
  <c r="H536" i="3"/>
  <c r="I536" i="3"/>
  <c r="AB531" i="3"/>
  <c r="AA532" i="3"/>
  <c r="X486" i="3"/>
  <c r="H486" i="3"/>
  <c r="I486" i="3"/>
  <c r="X571" i="3"/>
  <c r="H571" i="3"/>
  <c r="I571" i="3"/>
  <c r="AB566" i="3"/>
  <c r="AC566" i="3" s="1"/>
  <c r="AA567" i="3"/>
  <c r="I333" i="3"/>
  <c r="H333" i="3"/>
  <c r="X333" i="3"/>
  <c r="X577" i="3"/>
  <c r="I577" i="3"/>
  <c r="H577" i="3"/>
  <c r="AB572" i="3"/>
  <c r="AC572" i="3" s="1"/>
  <c r="AA573" i="3"/>
  <c r="AA454" i="3"/>
  <c r="AB453" i="3"/>
  <c r="X564" i="3"/>
  <c r="I564" i="3"/>
  <c r="H564" i="3"/>
  <c r="AA560" i="3"/>
  <c r="AB559" i="3"/>
  <c r="AB408" i="3"/>
  <c r="AA409" i="3"/>
  <c r="X575" i="3"/>
  <c r="I575" i="3"/>
  <c r="H575" i="3"/>
  <c r="AA571" i="3"/>
  <c r="AB570" i="3"/>
  <c r="X522" i="3"/>
  <c r="H522" i="3"/>
  <c r="I522" i="3"/>
  <c r="X481" i="3"/>
  <c r="I481" i="3"/>
  <c r="H481" i="3"/>
  <c r="AB476" i="3"/>
  <c r="AA477" i="3"/>
  <c r="X393" i="3"/>
  <c r="H393" i="3"/>
  <c r="I393" i="3"/>
  <c r="H492" i="3"/>
  <c r="I492" i="3"/>
  <c r="X492" i="3"/>
  <c r="AB487" i="3"/>
  <c r="AA488" i="3"/>
  <c r="X437" i="3"/>
  <c r="I437" i="3"/>
  <c r="H437" i="3"/>
  <c r="X503" i="3"/>
  <c r="I503" i="3"/>
  <c r="H503" i="3"/>
  <c r="AA499" i="3"/>
  <c r="AB498" i="3"/>
  <c r="X509" i="3"/>
  <c r="I509" i="3"/>
  <c r="H509" i="3"/>
  <c r="AA505" i="3"/>
  <c r="AB504" i="3"/>
  <c r="AC504" i="3" s="1"/>
  <c r="X520" i="3"/>
  <c r="I520" i="3"/>
  <c r="H520" i="3"/>
  <c r="AA516" i="3"/>
  <c r="AB515" i="3"/>
  <c r="AC515" i="3" s="1"/>
  <c r="H456" i="3"/>
  <c r="I456" i="3"/>
  <c r="X456" i="3"/>
  <c r="AB526" i="3"/>
  <c r="AA527" i="3"/>
  <c r="I467" i="3"/>
  <c r="H467" i="3"/>
  <c r="X467" i="3"/>
  <c r="AA463" i="3"/>
  <c r="AB462" i="3"/>
  <c r="AB396" i="3"/>
  <c r="AA397" i="3"/>
  <c r="X400" i="3"/>
  <c r="H400" i="3"/>
  <c r="I400" i="3"/>
  <c r="AB395" i="3"/>
  <c r="AA396" i="3"/>
  <c r="H345" i="3"/>
  <c r="X345" i="3"/>
  <c r="I345" i="3"/>
  <c r="X411" i="3"/>
  <c r="H411" i="3"/>
  <c r="I411" i="3"/>
  <c r="AB406" i="3"/>
  <c r="AA407" i="3"/>
  <c r="AA281" i="3"/>
  <c r="AB280" i="3"/>
  <c r="H422" i="3"/>
  <c r="I422" i="3"/>
  <c r="X422" i="3"/>
  <c r="AB417" i="3"/>
  <c r="AA418" i="3"/>
  <c r="H428" i="3"/>
  <c r="I428" i="3"/>
  <c r="X428" i="3"/>
  <c r="AB423" i="3"/>
  <c r="AA424" i="3"/>
  <c r="X237" i="3"/>
  <c r="H237" i="3"/>
  <c r="I237" i="3"/>
  <c r="X439" i="3"/>
  <c r="H439" i="3"/>
  <c r="I439" i="3"/>
  <c r="AB434" i="3"/>
  <c r="AA435" i="3"/>
  <c r="I375" i="3"/>
  <c r="H375" i="3"/>
  <c r="X375" i="3"/>
  <c r="AA305" i="3"/>
  <c r="AB304" i="3"/>
  <c r="H426" i="3"/>
  <c r="X426" i="3"/>
  <c r="I426" i="3"/>
  <c r="AB421" i="3"/>
  <c r="AA422" i="3"/>
  <c r="I193" i="3"/>
  <c r="X193" i="3"/>
  <c r="H193" i="3"/>
  <c r="H312" i="3"/>
  <c r="I312" i="3"/>
  <c r="X312" i="3"/>
  <c r="AA308" i="3"/>
  <c r="AB307" i="3"/>
  <c r="AB228" i="3"/>
  <c r="AA229" i="3"/>
  <c r="H323" i="3"/>
  <c r="X323" i="3"/>
  <c r="I323" i="3"/>
  <c r="AA319" i="3"/>
  <c r="AB318" i="3"/>
  <c r="AB272" i="3"/>
  <c r="AA273" i="3"/>
  <c r="H213" i="3"/>
  <c r="X213" i="3"/>
  <c r="I213" i="3"/>
  <c r="AA370" i="3"/>
  <c r="AB369" i="3"/>
  <c r="H310" i="3"/>
  <c r="X310" i="3"/>
  <c r="I310" i="3"/>
  <c r="AA306" i="3"/>
  <c r="AB305" i="3"/>
  <c r="AA221" i="3"/>
  <c r="AB220" i="3"/>
  <c r="I316" i="3"/>
  <c r="H316" i="3"/>
  <c r="X316" i="3"/>
  <c r="AA312" i="3"/>
  <c r="AB311" i="3"/>
  <c r="AB244" i="3"/>
  <c r="AA245" i="3"/>
  <c r="H327" i="3"/>
  <c r="I327" i="3"/>
  <c r="X327" i="3"/>
  <c r="AB322" i="3"/>
  <c r="AA323" i="3"/>
  <c r="H297" i="3"/>
  <c r="I297" i="3"/>
  <c r="X297" i="3"/>
  <c r="I229" i="3"/>
  <c r="X229" i="3"/>
  <c r="H229" i="3"/>
  <c r="AB373" i="3"/>
  <c r="AC373" i="3" s="1"/>
  <c r="AA374" i="3"/>
  <c r="H314" i="3"/>
  <c r="X314" i="3"/>
  <c r="I314" i="3"/>
  <c r="AB309" i="3"/>
  <c r="AA310" i="3"/>
  <c r="AB291" i="3"/>
  <c r="AA292" i="3"/>
  <c r="AA237" i="3"/>
  <c r="AB236" i="3"/>
  <c r="H153" i="3"/>
  <c r="I153" i="3"/>
  <c r="X153" i="3"/>
  <c r="AB283" i="3"/>
  <c r="AA284" i="3"/>
  <c r="X224" i="3"/>
  <c r="H224" i="3"/>
  <c r="I224" i="3"/>
  <c r="AA220" i="3"/>
  <c r="AB219" i="3"/>
  <c r="I251" i="3"/>
  <c r="X251" i="3"/>
  <c r="H251" i="3"/>
  <c r="AB246" i="3"/>
  <c r="AA247" i="3"/>
  <c r="AA181" i="3"/>
  <c r="AB180" i="3"/>
  <c r="X270" i="3"/>
  <c r="H270" i="3"/>
  <c r="I270" i="3"/>
  <c r="AB265" i="3"/>
  <c r="AA266" i="3"/>
  <c r="I197" i="3"/>
  <c r="H197" i="3"/>
  <c r="X197" i="3"/>
  <c r="H276" i="3"/>
  <c r="I276" i="3"/>
  <c r="X276" i="3"/>
  <c r="AA272" i="3"/>
  <c r="AB271" i="3"/>
  <c r="H287" i="3"/>
  <c r="X287" i="3"/>
  <c r="I287" i="3"/>
  <c r="AA283" i="3"/>
  <c r="AB282" i="3"/>
  <c r="H223" i="3"/>
  <c r="X223" i="3"/>
  <c r="I223" i="3"/>
  <c r="AA219" i="3"/>
  <c r="AB218" i="3"/>
  <c r="H298" i="3"/>
  <c r="X298" i="3"/>
  <c r="I298" i="3"/>
  <c r="AA294" i="3"/>
  <c r="AB293" i="3"/>
  <c r="I234" i="3"/>
  <c r="X234" i="3"/>
  <c r="H234" i="3"/>
  <c r="AA230" i="3"/>
  <c r="AB229" i="3"/>
  <c r="I167" i="3"/>
  <c r="X167" i="3"/>
  <c r="H167" i="3"/>
  <c r="X170" i="3"/>
  <c r="H170" i="3"/>
  <c r="I170" i="3"/>
  <c r="AB164" i="3"/>
  <c r="AA165" i="3"/>
  <c r="X200" i="3"/>
  <c r="H200" i="3"/>
  <c r="I200" i="3"/>
  <c r="AA196" i="3"/>
  <c r="AB195" i="3"/>
  <c r="H165" i="3"/>
  <c r="X165" i="3"/>
  <c r="I165" i="3"/>
  <c r="I156" i="3"/>
  <c r="X156" i="3"/>
  <c r="H156" i="3"/>
  <c r="AB107" i="3"/>
  <c r="AA108" i="3"/>
  <c r="H171" i="3"/>
  <c r="I171" i="3"/>
  <c r="X171" i="3"/>
  <c r="AB157" i="3"/>
  <c r="AA158" i="3"/>
  <c r="X113" i="3"/>
  <c r="H113" i="3"/>
  <c r="I113" i="3"/>
  <c r="H206" i="3"/>
  <c r="X206" i="3"/>
  <c r="I206" i="3"/>
  <c r="AB201" i="3"/>
  <c r="AA202" i="3"/>
  <c r="H141" i="3"/>
  <c r="I141" i="3"/>
  <c r="X141" i="3"/>
  <c r="H120" i="3"/>
  <c r="I120" i="3"/>
  <c r="X120" i="3"/>
  <c r="H130" i="3"/>
  <c r="X130" i="3"/>
  <c r="I130" i="3"/>
  <c r="I115" i="3"/>
  <c r="H115" i="3"/>
  <c r="X115" i="3"/>
  <c r="I100" i="3"/>
  <c r="X100" i="3"/>
  <c r="H100" i="3"/>
  <c r="AB163" i="3"/>
  <c r="AA164" i="3"/>
  <c r="I166" i="3"/>
  <c r="X166" i="3"/>
  <c r="H166" i="3"/>
  <c r="AA162" i="3"/>
  <c r="AB161" i="3"/>
  <c r="AB118" i="3"/>
  <c r="AA119" i="3"/>
  <c r="I94" i="3"/>
  <c r="X94" i="3"/>
  <c r="H94" i="3"/>
  <c r="AB54" i="3"/>
  <c r="AA55" i="3"/>
  <c r="I105" i="3"/>
  <c r="X105" i="3"/>
  <c r="H105" i="3"/>
  <c r="AB100" i="3"/>
  <c r="AC100" i="3" s="1"/>
  <c r="AA101" i="3"/>
  <c r="I103" i="3"/>
  <c r="X103" i="3"/>
  <c r="H103" i="3"/>
  <c r="AB98" i="3"/>
  <c r="AA99" i="3"/>
  <c r="AA76" i="3"/>
  <c r="AB75" i="3"/>
  <c r="AB61" i="3"/>
  <c r="AA62" i="3"/>
  <c r="AB60" i="3"/>
  <c r="AA61" i="3"/>
  <c r="AB56" i="3"/>
  <c r="AC56" i="3" s="1"/>
  <c r="AA57" i="3"/>
  <c r="AB62" i="3"/>
  <c r="AA63" i="3"/>
  <c r="X21" i="3"/>
  <c r="H21" i="3"/>
  <c r="I21" i="3"/>
  <c r="H44" i="3"/>
  <c r="I44" i="3"/>
  <c r="X44" i="3"/>
  <c r="AB39" i="3"/>
  <c r="AA40" i="3"/>
  <c r="H47" i="3"/>
  <c r="X47" i="3"/>
  <c r="I47" i="3"/>
  <c r="AB42" i="3"/>
  <c r="AA43" i="3"/>
  <c r="X40" i="3"/>
  <c r="H40" i="3"/>
  <c r="I40" i="3"/>
  <c r="AB35" i="3"/>
  <c r="AC35" i="3" s="1"/>
  <c r="AA36" i="3"/>
  <c r="X38" i="3"/>
  <c r="H38" i="3"/>
  <c r="I38" i="3"/>
  <c r="AB33" i="3"/>
  <c r="AA34" i="3"/>
  <c r="X929" i="3"/>
  <c r="I929" i="3"/>
  <c r="H929" i="3"/>
  <c r="AB999" i="3"/>
  <c r="AA1000" i="3"/>
  <c r="X940" i="3"/>
  <c r="I940" i="3"/>
  <c r="H940" i="3"/>
  <c r="AB986" i="3"/>
  <c r="AA987" i="3"/>
  <c r="AA923" i="3"/>
  <c r="AB922" i="3"/>
  <c r="AB989" i="3"/>
  <c r="AA990" i="3"/>
  <c r="AB925" i="3"/>
  <c r="AA926" i="3"/>
  <c r="AA837" i="3"/>
  <c r="AB836" i="3"/>
  <c r="X777" i="3"/>
  <c r="H777" i="3"/>
  <c r="I777" i="3"/>
  <c r="AB987" i="3"/>
  <c r="AA988" i="3"/>
  <c r="X928" i="3"/>
  <c r="H928" i="3"/>
  <c r="I928" i="3"/>
  <c r="X743" i="3"/>
  <c r="I743" i="3"/>
  <c r="H743" i="3"/>
  <c r="X924" i="3"/>
  <c r="H924" i="3"/>
  <c r="I924" i="3"/>
  <c r="AA813" i="3"/>
  <c r="AB812" i="3"/>
  <c r="AB970" i="3"/>
  <c r="AA971" i="3"/>
  <c r="AA907" i="3"/>
  <c r="AB906" i="3"/>
  <c r="AB760" i="3"/>
  <c r="AA761" i="3"/>
  <c r="X701" i="3"/>
  <c r="I701" i="3"/>
  <c r="H701" i="3"/>
  <c r="X913" i="3"/>
  <c r="I913" i="3"/>
  <c r="H913" i="3"/>
  <c r="X978" i="3"/>
  <c r="I978" i="3"/>
  <c r="H978" i="3"/>
  <c r="AB973" i="3"/>
  <c r="AA974" i="3"/>
  <c r="X914" i="3"/>
  <c r="H914" i="3"/>
  <c r="I914" i="3"/>
  <c r="AB909" i="3"/>
  <c r="AA910" i="3"/>
  <c r="X713" i="3"/>
  <c r="H713" i="3"/>
  <c r="I713" i="3"/>
  <c r="X821" i="3"/>
  <c r="H821" i="3"/>
  <c r="I821" i="3"/>
  <c r="X925" i="3"/>
  <c r="I925" i="3"/>
  <c r="H925" i="3"/>
  <c r="X976" i="3"/>
  <c r="H976" i="3"/>
  <c r="I976" i="3"/>
  <c r="AB971" i="3"/>
  <c r="AA972" i="3"/>
  <c r="X912" i="3"/>
  <c r="I912" i="3"/>
  <c r="H912" i="3"/>
  <c r="AA908" i="3"/>
  <c r="AB907" i="3"/>
  <c r="AB764" i="3"/>
  <c r="AA765" i="3"/>
  <c r="X705" i="3"/>
  <c r="I705" i="3"/>
  <c r="H705" i="3"/>
  <c r="X917" i="3"/>
  <c r="H917" i="3"/>
  <c r="I917" i="3"/>
  <c r="AA881" i="3"/>
  <c r="AB880" i="3"/>
  <c r="X963" i="3"/>
  <c r="I963" i="3"/>
  <c r="H963" i="3"/>
  <c r="AB958" i="3"/>
  <c r="AA959" i="3"/>
  <c r="X899" i="3"/>
  <c r="I899" i="3"/>
  <c r="H899" i="3"/>
  <c r="AA895" i="3"/>
  <c r="AB894" i="3"/>
  <c r="AA870" i="3"/>
  <c r="AB869" i="3"/>
  <c r="AA713" i="3"/>
  <c r="AB712" i="3"/>
  <c r="X950" i="3"/>
  <c r="I950" i="3"/>
  <c r="H950" i="3"/>
  <c r="AA946" i="3"/>
  <c r="AB945" i="3"/>
  <c r="X886" i="3"/>
  <c r="I886" i="3"/>
  <c r="H886" i="3"/>
  <c r="AA882" i="3"/>
  <c r="AB881" i="3"/>
  <c r="X857" i="3"/>
  <c r="H857" i="3"/>
  <c r="I857" i="3"/>
  <c r="AA659" i="3"/>
  <c r="AB658" i="3"/>
  <c r="AC658" i="3" s="1"/>
  <c r="AB832" i="3"/>
  <c r="AA833" i="3"/>
  <c r="X709" i="3"/>
  <c r="I709" i="3"/>
  <c r="H709" i="3"/>
  <c r="X852" i="3"/>
  <c r="I852" i="3"/>
  <c r="H852" i="3"/>
  <c r="AB847" i="3"/>
  <c r="AA848" i="3"/>
  <c r="X788" i="3"/>
  <c r="H788" i="3"/>
  <c r="I788" i="3"/>
  <c r="AA784" i="3"/>
  <c r="AB783" i="3"/>
  <c r="X724" i="3"/>
  <c r="H724" i="3"/>
  <c r="I724" i="3"/>
  <c r="AB719" i="3"/>
  <c r="AA720" i="3"/>
  <c r="AB638" i="3"/>
  <c r="AA639" i="3"/>
  <c r="X855" i="3"/>
  <c r="I855" i="3"/>
  <c r="H855" i="3"/>
  <c r="AB850" i="3"/>
  <c r="AA851" i="3"/>
  <c r="X791" i="3"/>
  <c r="I791" i="3"/>
  <c r="H791" i="3"/>
  <c r="AB786" i="3"/>
  <c r="AA787" i="3"/>
  <c r="X727" i="3"/>
  <c r="I727" i="3"/>
  <c r="H727" i="3"/>
  <c r="AA723" i="3"/>
  <c r="AB722" i="3"/>
  <c r="AA651" i="3"/>
  <c r="AB650" i="3"/>
  <c r="X866" i="3"/>
  <c r="I866" i="3"/>
  <c r="H866" i="3"/>
  <c r="AA862" i="3"/>
  <c r="AB861" i="3"/>
  <c r="X802" i="3"/>
  <c r="H802" i="3"/>
  <c r="I802" i="3"/>
  <c r="AB797" i="3"/>
  <c r="AA798" i="3"/>
  <c r="X738" i="3"/>
  <c r="H738" i="3"/>
  <c r="I738" i="3"/>
  <c r="AA734" i="3"/>
  <c r="AB733" i="3"/>
  <c r="X635" i="3"/>
  <c r="H635" i="3"/>
  <c r="I635" i="3"/>
  <c r="X824" i="3"/>
  <c r="H824" i="3"/>
  <c r="I824" i="3"/>
  <c r="AA820" i="3"/>
  <c r="AB819" i="3"/>
  <c r="X760" i="3"/>
  <c r="I760" i="3"/>
  <c r="H760" i="3"/>
  <c r="AB755" i="3"/>
  <c r="AA756" i="3"/>
  <c r="X696" i="3"/>
  <c r="I696" i="3"/>
  <c r="H696" i="3"/>
  <c r="AA692" i="3"/>
  <c r="AB691" i="3"/>
  <c r="X827" i="3"/>
  <c r="I827" i="3"/>
  <c r="H827" i="3"/>
  <c r="AA823" i="3"/>
  <c r="AB822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A698" i="3"/>
  <c r="AB697" i="3"/>
  <c r="X682" i="3"/>
  <c r="H682" i="3"/>
  <c r="I682" i="3"/>
  <c r="AB677" i="3"/>
  <c r="AA678" i="3"/>
  <c r="X618" i="3"/>
  <c r="H618" i="3"/>
  <c r="I618" i="3"/>
  <c r="AB613" i="3"/>
  <c r="AA614" i="3"/>
  <c r="AA578" i="3"/>
  <c r="AB577" i="3"/>
  <c r="X653" i="3"/>
  <c r="H653" i="3"/>
  <c r="I653" i="3"/>
  <c r="AB648" i="3"/>
  <c r="AA649" i="3"/>
  <c r="X640" i="3"/>
  <c r="I640" i="3"/>
  <c r="H640" i="3"/>
  <c r="AB635" i="3"/>
  <c r="AA636" i="3"/>
  <c r="X670" i="3"/>
  <c r="H670" i="3"/>
  <c r="I670" i="3"/>
  <c r="AB665" i="3"/>
  <c r="AA666" i="3"/>
  <c r="X606" i="3"/>
  <c r="H606" i="3"/>
  <c r="I606" i="3"/>
  <c r="X681" i="3"/>
  <c r="I681" i="3"/>
  <c r="H681" i="3"/>
  <c r="AB676" i="3"/>
  <c r="AA677" i="3"/>
  <c r="X617" i="3"/>
  <c r="I617" i="3"/>
  <c r="H617" i="3"/>
  <c r="AB612" i="3"/>
  <c r="AA613" i="3"/>
  <c r="AB573" i="3"/>
  <c r="AA574" i="3"/>
  <c r="X652" i="3"/>
  <c r="I652" i="3"/>
  <c r="H652" i="3"/>
  <c r="AB647" i="3"/>
  <c r="AA648" i="3"/>
  <c r="X589" i="3"/>
  <c r="I589" i="3"/>
  <c r="H589" i="3"/>
  <c r="AB584" i="3"/>
  <c r="AA585" i="3"/>
  <c r="AA502" i="3"/>
  <c r="AB501" i="3"/>
  <c r="X560" i="3"/>
  <c r="H560" i="3"/>
  <c r="I560" i="3"/>
  <c r="AA556" i="3"/>
  <c r="AB555" i="3"/>
  <c r="X595" i="3"/>
  <c r="H595" i="3"/>
  <c r="I595" i="3"/>
  <c r="AB590" i="3"/>
  <c r="AA591" i="3"/>
  <c r="X531" i="3"/>
  <c r="H531" i="3"/>
  <c r="I531" i="3"/>
  <c r="H466" i="3"/>
  <c r="X466" i="3"/>
  <c r="I466" i="3"/>
  <c r="X601" i="3"/>
  <c r="H601" i="3"/>
  <c r="I601" i="3"/>
  <c r="AB596" i="3"/>
  <c r="AA597" i="3"/>
  <c r="X537" i="3"/>
  <c r="H537" i="3"/>
  <c r="I537" i="3"/>
  <c r="AB532" i="3"/>
  <c r="AA533" i="3"/>
  <c r="X490" i="3"/>
  <c r="I490" i="3"/>
  <c r="H490" i="3"/>
  <c r="X588" i="3"/>
  <c r="H588" i="3"/>
  <c r="I588" i="3"/>
  <c r="AB583" i="3"/>
  <c r="AA584" i="3"/>
  <c r="AB497" i="3"/>
  <c r="AA498" i="3"/>
  <c r="X599" i="3"/>
  <c r="I599" i="3"/>
  <c r="H599" i="3"/>
  <c r="AA595" i="3"/>
  <c r="AB594" i="3"/>
  <c r="X535" i="3"/>
  <c r="I535" i="3"/>
  <c r="H535" i="3"/>
  <c r="AA531" i="3"/>
  <c r="AB530" i="3"/>
  <c r="X482" i="3"/>
  <c r="I482" i="3"/>
  <c r="H482" i="3"/>
  <c r="X505" i="3"/>
  <c r="H505" i="3"/>
  <c r="I505" i="3"/>
  <c r="AA501" i="3"/>
  <c r="AB500" i="3"/>
  <c r="X516" i="3"/>
  <c r="H516" i="3"/>
  <c r="I516" i="3"/>
  <c r="AA512" i="3"/>
  <c r="AB511" i="3"/>
  <c r="I452" i="3"/>
  <c r="H452" i="3"/>
  <c r="X452" i="3"/>
  <c r="H463" i="3"/>
  <c r="I463" i="3"/>
  <c r="X463" i="3"/>
  <c r="AB458" i="3"/>
  <c r="AA459" i="3"/>
  <c r="AB380" i="3"/>
  <c r="AA381" i="3"/>
  <c r="AA529" i="3"/>
  <c r="AB528" i="3"/>
  <c r="I469" i="3"/>
  <c r="X469" i="3"/>
  <c r="H469" i="3"/>
  <c r="AB464" i="3"/>
  <c r="AA465" i="3"/>
  <c r="AA405" i="3"/>
  <c r="AB404" i="3"/>
  <c r="X480" i="3"/>
  <c r="H480" i="3"/>
  <c r="I480" i="3"/>
  <c r="AB475" i="3"/>
  <c r="AA476" i="3"/>
  <c r="AA449" i="3"/>
  <c r="AB448" i="3"/>
  <c r="X389" i="3"/>
  <c r="H389" i="3"/>
  <c r="I389" i="3"/>
  <c r="AB360" i="3"/>
  <c r="AA361" i="3"/>
  <c r="X491" i="3"/>
  <c r="I491" i="3"/>
  <c r="H491" i="3"/>
  <c r="AB486" i="3"/>
  <c r="AA487" i="3"/>
  <c r="I433" i="3"/>
  <c r="H433" i="3"/>
  <c r="X433" i="3"/>
  <c r="H424" i="3"/>
  <c r="I424" i="3"/>
  <c r="X424" i="3"/>
  <c r="AA420" i="3"/>
  <c r="AB419" i="3"/>
  <c r="I435" i="3"/>
  <c r="X435" i="3"/>
  <c r="H435" i="3"/>
  <c r="AA431" i="3"/>
  <c r="AB430" i="3"/>
  <c r="X446" i="3"/>
  <c r="I446" i="3"/>
  <c r="H446" i="3"/>
  <c r="AA442" i="3"/>
  <c r="AB441" i="3"/>
  <c r="H382" i="3"/>
  <c r="I382" i="3"/>
  <c r="X382" i="3"/>
  <c r="AB377" i="3"/>
  <c r="AA378" i="3"/>
  <c r="AB332" i="3"/>
  <c r="AA333" i="3"/>
  <c r="AB447" i="3"/>
  <c r="AA448" i="3"/>
  <c r="H388" i="3"/>
  <c r="X388" i="3"/>
  <c r="I388" i="3"/>
  <c r="AA384" i="3"/>
  <c r="AB383" i="3"/>
  <c r="AA357" i="3"/>
  <c r="AB356" i="3"/>
  <c r="AA297" i="3"/>
  <c r="AB296" i="3"/>
  <c r="H399" i="3"/>
  <c r="I399" i="3"/>
  <c r="X399" i="3"/>
  <c r="AB394" i="3"/>
  <c r="AA395" i="3"/>
  <c r="H341" i="3"/>
  <c r="I341" i="3"/>
  <c r="X341" i="3"/>
  <c r="H450" i="3"/>
  <c r="X450" i="3"/>
  <c r="I450" i="3"/>
  <c r="AA446" i="3"/>
  <c r="AB445" i="3"/>
  <c r="H386" i="3"/>
  <c r="I386" i="3"/>
  <c r="X386" i="3"/>
  <c r="AB381" i="3"/>
  <c r="AA382" i="3"/>
  <c r="AA349" i="3"/>
  <c r="AB348" i="3"/>
  <c r="I336" i="3"/>
  <c r="H336" i="3"/>
  <c r="X336" i="3"/>
  <c r="AB331" i="3"/>
  <c r="AA332" i="3"/>
  <c r="X265" i="3"/>
  <c r="I265" i="3"/>
  <c r="H265" i="3"/>
  <c r="X347" i="3"/>
  <c r="I347" i="3"/>
  <c r="H347" i="3"/>
  <c r="AA343" i="3"/>
  <c r="AB342" i="3"/>
  <c r="AA289" i="3"/>
  <c r="AB288" i="3"/>
  <c r="H334" i="3"/>
  <c r="X334" i="3"/>
  <c r="I334" i="3"/>
  <c r="AA330" i="3"/>
  <c r="AB329" i="3"/>
  <c r="H257" i="3"/>
  <c r="X257" i="3"/>
  <c r="I257" i="3"/>
  <c r="H340" i="3"/>
  <c r="X340" i="3"/>
  <c r="I340" i="3"/>
  <c r="AB335" i="3"/>
  <c r="AA336" i="3"/>
  <c r="I281" i="3"/>
  <c r="X281" i="3"/>
  <c r="H281" i="3"/>
  <c r="H351" i="3"/>
  <c r="I351" i="3"/>
  <c r="X351" i="3"/>
  <c r="AA347" i="3"/>
  <c r="AB346" i="3"/>
  <c r="X338" i="3"/>
  <c r="H338" i="3"/>
  <c r="I338" i="3"/>
  <c r="AB333" i="3"/>
  <c r="AA334" i="3"/>
  <c r="X273" i="3"/>
  <c r="H273" i="3"/>
  <c r="I273" i="3"/>
  <c r="H248" i="3"/>
  <c r="I248" i="3"/>
  <c r="X248" i="3"/>
  <c r="AA244" i="3"/>
  <c r="AB243" i="3"/>
  <c r="AB168" i="3"/>
  <c r="AA169" i="3"/>
  <c r="I275" i="3"/>
  <c r="H275" i="3"/>
  <c r="X275" i="3"/>
  <c r="AA271" i="3"/>
  <c r="AB270" i="3"/>
  <c r="X209" i="3"/>
  <c r="H209" i="3"/>
  <c r="I209" i="3"/>
  <c r="H230" i="3"/>
  <c r="I230" i="3"/>
  <c r="X230" i="3"/>
  <c r="AB225" i="3"/>
  <c r="AA226" i="3"/>
  <c r="AA296" i="3"/>
  <c r="AB295" i="3"/>
  <c r="X236" i="3"/>
  <c r="H236" i="3"/>
  <c r="I236" i="3"/>
  <c r="AB231" i="3"/>
  <c r="AA232" i="3"/>
  <c r="H247" i="3"/>
  <c r="I247" i="3"/>
  <c r="X247" i="3"/>
  <c r="AB242" i="3"/>
  <c r="AA243" i="3"/>
  <c r="AB212" i="3"/>
  <c r="AA213" i="3"/>
  <c r="X258" i="3"/>
  <c r="H258" i="3"/>
  <c r="I258" i="3"/>
  <c r="AA254" i="3"/>
  <c r="AB253" i="3"/>
  <c r="H172" i="3"/>
  <c r="I172" i="3"/>
  <c r="X172" i="3"/>
  <c r="AB167" i="3"/>
  <c r="AA168" i="3"/>
  <c r="AB159" i="3"/>
  <c r="AA160" i="3"/>
  <c r="X121" i="3"/>
  <c r="H121" i="3"/>
  <c r="I121" i="3"/>
  <c r="I191" i="3"/>
  <c r="H191" i="3"/>
  <c r="X191" i="3"/>
  <c r="AB186" i="3"/>
  <c r="AA187" i="3"/>
  <c r="AA141" i="3"/>
  <c r="AB140" i="3"/>
  <c r="I194" i="3"/>
  <c r="X194" i="3"/>
  <c r="H194" i="3"/>
  <c r="AB189" i="3"/>
  <c r="AA190" i="3"/>
  <c r="AA153" i="3"/>
  <c r="AB152" i="3"/>
  <c r="H195" i="3"/>
  <c r="X195" i="3"/>
  <c r="I195" i="3"/>
  <c r="AB190" i="3"/>
  <c r="AA191" i="3"/>
  <c r="H157" i="3"/>
  <c r="I157" i="3"/>
  <c r="X157" i="3"/>
  <c r="I127" i="3"/>
  <c r="X127" i="3"/>
  <c r="H127" i="3"/>
  <c r="I154" i="3"/>
  <c r="H154" i="3"/>
  <c r="X154" i="3"/>
  <c r="AB149" i="3"/>
  <c r="AA150" i="3"/>
  <c r="X43" i="3"/>
  <c r="H43" i="3"/>
  <c r="I43" i="3"/>
  <c r="H128" i="3"/>
  <c r="I128" i="3"/>
  <c r="X128" i="3"/>
  <c r="AA112" i="3"/>
  <c r="AB111" i="3"/>
  <c r="I92" i="3"/>
  <c r="X92" i="3"/>
  <c r="H92" i="3"/>
  <c r="I147" i="3"/>
  <c r="X147" i="3"/>
  <c r="H147" i="3"/>
  <c r="AB142" i="3"/>
  <c r="AA143" i="3"/>
  <c r="H99" i="3"/>
  <c r="X99" i="3"/>
  <c r="I99" i="3"/>
  <c r="AA95" i="3"/>
  <c r="AB94" i="3"/>
  <c r="AA90" i="3"/>
  <c r="AB89" i="3"/>
  <c r="H118" i="3"/>
  <c r="X118" i="3"/>
  <c r="I118" i="3"/>
  <c r="AB113" i="3"/>
  <c r="AA114" i="3"/>
  <c r="AA81" i="3"/>
  <c r="AB80" i="3"/>
  <c r="AB122" i="3"/>
  <c r="AA123" i="3"/>
  <c r="I86" i="3"/>
  <c r="X86" i="3"/>
  <c r="H86" i="3"/>
  <c r="I106" i="3"/>
  <c r="H106" i="3"/>
  <c r="X106" i="3"/>
  <c r="AB101" i="3"/>
  <c r="AA102" i="3"/>
  <c r="X109" i="3"/>
  <c r="I109" i="3"/>
  <c r="H109" i="3"/>
  <c r="AA105" i="3"/>
  <c r="AB104" i="3"/>
  <c r="I49" i="3"/>
  <c r="X49" i="3"/>
  <c r="H49" i="3"/>
  <c r="X45" i="3"/>
  <c r="H45" i="3"/>
  <c r="I45" i="3"/>
  <c r="X51" i="3"/>
  <c r="H51" i="3"/>
  <c r="I51" i="3"/>
  <c r="H65" i="3"/>
  <c r="I65" i="3"/>
  <c r="X65" i="3"/>
  <c r="I57" i="3"/>
  <c r="H57" i="3"/>
  <c r="X57" i="3"/>
  <c r="I68" i="3"/>
  <c r="X68" i="3"/>
  <c r="H68" i="3"/>
  <c r="AA54" i="3"/>
  <c r="AB53" i="3"/>
  <c r="X71" i="3"/>
  <c r="H71" i="3"/>
  <c r="I71" i="3"/>
  <c r="AB66" i="3"/>
  <c r="AA67" i="3"/>
  <c r="AA64" i="3"/>
  <c r="AB63" i="3"/>
  <c r="AA60" i="3"/>
  <c r="AB59" i="3"/>
  <c r="AC59" i="3" s="1"/>
  <c r="X62" i="3"/>
  <c r="I62" i="3"/>
  <c r="H62" i="3"/>
  <c r="AA58" i="3"/>
  <c r="AB57" i="3"/>
  <c r="AC57" i="3" s="1"/>
  <c r="X876" i="3"/>
  <c r="H876" i="3"/>
  <c r="I876" i="3"/>
  <c r="X911" i="3"/>
  <c r="H911" i="3"/>
  <c r="I911" i="3"/>
  <c r="AB952" i="3"/>
  <c r="AA953" i="3"/>
  <c r="X961" i="3"/>
  <c r="I961" i="3"/>
  <c r="H961" i="3"/>
  <c r="X941" i="3"/>
  <c r="I941" i="3"/>
  <c r="H941" i="3"/>
  <c r="X948" i="3"/>
  <c r="I948" i="3"/>
  <c r="H948" i="3"/>
  <c r="X884" i="3"/>
  <c r="H884" i="3"/>
  <c r="I884" i="3"/>
  <c r="AA880" i="3"/>
  <c r="AB879" i="3"/>
  <c r="X849" i="3"/>
  <c r="H849" i="3"/>
  <c r="I849" i="3"/>
  <c r="X999" i="3"/>
  <c r="I999" i="3"/>
  <c r="H999" i="3"/>
  <c r="AA931" i="3"/>
  <c r="AB930" i="3"/>
  <c r="X871" i="3"/>
  <c r="I871" i="3"/>
  <c r="H871" i="3"/>
  <c r="AB856" i="3"/>
  <c r="AA857" i="3"/>
  <c r="X797" i="3"/>
  <c r="I797" i="3"/>
  <c r="H797" i="3"/>
  <c r="X921" i="3"/>
  <c r="H921" i="3"/>
  <c r="I921" i="3"/>
  <c r="X1002" i="3"/>
  <c r="I1002" i="3"/>
  <c r="H1002" i="3"/>
  <c r="AB997" i="3"/>
  <c r="AA998" i="3"/>
  <c r="X938" i="3"/>
  <c r="I938" i="3"/>
  <c r="H938" i="3"/>
  <c r="AB933" i="3"/>
  <c r="AA934" i="3"/>
  <c r="X874" i="3"/>
  <c r="I874" i="3"/>
  <c r="H874" i="3"/>
  <c r="AB868" i="3"/>
  <c r="AA869" i="3"/>
  <c r="X809" i="3"/>
  <c r="I809" i="3"/>
  <c r="H809" i="3"/>
  <c r="AB752" i="3"/>
  <c r="AA753" i="3"/>
  <c r="X693" i="3"/>
  <c r="I693" i="3"/>
  <c r="H693" i="3"/>
  <c r="X909" i="3"/>
  <c r="H909" i="3"/>
  <c r="I909" i="3"/>
  <c r="H1000" i="3"/>
  <c r="X1000" i="3"/>
  <c r="I1000" i="3"/>
  <c r="AB995" i="3"/>
  <c r="AA996" i="3"/>
  <c r="X936" i="3"/>
  <c r="H936" i="3"/>
  <c r="I936" i="3"/>
  <c r="AB931" i="3"/>
  <c r="AA932" i="3"/>
  <c r="X872" i="3"/>
  <c r="I872" i="3"/>
  <c r="H872" i="3"/>
  <c r="AB860" i="3"/>
  <c r="AC860" i="3" s="1"/>
  <c r="AA861" i="3"/>
  <c r="X801" i="3"/>
  <c r="I801" i="3"/>
  <c r="H801" i="3"/>
  <c r="X901" i="3"/>
  <c r="I901" i="3"/>
  <c r="H901" i="3"/>
  <c r="X987" i="3"/>
  <c r="I987" i="3"/>
  <c r="H987" i="3"/>
  <c r="AB982" i="3"/>
  <c r="AA983" i="3"/>
  <c r="X923" i="3"/>
  <c r="H923" i="3"/>
  <c r="I923" i="3"/>
  <c r="AB918" i="3"/>
  <c r="AA919" i="3"/>
  <c r="AA809" i="3"/>
  <c r="AB808" i="3"/>
  <c r="X749" i="3"/>
  <c r="I749" i="3"/>
  <c r="H749" i="3"/>
  <c r="AB920" i="3"/>
  <c r="AA921" i="3"/>
  <c r="X974" i="3"/>
  <c r="H974" i="3"/>
  <c r="I974" i="3"/>
  <c r="AA970" i="3"/>
  <c r="AB969" i="3"/>
  <c r="X910" i="3"/>
  <c r="I910" i="3"/>
  <c r="H910" i="3"/>
  <c r="AB905" i="3"/>
  <c r="AA906" i="3"/>
  <c r="AA757" i="3"/>
  <c r="AB756" i="3"/>
  <c r="X697" i="3"/>
  <c r="H697" i="3"/>
  <c r="I697" i="3"/>
  <c r="AA893" i="3"/>
  <c r="AB892" i="3"/>
  <c r="X812" i="3"/>
  <c r="I812" i="3"/>
  <c r="H812" i="3"/>
  <c r="AA808" i="3"/>
  <c r="AB807" i="3"/>
  <c r="X748" i="3"/>
  <c r="H748" i="3"/>
  <c r="I748" i="3"/>
  <c r="AB743" i="3"/>
  <c r="AA744" i="3"/>
  <c r="X675" i="3"/>
  <c r="H675" i="3"/>
  <c r="I675" i="3"/>
  <c r="X815" i="3"/>
  <c r="H815" i="3"/>
  <c r="I815" i="3"/>
  <c r="AB810" i="3"/>
  <c r="AA811" i="3"/>
  <c r="X751" i="3"/>
  <c r="I751" i="3"/>
  <c r="H751" i="3"/>
  <c r="AA747" i="3"/>
  <c r="AB746" i="3"/>
  <c r="X538" i="3"/>
  <c r="H538" i="3"/>
  <c r="I538" i="3"/>
  <c r="X826" i="3"/>
  <c r="H826" i="3"/>
  <c r="I826" i="3"/>
  <c r="AA822" i="3"/>
  <c r="AB821" i="3"/>
  <c r="X762" i="3"/>
  <c r="H762" i="3"/>
  <c r="I762" i="3"/>
  <c r="AA758" i="3"/>
  <c r="AB757" i="3"/>
  <c r="X698" i="3"/>
  <c r="H698" i="3"/>
  <c r="I698" i="3"/>
  <c r="AA694" i="3"/>
  <c r="AC694" i="3" s="1"/>
  <c r="AB693" i="3"/>
  <c r="X688" i="3"/>
  <c r="H688" i="3"/>
  <c r="I688" i="3"/>
  <c r="AA611" i="3"/>
  <c r="AB610" i="3"/>
  <c r="X848" i="3"/>
  <c r="I848" i="3"/>
  <c r="H848" i="3"/>
  <c r="AB843" i="3"/>
  <c r="AA844" i="3"/>
  <c r="X784" i="3"/>
  <c r="I784" i="3"/>
  <c r="H784" i="3"/>
  <c r="AB779" i="3"/>
  <c r="AA780" i="3"/>
  <c r="X720" i="3"/>
  <c r="H720" i="3"/>
  <c r="I720" i="3"/>
  <c r="AA716" i="3"/>
  <c r="AB715" i="3"/>
  <c r="AB622" i="3"/>
  <c r="AA623" i="3"/>
  <c r="X851" i="3"/>
  <c r="H851" i="3"/>
  <c r="I851" i="3"/>
  <c r="AA847" i="3"/>
  <c r="AB846" i="3"/>
  <c r="X787" i="3"/>
  <c r="H787" i="3"/>
  <c r="I787" i="3"/>
  <c r="AA783" i="3"/>
  <c r="AB782" i="3"/>
  <c r="X723" i="3"/>
  <c r="I723" i="3"/>
  <c r="H723" i="3"/>
  <c r="AA719" i="3"/>
  <c r="AB718" i="3"/>
  <c r="AA635" i="3"/>
  <c r="AB634" i="3"/>
  <c r="X854" i="3"/>
  <c r="I854" i="3"/>
  <c r="H854" i="3"/>
  <c r="AA850" i="3"/>
  <c r="AB849" i="3"/>
  <c r="X790" i="3"/>
  <c r="H790" i="3"/>
  <c r="I790" i="3"/>
  <c r="AA786" i="3"/>
  <c r="AB785" i="3"/>
  <c r="X726" i="3"/>
  <c r="I726" i="3"/>
  <c r="H726" i="3"/>
  <c r="AA722" i="3"/>
  <c r="AB721" i="3"/>
  <c r="AC721" i="3" s="1"/>
  <c r="AA647" i="3"/>
  <c r="AB646" i="3"/>
  <c r="AB626" i="3"/>
  <c r="AA627" i="3"/>
  <c r="X642" i="3"/>
  <c r="H642" i="3"/>
  <c r="I642" i="3"/>
  <c r="AB637" i="3"/>
  <c r="AA638" i="3"/>
  <c r="X677" i="3"/>
  <c r="H677" i="3"/>
  <c r="I677" i="3"/>
  <c r="AB672" i="3"/>
  <c r="AA673" i="3"/>
  <c r="X613" i="3"/>
  <c r="I613" i="3"/>
  <c r="H613" i="3"/>
  <c r="AB608" i="3"/>
  <c r="AA609" i="3"/>
  <c r="AB557" i="3"/>
  <c r="AA558" i="3"/>
  <c r="X664" i="3"/>
  <c r="I664" i="3"/>
  <c r="H664" i="3"/>
  <c r="AB659" i="3"/>
  <c r="AA660" i="3"/>
  <c r="X630" i="3"/>
  <c r="I630" i="3"/>
  <c r="H630" i="3"/>
  <c r="AA626" i="3"/>
  <c r="AB625" i="3"/>
  <c r="AB605" i="3"/>
  <c r="AA606" i="3"/>
  <c r="X566" i="3"/>
  <c r="H566" i="3"/>
  <c r="I566" i="3"/>
  <c r="AB440" i="3"/>
  <c r="AA441" i="3"/>
  <c r="X641" i="3"/>
  <c r="I641" i="3"/>
  <c r="H641" i="3"/>
  <c r="AA637" i="3"/>
  <c r="AB636" i="3"/>
  <c r="X676" i="3"/>
  <c r="I676" i="3"/>
  <c r="H676" i="3"/>
  <c r="AA672" i="3"/>
  <c r="AB671" i="3"/>
  <c r="X612" i="3"/>
  <c r="I612" i="3"/>
  <c r="H612" i="3"/>
  <c r="AB607" i="3"/>
  <c r="AA608" i="3"/>
  <c r="AB553" i="3"/>
  <c r="AC553" i="3" s="1"/>
  <c r="AA554" i="3"/>
  <c r="X549" i="3"/>
  <c r="I549" i="3"/>
  <c r="H549" i="3"/>
  <c r="AA545" i="3"/>
  <c r="AB544" i="3"/>
  <c r="X529" i="3"/>
  <c r="I529" i="3"/>
  <c r="H529" i="3"/>
  <c r="X584" i="3"/>
  <c r="H584" i="3"/>
  <c r="I584" i="3"/>
  <c r="AA580" i="3"/>
  <c r="AB579" i="3"/>
  <c r="AA482" i="3"/>
  <c r="AB481" i="3"/>
  <c r="H413" i="3"/>
  <c r="X413" i="3"/>
  <c r="I413" i="3"/>
  <c r="X555" i="3"/>
  <c r="I555" i="3"/>
  <c r="H555" i="3"/>
  <c r="AA551" i="3"/>
  <c r="AB550" i="3"/>
  <c r="X561" i="3"/>
  <c r="I561" i="3"/>
  <c r="H561" i="3"/>
  <c r="AA557" i="3"/>
  <c r="AB556" i="3"/>
  <c r="X548" i="3"/>
  <c r="H548" i="3"/>
  <c r="I548" i="3"/>
  <c r="AA544" i="3"/>
  <c r="AB543" i="3"/>
  <c r="X527" i="3"/>
  <c r="H527" i="3"/>
  <c r="I527" i="3"/>
  <c r="X559" i="3"/>
  <c r="H559" i="3"/>
  <c r="I559" i="3"/>
  <c r="AA555" i="3"/>
  <c r="AB554" i="3"/>
  <c r="I465" i="3"/>
  <c r="H465" i="3"/>
  <c r="X465" i="3"/>
  <c r="AB460" i="3"/>
  <c r="AA461" i="3"/>
  <c r="AA389" i="3"/>
  <c r="AB388" i="3"/>
  <c r="H476" i="3"/>
  <c r="I476" i="3"/>
  <c r="X476" i="3"/>
  <c r="AB471" i="3"/>
  <c r="AA472" i="3"/>
  <c r="AB432" i="3"/>
  <c r="AA433" i="3"/>
  <c r="I487" i="3"/>
  <c r="X487" i="3"/>
  <c r="H487" i="3"/>
  <c r="AB482" i="3"/>
  <c r="AA483" i="3"/>
  <c r="H417" i="3"/>
  <c r="X417" i="3"/>
  <c r="I417" i="3"/>
  <c r="H493" i="3"/>
  <c r="I493" i="3"/>
  <c r="X493" i="3"/>
  <c r="AB488" i="3"/>
  <c r="AA489" i="3"/>
  <c r="I441" i="3"/>
  <c r="H441" i="3"/>
  <c r="X441" i="3"/>
  <c r="X504" i="3"/>
  <c r="H504" i="3"/>
  <c r="I504" i="3"/>
  <c r="AA500" i="3"/>
  <c r="AB499" i="3"/>
  <c r="AB188" i="3"/>
  <c r="AA189" i="3"/>
  <c r="X515" i="3"/>
  <c r="H515" i="3"/>
  <c r="I515" i="3"/>
  <c r="AB510" i="3"/>
  <c r="AC510" i="3" s="1"/>
  <c r="AA511" i="3"/>
  <c r="H448" i="3"/>
  <c r="I448" i="3"/>
  <c r="X448" i="3"/>
  <c r="AB443" i="3"/>
  <c r="AA444" i="3"/>
  <c r="X384" i="3"/>
  <c r="H384" i="3"/>
  <c r="I384" i="3"/>
  <c r="AA380" i="3"/>
  <c r="AB379" i="3"/>
  <c r="AA341" i="3"/>
  <c r="AB340" i="3"/>
  <c r="H395" i="3"/>
  <c r="X395" i="3"/>
  <c r="I395" i="3"/>
  <c r="AA391" i="3"/>
  <c r="AB390" i="3"/>
  <c r="H325" i="3"/>
  <c r="I325" i="3"/>
  <c r="X325" i="3"/>
  <c r="X406" i="3"/>
  <c r="I406" i="3"/>
  <c r="H406" i="3"/>
  <c r="AB401" i="3"/>
  <c r="AC401" i="3" s="1"/>
  <c r="AA402" i="3"/>
  <c r="H369" i="3"/>
  <c r="I369" i="3"/>
  <c r="X369" i="3"/>
  <c r="H412" i="3"/>
  <c r="I412" i="3"/>
  <c r="X412" i="3"/>
  <c r="AA408" i="3"/>
  <c r="AB407" i="3"/>
  <c r="X423" i="3"/>
  <c r="H423" i="3"/>
  <c r="I423" i="3"/>
  <c r="AA419" i="3"/>
  <c r="AB418" i="3"/>
  <c r="I410" i="3"/>
  <c r="H410" i="3"/>
  <c r="X410" i="3"/>
  <c r="AA406" i="3"/>
  <c r="AB405" i="3"/>
  <c r="AA265" i="3"/>
  <c r="AB264" i="3"/>
  <c r="I360" i="3"/>
  <c r="H360" i="3"/>
  <c r="X360" i="3"/>
  <c r="AA356" i="3"/>
  <c r="AB355" i="3"/>
  <c r="I371" i="3"/>
  <c r="H371" i="3"/>
  <c r="X371" i="3"/>
  <c r="AA367" i="3"/>
  <c r="AB366" i="3"/>
  <c r="I307" i="3"/>
  <c r="X307" i="3"/>
  <c r="H307" i="3"/>
  <c r="AB302" i="3"/>
  <c r="AA303" i="3"/>
  <c r="H358" i="3"/>
  <c r="I358" i="3"/>
  <c r="X358" i="3"/>
  <c r="AB353" i="3"/>
  <c r="AA354" i="3"/>
  <c r="I364" i="3"/>
  <c r="X364" i="3"/>
  <c r="H364" i="3"/>
  <c r="AB359" i="3"/>
  <c r="AA360" i="3"/>
  <c r="I300" i="3"/>
  <c r="H300" i="3"/>
  <c r="X300" i="3"/>
  <c r="AB172" i="3"/>
  <c r="AA173" i="3"/>
  <c r="AB370" i="3"/>
  <c r="AA371" i="3"/>
  <c r="H311" i="3"/>
  <c r="I311" i="3"/>
  <c r="X311" i="3"/>
  <c r="AB306" i="3"/>
  <c r="AA307" i="3"/>
  <c r="AB224" i="3"/>
  <c r="AA225" i="3"/>
  <c r="I362" i="3"/>
  <c r="X362" i="3"/>
  <c r="H362" i="3"/>
  <c r="AB357" i="3"/>
  <c r="AA358" i="3"/>
  <c r="I210" i="3"/>
  <c r="X210" i="3"/>
  <c r="H210" i="3"/>
  <c r="X272" i="3"/>
  <c r="I272" i="3"/>
  <c r="H272" i="3"/>
  <c r="AB267" i="3"/>
  <c r="AA268" i="3"/>
  <c r="AB165" i="3"/>
  <c r="AA166" i="3"/>
  <c r="AA295" i="3"/>
  <c r="AB294" i="3"/>
  <c r="X235" i="3"/>
  <c r="H235" i="3"/>
  <c r="I235" i="3"/>
  <c r="AB230" i="3"/>
  <c r="AA231" i="3"/>
  <c r="I254" i="3"/>
  <c r="H254" i="3"/>
  <c r="X254" i="3"/>
  <c r="AA250" i="3"/>
  <c r="AB249" i="3"/>
  <c r="AA193" i="3"/>
  <c r="AB192" i="3"/>
  <c r="H260" i="3"/>
  <c r="X260" i="3"/>
  <c r="I260" i="3"/>
  <c r="AA256" i="3"/>
  <c r="AB255" i="3"/>
  <c r="X271" i="3"/>
  <c r="I271" i="3"/>
  <c r="H271" i="3"/>
  <c r="AA267" i="3"/>
  <c r="AB266" i="3"/>
  <c r="H201" i="3"/>
  <c r="X201" i="3"/>
  <c r="I201" i="3"/>
  <c r="H282" i="3"/>
  <c r="I282" i="3"/>
  <c r="X282" i="3"/>
  <c r="AA278" i="3"/>
  <c r="AB277" i="3"/>
  <c r="X218" i="3"/>
  <c r="I218" i="3"/>
  <c r="H218" i="3"/>
  <c r="AB213" i="3"/>
  <c r="AA214" i="3"/>
  <c r="I196" i="3"/>
  <c r="H196" i="3"/>
  <c r="X196" i="3"/>
  <c r="AA192" i="3"/>
  <c r="AB191" i="3"/>
  <c r="AB116" i="3"/>
  <c r="AA117" i="3"/>
  <c r="AB210" i="3"/>
  <c r="AA211" i="3"/>
  <c r="X184" i="3"/>
  <c r="H184" i="3"/>
  <c r="I184" i="3"/>
  <c r="AA180" i="3"/>
  <c r="AB179" i="3"/>
  <c r="H96" i="3"/>
  <c r="I96" i="3"/>
  <c r="X96" i="3"/>
  <c r="H190" i="3"/>
  <c r="I190" i="3"/>
  <c r="X190" i="3"/>
  <c r="AB185" i="3"/>
  <c r="AA186" i="3"/>
  <c r="AB136" i="3"/>
  <c r="AC136" i="3" s="1"/>
  <c r="AA137" i="3"/>
  <c r="X148" i="3"/>
  <c r="H148" i="3"/>
  <c r="I148" i="3"/>
  <c r="AB143" i="3"/>
  <c r="AA144" i="3"/>
  <c r="H151" i="3"/>
  <c r="X151" i="3"/>
  <c r="I151" i="3"/>
  <c r="AB146" i="3"/>
  <c r="AA147" i="3"/>
  <c r="AB95" i="3"/>
  <c r="AA96" i="3"/>
  <c r="H152" i="3"/>
  <c r="I152" i="3"/>
  <c r="X152" i="3"/>
  <c r="AB147" i="3"/>
  <c r="AA148" i="3"/>
  <c r="AB166" i="3"/>
  <c r="AA167" i="3"/>
  <c r="X150" i="3"/>
  <c r="H150" i="3"/>
  <c r="I150" i="3"/>
  <c r="AB145" i="3"/>
  <c r="AA146" i="3"/>
  <c r="X50" i="3"/>
  <c r="H50" i="3"/>
  <c r="AB125" i="3"/>
  <c r="AA126" i="3"/>
  <c r="I82" i="3"/>
  <c r="X82" i="3"/>
  <c r="H82" i="3"/>
  <c r="H27" i="3"/>
  <c r="X27" i="3"/>
  <c r="I27" i="3"/>
  <c r="AA89" i="3"/>
  <c r="AB88" i="3"/>
  <c r="AB28" i="3"/>
  <c r="AA29" i="3"/>
  <c r="X83" i="3"/>
  <c r="H83" i="3"/>
  <c r="I83" i="3"/>
  <c r="AA79" i="3"/>
  <c r="AB78" i="3"/>
  <c r="AB24" i="3"/>
  <c r="AA25" i="3"/>
  <c r="AB30" i="3"/>
  <c r="AA31" i="3"/>
  <c r="X89" i="3"/>
  <c r="H89" i="3"/>
  <c r="I89" i="3"/>
  <c r="AB84" i="3"/>
  <c r="AA85" i="3"/>
  <c r="AA37" i="3"/>
  <c r="AB36" i="3"/>
  <c r="AA88" i="3"/>
  <c r="AB87" i="3"/>
  <c r="X42" i="3"/>
  <c r="H42" i="3"/>
  <c r="I42" i="3"/>
  <c r="AA49" i="3"/>
  <c r="AB48" i="3"/>
  <c r="H28" i="3"/>
  <c r="I28" i="3"/>
  <c r="X28" i="3"/>
  <c r="AB23" i="3"/>
  <c r="AA24" i="3"/>
  <c r="H31" i="3"/>
  <c r="X31" i="3"/>
  <c r="I31" i="3"/>
  <c r="AB26" i="3"/>
  <c r="AA27" i="3"/>
  <c r="I24" i="3"/>
  <c r="X24" i="3"/>
  <c r="H24" i="3"/>
  <c r="AA20" i="3"/>
  <c r="AB19" i="3"/>
  <c r="H22" i="3"/>
  <c r="X22" i="3"/>
  <c r="I22" i="3"/>
  <c r="AB17" i="3"/>
  <c r="AA18" i="3"/>
  <c r="AB988" i="3"/>
  <c r="AA989" i="3"/>
  <c r="AB996" i="3"/>
  <c r="AA997" i="3"/>
  <c r="AB983" i="3"/>
  <c r="AA984" i="3"/>
  <c r="X753" i="3"/>
  <c r="I753" i="3"/>
  <c r="H753" i="3"/>
  <c r="X949" i="3"/>
  <c r="I949" i="3"/>
  <c r="H949" i="3"/>
  <c r="AA1001" i="3"/>
  <c r="AB1000" i="3"/>
  <c r="AA995" i="3"/>
  <c r="AB994" i="3"/>
  <c r="X953" i="3"/>
  <c r="I953" i="3"/>
  <c r="H953" i="3"/>
  <c r="X889" i="3"/>
  <c r="H889" i="3"/>
  <c r="I889" i="3"/>
  <c r="AA769" i="3"/>
  <c r="AB768" i="3"/>
  <c r="X972" i="3"/>
  <c r="I972" i="3"/>
  <c r="H972" i="3"/>
  <c r="AB967" i="3"/>
  <c r="AA968" i="3"/>
  <c r="X908" i="3"/>
  <c r="H908" i="3"/>
  <c r="I908" i="3"/>
  <c r="AA904" i="3"/>
  <c r="AB903" i="3"/>
  <c r="AC903" i="3" s="1"/>
  <c r="AA749" i="3"/>
  <c r="AB748" i="3"/>
  <c r="X689" i="3"/>
  <c r="I689" i="3"/>
  <c r="H689" i="3"/>
  <c r="X959" i="3"/>
  <c r="I959" i="3"/>
  <c r="H959" i="3"/>
  <c r="AA955" i="3"/>
  <c r="AB954" i="3"/>
  <c r="X895" i="3"/>
  <c r="I895" i="3"/>
  <c r="H895" i="3"/>
  <c r="AA891" i="3"/>
  <c r="AB890" i="3"/>
  <c r="AB696" i="3"/>
  <c r="AA697" i="3"/>
  <c r="X962" i="3"/>
  <c r="I962" i="3"/>
  <c r="H962" i="3"/>
  <c r="AB957" i="3"/>
  <c r="AA958" i="3"/>
  <c r="X898" i="3"/>
  <c r="I898" i="3"/>
  <c r="H898" i="3"/>
  <c r="AB893" i="3"/>
  <c r="AA894" i="3"/>
  <c r="AB708" i="3"/>
  <c r="AA709" i="3"/>
  <c r="AB816" i="3"/>
  <c r="AA817" i="3"/>
  <c r="X960" i="3"/>
  <c r="I960" i="3"/>
  <c r="H960" i="3"/>
  <c r="AB955" i="3"/>
  <c r="AA956" i="3"/>
  <c r="X896" i="3"/>
  <c r="I896" i="3"/>
  <c r="H896" i="3"/>
  <c r="AB891" i="3"/>
  <c r="AA892" i="3"/>
  <c r="AB700" i="3"/>
  <c r="AA701" i="3"/>
  <c r="AB888" i="3"/>
  <c r="AA889" i="3"/>
  <c r="X877" i="3"/>
  <c r="H877" i="3"/>
  <c r="I877" i="3"/>
  <c r="X947" i="3"/>
  <c r="H947" i="3"/>
  <c r="I947" i="3"/>
  <c r="AB942" i="3"/>
  <c r="AA943" i="3"/>
  <c r="X883" i="3"/>
  <c r="H883" i="3"/>
  <c r="I883" i="3"/>
  <c r="AB878" i="3"/>
  <c r="AA879" i="3"/>
  <c r="X845" i="3"/>
  <c r="I845" i="3"/>
  <c r="H845" i="3"/>
  <c r="X998" i="3"/>
  <c r="I998" i="3"/>
  <c r="H998" i="3"/>
  <c r="AA994" i="3"/>
  <c r="AB993" i="3"/>
  <c r="X934" i="3"/>
  <c r="I934" i="3"/>
  <c r="H934" i="3"/>
  <c r="AA930" i="3"/>
  <c r="AB929" i="3"/>
  <c r="X870" i="3"/>
  <c r="I870" i="3"/>
  <c r="H870" i="3"/>
  <c r="AB852" i="3"/>
  <c r="AA853" i="3"/>
  <c r="X793" i="3"/>
  <c r="I793" i="3"/>
  <c r="H793" i="3"/>
  <c r="AB704" i="3"/>
  <c r="AA705" i="3"/>
  <c r="X836" i="3"/>
  <c r="H836" i="3"/>
  <c r="I836" i="3"/>
  <c r="AB831" i="3"/>
  <c r="AA832" i="3"/>
  <c r="X772" i="3"/>
  <c r="H772" i="3"/>
  <c r="I772" i="3"/>
  <c r="AB767" i="3"/>
  <c r="AA768" i="3"/>
  <c r="X708" i="3"/>
  <c r="I708" i="3"/>
  <c r="H708" i="3"/>
  <c r="AA704" i="3"/>
  <c r="AB703" i="3"/>
  <c r="X839" i="3"/>
  <c r="H839" i="3"/>
  <c r="I839" i="3"/>
  <c r="AA835" i="3"/>
  <c r="AB834" i="3"/>
  <c r="X775" i="3"/>
  <c r="H775" i="3"/>
  <c r="I775" i="3"/>
  <c r="AA771" i="3"/>
  <c r="AB770" i="3"/>
  <c r="X711" i="3"/>
  <c r="I711" i="3"/>
  <c r="H711" i="3"/>
  <c r="AB706" i="3"/>
  <c r="AA707" i="3"/>
  <c r="X850" i="3"/>
  <c r="H850" i="3"/>
  <c r="I850" i="3"/>
  <c r="AB845" i="3"/>
  <c r="AA846" i="3"/>
  <c r="X786" i="3"/>
  <c r="I786" i="3"/>
  <c r="H786" i="3"/>
  <c r="AB781" i="3"/>
  <c r="AA782" i="3"/>
  <c r="X722" i="3"/>
  <c r="I722" i="3"/>
  <c r="H722" i="3"/>
  <c r="AB717" i="3"/>
  <c r="AA718" i="3"/>
  <c r="AA631" i="3"/>
  <c r="AB630" i="3"/>
  <c r="X647" i="3"/>
  <c r="I647" i="3"/>
  <c r="H647" i="3"/>
  <c r="AB867" i="3"/>
  <c r="AA868" i="3"/>
  <c r="X808" i="3"/>
  <c r="H808" i="3"/>
  <c r="I808" i="3"/>
  <c r="AB803" i="3"/>
  <c r="AA804" i="3"/>
  <c r="X744" i="3"/>
  <c r="H744" i="3"/>
  <c r="I744" i="3"/>
  <c r="AB739" i="3"/>
  <c r="AA740" i="3"/>
  <c r="X659" i="3"/>
  <c r="I659" i="3"/>
  <c r="H659" i="3"/>
  <c r="X811" i="3"/>
  <c r="H811" i="3"/>
  <c r="I811" i="3"/>
  <c r="AA807" i="3"/>
  <c r="AB806" i="3"/>
  <c r="X747" i="3"/>
  <c r="I747" i="3"/>
  <c r="H747" i="3"/>
  <c r="AB742" i="3"/>
  <c r="AA743" i="3"/>
  <c r="X671" i="3"/>
  <c r="I671" i="3"/>
  <c r="H671" i="3"/>
  <c r="X814" i="3"/>
  <c r="I814" i="3"/>
  <c r="H814" i="3"/>
  <c r="AB809" i="3"/>
  <c r="AA810" i="3"/>
  <c r="X750" i="3"/>
  <c r="I750" i="3"/>
  <c r="H750" i="3"/>
  <c r="AA746" i="3"/>
  <c r="AB745" i="3"/>
  <c r="X683" i="3"/>
  <c r="H683" i="3"/>
  <c r="I683" i="3"/>
  <c r="X666" i="3"/>
  <c r="H666" i="3"/>
  <c r="I666" i="3"/>
  <c r="AB661" i="3"/>
  <c r="AA662" i="3"/>
  <c r="AB473" i="3"/>
  <c r="AA474" i="3"/>
  <c r="X637" i="3"/>
  <c r="I637" i="3"/>
  <c r="H637" i="3"/>
  <c r="AA633" i="3"/>
  <c r="AB632" i="3"/>
  <c r="X594" i="3"/>
  <c r="I594" i="3"/>
  <c r="H594" i="3"/>
  <c r="AA684" i="3"/>
  <c r="AB683" i="3"/>
  <c r="X624" i="3"/>
  <c r="H624" i="3"/>
  <c r="I624" i="3"/>
  <c r="AB619" i="3"/>
  <c r="AA620" i="3"/>
  <c r="AB601" i="3"/>
  <c r="AA602" i="3"/>
  <c r="X542" i="3"/>
  <c r="I542" i="3"/>
  <c r="H542" i="3"/>
  <c r="X510" i="3"/>
  <c r="H510" i="3"/>
  <c r="I510" i="3"/>
  <c r="X654" i="3"/>
  <c r="H654" i="3"/>
  <c r="I654" i="3"/>
  <c r="AB649" i="3"/>
  <c r="AA650" i="3"/>
  <c r="X665" i="3"/>
  <c r="H665" i="3"/>
  <c r="I665" i="3"/>
  <c r="AB660" i="3"/>
  <c r="AA661" i="3"/>
  <c r="AB457" i="3"/>
  <c r="AA458" i="3"/>
  <c r="X636" i="3"/>
  <c r="I636" i="3"/>
  <c r="H636" i="3"/>
  <c r="AB631" i="3"/>
  <c r="AA632" i="3"/>
  <c r="X590" i="3"/>
  <c r="I590" i="3"/>
  <c r="H590" i="3"/>
  <c r="X573" i="3"/>
  <c r="I573" i="3"/>
  <c r="H573" i="3"/>
  <c r="AB568" i="3"/>
  <c r="AA569" i="3"/>
  <c r="AB603" i="3"/>
  <c r="AA604" i="3"/>
  <c r="X544" i="3"/>
  <c r="H544" i="3"/>
  <c r="I544" i="3"/>
  <c r="AB539" i="3"/>
  <c r="AA540" i="3"/>
  <c r="X518" i="3"/>
  <c r="H518" i="3"/>
  <c r="I518" i="3"/>
  <c r="X579" i="3"/>
  <c r="H579" i="3"/>
  <c r="I579" i="3"/>
  <c r="AB574" i="3"/>
  <c r="AA575" i="3"/>
  <c r="AA462" i="3"/>
  <c r="AB461" i="3"/>
  <c r="X585" i="3"/>
  <c r="H585" i="3"/>
  <c r="I585" i="3"/>
  <c r="AB580" i="3"/>
  <c r="AA581" i="3"/>
  <c r="AA486" i="3"/>
  <c r="AB485" i="3"/>
  <c r="H429" i="3"/>
  <c r="I429" i="3"/>
  <c r="X429" i="3"/>
  <c r="H253" i="3"/>
  <c r="I253" i="3"/>
  <c r="X253" i="3"/>
  <c r="X572" i="3"/>
  <c r="I572" i="3"/>
  <c r="H572" i="3"/>
  <c r="AA568" i="3"/>
  <c r="AB567" i="3"/>
  <c r="X583" i="3"/>
  <c r="I583" i="3"/>
  <c r="H583" i="3"/>
  <c r="AA579" i="3"/>
  <c r="AB578" i="3"/>
  <c r="AA478" i="3"/>
  <c r="AB477" i="3"/>
  <c r="I397" i="3"/>
  <c r="H397" i="3"/>
  <c r="X397" i="3"/>
  <c r="X489" i="3"/>
  <c r="I489" i="3"/>
  <c r="H489" i="3"/>
  <c r="AB484" i="3"/>
  <c r="AA485" i="3"/>
  <c r="I425" i="3"/>
  <c r="H425" i="3"/>
  <c r="X425" i="3"/>
  <c r="H500" i="3"/>
  <c r="I500" i="3"/>
  <c r="X500" i="3"/>
  <c r="AB495" i="3"/>
  <c r="AA496" i="3"/>
  <c r="X365" i="3"/>
  <c r="I365" i="3"/>
  <c r="H365" i="3"/>
  <c r="I511" i="3"/>
  <c r="X511" i="3"/>
  <c r="H511" i="3"/>
  <c r="AB506" i="3"/>
  <c r="AA507" i="3"/>
  <c r="X517" i="3"/>
  <c r="I517" i="3"/>
  <c r="H517" i="3"/>
  <c r="AB512" i="3"/>
  <c r="AA513" i="3"/>
  <c r="X453" i="3"/>
  <c r="H453" i="3"/>
  <c r="I453" i="3"/>
  <c r="X528" i="3"/>
  <c r="I528" i="3"/>
  <c r="H528" i="3"/>
  <c r="AA524" i="3"/>
  <c r="AB523" i="3"/>
  <c r="I464" i="3"/>
  <c r="H464" i="3"/>
  <c r="X464" i="3"/>
  <c r="AB459" i="3"/>
  <c r="AA460" i="3"/>
  <c r="AA385" i="3"/>
  <c r="AB384" i="3"/>
  <c r="H475" i="3"/>
  <c r="I475" i="3"/>
  <c r="X475" i="3"/>
  <c r="AB470" i="3"/>
  <c r="AA471" i="3"/>
  <c r="AB428" i="3"/>
  <c r="AA429" i="3"/>
  <c r="I408" i="3"/>
  <c r="H408" i="3"/>
  <c r="X408" i="3"/>
  <c r="AA404" i="3"/>
  <c r="AB403" i="3"/>
  <c r="AB232" i="3"/>
  <c r="AA233" i="3"/>
  <c r="I419" i="3"/>
  <c r="H419" i="3"/>
  <c r="X419" i="3"/>
  <c r="AB414" i="3"/>
  <c r="AA415" i="3"/>
  <c r="I430" i="3"/>
  <c r="X430" i="3"/>
  <c r="H430" i="3"/>
  <c r="AA426" i="3"/>
  <c r="AB425" i="3"/>
  <c r="I269" i="3"/>
  <c r="X269" i="3"/>
  <c r="H269" i="3"/>
  <c r="H436" i="3"/>
  <c r="X436" i="3"/>
  <c r="I436" i="3"/>
  <c r="AB431" i="3"/>
  <c r="AA432" i="3"/>
  <c r="I202" i="3"/>
  <c r="H202" i="3"/>
  <c r="X202" i="3"/>
  <c r="X447" i="3"/>
  <c r="I447" i="3"/>
  <c r="H447" i="3"/>
  <c r="AB442" i="3"/>
  <c r="AA443" i="3"/>
  <c r="I383" i="3"/>
  <c r="H383" i="3"/>
  <c r="X383" i="3"/>
  <c r="AB378" i="3"/>
  <c r="AA379" i="3"/>
  <c r="AA337" i="3"/>
  <c r="AB336" i="3"/>
  <c r="X434" i="3"/>
  <c r="H434" i="3"/>
  <c r="I434" i="3"/>
  <c r="AA430" i="3"/>
  <c r="AB429" i="3"/>
  <c r="H320" i="3"/>
  <c r="X320" i="3"/>
  <c r="I320" i="3"/>
  <c r="AB315" i="3"/>
  <c r="AA316" i="3"/>
  <c r="AB260" i="3"/>
  <c r="AA261" i="3"/>
  <c r="H177" i="3"/>
  <c r="I177" i="3"/>
  <c r="X177" i="3"/>
  <c r="I331" i="3"/>
  <c r="H331" i="3"/>
  <c r="X331" i="3"/>
  <c r="AB326" i="3"/>
  <c r="AA327" i="3"/>
  <c r="I245" i="3"/>
  <c r="H245" i="3"/>
  <c r="X245" i="3"/>
  <c r="I318" i="3"/>
  <c r="H318" i="3"/>
  <c r="X318" i="3"/>
  <c r="AB313" i="3"/>
  <c r="AA314" i="3"/>
  <c r="AB252" i="3"/>
  <c r="AA253" i="3"/>
  <c r="H324" i="3"/>
  <c r="I324" i="3"/>
  <c r="X324" i="3"/>
  <c r="AB319" i="3"/>
  <c r="AA320" i="3"/>
  <c r="AB276" i="3"/>
  <c r="AA277" i="3"/>
  <c r="H217" i="3"/>
  <c r="X217" i="3"/>
  <c r="I217" i="3"/>
  <c r="H335" i="3"/>
  <c r="I335" i="3"/>
  <c r="X335" i="3"/>
  <c r="AB330" i="3"/>
  <c r="AA331" i="3"/>
  <c r="H261" i="3"/>
  <c r="X261" i="3"/>
  <c r="I261" i="3"/>
  <c r="X322" i="3"/>
  <c r="I322" i="3"/>
  <c r="H322" i="3"/>
  <c r="AA318" i="3"/>
  <c r="AB317" i="3"/>
  <c r="AA269" i="3"/>
  <c r="AB268" i="3"/>
  <c r="AA206" i="3"/>
  <c r="AB205" i="3"/>
  <c r="H232" i="3"/>
  <c r="I232" i="3"/>
  <c r="X232" i="3"/>
  <c r="AB227" i="3"/>
  <c r="AA228" i="3"/>
  <c r="X161" i="3"/>
  <c r="I161" i="3"/>
  <c r="H161" i="3"/>
  <c r="H259" i="3"/>
  <c r="I259" i="3"/>
  <c r="X259" i="3"/>
  <c r="AA255" i="3"/>
  <c r="AB254" i="3"/>
  <c r="X278" i="3"/>
  <c r="I278" i="3"/>
  <c r="H278" i="3"/>
  <c r="AA274" i="3"/>
  <c r="AB273" i="3"/>
  <c r="H214" i="3"/>
  <c r="I214" i="3"/>
  <c r="X214" i="3"/>
  <c r="H284" i="3"/>
  <c r="I284" i="3"/>
  <c r="X284" i="3"/>
  <c r="AA280" i="3"/>
  <c r="AB279" i="3"/>
  <c r="H220" i="3"/>
  <c r="I220" i="3"/>
  <c r="X220" i="3"/>
  <c r="AA216" i="3"/>
  <c r="AB215" i="3"/>
  <c r="AA133" i="3"/>
  <c r="AB132" i="3"/>
  <c r="H295" i="3"/>
  <c r="X295" i="3"/>
  <c r="I295" i="3"/>
  <c r="AB290" i="3"/>
  <c r="AA291" i="3"/>
  <c r="X231" i="3"/>
  <c r="H231" i="3"/>
  <c r="I231" i="3"/>
  <c r="AB226" i="3"/>
  <c r="AA227" i="3"/>
  <c r="I242" i="3"/>
  <c r="X242" i="3"/>
  <c r="H242" i="3"/>
  <c r="AA238" i="3"/>
  <c r="AB237" i="3"/>
  <c r="X212" i="3"/>
  <c r="I212" i="3"/>
  <c r="H212" i="3"/>
  <c r="AA163" i="3"/>
  <c r="AB162" i="3"/>
  <c r="H175" i="3"/>
  <c r="X175" i="3"/>
  <c r="I175" i="3"/>
  <c r="AA171" i="3"/>
  <c r="AB170" i="3"/>
  <c r="H178" i="3"/>
  <c r="I178" i="3"/>
  <c r="X178" i="3"/>
  <c r="AA174" i="3"/>
  <c r="AB173" i="3"/>
  <c r="H208" i="3"/>
  <c r="I208" i="3"/>
  <c r="X208" i="3"/>
  <c r="AA204" i="3"/>
  <c r="AB203" i="3"/>
  <c r="H162" i="3"/>
  <c r="I162" i="3"/>
  <c r="X162" i="3"/>
  <c r="H149" i="3"/>
  <c r="X149" i="3"/>
  <c r="I149" i="3"/>
  <c r="I179" i="3"/>
  <c r="X179" i="3"/>
  <c r="H179" i="3"/>
  <c r="AB174" i="3"/>
  <c r="AA175" i="3"/>
  <c r="AA84" i="3"/>
  <c r="AB83" i="3"/>
  <c r="AA210" i="3"/>
  <c r="AB209" i="3"/>
  <c r="H74" i="3"/>
  <c r="I74" i="3"/>
  <c r="X74" i="3"/>
  <c r="X138" i="3"/>
  <c r="H138" i="3"/>
  <c r="I138" i="3"/>
  <c r="AB133" i="3"/>
  <c r="AA134" i="3"/>
  <c r="X131" i="3"/>
  <c r="H131" i="3"/>
  <c r="I131" i="3"/>
  <c r="H126" i="3"/>
  <c r="I126" i="3"/>
  <c r="X126" i="3"/>
  <c r="X104" i="3"/>
  <c r="H104" i="3"/>
  <c r="I104" i="3"/>
  <c r="H124" i="3"/>
  <c r="I124" i="3"/>
  <c r="X124" i="3"/>
  <c r="AA46" i="3"/>
  <c r="AB45" i="3"/>
  <c r="X102" i="3"/>
  <c r="I102" i="3"/>
  <c r="H102" i="3"/>
  <c r="AB97" i="3"/>
  <c r="AA98" i="3"/>
  <c r="AB85" i="3"/>
  <c r="AA86" i="3"/>
  <c r="AB108" i="3"/>
  <c r="AA109" i="3"/>
  <c r="H111" i="3"/>
  <c r="X111" i="3"/>
  <c r="I111" i="3"/>
  <c r="AA107" i="3"/>
  <c r="AB106" i="3"/>
  <c r="I90" i="3"/>
  <c r="H90" i="3"/>
  <c r="X90" i="3"/>
  <c r="AB22" i="3"/>
  <c r="AA23" i="3"/>
  <c r="I93" i="3"/>
  <c r="X93" i="3"/>
  <c r="H93" i="3"/>
  <c r="H17" i="3"/>
  <c r="I17" i="3"/>
  <c r="X17" i="3"/>
  <c r="I13" i="3"/>
  <c r="H13" i="3"/>
  <c r="X13" i="3"/>
  <c r="X19" i="3"/>
  <c r="H19" i="3"/>
  <c r="I19" i="3"/>
  <c r="I25" i="3"/>
  <c r="H25" i="3"/>
  <c r="X25" i="3"/>
  <c r="AA22" i="3"/>
  <c r="AB21" i="3"/>
  <c r="X37" i="3"/>
  <c r="I37" i="3"/>
  <c r="H37" i="3"/>
  <c r="I52" i="3"/>
  <c r="X52" i="3"/>
  <c r="H52" i="3"/>
  <c r="AA48" i="3"/>
  <c r="AB47" i="3"/>
  <c r="H55" i="3"/>
  <c r="X55" i="3"/>
  <c r="I55" i="3"/>
  <c r="AA51" i="3"/>
  <c r="AB50" i="3"/>
  <c r="I48" i="3"/>
  <c r="X48" i="3"/>
  <c r="H48" i="3"/>
  <c r="AB43" i="3"/>
  <c r="AA44" i="3"/>
  <c r="X46" i="3"/>
  <c r="H46" i="3"/>
  <c r="I46" i="3"/>
  <c r="AB41" i="3"/>
  <c r="AA42" i="3"/>
  <c r="AK11" i="3" a="1"/>
  <c r="AM11" i="3" a="1"/>
  <c r="AJ12" i="3" a="1"/>
  <c r="AO12" i="3" a="1"/>
  <c r="AO11" i="3" a="1"/>
  <c r="AJ11" i="3" a="1"/>
  <c r="AN11" i="3" a="1"/>
  <c r="AN10" i="3" a="1"/>
  <c r="AL11" i="3" a="1"/>
  <c r="AJ10" i="3" a="1"/>
  <c r="AM12" i="3" a="1"/>
  <c r="AL12" i="3" a="1"/>
  <c r="AN12" i="3" a="1"/>
  <c r="AM10" i="3" a="1"/>
  <c r="AO10" i="3" a="1"/>
  <c r="AK10" i="3" a="1"/>
  <c r="AK12" i="3" a="1"/>
  <c r="AL10" i="3" a="1"/>
  <c r="P9" i="3" l="1"/>
  <c r="P5" i="3" s="1"/>
  <c r="P8" i="3"/>
  <c r="P4" i="3" s="1"/>
  <c r="AO12" i="3"/>
  <c r="AL10" i="3"/>
  <c r="AK10" i="3"/>
  <c r="AJ10" i="3"/>
  <c r="AJ12" i="3"/>
  <c r="AK12" i="3"/>
  <c r="AN12" i="3"/>
  <c r="AM12" i="3"/>
  <c r="AL12" i="3"/>
  <c r="AL11" i="3"/>
  <c r="AO11" i="3"/>
  <c r="AO10" i="3"/>
  <c r="AK11" i="3"/>
  <c r="AJ11" i="3"/>
  <c r="AM10" i="3"/>
  <c r="AN11" i="3"/>
  <c r="AN10" i="3"/>
  <c r="AM11" i="3"/>
  <c r="AC13" i="3"/>
  <c r="AC326" i="3"/>
  <c r="AC700" i="3"/>
  <c r="AC157" i="3"/>
  <c r="AC916" i="3"/>
  <c r="AC170" i="3"/>
  <c r="AC279" i="3"/>
  <c r="AC203" i="3"/>
  <c r="AC470" i="3"/>
  <c r="AC399" i="3"/>
  <c r="AC942" i="3"/>
  <c r="AC562" i="3"/>
  <c r="AC684" i="3"/>
  <c r="AC467" i="3"/>
  <c r="AC232" i="3"/>
  <c r="AC195" i="3"/>
  <c r="AC386" i="3"/>
  <c r="AC728" i="3"/>
  <c r="AC342" i="3"/>
  <c r="AC884" i="3"/>
  <c r="AC351" i="3"/>
  <c r="AC375" i="3"/>
  <c r="AC949" i="3"/>
  <c r="AC743" i="3"/>
  <c r="AC75" i="3"/>
  <c r="AC806" i="3"/>
  <c r="AC885" i="3"/>
  <c r="AC538" i="3"/>
  <c r="AC793" i="3"/>
  <c r="AC685" i="3"/>
  <c r="AC70" i="3"/>
  <c r="AC66" i="3"/>
  <c r="AC428" i="3"/>
  <c r="O8" i="3"/>
  <c r="O4" i="3" s="1"/>
  <c r="R9" i="3"/>
  <c r="R5" i="3" s="1"/>
  <c r="M8" i="3"/>
  <c r="M4" i="3" s="1"/>
  <c r="N8" i="3"/>
  <c r="N4" i="3" s="1"/>
  <c r="AC83" i="3"/>
  <c r="AC132" i="3"/>
  <c r="AC523" i="3"/>
  <c r="AC893" i="3"/>
  <c r="AC442" i="3"/>
  <c r="AC878" i="3"/>
  <c r="AC671" i="3"/>
  <c r="AC918" i="3"/>
  <c r="AC703" i="3"/>
  <c r="AC706" i="3"/>
  <c r="AC770" i="3"/>
  <c r="AC509" i="3"/>
  <c r="AC539" i="3"/>
  <c r="AC745" i="3"/>
  <c r="AC609" i="3"/>
  <c r="AC982" i="3"/>
  <c r="AC597" i="3"/>
  <c r="AC859" i="3"/>
  <c r="AC161" i="3"/>
  <c r="AC234" i="3"/>
  <c r="AC731" i="3"/>
  <c r="AC473" i="3"/>
  <c r="AC116" i="3"/>
  <c r="AC605" i="3"/>
  <c r="AC819" i="3"/>
  <c r="AC151" i="3"/>
  <c r="AC240" i="3"/>
  <c r="AC928" i="3"/>
  <c r="AC113" i="3"/>
  <c r="AC965" i="3"/>
  <c r="AC856" i="3"/>
  <c r="AC779" i="3"/>
  <c r="AC215" i="3"/>
  <c r="AC781" i="3"/>
  <c r="AC340" i="3"/>
  <c r="AC550" i="3"/>
  <c r="AC548" i="3"/>
  <c r="AC172" i="3"/>
  <c r="AC530" i="3"/>
  <c r="AC491" i="3"/>
  <c r="AC937" i="3"/>
  <c r="AC823" i="3"/>
  <c r="AC110" i="3"/>
  <c r="AC437" i="3"/>
  <c r="AC74" i="3"/>
  <c r="AC535" i="3"/>
  <c r="AC264" i="3"/>
  <c r="AC78" i="3"/>
  <c r="AC47" i="3"/>
  <c r="AC276" i="3"/>
  <c r="AC273" i="3"/>
  <c r="AC578" i="3"/>
  <c r="AC852" i="3"/>
  <c r="AC26" i="3"/>
  <c r="AC36" i="3"/>
  <c r="AC213" i="3"/>
  <c r="AC140" i="3"/>
  <c r="AC497" i="3"/>
  <c r="AC849" i="3"/>
  <c r="AC990" i="3"/>
  <c r="AC980" i="3"/>
  <c r="AC593" i="3"/>
  <c r="AC795" i="3"/>
  <c r="AC252" i="3"/>
  <c r="AC457" i="3"/>
  <c r="AC683" i="3"/>
  <c r="AC87" i="3"/>
  <c r="AC843" i="3"/>
  <c r="AC693" i="3"/>
  <c r="AC199" i="3"/>
  <c r="AC573" i="3"/>
  <c r="R18" i="1" a="1"/>
  <c r="AC574" i="3"/>
  <c r="AC619" i="3"/>
  <c r="AC101" i="3"/>
  <c r="AC760" i="3"/>
  <c r="AC33" i="3"/>
  <c r="AC434" i="3"/>
  <c r="AC912" i="3"/>
  <c r="AC586" i="3"/>
  <c r="AC630" i="3"/>
  <c r="AC266" i="3"/>
  <c r="AC304" i="3"/>
  <c r="AD18" i="1" a="1"/>
  <c r="AC556" i="3"/>
  <c r="AC785" i="3"/>
  <c r="AC811" i="3"/>
  <c r="AC377" i="3"/>
  <c r="AC183" i="3"/>
  <c r="AC809" i="3"/>
  <c r="AC145" i="3"/>
  <c r="AC366" i="3"/>
  <c r="AC628" i="3"/>
  <c r="AC237" i="3"/>
  <c r="AC425" i="3"/>
  <c r="AC388" i="3"/>
  <c r="AC149" i="3"/>
  <c r="AC447" i="3"/>
  <c r="AC532" i="3"/>
  <c r="AC612" i="3"/>
  <c r="AC925" i="3"/>
  <c r="AC201" i="3"/>
  <c r="AC668" i="3"/>
  <c r="AC108" i="3"/>
  <c r="AC335" i="3"/>
  <c r="AC580" i="3"/>
  <c r="AC481" i="3"/>
  <c r="AC715" i="3"/>
  <c r="AC445" i="3"/>
  <c r="AC418" i="3"/>
  <c r="AC740" i="3"/>
  <c r="AC929" i="3"/>
  <c r="AC405" i="3"/>
  <c r="AC528" i="3"/>
  <c r="AC825" i="3"/>
  <c r="AC152" i="3"/>
  <c r="AC21" i="3"/>
  <c r="AC567" i="3"/>
  <c r="AC832" i="3"/>
  <c r="AC472" i="3"/>
  <c r="AC311" i="3"/>
  <c r="AC258" i="3"/>
  <c r="AC41" i="3"/>
  <c r="AC209" i="3"/>
  <c r="AC353" i="3"/>
  <c r="AC646" i="3"/>
  <c r="AC381" i="3"/>
  <c r="AC812" i="3"/>
  <c r="AC836" i="3"/>
  <c r="AC120" i="3"/>
  <c r="AC410" i="3"/>
  <c r="AC480" i="3"/>
  <c r="AC469" i="3"/>
  <c r="AC54" i="3"/>
  <c r="AC926" i="3"/>
  <c r="AC369" i="3"/>
  <c r="AC663" i="3"/>
  <c r="AC384" i="3"/>
  <c r="AC19" i="3"/>
  <c r="AC583" i="3"/>
  <c r="AC282" i="3"/>
  <c r="AC542" i="3"/>
  <c r="AC963" i="3"/>
  <c r="AC159" i="3"/>
  <c r="AC95" i="3"/>
  <c r="AC440" i="3"/>
  <c r="AC850" i="3"/>
  <c r="AC969" i="3"/>
  <c r="AC104" i="3"/>
  <c r="A29" i="1" a="1"/>
  <c r="A36" i="1" s="1"/>
  <c r="AC317" i="3"/>
  <c r="AC378" i="3"/>
  <c r="AC306" i="3"/>
  <c r="AC407" i="3"/>
  <c r="AC985" i="3"/>
  <c r="AC588" i="3"/>
  <c r="AC888" i="3"/>
  <c r="AC212" i="3"/>
  <c r="AC665" i="3"/>
  <c r="AC780" i="3"/>
  <c r="AC53" i="3"/>
  <c r="AC452" i="3"/>
  <c r="M10" i="3"/>
  <c r="D56" i="1" s="1"/>
  <c r="AC896" i="3"/>
  <c r="AC450" i="3"/>
  <c r="AC541" i="3"/>
  <c r="L10" i="3"/>
  <c r="AC173" i="3"/>
  <c r="AC125" i="3"/>
  <c r="AC952" i="3"/>
  <c r="AC674" i="3"/>
  <c r="AC344" i="3"/>
  <c r="AC828" i="3"/>
  <c r="AC337" i="3"/>
  <c r="AC313" i="3"/>
  <c r="AC742" i="3"/>
  <c r="AC229" i="3"/>
  <c r="AC983" i="3"/>
  <c r="AC986" i="3"/>
  <c r="AC111" i="3"/>
  <c r="AC696" i="3"/>
  <c r="AC370" i="3"/>
  <c r="AC80" i="3"/>
  <c r="AC881" i="3"/>
  <c r="AC971" i="3"/>
  <c r="AC305" i="3"/>
  <c r="AC30" i="3"/>
  <c r="AC174" i="3"/>
  <c r="AC414" i="3"/>
  <c r="AC634" i="3"/>
  <c r="AC993" i="3"/>
  <c r="AC954" i="3"/>
  <c r="AC967" i="3"/>
  <c r="AC37" i="3"/>
  <c r="AC179" i="3"/>
  <c r="AC543" i="3"/>
  <c r="AC242" i="3"/>
  <c r="AC361" i="3"/>
  <c r="AC475" i="3"/>
  <c r="AC733" i="3"/>
  <c r="AC945" i="3"/>
  <c r="AC158" i="3"/>
  <c r="AC38" i="3"/>
  <c r="AC241" i="3"/>
  <c r="AC525" i="3"/>
  <c r="AC176" i="3"/>
  <c r="AC456" i="3"/>
  <c r="AC669" i="3"/>
  <c r="AC901" i="3"/>
  <c r="AC50" i="3"/>
  <c r="AC803" i="3"/>
  <c r="AC610" i="3"/>
  <c r="AC423" i="3"/>
  <c r="AC526" i="3"/>
  <c r="AC652" i="3"/>
  <c r="AC82" i="3"/>
  <c r="AC286" i="3"/>
  <c r="AC92" i="3"/>
  <c r="AC788" i="3"/>
  <c r="AC131" i="3"/>
  <c r="AC197" i="3"/>
  <c r="AC162" i="3"/>
  <c r="AC816" i="3"/>
  <c r="AC355" i="3"/>
  <c r="AC338" i="3"/>
  <c r="AC413" i="3"/>
  <c r="AC915" i="3"/>
  <c r="AC390" i="3"/>
  <c r="AC565" i="3"/>
  <c r="AC657" i="3"/>
  <c r="AC691" i="3"/>
  <c r="AC559" i="3"/>
  <c r="AC514" i="3"/>
  <c r="AC226" i="3"/>
  <c r="AC601" i="3"/>
  <c r="AC421" i="3"/>
  <c r="AC321" i="3"/>
  <c r="AC365" i="3"/>
  <c r="AC392" i="3"/>
  <c r="AC205" i="3"/>
  <c r="AC185" i="3"/>
  <c r="AC191" i="3"/>
  <c r="AC359" i="3"/>
  <c r="AC625" i="3"/>
  <c r="AC622" i="3"/>
  <c r="AC920" i="3"/>
  <c r="AC142" i="3"/>
  <c r="AC594" i="3"/>
  <c r="AC590" i="3"/>
  <c r="AC909" i="3"/>
  <c r="AC118" i="3"/>
  <c r="AC309" i="3"/>
  <c r="AC72" i="3"/>
  <c r="AC300" i="3"/>
  <c r="AC128" i="3"/>
  <c r="AC599" i="3"/>
  <c r="AC439" i="3"/>
  <c r="AC1005" i="3"/>
  <c r="AC288" i="3"/>
  <c r="AC577" i="3"/>
  <c r="AC755" i="3"/>
  <c r="AC848" i="3"/>
  <c r="AC764" i="3"/>
  <c r="AC947" i="3"/>
  <c r="AC222" i="3"/>
  <c r="AC345" i="3"/>
  <c r="AC517" i="3"/>
  <c r="AC298" i="3"/>
  <c r="AC302" i="3"/>
  <c r="AC756" i="3"/>
  <c r="AC403" i="3"/>
  <c r="AC834" i="3"/>
  <c r="AC831" i="3"/>
  <c r="AC709" i="3"/>
  <c r="AC957" i="3"/>
  <c r="AC17" i="3"/>
  <c r="AC230" i="3"/>
  <c r="AC545" i="3"/>
  <c r="AC931" i="3"/>
  <c r="AC712" i="3"/>
  <c r="AC907" i="3"/>
  <c r="AC103" i="3"/>
  <c r="AC262" i="3"/>
  <c r="AC94" i="3"/>
  <c r="AC97" i="3"/>
  <c r="AC290" i="3"/>
  <c r="AC188" i="3"/>
  <c r="AC495" i="3"/>
  <c r="AC484" i="3"/>
  <c r="AC1000" i="3"/>
  <c r="AC147" i="3"/>
  <c r="AC449" i="3"/>
  <c r="AC596" i="3"/>
  <c r="AC61" i="3"/>
  <c r="AC732" i="3"/>
  <c r="AC325" i="3"/>
  <c r="AC520" i="3"/>
  <c r="AC257" i="3"/>
  <c r="AC260" i="3"/>
  <c r="AC249" i="3"/>
  <c r="AC905" i="3"/>
  <c r="AC933" i="3"/>
  <c r="AC346" i="3"/>
  <c r="AC329" i="3"/>
  <c r="AC464" i="3"/>
  <c r="AC293" i="3"/>
  <c r="AC687" i="3"/>
  <c r="AC773" i="3"/>
  <c r="AC32" i="3"/>
  <c r="AC362" i="3"/>
  <c r="AC841" i="3"/>
  <c r="AC93" i="3"/>
  <c r="AC217" i="3"/>
  <c r="AC336" i="3"/>
  <c r="AC43" i="3"/>
  <c r="AC988" i="3"/>
  <c r="AC348" i="3"/>
  <c r="AC394" i="3"/>
  <c r="AC383" i="3"/>
  <c r="AC453" i="3"/>
  <c r="AC789" i="3"/>
  <c r="AC512" i="3"/>
  <c r="AC143" i="3"/>
  <c r="AC254" i="3"/>
  <c r="AC459" i="3"/>
  <c r="AC649" i="3"/>
  <c r="AC739" i="3"/>
  <c r="AC165" i="3"/>
  <c r="AC349" i="3"/>
  <c r="AC922" i="3"/>
  <c r="AC218" i="3"/>
  <c r="AC236" i="3"/>
  <c r="AC871" i="3"/>
  <c r="AC177" i="3"/>
  <c r="AC899" i="3"/>
  <c r="AC667" i="3"/>
  <c r="AC85" i="3"/>
  <c r="AC431" i="3"/>
  <c r="AC477" i="3"/>
  <c r="AC868" i="3"/>
  <c r="AC499" i="3"/>
  <c r="AC14" i="3"/>
  <c r="AC1004" i="3"/>
  <c r="AC294" i="3"/>
  <c r="AC330" i="3"/>
  <c r="AC867" i="3"/>
  <c r="AC88" i="3"/>
  <c r="AC357" i="3"/>
  <c r="AC637" i="3"/>
  <c r="AC676" i="3"/>
  <c r="AC246" i="3"/>
  <c r="AC322" i="3"/>
  <c r="AC417" i="3"/>
  <c r="AC688" i="3"/>
  <c r="AC641" i="3"/>
  <c r="AC135" i="3"/>
  <c r="AC547" i="3"/>
  <c r="AC536" i="3"/>
  <c r="AC714" i="3"/>
  <c r="AC155" i="3"/>
  <c r="AC645" i="3"/>
  <c r="AC877" i="3"/>
  <c r="AC940" i="3"/>
  <c r="AC598" i="3"/>
  <c r="AC792" i="3"/>
  <c r="AC777" i="3"/>
  <c r="AC979" i="3"/>
  <c r="AC751" i="3"/>
  <c r="AC977" i="3"/>
  <c r="AC644" i="3"/>
  <c r="AC139" i="3"/>
  <c r="AC65" i="3"/>
  <c r="AC805" i="3"/>
  <c r="AC76" i="3"/>
  <c r="AC285" i="3"/>
  <c r="AC24" i="3"/>
  <c r="AC168" i="3"/>
  <c r="AC360" i="3"/>
  <c r="AC220" i="3"/>
  <c r="AC138" i="3"/>
  <c r="AC184" i="3"/>
  <c r="AC259" i="3"/>
  <c r="AC248" i="3"/>
  <c r="AC774" i="3"/>
  <c r="AC493" i="3"/>
  <c r="AC576" i="3"/>
  <c r="AC552" i="3"/>
  <c r="AC127" i="3"/>
  <c r="AC632" i="3"/>
  <c r="AC186" i="3"/>
  <c r="AC243" i="3"/>
  <c r="AC501" i="3"/>
  <c r="AC219" i="3"/>
  <c r="AC396" i="3"/>
  <c r="AC656" i="3"/>
  <c r="AC653" i="3"/>
  <c r="AC664" i="3"/>
  <c r="AC166" i="3"/>
  <c r="AC808" i="3"/>
  <c r="AC448" i="3"/>
  <c r="AC584" i="3"/>
  <c r="AC324" i="3"/>
  <c r="AC69" i="3"/>
  <c r="AC22" i="3"/>
  <c r="AC461" i="3"/>
  <c r="AC210" i="3"/>
  <c r="AC267" i="3"/>
  <c r="AC482" i="3"/>
  <c r="AC608" i="3"/>
  <c r="AC271" i="3"/>
  <c r="AC272" i="3"/>
  <c r="AC531" i="3"/>
  <c r="AC202" i="3"/>
  <c r="AC352" i="3"/>
  <c r="AC613" i="3"/>
  <c r="AC568" i="3"/>
  <c r="AC631" i="3"/>
  <c r="AC48" i="3"/>
  <c r="AC255" i="3"/>
  <c r="AC554" i="3"/>
  <c r="AC821" i="3"/>
  <c r="AC746" i="3"/>
  <c r="AC63" i="3"/>
  <c r="AC253" i="3"/>
  <c r="AC458" i="3"/>
  <c r="AC648" i="3"/>
  <c r="AC697" i="3"/>
  <c r="AC761" i="3"/>
  <c r="AC39" i="3"/>
  <c r="AC62" i="3"/>
  <c r="AC163" i="3"/>
  <c r="AC283" i="3"/>
  <c r="AC319" i="3"/>
  <c r="AC487" i="3"/>
  <c r="AC476" i="3"/>
  <c r="AC424" i="3"/>
  <c r="AC695" i="3"/>
  <c r="AC921" i="3"/>
  <c r="AC717" i="3"/>
  <c r="AC959" i="3"/>
  <c r="AC73" i="3"/>
  <c r="AC382" i="3"/>
  <c r="AC400" i="3"/>
  <c r="AC546" i="3"/>
  <c r="AC571" i="3"/>
  <c r="AC629" i="3"/>
  <c r="AC866" i="3"/>
  <c r="AC910" i="3"/>
  <c r="AC106" i="3"/>
  <c r="AC141" i="3"/>
  <c r="AC182" i="3"/>
  <c r="AC640" i="3"/>
  <c r="AC521" i="3"/>
  <c r="AC689" i="3"/>
  <c r="AC725" i="3"/>
  <c r="AC529" i="3"/>
  <c r="AC776" i="3"/>
  <c r="AC686" i="3"/>
  <c r="AC1001" i="3"/>
  <c r="AC919" i="3"/>
  <c r="AC34" i="3"/>
  <c r="AC144" i="3"/>
  <c r="AC274" i="3"/>
  <c r="AC363" i="3"/>
  <c r="AC454" i="3"/>
  <c r="AC585" i="3"/>
  <c r="AC537" i="3"/>
  <c r="AC589" i="3"/>
  <c r="AC680" i="3"/>
  <c r="AC790" i="3"/>
  <c r="AC829" i="3"/>
  <c r="AC941" i="3"/>
  <c r="AC874" i="3"/>
  <c r="AC68" i="3"/>
  <c r="AC64" i="3"/>
  <c r="AC112" i="3"/>
  <c r="AC129" i="3"/>
  <c r="AC150" i="3"/>
  <c r="AC126" i="3"/>
  <c r="AC198" i="3"/>
  <c r="AC160" i="3"/>
  <c r="AC343" i="3"/>
  <c r="AC312" i="3"/>
  <c r="AC519" i="3"/>
  <c r="AC604" i="3"/>
  <c r="AC328" i="3"/>
  <c r="AC827" i="3"/>
  <c r="AC741" i="3"/>
  <c r="AC855" i="3"/>
  <c r="AC889" i="3"/>
  <c r="AC927" i="3"/>
  <c r="AC964" i="3"/>
  <c r="AC718" i="3"/>
  <c r="AC996" i="3"/>
  <c r="AC89" i="3"/>
  <c r="AC295" i="3"/>
  <c r="AC356" i="3"/>
  <c r="AC441" i="3"/>
  <c r="AC822" i="3"/>
  <c r="AC722" i="3"/>
  <c r="AC638" i="3"/>
  <c r="AC894" i="3"/>
  <c r="AC798" i="3"/>
  <c r="AC675" i="3"/>
  <c r="AC716" i="3"/>
  <c r="AC79" i="3"/>
  <c r="AC206" i="3"/>
  <c r="AC347" i="3"/>
  <c r="AC444" i="3"/>
  <c r="AC813" i="3"/>
  <c r="AC51" i="3"/>
  <c r="AC114" i="3"/>
  <c r="AC105" i="3"/>
  <c r="AC334" i="3"/>
  <c r="AC323" i="3"/>
  <c r="AC422" i="3"/>
  <c r="AC524" i="3"/>
  <c r="AC817" i="3"/>
  <c r="AC748" i="3"/>
  <c r="AC853" i="3"/>
  <c r="AC606" i="3"/>
  <c r="AC775" i="3"/>
  <c r="AC924" i="3"/>
  <c r="AC40" i="3"/>
  <c r="AC81" i="3"/>
  <c r="AC387" i="3"/>
  <c r="AC787" i="3"/>
  <c r="AC122" i="3"/>
  <c r="AC130" i="3"/>
  <c r="AC119" i="3"/>
  <c r="AC250" i="3"/>
  <c r="AC278" i="3"/>
  <c r="AC251" i="3"/>
  <c r="AC592" i="3"/>
  <c r="AC705" i="3"/>
  <c r="AC794" i="3"/>
  <c r="AC670" i="3"/>
  <c r="AC914" i="3"/>
  <c r="AC936" i="3"/>
  <c r="AC943" i="3"/>
  <c r="AC661" i="3"/>
  <c r="AC84" i="3"/>
  <c r="AC443" i="3"/>
  <c r="AC807" i="3"/>
  <c r="AC995" i="3"/>
  <c r="AC647" i="3"/>
  <c r="AC636" i="3"/>
  <c r="AC861" i="3"/>
  <c r="AC906" i="3"/>
  <c r="AC987" i="3"/>
  <c r="AC98" i="3"/>
  <c r="AC280" i="3"/>
  <c r="AC595" i="3"/>
  <c r="AC623" i="3"/>
  <c r="AC698" i="3"/>
  <c r="AC934" i="3"/>
  <c r="AC972" i="3"/>
  <c r="AC397" i="3"/>
  <c r="AC308" i="3"/>
  <c r="AC474" i="3"/>
  <c r="AC463" i="3"/>
  <c r="AC771" i="3"/>
  <c r="AC738" i="3"/>
  <c r="AC799" i="3"/>
  <c r="AC872" i="3"/>
  <c r="AC720" i="3"/>
  <c r="AC67" i="3"/>
  <c r="AC522" i="3"/>
  <c r="AC814" i="3"/>
  <c r="AC747" i="3"/>
  <c r="AC607" i="3"/>
  <c r="AC737" i="3"/>
  <c r="AC886" i="3"/>
  <c r="AC27" i="3"/>
  <c r="AC124" i="3"/>
  <c r="AC193" i="3"/>
  <c r="AC187" i="3"/>
  <c r="AC301" i="3"/>
  <c r="AC299" i="3"/>
  <c r="AC415" i="3"/>
  <c r="AC507" i="3"/>
  <c r="AC615" i="3"/>
  <c r="AC617" i="3"/>
  <c r="AC678" i="3"/>
  <c r="AC765" i="3"/>
  <c r="AC754" i="3"/>
  <c r="AC840" i="3"/>
  <c r="AC904" i="3"/>
  <c r="AC1003" i="3"/>
  <c r="AC951" i="3"/>
  <c r="AC772" i="3"/>
  <c r="AC71" i="3"/>
  <c r="AC121" i="3"/>
  <c r="AC175" i="3"/>
  <c r="AC292" i="3"/>
  <c r="AC216" i="3"/>
  <c r="AC602" i="3"/>
  <c r="AC620" i="3"/>
  <c r="AC673" i="3"/>
  <c r="AC833" i="3"/>
  <c r="AC830" i="3"/>
  <c r="AC908" i="3"/>
  <c r="AC956" i="3"/>
  <c r="AC704" i="3"/>
  <c r="AC277" i="3"/>
  <c r="AC432" i="3"/>
  <c r="AC672" i="3"/>
  <c r="AC846" i="3"/>
  <c r="AC757" i="3"/>
  <c r="AC930" i="3"/>
  <c r="AC879" i="3"/>
  <c r="AC189" i="3"/>
  <c r="AC333" i="3"/>
  <c r="AC332" i="3"/>
  <c r="AC419" i="3"/>
  <c r="AC635" i="3"/>
  <c r="AC719" i="3"/>
  <c r="AC880" i="3"/>
  <c r="AC989" i="3"/>
  <c r="AC42" i="3"/>
  <c r="AC164" i="3"/>
  <c r="AC180" i="3"/>
  <c r="AC244" i="3"/>
  <c r="AC462" i="3"/>
  <c r="AC569" i="3"/>
  <c r="AC895" i="3"/>
  <c r="AC973" i="3"/>
  <c r="AC117" i="3"/>
  <c r="AC29" i="3"/>
  <c r="AC207" i="3"/>
  <c r="AC247" i="3"/>
  <c r="AC802" i="3"/>
  <c r="AC245" i="3"/>
  <c r="AC416" i="3"/>
  <c r="AC492" i="3"/>
  <c r="AC842" i="3"/>
  <c r="AC736" i="3"/>
  <c r="AC975" i="3"/>
  <c r="AC976" i="3"/>
  <c r="AC28" i="3"/>
  <c r="AC86" i="3"/>
  <c r="AC90" i="3"/>
  <c r="AC153" i="3"/>
  <c r="AC221" i="3"/>
  <c r="AC367" i="3"/>
  <c r="AC420" i="3"/>
  <c r="AC558" i="3"/>
  <c r="AC513" i="3"/>
  <c r="AC633" i="3"/>
  <c r="AC616" i="3"/>
  <c r="AC729" i="3"/>
  <c r="AC533" i="3"/>
  <c r="AC642" i="3"/>
  <c r="AC815" i="3"/>
  <c r="AC1002" i="3"/>
  <c r="AC91" i="3"/>
  <c r="AC261" i="3"/>
  <c r="AC214" i="3"/>
  <c r="AC354" i="3"/>
  <c r="AC364" i="3"/>
  <c r="AC427" i="3"/>
  <c r="AC455" i="3"/>
  <c r="AC603" i="3"/>
  <c r="AC591" i="3"/>
  <c r="AC540" i="3"/>
  <c r="AC561" i="3"/>
  <c r="AC682" i="3"/>
  <c r="AC549" i="3"/>
  <c r="AC791" i="3"/>
  <c r="AC692" i="3"/>
  <c r="AC966" i="3"/>
  <c r="AC796" i="3"/>
  <c r="AC944" i="3"/>
  <c r="AC900" i="3"/>
  <c r="AC891" i="3"/>
  <c r="AC768" i="3"/>
  <c r="AC994" i="3"/>
  <c r="AC23" i="3"/>
  <c r="AC379" i="3"/>
  <c r="AC460" i="3"/>
  <c r="AC579" i="3"/>
  <c r="AC544" i="3"/>
  <c r="AC557" i="3"/>
  <c r="AC997" i="3"/>
  <c r="AC190" i="3"/>
  <c r="AC167" i="3"/>
  <c r="AC225" i="3"/>
  <c r="AC486" i="3"/>
  <c r="AC404" i="3"/>
  <c r="AC500" i="3"/>
  <c r="AC677" i="3"/>
  <c r="AC758" i="3"/>
  <c r="AC999" i="3"/>
  <c r="AC60" i="3"/>
  <c r="AC611" i="3"/>
  <c r="AC624" i="3"/>
  <c r="AC837" i="3"/>
  <c r="AC826" i="3"/>
  <c r="AC946" i="3"/>
  <c r="AC137" i="3"/>
  <c r="AC123" i="3"/>
  <c r="AC270" i="3"/>
  <c r="AC502" i="3"/>
  <c r="AC708" i="3"/>
  <c r="AC935" i="3"/>
  <c r="AC55" i="3"/>
  <c r="AC96" i="3"/>
  <c r="AC134" i="3"/>
  <c r="AC211" i="3"/>
  <c r="AC178" i="3"/>
  <c r="AC287" i="3"/>
  <c r="AC503" i="3"/>
  <c r="AC575" i="3"/>
  <c r="AC489" i="3"/>
  <c r="AC711" i="3"/>
  <c r="AC962" i="3"/>
  <c r="AC932" i="3"/>
  <c r="AC52" i="3"/>
  <c r="AC45" i="3"/>
  <c r="AC154" i="3"/>
  <c r="AC204" i="3"/>
  <c r="AC289" i="3"/>
  <c r="AC726" i="3"/>
  <c r="AC724" i="3"/>
  <c r="AC939" i="3"/>
  <c r="AC887" i="3"/>
  <c r="AC984" i="3"/>
  <c r="AC16" i="3"/>
  <c r="AC109" i="3"/>
  <c r="AC102" i="3"/>
  <c r="AC402" i="3"/>
  <c r="AC391" i="3"/>
  <c r="AC438" i="3"/>
  <c r="AC494" i="3"/>
  <c r="AC483" i="3"/>
  <c r="AC534" i="3"/>
  <c r="AC621" i="3"/>
  <c r="AC767" i="3"/>
  <c r="AC763" i="3"/>
  <c r="AC730" i="3"/>
  <c r="AC744" i="3"/>
  <c r="AC797" i="3"/>
  <c r="AC981" i="3"/>
  <c r="AC227" i="3"/>
  <c r="AC429" i="3"/>
  <c r="AC146" i="3"/>
  <c r="AC192" i="3"/>
  <c r="AC268" i="3"/>
  <c r="AC471" i="3"/>
  <c r="AC626" i="3"/>
  <c r="AC231" i="3"/>
  <c r="AC555" i="3"/>
  <c r="AC847" i="3"/>
  <c r="AC970" i="3"/>
  <c r="AC228" i="3"/>
  <c r="AC406" i="3"/>
  <c r="AC395" i="3"/>
  <c r="AC408" i="3"/>
  <c r="AC734" i="3"/>
  <c r="AC759" i="3"/>
  <c r="AC820" i="3"/>
  <c r="AC870" i="3"/>
  <c r="AC784" i="3"/>
  <c r="AC960" i="3"/>
  <c r="AC18" i="3"/>
  <c r="AC15" i="3"/>
  <c r="AC269" i="3"/>
  <c r="AC358" i="3"/>
  <c r="AC446" i="3"/>
  <c r="AC600" i="3"/>
  <c r="AC614" i="3"/>
  <c r="AC710" i="3"/>
  <c r="AC707" i="3"/>
  <c r="AC749" i="3"/>
  <c r="AC735" i="3"/>
  <c r="AC923" i="3"/>
  <c r="AC49" i="3"/>
  <c r="AC208" i="3"/>
  <c r="AC297" i="3"/>
  <c r="AC411" i="3"/>
  <c r="AC753" i="3"/>
  <c r="AC750" i="3"/>
  <c r="AC778" i="3"/>
  <c r="AC800" i="3"/>
  <c r="AC873" i="3"/>
  <c r="AC25" i="3"/>
  <c r="AC31" i="3"/>
  <c r="AC44" i="3"/>
  <c r="AC275" i="3"/>
  <c r="AC256" i="3"/>
  <c r="AC310" i="3"/>
  <c r="AC426" i="3"/>
  <c r="AC518" i="3"/>
  <c r="AC468" i="3"/>
  <c r="AC581" i="3"/>
  <c r="AC857" i="3"/>
  <c r="AC854" i="3"/>
  <c r="AC723" i="3"/>
  <c r="AC701" i="3"/>
  <c r="AC690" i="3"/>
  <c r="AC938" i="3"/>
  <c r="AC194" i="3"/>
  <c r="AC156" i="3"/>
  <c r="AC350" i="3"/>
  <c r="AC339" i="3"/>
  <c r="AC389" i="3"/>
  <c r="AC385" i="3"/>
  <c r="AC320" i="3"/>
  <c r="AC412" i="3"/>
  <c r="AC766" i="3"/>
  <c r="AC727" i="3"/>
  <c r="AC953" i="3"/>
  <c r="AC804" i="3"/>
  <c r="AC978" i="3"/>
  <c r="AC845" i="3"/>
  <c r="AC991" i="3"/>
  <c r="AC948" i="3"/>
  <c r="AC992" i="3"/>
  <c r="AC782" i="3"/>
  <c r="AC810" i="3"/>
  <c r="AC430" i="3"/>
  <c r="AC380" i="3"/>
  <c r="AC107" i="3"/>
  <c r="AC307" i="3"/>
  <c r="AC762" i="3"/>
  <c r="AC171" i="3"/>
  <c r="AC516" i="3"/>
  <c r="AC506" i="3"/>
  <c r="AC713" i="3"/>
  <c r="AC961" i="3"/>
  <c r="AC974" i="3"/>
  <c r="AC968" i="3"/>
  <c r="AC58" i="3"/>
  <c r="AC223" i="3"/>
  <c r="AC281" i="3"/>
  <c r="AC327" i="3"/>
  <c r="AC316" i="3"/>
  <c r="AC433" i="3"/>
  <c r="AC372" i="3"/>
  <c r="AC478" i="3"/>
  <c r="AC627" i="3"/>
  <c r="AC662" i="3"/>
  <c r="AC618" i="3"/>
  <c r="AC839" i="3"/>
  <c r="AC865" i="3"/>
  <c r="AC950" i="3"/>
  <c r="AC911" i="3"/>
  <c r="AC238" i="3"/>
  <c r="AC314" i="3"/>
  <c r="AC303" i="3"/>
  <c r="AC398" i="3"/>
  <c r="AC451" i="3"/>
  <c r="AC490" i="3"/>
  <c r="AC587" i="3"/>
  <c r="AC818" i="3"/>
  <c r="AC752" i="3"/>
  <c r="AC913" i="3"/>
  <c r="AC875" i="3"/>
  <c r="AC876" i="3"/>
  <c r="AC115" i="3"/>
  <c r="AC239" i="3"/>
  <c r="AC436" i="3"/>
  <c r="AC508" i="3"/>
  <c r="AC564" i="3"/>
  <c r="AC655" i="3"/>
  <c r="AC769" i="3"/>
  <c r="AC858" i="3"/>
  <c r="AC844" i="3"/>
  <c r="AC133" i="3"/>
  <c r="AC485" i="3"/>
  <c r="AC660" i="3"/>
  <c r="AC955" i="3"/>
  <c r="AC892" i="3"/>
  <c r="AC331" i="3"/>
  <c r="AC296" i="3"/>
  <c r="AC511" i="3"/>
  <c r="AC650" i="3"/>
  <c r="AC786" i="3"/>
  <c r="AC783" i="3"/>
  <c r="AC659" i="3"/>
  <c r="AC869" i="3"/>
  <c r="AC958" i="3"/>
  <c r="AC265" i="3"/>
  <c r="AC291" i="3"/>
  <c r="AC318" i="3"/>
  <c r="AC498" i="3"/>
  <c r="AC488" i="3"/>
  <c r="AC570" i="3"/>
  <c r="AC560" i="3"/>
  <c r="AC862" i="3"/>
  <c r="AC998" i="3"/>
  <c r="AC883" i="3"/>
  <c r="AC882" i="3"/>
  <c r="AC20" i="3"/>
  <c r="AC435" i="3"/>
  <c r="AC527" i="3"/>
  <c r="AC371" i="3"/>
  <c r="AC505" i="3"/>
  <c r="AC651" i="3"/>
  <c r="AC838" i="3"/>
  <c r="AC835" i="3"/>
  <c r="AC863" i="3"/>
  <c r="AC824" i="3"/>
  <c r="AC181" i="3"/>
  <c r="AC224" i="3"/>
  <c r="AC235" i="3"/>
  <c r="AC284" i="3"/>
  <c r="AC148" i="3"/>
  <c r="AC465" i="3"/>
  <c r="AC639" i="3"/>
  <c r="AC864" i="3"/>
  <c r="AC898" i="3"/>
  <c r="AC46" i="3"/>
  <c r="AC77" i="3"/>
  <c r="AC99" i="3"/>
  <c r="AC263" i="3"/>
  <c r="AC315" i="3"/>
  <c r="AC409" i="3"/>
  <c r="AC496" i="3"/>
  <c r="AC479" i="3"/>
  <c r="AC551" i="3"/>
  <c r="AC679" i="3"/>
  <c r="AC681" i="3"/>
  <c r="AC666" i="3"/>
  <c r="AC851" i="3"/>
  <c r="AC169" i="3"/>
  <c r="AC196" i="3"/>
  <c r="AC233" i="3"/>
  <c r="AC200" i="3"/>
  <c r="AC341" i="3"/>
  <c r="AC374" i="3"/>
  <c r="AC466" i="3"/>
  <c r="AC563" i="3"/>
  <c r="AC643" i="3"/>
  <c r="AC702" i="3"/>
  <c r="AC699" i="3"/>
  <c r="AC890" i="3"/>
  <c r="AC902" i="3"/>
  <c r="AC917" i="3"/>
  <c r="X9" i="3" l="1"/>
  <c r="F19" i="1"/>
  <c r="D14" i="1"/>
  <c r="D67" i="1"/>
  <c r="R18" i="1"/>
  <c r="S18" i="1" s="1"/>
  <c r="Z18" i="1" s="1"/>
  <c r="R26" i="1"/>
  <c r="S26" i="1" s="1"/>
  <c r="Z26" i="1" s="1"/>
  <c r="R34" i="1"/>
  <c r="S34" i="1" s="1"/>
  <c r="Z34" i="1" s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8" i="3"/>
  <c r="W9" i="3" s="1"/>
  <c r="S154" i="1"/>
  <c r="Z154" i="1" s="1"/>
  <c r="S290" i="1"/>
  <c r="Z290" i="1" s="1"/>
  <c r="S106" i="1"/>
  <c r="Z106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8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<sst xmlns="http://schemas.openxmlformats.org/spreadsheetml/2006/main" count="488" uniqueCount="285">
  <si>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</si>
  <si>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</si>
  <si>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</si>
  <si>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</si>
  <si>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</si>
  <si>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</si>
  <si>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</si>
  <si>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</si>
  <si>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</si>
  <si>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</si>
  <si>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</si>
  <si>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</si>
  <si>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</si>
  <si>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</si>
  <si>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</si>
  <si>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</si>
  <si>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</si>
  <si>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</si>
  <si>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</si>
  <si>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</si>
  <si>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</si>
  <si>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</si>
  <si>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</si>
  <si>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</si>
  <si>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</si>
  <si>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</si>
  <si>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</si>
  <si>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</si>
  <si>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</si>
  <si>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</si>
  <si>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</si>
  <si>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</si>
  <si>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</si>
  <si>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</si>
  <si>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</si>
  <si>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</si>
  <si>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</si>
  <si>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</si>
  <si>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</si>
  <si>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</si>
  <si>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</si>
  <si>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</si>
  <si>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</si>
  <si>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</si>
  <si>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</si>
  <si>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</si>
  <si>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</si>
  <si>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</si>
  <si>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</si>
  <si>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</si>
  <si>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</si>
  <si>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</si>
  <si>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</si>
  <si>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</si>
  <si>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</si>
  <si>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</si>
  <si>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</si>
  <si>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</si>
  <si>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</si>
  <si>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</si>
  <si>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</si>
  <si>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</si>
  <si>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</si>
  <si>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</si>
  <si>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</si>
  <si>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</si>
  <si>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</si>
  <si>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</si>
  <si>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</si>
  <si>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</si>
  <si>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</si>
  <si>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</si>
  <si>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</si>
  <si>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</si>
  <si>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</si>
  <si>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</si>
  <si>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</si>
  <si>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</si>
  <si>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</si>
  <si>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</si>
  <si>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</si>
  <si>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</si>
  <si>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</si>
  <si>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</si>
  <si>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</si>
  <si>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</si>
  <si>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</si>
  <si>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</si>
  <si>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</si>
  <si>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</si>
  <si>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</si>
  <si>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</si>
  <si>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</si>
  <si>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</si>
  <si>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</si>
  <si>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</si>
  <si>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</si>
  <si>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</si>
  <si>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</si>
  <si>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</si>
  <si>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</si>
  <si>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</si>
  <si>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</si>
  <si>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</si>
  <si>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</si>
  <si>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</si>
  <si>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</si>
  <si>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</si>
  <si>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</si>
  <si>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</si>
  <si>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</si>
  <si>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</si>
  <si>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</si>
  <si>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</si>
  <si>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</si>
  <si>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</si>
  <si>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</si>
  <si>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</si>
  <si>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</si>
  <si>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</si>
  <si>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</si>
  <si>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</si>
  <si>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</si>
  <si>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</si>
  <si>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</si>
  <si>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</si>
  <si>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</si>
  <si>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</si>
  <si>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</si>
  <si>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</si>
  <si>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</si>
  <si>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</si>
  <si>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</si>
  <si>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</si>
  <si>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</si>
  <si>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</si>
  <si>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</si>
  <si>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</si>
  <si>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</si>
  <si>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</si>
  <si>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</si>
  <si>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</si>
  <si>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</si>
  <si>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</si>
  <si>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</si>
  <si>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</si>
  <si>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</si>
  <si>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</si>
  <si>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</si>
  <si>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</si>
  <si>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</si>
  <si>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</si>
  <si>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</si>
  <si>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</si>
  <si>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</si>
  <si>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</si>
  <si>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</si>
  <si>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</si>
  <si>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</si>
  <si>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</si>
  <si>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</si>
  <si>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</si>
  <si>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</si>
  <si>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</si>
  <si>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</si>
  <si>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</si>
  <si>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</si>
  <si>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</si>
  <si>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</si>
  <si>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</si>
  <si>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</si>
  <si>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</si>
  <si>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</si>
  <si>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</si>
  <si>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</si>
  <si>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</si>
  <si>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</si>
  <si>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</si>
  <si>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</si>
  <si>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</si>
  <si>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</si>
  <si>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</si>
  <si>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</si>
  <si>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</si>
  <si>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</si>
  <si>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</si>
  <si>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</si>
  <si>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</si>
  <si>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</si>
  <si>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</si>
  <si>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</si>
  <si>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</si>
  <si>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</si>
  <si>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</si>
  <si>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</si>
  <si>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</si>
  <si>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</si>
  <si>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</si>
  <si>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</si>
  <si>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</si>
  <si>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</si>
  <si>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</si>
  <si>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</si>
  <si>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</si>
  <si>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</si>
  <si>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</si>
  <si>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</si>
  <si>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</si>
  <si>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</si>
  <si>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</si>
  <si>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</si>
  <si>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</si>
  <si>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</si>
  <si>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</si>
  <si>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</si>
  <si>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</si>
  <si>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</si>
  <si>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</si>
  <si>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</si>
  <si>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</si>
  <si>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</si>
  <si>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</si>
  <si>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</si>
  <si>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</si>
  <si>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</si>
  <si>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</si>
  <si>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</si>
  <si>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</si>
  <si>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</si>
  <si>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</si>
  <si>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</si>
  <si>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</si>
  <si>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</si>
  <si>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</si>
  <si>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</si>
  <si>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</si>
  <si>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</si>
  <si>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</si>
  <si>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</si>
  <si>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</si>
  <si>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</si>
  <si>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</si>
  <si>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</si>
  <si>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</si>
  <si>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</si>
  <si>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</si>
  <si>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</si>
  <si>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</si>
  <si>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</si>
  <si>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</si>
  <si>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</si>
  <si>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</si>
  <si>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</si>
  <si>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</si>
  <si>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</si>
  <si>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</si>
  <si>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</si>
  <si>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</si>
  <si>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</si>
  <si>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</si>
  <si>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</si>
  <si>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</si>
  <si>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</si>
  <si>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</si>
  <si>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</si>
  <si>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</si>
  <si>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</si>
  <si>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</si>
  <si>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</si>
  <si>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</si>
  <si>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</si>
  <si>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linocln</t>
  </si>
  <si>
    <t>pukekohe</t>
  </si>
  <si>
    <t>hastings</t>
  </si>
  <si>
    <t>gore</t>
  </si>
  <si>
    <t>levin</t>
  </si>
  <si>
    <t>In</t>
  </si>
  <si>
    <t>Out</t>
  </si>
  <si>
    <t>Early_harvest</t>
  </si>
  <si>
    <t>Maturity_harvest</t>
  </si>
  <si>
    <t>Green_manure</t>
  </si>
  <si>
    <t>SandyClayLoam</t>
  </si>
  <si>
    <t>Other Crop Parts</t>
  </si>
  <si>
    <t>Crop Product</t>
  </si>
  <si>
    <t>Uncharacterised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</si>
</sst>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4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Interface'!$K$1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Interface'!$J$2:$J$3</c:f>
              <c:strCache>
                <c:ptCount val="2"/>
                <c:pt idx="0">
                  <c:v>In</c:v>
                </c:pt>
                <c:pt idx="1">
                  <c:v>Out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146</c:v>
                </c:pt>
                <c:pt idx="1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6"/>
          <c:order val="1"/>
          <c:tx>
            <c:strRef>
              <c:f>'Model Interface'!$M$1</c:f>
              <c:strCache>
                <c:ptCount val="1"/>
                <c:pt idx="0">
                  <c:v>Residue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Interface'!$J$2:$J$3</c:f>
              <c:strCache>
                <c:ptCount val="2"/>
                <c:pt idx="0">
                  <c:v>In</c:v>
                </c:pt>
                <c:pt idx="1">
                  <c:v>Out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2"/>
          <c:order val="2"/>
          <c:tx>
            <c:strRef>
              <c:f>'Model Interface'!$N$1</c:f>
              <c:strCache>
                <c:ptCount val="1"/>
                <c:pt idx="0">
                  <c:v>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Interface'!$J$2:$J$3</c:f>
              <c:strCache>
                <c:ptCount val="2"/>
                <c:pt idx="0">
                  <c:v>In</c:v>
                </c:pt>
                <c:pt idx="1">
                  <c:v>Out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83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1"/>
          <c:order val="3"/>
          <c:tx>
            <c:strRef>
              <c:f>'Model Interface'!$O$1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Interface'!$J$2:$J$3</c:f>
              <c:strCache>
                <c:ptCount val="2"/>
                <c:pt idx="0">
                  <c:v>In</c:v>
                </c:pt>
                <c:pt idx="1">
                  <c:v>Out</c:v>
                </c:pt>
              </c:strCache>
            </c:strRef>
          </c:cat>
          <c:val>
            <c:numRef>
              <c:f>'Model Interface'!$O$2:$O$3</c:f>
              <c:numCache>
                <c:formatCode>General</c:formatCode>
                <c:ptCount val="2"/>
                <c:pt idx="0">
                  <c:v>88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3"/>
          <c:order val="4"/>
          <c:tx>
            <c:strRef>
              <c:f>'Model Interface'!$P$1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Interface'!$J$2:$J$3</c:f>
              <c:strCache>
                <c:ptCount val="2"/>
                <c:pt idx="0">
                  <c:v>In</c:v>
                </c:pt>
                <c:pt idx="1">
                  <c:v>Out</c:v>
                </c:pt>
              </c:strCache>
            </c:strRef>
          </c:cat>
          <c:val>
            <c:numRef>
              <c:f>'Model Interface'!$P$2:$P$3</c:f>
              <c:numCache>
                <c:formatCode>General</c:formatCode>
                <c:ptCount val="2"/>
                <c:pt idx="0">
                  <c:v>3</c:v>
                </c:pt>
                <c:pt idx="1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7"/>
          <c:order val="5"/>
          <c:tx>
            <c:strRef>
              <c:f>'Model Interface'!$Q$1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Interface'!$J$2:$J$3</c:f>
              <c:strCache>
                <c:ptCount val="2"/>
                <c:pt idx="0">
                  <c:v>In</c:v>
                </c:pt>
                <c:pt idx="1">
                  <c:v>Out</c:v>
                </c:pt>
              </c:strCache>
            </c:strRef>
          </c:cat>
          <c:val>
            <c:numRef>
              <c:f>'Model Interface'!$Q$2:$Q$3</c:f>
              <c:numCache>
                <c:formatCode>General</c:formatCode>
                <c:ptCount val="2"/>
                <c:pt idx="0">
                  <c:v>0</c:v>
                </c:pt>
                <c:pt idx="1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5"/>
          <c:order val="6"/>
          <c:tx>
            <c:strRef>
              <c:f>'Model Interface'!$R$1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Interface'!$J$2:$J$3</c:f>
              <c:strCache>
                <c:ptCount val="2"/>
                <c:pt idx="0">
                  <c:v>In</c:v>
                </c:pt>
                <c:pt idx="1">
                  <c:v>Out</c:v>
                </c:pt>
              </c:strCache>
            </c:strRef>
          </c:cat>
          <c:val>
            <c:numRef>
              <c:f>'Model Interface'!$R$2:$R$3</c:f>
              <c:numCache>
                <c:formatCode>General</c:formatCode>
                <c:ptCount val="2"/>
                <c:pt idx="0">
                  <c:v>1</c:v>
                </c:pt>
                <c:pt idx="1">
                  <c:v>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45376</c:v>
                </c:pt>
                <c:pt idx="1">
                  <c:v>45377</c:v>
                </c:pt>
                <c:pt idx="2">
                  <c:v>45378</c:v>
                </c:pt>
                <c:pt idx="3">
                  <c:v>45379</c:v>
                </c:pt>
                <c:pt idx="4">
                  <c:v>45380</c:v>
                </c:pt>
                <c:pt idx="5">
                  <c:v>45381</c:v>
                </c:pt>
                <c:pt idx="6">
                  <c:v>45382</c:v>
                </c:pt>
                <c:pt idx="7">
                  <c:v>45383</c:v>
                </c:pt>
                <c:pt idx="8">
                  <c:v>45384</c:v>
                </c:pt>
                <c:pt idx="9">
                  <c:v>45385</c:v>
                </c:pt>
                <c:pt idx="10">
                  <c:v>45386</c:v>
                </c:pt>
                <c:pt idx="11">
                  <c:v>45387</c:v>
                </c:pt>
                <c:pt idx="12">
                  <c:v>45388</c:v>
                </c:pt>
                <c:pt idx="13">
                  <c:v>45389</c:v>
                </c:pt>
                <c:pt idx="14">
                  <c:v>45390</c:v>
                </c:pt>
                <c:pt idx="15">
                  <c:v>45391</c:v>
                </c:pt>
                <c:pt idx="16">
                  <c:v>45392</c:v>
                </c:pt>
                <c:pt idx="17">
                  <c:v>45393</c:v>
                </c:pt>
                <c:pt idx="18">
                  <c:v>45394</c:v>
                </c:pt>
                <c:pt idx="19">
                  <c:v>45395</c:v>
                </c:pt>
                <c:pt idx="20">
                  <c:v>45396</c:v>
                </c:pt>
                <c:pt idx="21">
                  <c:v>45397</c:v>
                </c:pt>
                <c:pt idx="22">
                  <c:v>45398</c:v>
                </c:pt>
                <c:pt idx="23">
                  <c:v>45399</c:v>
                </c:pt>
                <c:pt idx="24">
                  <c:v>45400</c:v>
                </c:pt>
                <c:pt idx="25">
                  <c:v>45401</c:v>
                </c:pt>
                <c:pt idx="26">
                  <c:v>45402</c:v>
                </c:pt>
                <c:pt idx="27">
                  <c:v>45403</c:v>
                </c:pt>
                <c:pt idx="28">
                  <c:v>45404</c:v>
                </c:pt>
                <c:pt idx="29">
                  <c:v>45405</c:v>
                </c:pt>
                <c:pt idx="30">
                  <c:v>45406</c:v>
                </c:pt>
                <c:pt idx="31">
                  <c:v>45407</c:v>
                </c:pt>
                <c:pt idx="32">
                  <c:v>45408</c:v>
                </c:pt>
                <c:pt idx="33">
                  <c:v>45409</c:v>
                </c:pt>
                <c:pt idx="34">
                  <c:v>45410</c:v>
                </c:pt>
                <c:pt idx="35">
                  <c:v>45411</c:v>
                </c:pt>
                <c:pt idx="36">
                  <c:v>45412</c:v>
                </c:pt>
                <c:pt idx="37">
                  <c:v>45413</c:v>
                </c:pt>
                <c:pt idx="38">
                  <c:v>45414</c:v>
                </c:pt>
                <c:pt idx="39">
                  <c:v>45415</c:v>
                </c:pt>
                <c:pt idx="40">
                  <c:v>45416</c:v>
                </c:pt>
                <c:pt idx="41">
                  <c:v>45417</c:v>
                </c:pt>
                <c:pt idx="42">
                  <c:v>45418</c:v>
                </c:pt>
                <c:pt idx="43">
                  <c:v>45419</c:v>
                </c:pt>
                <c:pt idx="44">
                  <c:v>45420</c:v>
                </c:pt>
                <c:pt idx="45">
                  <c:v>45421</c:v>
                </c:pt>
                <c:pt idx="46">
                  <c:v>45422</c:v>
                </c:pt>
                <c:pt idx="47">
                  <c:v>45423</c:v>
                </c:pt>
                <c:pt idx="48">
                  <c:v>45424</c:v>
                </c:pt>
                <c:pt idx="49">
                  <c:v>45425</c:v>
                </c:pt>
                <c:pt idx="50">
                  <c:v>45426</c:v>
                </c:pt>
                <c:pt idx="51">
                  <c:v>45427</c:v>
                </c:pt>
                <c:pt idx="52">
                  <c:v>45428</c:v>
                </c:pt>
                <c:pt idx="53">
                  <c:v>45429</c:v>
                </c:pt>
                <c:pt idx="54">
                  <c:v>45430</c:v>
                </c:pt>
                <c:pt idx="55">
                  <c:v>45431</c:v>
                </c:pt>
                <c:pt idx="56">
                  <c:v>45432</c:v>
                </c:pt>
                <c:pt idx="57">
                  <c:v>45433</c:v>
                </c:pt>
                <c:pt idx="58">
                  <c:v>45434</c:v>
                </c:pt>
                <c:pt idx="59">
                  <c:v>45435</c:v>
                </c:pt>
                <c:pt idx="60">
                  <c:v>45436</c:v>
                </c:pt>
                <c:pt idx="61">
                  <c:v>45437</c:v>
                </c:pt>
                <c:pt idx="62">
                  <c:v>45438</c:v>
                </c:pt>
                <c:pt idx="63">
                  <c:v>45439</c:v>
                </c:pt>
                <c:pt idx="64">
                  <c:v>45440</c:v>
                </c:pt>
                <c:pt idx="65">
                  <c:v>45441</c:v>
                </c:pt>
                <c:pt idx="66">
                  <c:v>45442</c:v>
                </c:pt>
                <c:pt idx="67">
                  <c:v>45443</c:v>
                </c:pt>
                <c:pt idx="68">
                  <c:v>45444</c:v>
                </c:pt>
                <c:pt idx="69">
                  <c:v>45445</c:v>
                </c:pt>
                <c:pt idx="70">
                  <c:v>45446</c:v>
                </c:pt>
                <c:pt idx="71">
                  <c:v>45447</c:v>
                </c:pt>
                <c:pt idx="72">
                  <c:v>45448</c:v>
                </c:pt>
                <c:pt idx="73">
                  <c:v>45449</c:v>
                </c:pt>
                <c:pt idx="74">
                  <c:v>45450</c:v>
                </c:pt>
                <c:pt idx="75">
                  <c:v>45451</c:v>
                </c:pt>
                <c:pt idx="76">
                  <c:v>45452</c:v>
                </c:pt>
                <c:pt idx="77">
                  <c:v>45453</c:v>
                </c:pt>
                <c:pt idx="78">
                  <c:v>45454</c:v>
                </c:pt>
                <c:pt idx="79">
                  <c:v>45455</c:v>
                </c:pt>
                <c:pt idx="80">
                  <c:v>45456</c:v>
                </c:pt>
                <c:pt idx="81">
                  <c:v>45457</c:v>
                </c:pt>
                <c:pt idx="82">
                  <c:v>45458</c:v>
                </c:pt>
                <c:pt idx="83">
                  <c:v>45459</c:v>
                </c:pt>
                <c:pt idx="84">
                  <c:v>45460</c:v>
                </c:pt>
                <c:pt idx="85">
                  <c:v>45461</c:v>
                </c:pt>
                <c:pt idx="86">
                  <c:v>45462</c:v>
                </c:pt>
                <c:pt idx="87">
                  <c:v>45463</c:v>
                </c:pt>
                <c:pt idx="88">
                  <c:v>45464</c:v>
                </c:pt>
                <c:pt idx="89">
                  <c:v>45465</c:v>
                </c:pt>
                <c:pt idx="90">
                  <c:v>45466</c:v>
                </c:pt>
                <c:pt idx="91">
                  <c:v>45467</c:v>
                </c:pt>
                <c:pt idx="92">
                  <c:v>45468</c:v>
                </c:pt>
                <c:pt idx="93">
                  <c:v>45469</c:v>
                </c:pt>
                <c:pt idx="94">
                  <c:v>45470</c:v>
                </c:pt>
                <c:pt idx="95">
                  <c:v>45471</c:v>
                </c:pt>
                <c:pt idx="96">
                  <c:v>45472</c:v>
                </c:pt>
                <c:pt idx="97">
                  <c:v>45473</c:v>
                </c:pt>
                <c:pt idx="98">
                  <c:v>45474</c:v>
                </c:pt>
                <c:pt idx="99">
                  <c:v>45475</c:v>
                </c:pt>
                <c:pt idx="100">
                  <c:v>45476</c:v>
                </c:pt>
                <c:pt idx="101">
                  <c:v>45477</c:v>
                </c:pt>
                <c:pt idx="102">
                  <c:v>45478</c:v>
                </c:pt>
                <c:pt idx="103">
                  <c:v>45479</c:v>
                </c:pt>
                <c:pt idx="104">
                  <c:v>45480</c:v>
                </c:pt>
                <c:pt idx="105">
                  <c:v>45481</c:v>
                </c:pt>
                <c:pt idx="106">
                  <c:v>45482</c:v>
                </c:pt>
                <c:pt idx="107">
                  <c:v>45483</c:v>
                </c:pt>
                <c:pt idx="108">
                  <c:v>45484</c:v>
                </c:pt>
                <c:pt idx="109">
                  <c:v>45485</c:v>
                </c:pt>
                <c:pt idx="110">
                  <c:v>45486</c:v>
                </c:pt>
                <c:pt idx="111">
                  <c:v>45487</c:v>
                </c:pt>
                <c:pt idx="112">
                  <c:v>45488</c:v>
                </c:pt>
                <c:pt idx="113">
                  <c:v>45489</c:v>
                </c:pt>
                <c:pt idx="114">
                  <c:v>45490</c:v>
                </c:pt>
                <c:pt idx="115">
                  <c:v>45491</c:v>
                </c:pt>
                <c:pt idx="116">
                  <c:v>45492</c:v>
                </c:pt>
                <c:pt idx="117">
                  <c:v>45493</c:v>
                </c:pt>
                <c:pt idx="118">
                  <c:v>45494</c:v>
                </c:pt>
                <c:pt idx="119">
                  <c:v>45495</c:v>
                </c:pt>
                <c:pt idx="120">
                  <c:v>45496</c:v>
                </c:pt>
                <c:pt idx="121">
                  <c:v>45497</c:v>
                </c:pt>
                <c:pt idx="122">
                  <c:v>45498</c:v>
                </c:pt>
                <c:pt idx="123">
                  <c:v>45499</c:v>
                </c:pt>
                <c:pt idx="124">
                  <c:v>45500</c:v>
                </c:pt>
                <c:pt idx="125">
                  <c:v>45501</c:v>
                </c:pt>
                <c:pt idx="126">
                  <c:v>45502</c:v>
                </c:pt>
                <c:pt idx="127">
                  <c:v>45503</c:v>
                </c:pt>
                <c:pt idx="128">
                  <c:v>45504</c:v>
                </c:pt>
                <c:pt idx="129">
                  <c:v>45505</c:v>
                </c:pt>
                <c:pt idx="130">
                  <c:v>45506</c:v>
                </c:pt>
                <c:pt idx="131">
                  <c:v>45507</c:v>
                </c:pt>
                <c:pt idx="132">
                  <c:v>45508</c:v>
                </c:pt>
                <c:pt idx="133">
                  <c:v>45509</c:v>
                </c:pt>
                <c:pt idx="134">
                  <c:v>45510</c:v>
                </c:pt>
                <c:pt idx="135">
                  <c:v>45511</c:v>
                </c:pt>
                <c:pt idx="136">
                  <c:v>45512</c:v>
                </c:pt>
                <c:pt idx="137">
                  <c:v>45513</c:v>
                </c:pt>
                <c:pt idx="138">
                  <c:v>45514</c:v>
                </c:pt>
                <c:pt idx="139">
                  <c:v>45515</c:v>
                </c:pt>
                <c:pt idx="140">
                  <c:v>45516</c:v>
                </c:pt>
                <c:pt idx="141">
                  <c:v>45517</c:v>
                </c:pt>
                <c:pt idx="142">
                  <c:v>45518</c:v>
                </c:pt>
                <c:pt idx="143">
                  <c:v>45519</c:v>
                </c:pt>
                <c:pt idx="144">
                  <c:v>45520</c:v>
                </c:pt>
                <c:pt idx="145">
                  <c:v>45521</c:v>
                </c:pt>
                <c:pt idx="146">
                  <c:v>45522</c:v>
                </c:pt>
                <c:pt idx="147">
                  <c:v>45523</c:v>
                </c:pt>
                <c:pt idx="148">
                  <c:v>45524</c:v>
                </c:pt>
                <c:pt idx="149">
                  <c:v>45525</c:v>
                </c:pt>
                <c:pt idx="150">
                  <c:v>45526</c:v>
                </c:pt>
                <c:pt idx="151">
                  <c:v>45527</c:v>
                </c:pt>
                <c:pt idx="152">
                  <c:v>45528</c:v>
                </c:pt>
                <c:pt idx="153">
                  <c:v>45529</c:v>
                </c:pt>
                <c:pt idx="154">
                  <c:v>45530</c:v>
                </c:pt>
                <c:pt idx="155">
                  <c:v>45531</c:v>
                </c:pt>
                <c:pt idx="156">
                  <c:v>45532</c:v>
                </c:pt>
                <c:pt idx="157">
                  <c:v>45533</c:v>
                </c:pt>
                <c:pt idx="158">
                  <c:v>45534</c:v>
                </c:pt>
                <c:pt idx="159">
                  <c:v>45535</c:v>
                </c:pt>
                <c:pt idx="160">
                  <c:v>45536</c:v>
                </c:pt>
                <c:pt idx="161">
                  <c:v>45537</c:v>
                </c:pt>
                <c:pt idx="162">
                  <c:v>45538</c:v>
                </c:pt>
                <c:pt idx="163">
                  <c:v>45539</c:v>
                </c:pt>
                <c:pt idx="164">
                  <c:v>45540</c:v>
                </c:pt>
                <c:pt idx="165">
                  <c:v>45541</c:v>
                </c:pt>
                <c:pt idx="166">
                  <c:v>45542</c:v>
                </c:pt>
                <c:pt idx="167">
                  <c:v>45543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45549</c:v>
                </c:pt>
                <c:pt idx="174">
                  <c:v>45550</c:v>
                </c:pt>
                <c:pt idx="175">
                  <c:v>45551</c:v>
                </c:pt>
                <c:pt idx="176">
                  <c:v>45552</c:v>
                </c:pt>
                <c:pt idx="177">
                  <c:v>45553</c:v>
                </c:pt>
                <c:pt idx="178">
                  <c:v>45554</c:v>
                </c:pt>
                <c:pt idx="179">
                  <c:v>45555</c:v>
                </c:pt>
                <c:pt idx="180">
                  <c:v>45556</c:v>
                </c:pt>
                <c:pt idx="181">
                  <c:v>45557</c:v>
                </c:pt>
                <c:pt idx="182">
                  <c:v>45558</c:v>
                </c:pt>
                <c:pt idx="183">
                  <c:v>45559</c:v>
                </c:pt>
                <c:pt idx="184">
                  <c:v>45560</c:v>
                </c:pt>
                <c:pt idx="185">
                  <c:v>45561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205.45477707006367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3.0364421556754944</c:v>
                </c:pt>
                <c:pt idx="61">
                  <c:v>3.1845544627344169</c:v>
                </c:pt>
                <c:pt idx="62">
                  <c:v>3.3311390674958563</c:v>
                </c:pt>
                <c:pt idx="63">
                  <c:v>3.4800850606384452</c:v>
                </c:pt>
                <c:pt idx="64">
                  <c:v>3.643643975448116</c:v>
                </c:pt>
                <c:pt idx="65">
                  <c:v>3.7963456833951792</c:v>
                </c:pt>
                <c:pt idx="66">
                  <c:v>3.9563575606609342</c:v>
                </c:pt>
                <c:pt idx="67">
                  <c:v>4.12790848337744</c:v>
                </c:pt>
                <c:pt idx="68">
                  <c:v>4.3067747845305151</c:v>
                </c:pt>
                <c:pt idx="69">
                  <c:v>4.4913539684219552</c:v>
                </c:pt>
                <c:pt idx="70">
                  <c:v>4.7045700596539284</c:v>
                </c:pt>
                <c:pt idx="71">
                  <c:v>4.9222989610108199</c:v>
                </c:pt>
                <c:pt idx="72">
                  <c:v>5.1470753658402408</c:v>
                </c:pt>
                <c:pt idx="73">
                  <c:v>5.3796307068134164</c:v>
                </c:pt>
                <c:pt idx="74">
                  <c:v>5.6018652388477124</c:v>
                </c:pt>
                <c:pt idx="75">
                  <c:v>5.8306148756241338</c:v>
                </c:pt>
                <c:pt idx="76">
                  <c:v>6.1046275550454085</c:v>
                </c:pt>
                <c:pt idx="77">
                  <c:v>6.3911987694329415</c:v>
                </c:pt>
                <c:pt idx="78">
                  <c:v>6.7173490378454055</c:v>
                </c:pt>
                <c:pt idx="79">
                  <c:v>7.0198121246260294</c:v>
                </c:pt>
                <c:pt idx="80">
                  <c:v>7.3244467296924292</c:v>
                </c:pt>
                <c:pt idx="81">
                  <c:v>7.6067995069991863</c:v>
                </c:pt>
                <c:pt idx="82">
                  <c:v>7.9361204901417359</c:v>
                </c:pt>
                <c:pt idx="83">
                  <c:v>8.2826960144329878</c:v>
                </c:pt>
                <c:pt idx="84">
                  <c:v>8.6471400291811786</c:v>
                </c:pt>
                <c:pt idx="85">
                  <c:v>9.0402167068605159</c:v>
                </c:pt>
                <c:pt idx="86">
                  <c:v>9.4485364632527418</c:v>
                </c:pt>
                <c:pt idx="87">
                  <c:v>9.8504381447966427</c:v>
                </c:pt>
                <c:pt idx="88">
                  <c:v>10.223744072379606</c:v>
                </c:pt>
                <c:pt idx="89">
                  <c:v>10.612801855510913</c:v>
                </c:pt>
                <c:pt idx="90">
                  <c:v>11.077160721653609</c:v>
                </c:pt>
                <c:pt idx="91">
                  <c:v>11.520472837951983</c:v>
                </c:pt>
                <c:pt idx="92">
                  <c:v>11.961965456247643</c:v>
                </c:pt>
                <c:pt idx="93">
                  <c:v>12.401191168913378</c:v>
                </c:pt>
                <c:pt idx="94">
                  <c:v>12.859412656223899</c:v>
                </c:pt>
                <c:pt idx="95">
                  <c:v>13.326575081384881</c:v>
                </c:pt>
                <c:pt idx="96">
                  <c:v>13.799624185003209</c:v>
                </c:pt>
                <c:pt idx="97">
                  <c:v>14.305412387807113</c:v>
                </c:pt>
                <c:pt idx="98">
                  <c:v>14.793084886402744</c:v>
                </c:pt>
                <c:pt idx="99">
                  <c:v>15.333676547737365</c:v>
                </c:pt>
                <c:pt idx="100">
                  <c:v>15.877961395342524</c:v>
                </c:pt>
                <c:pt idx="101">
                  <c:v>16.49353338668336</c:v>
                </c:pt>
                <c:pt idx="102">
                  <c:v>17.111997146296883</c:v>
                </c:pt>
                <c:pt idx="103">
                  <c:v>17.790570751936645</c:v>
                </c:pt>
                <c:pt idx="104">
                  <c:v>18.410437694986339</c:v>
                </c:pt>
                <c:pt idx="105">
                  <c:v>19.022058648250358</c:v>
                </c:pt>
                <c:pt idx="106">
                  <c:v>19.65864597266987</c:v>
                </c:pt>
                <c:pt idx="107">
                  <c:v>20.297802174962946</c:v>
                </c:pt>
                <c:pt idx="108">
                  <c:v>20.984249610025948</c:v>
                </c:pt>
                <c:pt idx="109">
                  <c:v>21.66782690384451</c:v>
                </c:pt>
                <c:pt idx="110">
                  <c:v>22.356621638519307</c:v>
                </c:pt>
                <c:pt idx="111">
                  <c:v>23.150665953920974</c:v>
                </c:pt>
                <c:pt idx="112">
                  <c:v>23.970114571296083</c:v>
                </c:pt>
                <c:pt idx="113">
                  <c:v>24.886419013493477</c:v>
                </c:pt>
                <c:pt idx="114">
                  <c:v>25.759732563219593</c:v>
                </c:pt>
                <c:pt idx="115">
                  <c:v>26.674742939478531</c:v>
                </c:pt>
                <c:pt idx="116">
                  <c:v>27.672899600175377</c:v>
                </c:pt>
                <c:pt idx="117">
                  <c:v>28.740301172268087</c:v>
                </c:pt>
                <c:pt idx="118">
                  <c:v>29.866502885463724</c:v>
                </c:pt>
                <c:pt idx="119">
                  <c:v>30.960259276212525</c:v>
                </c:pt>
                <c:pt idx="120">
                  <c:v>32.084935194651152</c:v>
                </c:pt>
                <c:pt idx="121">
                  <c:v>33.185810165037196</c:v>
                </c:pt>
                <c:pt idx="122">
                  <c:v>34.296993324575453</c:v>
                </c:pt>
                <c:pt idx="123">
                  <c:v>35.515125155787963</c:v>
                </c:pt>
                <c:pt idx="124">
                  <c:v>36.723235354909669</c:v>
                </c:pt>
                <c:pt idx="125">
                  <c:v>37.972618563601017</c:v>
                </c:pt>
                <c:pt idx="126">
                  <c:v>39.133435347189824</c:v>
                </c:pt>
                <c:pt idx="127">
                  <c:v>40.407421787927468</c:v>
                </c:pt>
                <c:pt idx="128">
                  <c:v>41.956485494746062</c:v>
                </c:pt>
                <c:pt idx="129">
                  <c:v>43.594140280594615</c:v>
                </c:pt>
                <c:pt idx="130">
                  <c:v>45.201878625541411</c:v>
                </c:pt>
                <c:pt idx="131">
                  <c:v>46.869594819632312</c:v>
                </c:pt>
                <c:pt idx="132">
                  <c:v>48.515151053349491</c:v>
                </c:pt>
                <c:pt idx="133">
                  <c:v>50.224402175275721</c:v>
                </c:pt>
                <c:pt idx="134">
                  <c:v>51.999141049812465</c:v>
                </c:pt>
                <c:pt idx="135">
                  <c:v>53.722975679454159</c:v>
                </c:pt>
                <c:pt idx="136">
                  <c:v>55.294665467447267</c:v>
                </c:pt>
                <c:pt idx="137">
                  <c:v>56.786453486798649</c:v>
                </c:pt>
                <c:pt idx="138">
                  <c:v>58.493490341162655</c:v>
                </c:pt>
                <c:pt idx="139">
                  <c:v>60.319129602514593</c:v>
                </c:pt>
                <c:pt idx="140">
                  <c:v>62.245998874714651</c:v>
                </c:pt>
                <c:pt idx="141">
                  <c:v>64.273682699006741</c:v>
                </c:pt>
                <c:pt idx="142">
                  <c:v>66.272922203701398</c:v>
                </c:pt>
                <c:pt idx="143">
                  <c:v>68.369840309994885</c:v>
                </c:pt>
                <c:pt idx="144">
                  <c:v>70.491623681271435</c:v>
                </c:pt>
                <c:pt idx="145">
                  <c:v>72.475610673626193</c:v>
                </c:pt>
                <c:pt idx="146">
                  <c:v>74.643852750864568</c:v>
                </c:pt>
                <c:pt idx="147">
                  <c:v>76.799275920871381</c:v>
                </c:pt>
                <c:pt idx="148">
                  <c:v>79.112717076324017</c:v>
                </c:pt>
                <c:pt idx="149">
                  <c:v>81.404828374560481</c:v>
                </c:pt>
                <c:pt idx="150">
                  <c:v>83.748055425176887</c:v>
                </c:pt>
                <c:pt idx="151">
                  <c:v>86.204470531241157</c:v>
                </c:pt>
                <c:pt idx="152">
                  <c:v>88.654321662087682</c:v>
                </c:pt>
                <c:pt idx="153">
                  <c:v>91.395498674239022</c:v>
                </c:pt>
                <c:pt idx="154">
                  <c:v>94.183736515329954</c:v>
                </c:pt>
                <c:pt idx="155">
                  <c:v>97.096520308270527</c:v>
                </c:pt>
                <c:pt idx="156">
                  <c:v>99.912432554551273</c:v>
                </c:pt>
                <c:pt idx="157">
                  <c:v>102.90584170194984</c:v>
                </c:pt>
                <c:pt idx="158">
                  <c:v>105.80802465866365</c:v>
                </c:pt>
                <c:pt idx="159">
                  <c:v>108.58522425820611</c:v>
                </c:pt>
                <c:pt idx="160">
                  <c:v>111.25633292578021</c:v>
                </c:pt>
                <c:pt idx="161">
                  <c:v>113.97008960460882</c:v>
                </c:pt>
                <c:pt idx="162">
                  <c:v>116.78646670928788</c:v>
                </c:pt>
                <c:pt idx="163">
                  <c:v>119.53799186289797</c:v>
                </c:pt>
                <c:pt idx="164">
                  <c:v>122.45610736743845</c:v>
                </c:pt>
                <c:pt idx="165">
                  <c:v>125.50847799536474</c:v>
                </c:pt>
                <c:pt idx="166">
                  <c:v>128.51379527295234</c:v>
                </c:pt>
                <c:pt idx="167">
                  <c:v>131.24678541267772</c:v>
                </c:pt>
                <c:pt idx="168">
                  <c:v>134.1169216252832</c:v>
                </c:pt>
                <c:pt idx="169">
                  <c:v>137.14126998395699</c:v>
                </c:pt>
                <c:pt idx="170">
                  <c:v>140.10636040162896</c:v>
                </c:pt>
                <c:pt idx="171">
                  <c:v>143.28071407655329</c:v>
                </c:pt>
                <c:pt idx="172">
                  <c:v>146.40822874545296</c:v>
                </c:pt>
                <c:pt idx="173">
                  <c:v>149.59488085539365</c:v>
                </c:pt>
                <c:pt idx="174">
                  <c:v>152.73857063719115</c:v>
                </c:pt>
                <c:pt idx="175">
                  <c:v>156.11135895518495</c:v>
                </c:pt>
                <c:pt idx="176">
                  <c:v>159.21771774807914</c:v>
                </c:pt>
                <c:pt idx="177">
                  <c:v>162.06373335679424</c:v>
                </c:pt>
                <c:pt idx="178">
                  <c:v>164.85119701007417</c:v>
                </c:pt>
                <c:pt idx="179">
                  <c:v>167.46527986230655</c:v>
                </c:pt>
                <c:pt idx="180">
                  <c:v>170.13053353585343</c:v>
                </c:pt>
                <c:pt idx="181">
                  <c:v>172.96801182822742</c:v>
                </c:pt>
                <c:pt idx="182">
                  <c:v>175.93877613090226</c:v>
                </c:pt>
                <c:pt idx="183">
                  <c:v>178.97458853717302</c:v>
                </c:pt>
                <c:pt idx="184">
                  <c:v>181.85212322972004</c:v>
                </c:pt>
                <c:pt idx="185">
                  <c:v>184.76145985401456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45376</c:v>
                </c:pt>
                <c:pt idx="1">
                  <c:v>45377</c:v>
                </c:pt>
                <c:pt idx="2">
                  <c:v>45378</c:v>
                </c:pt>
                <c:pt idx="3">
                  <c:v>45379</c:v>
                </c:pt>
                <c:pt idx="4">
                  <c:v>45380</c:v>
                </c:pt>
                <c:pt idx="5">
                  <c:v>45381</c:v>
                </c:pt>
                <c:pt idx="6">
                  <c:v>45382</c:v>
                </c:pt>
                <c:pt idx="7">
                  <c:v>45383</c:v>
                </c:pt>
                <c:pt idx="8">
                  <c:v>45384</c:v>
                </c:pt>
                <c:pt idx="9">
                  <c:v>45385</c:v>
                </c:pt>
                <c:pt idx="10">
                  <c:v>45386</c:v>
                </c:pt>
                <c:pt idx="11">
                  <c:v>45387</c:v>
                </c:pt>
                <c:pt idx="12">
                  <c:v>45388</c:v>
                </c:pt>
                <c:pt idx="13">
                  <c:v>45389</c:v>
                </c:pt>
                <c:pt idx="14">
                  <c:v>45390</c:v>
                </c:pt>
                <c:pt idx="15">
                  <c:v>45391</c:v>
                </c:pt>
                <c:pt idx="16">
                  <c:v>45392</c:v>
                </c:pt>
                <c:pt idx="17">
                  <c:v>45393</c:v>
                </c:pt>
                <c:pt idx="18">
                  <c:v>45394</c:v>
                </c:pt>
                <c:pt idx="19">
                  <c:v>45395</c:v>
                </c:pt>
                <c:pt idx="20">
                  <c:v>45396</c:v>
                </c:pt>
                <c:pt idx="21">
                  <c:v>45397</c:v>
                </c:pt>
                <c:pt idx="22">
                  <c:v>45398</c:v>
                </c:pt>
                <c:pt idx="23">
                  <c:v>45399</c:v>
                </c:pt>
                <c:pt idx="24">
                  <c:v>45400</c:v>
                </c:pt>
                <c:pt idx="25">
                  <c:v>45401</c:v>
                </c:pt>
                <c:pt idx="26">
                  <c:v>45402</c:v>
                </c:pt>
                <c:pt idx="27">
                  <c:v>45403</c:v>
                </c:pt>
                <c:pt idx="28">
                  <c:v>45404</c:v>
                </c:pt>
                <c:pt idx="29">
                  <c:v>45405</c:v>
                </c:pt>
                <c:pt idx="30">
                  <c:v>45406</c:v>
                </c:pt>
                <c:pt idx="31">
                  <c:v>45407</c:v>
                </c:pt>
                <c:pt idx="32">
                  <c:v>45408</c:v>
                </c:pt>
                <c:pt idx="33">
                  <c:v>45409</c:v>
                </c:pt>
                <c:pt idx="34">
                  <c:v>45410</c:v>
                </c:pt>
                <c:pt idx="35">
                  <c:v>45411</c:v>
                </c:pt>
                <c:pt idx="36">
                  <c:v>45412</c:v>
                </c:pt>
                <c:pt idx="37">
                  <c:v>45413</c:v>
                </c:pt>
                <c:pt idx="38">
                  <c:v>45414</c:v>
                </c:pt>
                <c:pt idx="39">
                  <c:v>45415</c:v>
                </c:pt>
                <c:pt idx="40">
                  <c:v>45416</c:v>
                </c:pt>
                <c:pt idx="41">
                  <c:v>45417</c:v>
                </c:pt>
                <c:pt idx="42">
                  <c:v>45418</c:v>
                </c:pt>
                <c:pt idx="43">
                  <c:v>45419</c:v>
                </c:pt>
                <c:pt idx="44">
                  <c:v>45420</c:v>
                </c:pt>
                <c:pt idx="45">
                  <c:v>45421</c:v>
                </c:pt>
                <c:pt idx="46">
                  <c:v>45422</c:v>
                </c:pt>
                <c:pt idx="47">
                  <c:v>45423</c:v>
                </c:pt>
                <c:pt idx="48">
                  <c:v>45424</c:v>
                </c:pt>
                <c:pt idx="49">
                  <c:v>45425</c:v>
                </c:pt>
                <c:pt idx="50">
                  <c:v>45426</c:v>
                </c:pt>
                <c:pt idx="51">
                  <c:v>45427</c:v>
                </c:pt>
                <c:pt idx="52">
                  <c:v>45428</c:v>
                </c:pt>
                <c:pt idx="53">
                  <c:v>45429</c:v>
                </c:pt>
                <c:pt idx="54">
                  <c:v>45430</c:v>
                </c:pt>
                <c:pt idx="55">
                  <c:v>45431</c:v>
                </c:pt>
                <c:pt idx="56">
                  <c:v>45432</c:v>
                </c:pt>
                <c:pt idx="57">
                  <c:v>45433</c:v>
                </c:pt>
                <c:pt idx="58">
                  <c:v>45434</c:v>
                </c:pt>
                <c:pt idx="59">
                  <c:v>45435</c:v>
                </c:pt>
                <c:pt idx="60">
                  <c:v>45436</c:v>
                </c:pt>
                <c:pt idx="61">
                  <c:v>45437</c:v>
                </c:pt>
                <c:pt idx="62">
                  <c:v>45438</c:v>
                </c:pt>
                <c:pt idx="63">
                  <c:v>45439</c:v>
                </c:pt>
                <c:pt idx="64">
                  <c:v>45440</c:v>
                </c:pt>
                <c:pt idx="65">
                  <c:v>45441</c:v>
                </c:pt>
                <c:pt idx="66">
                  <c:v>45442</c:v>
                </c:pt>
                <c:pt idx="67">
                  <c:v>45443</c:v>
                </c:pt>
                <c:pt idx="68">
                  <c:v>45444</c:v>
                </c:pt>
                <c:pt idx="69">
                  <c:v>45445</c:v>
                </c:pt>
                <c:pt idx="70">
                  <c:v>45446</c:v>
                </c:pt>
                <c:pt idx="71">
                  <c:v>45447</c:v>
                </c:pt>
                <c:pt idx="72">
                  <c:v>45448</c:v>
                </c:pt>
                <c:pt idx="73">
                  <c:v>45449</c:v>
                </c:pt>
                <c:pt idx="74">
                  <c:v>45450</c:v>
                </c:pt>
                <c:pt idx="75">
                  <c:v>45451</c:v>
                </c:pt>
                <c:pt idx="76">
                  <c:v>45452</c:v>
                </c:pt>
                <c:pt idx="77">
                  <c:v>45453</c:v>
                </c:pt>
                <c:pt idx="78">
                  <c:v>45454</c:v>
                </c:pt>
                <c:pt idx="79">
                  <c:v>45455</c:v>
                </c:pt>
                <c:pt idx="80">
                  <c:v>45456</c:v>
                </c:pt>
                <c:pt idx="81">
                  <c:v>45457</c:v>
                </c:pt>
                <c:pt idx="82">
                  <c:v>45458</c:v>
                </c:pt>
                <c:pt idx="83">
                  <c:v>45459</c:v>
                </c:pt>
                <c:pt idx="84">
                  <c:v>45460</c:v>
                </c:pt>
                <c:pt idx="85">
                  <c:v>45461</c:v>
                </c:pt>
                <c:pt idx="86">
                  <c:v>45462</c:v>
                </c:pt>
                <c:pt idx="87">
                  <c:v>45463</c:v>
                </c:pt>
                <c:pt idx="88">
                  <c:v>45464</c:v>
                </c:pt>
                <c:pt idx="89">
                  <c:v>45465</c:v>
                </c:pt>
                <c:pt idx="90">
                  <c:v>45466</c:v>
                </c:pt>
                <c:pt idx="91">
                  <c:v>45467</c:v>
                </c:pt>
                <c:pt idx="92">
                  <c:v>45468</c:v>
                </c:pt>
                <c:pt idx="93">
                  <c:v>45469</c:v>
                </c:pt>
                <c:pt idx="94">
                  <c:v>45470</c:v>
                </c:pt>
                <c:pt idx="95">
                  <c:v>45471</c:v>
                </c:pt>
                <c:pt idx="96">
                  <c:v>45472</c:v>
                </c:pt>
                <c:pt idx="97">
                  <c:v>45473</c:v>
                </c:pt>
                <c:pt idx="98">
                  <c:v>45474</c:v>
                </c:pt>
                <c:pt idx="99">
                  <c:v>45475</c:v>
                </c:pt>
                <c:pt idx="100">
                  <c:v>45476</c:v>
                </c:pt>
                <c:pt idx="101">
                  <c:v>45477</c:v>
                </c:pt>
                <c:pt idx="102">
                  <c:v>45478</c:v>
                </c:pt>
                <c:pt idx="103">
                  <c:v>45479</c:v>
                </c:pt>
                <c:pt idx="104">
                  <c:v>45480</c:v>
                </c:pt>
                <c:pt idx="105">
                  <c:v>45481</c:v>
                </c:pt>
                <c:pt idx="106">
                  <c:v>45482</c:v>
                </c:pt>
                <c:pt idx="107">
                  <c:v>45483</c:v>
                </c:pt>
                <c:pt idx="108">
                  <c:v>45484</c:v>
                </c:pt>
                <c:pt idx="109">
                  <c:v>45485</c:v>
                </c:pt>
                <c:pt idx="110">
                  <c:v>45486</c:v>
                </c:pt>
                <c:pt idx="111">
                  <c:v>45487</c:v>
                </c:pt>
                <c:pt idx="112">
                  <c:v>45488</c:v>
                </c:pt>
                <c:pt idx="113">
                  <c:v>45489</c:v>
                </c:pt>
                <c:pt idx="114">
                  <c:v>45490</c:v>
                </c:pt>
                <c:pt idx="115">
                  <c:v>45491</c:v>
                </c:pt>
                <c:pt idx="116">
                  <c:v>45492</c:v>
                </c:pt>
                <c:pt idx="117">
                  <c:v>45493</c:v>
                </c:pt>
                <c:pt idx="118">
                  <c:v>45494</c:v>
                </c:pt>
                <c:pt idx="119">
                  <c:v>45495</c:v>
                </c:pt>
                <c:pt idx="120">
                  <c:v>45496</c:v>
                </c:pt>
                <c:pt idx="121">
                  <c:v>45497</c:v>
                </c:pt>
                <c:pt idx="122">
                  <c:v>45498</c:v>
                </c:pt>
                <c:pt idx="123">
                  <c:v>45499</c:v>
                </c:pt>
                <c:pt idx="124">
                  <c:v>45500</c:v>
                </c:pt>
                <c:pt idx="125">
                  <c:v>45501</c:v>
                </c:pt>
                <c:pt idx="126">
                  <c:v>45502</c:v>
                </c:pt>
                <c:pt idx="127">
                  <c:v>45503</c:v>
                </c:pt>
                <c:pt idx="128">
                  <c:v>45504</c:v>
                </c:pt>
                <c:pt idx="129">
                  <c:v>45505</c:v>
                </c:pt>
                <c:pt idx="130">
                  <c:v>45506</c:v>
                </c:pt>
                <c:pt idx="131">
                  <c:v>45507</c:v>
                </c:pt>
                <c:pt idx="132">
                  <c:v>45508</c:v>
                </c:pt>
                <c:pt idx="133">
                  <c:v>45509</c:v>
                </c:pt>
                <c:pt idx="134">
                  <c:v>45510</c:v>
                </c:pt>
                <c:pt idx="135">
                  <c:v>45511</c:v>
                </c:pt>
                <c:pt idx="136">
                  <c:v>45512</c:v>
                </c:pt>
                <c:pt idx="137">
                  <c:v>45513</c:v>
                </c:pt>
                <c:pt idx="138">
                  <c:v>45514</c:v>
                </c:pt>
                <c:pt idx="139">
                  <c:v>45515</c:v>
                </c:pt>
                <c:pt idx="140">
                  <c:v>45516</c:v>
                </c:pt>
                <c:pt idx="141">
                  <c:v>45517</c:v>
                </c:pt>
                <c:pt idx="142">
                  <c:v>45518</c:v>
                </c:pt>
                <c:pt idx="143">
                  <c:v>45519</c:v>
                </c:pt>
                <c:pt idx="144">
                  <c:v>45520</c:v>
                </c:pt>
                <c:pt idx="145">
                  <c:v>45521</c:v>
                </c:pt>
                <c:pt idx="146">
                  <c:v>45522</c:v>
                </c:pt>
                <c:pt idx="147">
                  <c:v>45523</c:v>
                </c:pt>
                <c:pt idx="148">
                  <c:v>45524</c:v>
                </c:pt>
                <c:pt idx="149">
                  <c:v>45525</c:v>
                </c:pt>
                <c:pt idx="150">
                  <c:v>45526</c:v>
                </c:pt>
                <c:pt idx="151">
                  <c:v>45527</c:v>
                </c:pt>
                <c:pt idx="152">
                  <c:v>45528</c:v>
                </c:pt>
                <c:pt idx="153">
                  <c:v>45529</c:v>
                </c:pt>
                <c:pt idx="154">
                  <c:v>45530</c:v>
                </c:pt>
                <c:pt idx="155">
                  <c:v>45531</c:v>
                </c:pt>
                <c:pt idx="156">
                  <c:v>45532</c:v>
                </c:pt>
                <c:pt idx="157">
                  <c:v>45533</c:v>
                </c:pt>
                <c:pt idx="158">
                  <c:v>45534</c:v>
                </c:pt>
                <c:pt idx="159">
                  <c:v>45535</c:v>
                </c:pt>
                <c:pt idx="160">
                  <c:v>45536</c:v>
                </c:pt>
                <c:pt idx="161">
                  <c:v>45537</c:v>
                </c:pt>
                <c:pt idx="162">
                  <c:v>45538</c:v>
                </c:pt>
                <c:pt idx="163">
                  <c:v>45539</c:v>
                </c:pt>
                <c:pt idx="164">
                  <c:v>45540</c:v>
                </c:pt>
                <c:pt idx="165">
                  <c:v>45541</c:v>
                </c:pt>
                <c:pt idx="166">
                  <c:v>45542</c:v>
                </c:pt>
                <c:pt idx="167">
                  <c:v>45543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45549</c:v>
                </c:pt>
                <c:pt idx="174">
                  <c:v>45550</c:v>
                </c:pt>
                <c:pt idx="175">
                  <c:v>45551</c:v>
                </c:pt>
                <c:pt idx="176">
                  <c:v>45552</c:v>
                </c:pt>
                <c:pt idx="177">
                  <c:v>45553</c:v>
                </c:pt>
                <c:pt idx="178">
                  <c:v>45554</c:v>
                </c:pt>
                <c:pt idx="179">
                  <c:v>45555</c:v>
                </c:pt>
                <c:pt idx="180">
                  <c:v>45556</c:v>
                </c:pt>
                <c:pt idx="181">
                  <c:v>45557</c:v>
                </c:pt>
                <c:pt idx="182">
                  <c:v>45558</c:v>
                </c:pt>
                <c:pt idx="183">
                  <c:v>45559</c:v>
                </c:pt>
                <c:pt idx="184">
                  <c:v>45560</c:v>
                </c:pt>
                <c:pt idx="185">
                  <c:v>45561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50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24.983787879523192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28.484583749188701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34.743681110526069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45376</c:v>
                </c:pt>
                <c:pt idx="1">
                  <c:v>45377</c:v>
                </c:pt>
                <c:pt idx="2">
                  <c:v>45378</c:v>
                </c:pt>
                <c:pt idx="3">
                  <c:v>45379</c:v>
                </c:pt>
                <c:pt idx="4">
                  <c:v>45380</c:v>
                </c:pt>
                <c:pt idx="5">
                  <c:v>45381</c:v>
                </c:pt>
                <c:pt idx="6">
                  <c:v>45382</c:v>
                </c:pt>
                <c:pt idx="7">
                  <c:v>45383</c:v>
                </c:pt>
                <c:pt idx="8">
                  <c:v>45384</c:v>
                </c:pt>
                <c:pt idx="9">
                  <c:v>45385</c:v>
                </c:pt>
                <c:pt idx="10">
                  <c:v>45386</c:v>
                </c:pt>
                <c:pt idx="11">
                  <c:v>45387</c:v>
                </c:pt>
                <c:pt idx="12">
                  <c:v>45388</c:v>
                </c:pt>
                <c:pt idx="13">
                  <c:v>45389</c:v>
                </c:pt>
                <c:pt idx="14">
                  <c:v>45390</c:v>
                </c:pt>
                <c:pt idx="15">
                  <c:v>45391</c:v>
                </c:pt>
                <c:pt idx="16">
                  <c:v>45392</c:v>
                </c:pt>
                <c:pt idx="17">
                  <c:v>45393</c:v>
                </c:pt>
                <c:pt idx="18">
                  <c:v>45394</c:v>
                </c:pt>
                <c:pt idx="19">
                  <c:v>45395</c:v>
                </c:pt>
                <c:pt idx="20">
                  <c:v>45396</c:v>
                </c:pt>
                <c:pt idx="21">
                  <c:v>45397</c:v>
                </c:pt>
                <c:pt idx="22">
                  <c:v>45398</c:v>
                </c:pt>
                <c:pt idx="23">
                  <c:v>45399</c:v>
                </c:pt>
                <c:pt idx="24">
                  <c:v>45400</c:v>
                </c:pt>
                <c:pt idx="25">
                  <c:v>45401</c:v>
                </c:pt>
                <c:pt idx="26">
                  <c:v>45402</c:v>
                </c:pt>
                <c:pt idx="27">
                  <c:v>45403</c:v>
                </c:pt>
                <c:pt idx="28">
                  <c:v>45404</c:v>
                </c:pt>
                <c:pt idx="29">
                  <c:v>45405</c:v>
                </c:pt>
                <c:pt idx="30">
                  <c:v>45406</c:v>
                </c:pt>
                <c:pt idx="31">
                  <c:v>45407</c:v>
                </c:pt>
                <c:pt idx="32">
                  <c:v>45408</c:v>
                </c:pt>
                <c:pt idx="33">
                  <c:v>45409</c:v>
                </c:pt>
                <c:pt idx="34">
                  <c:v>45410</c:v>
                </c:pt>
                <c:pt idx="35">
                  <c:v>45411</c:v>
                </c:pt>
                <c:pt idx="36">
                  <c:v>45412</c:v>
                </c:pt>
                <c:pt idx="37">
                  <c:v>45413</c:v>
                </c:pt>
                <c:pt idx="38">
                  <c:v>45414</c:v>
                </c:pt>
                <c:pt idx="39">
                  <c:v>45415</c:v>
                </c:pt>
                <c:pt idx="40">
                  <c:v>45416</c:v>
                </c:pt>
                <c:pt idx="41">
                  <c:v>45417</c:v>
                </c:pt>
                <c:pt idx="42">
                  <c:v>45418</c:v>
                </c:pt>
                <c:pt idx="43">
                  <c:v>45419</c:v>
                </c:pt>
                <c:pt idx="44">
                  <c:v>45420</c:v>
                </c:pt>
                <c:pt idx="45">
                  <c:v>45421</c:v>
                </c:pt>
                <c:pt idx="46">
                  <c:v>45422</c:v>
                </c:pt>
                <c:pt idx="47">
                  <c:v>45423</c:v>
                </c:pt>
                <c:pt idx="48">
                  <c:v>45424</c:v>
                </c:pt>
                <c:pt idx="49">
                  <c:v>45425</c:v>
                </c:pt>
                <c:pt idx="50">
                  <c:v>45426</c:v>
                </c:pt>
                <c:pt idx="51">
                  <c:v>45427</c:v>
                </c:pt>
                <c:pt idx="52">
                  <c:v>45428</c:v>
                </c:pt>
                <c:pt idx="53">
                  <c:v>45429</c:v>
                </c:pt>
                <c:pt idx="54">
                  <c:v>45430</c:v>
                </c:pt>
                <c:pt idx="55">
                  <c:v>45431</c:v>
                </c:pt>
                <c:pt idx="56">
                  <c:v>45432</c:v>
                </c:pt>
                <c:pt idx="57">
                  <c:v>45433</c:v>
                </c:pt>
                <c:pt idx="58">
                  <c:v>45434</c:v>
                </c:pt>
                <c:pt idx="59">
                  <c:v>45435</c:v>
                </c:pt>
                <c:pt idx="60">
                  <c:v>45436</c:v>
                </c:pt>
                <c:pt idx="61">
                  <c:v>45437</c:v>
                </c:pt>
                <c:pt idx="62">
                  <c:v>45438</c:v>
                </c:pt>
                <c:pt idx="63">
                  <c:v>45439</c:v>
                </c:pt>
                <c:pt idx="64">
                  <c:v>45440</c:v>
                </c:pt>
                <c:pt idx="65">
                  <c:v>45441</c:v>
                </c:pt>
                <c:pt idx="66">
                  <c:v>45442</c:v>
                </c:pt>
                <c:pt idx="67">
                  <c:v>45443</c:v>
                </c:pt>
                <c:pt idx="68">
                  <c:v>45444</c:v>
                </c:pt>
                <c:pt idx="69">
                  <c:v>45445</c:v>
                </c:pt>
                <c:pt idx="70">
                  <c:v>45446</c:v>
                </c:pt>
                <c:pt idx="71">
                  <c:v>45447</c:v>
                </c:pt>
                <c:pt idx="72">
                  <c:v>45448</c:v>
                </c:pt>
                <c:pt idx="73">
                  <c:v>45449</c:v>
                </c:pt>
                <c:pt idx="74">
                  <c:v>45450</c:v>
                </c:pt>
                <c:pt idx="75">
                  <c:v>45451</c:v>
                </c:pt>
                <c:pt idx="76">
                  <c:v>45452</c:v>
                </c:pt>
                <c:pt idx="77">
                  <c:v>45453</c:v>
                </c:pt>
                <c:pt idx="78">
                  <c:v>45454</c:v>
                </c:pt>
                <c:pt idx="79">
                  <c:v>45455</c:v>
                </c:pt>
                <c:pt idx="80">
                  <c:v>45456</c:v>
                </c:pt>
                <c:pt idx="81">
                  <c:v>45457</c:v>
                </c:pt>
                <c:pt idx="82">
                  <c:v>45458</c:v>
                </c:pt>
                <c:pt idx="83">
                  <c:v>45459</c:v>
                </c:pt>
                <c:pt idx="84">
                  <c:v>45460</c:v>
                </c:pt>
                <c:pt idx="85">
                  <c:v>45461</c:v>
                </c:pt>
                <c:pt idx="86">
                  <c:v>45462</c:v>
                </c:pt>
                <c:pt idx="87">
                  <c:v>45463</c:v>
                </c:pt>
                <c:pt idx="88">
                  <c:v>45464</c:v>
                </c:pt>
                <c:pt idx="89">
                  <c:v>45465</c:v>
                </c:pt>
                <c:pt idx="90">
                  <c:v>45466</c:v>
                </c:pt>
                <c:pt idx="91">
                  <c:v>45467</c:v>
                </c:pt>
                <c:pt idx="92">
                  <c:v>45468</c:v>
                </c:pt>
                <c:pt idx="93">
                  <c:v>45469</c:v>
                </c:pt>
                <c:pt idx="94">
                  <c:v>45470</c:v>
                </c:pt>
                <c:pt idx="95">
                  <c:v>45471</c:v>
                </c:pt>
                <c:pt idx="96">
                  <c:v>45472</c:v>
                </c:pt>
                <c:pt idx="97">
                  <c:v>45473</c:v>
                </c:pt>
                <c:pt idx="98">
                  <c:v>45474</c:v>
                </c:pt>
                <c:pt idx="99">
                  <c:v>45475</c:v>
                </c:pt>
                <c:pt idx="100">
                  <c:v>45476</c:v>
                </c:pt>
                <c:pt idx="101">
                  <c:v>45477</c:v>
                </c:pt>
                <c:pt idx="102">
                  <c:v>45478</c:v>
                </c:pt>
                <c:pt idx="103">
                  <c:v>45479</c:v>
                </c:pt>
                <c:pt idx="104">
                  <c:v>45480</c:v>
                </c:pt>
                <c:pt idx="105">
                  <c:v>45481</c:v>
                </c:pt>
                <c:pt idx="106">
                  <c:v>45482</c:v>
                </c:pt>
                <c:pt idx="107">
                  <c:v>45483</c:v>
                </c:pt>
                <c:pt idx="108">
                  <c:v>45484</c:v>
                </c:pt>
                <c:pt idx="109">
                  <c:v>45485</c:v>
                </c:pt>
                <c:pt idx="110">
                  <c:v>45486</c:v>
                </c:pt>
                <c:pt idx="111">
                  <c:v>45487</c:v>
                </c:pt>
                <c:pt idx="112">
                  <c:v>45488</c:v>
                </c:pt>
                <c:pt idx="113">
                  <c:v>45489</c:v>
                </c:pt>
                <c:pt idx="114">
                  <c:v>45490</c:v>
                </c:pt>
                <c:pt idx="115">
                  <c:v>45491</c:v>
                </c:pt>
                <c:pt idx="116">
                  <c:v>45492</c:v>
                </c:pt>
                <c:pt idx="117">
                  <c:v>45493</c:v>
                </c:pt>
                <c:pt idx="118">
                  <c:v>45494</c:v>
                </c:pt>
                <c:pt idx="119">
                  <c:v>45495</c:v>
                </c:pt>
                <c:pt idx="120">
                  <c:v>45496</c:v>
                </c:pt>
                <c:pt idx="121">
                  <c:v>45497</c:v>
                </c:pt>
                <c:pt idx="122">
                  <c:v>45498</c:v>
                </c:pt>
                <c:pt idx="123">
                  <c:v>45499</c:v>
                </c:pt>
                <c:pt idx="124">
                  <c:v>45500</c:v>
                </c:pt>
                <c:pt idx="125">
                  <c:v>45501</c:v>
                </c:pt>
                <c:pt idx="126">
                  <c:v>45502</c:v>
                </c:pt>
                <c:pt idx="127">
                  <c:v>45503</c:v>
                </c:pt>
                <c:pt idx="128">
                  <c:v>45504</c:v>
                </c:pt>
                <c:pt idx="129">
                  <c:v>45505</c:v>
                </c:pt>
                <c:pt idx="130">
                  <c:v>45506</c:v>
                </c:pt>
                <c:pt idx="131">
                  <c:v>45507</c:v>
                </c:pt>
                <c:pt idx="132">
                  <c:v>45508</c:v>
                </c:pt>
                <c:pt idx="133">
                  <c:v>45509</c:v>
                </c:pt>
                <c:pt idx="134">
                  <c:v>45510</c:v>
                </c:pt>
                <c:pt idx="135">
                  <c:v>45511</c:v>
                </c:pt>
                <c:pt idx="136">
                  <c:v>45512</c:v>
                </c:pt>
                <c:pt idx="137">
                  <c:v>45513</c:v>
                </c:pt>
                <c:pt idx="138">
                  <c:v>45514</c:v>
                </c:pt>
                <c:pt idx="139">
                  <c:v>45515</c:v>
                </c:pt>
                <c:pt idx="140">
                  <c:v>45516</c:v>
                </c:pt>
                <c:pt idx="141">
                  <c:v>45517</c:v>
                </c:pt>
                <c:pt idx="142">
                  <c:v>45518</c:v>
                </c:pt>
                <c:pt idx="143">
                  <c:v>45519</c:v>
                </c:pt>
                <c:pt idx="144">
                  <c:v>45520</c:v>
                </c:pt>
                <c:pt idx="145">
                  <c:v>45521</c:v>
                </c:pt>
                <c:pt idx="146">
                  <c:v>45522</c:v>
                </c:pt>
                <c:pt idx="147">
                  <c:v>45523</c:v>
                </c:pt>
                <c:pt idx="148">
                  <c:v>45524</c:v>
                </c:pt>
                <c:pt idx="149">
                  <c:v>45525</c:v>
                </c:pt>
                <c:pt idx="150">
                  <c:v>45526</c:v>
                </c:pt>
                <c:pt idx="151">
                  <c:v>45527</c:v>
                </c:pt>
                <c:pt idx="152">
                  <c:v>45528</c:v>
                </c:pt>
                <c:pt idx="153">
                  <c:v>45529</c:v>
                </c:pt>
                <c:pt idx="154">
                  <c:v>45530</c:v>
                </c:pt>
                <c:pt idx="155">
                  <c:v>45531</c:v>
                </c:pt>
                <c:pt idx="156">
                  <c:v>45532</c:v>
                </c:pt>
                <c:pt idx="157">
                  <c:v>45533</c:v>
                </c:pt>
                <c:pt idx="158">
                  <c:v>45534</c:v>
                </c:pt>
                <c:pt idx="159">
                  <c:v>45535</c:v>
                </c:pt>
                <c:pt idx="160">
                  <c:v>45536</c:v>
                </c:pt>
                <c:pt idx="161">
                  <c:v>45537</c:v>
                </c:pt>
                <c:pt idx="162">
                  <c:v>45538</c:v>
                </c:pt>
                <c:pt idx="163">
                  <c:v>45539</c:v>
                </c:pt>
                <c:pt idx="164">
                  <c:v>45540</c:v>
                </c:pt>
                <c:pt idx="165">
                  <c:v>45541</c:v>
                </c:pt>
                <c:pt idx="166">
                  <c:v>45542</c:v>
                </c:pt>
                <c:pt idx="167">
                  <c:v>45543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45549</c:v>
                </c:pt>
                <c:pt idx="174">
                  <c:v>45550</c:v>
                </c:pt>
                <c:pt idx="175">
                  <c:v>45551</c:v>
                </c:pt>
                <c:pt idx="176">
                  <c:v>45552</c:v>
                </c:pt>
                <c:pt idx="177">
                  <c:v>45553</c:v>
                </c:pt>
                <c:pt idx="178">
                  <c:v>45554</c:v>
                </c:pt>
                <c:pt idx="179">
                  <c:v>45555</c:v>
                </c:pt>
                <c:pt idx="180">
                  <c:v>45556</c:v>
                </c:pt>
                <c:pt idx="181">
                  <c:v>45557</c:v>
                </c:pt>
                <c:pt idx="182">
                  <c:v>45558</c:v>
                </c:pt>
                <c:pt idx="183">
                  <c:v>45559</c:v>
                </c:pt>
                <c:pt idx="184">
                  <c:v>45560</c:v>
                </c:pt>
                <c:pt idx="185">
                  <c:v>45561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54.836828367819166</c:v>
                </c:pt>
                <c:pt idx="2">
                  <c:v>58.972411499303199</c:v>
                </c:pt>
                <c:pt idx="3">
                  <c:v>63.005682914370901</c:v>
                </c:pt>
                <c:pt idx="4">
                  <c:v>66.877899878672608</c:v>
                </c:pt>
                <c:pt idx="5">
                  <c:v>70.401842016949601</c:v>
                </c:pt>
                <c:pt idx="6">
                  <c:v>73.666768460300489</c:v>
                </c:pt>
                <c:pt idx="7">
                  <c:v>76.615230530122346</c:v>
                </c:pt>
                <c:pt idx="8">
                  <c:v>79.666889554094496</c:v>
                </c:pt>
                <c:pt idx="9">
                  <c:v>82.581527312985358</c:v>
                </c:pt>
                <c:pt idx="10">
                  <c:v>85.149838441936723</c:v>
                </c:pt>
                <c:pt idx="11">
                  <c:v>87.50424026948491</c:v>
                </c:pt>
                <c:pt idx="12">
                  <c:v>89.58469290381008</c:v>
                </c:pt>
                <c:pt idx="13">
                  <c:v>91.701702859454713</c:v>
                </c:pt>
                <c:pt idx="14">
                  <c:v>92.930496418225658</c:v>
                </c:pt>
                <c:pt idx="15">
                  <c:v>93.722403053991286</c:v>
                </c:pt>
                <c:pt idx="16">
                  <c:v>95.668980006231607</c:v>
                </c:pt>
                <c:pt idx="17">
                  <c:v>96.83052599968029</c:v>
                </c:pt>
                <c:pt idx="18">
                  <c:v>97.187171280491185</c:v>
                </c:pt>
                <c:pt idx="19">
                  <c:v>97.332391724464358</c:v>
                </c:pt>
                <c:pt idx="20">
                  <c:v>98.964147257817842</c:v>
                </c:pt>
                <c:pt idx="21">
                  <c:v>97.996824206594468</c:v>
                </c:pt>
                <c:pt idx="22">
                  <c:v>98.444469503838789</c:v>
                </c:pt>
                <c:pt idx="23">
                  <c:v>99.501693417568234</c:v>
                </c:pt>
                <c:pt idx="24">
                  <c:v>100.86538391146588</c:v>
                </c:pt>
                <c:pt idx="25">
                  <c:v>102.34721969109484</c:v>
                </c:pt>
                <c:pt idx="26">
                  <c:v>103.79143075833231</c:v>
                </c:pt>
                <c:pt idx="27">
                  <c:v>105.12705872886866</c:v>
                </c:pt>
                <c:pt idx="28">
                  <c:v>106.46716622719231</c:v>
                </c:pt>
                <c:pt idx="29">
                  <c:v>107.87832290856451</c:v>
                </c:pt>
                <c:pt idx="30">
                  <c:v>106.48932100061609</c:v>
                </c:pt>
                <c:pt idx="31">
                  <c:v>107.75257606879325</c:v>
                </c:pt>
                <c:pt idx="32">
                  <c:v>107.760344651</c:v>
                </c:pt>
                <c:pt idx="33">
                  <c:v>106.48665697472477</c:v>
                </c:pt>
                <c:pt idx="34">
                  <c:v>105.8293464047502</c:v>
                </c:pt>
                <c:pt idx="35">
                  <c:v>104.79094059154075</c:v>
                </c:pt>
                <c:pt idx="36">
                  <c:v>105.7702974371382</c:v>
                </c:pt>
                <c:pt idx="37">
                  <c:v>106.73561759556077</c:v>
                </c:pt>
                <c:pt idx="38">
                  <c:v>107.79822150613862</c:v>
                </c:pt>
                <c:pt idx="39">
                  <c:v>108.85347132823854</c:v>
                </c:pt>
                <c:pt idx="40">
                  <c:v>107.88178378481089</c:v>
                </c:pt>
                <c:pt idx="41">
                  <c:v>108.28874448883222</c:v>
                </c:pt>
                <c:pt idx="42">
                  <c:v>106.85430983930964</c:v>
                </c:pt>
                <c:pt idx="43">
                  <c:v>107.308505297065</c:v>
                </c:pt>
                <c:pt idx="44">
                  <c:v>108.40101286986892</c:v>
                </c:pt>
                <c:pt idx="45">
                  <c:v>109.30671619700625</c:v>
                </c:pt>
                <c:pt idx="46">
                  <c:v>108.71447353655655</c:v>
                </c:pt>
                <c:pt idx="47">
                  <c:v>106.83029901581207</c:v>
                </c:pt>
                <c:pt idx="48">
                  <c:v>105.56173093071779</c:v>
                </c:pt>
                <c:pt idx="49">
                  <c:v>104.40748806363993</c:v>
                </c:pt>
                <c:pt idx="50">
                  <c:v>101.16393518105518</c:v>
                </c:pt>
                <c:pt idx="51">
                  <c:v>100.10373098145973</c:v>
                </c:pt>
                <c:pt idx="52">
                  <c:v>99.666840481631482</c:v>
                </c:pt>
                <c:pt idx="53">
                  <c:v>99.790577730825433</c:v>
                </c:pt>
                <c:pt idx="54">
                  <c:v>100.06442813359894</c:v>
                </c:pt>
                <c:pt idx="55">
                  <c:v>100.90312881223099</c:v>
                </c:pt>
                <c:pt idx="56">
                  <c:v>151.72382663571932</c:v>
                </c:pt>
                <c:pt idx="57">
                  <c:v>150.92911706841952</c:v>
                </c:pt>
                <c:pt idx="58">
                  <c:v>150.15536480659111</c:v>
                </c:pt>
                <c:pt idx="59">
                  <c:v>147.1502554382418</c:v>
                </c:pt>
                <c:pt idx="60">
                  <c:v>146.14995200255467</c:v>
                </c:pt>
                <c:pt idx="61">
                  <c:v>142.75857407163824</c:v>
                </c:pt>
                <c:pt idx="62">
                  <c:v>142.01140926653125</c:v>
                </c:pt>
                <c:pt idx="63">
                  <c:v>141.20123420411755</c:v>
                </c:pt>
                <c:pt idx="64">
                  <c:v>140.13623949148479</c:v>
                </c:pt>
                <c:pt idx="65">
                  <c:v>139.99130565020289</c:v>
                </c:pt>
                <c:pt idx="66">
                  <c:v>137.77346473511599</c:v>
                </c:pt>
                <c:pt idx="67">
                  <c:v>137.28766132415066</c:v>
                </c:pt>
                <c:pt idx="68">
                  <c:v>136.48373669393533</c:v>
                </c:pt>
                <c:pt idx="69">
                  <c:v>136.37350642272415</c:v>
                </c:pt>
                <c:pt idx="70">
                  <c:v>135.80011019617129</c:v>
                </c:pt>
                <c:pt idx="71">
                  <c:v>133.89131931475214</c:v>
                </c:pt>
                <c:pt idx="72">
                  <c:v>131.23319031096815</c:v>
                </c:pt>
                <c:pt idx="73">
                  <c:v>130.67443681304022</c:v>
                </c:pt>
                <c:pt idx="74">
                  <c:v>130.64283279340145</c:v>
                </c:pt>
                <c:pt idx="75">
                  <c:v>130.633624527839</c:v>
                </c:pt>
                <c:pt idx="76">
                  <c:v>128.23137913973534</c:v>
                </c:pt>
                <c:pt idx="77">
                  <c:v>124.32197758332687</c:v>
                </c:pt>
                <c:pt idx="78">
                  <c:v>124.80879082254991</c:v>
                </c:pt>
                <c:pt idx="79">
                  <c:v>122.15429720721173</c:v>
                </c:pt>
                <c:pt idx="80">
                  <c:v>122.46616965183662</c:v>
                </c:pt>
                <c:pt idx="81">
                  <c:v>121.93641891425023</c:v>
                </c:pt>
                <c:pt idx="82">
                  <c:v>121.07673822136299</c:v>
                </c:pt>
                <c:pt idx="83">
                  <c:v>120.3592102077132</c:v>
                </c:pt>
                <c:pt idx="84">
                  <c:v>117.61985962486371</c:v>
                </c:pt>
                <c:pt idx="85">
                  <c:v>111.12271189034915</c:v>
                </c:pt>
                <c:pt idx="86">
                  <c:v>106.62688119326918</c:v>
                </c:pt>
                <c:pt idx="87">
                  <c:v>106.32091690651625</c:v>
                </c:pt>
                <c:pt idx="88">
                  <c:v>105.94208140838737</c:v>
                </c:pt>
                <c:pt idx="89">
                  <c:v>104.90361268768542</c:v>
                </c:pt>
                <c:pt idx="90">
                  <c:v>103.51179221700062</c:v>
                </c:pt>
                <c:pt idx="91">
                  <c:v>102.51241046205689</c:v>
                </c:pt>
                <c:pt idx="92">
                  <c:v>102.55179746788104</c:v>
                </c:pt>
                <c:pt idx="93">
                  <c:v>101.54333903445317</c:v>
                </c:pt>
                <c:pt idx="94">
                  <c:v>101.6888031599904</c:v>
                </c:pt>
                <c:pt idx="95">
                  <c:v>101.36498861848236</c:v>
                </c:pt>
                <c:pt idx="96">
                  <c:v>100.50776149871552</c:v>
                </c:pt>
                <c:pt idx="97">
                  <c:v>99.877918880036802</c:v>
                </c:pt>
                <c:pt idx="98">
                  <c:v>99.956551340567572</c:v>
                </c:pt>
                <c:pt idx="99">
                  <c:v>98.659846486170636</c:v>
                </c:pt>
                <c:pt idx="100">
                  <c:v>98.703775293585466</c:v>
                </c:pt>
                <c:pt idx="101">
                  <c:v>98.726071456126817</c:v>
                </c:pt>
                <c:pt idx="102">
                  <c:v>98.553172241278133</c:v>
                </c:pt>
                <c:pt idx="103">
                  <c:v>96.530101888285557</c:v>
                </c:pt>
                <c:pt idx="104">
                  <c:v>95.085153666871634</c:v>
                </c:pt>
                <c:pt idx="105">
                  <c:v>93.343697316020879</c:v>
                </c:pt>
                <c:pt idx="106">
                  <c:v>92.655751047959697</c:v>
                </c:pt>
                <c:pt idx="107">
                  <c:v>90.760844114080243</c:v>
                </c:pt>
                <c:pt idx="108">
                  <c:v>90.339572172118835</c:v>
                </c:pt>
                <c:pt idx="109">
                  <c:v>88.173537407268014</c:v>
                </c:pt>
                <c:pt idx="110">
                  <c:v>86.427777384401267</c:v>
                </c:pt>
                <c:pt idx="111">
                  <c:v>85.72226676511508</c:v>
                </c:pt>
                <c:pt idx="112">
                  <c:v>83.089758502214295</c:v>
                </c:pt>
                <c:pt idx="113">
                  <c:v>81.186035826183456</c:v>
                </c:pt>
                <c:pt idx="114">
                  <c:v>80.879384349642891</c:v>
                </c:pt>
                <c:pt idx="115">
                  <c:v>80.491036109329926</c:v>
                </c:pt>
                <c:pt idx="116">
                  <c:v>79.34930470410751</c:v>
                </c:pt>
                <c:pt idx="117">
                  <c:v>77.852931555071279</c:v>
                </c:pt>
                <c:pt idx="118">
                  <c:v>75.899419520027394</c:v>
                </c:pt>
                <c:pt idx="119">
                  <c:v>73.66307643314741</c:v>
                </c:pt>
                <c:pt idx="120">
                  <c:v>72.734160423636851</c:v>
                </c:pt>
                <c:pt idx="121">
                  <c:v>72.240107619189146</c:v>
                </c:pt>
                <c:pt idx="122">
                  <c:v>71.725247560156504</c:v>
                </c:pt>
                <c:pt idx="123">
                  <c:v>71.138891655308498</c:v>
                </c:pt>
                <c:pt idx="124">
                  <c:v>70.541174415411803</c:v>
                </c:pt>
                <c:pt idx="125">
                  <c:v>69.327937131478095</c:v>
                </c:pt>
                <c:pt idx="126">
                  <c:v>68.660430551482449</c:v>
                </c:pt>
                <c:pt idx="127">
                  <c:v>67.406533455113916</c:v>
                </c:pt>
                <c:pt idx="128">
                  <c:v>65.005048209369875</c:v>
                </c:pt>
                <c:pt idx="129">
                  <c:v>62.925312670287902</c:v>
                </c:pt>
                <c:pt idx="130">
                  <c:v>61.764377980298981</c:v>
                </c:pt>
                <c:pt idx="131">
                  <c:v>59.170426634566518</c:v>
                </c:pt>
                <c:pt idx="132">
                  <c:v>57.663722980686018</c:v>
                </c:pt>
                <c:pt idx="133">
                  <c:v>55.565547154928154</c:v>
                </c:pt>
                <c:pt idx="134">
                  <c:v>54.136875162530401</c:v>
                </c:pt>
                <c:pt idx="135">
                  <c:v>52.32920001199016</c:v>
                </c:pt>
                <c:pt idx="136">
                  <c:v>50.751927269577344</c:v>
                </c:pt>
                <c:pt idx="137">
                  <c:v>49.776663669083149</c:v>
                </c:pt>
                <c:pt idx="138">
                  <c:v>47.764842995002255</c:v>
                </c:pt>
                <c:pt idx="139">
                  <c:v>45.619937166078785</c:v>
                </c:pt>
                <c:pt idx="140">
                  <c:v>43.871069581620311</c:v>
                </c:pt>
                <c:pt idx="141">
                  <c:v>41.240547170136203</c:v>
                </c:pt>
                <c:pt idx="142">
                  <c:v>39.43622653585377</c:v>
                </c:pt>
                <c:pt idx="143">
                  <c:v>37.931315341979094</c:v>
                </c:pt>
                <c:pt idx="144">
                  <c:v>35.438265946326666</c:v>
                </c:pt>
                <c:pt idx="145">
                  <c:v>33.699486837269049</c:v>
                </c:pt>
                <c:pt idx="146">
                  <c:v>32.070956539748742</c:v>
                </c:pt>
                <c:pt idx="147">
                  <c:v>30.174648762067349</c:v>
                </c:pt>
                <c:pt idx="148">
                  <c:v>28.41540391828935</c:v>
                </c:pt>
                <c:pt idx="149">
                  <c:v>26.36109012094192</c:v>
                </c:pt>
                <c:pt idx="150">
                  <c:v>24.659092885409478</c:v>
                </c:pt>
                <c:pt idx="151">
                  <c:v>47.853251595620108</c:v>
                </c:pt>
                <c:pt idx="152">
                  <c:v>46.059045125654009</c:v>
                </c:pt>
                <c:pt idx="153">
                  <c:v>43.698104724374254</c:v>
                </c:pt>
                <c:pt idx="154">
                  <c:v>41.634547063117992</c:v>
                </c:pt>
                <c:pt idx="155">
                  <c:v>39.469480710656789</c:v>
                </c:pt>
                <c:pt idx="156">
                  <c:v>37.130831279446802</c:v>
                </c:pt>
                <c:pt idx="157">
                  <c:v>34.887883324603273</c:v>
                </c:pt>
                <c:pt idx="158">
                  <c:v>32.704689361081392</c:v>
                </c:pt>
                <c:pt idx="159">
                  <c:v>30.609177360413582</c:v>
                </c:pt>
                <c:pt idx="160">
                  <c:v>28.535458486972903</c:v>
                </c:pt>
                <c:pt idx="161">
                  <c:v>54.963542449636918</c:v>
                </c:pt>
                <c:pt idx="162">
                  <c:v>52.824755820992543</c:v>
                </c:pt>
                <c:pt idx="163">
                  <c:v>50.269528586001371</c:v>
                </c:pt>
                <c:pt idx="164">
                  <c:v>46.895141655505313</c:v>
                </c:pt>
                <c:pt idx="165">
                  <c:v>44.568402111054752</c:v>
                </c:pt>
                <c:pt idx="166">
                  <c:v>42.275585491719148</c:v>
                </c:pt>
                <c:pt idx="167">
                  <c:v>39.991026199231555</c:v>
                </c:pt>
                <c:pt idx="168">
                  <c:v>37.435340508632557</c:v>
                </c:pt>
                <c:pt idx="169">
                  <c:v>34.230171803246925</c:v>
                </c:pt>
                <c:pt idx="170">
                  <c:v>31.950967550565007</c:v>
                </c:pt>
                <c:pt idx="171">
                  <c:v>64.277299003333013</c:v>
                </c:pt>
                <c:pt idx="172">
                  <c:v>61.765266491152445</c:v>
                </c:pt>
                <c:pt idx="173">
                  <c:v>59.346259127646547</c:v>
                </c:pt>
                <c:pt idx="174">
                  <c:v>56.898208536246358</c:v>
                </c:pt>
                <c:pt idx="175">
                  <c:v>53.599118579274851</c:v>
                </c:pt>
                <c:pt idx="176">
                  <c:v>50.722506754108259</c:v>
                </c:pt>
                <c:pt idx="177">
                  <c:v>46.831861501547571</c:v>
                </c:pt>
                <c:pt idx="178">
                  <c:v>44.313977793404938</c:v>
                </c:pt>
                <c:pt idx="179">
                  <c:v>42.363025186082325</c:v>
                </c:pt>
                <c:pt idx="180">
                  <c:v>40.098435182744083</c:v>
                </c:pt>
                <c:pt idx="181">
                  <c:v>37.999206253616663</c:v>
                </c:pt>
                <c:pt idx="182">
                  <c:v>35.138523600093116</c:v>
                </c:pt>
                <c:pt idx="183">
                  <c:v>32.924230782800613</c:v>
                </c:pt>
                <c:pt idx="184">
                  <c:v>30.837082713982873</c:v>
                </c:pt>
                <c:pt idx="185">
                  <c:v>28.738405019103737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45376</c:v>
                </c:pt>
                <c:pt idx="1">
                  <c:v>45377</c:v>
                </c:pt>
                <c:pt idx="2">
                  <c:v>45378</c:v>
                </c:pt>
                <c:pt idx="3">
                  <c:v>45379</c:v>
                </c:pt>
                <c:pt idx="4">
                  <c:v>45380</c:v>
                </c:pt>
                <c:pt idx="5">
                  <c:v>45381</c:v>
                </c:pt>
                <c:pt idx="6">
                  <c:v>45382</c:v>
                </c:pt>
                <c:pt idx="7">
                  <c:v>45383</c:v>
                </c:pt>
                <c:pt idx="8">
                  <c:v>45384</c:v>
                </c:pt>
                <c:pt idx="9">
                  <c:v>45385</c:v>
                </c:pt>
                <c:pt idx="10">
                  <c:v>45386</c:v>
                </c:pt>
                <c:pt idx="11">
                  <c:v>45387</c:v>
                </c:pt>
                <c:pt idx="12">
                  <c:v>45388</c:v>
                </c:pt>
                <c:pt idx="13">
                  <c:v>45389</c:v>
                </c:pt>
                <c:pt idx="14">
                  <c:v>45390</c:v>
                </c:pt>
                <c:pt idx="15">
                  <c:v>45391</c:v>
                </c:pt>
                <c:pt idx="16">
                  <c:v>45392</c:v>
                </c:pt>
                <c:pt idx="17">
                  <c:v>45393</c:v>
                </c:pt>
                <c:pt idx="18">
                  <c:v>45394</c:v>
                </c:pt>
                <c:pt idx="19">
                  <c:v>45395</c:v>
                </c:pt>
                <c:pt idx="20">
                  <c:v>45396</c:v>
                </c:pt>
                <c:pt idx="21">
                  <c:v>45397</c:v>
                </c:pt>
                <c:pt idx="22">
                  <c:v>45398</c:v>
                </c:pt>
                <c:pt idx="23">
                  <c:v>45399</c:v>
                </c:pt>
                <c:pt idx="24">
                  <c:v>45400</c:v>
                </c:pt>
                <c:pt idx="25">
                  <c:v>45401</c:v>
                </c:pt>
                <c:pt idx="26">
                  <c:v>45402</c:v>
                </c:pt>
                <c:pt idx="27">
                  <c:v>45403</c:v>
                </c:pt>
                <c:pt idx="28">
                  <c:v>45404</c:v>
                </c:pt>
                <c:pt idx="29">
                  <c:v>45405</c:v>
                </c:pt>
                <c:pt idx="30">
                  <c:v>45406</c:v>
                </c:pt>
                <c:pt idx="31">
                  <c:v>45407</c:v>
                </c:pt>
                <c:pt idx="32">
                  <c:v>45408</c:v>
                </c:pt>
                <c:pt idx="33">
                  <c:v>45409</c:v>
                </c:pt>
                <c:pt idx="34">
                  <c:v>45410</c:v>
                </c:pt>
                <c:pt idx="35">
                  <c:v>45411</c:v>
                </c:pt>
                <c:pt idx="36">
                  <c:v>45412</c:v>
                </c:pt>
                <c:pt idx="37">
                  <c:v>45413</c:v>
                </c:pt>
                <c:pt idx="38">
                  <c:v>45414</c:v>
                </c:pt>
                <c:pt idx="39">
                  <c:v>45415</c:v>
                </c:pt>
                <c:pt idx="40">
                  <c:v>45416</c:v>
                </c:pt>
                <c:pt idx="41">
                  <c:v>45417</c:v>
                </c:pt>
                <c:pt idx="42">
                  <c:v>45418</c:v>
                </c:pt>
                <c:pt idx="43">
                  <c:v>45419</c:v>
                </c:pt>
                <c:pt idx="44">
                  <c:v>45420</c:v>
                </c:pt>
                <c:pt idx="45">
                  <c:v>45421</c:v>
                </c:pt>
                <c:pt idx="46">
                  <c:v>45422</c:v>
                </c:pt>
                <c:pt idx="47">
                  <c:v>45423</c:v>
                </c:pt>
                <c:pt idx="48">
                  <c:v>45424</c:v>
                </c:pt>
                <c:pt idx="49">
                  <c:v>45425</c:v>
                </c:pt>
                <c:pt idx="50">
                  <c:v>45426</c:v>
                </c:pt>
                <c:pt idx="51">
                  <c:v>45427</c:v>
                </c:pt>
                <c:pt idx="52">
                  <c:v>45428</c:v>
                </c:pt>
                <c:pt idx="53">
                  <c:v>45429</c:v>
                </c:pt>
                <c:pt idx="54">
                  <c:v>45430</c:v>
                </c:pt>
                <c:pt idx="55">
                  <c:v>45431</c:v>
                </c:pt>
                <c:pt idx="56">
                  <c:v>45432</c:v>
                </c:pt>
                <c:pt idx="57">
                  <c:v>45433</c:v>
                </c:pt>
                <c:pt idx="58">
                  <c:v>45434</c:v>
                </c:pt>
                <c:pt idx="59">
                  <c:v>45435</c:v>
                </c:pt>
                <c:pt idx="60">
                  <c:v>45436</c:v>
                </c:pt>
                <c:pt idx="61">
                  <c:v>45437</c:v>
                </c:pt>
                <c:pt idx="62">
                  <c:v>45438</c:v>
                </c:pt>
                <c:pt idx="63">
                  <c:v>45439</c:v>
                </c:pt>
                <c:pt idx="64">
                  <c:v>45440</c:v>
                </c:pt>
                <c:pt idx="65">
                  <c:v>45441</c:v>
                </c:pt>
                <c:pt idx="66">
                  <c:v>45442</c:v>
                </c:pt>
                <c:pt idx="67">
                  <c:v>45443</c:v>
                </c:pt>
                <c:pt idx="68">
                  <c:v>45444</c:v>
                </c:pt>
                <c:pt idx="69">
                  <c:v>45445</c:v>
                </c:pt>
                <c:pt idx="70">
                  <c:v>45446</c:v>
                </c:pt>
                <c:pt idx="71">
                  <c:v>45447</c:v>
                </c:pt>
                <c:pt idx="72">
                  <c:v>45448</c:v>
                </c:pt>
                <c:pt idx="73">
                  <c:v>45449</c:v>
                </c:pt>
                <c:pt idx="74">
                  <c:v>45450</c:v>
                </c:pt>
                <c:pt idx="75">
                  <c:v>45451</c:v>
                </c:pt>
                <c:pt idx="76">
                  <c:v>45452</c:v>
                </c:pt>
                <c:pt idx="77">
                  <c:v>45453</c:v>
                </c:pt>
                <c:pt idx="78">
                  <c:v>45454</c:v>
                </c:pt>
                <c:pt idx="79">
                  <c:v>45455</c:v>
                </c:pt>
                <c:pt idx="80">
                  <c:v>45456</c:v>
                </c:pt>
                <c:pt idx="81">
                  <c:v>45457</c:v>
                </c:pt>
                <c:pt idx="82">
                  <c:v>45458</c:v>
                </c:pt>
                <c:pt idx="83">
                  <c:v>45459</c:v>
                </c:pt>
                <c:pt idx="84">
                  <c:v>45460</c:v>
                </c:pt>
                <c:pt idx="85">
                  <c:v>45461</c:v>
                </c:pt>
                <c:pt idx="86">
                  <c:v>45462</c:v>
                </c:pt>
                <c:pt idx="87">
                  <c:v>45463</c:v>
                </c:pt>
                <c:pt idx="88">
                  <c:v>45464</c:v>
                </c:pt>
                <c:pt idx="89">
                  <c:v>45465</c:v>
                </c:pt>
                <c:pt idx="90">
                  <c:v>45466</c:v>
                </c:pt>
                <c:pt idx="91">
                  <c:v>45467</c:v>
                </c:pt>
                <c:pt idx="92">
                  <c:v>45468</c:v>
                </c:pt>
                <c:pt idx="93">
                  <c:v>45469</c:v>
                </c:pt>
                <c:pt idx="94">
                  <c:v>45470</c:v>
                </c:pt>
                <c:pt idx="95">
                  <c:v>45471</c:v>
                </c:pt>
                <c:pt idx="96">
                  <c:v>45472</c:v>
                </c:pt>
                <c:pt idx="97">
                  <c:v>45473</c:v>
                </c:pt>
                <c:pt idx="98">
                  <c:v>45474</c:v>
                </c:pt>
                <c:pt idx="99">
                  <c:v>45475</c:v>
                </c:pt>
                <c:pt idx="100">
                  <c:v>45476</c:v>
                </c:pt>
                <c:pt idx="101">
                  <c:v>45477</c:v>
                </c:pt>
                <c:pt idx="102">
                  <c:v>45478</c:v>
                </c:pt>
                <c:pt idx="103">
                  <c:v>45479</c:v>
                </c:pt>
                <c:pt idx="104">
                  <c:v>45480</c:v>
                </c:pt>
                <c:pt idx="105">
                  <c:v>45481</c:v>
                </c:pt>
                <c:pt idx="106">
                  <c:v>45482</c:v>
                </c:pt>
                <c:pt idx="107">
                  <c:v>45483</c:v>
                </c:pt>
                <c:pt idx="108">
                  <c:v>45484</c:v>
                </c:pt>
                <c:pt idx="109">
                  <c:v>45485</c:v>
                </c:pt>
                <c:pt idx="110">
                  <c:v>45486</c:v>
                </c:pt>
                <c:pt idx="111">
                  <c:v>45487</c:v>
                </c:pt>
                <c:pt idx="112">
                  <c:v>45488</c:v>
                </c:pt>
                <c:pt idx="113">
                  <c:v>45489</c:v>
                </c:pt>
                <c:pt idx="114">
                  <c:v>45490</c:v>
                </c:pt>
                <c:pt idx="115">
                  <c:v>45491</c:v>
                </c:pt>
                <c:pt idx="116">
                  <c:v>45492</c:v>
                </c:pt>
                <c:pt idx="117">
                  <c:v>45493</c:v>
                </c:pt>
                <c:pt idx="118">
                  <c:v>45494</c:v>
                </c:pt>
                <c:pt idx="119">
                  <c:v>45495</c:v>
                </c:pt>
                <c:pt idx="120">
                  <c:v>45496</c:v>
                </c:pt>
                <c:pt idx="121">
                  <c:v>45497</c:v>
                </c:pt>
                <c:pt idx="122">
                  <c:v>45498</c:v>
                </c:pt>
                <c:pt idx="123">
                  <c:v>45499</c:v>
                </c:pt>
                <c:pt idx="124">
                  <c:v>45500</c:v>
                </c:pt>
                <c:pt idx="125">
                  <c:v>45501</c:v>
                </c:pt>
                <c:pt idx="126">
                  <c:v>45502</c:v>
                </c:pt>
                <c:pt idx="127">
                  <c:v>45503</c:v>
                </c:pt>
                <c:pt idx="128">
                  <c:v>45504</c:v>
                </c:pt>
                <c:pt idx="129">
                  <c:v>45505</c:v>
                </c:pt>
                <c:pt idx="130">
                  <c:v>45506</c:v>
                </c:pt>
                <c:pt idx="131">
                  <c:v>45507</c:v>
                </c:pt>
                <c:pt idx="132">
                  <c:v>45508</c:v>
                </c:pt>
                <c:pt idx="133">
                  <c:v>45509</c:v>
                </c:pt>
                <c:pt idx="134">
                  <c:v>45510</c:v>
                </c:pt>
                <c:pt idx="135">
                  <c:v>45511</c:v>
                </c:pt>
                <c:pt idx="136">
                  <c:v>45512</c:v>
                </c:pt>
                <c:pt idx="137">
                  <c:v>45513</c:v>
                </c:pt>
                <c:pt idx="138">
                  <c:v>45514</c:v>
                </c:pt>
                <c:pt idx="139">
                  <c:v>45515</c:v>
                </c:pt>
                <c:pt idx="140">
                  <c:v>45516</c:v>
                </c:pt>
                <c:pt idx="141">
                  <c:v>45517</c:v>
                </c:pt>
                <c:pt idx="142">
                  <c:v>45518</c:v>
                </c:pt>
                <c:pt idx="143">
                  <c:v>45519</c:v>
                </c:pt>
                <c:pt idx="144">
                  <c:v>45520</c:v>
                </c:pt>
                <c:pt idx="145">
                  <c:v>45521</c:v>
                </c:pt>
                <c:pt idx="146">
                  <c:v>45522</c:v>
                </c:pt>
                <c:pt idx="147">
                  <c:v>45523</c:v>
                </c:pt>
                <c:pt idx="148">
                  <c:v>45524</c:v>
                </c:pt>
                <c:pt idx="149">
                  <c:v>45525</c:v>
                </c:pt>
                <c:pt idx="150">
                  <c:v>45526</c:v>
                </c:pt>
                <c:pt idx="151">
                  <c:v>45527</c:v>
                </c:pt>
                <c:pt idx="152">
                  <c:v>45528</c:v>
                </c:pt>
                <c:pt idx="153">
                  <c:v>45529</c:v>
                </c:pt>
                <c:pt idx="154">
                  <c:v>45530</c:v>
                </c:pt>
                <c:pt idx="155">
                  <c:v>45531</c:v>
                </c:pt>
                <c:pt idx="156">
                  <c:v>45532</c:v>
                </c:pt>
                <c:pt idx="157">
                  <c:v>45533</c:v>
                </c:pt>
                <c:pt idx="158">
                  <c:v>45534</c:v>
                </c:pt>
                <c:pt idx="159">
                  <c:v>45535</c:v>
                </c:pt>
                <c:pt idx="160">
                  <c:v>45536</c:v>
                </c:pt>
                <c:pt idx="161">
                  <c:v>45537</c:v>
                </c:pt>
                <c:pt idx="162">
                  <c:v>45538</c:v>
                </c:pt>
                <c:pt idx="163">
                  <c:v>45539</c:v>
                </c:pt>
                <c:pt idx="164">
                  <c:v>45540</c:v>
                </c:pt>
                <c:pt idx="165">
                  <c:v>45541</c:v>
                </c:pt>
                <c:pt idx="166">
                  <c:v>45542</c:v>
                </c:pt>
                <c:pt idx="167">
                  <c:v>45543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45549</c:v>
                </c:pt>
                <c:pt idx="174">
                  <c:v>45550</c:v>
                </c:pt>
                <c:pt idx="175">
                  <c:v>45551</c:v>
                </c:pt>
                <c:pt idx="176">
                  <c:v>45552</c:v>
                </c:pt>
                <c:pt idx="177">
                  <c:v>45553</c:v>
                </c:pt>
                <c:pt idx="178">
                  <c:v>45554</c:v>
                </c:pt>
                <c:pt idx="179">
                  <c:v>45555</c:v>
                </c:pt>
                <c:pt idx="180">
                  <c:v>45556</c:v>
                </c:pt>
                <c:pt idx="181">
                  <c:v>45557</c:v>
                </c:pt>
                <c:pt idx="182">
                  <c:v>45558</c:v>
                </c:pt>
                <c:pt idx="183">
                  <c:v>45559</c:v>
                </c:pt>
                <c:pt idx="184">
                  <c:v>45560</c:v>
                </c:pt>
                <c:pt idx="185">
                  <c:v>45561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-0.89149340406729327</c:v>
                </c:pt>
                <c:pt idx="15">
                  <c:v>-2.1612282210944143</c:v>
                </c:pt>
                <c:pt idx="16">
                  <c:v>-2.1612282210944143</c:v>
                </c:pt>
                <c:pt idx="17">
                  <c:v>-3.0083222855501957</c:v>
                </c:pt>
                <c:pt idx="18">
                  <c:v>-4.5176813108280811</c:v>
                </c:pt>
                <c:pt idx="19">
                  <c:v>-6.0185750035067764</c:v>
                </c:pt>
                <c:pt idx="20">
                  <c:v>-6.0185750035067764</c:v>
                </c:pt>
                <c:pt idx="21">
                  <c:v>-8.5868362524849182</c:v>
                </c:pt>
                <c:pt idx="22">
                  <c:v>-9.6603089895093888</c:v>
                </c:pt>
                <c:pt idx="23">
                  <c:v>-10.087733655146595</c:v>
                </c:pt>
                <c:pt idx="24">
                  <c:v>-10.087733655146595</c:v>
                </c:pt>
                <c:pt idx="25">
                  <c:v>-10.087733655146595</c:v>
                </c:pt>
                <c:pt idx="26">
                  <c:v>-10.087733655146595</c:v>
                </c:pt>
                <c:pt idx="27">
                  <c:v>-10.087733655146595</c:v>
                </c:pt>
                <c:pt idx="28">
                  <c:v>-10.087733655146595</c:v>
                </c:pt>
                <c:pt idx="29">
                  <c:v>-10.087733655146595</c:v>
                </c:pt>
                <c:pt idx="30">
                  <c:v>-12.815451041494333</c:v>
                </c:pt>
                <c:pt idx="31">
                  <c:v>-12.815451041494333</c:v>
                </c:pt>
                <c:pt idx="32">
                  <c:v>-14.137806500538817</c:v>
                </c:pt>
                <c:pt idx="33">
                  <c:v>-16.64780503537494</c:v>
                </c:pt>
                <c:pt idx="34">
                  <c:v>-18.495370697391785</c:v>
                </c:pt>
                <c:pt idx="35">
                  <c:v>-20.68838690339447</c:v>
                </c:pt>
                <c:pt idx="36">
                  <c:v>-20.68838690339447</c:v>
                </c:pt>
                <c:pt idx="37">
                  <c:v>-20.68838690339447</c:v>
                </c:pt>
                <c:pt idx="38">
                  <c:v>-20.68838690339447</c:v>
                </c:pt>
                <c:pt idx="39">
                  <c:v>-20.68838690339447</c:v>
                </c:pt>
                <c:pt idx="40">
                  <c:v>-22.744758201684487</c:v>
                </c:pt>
                <c:pt idx="41">
                  <c:v>-23.382877093121582</c:v>
                </c:pt>
                <c:pt idx="42">
                  <c:v>-25.801501167136564</c:v>
                </c:pt>
                <c:pt idx="43">
                  <c:v>-26.333378106435063</c:v>
                </c:pt>
                <c:pt idx="44">
                  <c:v>-26.333378106435063</c:v>
                </c:pt>
                <c:pt idx="45">
                  <c:v>-26.479214066489813</c:v>
                </c:pt>
                <c:pt idx="46">
                  <c:v>-28.059827977386533</c:v>
                </c:pt>
                <c:pt idx="47">
                  <c:v>-30.966231416697873</c:v>
                </c:pt>
                <c:pt idx="48">
                  <c:v>-33.192818999256808</c:v>
                </c:pt>
                <c:pt idx="49">
                  <c:v>-35.308810757346578</c:v>
                </c:pt>
                <c:pt idx="50">
                  <c:v>-39.548605942224484</c:v>
                </c:pt>
                <c:pt idx="51">
                  <c:v>-41.549810094627759</c:v>
                </c:pt>
                <c:pt idx="52">
                  <c:v>-42.872634623802803</c:v>
                </c:pt>
                <c:pt idx="53">
                  <c:v>-43.581581597768761</c:v>
                </c:pt>
                <c:pt idx="54">
                  <c:v>-44.160215030019572</c:v>
                </c:pt>
                <c:pt idx="55">
                  <c:v>-44.160215030019572</c:v>
                </c:pt>
                <c:pt idx="56">
                  <c:v>-44.16405385634944</c:v>
                </c:pt>
                <c:pt idx="57">
                  <c:v>-45.676844832646822</c:v>
                </c:pt>
                <c:pt idx="58">
                  <c:v>-47.206688621908171</c:v>
                </c:pt>
                <c:pt idx="59">
                  <c:v>-50.983118655676854</c:v>
                </c:pt>
                <c:pt idx="60">
                  <c:v>-52.737765325806066</c:v>
                </c:pt>
                <c:pt idx="61">
                  <c:v>-56.763143321657942</c:v>
                </c:pt>
                <c:pt idx="62">
                  <c:v>-58.100520332402752</c:v>
                </c:pt>
                <c:pt idx="63">
                  <c:v>-59.476925406688117</c:v>
                </c:pt>
                <c:pt idx="64">
                  <c:v>-61.128502072695007</c:v>
                </c:pt>
                <c:pt idx="65">
                  <c:v>-61.791533358006404</c:v>
                </c:pt>
                <c:pt idx="66">
                  <c:v>-64.523042050146088</c:v>
                </c:pt>
                <c:pt idx="67">
                  <c:v>-65.528624427439212</c:v>
                </c:pt>
                <c:pt idx="68">
                  <c:v>-66.844011165141637</c:v>
                </c:pt>
                <c:pt idx="69">
                  <c:v>-67.45235558944475</c:v>
                </c:pt>
                <c:pt idx="70">
                  <c:v>-68.566703740068974</c:v>
                </c:pt>
                <c:pt idx="71">
                  <c:v>-70.992659209740026</c:v>
                </c:pt>
                <c:pt idx="72">
                  <c:v>-74.151004656557319</c:v>
                </c:pt>
                <c:pt idx="73">
                  <c:v>-75.194506318644059</c:v>
                </c:pt>
                <c:pt idx="74">
                  <c:v>-75.662169792556668</c:v>
                </c:pt>
                <c:pt idx="75">
                  <c:v>-76.09382872577909</c:v>
                </c:pt>
                <c:pt idx="76">
                  <c:v>-78.968070044293796</c:v>
                </c:pt>
                <c:pt idx="77">
                  <c:v>-83.336275876946232</c:v>
                </c:pt>
                <c:pt idx="78">
                  <c:v>-83.336275876946232</c:v>
                </c:pt>
                <c:pt idx="79">
                  <c:v>-86.40395721578561</c:v>
                </c:pt>
                <c:pt idx="80">
                  <c:v>-86.478146866386282</c:v>
                </c:pt>
                <c:pt idx="81">
                  <c:v>-87.344425599020553</c:v>
                </c:pt>
                <c:pt idx="82">
                  <c:v>-88.564668552051501</c:v>
                </c:pt>
                <c:pt idx="83">
                  <c:v>-89.631853549226562</c:v>
                </c:pt>
                <c:pt idx="84">
                  <c:v>-92.70872089158712</c:v>
                </c:pt>
                <c:pt idx="85">
                  <c:v>-99.538419392813097</c:v>
                </c:pt>
                <c:pt idx="86">
                  <c:v>-104.34775532976516</c:v>
                </c:pt>
                <c:pt idx="87">
                  <c:v>-104.93329081417787</c:v>
                </c:pt>
                <c:pt idx="88">
                  <c:v>-105.55174690680538</c:v>
                </c:pt>
                <c:pt idx="89">
                  <c:v>-106.81697569635163</c:v>
                </c:pt>
                <c:pt idx="90">
                  <c:v>-108.44736143231448</c:v>
                </c:pt>
                <c:pt idx="91">
                  <c:v>-109.64987657764766</c:v>
                </c:pt>
                <c:pt idx="92">
                  <c:v>-109.79107108140779</c:v>
                </c:pt>
                <c:pt idx="93">
                  <c:v>-110.9598496301203</c:v>
                </c:pt>
                <c:pt idx="94">
                  <c:v>-110.9598496301203</c:v>
                </c:pt>
                <c:pt idx="95">
                  <c:v>-111.412057026857</c:v>
                </c:pt>
                <c:pt idx="96">
                  <c:v>-112.38071878622867</c:v>
                </c:pt>
                <c:pt idx="97">
                  <c:v>-113.10678783130442</c:v>
                </c:pt>
                <c:pt idx="98">
                  <c:v>-113.10678783130442</c:v>
                </c:pt>
                <c:pt idx="99">
                  <c:v>-114.46527680395383</c:v>
                </c:pt>
                <c:pt idx="100">
                  <c:v>-114.46527680395383</c:v>
                </c:pt>
                <c:pt idx="101">
                  <c:v>-114.46527680395383</c:v>
                </c:pt>
                <c:pt idx="102">
                  <c:v>-114.63975022237376</c:v>
                </c:pt>
                <c:pt idx="103">
                  <c:v>-116.63862282495322</c:v>
                </c:pt>
                <c:pt idx="104">
                  <c:v>-118.04726114492823</c:v>
                </c:pt>
                <c:pt idx="105">
                  <c:v>-119.73854071571793</c:v>
                </c:pt>
                <c:pt idx="106">
                  <c:v>-120.35597715530999</c:v>
                </c:pt>
                <c:pt idx="107">
                  <c:v>-122.16540638956113</c:v>
                </c:pt>
                <c:pt idx="108">
                  <c:v>-122.47387020410825</c:v>
                </c:pt>
                <c:pt idx="109">
                  <c:v>-124.51336246065897</c:v>
                </c:pt>
                <c:pt idx="110">
                  <c:v>-126.1174119058541</c:v>
                </c:pt>
                <c:pt idx="111">
                  <c:v>-126.63199397678324</c:v>
                </c:pt>
                <c:pt idx="112">
                  <c:v>-129.0480996500998</c:v>
                </c:pt>
                <c:pt idx="113">
                  <c:v>-130.68452774614408</c:v>
                </c:pt>
                <c:pt idx="114">
                  <c:v>-130.72016156185754</c:v>
                </c:pt>
                <c:pt idx="115">
                  <c:v>-130.80438551558353</c:v>
                </c:pt>
                <c:pt idx="116">
                  <c:v>-131.59097862308511</c:v>
                </c:pt>
                <c:pt idx="117">
                  <c:v>-132.68430457492371</c:v>
                </c:pt>
                <c:pt idx="118">
                  <c:v>-134.18909306627731</c:v>
                </c:pt>
                <c:pt idx="119">
                  <c:v>-135.97003138665087</c:v>
                </c:pt>
                <c:pt idx="120">
                  <c:v>-136.41065282226072</c:v>
                </c:pt>
                <c:pt idx="121">
                  <c:v>-136.41065282226072</c:v>
                </c:pt>
                <c:pt idx="122">
                  <c:v>-136.41065282226072</c:v>
                </c:pt>
                <c:pt idx="123">
                  <c:v>-136.41065282226072</c:v>
                </c:pt>
                <c:pt idx="124">
                  <c:v>-136.41065282226072</c:v>
                </c:pt>
                <c:pt idx="125">
                  <c:v>-136.98796136914288</c:v>
                </c:pt>
                <c:pt idx="126">
                  <c:v>-137.05602475247218</c:v>
                </c:pt>
                <c:pt idx="127">
                  <c:v>-137.63142255254556</c:v>
                </c:pt>
                <c:pt idx="128">
                  <c:v>-139.18155742680204</c:v>
                </c:pt>
                <c:pt idx="129">
                  <c:v>-140.33901839551407</c:v>
                </c:pt>
                <c:pt idx="130">
                  <c:v>-140.57372303183922</c:v>
                </c:pt>
                <c:pt idx="131">
                  <c:v>-142.18676031444241</c:v>
                </c:pt>
                <c:pt idx="132">
                  <c:v>-142.70757237475493</c:v>
                </c:pt>
                <c:pt idx="133">
                  <c:v>-143.76331777069856</c:v>
                </c:pt>
                <c:pt idx="134">
                  <c:v>-144.09127739124838</c:v>
                </c:pt>
                <c:pt idx="135">
                  <c:v>-144.81463378213877</c:v>
                </c:pt>
                <c:pt idx="136">
                  <c:v>-145.39600078668767</c:v>
                </c:pt>
                <c:pt idx="137">
                  <c:v>-145.42067269824537</c:v>
                </c:pt>
                <c:pt idx="138">
                  <c:v>-146.32294365997996</c:v>
                </c:pt>
                <c:pt idx="139">
                  <c:v>-147.26509453623592</c:v>
                </c:pt>
                <c:pt idx="140">
                  <c:v>-147.72898341111636</c:v>
                </c:pt>
                <c:pt idx="141">
                  <c:v>-148.99178091924773</c:v>
                </c:pt>
                <c:pt idx="142">
                  <c:v>-149.43483835128532</c:v>
                </c:pt>
                <c:pt idx="143">
                  <c:v>-149.49750748098077</c:v>
                </c:pt>
                <c:pt idx="144">
                  <c:v>-150.51823225984643</c:v>
                </c:pt>
                <c:pt idx="145">
                  <c:v>-150.8727117895057</c:v>
                </c:pt>
                <c:pt idx="146">
                  <c:v>-150.97338670525221</c:v>
                </c:pt>
                <c:pt idx="147">
                  <c:v>-151.34064279264908</c:v>
                </c:pt>
                <c:pt idx="148">
                  <c:v>-151.44549151493308</c:v>
                </c:pt>
                <c:pt idx="149">
                  <c:v>-151.85053539531313</c:v>
                </c:pt>
                <c:pt idx="150">
                  <c:v>-151.85596754331107</c:v>
                </c:pt>
                <c:pt idx="151">
                  <c:v>-151.85596754331107</c:v>
                </c:pt>
                <c:pt idx="152">
                  <c:v>-151.85596754331107</c:v>
                </c:pt>
                <c:pt idx="153">
                  <c:v>-152.19837703178834</c:v>
                </c:pt>
                <c:pt idx="154">
                  <c:v>-152.19837703178834</c:v>
                </c:pt>
                <c:pt idx="155">
                  <c:v>-152.19837703178834</c:v>
                </c:pt>
                <c:pt idx="156">
                  <c:v>-152.43400074456932</c:v>
                </c:pt>
                <c:pt idx="157">
                  <c:v>-152.43400074456932</c:v>
                </c:pt>
                <c:pt idx="158">
                  <c:v>-152.43400074456932</c:v>
                </c:pt>
                <c:pt idx="159">
                  <c:v>-152.43400074456932</c:v>
                </c:pt>
                <c:pt idx="160">
                  <c:v>-152.48806317656428</c:v>
                </c:pt>
                <c:pt idx="161">
                  <c:v>-152.48806317656428</c:v>
                </c:pt>
                <c:pt idx="162">
                  <c:v>-152.48806317656428</c:v>
                </c:pt>
                <c:pt idx="163">
                  <c:v>-152.95090522034721</c:v>
                </c:pt>
                <c:pt idx="164">
                  <c:v>-154.10275864176387</c:v>
                </c:pt>
                <c:pt idx="165">
                  <c:v>-154.10275864176387</c:v>
                </c:pt>
                <c:pt idx="166">
                  <c:v>-154.10275864176387</c:v>
                </c:pt>
                <c:pt idx="167">
                  <c:v>-154.30230269127861</c:v>
                </c:pt>
                <c:pt idx="168">
                  <c:v>-154.66721588006277</c:v>
                </c:pt>
                <c:pt idx="169">
                  <c:v>-155.56454247075425</c:v>
                </c:pt>
                <c:pt idx="170">
                  <c:v>-155.5821386557821</c:v>
                </c:pt>
                <c:pt idx="171">
                  <c:v>-155.5821386557821</c:v>
                </c:pt>
                <c:pt idx="172">
                  <c:v>-155.7151088051906</c:v>
                </c:pt>
                <c:pt idx="173">
                  <c:v>-155.7151088051906</c:v>
                </c:pt>
                <c:pt idx="174">
                  <c:v>-155.78134197690213</c:v>
                </c:pt>
                <c:pt idx="175">
                  <c:v>-156.53701186898789</c:v>
                </c:pt>
                <c:pt idx="176">
                  <c:v>-157.07334724475308</c:v>
                </c:pt>
                <c:pt idx="177">
                  <c:v>-158.82458737585878</c:v>
                </c:pt>
                <c:pt idx="178">
                  <c:v>-159.2541118446737</c:v>
                </c:pt>
                <c:pt idx="179">
                  <c:v>-159.2541118446737</c:v>
                </c:pt>
                <c:pt idx="180">
                  <c:v>-159.53702812025617</c:v>
                </c:pt>
                <c:pt idx="181">
                  <c:v>-159.53702812025617</c:v>
                </c:pt>
                <c:pt idx="182">
                  <c:v>-160.21449609200977</c:v>
                </c:pt>
                <c:pt idx="183">
                  <c:v>-160.21449609200977</c:v>
                </c:pt>
                <c:pt idx="184">
                  <c:v>-160.21449609200977</c:v>
                </c:pt>
                <c:pt idx="185">
                  <c:v>-160.21449609200977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45376</c:v>
                </c:pt>
                <c:pt idx="1">
                  <c:v>45377</c:v>
                </c:pt>
                <c:pt idx="2">
                  <c:v>45378</c:v>
                </c:pt>
                <c:pt idx="3">
                  <c:v>45379</c:v>
                </c:pt>
                <c:pt idx="4">
                  <c:v>45380</c:v>
                </c:pt>
                <c:pt idx="5">
                  <c:v>45381</c:v>
                </c:pt>
                <c:pt idx="6">
                  <c:v>45382</c:v>
                </c:pt>
                <c:pt idx="7">
                  <c:v>45383</c:v>
                </c:pt>
                <c:pt idx="8">
                  <c:v>45384</c:v>
                </c:pt>
                <c:pt idx="9">
                  <c:v>45385</c:v>
                </c:pt>
                <c:pt idx="10">
                  <c:v>45386</c:v>
                </c:pt>
                <c:pt idx="11">
                  <c:v>45387</c:v>
                </c:pt>
                <c:pt idx="12">
                  <c:v>45388</c:v>
                </c:pt>
                <c:pt idx="13">
                  <c:v>45389</c:v>
                </c:pt>
                <c:pt idx="14">
                  <c:v>45390</c:v>
                </c:pt>
                <c:pt idx="15">
                  <c:v>45391</c:v>
                </c:pt>
                <c:pt idx="16">
                  <c:v>45392</c:v>
                </c:pt>
                <c:pt idx="17">
                  <c:v>45393</c:v>
                </c:pt>
                <c:pt idx="18">
                  <c:v>45394</c:v>
                </c:pt>
                <c:pt idx="19">
                  <c:v>45395</c:v>
                </c:pt>
                <c:pt idx="20">
                  <c:v>45396</c:v>
                </c:pt>
                <c:pt idx="21">
                  <c:v>45397</c:v>
                </c:pt>
                <c:pt idx="22">
                  <c:v>45398</c:v>
                </c:pt>
                <c:pt idx="23">
                  <c:v>45399</c:v>
                </c:pt>
                <c:pt idx="24">
                  <c:v>45400</c:v>
                </c:pt>
                <c:pt idx="25">
                  <c:v>45401</c:v>
                </c:pt>
                <c:pt idx="26">
                  <c:v>45402</c:v>
                </c:pt>
                <c:pt idx="27">
                  <c:v>45403</c:v>
                </c:pt>
                <c:pt idx="28">
                  <c:v>45404</c:v>
                </c:pt>
                <c:pt idx="29">
                  <c:v>45405</c:v>
                </c:pt>
                <c:pt idx="30">
                  <c:v>45406</c:v>
                </c:pt>
                <c:pt idx="31">
                  <c:v>45407</c:v>
                </c:pt>
                <c:pt idx="32">
                  <c:v>45408</c:v>
                </c:pt>
                <c:pt idx="33">
                  <c:v>45409</c:v>
                </c:pt>
                <c:pt idx="34">
                  <c:v>45410</c:v>
                </c:pt>
                <c:pt idx="35">
                  <c:v>45411</c:v>
                </c:pt>
                <c:pt idx="36">
                  <c:v>45412</c:v>
                </c:pt>
                <c:pt idx="37">
                  <c:v>45413</c:v>
                </c:pt>
                <c:pt idx="38">
                  <c:v>45414</c:v>
                </c:pt>
                <c:pt idx="39">
                  <c:v>45415</c:v>
                </c:pt>
                <c:pt idx="40">
                  <c:v>45416</c:v>
                </c:pt>
                <c:pt idx="41">
                  <c:v>45417</c:v>
                </c:pt>
                <c:pt idx="42">
                  <c:v>45418</c:v>
                </c:pt>
                <c:pt idx="43">
                  <c:v>45419</c:v>
                </c:pt>
                <c:pt idx="44">
                  <c:v>45420</c:v>
                </c:pt>
                <c:pt idx="45">
                  <c:v>45421</c:v>
                </c:pt>
                <c:pt idx="46">
                  <c:v>45422</c:v>
                </c:pt>
                <c:pt idx="47">
                  <c:v>45423</c:v>
                </c:pt>
                <c:pt idx="48">
                  <c:v>45424</c:v>
                </c:pt>
                <c:pt idx="49">
                  <c:v>45425</c:v>
                </c:pt>
                <c:pt idx="50">
                  <c:v>45426</c:v>
                </c:pt>
                <c:pt idx="51">
                  <c:v>45427</c:v>
                </c:pt>
                <c:pt idx="52">
                  <c:v>45428</c:v>
                </c:pt>
                <c:pt idx="53">
                  <c:v>45429</c:v>
                </c:pt>
                <c:pt idx="54">
                  <c:v>45430</c:v>
                </c:pt>
                <c:pt idx="55">
                  <c:v>45431</c:v>
                </c:pt>
                <c:pt idx="56">
                  <c:v>45432</c:v>
                </c:pt>
                <c:pt idx="57">
                  <c:v>45433</c:v>
                </c:pt>
                <c:pt idx="58">
                  <c:v>45434</c:v>
                </c:pt>
                <c:pt idx="59">
                  <c:v>45435</c:v>
                </c:pt>
                <c:pt idx="60">
                  <c:v>45436</c:v>
                </c:pt>
                <c:pt idx="61">
                  <c:v>45437</c:v>
                </c:pt>
                <c:pt idx="62">
                  <c:v>45438</c:v>
                </c:pt>
                <c:pt idx="63">
                  <c:v>45439</c:v>
                </c:pt>
                <c:pt idx="64">
                  <c:v>45440</c:v>
                </c:pt>
                <c:pt idx="65">
                  <c:v>45441</c:v>
                </c:pt>
                <c:pt idx="66">
                  <c:v>45442</c:v>
                </c:pt>
                <c:pt idx="67">
                  <c:v>45443</c:v>
                </c:pt>
                <c:pt idx="68">
                  <c:v>45444</c:v>
                </c:pt>
                <c:pt idx="69">
                  <c:v>45445</c:v>
                </c:pt>
                <c:pt idx="70">
                  <c:v>45446</c:v>
                </c:pt>
                <c:pt idx="71">
                  <c:v>45447</c:v>
                </c:pt>
                <c:pt idx="72">
                  <c:v>45448</c:v>
                </c:pt>
                <c:pt idx="73">
                  <c:v>45449</c:v>
                </c:pt>
                <c:pt idx="74">
                  <c:v>45450</c:v>
                </c:pt>
                <c:pt idx="75">
                  <c:v>45451</c:v>
                </c:pt>
                <c:pt idx="76">
                  <c:v>45452</c:v>
                </c:pt>
                <c:pt idx="77">
                  <c:v>45453</c:v>
                </c:pt>
                <c:pt idx="78">
                  <c:v>45454</c:v>
                </c:pt>
                <c:pt idx="79">
                  <c:v>45455</c:v>
                </c:pt>
                <c:pt idx="80">
                  <c:v>45456</c:v>
                </c:pt>
                <c:pt idx="81">
                  <c:v>45457</c:v>
                </c:pt>
                <c:pt idx="82">
                  <c:v>45458</c:v>
                </c:pt>
                <c:pt idx="83">
                  <c:v>45459</c:v>
                </c:pt>
                <c:pt idx="84">
                  <c:v>45460</c:v>
                </c:pt>
                <c:pt idx="85">
                  <c:v>45461</c:v>
                </c:pt>
                <c:pt idx="86">
                  <c:v>45462</c:v>
                </c:pt>
                <c:pt idx="87">
                  <c:v>45463</c:v>
                </c:pt>
                <c:pt idx="88">
                  <c:v>45464</c:v>
                </c:pt>
                <c:pt idx="89">
                  <c:v>45465</c:v>
                </c:pt>
                <c:pt idx="90">
                  <c:v>45466</c:v>
                </c:pt>
                <c:pt idx="91">
                  <c:v>45467</c:v>
                </c:pt>
                <c:pt idx="92">
                  <c:v>45468</c:v>
                </c:pt>
                <c:pt idx="93">
                  <c:v>45469</c:v>
                </c:pt>
                <c:pt idx="94">
                  <c:v>45470</c:v>
                </c:pt>
                <c:pt idx="95">
                  <c:v>45471</c:v>
                </c:pt>
                <c:pt idx="96">
                  <c:v>45472</c:v>
                </c:pt>
                <c:pt idx="97">
                  <c:v>45473</c:v>
                </c:pt>
                <c:pt idx="98">
                  <c:v>45474</c:v>
                </c:pt>
                <c:pt idx="99">
                  <c:v>45475</c:v>
                </c:pt>
                <c:pt idx="100">
                  <c:v>45476</c:v>
                </c:pt>
                <c:pt idx="101">
                  <c:v>45477</c:v>
                </c:pt>
                <c:pt idx="102">
                  <c:v>45478</c:v>
                </c:pt>
                <c:pt idx="103">
                  <c:v>45479</c:v>
                </c:pt>
                <c:pt idx="104">
                  <c:v>45480</c:v>
                </c:pt>
                <c:pt idx="105">
                  <c:v>45481</c:v>
                </c:pt>
                <c:pt idx="106">
                  <c:v>45482</c:v>
                </c:pt>
                <c:pt idx="107">
                  <c:v>45483</c:v>
                </c:pt>
                <c:pt idx="108">
                  <c:v>45484</c:v>
                </c:pt>
                <c:pt idx="109">
                  <c:v>45485</c:v>
                </c:pt>
                <c:pt idx="110">
                  <c:v>45486</c:v>
                </c:pt>
                <c:pt idx="111">
                  <c:v>45487</c:v>
                </c:pt>
                <c:pt idx="112">
                  <c:v>45488</c:v>
                </c:pt>
                <c:pt idx="113">
                  <c:v>45489</c:v>
                </c:pt>
                <c:pt idx="114">
                  <c:v>45490</c:v>
                </c:pt>
                <c:pt idx="115">
                  <c:v>45491</c:v>
                </c:pt>
                <c:pt idx="116">
                  <c:v>45492</c:v>
                </c:pt>
                <c:pt idx="117">
                  <c:v>45493</c:v>
                </c:pt>
                <c:pt idx="118">
                  <c:v>45494</c:v>
                </c:pt>
                <c:pt idx="119">
                  <c:v>45495</c:v>
                </c:pt>
                <c:pt idx="120">
                  <c:v>45496</c:v>
                </c:pt>
                <c:pt idx="121">
                  <c:v>45497</c:v>
                </c:pt>
                <c:pt idx="122">
                  <c:v>45498</c:v>
                </c:pt>
                <c:pt idx="123">
                  <c:v>45499</c:v>
                </c:pt>
                <c:pt idx="124">
                  <c:v>45500</c:v>
                </c:pt>
                <c:pt idx="125">
                  <c:v>45501</c:v>
                </c:pt>
                <c:pt idx="126">
                  <c:v>45502</c:v>
                </c:pt>
                <c:pt idx="127">
                  <c:v>45503</c:v>
                </c:pt>
                <c:pt idx="128">
                  <c:v>45504</c:v>
                </c:pt>
                <c:pt idx="129">
                  <c:v>45505</c:v>
                </c:pt>
                <c:pt idx="130">
                  <c:v>45506</c:v>
                </c:pt>
                <c:pt idx="131">
                  <c:v>45507</c:v>
                </c:pt>
                <c:pt idx="132">
                  <c:v>45508</c:v>
                </c:pt>
                <c:pt idx="133">
                  <c:v>45509</c:v>
                </c:pt>
                <c:pt idx="134">
                  <c:v>45510</c:v>
                </c:pt>
                <c:pt idx="135">
                  <c:v>45511</c:v>
                </c:pt>
                <c:pt idx="136">
                  <c:v>45512</c:v>
                </c:pt>
                <c:pt idx="137">
                  <c:v>45513</c:v>
                </c:pt>
                <c:pt idx="138">
                  <c:v>45514</c:v>
                </c:pt>
                <c:pt idx="139">
                  <c:v>45515</c:v>
                </c:pt>
                <c:pt idx="140">
                  <c:v>45516</c:v>
                </c:pt>
                <c:pt idx="141">
                  <c:v>45517</c:v>
                </c:pt>
                <c:pt idx="142">
                  <c:v>45518</c:v>
                </c:pt>
                <c:pt idx="143">
                  <c:v>45519</c:v>
                </c:pt>
                <c:pt idx="144">
                  <c:v>45520</c:v>
                </c:pt>
                <c:pt idx="145">
                  <c:v>45521</c:v>
                </c:pt>
                <c:pt idx="146">
                  <c:v>45522</c:v>
                </c:pt>
                <c:pt idx="147">
                  <c:v>45523</c:v>
                </c:pt>
                <c:pt idx="148">
                  <c:v>45524</c:v>
                </c:pt>
                <c:pt idx="149">
                  <c:v>45525</c:v>
                </c:pt>
                <c:pt idx="150">
                  <c:v>45526</c:v>
                </c:pt>
                <c:pt idx="151">
                  <c:v>45527</c:v>
                </c:pt>
                <c:pt idx="152">
                  <c:v>45528</c:v>
                </c:pt>
                <c:pt idx="153">
                  <c:v>45529</c:v>
                </c:pt>
                <c:pt idx="154">
                  <c:v>45530</c:v>
                </c:pt>
                <c:pt idx="155">
                  <c:v>45531</c:v>
                </c:pt>
                <c:pt idx="156">
                  <c:v>45532</c:v>
                </c:pt>
                <c:pt idx="157">
                  <c:v>45533</c:v>
                </c:pt>
                <c:pt idx="158">
                  <c:v>45534</c:v>
                </c:pt>
                <c:pt idx="159">
                  <c:v>45535</c:v>
                </c:pt>
                <c:pt idx="160">
                  <c:v>45536</c:v>
                </c:pt>
                <c:pt idx="161">
                  <c:v>45537</c:v>
                </c:pt>
                <c:pt idx="162">
                  <c:v>45538</c:v>
                </c:pt>
                <c:pt idx="163">
                  <c:v>45539</c:v>
                </c:pt>
                <c:pt idx="164">
                  <c:v>45540</c:v>
                </c:pt>
                <c:pt idx="165">
                  <c:v>45541</c:v>
                </c:pt>
                <c:pt idx="166">
                  <c:v>45542</c:v>
                </c:pt>
                <c:pt idx="167">
                  <c:v>45543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45549</c:v>
                </c:pt>
                <c:pt idx="174">
                  <c:v>45550</c:v>
                </c:pt>
                <c:pt idx="175">
                  <c:v>45551</c:v>
                </c:pt>
                <c:pt idx="176">
                  <c:v>45552</c:v>
                </c:pt>
                <c:pt idx="177">
                  <c:v>45553</c:v>
                </c:pt>
                <c:pt idx="178">
                  <c:v>45554</c:v>
                </c:pt>
                <c:pt idx="179">
                  <c:v>45555</c:v>
                </c:pt>
                <c:pt idx="180">
                  <c:v>45556</c:v>
                </c:pt>
                <c:pt idx="181">
                  <c:v>45557</c:v>
                </c:pt>
                <c:pt idx="182">
                  <c:v>45558</c:v>
                </c:pt>
                <c:pt idx="183">
                  <c:v>45559</c:v>
                </c:pt>
                <c:pt idx="184">
                  <c:v>45560</c:v>
                </c:pt>
                <c:pt idx="185">
                  <c:v>45561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1.1458094368831817</c:v>
                </c:pt>
                <c:pt idx="1">
                  <c:v>2.3060214359930375</c:v>
                </c:pt>
                <c:pt idx="2">
                  <c:v>3.336923505682527</c:v>
                </c:pt>
                <c:pt idx="3">
                  <c:v>4.4080083272915918</c:v>
                </c:pt>
                <c:pt idx="4">
                  <c:v>5.4984848134171935</c:v>
                </c:pt>
                <c:pt idx="5">
                  <c:v>6.5428472887620606</c:v>
                </c:pt>
                <c:pt idx="6">
                  <c:v>7.5528951065166972</c:v>
                </c:pt>
                <c:pt idx="7">
                  <c:v>8.4915991774617616</c:v>
                </c:pt>
                <c:pt idx="8">
                  <c:v>9.5550909494220573</c:v>
                </c:pt>
                <c:pt idx="9">
                  <c:v>10.66840340424381</c:v>
                </c:pt>
                <c:pt idx="10">
                  <c:v>11.70260872049397</c:v>
                </c:pt>
                <c:pt idx="11">
                  <c:v>12.682818171521822</c:v>
                </c:pt>
                <c:pt idx="12">
                  <c:v>13.569441132492528</c:v>
                </c:pt>
                <c:pt idx="13">
                  <c:v>14.524500513693155</c:v>
                </c:pt>
                <c:pt idx="14">
                  <c:v>15.523713029471702</c:v>
                </c:pt>
                <c:pt idx="15">
                  <c:v>16.534792112143901</c:v>
                </c:pt>
                <c:pt idx="16">
                  <c:v>17.523901038233234</c:v>
                </c:pt>
                <c:pt idx="17">
                  <c:v>18.589435394290842</c:v>
                </c:pt>
                <c:pt idx="18">
                  <c:v>19.612466255392622</c:v>
                </c:pt>
                <c:pt idx="19">
                  <c:v>20.537422042436418</c:v>
                </c:pt>
                <c:pt idx="20">
                  <c:v>21.48510451613215</c:v>
                </c:pt>
                <c:pt idx="21">
                  <c:v>22.444277312325102</c:v>
                </c:pt>
                <c:pt idx="22">
                  <c:v>23.3805541516281</c:v>
                </c:pt>
                <c:pt idx="23">
                  <c:v>24.320081108094307</c:v>
                </c:pt>
                <c:pt idx="24">
                  <c:v>25.201378055498616</c:v>
                </c:pt>
                <c:pt idx="25">
                  <c:v>26.191326560188905</c:v>
                </c:pt>
                <c:pt idx="26">
                  <c:v>27.180435486278238</c:v>
                </c:pt>
                <c:pt idx="27">
                  <c:v>28.113469113100756</c:v>
                </c:pt>
                <c:pt idx="28">
                  <c:v>29.071818361225905</c:v>
                </c:pt>
                <c:pt idx="29">
                  <c:v>30.106886299272691</c:v>
                </c:pt>
                <c:pt idx="30">
                  <c:v>31.107788825235872</c:v>
                </c:pt>
                <c:pt idx="31">
                  <c:v>32.068610015427893</c:v>
                </c:pt>
                <c:pt idx="32">
                  <c:v>33.101953145477964</c:v>
                </c:pt>
                <c:pt idx="33">
                  <c:v>34.076855592382458</c:v>
                </c:pt>
                <c:pt idx="34">
                  <c:v>35.029452113960538</c:v>
                </c:pt>
                <c:pt idx="35">
                  <c:v>35.966540835142467</c:v>
                </c:pt>
                <c:pt idx="36">
                  <c:v>36.766609430278919</c:v>
                </c:pt>
                <c:pt idx="37">
                  <c:v>37.564470751199266</c:v>
                </c:pt>
                <c:pt idx="38">
                  <c:v>38.45675754746501</c:v>
                </c:pt>
                <c:pt idx="39">
                  <c:v>39.352989673821071</c:v>
                </c:pt>
                <c:pt idx="40">
                  <c:v>40.285213576085667</c:v>
                </c:pt>
                <c:pt idx="41">
                  <c:v>41.191753823921616</c:v>
                </c:pt>
                <c:pt idx="42">
                  <c:v>42.052093213206582</c:v>
                </c:pt>
                <c:pt idx="43">
                  <c:v>42.92170855102821</c:v>
                </c:pt>
                <c:pt idx="44">
                  <c:v>43.895779224054088</c:v>
                </c:pt>
                <c:pt idx="45">
                  <c:v>44.84019430800101</c:v>
                </c:pt>
                <c:pt idx="46">
                  <c:v>45.733269311571661</c:v>
                </c:pt>
                <c:pt idx="47">
                  <c:v>46.663875058718723</c:v>
                </c:pt>
                <c:pt idx="48">
                  <c:v>47.54048779715486</c:v>
                </c:pt>
                <c:pt idx="49">
                  <c:v>48.42570003957492</c:v>
                </c:pt>
                <c:pt idx="50">
                  <c:v>49.34824088074933</c:v>
                </c:pt>
                <c:pt idx="51">
                  <c:v>50.223295643746397</c:v>
                </c:pt>
                <c:pt idx="52">
                  <c:v>51.050149174670388</c:v>
                </c:pt>
                <c:pt idx="53">
                  <c:v>51.829764545396586</c:v>
                </c:pt>
                <c:pt idx="54">
                  <c:v>52.631306773679043</c:v>
                </c:pt>
                <c:pt idx="55">
                  <c:v>53.422569122080638</c:v>
                </c:pt>
                <c:pt idx="56">
                  <c:v>54.202909262355575</c:v>
                </c:pt>
                <c:pt idx="57">
                  <c:v>54.883197884606503</c:v>
                </c:pt>
                <c:pt idx="58">
                  <c:v>55.602055302185171</c:v>
                </c:pt>
                <c:pt idx="59">
                  <c:v>56.337556662972489</c:v>
                </c:pt>
                <c:pt idx="60">
                  <c:v>57.058481426347413</c:v>
                </c:pt>
                <c:pt idx="61">
                  <c:v>57.808036750166551</c:v>
                </c:pt>
                <c:pt idx="62">
                  <c:v>58.515250015615059</c:v>
                </c:pt>
                <c:pt idx="63">
                  <c:v>59.202876845190858</c:v>
                </c:pt>
                <c:pt idx="64">
                  <c:v>59.925872707327827</c:v>
                </c:pt>
                <c:pt idx="65">
                  <c:v>60.57279038981067</c:v>
                </c:pt>
                <c:pt idx="66">
                  <c:v>61.223578595511476</c:v>
                </c:pt>
                <c:pt idx="67">
                  <c:v>61.892624636327803</c:v>
                </c:pt>
                <c:pt idx="68">
                  <c:v>62.561670677144129</c:v>
                </c:pt>
                <c:pt idx="69">
                  <c:v>63.224159067668019</c:v>
                </c:pt>
                <c:pt idx="70">
                  <c:v>63.957566776784169</c:v>
                </c:pt>
                <c:pt idx="71">
                  <c:v>64.672986953365935</c:v>
                </c:pt>
                <c:pt idx="72">
                  <c:v>65.3795190133212</c:v>
                </c:pt>
                <c:pt idx="73">
                  <c:v>66.079261869328391</c:v>
                </c:pt>
                <c:pt idx="74">
                  <c:v>66.721682574456352</c:v>
                </c:pt>
                <c:pt idx="75">
                  <c:v>67.357713788167217</c:v>
                </c:pt>
                <c:pt idx="76">
                  <c:v>68.087640439160637</c:v>
                </c:pt>
                <c:pt idx="77">
                  <c:v>68.817567090154057</c:v>
                </c:pt>
                <c:pt idx="78">
                  <c:v>69.614693499589649</c:v>
                </c:pt>
                <c:pt idx="79">
                  <c:v>70.3164687561287</c:v>
                </c:pt>
                <c:pt idx="80">
                  <c:v>70.994101336952411</c:v>
                </c:pt>
                <c:pt idx="81">
                  <c:v>71.601265642079298</c:v>
                </c:pt>
                <c:pt idx="82">
                  <c:v>72.27889822290301</c:v>
                </c:pt>
                <c:pt idx="83">
                  <c:v>72.963183301532112</c:v>
                </c:pt>
                <c:pt idx="84">
                  <c:v>73.653490980477116</c:v>
                </c:pt>
                <c:pt idx="85">
                  <c:v>74.367539176557685</c:v>
                </c:pt>
                <c:pt idx="86">
                  <c:v>75.078164706703092</c:v>
                </c:pt>
                <c:pt idx="87">
                  <c:v>75.749186072214286</c:v>
                </c:pt>
                <c:pt idx="88">
                  <c:v>76.352648442901923</c:v>
                </c:pt>
                <c:pt idx="89">
                  <c:v>76.959194747292642</c:v>
                </c:pt>
                <c:pt idx="90">
                  <c:v>77.652189901202362</c:v>
                </c:pt>
                <c:pt idx="91">
                  <c:v>78.289495744391559</c:v>
                </c:pt>
                <c:pt idx="92">
                  <c:v>78.902862336103766</c:v>
                </c:pt>
                <c:pt idx="93">
                  <c:v>79.49408996938503</c:v>
                </c:pt>
                <c:pt idx="94">
                  <c:v>80.08958140062191</c:v>
                </c:pt>
                <c:pt idx="95">
                  <c:v>80.677170060492003</c:v>
                </c:pt>
                <c:pt idx="96">
                  <c:v>81.253928633926449</c:v>
                </c:pt>
                <c:pt idx="97">
                  <c:v>81.848199821548207</c:v>
                </c:pt>
                <c:pt idx="98">
                  <c:v>82.407196643578985</c:v>
                </c:pt>
                <c:pt idx="99">
                  <c:v>83.002077751366443</c:v>
                </c:pt>
                <c:pt idx="100">
                  <c:v>83.583032565319243</c:v>
                </c:pt>
                <c:pt idx="101">
                  <c:v>84.213348149147293</c:v>
                </c:pt>
                <c:pt idx="102">
                  <c:v>84.82609268820255</c:v>
                </c:pt>
                <c:pt idx="103">
                  <c:v>85.473010370685401</c:v>
                </c:pt>
                <c:pt idx="104">
                  <c:v>86.049768944119847</c:v>
                </c:pt>
                <c:pt idx="105">
                  <c:v>86.604673032037411</c:v>
                </c:pt>
                <c:pt idx="106">
                  <c:v>87.164256123262646</c:v>
                </c:pt>
                <c:pt idx="107">
                  <c:v>87.711611111211113</c:v>
                </c:pt>
                <c:pt idx="108">
                  <c:v>88.278851993741384</c:v>
                </c:pt>
                <c:pt idx="109">
                  <c:v>88.829682839766292</c:v>
                </c:pt>
                <c:pt idx="110">
                  <c:v>89.370702498522945</c:v>
                </c:pt>
                <c:pt idx="111">
                  <c:v>89.967415786825441</c:v>
                </c:pt>
                <c:pt idx="112">
                  <c:v>90.564129075127937</c:v>
                </c:pt>
                <c:pt idx="113">
                  <c:v>91.206549780255898</c:v>
                </c:pt>
                <c:pt idx="114">
                  <c:v>91.802651938304848</c:v>
                </c:pt>
                <c:pt idx="115">
                  <c:v>92.40734666878808</c:v>
                </c:pt>
                <c:pt idx="116">
                  <c:v>93.044014993047341</c:v>
                </c:pt>
                <c:pt idx="117">
                  <c:v>93.701937501403279</c:v>
                </c:pt>
                <c:pt idx="118">
                  <c:v>94.372958866914473</c:v>
                </c:pt>
                <c:pt idx="119">
                  <c:v>95.005175989238651</c:v>
                </c:pt>
                <c:pt idx="120">
                  <c:v>95.635491573066702</c:v>
                </c:pt>
                <c:pt idx="121">
                  <c:v>96.236494076108769</c:v>
                </c:pt>
                <c:pt idx="122">
                  <c:v>96.827114207264728</c:v>
                </c:pt>
                <c:pt idx="123">
                  <c:v>97.453007132046224</c:v>
                </c:pt>
                <c:pt idx="124">
                  <c:v>98.057701862529456</c:v>
                </c:pt>
                <c:pt idx="125">
                  <c:v>98.665484573238217</c:v>
                </c:pt>
                <c:pt idx="126">
                  <c:v>99.221556023487352</c:v>
                </c:pt>
                <c:pt idx="127">
                  <c:v>99.811569055246949</c:v>
                </c:pt>
                <c:pt idx="128">
                  <c:v>100.50321964321</c:v>
                </c:pt>
                <c:pt idx="129">
                  <c:v>101.21247901977448</c:v>
                </c:pt>
                <c:pt idx="130">
                  <c:v>101.88812390443351</c:v>
                </c:pt>
                <c:pt idx="131">
                  <c:v>102.56907756961326</c:v>
                </c:pt>
                <c:pt idx="132">
                  <c:v>103.22310248489374</c:v>
                </c:pt>
                <c:pt idx="133">
                  <c:v>103.88428428249357</c:v>
                </c:pt>
                <c:pt idx="134">
                  <c:v>104.55267270570921</c:v>
                </c:pt>
                <c:pt idx="135">
                  <c:v>105.18679503733111</c:v>
                </c:pt>
                <c:pt idx="136">
                  <c:v>105.75759304896839</c:v>
                </c:pt>
                <c:pt idx="137">
                  <c:v>106.29403527857912</c:v>
                </c:pt>
                <c:pt idx="138">
                  <c:v>106.88647912461576</c:v>
                </c:pt>
                <c:pt idx="139">
                  <c:v>107.50421144638342</c:v>
                </c:pt>
                <c:pt idx="140">
                  <c:v>108.14087977064268</c:v>
                </c:pt>
                <c:pt idx="141">
                  <c:v>108.79555325853742</c:v>
                </c:pt>
                <c:pt idx="142">
                  <c:v>109.42840504266228</c:v>
                </c:pt>
                <c:pt idx="143">
                  <c:v>110.07790143483237</c:v>
                </c:pt>
                <c:pt idx="144">
                  <c:v>110.72224696030125</c:v>
                </c:pt>
                <c:pt idx="145">
                  <c:v>111.31712806808871</c:v>
                </c:pt>
                <c:pt idx="146">
                  <c:v>111.95252257955947</c:v>
                </c:pt>
                <c:pt idx="147">
                  <c:v>112.57401279437477</c:v>
                </c:pt>
                <c:pt idx="148">
                  <c:v>113.22803770965525</c:v>
                </c:pt>
                <c:pt idx="149">
                  <c:v>113.86598148022911</c:v>
                </c:pt>
                <c:pt idx="150">
                  <c:v>114.50776139674747</c:v>
                </c:pt>
                <c:pt idx="151">
                  <c:v>115.16959628522312</c:v>
                </c:pt>
                <c:pt idx="152">
                  <c:v>115.82038449092393</c:v>
                </c:pt>
                <c:pt idx="153">
                  <c:v>116.53786576211836</c:v>
                </c:pt>
                <c:pt idx="154">
                  <c:v>117.25741187807044</c:v>
                </c:pt>
                <c:pt idx="155">
                  <c:v>117.99991927576971</c:v>
                </c:pt>
                <c:pt idx="156">
                  <c:v>118.70781416244144</c:v>
                </c:pt>
                <c:pt idx="157">
                  <c:v>119.45313570053489</c:v>
                </c:pt>
                <c:pt idx="158">
                  <c:v>120.16718389661546</c:v>
                </c:pt>
                <c:pt idx="159">
                  <c:v>120.84415349931588</c:v>
                </c:pt>
                <c:pt idx="160">
                  <c:v>121.49107118179873</c:v>
                </c:pt>
                <c:pt idx="161">
                  <c:v>122.14380018276218</c:v>
                </c:pt>
                <c:pt idx="162">
                  <c:v>122.81680058225226</c:v>
                </c:pt>
                <c:pt idx="163">
                  <c:v>123.471474070147</c:v>
                </c:pt>
                <c:pt idx="164">
                  <c:v>124.162452996518</c:v>
                </c:pt>
                <c:pt idx="165">
                  <c:v>124.88337775989292</c:v>
                </c:pt>
                <c:pt idx="166">
                  <c:v>125.59127264656465</c:v>
                </c:pt>
                <c:pt idx="167">
                  <c:v>126.2349761560955</c:v>
                </c:pt>
                <c:pt idx="168">
                  <c:v>126.90995930070034</c:v>
                </c:pt>
                <c:pt idx="169">
                  <c:v>127.62195264862537</c:v>
                </c:pt>
                <c:pt idx="170">
                  <c:v>128.32101886791369</c:v>
                </c:pt>
                <c:pt idx="171">
                  <c:v>129.07340510450763</c:v>
                </c:pt>
                <c:pt idx="172">
                  <c:v>129.81731873437931</c:v>
                </c:pt>
                <c:pt idx="173">
                  <c:v>130.5803807349057</c:v>
                </c:pt>
                <c:pt idx="174">
                  <c:v>131.33773723044118</c:v>
                </c:pt>
                <c:pt idx="175">
                  <c:v>132.16233766473945</c:v>
                </c:pt>
                <c:pt idx="176">
                  <c:v>132.92397076660455</c:v>
                </c:pt>
                <c:pt idx="177">
                  <c:v>133.62642432032916</c:v>
                </c:pt>
                <c:pt idx="178">
                  <c:v>134.32143943105481</c:v>
                </c:pt>
                <c:pt idx="179">
                  <c:v>134.9806644223618</c:v>
                </c:pt>
                <c:pt idx="180">
                  <c:v>135.66028841478033</c:v>
                </c:pt>
                <c:pt idx="181">
                  <c:v>136.39439358959842</c:v>
                </c:pt>
                <c:pt idx="182">
                  <c:v>137.17763702812192</c:v>
                </c:pt>
                <c:pt idx="183">
                  <c:v>137.99475476618309</c:v>
                </c:pt>
                <c:pt idx="184">
                  <c:v>138.78090825769354</c:v>
                </c:pt>
                <c:pt idx="185">
                  <c:v>139.58727025600663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45376</c:v>
                </c:pt>
                <c:pt idx="1">
                  <c:v>45377</c:v>
                </c:pt>
                <c:pt idx="2">
                  <c:v>45378</c:v>
                </c:pt>
                <c:pt idx="3">
                  <c:v>45379</c:v>
                </c:pt>
                <c:pt idx="4">
                  <c:v>45380</c:v>
                </c:pt>
                <c:pt idx="5">
                  <c:v>45381</c:v>
                </c:pt>
                <c:pt idx="6">
                  <c:v>45382</c:v>
                </c:pt>
                <c:pt idx="7">
                  <c:v>45383</c:v>
                </c:pt>
                <c:pt idx="8">
                  <c:v>45384</c:v>
                </c:pt>
                <c:pt idx="9">
                  <c:v>45385</c:v>
                </c:pt>
                <c:pt idx="10">
                  <c:v>45386</c:v>
                </c:pt>
                <c:pt idx="11">
                  <c:v>45387</c:v>
                </c:pt>
                <c:pt idx="12">
                  <c:v>45388</c:v>
                </c:pt>
                <c:pt idx="13">
                  <c:v>45389</c:v>
                </c:pt>
                <c:pt idx="14">
                  <c:v>45390</c:v>
                </c:pt>
                <c:pt idx="15">
                  <c:v>45391</c:v>
                </c:pt>
                <c:pt idx="16">
                  <c:v>45392</c:v>
                </c:pt>
                <c:pt idx="17">
                  <c:v>45393</c:v>
                </c:pt>
                <c:pt idx="18">
                  <c:v>45394</c:v>
                </c:pt>
                <c:pt idx="19">
                  <c:v>45395</c:v>
                </c:pt>
                <c:pt idx="20">
                  <c:v>45396</c:v>
                </c:pt>
                <c:pt idx="21">
                  <c:v>45397</c:v>
                </c:pt>
                <c:pt idx="22">
                  <c:v>45398</c:v>
                </c:pt>
                <c:pt idx="23">
                  <c:v>45399</c:v>
                </c:pt>
                <c:pt idx="24">
                  <c:v>45400</c:v>
                </c:pt>
                <c:pt idx="25">
                  <c:v>45401</c:v>
                </c:pt>
                <c:pt idx="26">
                  <c:v>45402</c:v>
                </c:pt>
                <c:pt idx="27">
                  <c:v>45403</c:v>
                </c:pt>
                <c:pt idx="28">
                  <c:v>45404</c:v>
                </c:pt>
                <c:pt idx="29">
                  <c:v>45405</c:v>
                </c:pt>
                <c:pt idx="30">
                  <c:v>45406</c:v>
                </c:pt>
                <c:pt idx="31">
                  <c:v>45407</c:v>
                </c:pt>
                <c:pt idx="32">
                  <c:v>45408</c:v>
                </c:pt>
                <c:pt idx="33">
                  <c:v>45409</c:v>
                </c:pt>
                <c:pt idx="34">
                  <c:v>45410</c:v>
                </c:pt>
                <c:pt idx="35">
                  <c:v>45411</c:v>
                </c:pt>
                <c:pt idx="36">
                  <c:v>45412</c:v>
                </c:pt>
                <c:pt idx="37">
                  <c:v>45413</c:v>
                </c:pt>
                <c:pt idx="38">
                  <c:v>45414</c:v>
                </c:pt>
                <c:pt idx="39">
                  <c:v>45415</c:v>
                </c:pt>
                <c:pt idx="40">
                  <c:v>45416</c:v>
                </c:pt>
                <c:pt idx="41">
                  <c:v>45417</c:v>
                </c:pt>
                <c:pt idx="42">
                  <c:v>45418</c:v>
                </c:pt>
                <c:pt idx="43">
                  <c:v>45419</c:v>
                </c:pt>
                <c:pt idx="44">
                  <c:v>45420</c:v>
                </c:pt>
                <c:pt idx="45">
                  <c:v>45421</c:v>
                </c:pt>
                <c:pt idx="46">
                  <c:v>45422</c:v>
                </c:pt>
                <c:pt idx="47">
                  <c:v>45423</c:v>
                </c:pt>
                <c:pt idx="48">
                  <c:v>45424</c:v>
                </c:pt>
                <c:pt idx="49">
                  <c:v>45425</c:v>
                </c:pt>
                <c:pt idx="50">
                  <c:v>45426</c:v>
                </c:pt>
                <c:pt idx="51">
                  <c:v>45427</c:v>
                </c:pt>
                <c:pt idx="52">
                  <c:v>45428</c:v>
                </c:pt>
                <c:pt idx="53">
                  <c:v>45429</c:v>
                </c:pt>
                <c:pt idx="54">
                  <c:v>45430</c:v>
                </c:pt>
                <c:pt idx="55">
                  <c:v>45431</c:v>
                </c:pt>
                <c:pt idx="56">
                  <c:v>45432</c:v>
                </c:pt>
                <c:pt idx="57">
                  <c:v>45433</c:v>
                </c:pt>
                <c:pt idx="58">
                  <c:v>45434</c:v>
                </c:pt>
                <c:pt idx="59">
                  <c:v>45435</c:v>
                </c:pt>
                <c:pt idx="60">
                  <c:v>45436</c:v>
                </c:pt>
                <c:pt idx="61">
                  <c:v>45437</c:v>
                </c:pt>
                <c:pt idx="62">
                  <c:v>45438</c:v>
                </c:pt>
                <c:pt idx="63">
                  <c:v>45439</c:v>
                </c:pt>
                <c:pt idx="64">
                  <c:v>45440</c:v>
                </c:pt>
                <c:pt idx="65">
                  <c:v>45441</c:v>
                </c:pt>
                <c:pt idx="66">
                  <c:v>45442</c:v>
                </c:pt>
                <c:pt idx="67">
                  <c:v>45443</c:v>
                </c:pt>
                <c:pt idx="68">
                  <c:v>45444</c:v>
                </c:pt>
                <c:pt idx="69">
                  <c:v>45445</c:v>
                </c:pt>
                <c:pt idx="70">
                  <c:v>45446</c:v>
                </c:pt>
                <c:pt idx="71">
                  <c:v>45447</c:v>
                </c:pt>
                <c:pt idx="72">
                  <c:v>45448</c:v>
                </c:pt>
                <c:pt idx="73">
                  <c:v>45449</c:v>
                </c:pt>
                <c:pt idx="74">
                  <c:v>45450</c:v>
                </c:pt>
                <c:pt idx="75">
                  <c:v>45451</c:v>
                </c:pt>
                <c:pt idx="76">
                  <c:v>45452</c:v>
                </c:pt>
                <c:pt idx="77">
                  <c:v>45453</c:v>
                </c:pt>
                <c:pt idx="78">
                  <c:v>45454</c:v>
                </c:pt>
                <c:pt idx="79">
                  <c:v>45455</c:v>
                </c:pt>
                <c:pt idx="80">
                  <c:v>45456</c:v>
                </c:pt>
                <c:pt idx="81">
                  <c:v>45457</c:v>
                </c:pt>
                <c:pt idx="82">
                  <c:v>45458</c:v>
                </c:pt>
                <c:pt idx="83">
                  <c:v>45459</c:v>
                </c:pt>
                <c:pt idx="84">
                  <c:v>45460</c:v>
                </c:pt>
                <c:pt idx="85">
                  <c:v>45461</c:v>
                </c:pt>
                <c:pt idx="86">
                  <c:v>45462</c:v>
                </c:pt>
                <c:pt idx="87">
                  <c:v>45463</c:v>
                </c:pt>
                <c:pt idx="88">
                  <c:v>45464</c:v>
                </c:pt>
                <c:pt idx="89">
                  <c:v>45465</c:v>
                </c:pt>
                <c:pt idx="90">
                  <c:v>45466</c:v>
                </c:pt>
                <c:pt idx="91">
                  <c:v>45467</c:v>
                </c:pt>
                <c:pt idx="92">
                  <c:v>45468</c:v>
                </c:pt>
                <c:pt idx="93">
                  <c:v>45469</c:v>
                </c:pt>
                <c:pt idx="94">
                  <c:v>45470</c:v>
                </c:pt>
                <c:pt idx="95">
                  <c:v>45471</c:v>
                </c:pt>
                <c:pt idx="96">
                  <c:v>45472</c:v>
                </c:pt>
                <c:pt idx="97">
                  <c:v>45473</c:v>
                </c:pt>
                <c:pt idx="98">
                  <c:v>45474</c:v>
                </c:pt>
                <c:pt idx="99">
                  <c:v>45475</c:v>
                </c:pt>
                <c:pt idx="100">
                  <c:v>45476</c:v>
                </c:pt>
                <c:pt idx="101">
                  <c:v>45477</c:v>
                </c:pt>
                <c:pt idx="102">
                  <c:v>45478</c:v>
                </c:pt>
                <c:pt idx="103">
                  <c:v>45479</c:v>
                </c:pt>
                <c:pt idx="104">
                  <c:v>45480</c:v>
                </c:pt>
                <c:pt idx="105">
                  <c:v>45481</c:v>
                </c:pt>
                <c:pt idx="106">
                  <c:v>45482</c:v>
                </c:pt>
                <c:pt idx="107">
                  <c:v>45483</c:v>
                </c:pt>
                <c:pt idx="108">
                  <c:v>45484</c:v>
                </c:pt>
                <c:pt idx="109">
                  <c:v>45485</c:v>
                </c:pt>
                <c:pt idx="110">
                  <c:v>45486</c:v>
                </c:pt>
                <c:pt idx="111">
                  <c:v>45487</c:v>
                </c:pt>
                <c:pt idx="112">
                  <c:v>45488</c:v>
                </c:pt>
                <c:pt idx="113">
                  <c:v>45489</c:v>
                </c:pt>
                <c:pt idx="114">
                  <c:v>45490</c:v>
                </c:pt>
                <c:pt idx="115">
                  <c:v>45491</c:v>
                </c:pt>
                <c:pt idx="116">
                  <c:v>45492</c:v>
                </c:pt>
                <c:pt idx="117">
                  <c:v>45493</c:v>
                </c:pt>
                <c:pt idx="118">
                  <c:v>45494</c:v>
                </c:pt>
                <c:pt idx="119">
                  <c:v>45495</c:v>
                </c:pt>
                <c:pt idx="120">
                  <c:v>45496</c:v>
                </c:pt>
                <c:pt idx="121">
                  <c:v>45497</c:v>
                </c:pt>
                <c:pt idx="122">
                  <c:v>45498</c:v>
                </c:pt>
                <c:pt idx="123">
                  <c:v>45499</c:v>
                </c:pt>
                <c:pt idx="124">
                  <c:v>45500</c:v>
                </c:pt>
                <c:pt idx="125">
                  <c:v>45501</c:v>
                </c:pt>
                <c:pt idx="126">
                  <c:v>45502</c:v>
                </c:pt>
                <c:pt idx="127">
                  <c:v>45503</c:v>
                </c:pt>
                <c:pt idx="128">
                  <c:v>45504</c:v>
                </c:pt>
                <c:pt idx="129">
                  <c:v>45505</c:v>
                </c:pt>
                <c:pt idx="130">
                  <c:v>45506</c:v>
                </c:pt>
                <c:pt idx="131">
                  <c:v>45507</c:v>
                </c:pt>
                <c:pt idx="132">
                  <c:v>45508</c:v>
                </c:pt>
                <c:pt idx="133">
                  <c:v>45509</c:v>
                </c:pt>
                <c:pt idx="134">
                  <c:v>45510</c:v>
                </c:pt>
                <c:pt idx="135">
                  <c:v>45511</c:v>
                </c:pt>
                <c:pt idx="136">
                  <c:v>45512</c:v>
                </c:pt>
                <c:pt idx="137">
                  <c:v>45513</c:v>
                </c:pt>
                <c:pt idx="138">
                  <c:v>45514</c:v>
                </c:pt>
                <c:pt idx="139">
                  <c:v>45515</c:v>
                </c:pt>
                <c:pt idx="140">
                  <c:v>45516</c:v>
                </c:pt>
                <c:pt idx="141">
                  <c:v>45517</c:v>
                </c:pt>
                <c:pt idx="142">
                  <c:v>45518</c:v>
                </c:pt>
                <c:pt idx="143">
                  <c:v>45519</c:v>
                </c:pt>
                <c:pt idx="144">
                  <c:v>45520</c:v>
                </c:pt>
                <c:pt idx="145">
                  <c:v>45521</c:v>
                </c:pt>
                <c:pt idx="146">
                  <c:v>45522</c:v>
                </c:pt>
                <c:pt idx="147">
                  <c:v>45523</c:v>
                </c:pt>
                <c:pt idx="148">
                  <c:v>45524</c:v>
                </c:pt>
                <c:pt idx="149">
                  <c:v>45525</c:v>
                </c:pt>
                <c:pt idx="150">
                  <c:v>45526</c:v>
                </c:pt>
                <c:pt idx="151">
                  <c:v>45527</c:v>
                </c:pt>
                <c:pt idx="152">
                  <c:v>45528</c:v>
                </c:pt>
                <c:pt idx="153">
                  <c:v>45529</c:v>
                </c:pt>
                <c:pt idx="154">
                  <c:v>45530</c:v>
                </c:pt>
                <c:pt idx="155">
                  <c:v>45531</c:v>
                </c:pt>
                <c:pt idx="156">
                  <c:v>45532</c:v>
                </c:pt>
                <c:pt idx="157">
                  <c:v>45533</c:v>
                </c:pt>
                <c:pt idx="158">
                  <c:v>45534</c:v>
                </c:pt>
                <c:pt idx="159">
                  <c:v>45535</c:v>
                </c:pt>
                <c:pt idx="160">
                  <c:v>45536</c:v>
                </c:pt>
                <c:pt idx="161">
                  <c:v>45537</c:v>
                </c:pt>
                <c:pt idx="162">
                  <c:v>45538</c:v>
                </c:pt>
                <c:pt idx="163">
                  <c:v>45539</c:v>
                </c:pt>
                <c:pt idx="164">
                  <c:v>45540</c:v>
                </c:pt>
                <c:pt idx="165">
                  <c:v>45541</c:v>
                </c:pt>
                <c:pt idx="166">
                  <c:v>45542</c:v>
                </c:pt>
                <c:pt idx="167">
                  <c:v>45543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45549</c:v>
                </c:pt>
                <c:pt idx="174">
                  <c:v>45550</c:v>
                </c:pt>
                <c:pt idx="175">
                  <c:v>45551</c:v>
                </c:pt>
                <c:pt idx="176">
                  <c:v>45552</c:v>
                </c:pt>
                <c:pt idx="177">
                  <c:v>45553</c:v>
                </c:pt>
                <c:pt idx="178">
                  <c:v>45554</c:v>
                </c:pt>
                <c:pt idx="179">
                  <c:v>45555</c:v>
                </c:pt>
                <c:pt idx="180">
                  <c:v>45556</c:v>
                </c:pt>
                <c:pt idx="181">
                  <c:v>45557</c:v>
                </c:pt>
                <c:pt idx="182">
                  <c:v>45558</c:v>
                </c:pt>
                <c:pt idx="183">
                  <c:v>45559</c:v>
                </c:pt>
                <c:pt idx="184">
                  <c:v>45560</c:v>
                </c:pt>
                <c:pt idx="185">
                  <c:v>45561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3.6766163687093076</c:v>
                </c:pt>
                <c:pt idx="2">
                  <c:v>6.7812974305038534</c:v>
                </c:pt>
                <c:pt idx="3">
                  <c:v>9.7434840239624911</c:v>
                </c:pt>
                <c:pt idx="4">
                  <c:v>12.525224502138597</c:v>
                </c:pt>
                <c:pt idx="5">
                  <c:v>15.004804165070723</c:v>
                </c:pt>
                <c:pt idx="6">
                  <c:v>17.259682790666975</c:v>
                </c:pt>
                <c:pt idx="7">
                  <c:v>19.269440789543765</c:v>
                </c:pt>
                <c:pt idx="8">
                  <c:v>21.257608041555621</c:v>
                </c:pt>
                <c:pt idx="9">
                  <c:v>23.05893334562473</c:v>
                </c:pt>
                <c:pt idx="10">
                  <c:v>24.593039158325926</c:v>
                </c:pt>
                <c:pt idx="11">
                  <c:v>25.96723153484627</c:v>
                </c:pt>
                <c:pt idx="12">
                  <c:v>27.161061208200728</c:v>
                </c:pt>
                <c:pt idx="13">
                  <c:v>28.323011782644741</c:v>
                </c:pt>
                <c:pt idx="14">
                  <c:v>29.444086229704425</c:v>
                </c:pt>
                <c:pt idx="15">
                  <c:v>30.494648599824973</c:v>
                </c:pt>
                <c:pt idx="16">
                  <c:v>31.452116625975968</c:v>
                </c:pt>
                <c:pt idx="17">
                  <c:v>32.395222327822822</c:v>
                </c:pt>
                <c:pt idx="18">
                  <c:v>33.238195772809817</c:v>
                </c:pt>
                <c:pt idx="19">
                  <c:v>33.959354122417892</c:v>
                </c:pt>
                <c:pt idx="20">
                  <c:v>34.643427182075648</c:v>
                </c:pt>
                <c:pt idx="21">
                  <c:v>35.285192583637468</c:v>
                </c:pt>
                <c:pt idx="22">
                  <c:v>35.870033778603258</c:v>
                </c:pt>
                <c:pt idx="23">
                  <c:v>36.415155401503696</c:v>
                </c:pt>
                <c:pt idx="24">
                  <c:v>36.897548947997038</c:v>
                </c:pt>
                <c:pt idx="25">
                  <c:v>37.3894362229357</c:v>
                </c:pt>
                <c:pt idx="26">
                  <c:v>37.844538364083846</c:v>
                </c:pt>
                <c:pt idx="27">
                  <c:v>38.247132707797675</c:v>
                </c:pt>
                <c:pt idx="28">
                  <c:v>38.628890957996184</c:v>
                </c:pt>
                <c:pt idx="29">
                  <c:v>39.004979701321595</c:v>
                </c:pt>
                <c:pt idx="30">
                  <c:v>39.342792653757719</c:v>
                </c:pt>
                <c:pt idx="31">
                  <c:v>39.645226531742857</c:v>
                </c:pt>
                <c:pt idx="32">
                  <c:v>39.942007442944025</c:v>
                </c:pt>
                <c:pt idx="33">
                  <c:v>40.203415854600436</c:v>
                </c:pt>
                <c:pt idx="34">
                  <c:v>40.441074425064627</c:v>
                </c:pt>
                <c:pt idx="35">
                  <c:v>40.658596096675922</c:v>
                </c:pt>
                <c:pt idx="36">
                  <c:v>40.837884347136928</c:v>
                </c:pt>
                <c:pt idx="37">
                  <c:v>41.005343184639159</c:v>
                </c:pt>
                <c:pt idx="38">
                  <c:v>41.175660298951279</c:v>
                </c:pt>
                <c:pt idx="39">
                  <c:v>41.334677994695149</c:v>
                </c:pt>
                <c:pt idx="40">
                  <c:v>41.487137847292921</c:v>
                </c:pt>
                <c:pt idx="41">
                  <c:v>41.625677194915397</c:v>
                </c:pt>
                <c:pt idx="42">
                  <c:v>41.749527230122837</c:v>
                </c:pt>
                <c:pt idx="43">
                  <c:v>41.865984289355069</c:v>
                </c:pt>
                <c:pt idx="44">
                  <c:v>41.984421189133116</c:v>
                </c:pt>
                <c:pt idx="45">
                  <c:v>42.091545392378272</c:v>
                </c:pt>
                <c:pt idx="46">
                  <c:v>42.186841639254645</c:v>
                </c:pt>
                <c:pt idx="47">
                  <c:v>42.278464810674436</c:v>
                </c:pt>
                <c:pt idx="48">
                  <c:v>42.359871569702939</c:v>
                </c:pt>
                <c:pt idx="49">
                  <c:v>42.436408218294808</c:v>
                </c:pt>
                <c:pt idx="50">
                  <c:v>42.510109679413546</c:v>
                </c:pt>
                <c:pt idx="51">
                  <c:v>42.576054869224308</c:v>
                </c:pt>
                <c:pt idx="52">
                  <c:v>42.635135367647109</c:v>
                </c:pt>
                <c:pt idx="53">
                  <c:v>42.68820422008082</c:v>
                </c:pt>
                <c:pt idx="54">
                  <c:v>42.739145826822678</c:v>
                </c:pt>
                <c:pt idx="55">
                  <c:v>42.786584157053134</c:v>
                </c:pt>
                <c:pt idx="56">
                  <c:v>42.830780666596397</c:v>
                </c:pt>
                <c:pt idx="57">
                  <c:v>42.868573453343032</c:v>
                </c:pt>
                <c:pt idx="58">
                  <c:v>42.9058075631973</c:v>
                </c:pt>
                <c:pt idx="59">
                  <c:v>42.941626867829385</c:v>
                </c:pt>
                <c:pt idx="60">
                  <c:v>42.975045338896521</c:v>
                </c:pt>
                <c:pt idx="61">
                  <c:v>43.007602387071735</c:v>
                </c:pt>
                <c:pt idx="62">
                  <c:v>43.037185932022474</c:v>
                </c:pt>
                <c:pt idx="63">
                  <c:v>43.064735107460919</c:v>
                </c:pt>
                <c:pt idx="64">
                  <c:v>43.091880113507727</c:v>
                </c:pt>
                <c:pt idx="65">
                  <c:v>43.115761583001479</c:v>
                </c:pt>
                <c:pt idx="66">
                  <c:v>43.138653031619235</c:v>
                </c:pt>
                <c:pt idx="67">
                  <c:v>43.160936879847235</c:v>
                </c:pt>
                <c:pt idx="68">
                  <c:v>43.182219247671078</c:v>
                </c:pt>
                <c:pt idx="69">
                  <c:v>43.202424194130558</c:v>
                </c:pt>
                <c:pt idx="70">
                  <c:v>43.223184500317778</c:v>
                </c:pt>
                <c:pt idx="71">
                  <c:v>43.242657813344806</c:v>
                </c:pt>
                <c:pt idx="72">
                  <c:v>43.261118601252271</c:v>
                </c:pt>
                <c:pt idx="73">
                  <c:v>43.278679250377067</c:v>
                </c:pt>
                <c:pt idx="74">
                  <c:v>43.294552531557244</c:v>
                </c:pt>
                <c:pt idx="75">
                  <c:v>43.309721622282765</c:v>
                </c:pt>
                <c:pt idx="76">
                  <c:v>43.325803581121633</c:v>
                </c:pt>
                <c:pt idx="77">
                  <c:v>43.341252420759695</c:v>
                </c:pt>
                <c:pt idx="78">
                  <c:v>43.357089518959611</c:v>
                </c:pt>
                <c:pt idx="79">
                  <c:v>43.370965072702383</c:v>
                </c:pt>
                <c:pt idx="80">
                  <c:v>43.38402919217063</c:v>
                </c:pt>
                <c:pt idx="81">
                  <c:v>43.395745659398372</c:v>
                </c:pt>
                <c:pt idx="82">
                  <c:v>43.407996321860928</c:v>
                </c:pt>
                <c:pt idx="83">
                  <c:v>43.419943751048351</c:v>
                </c:pt>
                <c:pt idx="84">
                  <c:v>43.431596846362595</c:v>
                </c:pt>
                <c:pt idx="85">
                  <c:v>43.443176094672786</c:v>
                </c:pt>
                <c:pt idx="86">
                  <c:v>43.454375560791711</c:v>
                </c:pt>
                <c:pt idx="87">
                  <c:v>43.464827074484184</c:v>
                </c:pt>
                <c:pt idx="88">
                  <c:v>43.474291225878147</c:v>
                </c:pt>
                <c:pt idx="89">
                  <c:v>43.483562773463049</c:v>
                </c:pt>
                <c:pt idx="90">
                  <c:v>43.493491750974059</c:v>
                </c:pt>
                <c:pt idx="91">
                  <c:v>43.502631414472681</c:v>
                </c:pt>
                <c:pt idx="92">
                  <c:v>43.511338950640415</c:v>
                </c:pt>
                <c:pt idx="93">
                  <c:v>43.519657145309516</c:v>
                </c:pt>
                <c:pt idx="94">
                  <c:v>43.527851326920391</c:v>
                </c:pt>
                <c:pt idx="95">
                  <c:v>43.535817947439931</c:v>
                </c:pt>
                <c:pt idx="96">
                  <c:v>43.543543117228637</c:v>
                </c:pt>
                <c:pt idx="97">
                  <c:v>43.551286558807803</c:v>
                </c:pt>
                <c:pt idx="98">
                  <c:v>43.558594695903423</c:v>
                </c:pt>
                <c:pt idx="99">
                  <c:v>43.566089367703057</c:v>
                </c:pt>
                <c:pt idx="100">
                  <c:v>43.573348208770234</c:v>
                </c:pt>
                <c:pt idx="101">
                  <c:v>43.580900778824365</c:v>
                </c:pt>
                <c:pt idx="102">
                  <c:v>43.588194202953879</c:v>
                </c:pt>
                <c:pt idx="103">
                  <c:v>43.595652375697661</c:v>
                </c:pt>
                <c:pt idx="104">
                  <c:v>43.602450843874003</c:v>
                </c:pt>
                <c:pt idx="105">
                  <c:v>43.608990929159411</c:v>
                </c:pt>
                <c:pt idx="106">
                  <c:v>43.61548533388455</c:v>
                </c:pt>
                <c:pt idx="107">
                  <c:v>43.621808848600857</c:v>
                </c:pt>
                <c:pt idx="108">
                  <c:v>43.628207273719305</c:v>
                </c:pt>
                <c:pt idx="109">
                  <c:v>43.63441121321285</c:v>
                </c:pt>
                <c:pt idx="110">
                  <c:v>43.640475711459374</c:v>
                </c:pt>
                <c:pt idx="111">
                  <c:v>43.646878190201491</c:v>
                </c:pt>
                <c:pt idx="112">
                  <c:v>43.653210929689898</c:v>
                </c:pt>
                <c:pt idx="113">
                  <c:v>43.659800086772776</c:v>
                </c:pt>
                <c:pt idx="114">
                  <c:v>43.665993817622855</c:v>
                </c:pt>
                <c:pt idx="115">
                  <c:v>43.672185176811588</c:v>
                </c:pt>
                <c:pt idx="116">
                  <c:v>43.678535215528349</c:v>
                </c:pt>
                <c:pt idx="117">
                  <c:v>43.684967082067487</c:v>
                </c:pt>
                <c:pt idx="118">
                  <c:v>43.691423886061635</c:v>
                </c:pt>
                <c:pt idx="119">
                  <c:v>43.697558387979846</c:v>
                </c:pt>
                <c:pt idx="120">
                  <c:v>43.70362414868972</c:v>
                </c:pt>
                <c:pt idx="121">
                  <c:v>43.709443811585984</c:v>
                </c:pt>
                <c:pt idx="122">
                  <c:v>43.715146780935633</c:v>
                </c:pt>
                <c:pt idx="123">
                  <c:v>43.721029782518642</c:v>
                </c:pt>
                <c:pt idx="124">
                  <c:v>43.72672801126042</c:v>
                </c:pt>
                <c:pt idx="125">
                  <c:v>43.732399772191435</c:v>
                </c:pt>
                <c:pt idx="126">
                  <c:v>43.737701908864764</c:v>
                </c:pt>
                <c:pt idx="127">
                  <c:v>43.743176021547647</c:v>
                </c:pt>
                <c:pt idx="128">
                  <c:v>43.749238768915625</c:v>
                </c:pt>
                <c:pt idx="129">
                  <c:v>43.755359607829746</c:v>
                </c:pt>
                <c:pt idx="130">
                  <c:v>43.761223014453726</c:v>
                </c:pt>
                <c:pt idx="131">
                  <c:v>43.7670714802356</c:v>
                </c:pt>
                <c:pt idx="132">
                  <c:v>43.772711205104308</c:v>
                </c:pt>
                <c:pt idx="133">
                  <c:v>43.778350099616489</c:v>
                </c:pt>
                <c:pt idx="134">
                  <c:v>43.783988179089661</c:v>
                </c:pt>
                <c:pt idx="135">
                  <c:v>43.789381717459598</c:v>
                </c:pt>
                <c:pt idx="136">
                  <c:v>43.794367755951512</c:v>
                </c:pt>
                <c:pt idx="137">
                  <c:v>43.79912185675569</c:v>
                </c:pt>
                <c:pt idx="138">
                  <c:v>43.804165152736736</c:v>
                </c:pt>
                <c:pt idx="139">
                  <c:v>43.809317139653515</c:v>
                </c:pt>
                <c:pt idx="140">
                  <c:v>43.814539378016278</c:v>
                </c:pt>
                <c:pt idx="141">
                  <c:v>43.819824811060883</c:v>
                </c:pt>
                <c:pt idx="142">
                  <c:v>43.824949329385845</c:v>
                </c:pt>
                <c:pt idx="143">
                  <c:v>43.830128979330006</c:v>
                </c:pt>
                <c:pt idx="144">
                  <c:v>43.835242208350891</c:v>
                </c:pt>
                <c:pt idx="145">
                  <c:v>43.840048513519854</c:v>
                </c:pt>
                <c:pt idx="146">
                  <c:v>43.845040697513674</c:v>
                </c:pt>
                <c:pt idx="147">
                  <c:v>43.849921962420673</c:v>
                </c:pt>
                <c:pt idx="148">
                  <c:v>43.854942081098834</c:v>
                </c:pt>
                <c:pt idx="149">
                  <c:v>43.859839691794051</c:v>
                </c:pt>
                <c:pt idx="150">
                  <c:v>43.864721738357602</c:v>
                </c:pt>
                <c:pt idx="151">
                  <c:v>43.869672786633657</c:v>
                </c:pt>
                <c:pt idx="152">
                  <c:v>43.874529241813278</c:v>
                </c:pt>
                <c:pt idx="153">
                  <c:v>43.879694069967712</c:v>
                </c:pt>
                <c:pt idx="154">
                  <c:v>43.884828133850299</c:v>
                </c:pt>
                <c:pt idx="155">
                  <c:v>43.890038176630391</c:v>
                </c:pt>
                <c:pt idx="156">
                  <c:v>43.895029817810403</c:v>
                </c:pt>
                <c:pt idx="157">
                  <c:v>43.900169472271983</c:v>
                </c:pt>
                <c:pt idx="158">
                  <c:v>43.90511026938335</c:v>
                </c:pt>
                <c:pt idx="159">
                  <c:v>43.909828265557564</c:v>
                </c:pt>
                <c:pt idx="160">
                  <c:v>43.914362809203098</c:v>
                </c:pt>
                <c:pt idx="161">
                  <c:v>43.918890700543571</c:v>
                </c:pt>
                <c:pt idx="162">
                  <c:v>43.923480777088173</c:v>
                </c:pt>
                <c:pt idx="163">
                  <c:v>43.927947251595299</c:v>
                </c:pt>
                <c:pt idx="164">
                  <c:v>43.932550320685394</c:v>
                </c:pt>
                <c:pt idx="165">
                  <c:v>43.937256640786202</c:v>
                </c:pt>
                <c:pt idx="166">
                  <c:v>43.941862412366461</c:v>
                </c:pt>
                <c:pt idx="167">
                  <c:v>43.946133799588146</c:v>
                </c:pt>
                <c:pt idx="168">
                  <c:v>43.950514365773941</c:v>
                </c:pt>
                <c:pt idx="169">
                  <c:v>43.955027261828562</c:v>
                </c:pt>
                <c:pt idx="170">
                  <c:v>43.959443392558136</c:v>
                </c:pt>
                <c:pt idx="171">
                  <c:v>43.964061173130474</c:v>
                </c:pt>
                <c:pt idx="172">
                  <c:v>43.968599849386372</c:v>
                </c:pt>
                <c:pt idx="173">
                  <c:v>43.97318259529478</c:v>
                </c:pt>
                <c:pt idx="174">
                  <c:v>43.97769846186813</c:v>
                </c:pt>
                <c:pt idx="175">
                  <c:v>43.982466280677926</c:v>
                </c:pt>
                <c:pt idx="176">
                  <c:v>43.986915522305587</c:v>
                </c:pt>
                <c:pt idx="177">
                  <c:v>43.991072455841092</c:v>
                </c:pt>
                <c:pt idx="178">
                  <c:v>43.995161759067635</c:v>
                </c:pt>
                <c:pt idx="179">
                  <c:v>43.999067012670402</c:v>
                </c:pt>
                <c:pt idx="180">
                  <c:v>44.00302296604297</c:v>
                </c:pt>
                <c:pt idx="181">
                  <c:v>44.007167154471439</c:v>
                </c:pt>
                <c:pt idx="182">
                  <c:v>44.011473336852816</c:v>
                </c:pt>
                <c:pt idx="183">
                  <c:v>44.015875187769922</c:v>
                </c:pt>
                <c:pt idx="184">
                  <c:v>44.020108319988744</c:v>
                </c:pt>
                <c:pt idx="185">
                  <c:v>44.024405251091032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2.8674377859788827</c:v>
                </c:pt>
                <c:pt idx="15">
                  <c:v>2.9751916906942575</c:v>
                </c:pt>
                <c:pt idx="16">
                  <c:v>3.0970385152357891</c:v>
                </c:pt>
                <c:pt idx="17">
                  <c:v>3.222503042812753</c:v>
                </c:pt>
                <c:pt idx="18">
                  <c:v>3.346429736527226</c:v>
                </c:pt>
                <c:pt idx="19">
                  <c:v>3.4874927423084374</c:v>
                </c:pt>
                <c:pt idx="20">
                  <c:v>3.6297593005645092</c:v>
                </c:pt>
                <c:pt idx="21">
                  <c:v>3.7662852751861182</c:v>
                </c:pt>
                <c:pt idx="22">
                  <c:v>3.9183996649875792</c:v>
                </c:pt>
                <c:pt idx="23">
                  <c:v>4.072812318315659</c:v>
                </c:pt>
                <c:pt idx="24">
                  <c:v>4.2428636463777636</c:v>
                </c:pt>
                <c:pt idx="25">
                  <c:v>4.4040175597646183</c:v>
                </c:pt>
                <c:pt idx="26">
                  <c:v>4.5721661654803576</c:v>
                </c:pt>
                <c:pt idx="27">
                  <c:v>4.7611065901902725</c:v>
                </c:pt>
                <c:pt idx="28">
                  <c:v>4.9810395509068677</c:v>
                </c:pt>
                <c:pt idx="29">
                  <c:v>5.2144884680411225</c:v>
                </c:pt>
                <c:pt idx="30">
                  <c:v>5.4455558059197502</c:v>
                </c:pt>
                <c:pt idx="31">
                  <c:v>5.7022283624505299</c:v>
                </c:pt>
                <c:pt idx="32">
                  <c:v>5.9429831773482551</c:v>
                </c:pt>
                <c:pt idx="33">
                  <c:v>6.1800934756039929</c:v>
                </c:pt>
                <c:pt idx="34">
                  <c:v>6.4219006977690087</c:v>
                </c:pt>
                <c:pt idx="35">
                  <c:v>6.7014660500973822</c:v>
                </c:pt>
                <c:pt idx="36">
                  <c:v>7.0303429675616096</c:v>
                </c:pt>
                <c:pt idx="37">
                  <c:v>7.3573480998819711</c:v>
                </c:pt>
                <c:pt idx="38">
                  <c:v>7.6772581114004987</c:v>
                </c:pt>
                <c:pt idx="39">
                  <c:v>8.003847639005464</c:v>
                </c:pt>
                <c:pt idx="40">
                  <c:v>8.3555528819437477</c:v>
                </c:pt>
                <c:pt idx="41">
                  <c:v>8.7424213029385385</c:v>
                </c:pt>
                <c:pt idx="42">
                  <c:v>9.1603209980476166</c:v>
                </c:pt>
                <c:pt idx="43">
                  <c:v>9.573815620322236</c:v>
                </c:pt>
                <c:pt idx="44">
                  <c:v>10.017218554221952</c:v>
                </c:pt>
                <c:pt idx="45">
                  <c:v>10.436007780226754</c:v>
                </c:pt>
                <c:pt idx="46">
                  <c:v>10.843737582078921</c:v>
                </c:pt>
                <c:pt idx="47">
                  <c:v>11.269234601095679</c:v>
                </c:pt>
                <c:pt idx="48">
                  <c:v>11.762631842987018</c:v>
                </c:pt>
                <c:pt idx="49">
                  <c:v>12.357288745671928</c:v>
                </c:pt>
                <c:pt idx="50">
                  <c:v>12.994141727439455</c:v>
                </c:pt>
                <c:pt idx="51">
                  <c:v>13.628319383118216</c:v>
                </c:pt>
                <c:pt idx="52">
                  <c:v>14.255720242628874</c:v>
                </c:pt>
                <c:pt idx="53">
                  <c:v>14.924408595169377</c:v>
                </c:pt>
                <c:pt idx="54">
                  <c:v>15.629497755163218</c:v>
                </c:pt>
                <c:pt idx="55">
                  <c:v>16.373897173955584</c:v>
                </c:pt>
                <c:pt idx="56">
                  <c:v>17.20196558651552</c:v>
                </c:pt>
                <c:pt idx="57">
                  <c:v>18.070898916286861</c:v>
                </c:pt>
                <c:pt idx="58">
                  <c:v>19.069555536312304</c:v>
                </c:pt>
                <c:pt idx="59">
                  <c:v>20.134548034927835</c:v>
                </c:pt>
                <c:pt idx="60">
                  <c:v>21.290491945864296</c:v>
                </c:pt>
                <c:pt idx="61">
                  <c:v>22.485713700710757</c:v>
                </c:pt>
                <c:pt idx="62">
                  <c:v>23.6229881055324</c:v>
                </c:pt>
                <c:pt idx="63">
                  <c:v>24.946899375708735</c:v>
                </c:pt>
                <c:pt idx="64">
                  <c:v>26.310440389999297</c:v>
                </c:pt>
                <c:pt idx="65">
                  <c:v>27.778243143535107</c:v>
                </c:pt>
                <c:pt idx="66">
                  <c:v>29.308935955265248</c:v>
                </c:pt>
                <c:pt idx="67">
                  <c:v>30.996258118876703</c:v>
                </c:pt>
                <c:pt idx="68">
                  <c:v>32.74883039766766</c:v>
                </c:pt>
                <c:pt idx="69">
                  <c:v>34.593149446842737</c:v>
                </c:pt>
                <c:pt idx="70">
                  <c:v>36.432567937166361</c:v>
                </c:pt>
                <c:pt idx="71">
                  <c:v>38.247609687137071</c:v>
                </c:pt>
                <c:pt idx="72">
                  <c:v>40.26629469922652</c:v>
                </c:pt>
                <c:pt idx="73">
                  <c:v>42.540184390144205</c:v>
                </c:pt>
                <c:pt idx="74">
                  <c:v>45.096188335953102</c:v>
                </c:pt>
                <c:pt idx="75">
                  <c:v>47.669363299434494</c:v>
                </c:pt>
                <c:pt idx="76">
                  <c:v>50.341566647708881</c:v>
                </c:pt>
                <c:pt idx="77">
                  <c:v>52.975514636679904</c:v>
                </c:pt>
                <c:pt idx="78">
                  <c:v>55.615647234686847</c:v>
                </c:pt>
                <c:pt idx="79">
                  <c:v>58.632738021661069</c:v>
                </c:pt>
                <c:pt idx="80">
                  <c:v>61.785125078720895</c:v>
                </c:pt>
                <c:pt idx="81">
                  <c:v>65.195798559314056</c:v>
                </c:pt>
                <c:pt idx="82">
                  <c:v>68.620587355317127</c:v>
                </c:pt>
                <c:pt idx="83">
                  <c:v>71.94925513710244</c:v>
                </c:pt>
                <c:pt idx="84">
                  <c:v>75.442458329502131</c:v>
                </c:pt>
                <c:pt idx="85">
                  <c:v>79.089130485768436</c:v>
                </c:pt>
                <c:pt idx="86">
                  <c:v>83.100026533332866</c:v>
                </c:pt>
                <c:pt idx="87">
                  <c:v>87.282514480010306</c:v>
                </c:pt>
                <c:pt idx="88">
                  <c:v>91.810052687614018</c:v>
                </c:pt>
                <c:pt idx="89">
                  <c:v>96.703020321844932</c:v>
                </c:pt>
                <c:pt idx="90">
                  <c:v>101.62220004130155</c:v>
                </c:pt>
                <c:pt idx="91">
                  <c:v>106.48869913783226</c:v>
                </c:pt>
                <c:pt idx="92">
                  <c:v>111.54265837914416</c:v>
                </c:pt>
                <c:pt idx="93">
                  <c:v>116.72301670241261</c:v>
                </c:pt>
                <c:pt idx="94">
                  <c:v>121.88516957362268</c:v>
                </c:pt>
                <c:pt idx="95">
                  <c:v>126.62362823889373</c:v>
                </c:pt>
                <c:pt idx="96">
                  <c:v>132.59883262306468</c:v>
                </c:pt>
                <c:pt idx="97">
                  <c:v>138.97794562107819</c:v>
                </c:pt>
                <c:pt idx="98">
                  <c:v>145.52372993346026</c:v>
                </c:pt>
                <c:pt idx="99">
                  <c:v>151.46154401207906</c:v>
                </c:pt>
                <c:pt idx="100">
                  <c:v>157.20450619171973</c:v>
                </c:pt>
                <c:pt idx="101">
                  <c:v>163.65049574738242</c:v>
                </c:pt>
                <c:pt idx="102">
                  <c:v>169.85643853755667</c:v>
                </c:pt>
                <c:pt idx="103">
                  <c:v>176.35675907697745</c:v>
                </c:pt>
                <c:pt idx="104">
                  <c:v>182.70065159725786</c:v>
                </c:pt>
                <c:pt idx="105">
                  <c:v>189.39882315671051</c:v>
                </c:pt>
                <c:pt idx="106">
                  <c:v>196.15926264437013</c:v>
                </c:pt>
                <c:pt idx="107">
                  <c:v>203.22537029281122</c:v>
                </c:pt>
                <c:pt idx="108">
                  <c:v>210.13704805060334</c:v>
                </c:pt>
                <c:pt idx="109">
                  <c:v>216.71828261664987</c:v>
                </c:pt>
                <c:pt idx="110">
                  <c:v>223.40550900213663</c:v>
                </c:pt>
                <c:pt idx="111">
                  <c:v>230.29413180914582</c:v>
                </c:pt>
                <c:pt idx="112">
                  <c:v>237.28535916414114</c:v>
                </c:pt>
                <c:pt idx="113">
                  <c:v>244.03769387058625</c:v>
                </c:pt>
                <c:pt idx="114">
                  <c:v>250.96202995604773</c:v>
                </c:pt>
                <c:pt idx="115">
                  <c:v>257.62034082720891</c:v>
                </c:pt>
                <c:pt idx="116">
                  <c:v>263.9431631761571</c:v>
                </c:pt>
                <c:pt idx="117">
                  <c:v>269.98960372795949</c:v>
                </c:pt>
                <c:pt idx="118">
                  <c:v>275.98759404202951</c:v>
                </c:pt>
                <c:pt idx="119">
                  <c:v>281.95171154349657</c:v>
                </c:pt>
                <c:pt idx="120">
                  <c:v>287.83524886713428</c:v>
                </c:pt>
                <c:pt idx="121">
                  <c:v>294.03863040101078</c:v>
                </c:pt>
                <c:pt idx="122">
                  <c:v>299.8825700391871</c:v>
                </c:pt>
                <c:pt idx="123">
                  <c:v>305.43888455772787</c:v>
                </c:pt>
                <c:pt idx="124">
                  <c:v>311.0788986795875</c:v>
                </c:pt>
                <c:pt idx="125">
                  <c:v>316.55949486472315</c:v>
                </c:pt>
                <c:pt idx="126">
                  <c:v>321.70015697088064</c:v>
                </c:pt>
                <c:pt idx="127">
                  <c:v>326.63851341106425</c:v>
                </c:pt>
                <c:pt idx="128">
                  <c:v>331.32033714422198</c:v>
                </c:pt>
                <c:pt idx="129">
                  <c:v>335.89573555743351</c:v>
                </c:pt>
                <c:pt idx="130">
                  <c:v>340.14422072796208</c:v>
                </c:pt>
                <c:pt idx="131">
                  <c:v>344.06749056374059</c:v>
                </c:pt>
                <c:pt idx="132">
                  <c:v>347.64736149473958</c:v>
                </c:pt>
                <c:pt idx="133">
                  <c:v>350.97990816745966</c:v>
                </c:pt>
                <c:pt idx="134">
                  <c:v>354.28235294117644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45562</c:v>
                </c:pt>
                <c:pt idx="1">
                  <c:v>45563</c:v>
                </c:pt>
                <c:pt idx="2">
                  <c:v>45564</c:v>
                </c:pt>
                <c:pt idx="3">
                  <c:v>45565</c:v>
                </c:pt>
                <c:pt idx="4">
                  <c:v>45566</c:v>
                </c:pt>
                <c:pt idx="5">
                  <c:v>45567</c:v>
                </c:pt>
                <c:pt idx="6">
                  <c:v>45568</c:v>
                </c:pt>
                <c:pt idx="7">
                  <c:v>45569</c:v>
                </c:pt>
                <c:pt idx="8">
                  <c:v>45570</c:v>
                </c:pt>
                <c:pt idx="9">
                  <c:v>45571</c:v>
                </c:pt>
                <c:pt idx="10">
                  <c:v>45572</c:v>
                </c:pt>
                <c:pt idx="11">
                  <c:v>45573</c:v>
                </c:pt>
                <c:pt idx="12">
                  <c:v>45574</c:v>
                </c:pt>
                <c:pt idx="13">
                  <c:v>45575</c:v>
                </c:pt>
                <c:pt idx="14">
                  <c:v>45576</c:v>
                </c:pt>
                <c:pt idx="15">
                  <c:v>45577</c:v>
                </c:pt>
                <c:pt idx="16">
                  <c:v>45578</c:v>
                </c:pt>
                <c:pt idx="17">
                  <c:v>45579</c:v>
                </c:pt>
                <c:pt idx="18">
                  <c:v>45580</c:v>
                </c:pt>
                <c:pt idx="19">
                  <c:v>45581</c:v>
                </c:pt>
                <c:pt idx="20">
                  <c:v>45582</c:v>
                </c:pt>
                <c:pt idx="21">
                  <c:v>45583</c:v>
                </c:pt>
                <c:pt idx="22">
                  <c:v>45584</c:v>
                </c:pt>
                <c:pt idx="23">
                  <c:v>45585</c:v>
                </c:pt>
                <c:pt idx="24">
                  <c:v>45586</c:v>
                </c:pt>
                <c:pt idx="25">
                  <c:v>45587</c:v>
                </c:pt>
                <c:pt idx="26">
                  <c:v>45588</c:v>
                </c:pt>
                <c:pt idx="27">
                  <c:v>45589</c:v>
                </c:pt>
                <c:pt idx="28">
                  <c:v>45590</c:v>
                </c:pt>
                <c:pt idx="29">
                  <c:v>45591</c:v>
                </c:pt>
                <c:pt idx="30">
                  <c:v>45592</c:v>
                </c:pt>
                <c:pt idx="31">
                  <c:v>45593</c:v>
                </c:pt>
                <c:pt idx="32">
                  <c:v>45594</c:v>
                </c:pt>
                <c:pt idx="33">
                  <c:v>45595</c:v>
                </c:pt>
                <c:pt idx="34">
                  <c:v>45596</c:v>
                </c:pt>
                <c:pt idx="35">
                  <c:v>45597</c:v>
                </c:pt>
                <c:pt idx="36">
                  <c:v>45598</c:v>
                </c:pt>
                <c:pt idx="37">
                  <c:v>45599</c:v>
                </c:pt>
                <c:pt idx="38">
                  <c:v>45600</c:v>
                </c:pt>
                <c:pt idx="39">
                  <c:v>45601</c:v>
                </c:pt>
                <c:pt idx="40">
                  <c:v>45602</c:v>
                </c:pt>
                <c:pt idx="41">
                  <c:v>45603</c:v>
                </c:pt>
                <c:pt idx="42">
                  <c:v>45604</c:v>
                </c:pt>
                <c:pt idx="43">
                  <c:v>45605</c:v>
                </c:pt>
                <c:pt idx="44">
                  <c:v>45606</c:v>
                </c:pt>
                <c:pt idx="45">
                  <c:v>45607</c:v>
                </c:pt>
                <c:pt idx="46">
                  <c:v>45608</c:v>
                </c:pt>
                <c:pt idx="47">
                  <c:v>45609</c:v>
                </c:pt>
                <c:pt idx="48">
                  <c:v>45610</c:v>
                </c:pt>
                <c:pt idx="49">
                  <c:v>45611</c:v>
                </c:pt>
                <c:pt idx="50">
                  <c:v>45612</c:v>
                </c:pt>
                <c:pt idx="51">
                  <c:v>45613</c:v>
                </c:pt>
                <c:pt idx="52">
                  <c:v>45614</c:v>
                </c:pt>
                <c:pt idx="53">
                  <c:v>45615</c:v>
                </c:pt>
                <c:pt idx="54">
                  <c:v>45616</c:v>
                </c:pt>
                <c:pt idx="55">
                  <c:v>45617</c:v>
                </c:pt>
                <c:pt idx="56">
                  <c:v>45618</c:v>
                </c:pt>
                <c:pt idx="57">
                  <c:v>45619</c:v>
                </c:pt>
                <c:pt idx="58">
                  <c:v>45620</c:v>
                </c:pt>
                <c:pt idx="59">
                  <c:v>45621</c:v>
                </c:pt>
                <c:pt idx="60">
                  <c:v>45622</c:v>
                </c:pt>
                <c:pt idx="61">
                  <c:v>45623</c:v>
                </c:pt>
                <c:pt idx="62">
                  <c:v>45624</c:v>
                </c:pt>
                <c:pt idx="63">
                  <c:v>45625</c:v>
                </c:pt>
                <c:pt idx="64">
                  <c:v>45626</c:v>
                </c:pt>
                <c:pt idx="65">
                  <c:v>45627</c:v>
                </c:pt>
                <c:pt idx="66">
                  <c:v>45628</c:v>
                </c:pt>
                <c:pt idx="67">
                  <c:v>45629</c:v>
                </c:pt>
                <c:pt idx="68">
                  <c:v>45630</c:v>
                </c:pt>
                <c:pt idx="69">
                  <c:v>45631</c:v>
                </c:pt>
                <c:pt idx="70">
                  <c:v>45632</c:v>
                </c:pt>
                <c:pt idx="71">
                  <c:v>45633</c:v>
                </c:pt>
                <c:pt idx="72">
                  <c:v>45634</c:v>
                </c:pt>
                <c:pt idx="73">
                  <c:v>45635</c:v>
                </c:pt>
                <c:pt idx="74">
                  <c:v>45636</c:v>
                </c:pt>
                <c:pt idx="75">
                  <c:v>45637</c:v>
                </c:pt>
                <c:pt idx="76">
                  <c:v>45638</c:v>
                </c:pt>
                <c:pt idx="77">
                  <c:v>45639</c:v>
                </c:pt>
                <c:pt idx="78">
                  <c:v>45640</c:v>
                </c:pt>
                <c:pt idx="79">
                  <c:v>45641</c:v>
                </c:pt>
                <c:pt idx="80">
                  <c:v>45642</c:v>
                </c:pt>
                <c:pt idx="81">
                  <c:v>45643</c:v>
                </c:pt>
                <c:pt idx="82">
                  <c:v>45644</c:v>
                </c:pt>
                <c:pt idx="83">
                  <c:v>45645</c:v>
                </c:pt>
                <c:pt idx="84">
                  <c:v>45646</c:v>
                </c:pt>
                <c:pt idx="85">
                  <c:v>45647</c:v>
                </c:pt>
                <c:pt idx="86">
                  <c:v>45648</c:v>
                </c:pt>
                <c:pt idx="87">
                  <c:v>45649</c:v>
                </c:pt>
                <c:pt idx="88">
                  <c:v>45650</c:v>
                </c:pt>
                <c:pt idx="89">
                  <c:v>45651</c:v>
                </c:pt>
                <c:pt idx="90">
                  <c:v>45652</c:v>
                </c:pt>
                <c:pt idx="91">
                  <c:v>45653</c:v>
                </c:pt>
                <c:pt idx="92">
                  <c:v>45654</c:v>
                </c:pt>
                <c:pt idx="93">
                  <c:v>45655</c:v>
                </c:pt>
                <c:pt idx="94">
                  <c:v>45656</c:v>
                </c:pt>
                <c:pt idx="95">
                  <c:v>45657</c:v>
                </c:pt>
                <c:pt idx="96">
                  <c:v>45658</c:v>
                </c:pt>
                <c:pt idx="97">
                  <c:v>45659</c:v>
                </c:pt>
                <c:pt idx="98">
                  <c:v>45660</c:v>
                </c:pt>
                <c:pt idx="99">
                  <c:v>45661</c:v>
                </c:pt>
                <c:pt idx="100">
                  <c:v>45662</c:v>
                </c:pt>
                <c:pt idx="101">
                  <c:v>45663</c:v>
                </c:pt>
                <c:pt idx="102">
                  <c:v>45664</c:v>
                </c:pt>
                <c:pt idx="103">
                  <c:v>45665</c:v>
                </c:pt>
                <c:pt idx="104">
                  <c:v>45666</c:v>
                </c:pt>
                <c:pt idx="105">
                  <c:v>45667</c:v>
                </c:pt>
                <c:pt idx="106">
                  <c:v>45668</c:v>
                </c:pt>
                <c:pt idx="107">
                  <c:v>45669</c:v>
                </c:pt>
                <c:pt idx="108">
                  <c:v>45670</c:v>
                </c:pt>
                <c:pt idx="109">
                  <c:v>45671</c:v>
                </c:pt>
                <c:pt idx="110">
                  <c:v>45672</c:v>
                </c:pt>
                <c:pt idx="111">
                  <c:v>45673</c:v>
                </c:pt>
                <c:pt idx="112">
                  <c:v>45674</c:v>
                </c:pt>
                <c:pt idx="113">
                  <c:v>45675</c:v>
                </c:pt>
                <c:pt idx="114">
                  <c:v>45676</c:v>
                </c:pt>
                <c:pt idx="115">
                  <c:v>45677</c:v>
                </c:pt>
                <c:pt idx="116">
                  <c:v>45678</c:v>
                </c:pt>
                <c:pt idx="117">
                  <c:v>45679</c:v>
                </c:pt>
                <c:pt idx="118">
                  <c:v>45680</c:v>
                </c:pt>
                <c:pt idx="119">
                  <c:v>45681</c:v>
                </c:pt>
                <c:pt idx="120">
                  <c:v>45682</c:v>
                </c:pt>
                <c:pt idx="121">
                  <c:v>45683</c:v>
                </c:pt>
                <c:pt idx="122">
                  <c:v>45684</c:v>
                </c:pt>
                <c:pt idx="123">
                  <c:v>45685</c:v>
                </c:pt>
                <c:pt idx="124">
                  <c:v>45686</c:v>
                </c:pt>
                <c:pt idx="125">
                  <c:v>45687</c:v>
                </c:pt>
                <c:pt idx="126">
                  <c:v>45688</c:v>
                </c:pt>
                <c:pt idx="127">
                  <c:v>45689</c:v>
                </c:pt>
                <c:pt idx="128">
                  <c:v>45690</c:v>
                </c:pt>
                <c:pt idx="129">
                  <c:v>45691</c:v>
                </c:pt>
                <c:pt idx="130">
                  <c:v>45692</c:v>
                </c:pt>
                <c:pt idx="131">
                  <c:v>45693</c:v>
                </c:pt>
                <c:pt idx="132">
                  <c:v>45694</c:v>
                </c:pt>
                <c:pt idx="133">
                  <c:v>45695</c:v>
                </c:pt>
                <c:pt idx="134">
                  <c:v>45696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32.220304336636481</c:v>
                </c:pt>
                <c:pt idx="1">
                  <c:v>35.634119453092509</c:v>
                </c:pt>
                <c:pt idx="2">
                  <c:v>38.242246215475532</c:v>
                </c:pt>
                <c:pt idx="3">
                  <c:v>41.148888733736491</c:v>
                </c:pt>
                <c:pt idx="4">
                  <c:v>44.007015394607336</c:v>
                </c:pt>
                <c:pt idx="5">
                  <c:v>46.533503686550766</c:v>
                </c:pt>
                <c:pt idx="6">
                  <c:v>49.155069585752443</c:v>
                </c:pt>
                <c:pt idx="7">
                  <c:v>51.663703327405706</c:v>
                </c:pt>
                <c:pt idx="8">
                  <c:v>54.062010873405541</c:v>
                </c:pt>
                <c:pt idx="9">
                  <c:v>56.415102143281288</c:v>
                </c:pt>
                <c:pt idx="10">
                  <c:v>58.639572045102433</c:v>
                </c:pt>
                <c:pt idx="11">
                  <c:v>60.726026922868257</c:v>
                </c:pt>
                <c:pt idx="12">
                  <c:v>62.705073007570334</c:v>
                </c:pt>
                <c:pt idx="13">
                  <c:v>64.611240277569337</c:v>
                </c:pt>
                <c:pt idx="14">
                  <c:v>66.637422147002667</c:v>
                </c:pt>
                <c:pt idx="15">
                  <c:v>68.41738560498527</c:v>
                </c:pt>
                <c:pt idx="16">
                  <c:v>69.678935440909228</c:v>
                </c:pt>
                <c:pt idx="17">
                  <c:v>70.673214904787585</c:v>
                </c:pt>
                <c:pt idx="18">
                  <c:v>72.271152821514463</c:v>
                </c:pt>
                <c:pt idx="19">
                  <c:v>73.889084048796747</c:v>
                </c:pt>
                <c:pt idx="20">
                  <c:v>75.415483184451588</c:v>
                </c:pt>
                <c:pt idx="21">
                  <c:v>76.821618337323045</c:v>
                </c:pt>
                <c:pt idx="22">
                  <c:v>78.216162179644797</c:v>
                </c:pt>
                <c:pt idx="23">
                  <c:v>79.516894802132981</c:v>
                </c:pt>
                <c:pt idx="24">
                  <c:v>80.835274318278678</c:v>
                </c:pt>
                <c:pt idx="25">
                  <c:v>82.045427593848956</c:v>
                </c:pt>
                <c:pt idx="26">
                  <c:v>83.189020003699241</c:v>
                </c:pt>
                <c:pt idx="27">
                  <c:v>84.319395146314122</c:v>
                </c:pt>
                <c:pt idx="28">
                  <c:v>85.49640980994441</c:v>
                </c:pt>
                <c:pt idx="29">
                  <c:v>86.680308671271646</c:v>
                </c:pt>
                <c:pt idx="30">
                  <c:v>87.794092697300187</c:v>
                </c:pt>
                <c:pt idx="31">
                  <c:v>88.633966879348549</c:v>
                </c:pt>
                <c:pt idx="32">
                  <c:v>89.639280140025008</c:v>
                </c:pt>
                <c:pt idx="33">
                  <c:v>90.582043800049249</c:v>
                </c:pt>
                <c:pt idx="34">
                  <c:v>91.485076877763873</c:v>
                </c:pt>
                <c:pt idx="35">
                  <c:v>92.384132109874926</c:v>
                </c:pt>
                <c:pt idx="36">
                  <c:v>93.345541136528411</c:v>
                </c:pt>
                <c:pt idx="37">
                  <c:v>94.239226532423217</c:v>
                </c:pt>
                <c:pt idx="38">
                  <c:v>95.034106368184695</c:v>
                </c:pt>
                <c:pt idx="39">
                  <c:v>95.74948323964523</c:v>
                </c:pt>
                <c:pt idx="40">
                  <c:v>96.436213089544907</c:v>
                </c:pt>
                <c:pt idx="41">
                  <c:v>97.113345151164495</c:v>
                </c:pt>
                <c:pt idx="42">
                  <c:v>97.774240766739553</c:v>
                </c:pt>
                <c:pt idx="43">
                  <c:v>98.377512880908938</c:v>
                </c:pt>
                <c:pt idx="44">
                  <c:v>98.979817181145165</c:v>
                </c:pt>
                <c:pt idx="45">
                  <c:v>99.530565868193065</c:v>
                </c:pt>
                <c:pt idx="46">
                  <c:v>100.01497233069628</c:v>
                </c:pt>
                <c:pt idx="47">
                  <c:v>100.45207154460378</c:v>
                </c:pt>
                <c:pt idx="48">
                  <c:v>100.86490750798238</c:v>
                </c:pt>
                <c:pt idx="49">
                  <c:v>101.30638789568417</c:v>
                </c:pt>
                <c:pt idx="50">
                  <c:v>101.7610542695257</c:v>
                </c:pt>
                <c:pt idx="51">
                  <c:v>102.2187591489612</c:v>
                </c:pt>
                <c:pt idx="52">
                  <c:v>102.58793028593472</c:v>
                </c:pt>
                <c:pt idx="53">
                  <c:v>102.91190640290773</c:v>
                </c:pt>
                <c:pt idx="54">
                  <c:v>103.17252080852964</c:v>
                </c:pt>
                <c:pt idx="55">
                  <c:v>103.3654209360981</c:v>
                </c:pt>
                <c:pt idx="56">
                  <c:v>103.45823398483472</c:v>
                </c:pt>
                <c:pt idx="57">
                  <c:v>103.48519255712034</c:v>
                </c:pt>
                <c:pt idx="58">
                  <c:v>103.42974066057185</c:v>
                </c:pt>
                <c:pt idx="59">
                  <c:v>103.36200927534401</c:v>
                </c:pt>
                <c:pt idx="60">
                  <c:v>103.19686855097413</c:v>
                </c:pt>
                <c:pt idx="61">
                  <c:v>103.05378659164181</c:v>
                </c:pt>
                <c:pt idx="62">
                  <c:v>102.82370900273877</c:v>
                </c:pt>
                <c:pt idx="63">
                  <c:v>102.51531314833716</c:v>
                </c:pt>
                <c:pt idx="64">
                  <c:v>102.21130996428265</c:v>
                </c:pt>
                <c:pt idx="65">
                  <c:v>101.77086601244206</c:v>
                </c:pt>
                <c:pt idx="66">
                  <c:v>101.23863896689082</c:v>
                </c:pt>
                <c:pt idx="67">
                  <c:v>100.57597359285656</c:v>
                </c:pt>
                <c:pt idx="68">
                  <c:v>99.792902788069114</c:v>
                </c:pt>
                <c:pt idx="69">
                  <c:v>98.912797755605339</c:v>
                </c:pt>
                <c:pt idx="70">
                  <c:v>97.988332305232177</c:v>
                </c:pt>
                <c:pt idx="71">
                  <c:v>97.095040129396352</c:v>
                </c:pt>
                <c:pt idx="72">
                  <c:v>96.013102615066586</c:v>
                </c:pt>
                <c:pt idx="73">
                  <c:v>94.801766693781403</c:v>
                </c:pt>
                <c:pt idx="74">
                  <c:v>93.354347271534351</c:v>
                </c:pt>
                <c:pt idx="75">
                  <c:v>91.822577043793785</c:v>
                </c:pt>
                <c:pt idx="76">
                  <c:v>90.136243134076722</c:v>
                </c:pt>
                <c:pt idx="77">
                  <c:v>88.396506551353781</c:v>
                </c:pt>
                <c:pt idx="78">
                  <c:v>86.630406533692394</c:v>
                </c:pt>
                <c:pt idx="79">
                  <c:v>84.517702323542537</c:v>
                </c:pt>
                <c:pt idx="80">
                  <c:v>82.276439308373682</c:v>
                </c:pt>
                <c:pt idx="81">
                  <c:v>79.766721379077268</c:v>
                </c:pt>
                <c:pt idx="82">
                  <c:v>77.273626202713814</c:v>
                </c:pt>
                <c:pt idx="83">
                  <c:v>74.831030092241818</c:v>
                </c:pt>
                <c:pt idx="84">
                  <c:v>72.186287900491692</c:v>
                </c:pt>
                <c:pt idx="85">
                  <c:v>69.347210937376019</c:v>
                </c:pt>
                <c:pt idx="86">
                  <c:v>66.138388118168052</c:v>
                </c:pt>
                <c:pt idx="87">
                  <c:v>62.769676331148872</c:v>
                </c:pt>
                <c:pt idx="88">
                  <c:v>59.104003079783944</c:v>
                </c:pt>
                <c:pt idx="89">
                  <c:v>55.048772185233766</c:v>
                </c:pt>
                <c:pt idx="90">
                  <c:v>50.900530894956567</c:v>
                </c:pt>
                <c:pt idx="91">
                  <c:v>46.743066843973551</c:v>
                </c:pt>
                <c:pt idx="92">
                  <c:v>42.411923414628227</c:v>
                </c:pt>
                <c:pt idx="93">
                  <c:v>37.95639049254099</c:v>
                </c:pt>
                <c:pt idx="94">
                  <c:v>33.511855879101113</c:v>
                </c:pt>
                <c:pt idx="95">
                  <c:v>29.379576151355828</c:v>
                </c:pt>
                <c:pt idx="96">
                  <c:v>24.12518593925591</c:v>
                </c:pt>
                <c:pt idx="97">
                  <c:v>18.48611255428402</c:v>
                </c:pt>
                <c:pt idx="98">
                  <c:v>12.731303985199052</c:v>
                </c:pt>
                <c:pt idx="99">
                  <c:v>7.4778766902520406</c:v>
                </c:pt>
                <c:pt idx="100">
                  <c:v>2.3830706111567768</c:v>
                </c:pt>
                <c:pt idx="101">
                  <c:v>-3.3902290375747697</c:v>
                </c:pt>
                <c:pt idx="102">
                  <c:v>-8.9591831565077307</c:v>
                </c:pt>
                <c:pt idx="103">
                  <c:v>-14.809597293850924</c:v>
                </c:pt>
                <c:pt idx="104">
                  <c:v>-20.554723513873469</c:v>
                </c:pt>
                <c:pt idx="105">
                  <c:v>-26.647701297195081</c:v>
                </c:pt>
                <c:pt idx="106">
                  <c:v>-32.824296707454792</c:v>
                </c:pt>
                <c:pt idx="107">
                  <c:v>-39.297020357445362</c:v>
                </c:pt>
                <c:pt idx="108">
                  <c:v>-45.619975429384752</c:v>
                </c:pt>
                <c:pt idx="109">
                  <c:v>-51.632770431132855</c:v>
                </c:pt>
                <c:pt idx="110">
                  <c:v>-57.738500521929183</c:v>
                </c:pt>
                <c:pt idx="111">
                  <c:v>-64.047077063014058</c:v>
                </c:pt>
                <c:pt idx="112">
                  <c:v>-70.448452175649379</c:v>
                </c:pt>
                <c:pt idx="113">
                  <c:v>-76.60418282897794</c:v>
                </c:pt>
                <c:pt idx="114">
                  <c:v>-82.90703961413567</c:v>
                </c:pt>
                <c:pt idx="115">
                  <c:v>-88.947776900144163</c:v>
                </c:pt>
                <c:pt idx="116">
                  <c:v>-94.674100821600561</c:v>
                </c:pt>
                <c:pt idx="117">
                  <c:v>-100.13689609846067</c:v>
                </c:pt>
                <c:pt idx="118">
                  <c:v>-105.51066255147047</c:v>
                </c:pt>
                <c:pt idx="119">
                  <c:v>-110.85642967511484</c:v>
                </c:pt>
                <c:pt idx="120">
                  <c:v>-116.13888469463446</c:v>
                </c:pt>
                <c:pt idx="121">
                  <c:v>-121.69799011631115</c:v>
                </c:pt>
                <c:pt idx="122">
                  <c:v>-126.89507597011422</c:v>
                </c:pt>
                <c:pt idx="123">
                  <c:v>-131.83404527403329</c:v>
                </c:pt>
                <c:pt idx="124">
                  <c:v>-136.84941405843153</c:v>
                </c:pt>
                <c:pt idx="125">
                  <c:v>-141.70758748301887</c:v>
                </c:pt>
                <c:pt idx="126">
                  <c:v>-146.26234367843551</c:v>
                </c:pt>
                <c:pt idx="127">
                  <c:v>-150.58171904019864</c:v>
                </c:pt>
                <c:pt idx="128">
                  <c:v>-154.61897288760093</c:v>
                </c:pt>
                <c:pt idx="129">
                  <c:v>-158.5597297874383</c:v>
                </c:pt>
                <c:pt idx="130">
                  <c:v>-162.16400790902446</c:v>
                </c:pt>
                <c:pt idx="131">
                  <c:v>-165.4708524893687</c:v>
                </c:pt>
                <c:pt idx="132">
                  <c:v>-168.4858633810245</c:v>
                </c:pt>
                <c:pt idx="133">
                  <c:v>-171.26085447920161</c:v>
                </c:pt>
                <c:pt idx="134">
                  <c:v>-173.98289490149355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-0.62835469406323707</c:v>
                </c:pt>
                <c:pt idx="3">
                  <c:v>-0.62835469406323707</c:v>
                </c:pt>
                <c:pt idx="4">
                  <c:v>-0.63894255458373528</c:v>
                </c:pt>
                <c:pt idx="5">
                  <c:v>-1.0592277646918287</c:v>
                </c:pt>
                <c:pt idx="6">
                  <c:v>-1.0592277646918287</c:v>
                </c:pt>
                <c:pt idx="7">
                  <c:v>-1.0592277646918287</c:v>
                </c:pt>
                <c:pt idx="8">
                  <c:v>-1.0592277646918287</c:v>
                </c:pt>
                <c:pt idx="9">
                  <c:v>-1.0592277646918287</c:v>
                </c:pt>
                <c:pt idx="10">
                  <c:v>-1.0592277646918287</c:v>
                </c:pt>
                <c:pt idx="11">
                  <c:v>-1.0592277646918287</c:v>
                </c:pt>
                <c:pt idx="12">
                  <c:v>-1.0592277646918287</c:v>
                </c:pt>
                <c:pt idx="13">
                  <c:v>-1.2402421129041199</c:v>
                </c:pt>
                <c:pt idx="14">
                  <c:v>-1.2402421129041199</c:v>
                </c:pt>
                <c:pt idx="15">
                  <c:v>-1.2402421129041199</c:v>
                </c:pt>
                <c:pt idx="16">
                  <c:v>-1.7708789771239193</c:v>
                </c:pt>
                <c:pt idx="17">
                  <c:v>-2.4870342214924293</c:v>
                </c:pt>
                <c:pt idx="18">
                  <c:v>-2.4870342214924293</c:v>
                </c:pt>
                <c:pt idx="19">
                  <c:v>-2.4870342214924293</c:v>
                </c:pt>
                <c:pt idx="20">
                  <c:v>-2.4870342214924293</c:v>
                </c:pt>
                <c:pt idx="21">
                  <c:v>-2.4870342214924293</c:v>
                </c:pt>
                <c:pt idx="22">
                  <c:v>-2.4870342214924293</c:v>
                </c:pt>
                <c:pt idx="23">
                  <c:v>-2.4870342214924293</c:v>
                </c:pt>
                <c:pt idx="24">
                  <c:v>-2.4870342214924293</c:v>
                </c:pt>
                <c:pt idx="25">
                  <c:v>-2.4870342214924293</c:v>
                </c:pt>
                <c:pt idx="26">
                  <c:v>-2.4870342214924293</c:v>
                </c:pt>
                <c:pt idx="27">
                  <c:v>-2.4870342214924293</c:v>
                </c:pt>
                <c:pt idx="28">
                  <c:v>-2.4870342214924293</c:v>
                </c:pt>
                <c:pt idx="29">
                  <c:v>-2.4870342214924293</c:v>
                </c:pt>
                <c:pt idx="30">
                  <c:v>-2.4870342214924293</c:v>
                </c:pt>
                <c:pt idx="31">
                  <c:v>-2.7630945465666361</c:v>
                </c:pt>
                <c:pt idx="32">
                  <c:v>-2.7630945465666361</c:v>
                </c:pt>
                <c:pt idx="33">
                  <c:v>-2.7630945465666361</c:v>
                </c:pt>
                <c:pt idx="34">
                  <c:v>-2.7630945465666361</c:v>
                </c:pt>
                <c:pt idx="35">
                  <c:v>-2.7630945465666361</c:v>
                </c:pt>
                <c:pt idx="36">
                  <c:v>-2.7630945465666361</c:v>
                </c:pt>
                <c:pt idx="37">
                  <c:v>-2.7630945465666361</c:v>
                </c:pt>
                <c:pt idx="38">
                  <c:v>-2.7630945465666361</c:v>
                </c:pt>
                <c:pt idx="39">
                  <c:v>-2.7630945465666361</c:v>
                </c:pt>
                <c:pt idx="40">
                  <c:v>-2.7630945465666361</c:v>
                </c:pt>
                <c:pt idx="41">
                  <c:v>-2.7630945465666361</c:v>
                </c:pt>
                <c:pt idx="42">
                  <c:v>-2.7630945465666361</c:v>
                </c:pt>
                <c:pt idx="43">
                  <c:v>-2.7630945465666361</c:v>
                </c:pt>
                <c:pt idx="44">
                  <c:v>-2.7630945465666361</c:v>
                </c:pt>
                <c:pt idx="45">
                  <c:v>-2.7630945465666361</c:v>
                </c:pt>
                <c:pt idx="46">
                  <c:v>-2.7630945465666361</c:v>
                </c:pt>
                <c:pt idx="47">
                  <c:v>-2.7630945465666361</c:v>
                </c:pt>
                <c:pt idx="48">
                  <c:v>-2.7630945465666361</c:v>
                </c:pt>
                <c:pt idx="49">
                  <c:v>-2.7630945465666361</c:v>
                </c:pt>
                <c:pt idx="50">
                  <c:v>-2.7630945465666361</c:v>
                </c:pt>
                <c:pt idx="51">
                  <c:v>-2.7630945465666361</c:v>
                </c:pt>
                <c:pt idx="52">
                  <c:v>-2.7630945465666361</c:v>
                </c:pt>
                <c:pt idx="53">
                  <c:v>-2.7630945465666361</c:v>
                </c:pt>
                <c:pt idx="54">
                  <c:v>-2.7630945465666361</c:v>
                </c:pt>
                <c:pt idx="55">
                  <c:v>-2.7630945465666361</c:v>
                </c:pt>
                <c:pt idx="56">
                  <c:v>-2.7630945465666361</c:v>
                </c:pt>
                <c:pt idx="57">
                  <c:v>-2.7630945465666361</c:v>
                </c:pt>
                <c:pt idx="58">
                  <c:v>-2.7630945465666361</c:v>
                </c:pt>
                <c:pt idx="59">
                  <c:v>-2.7630945465666361</c:v>
                </c:pt>
                <c:pt idx="60">
                  <c:v>-2.7630945465666361</c:v>
                </c:pt>
                <c:pt idx="61">
                  <c:v>-2.7630945465666361</c:v>
                </c:pt>
                <c:pt idx="62">
                  <c:v>-2.7630945465666361</c:v>
                </c:pt>
                <c:pt idx="63">
                  <c:v>-2.7630945465666361</c:v>
                </c:pt>
                <c:pt idx="64">
                  <c:v>-2.7630945465666361</c:v>
                </c:pt>
                <c:pt idx="65">
                  <c:v>-2.7630945465666361</c:v>
                </c:pt>
                <c:pt idx="66">
                  <c:v>-2.7630945465666361</c:v>
                </c:pt>
                <c:pt idx="67">
                  <c:v>-2.7630945465666361</c:v>
                </c:pt>
                <c:pt idx="68">
                  <c:v>-2.7630945465666361</c:v>
                </c:pt>
                <c:pt idx="69">
                  <c:v>-2.7630945465666361</c:v>
                </c:pt>
                <c:pt idx="70">
                  <c:v>-2.7630945465666361</c:v>
                </c:pt>
                <c:pt idx="71">
                  <c:v>-2.7630945465666361</c:v>
                </c:pt>
                <c:pt idx="72">
                  <c:v>-2.7630945465666361</c:v>
                </c:pt>
                <c:pt idx="73">
                  <c:v>-2.7630945465666361</c:v>
                </c:pt>
                <c:pt idx="74">
                  <c:v>-2.7630945465666361</c:v>
                </c:pt>
                <c:pt idx="75">
                  <c:v>-2.7630945465666361</c:v>
                </c:pt>
                <c:pt idx="76">
                  <c:v>-2.7630945465666361</c:v>
                </c:pt>
                <c:pt idx="77">
                  <c:v>-2.7630945465666361</c:v>
                </c:pt>
                <c:pt idx="78">
                  <c:v>-2.7630945465666361</c:v>
                </c:pt>
                <c:pt idx="79">
                  <c:v>-2.7630945465666361</c:v>
                </c:pt>
                <c:pt idx="80">
                  <c:v>-2.7630945465666361</c:v>
                </c:pt>
                <c:pt idx="81">
                  <c:v>-2.7630945465666361</c:v>
                </c:pt>
                <c:pt idx="82">
                  <c:v>-2.7630945465666361</c:v>
                </c:pt>
                <c:pt idx="83">
                  <c:v>-2.7630945465666361</c:v>
                </c:pt>
                <c:pt idx="84">
                  <c:v>-2.7630945465666361</c:v>
                </c:pt>
                <c:pt idx="85">
                  <c:v>-2.7630945465666361</c:v>
                </c:pt>
                <c:pt idx="86">
                  <c:v>-2.7630945465666361</c:v>
                </c:pt>
                <c:pt idx="87">
                  <c:v>-2.7630945465666361</c:v>
                </c:pt>
                <c:pt idx="88">
                  <c:v>-2.7630945465666361</c:v>
                </c:pt>
                <c:pt idx="89">
                  <c:v>-2.7630945465666361</c:v>
                </c:pt>
                <c:pt idx="90">
                  <c:v>-2.7630945465666361</c:v>
                </c:pt>
                <c:pt idx="91">
                  <c:v>-2.7630945465666361</c:v>
                </c:pt>
                <c:pt idx="92">
                  <c:v>-2.7630945465666361</c:v>
                </c:pt>
                <c:pt idx="93">
                  <c:v>-2.7630945465666361</c:v>
                </c:pt>
                <c:pt idx="94">
                  <c:v>-2.7630945465666361</c:v>
                </c:pt>
                <c:pt idx="95">
                  <c:v>-2.7630945465666361</c:v>
                </c:pt>
                <c:pt idx="96">
                  <c:v>-2.7630945465666361</c:v>
                </c:pt>
                <c:pt idx="97">
                  <c:v>-2.7630945465666361</c:v>
                </c:pt>
                <c:pt idx="98">
                  <c:v>-2.7630945465666361</c:v>
                </c:pt>
                <c:pt idx="99">
                  <c:v>-2.7630945465666361</c:v>
                </c:pt>
                <c:pt idx="100">
                  <c:v>-2.7630945465666361</c:v>
                </c:pt>
                <c:pt idx="101">
                  <c:v>-2.7630945465666361</c:v>
                </c:pt>
                <c:pt idx="102">
                  <c:v>-2.7630945465666361</c:v>
                </c:pt>
                <c:pt idx="103">
                  <c:v>-2.7630945465666361</c:v>
                </c:pt>
                <c:pt idx="104">
                  <c:v>-2.7630945465666361</c:v>
                </c:pt>
                <c:pt idx="105">
                  <c:v>-2.7630945465666361</c:v>
                </c:pt>
                <c:pt idx="106">
                  <c:v>-2.7630945465666361</c:v>
                </c:pt>
                <c:pt idx="107">
                  <c:v>-2.7630945465666361</c:v>
                </c:pt>
                <c:pt idx="108">
                  <c:v>-2.7630945465666361</c:v>
                </c:pt>
                <c:pt idx="109">
                  <c:v>-2.7630945465666361</c:v>
                </c:pt>
                <c:pt idx="110">
                  <c:v>-2.7630945465666361</c:v>
                </c:pt>
                <c:pt idx="111">
                  <c:v>-2.7630945465666361</c:v>
                </c:pt>
                <c:pt idx="112">
                  <c:v>-2.7630945465666361</c:v>
                </c:pt>
                <c:pt idx="113">
                  <c:v>-2.7630945465666361</c:v>
                </c:pt>
                <c:pt idx="114">
                  <c:v>-2.7630945465666361</c:v>
                </c:pt>
                <c:pt idx="115">
                  <c:v>-2.7630945465666361</c:v>
                </c:pt>
                <c:pt idx="116">
                  <c:v>-2.7630945465666361</c:v>
                </c:pt>
                <c:pt idx="117">
                  <c:v>-2.7630945465666361</c:v>
                </c:pt>
                <c:pt idx="118">
                  <c:v>-2.7630945465666361</c:v>
                </c:pt>
                <c:pt idx="119">
                  <c:v>-2.7630945465666361</c:v>
                </c:pt>
                <c:pt idx="120">
                  <c:v>-2.7630945465666361</c:v>
                </c:pt>
                <c:pt idx="121">
                  <c:v>-2.7630945465666361</c:v>
                </c:pt>
                <c:pt idx="122">
                  <c:v>-2.7630945465666361</c:v>
                </c:pt>
                <c:pt idx="123">
                  <c:v>-2.7630945465666361</c:v>
                </c:pt>
                <c:pt idx="124">
                  <c:v>-2.7630945465666361</c:v>
                </c:pt>
                <c:pt idx="125">
                  <c:v>-2.7630945465666361</c:v>
                </c:pt>
                <c:pt idx="126">
                  <c:v>-2.7630945465666361</c:v>
                </c:pt>
                <c:pt idx="127">
                  <c:v>-2.7630945465666361</c:v>
                </c:pt>
                <c:pt idx="128">
                  <c:v>-2.7630945465666361</c:v>
                </c:pt>
                <c:pt idx="129">
                  <c:v>-2.7630945465666361</c:v>
                </c:pt>
                <c:pt idx="130">
                  <c:v>-2.7630945465666361</c:v>
                </c:pt>
                <c:pt idx="131">
                  <c:v>-2.7630945465666361</c:v>
                </c:pt>
                <c:pt idx="132">
                  <c:v>-2.7630945465666361</c:v>
                </c:pt>
                <c:pt idx="133">
                  <c:v>-2.7630945465666361</c:v>
                </c:pt>
                <c:pt idx="134">
                  <c:v>-2.7630945465666361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0.83363579149412448</c:v>
                </c:pt>
                <c:pt idx="1">
                  <c:v>1.6916658137172389</c:v>
                </c:pt>
                <c:pt idx="2">
                  <c:v>2.5397329992429598</c:v>
                </c:pt>
                <c:pt idx="3">
                  <c:v>3.3229764377664637</c:v>
                </c:pt>
                <c:pt idx="4">
                  <c:v>4.1333960557873501</c:v>
                </c:pt>
                <c:pt idx="5">
                  <c:v>5.0139112303254878</c:v>
                </c:pt>
                <c:pt idx="6">
                  <c:v>5.8191449540799729</c:v>
                </c:pt>
                <c:pt idx="7">
                  <c:v>6.6206871823624267</c:v>
                </c:pt>
                <c:pt idx="8">
                  <c:v>7.4170791035177093</c:v>
                </c:pt>
                <c:pt idx="9">
                  <c:v>8.2292437599325297</c:v>
                </c:pt>
                <c:pt idx="10">
                  <c:v>9.0285761736498724</c:v>
                </c:pt>
                <c:pt idx="11">
                  <c:v>9.8031299674585188</c:v>
                </c:pt>
                <c:pt idx="12">
                  <c:v>10.562622874782024</c:v>
                </c:pt>
                <c:pt idx="13">
                  <c:v>11.406877405490544</c:v>
                </c:pt>
                <c:pt idx="14">
                  <c:v>12.258767912341611</c:v>
                </c:pt>
                <c:pt idx="15">
                  <c:v>13.077378791038271</c:v>
                </c:pt>
                <c:pt idx="16">
                  <c:v>13.943895302349809</c:v>
                </c:pt>
                <c:pt idx="17">
                  <c:v>14.804234691634775</c:v>
                </c:pt>
                <c:pt idx="18">
                  <c:v>15.635605899804293</c:v>
                </c:pt>
                <c:pt idx="19">
                  <c:v>16.520034225648367</c:v>
                </c:pt>
                <c:pt idx="20">
                  <c:v>17.385003890634124</c:v>
                </c:pt>
                <c:pt idx="21">
                  <c:v>18.205109608863729</c:v>
                </c:pt>
                <c:pt idx="22">
                  <c:v>19.050247922790899</c:v>
                </c:pt>
                <c:pt idx="23">
                  <c:v>19.857216869089669</c:v>
                </c:pt>
                <c:pt idx="24">
                  <c:v>20.720974732437092</c:v>
                </c:pt>
                <c:pt idx="25">
                  <c:v>21.535805466523211</c:v>
                </c:pt>
                <c:pt idx="26">
                  <c:v>22.325021179204079</c:v>
                </c:pt>
                <c:pt idx="27">
                  <c:v>23.135459482393216</c:v>
                </c:pt>
                <c:pt idx="28">
                  <c:v>24.027626136548793</c:v>
                </c:pt>
                <c:pt idx="29">
                  <c:v>24.971930814478412</c:v>
                </c:pt>
                <c:pt idx="30">
                  <c:v>25.891257759755867</c:v>
                </c:pt>
                <c:pt idx="31">
                  <c:v>26.853729074677481</c:v>
                </c:pt>
                <c:pt idx="32">
                  <c:v>27.741774640211776</c:v>
                </c:pt>
                <c:pt idx="33">
                  <c:v>28.597499140879272</c:v>
                </c:pt>
                <c:pt idx="34">
                  <c:v>29.442515349519454</c:v>
                </c:pt>
                <c:pt idx="35">
                  <c:v>30.32503916309301</c:v>
                </c:pt>
                <c:pt idx="36">
                  <c:v>31.320034252993391</c:v>
                </c:pt>
                <c:pt idx="37">
                  <c:v>32.275915452197502</c:v>
                </c:pt>
                <c:pt idx="38">
                  <c:v>33.154084503041751</c:v>
                </c:pt>
                <c:pt idx="39">
                  <c:v>33.978421124306216</c:v>
                </c:pt>
                <c:pt idx="40">
                  <c:v>34.810541675387405</c:v>
                </c:pt>
                <c:pt idx="41">
                  <c:v>35.676852863534158</c:v>
                </c:pt>
                <c:pt idx="42">
                  <c:v>36.568660528610927</c:v>
                </c:pt>
                <c:pt idx="43">
                  <c:v>37.417773296493209</c:v>
                </c:pt>
                <c:pt idx="44">
                  <c:v>38.305338909365894</c:v>
                </c:pt>
                <c:pt idx="45">
                  <c:v>39.136144348445988</c:v>
                </c:pt>
                <c:pt idx="46">
                  <c:v>39.903321233246075</c:v>
                </c:pt>
                <c:pt idx="47">
                  <c:v>40.648835457789545</c:v>
                </c:pt>
                <c:pt idx="48">
                  <c:v>41.439099666190366</c:v>
                </c:pt>
                <c:pt idx="49">
                  <c:v>42.357587710931092</c:v>
                </c:pt>
                <c:pt idx="50">
                  <c:v>43.338834192367173</c:v>
                </c:pt>
                <c:pt idx="51">
                  <c:v>44.332136125894337</c:v>
                </c:pt>
                <c:pt idx="52">
                  <c:v>45.240367831390827</c:v>
                </c:pt>
                <c:pt idx="53">
                  <c:v>46.149878446438336</c:v>
                </c:pt>
                <c:pt idx="54">
                  <c:v>47.037861674998112</c:v>
                </c:pt>
                <c:pt idx="55">
                  <c:v>47.902458032647267</c:v>
                </c:pt>
                <c:pt idx="56">
                  <c:v>48.75305371534192</c:v>
                </c:pt>
                <c:pt idx="57">
                  <c:v>49.583680022753178</c:v>
                </c:pt>
                <c:pt idx="58">
                  <c:v>50.462393962053504</c:v>
                </c:pt>
                <c:pt idx="59">
                  <c:v>51.399437633675234</c:v>
                </c:pt>
                <c:pt idx="60">
                  <c:v>52.333275479910881</c:v>
                </c:pt>
                <c:pt idx="61">
                  <c:v>53.333458574031489</c:v>
                </c:pt>
                <c:pt idx="62">
                  <c:v>54.195715289860154</c:v>
                </c:pt>
                <c:pt idx="63">
                  <c:v>55.166117401025694</c:v>
                </c:pt>
                <c:pt idx="64">
                  <c:v>56.184356007204308</c:v>
                </c:pt>
                <c:pt idx="65">
                  <c:v>57.172540717313836</c:v>
                </c:pt>
                <c:pt idx="66">
                  <c:v>58.134692687136365</c:v>
                </c:pt>
                <c:pt idx="67">
                  <c:v>59.124181765044362</c:v>
                </c:pt>
                <c:pt idx="68">
                  <c:v>60.061159786083714</c:v>
                </c:pt>
                <c:pt idx="69">
                  <c:v>60.994888060525739</c:v>
                </c:pt>
                <c:pt idx="70">
                  <c:v>61.882301600257222</c:v>
                </c:pt>
                <c:pt idx="71">
                  <c:v>62.779148390109569</c:v>
                </c:pt>
                <c:pt idx="72">
                  <c:v>63.69125761695998</c:v>
                </c:pt>
                <c:pt idx="73">
                  <c:v>64.729181432257207</c:v>
                </c:pt>
                <c:pt idx="74">
                  <c:v>65.813164993204836</c:v>
                </c:pt>
                <c:pt idx="75">
                  <c:v>66.83213352988183</c:v>
                </c:pt>
                <c:pt idx="76">
                  <c:v>67.796872699571551</c:v>
                </c:pt>
                <c:pt idx="77">
                  <c:v>68.671883286753214</c:v>
                </c:pt>
                <c:pt idx="78">
                  <c:v>69.528092351063535</c:v>
                </c:pt>
                <c:pt idx="79">
                  <c:v>70.414149219801999</c:v>
                </c:pt>
                <c:pt idx="80">
                  <c:v>71.307697871114627</c:v>
                </c:pt>
                <c:pt idx="81">
                  <c:v>72.191275401223123</c:v>
                </c:pt>
                <c:pt idx="82">
                  <c:v>73.106767311822836</c:v>
                </c:pt>
                <c:pt idx="83">
                  <c:v>73.978002746190583</c:v>
                </c:pt>
                <c:pt idx="84">
                  <c:v>74.811976281928708</c:v>
                </c:pt>
                <c:pt idx="85">
                  <c:v>75.605452830128854</c:v>
                </c:pt>
                <c:pt idx="86">
                  <c:v>76.39317011663276</c:v>
                </c:pt>
                <c:pt idx="87">
                  <c:v>77.192940990928832</c:v>
                </c:pt>
                <c:pt idx="88">
                  <c:v>78.040685563825022</c:v>
                </c:pt>
                <c:pt idx="89">
                  <c:v>78.864177611686173</c:v>
                </c:pt>
                <c:pt idx="90">
                  <c:v>79.621596366214789</c:v>
                </c:pt>
                <c:pt idx="91">
                  <c:v>80.317905339443456</c:v>
                </c:pt>
                <c:pt idx="92">
                  <c:v>81.028196628465764</c:v>
                </c:pt>
                <c:pt idx="93">
                  <c:v>81.740802132797953</c:v>
                </c:pt>
                <c:pt idx="94">
                  <c:v>82.446736485021319</c:v>
                </c:pt>
                <c:pt idx="95">
                  <c:v>83.042435788128472</c:v>
                </c:pt>
                <c:pt idx="96">
                  <c:v>83.751377896747613</c:v>
                </c:pt>
                <c:pt idx="97">
                  <c:v>84.479578352663552</c:v>
                </c:pt>
                <c:pt idx="98">
                  <c:v>85.2582438005836</c:v>
                </c:pt>
                <c:pt idx="99">
                  <c:v>85.931764313796037</c:v>
                </c:pt>
                <c:pt idx="100">
                  <c:v>86.569778660277962</c:v>
                </c:pt>
                <c:pt idx="101">
                  <c:v>87.232548158333287</c:v>
                </c:pt>
                <c:pt idx="102">
                  <c:v>87.860265484320081</c:v>
                </c:pt>
                <c:pt idx="103">
                  <c:v>88.500955295879976</c:v>
                </c:pt>
                <c:pt idx="104">
                  <c:v>89.091668578162199</c:v>
                </c:pt>
                <c:pt idx="105">
                  <c:v>89.68913325103965</c:v>
                </c:pt>
                <c:pt idx="106">
                  <c:v>90.2659694229487</c:v>
                </c:pt>
                <c:pt idx="107">
                  <c:v>90.85257241048518</c:v>
                </c:pt>
                <c:pt idx="108">
                  <c:v>91.434462352797496</c:v>
                </c:pt>
                <c:pt idx="109">
                  <c:v>91.996234745567847</c:v>
                </c:pt>
                <c:pt idx="110">
                  <c:v>92.570944117826699</c:v>
                </c:pt>
                <c:pt idx="111">
                  <c:v>93.144667351719676</c:v>
                </c:pt>
                <c:pt idx="112">
                  <c:v>93.728218716965785</c:v>
                </c:pt>
                <c:pt idx="113">
                  <c:v>94.318128916352407</c:v>
                </c:pt>
                <c:pt idx="114">
                  <c:v>94.932685758725327</c:v>
                </c:pt>
                <c:pt idx="115">
                  <c:v>95.54327194762368</c:v>
                </c:pt>
                <c:pt idx="116">
                  <c:v>96.133074853817789</c:v>
                </c:pt>
                <c:pt idx="117">
                  <c:v>96.710186829936916</c:v>
                </c:pt>
                <c:pt idx="118">
                  <c:v>97.327059615346343</c:v>
                </c:pt>
                <c:pt idx="119">
                  <c:v>97.938399686243002</c:v>
                </c:pt>
                <c:pt idx="120">
                  <c:v>98.533049925019938</c:v>
                </c:pt>
                <c:pt idx="121">
                  <c:v>99.170636058294704</c:v>
                </c:pt>
                <c:pt idx="122">
                  <c:v>99.810536587816003</c:v>
                </c:pt>
                <c:pt idx="123">
                  <c:v>100.42153600247622</c:v>
                </c:pt>
                <c:pt idx="124">
                  <c:v>101.04019301121312</c:v>
                </c:pt>
                <c:pt idx="125">
                  <c:v>101.65683108789956</c:v>
                </c:pt>
                <c:pt idx="126">
                  <c:v>102.23769454522522</c:v>
                </c:pt>
                <c:pt idx="127">
                  <c:v>102.85081686381294</c:v>
                </c:pt>
                <c:pt idx="128">
                  <c:v>103.48888266326213</c:v>
                </c:pt>
                <c:pt idx="129">
                  <c:v>104.11749255997194</c:v>
                </c:pt>
                <c:pt idx="130">
                  <c:v>104.75526516016247</c:v>
                </c:pt>
                <c:pt idx="131">
                  <c:v>105.36565327096157</c:v>
                </c:pt>
                <c:pt idx="132">
                  <c:v>105.92531787409155</c:v>
                </c:pt>
                <c:pt idx="133">
                  <c:v>106.47767774851776</c:v>
                </c:pt>
                <c:pt idx="134">
                  <c:v>107.05269454217883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2.6482635260386189</c:v>
                </c:pt>
                <c:pt idx="2">
                  <c:v>5.2040486202715357</c:v>
                </c:pt>
                <c:pt idx="3">
                  <c:v>7.5924628911920777</c:v>
                </c:pt>
                <c:pt idx="4">
                  <c:v>9.7158619709295309</c:v>
                </c:pt>
                <c:pt idx="5">
                  <c:v>11.774156874299983</c:v>
                </c:pt>
                <c:pt idx="6">
                  <c:v>13.840415201813364</c:v>
                </c:pt>
                <c:pt idx="7">
                  <c:v>15.656747377260558</c:v>
                </c:pt>
                <c:pt idx="8">
                  <c:v>17.363838890631364</c:v>
                </c:pt>
                <c:pt idx="9">
                  <c:v>18.965754515475915</c:v>
                </c:pt>
                <c:pt idx="10">
                  <c:v>20.50668112893684</c:v>
                </c:pt>
                <c:pt idx="11">
                  <c:v>21.931818617040641</c:v>
                </c:pt>
                <c:pt idx="12">
                  <c:v>23.243719700997822</c:v>
                </c:pt>
                <c:pt idx="13">
                  <c:v>24.463272878376394</c:v>
                </c:pt>
                <c:pt idx="14">
                  <c:v>25.706199965879158</c:v>
                </c:pt>
                <c:pt idx="15">
                  <c:v>26.880491328461424</c:v>
                </c:pt>
                <c:pt idx="16">
                  <c:v>27.949597812462748</c:v>
                </c:pt>
                <c:pt idx="17">
                  <c:v>28.997114825836512</c:v>
                </c:pt>
                <c:pt idx="18">
                  <c:v>29.972674672375383</c:v>
                </c:pt>
                <c:pt idx="19">
                  <c:v>30.863168074647213</c:v>
                </c:pt>
                <c:pt idx="20">
                  <c:v>31.737733981866633</c:v>
                </c:pt>
                <c:pt idx="21">
                  <c:v>32.541430010791792</c:v>
                </c:pt>
                <c:pt idx="22">
                  <c:v>33.263985420055256</c:v>
                </c:pt>
                <c:pt idx="23">
                  <c:v>33.965505338251297</c:v>
                </c:pt>
                <c:pt idx="24">
                  <c:v>34.613681667768795</c:v>
                </c:pt>
                <c:pt idx="25">
                  <c:v>35.238354648629176</c:v>
                </c:pt>
                <c:pt idx="26">
                  <c:v>35.794831103500194</c:v>
                </c:pt>
                <c:pt idx="27">
                  <c:v>36.31735640638535</c:v>
                </c:pt>
                <c:pt idx="28">
                  <c:v>36.826233670520999</c:v>
                </c:pt>
                <c:pt idx="29">
                  <c:v>37.331014640712304</c:v>
                </c:pt>
                <c:pt idx="30">
                  <c:v>37.804057741244172</c:v>
                </c:pt>
                <c:pt idx="31">
                  <c:v>38.229582159873893</c:v>
                </c:pt>
                <c:pt idx="32">
                  <c:v>38.639717908605625</c:v>
                </c:pt>
                <c:pt idx="33">
                  <c:v>38.997740418645513</c:v>
                </c:pt>
                <c:pt idx="34">
                  <c:v>39.321889876258005</c:v>
                </c:pt>
                <c:pt idx="35">
                  <c:v>39.621713967497463</c:v>
                </c:pt>
                <c:pt idx="36">
                  <c:v>39.917810738363336</c:v>
                </c:pt>
                <c:pt idx="37">
                  <c:v>40.213101592580664</c:v>
                </c:pt>
                <c:pt idx="38">
                  <c:v>40.477910921591722</c:v>
                </c:pt>
                <c:pt idx="39">
                  <c:v>40.71453171802748</c:v>
                </c:pt>
                <c:pt idx="40">
                  <c:v>40.932161495828517</c:v>
                </c:pt>
                <c:pt idx="41">
                  <c:v>41.138476037585285</c:v>
                </c:pt>
                <c:pt idx="42">
                  <c:v>41.336165332052907</c:v>
                </c:pt>
                <c:pt idx="43">
                  <c:v>41.523152977660281</c:v>
                </c:pt>
                <c:pt idx="44">
                  <c:v>41.690806946222004</c:v>
                </c:pt>
                <c:pt idx="45">
                  <c:v>41.848948567485273</c:v>
                </c:pt>
                <c:pt idx="46">
                  <c:v>41.987681041457883</c:v>
                </c:pt>
                <c:pt idx="47">
                  <c:v>42.112640421013189</c:v>
                </c:pt>
                <c:pt idx="48">
                  <c:v>42.229722429393981</c:v>
                </c:pt>
                <c:pt idx="49">
                  <c:v>42.345691426263095</c:v>
                </c:pt>
                <c:pt idx="50">
                  <c:v>42.463340671909059</c:v>
                </c:pt>
                <c:pt idx="51">
                  <c:v>42.573613546082036</c:v>
                </c:pt>
                <c:pt idx="52">
                  <c:v>42.672194147669124</c:v>
                </c:pt>
                <c:pt idx="53">
                  <c:v>42.760534438656812</c:v>
                </c:pt>
                <c:pt idx="54">
                  <c:v>42.843688293122817</c:v>
                </c:pt>
                <c:pt idx="55">
                  <c:v>42.921408630178796</c:v>
                </c:pt>
                <c:pt idx="56">
                  <c:v>42.994111818890481</c:v>
                </c:pt>
                <c:pt idx="57">
                  <c:v>43.06439759749238</c:v>
                </c:pt>
                <c:pt idx="58">
                  <c:v>43.129663192138075</c:v>
                </c:pt>
                <c:pt idx="59">
                  <c:v>43.194153976314702</c:v>
                </c:pt>
                <c:pt idx="60">
                  <c:v>43.254371418080659</c:v>
                </c:pt>
                <c:pt idx="61">
                  <c:v>43.311336758411592</c:v>
                </c:pt>
                <c:pt idx="62">
                  <c:v>43.363293459805128</c:v>
                </c:pt>
                <c:pt idx="63">
                  <c:v>43.408233559895059</c:v>
                </c:pt>
                <c:pt idx="64">
                  <c:v>43.453346864504248</c:v>
                </c:pt>
                <c:pt idx="65">
                  <c:v>43.494646088561687</c:v>
                </c:pt>
                <c:pt idx="66">
                  <c:v>43.53382018014738</c:v>
                </c:pt>
                <c:pt idx="67">
                  <c:v>43.570133976503747</c:v>
                </c:pt>
                <c:pt idx="68">
                  <c:v>43.60530168817295</c:v>
                </c:pt>
                <c:pt idx="69">
                  <c:v>43.637825141137107</c:v>
                </c:pt>
                <c:pt idx="70">
                  <c:v>43.66831088340637</c:v>
                </c:pt>
                <c:pt idx="71">
                  <c:v>43.695850383625348</c:v>
                </c:pt>
                <c:pt idx="72">
                  <c:v>43.720753167907894</c:v>
                </c:pt>
                <c:pt idx="73">
                  <c:v>43.745391438817158</c:v>
                </c:pt>
                <c:pt idx="74">
                  <c:v>43.770021393152426</c:v>
                </c:pt>
                <c:pt idx="75">
                  <c:v>43.794622355766641</c:v>
                </c:pt>
                <c:pt idx="76">
                  <c:v>43.817058554830474</c:v>
                </c:pt>
                <c:pt idx="77">
                  <c:v>43.838188823698083</c:v>
                </c:pt>
                <c:pt idx="78">
                  <c:v>43.857389642764495</c:v>
                </c:pt>
                <c:pt idx="79">
                  <c:v>43.875213158799731</c:v>
                </c:pt>
                <c:pt idx="80">
                  <c:v>43.893542866885632</c:v>
                </c:pt>
                <c:pt idx="81">
                  <c:v>43.911118257463976</c:v>
                </c:pt>
                <c:pt idx="82">
                  <c:v>43.928496278652226</c:v>
                </c:pt>
                <c:pt idx="83">
                  <c:v>43.94469798769213</c:v>
                </c:pt>
                <c:pt idx="84">
                  <c:v>43.9595342246377</c:v>
                </c:pt>
                <c:pt idx="85">
                  <c:v>43.97402168954914</c:v>
                </c:pt>
                <c:pt idx="86">
                  <c:v>43.988140334499626</c:v>
                </c:pt>
                <c:pt idx="87">
                  <c:v>44.002496276352183</c:v>
                </c:pt>
                <c:pt idx="88">
                  <c:v>44.016501561714371</c:v>
                </c:pt>
                <c:pt idx="89">
                  <c:v>44.030621945056957</c:v>
                </c:pt>
                <c:pt idx="90">
                  <c:v>44.044866636876542</c:v>
                </c:pt>
                <c:pt idx="91">
                  <c:v>44.05838631152735</c:v>
                </c:pt>
                <c:pt idx="92">
                  <c:v>44.071112383846376</c:v>
                </c:pt>
                <c:pt idx="93">
                  <c:v>44.083636906790652</c:v>
                </c:pt>
                <c:pt idx="94">
                  <c:v>44.09585680363967</c:v>
                </c:pt>
                <c:pt idx="95">
                  <c:v>44.107540709186502</c:v>
                </c:pt>
                <c:pt idx="96">
                  <c:v>44.118020343605117</c:v>
                </c:pt>
                <c:pt idx="97">
                  <c:v>44.129892407057007</c:v>
                </c:pt>
                <c:pt idx="98">
                  <c:v>44.141731564182685</c:v>
                </c:pt>
                <c:pt idx="99">
                  <c:v>44.154041859559733</c:v>
                </c:pt>
                <c:pt idx="100">
                  <c:v>44.164908130019079</c:v>
                </c:pt>
                <c:pt idx="101">
                  <c:v>44.175049884082561</c:v>
                </c:pt>
                <c:pt idx="102">
                  <c:v>44.184970292958376</c:v>
                </c:pt>
                <c:pt idx="103">
                  <c:v>44.194241638212866</c:v>
                </c:pt>
                <c:pt idx="104">
                  <c:v>44.203458228730561</c:v>
                </c:pt>
                <c:pt idx="105">
                  <c:v>44.211511246706202</c:v>
                </c:pt>
                <c:pt idx="106">
                  <c:v>44.219240349959783</c:v>
                </c:pt>
                <c:pt idx="107">
                  <c:v>44.226248255450649</c:v>
                </c:pt>
                <c:pt idx="108">
                  <c:v>44.233029266364689</c:v>
                </c:pt>
                <c:pt idx="109">
                  <c:v>44.239862009905103</c:v>
                </c:pt>
                <c:pt idx="110">
                  <c:v>44.246529181433182</c:v>
                </c:pt>
                <c:pt idx="111">
                  <c:v>44.253316103864755</c:v>
                </c:pt>
                <c:pt idx="112">
                  <c:v>44.259639135896116</c:v>
                </c:pt>
                <c:pt idx="113">
                  <c:v>44.265940013010002</c:v>
                </c:pt>
                <c:pt idx="114">
                  <c:v>44.27263386673993</c:v>
                </c:pt>
                <c:pt idx="115">
                  <c:v>44.279556324670757</c:v>
                </c:pt>
                <c:pt idx="116">
                  <c:v>44.286543720925089</c:v>
                </c:pt>
                <c:pt idx="117">
                  <c:v>44.293239242222775</c:v>
                </c:pt>
                <c:pt idx="118">
                  <c:v>44.299772541045932</c:v>
                </c:pt>
                <c:pt idx="119">
                  <c:v>44.307123616696721</c:v>
                </c:pt>
                <c:pt idx="120">
                  <c:v>44.314133923622755</c:v>
                </c:pt>
                <c:pt idx="121">
                  <c:v>44.320565988963914</c:v>
                </c:pt>
                <c:pt idx="122">
                  <c:v>44.327255967888952</c:v>
                </c:pt>
                <c:pt idx="123">
                  <c:v>44.334209222740903</c:v>
                </c:pt>
                <c:pt idx="124">
                  <c:v>44.340555022702397</c:v>
                </c:pt>
                <c:pt idx="125">
                  <c:v>44.346543351426867</c:v>
                </c:pt>
                <c:pt idx="126">
                  <c:v>44.352328035288757</c:v>
                </c:pt>
                <c:pt idx="127">
                  <c:v>44.357370488703928</c:v>
                </c:pt>
                <c:pt idx="128">
                  <c:v>44.36322924853669</c:v>
                </c:pt>
                <c:pt idx="129">
                  <c:v>44.369733334842913</c:v>
                </c:pt>
                <c:pt idx="130">
                  <c:v>44.375764951507257</c:v>
                </c:pt>
                <c:pt idx="131">
                  <c:v>44.382199400259132</c:v>
                </c:pt>
                <c:pt idx="132">
                  <c:v>44.388236544894305</c:v>
                </c:pt>
                <c:pt idx="133">
                  <c:v>44.393431981107504</c:v>
                </c:pt>
                <c:pt idx="134">
                  <c:v>44.398627681224276</c:v>
                </c:pt>
                <c:pt idx="135">
                  <c:v>44.404015238988059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45376</c:v>
                </c:pt>
                <c:pt idx="1">
                  <c:v>45377</c:v>
                </c:pt>
                <c:pt idx="2">
                  <c:v>45378</c:v>
                </c:pt>
                <c:pt idx="3">
                  <c:v>45379</c:v>
                </c:pt>
                <c:pt idx="4">
                  <c:v>45380</c:v>
                </c:pt>
                <c:pt idx="5">
                  <c:v>45381</c:v>
                </c:pt>
                <c:pt idx="6">
                  <c:v>45382</c:v>
                </c:pt>
                <c:pt idx="7">
                  <c:v>45383</c:v>
                </c:pt>
                <c:pt idx="8">
                  <c:v>45384</c:v>
                </c:pt>
                <c:pt idx="9">
                  <c:v>45385</c:v>
                </c:pt>
                <c:pt idx="10">
                  <c:v>45386</c:v>
                </c:pt>
                <c:pt idx="11">
                  <c:v>45387</c:v>
                </c:pt>
                <c:pt idx="12">
                  <c:v>45388</c:v>
                </c:pt>
                <c:pt idx="13">
                  <c:v>45389</c:v>
                </c:pt>
                <c:pt idx="14">
                  <c:v>45390</c:v>
                </c:pt>
                <c:pt idx="15">
                  <c:v>45391</c:v>
                </c:pt>
                <c:pt idx="16">
                  <c:v>45392</c:v>
                </c:pt>
                <c:pt idx="17">
                  <c:v>45393</c:v>
                </c:pt>
                <c:pt idx="18">
                  <c:v>45394</c:v>
                </c:pt>
                <c:pt idx="19">
                  <c:v>45395</c:v>
                </c:pt>
                <c:pt idx="20">
                  <c:v>45396</c:v>
                </c:pt>
                <c:pt idx="21">
                  <c:v>45397</c:v>
                </c:pt>
                <c:pt idx="22">
                  <c:v>45398</c:v>
                </c:pt>
                <c:pt idx="23">
                  <c:v>45399</c:v>
                </c:pt>
                <c:pt idx="24">
                  <c:v>45400</c:v>
                </c:pt>
                <c:pt idx="25">
                  <c:v>45401</c:v>
                </c:pt>
                <c:pt idx="26">
                  <c:v>45402</c:v>
                </c:pt>
                <c:pt idx="27">
                  <c:v>45403</c:v>
                </c:pt>
                <c:pt idx="28">
                  <c:v>45404</c:v>
                </c:pt>
                <c:pt idx="29">
                  <c:v>45405</c:v>
                </c:pt>
                <c:pt idx="30">
                  <c:v>45406</c:v>
                </c:pt>
                <c:pt idx="31">
                  <c:v>45407</c:v>
                </c:pt>
                <c:pt idx="32">
                  <c:v>45408</c:v>
                </c:pt>
                <c:pt idx="33">
                  <c:v>45409</c:v>
                </c:pt>
                <c:pt idx="34">
                  <c:v>45410</c:v>
                </c:pt>
                <c:pt idx="35">
                  <c:v>45411</c:v>
                </c:pt>
                <c:pt idx="36">
                  <c:v>45412</c:v>
                </c:pt>
                <c:pt idx="37">
                  <c:v>45413</c:v>
                </c:pt>
                <c:pt idx="38">
                  <c:v>45414</c:v>
                </c:pt>
                <c:pt idx="39">
                  <c:v>45415</c:v>
                </c:pt>
                <c:pt idx="40">
                  <c:v>45416</c:v>
                </c:pt>
                <c:pt idx="41">
                  <c:v>45417</c:v>
                </c:pt>
                <c:pt idx="42">
                  <c:v>45418</c:v>
                </c:pt>
                <c:pt idx="43">
                  <c:v>45419</c:v>
                </c:pt>
                <c:pt idx="44">
                  <c:v>45420</c:v>
                </c:pt>
                <c:pt idx="45">
                  <c:v>45421</c:v>
                </c:pt>
                <c:pt idx="46">
                  <c:v>45422</c:v>
                </c:pt>
                <c:pt idx="47">
                  <c:v>45423</c:v>
                </c:pt>
                <c:pt idx="48">
                  <c:v>45424</c:v>
                </c:pt>
                <c:pt idx="49">
                  <c:v>45425</c:v>
                </c:pt>
                <c:pt idx="50">
                  <c:v>45426</c:v>
                </c:pt>
                <c:pt idx="51">
                  <c:v>45427</c:v>
                </c:pt>
                <c:pt idx="52">
                  <c:v>45428</c:v>
                </c:pt>
                <c:pt idx="53">
                  <c:v>45429</c:v>
                </c:pt>
                <c:pt idx="54">
                  <c:v>45430</c:v>
                </c:pt>
                <c:pt idx="55">
                  <c:v>45431</c:v>
                </c:pt>
                <c:pt idx="56">
                  <c:v>45432</c:v>
                </c:pt>
                <c:pt idx="57">
                  <c:v>45433</c:v>
                </c:pt>
                <c:pt idx="58">
                  <c:v>45434</c:v>
                </c:pt>
                <c:pt idx="59">
                  <c:v>45435</c:v>
                </c:pt>
                <c:pt idx="60">
                  <c:v>45436</c:v>
                </c:pt>
                <c:pt idx="61">
                  <c:v>45437</c:v>
                </c:pt>
                <c:pt idx="62">
                  <c:v>45438</c:v>
                </c:pt>
                <c:pt idx="63">
                  <c:v>45439</c:v>
                </c:pt>
                <c:pt idx="64">
                  <c:v>45440</c:v>
                </c:pt>
                <c:pt idx="65">
                  <c:v>45441</c:v>
                </c:pt>
                <c:pt idx="66">
                  <c:v>45442</c:v>
                </c:pt>
                <c:pt idx="67">
                  <c:v>45443</c:v>
                </c:pt>
                <c:pt idx="68">
                  <c:v>45444</c:v>
                </c:pt>
                <c:pt idx="69">
                  <c:v>45445</c:v>
                </c:pt>
                <c:pt idx="70">
                  <c:v>45446</c:v>
                </c:pt>
                <c:pt idx="71">
                  <c:v>45447</c:v>
                </c:pt>
                <c:pt idx="72">
                  <c:v>45448</c:v>
                </c:pt>
                <c:pt idx="73">
                  <c:v>45449</c:v>
                </c:pt>
                <c:pt idx="74">
                  <c:v>45450</c:v>
                </c:pt>
                <c:pt idx="75">
                  <c:v>45451</c:v>
                </c:pt>
                <c:pt idx="76">
                  <c:v>45452</c:v>
                </c:pt>
                <c:pt idx="77">
                  <c:v>45453</c:v>
                </c:pt>
                <c:pt idx="78">
                  <c:v>45454</c:v>
                </c:pt>
                <c:pt idx="79">
                  <c:v>45455</c:v>
                </c:pt>
                <c:pt idx="80">
                  <c:v>45456</c:v>
                </c:pt>
                <c:pt idx="81">
                  <c:v>45457</c:v>
                </c:pt>
                <c:pt idx="82">
                  <c:v>45458</c:v>
                </c:pt>
                <c:pt idx="83">
                  <c:v>45459</c:v>
                </c:pt>
                <c:pt idx="84">
                  <c:v>45460</c:v>
                </c:pt>
                <c:pt idx="85">
                  <c:v>45461</c:v>
                </c:pt>
                <c:pt idx="86">
                  <c:v>45462</c:v>
                </c:pt>
                <c:pt idx="87">
                  <c:v>45463</c:v>
                </c:pt>
                <c:pt idx="88">
                  <c:v>45464</c:v>
                </c:pt>
                <c:pt idx="89">
                  <c:v>45465</c:v>
                </c:pt>
                <c:pt idx="90">
                  <c:v>45466</c:v>
                </c:pt>
                <c:pt idx="91">
                  <c:v>45467</c:v>
                </c:pt>
                <c:pt idx="92">
                  <c:v>45468</c:v>
                </c:pt>
                <c:pt idx="93">
                  <c:v>45469</c:v>
                </c:pt>
                <c:pt idx="94">
                  <c:v>45470</c:v>
                </c:pt>
                <c:pt idx="95">
                  <c:v>45471</c:v>
                </c:pt>
                <c:pt idx="96">
                  <c:v>45472</c:v>
                </c:pt>
                <c:pt idx="97">
                  <c:v>45473</c:v>
                </c:pt>
                <c:pt idx="98">
                  <c:v>45474</c:v>
                </c:pt>
                <c:pt idx="99">
                  <c:v>45475</c:v>
                </c:pt>
                <c:pt idx="100">
                  <c:v>45476</c:v>
                </c:pt>
                <c:pt idx="101">
                  <c:v>45477</c:v>
                </c:pt>
                <c:pt idx="102">
                  <c:v>45478</c:v>
                </c:pt>
                <c:pt idx="103">
                  <c:v>45479</c:v>
                </c:pt>
                <c:pt idx="104">
                  <c:v>45480</c:v>
                </c:pt>
                <c:pt idx="105">
                  <c:v>45481</c:v>
                </c:pt>
                <c:pt idx="106">
                  <c:v>45482</c:v>
                </c:pt>
                <c:pt idx="107">
                  <c:v>45483</c:v>
                </c:pt>
                <c:pt idx="108">
                  <c:v>45484</c:v>
                </c:pt>
                <c:pt idx="109">
                  <c:v>45485</c:v>
                </c:pt>
                <c:pt idx="110">
                  <c:v>45486</c:v>
                </c:pt>
                <c:pt idx="111">
                  <c:v>45487</c:v>
                </c:pt>
                <c:pt idx="112">
                  <c:v>45488</c:v>
                </c:pt>
                <c:pt idx="113">
                  <c:v>45489</c:v>
                </c:pt>
                <c:pt idx="114">
                  <c:v>45490</c:v>
                </c:pt>
                <c:pt idx="115">
                  <c:v>45491</c:v>
                </c:pt>
                <c:pt idx="116">
                  <c:v>45492</c:v>
                </c:pt>
                <c:pt idx="117">
                  <c:v>45493</c:v>
                </c:pt>
                <c:pt idx="118">
                  <c:v>45494</c:v>
                </c:pt>
                <c:pt idx="119">
                  <c:v>45495</c:v>
                </c:pt>
                <c:pt idx="120">
                  <c:v>45496</c:v>
                </c:pt>
                <c:pt idx="121">
                  <c:v>45497</c:v>
                </c:pt>
                <c:pt idx="122">
                  <c:v>45498</c:v>
                </c:pt>
                <c:pt idx="123">
                  <c:v>45499</c:v>
                </c:pt>
                <c:pt idx="124">
                  <c:v>45500</c:v>
                </c:pt>
                <c:pt idx="125">
                  <c:v>45501</c:v>
                </c:pt>
                <c:pt idx="126">
                  <c:v>45502</c:v>
                </c:pt>
                <c:pt idx="127">
                  <c:v>45503</c:v>
                </c:pt>
                <c:pt idx="128">
                  <c:v>45504</c:v>
                </c:pt>
                <c:pt idx="129">
                  <c:v>45505</c:v>
                </c:pt>
                <c:pt idx="130">
                  <c:v>45506</c:v>
                </c:pt>
                <c:pt idx="131">
                  <c:v>45507</c:v>
                </c:pt>
                <c:pt idx="132">
                  <c:v>45508</c:v>
                </c:pt>
                <c:pt idx="133">
                  <c:v>45509</c:v>
                </c:pt>
                <c:pt idx="134">
                  <c:v>45510</c:v>
                </c:pt>
                <c:pt idx="135">
                  <c:v>45511</c:v>
                </c:pt>
                <c:pt idx="136">
                  <c:v>45512</c:v>
                </c:pt>
                <c:pt idx="137">
                  <c:v>45513</c:v>
                </c:pt>
                <c:pt idx="138">
                  <c:v>45514</c:v>
                </c:pt>
                <c:pt idx="139">
                  <c:v>45515</c:v>
                </c:pt>
                <c:pt idx="140">
                  <c:v>45516</c:v>
                </c:pt>
                <c:pt idx="141">
                  <c:v>45517</c:v>
                </c:pt>
                <c:pt idx="142">
                  <c:v>45518</c:v>
                </c:pt>
                <c:pt idx="143">
                  <c:v>45519</c:v>
                </c:pt>
                <c:pt idx="144">
                  <c:v>45520</c:v>
                </c:pt>
                <c:pt idx="145">
                  <c:v>45521</c:v>
                </c:pt>
                <c:pt idx="146">
                  <c:v>45522</c:v>
                </c:pt>
                <c:pt idx="147">
                  <c:v>45523</c:v>
                </c:pt>
                <c:pt idx="148">
                  <c:v>45524</c:v>
                </c:pt>
                <c:pt idx="149">
                  <c:v>45525</c:v>
                </c:pt>
                <c:pt idx="150">
                  <c:v>45526</c:v>
                </c:pt>
                <c:pt idx="151">
                  <c:v>45527</c:v>
                </c:pt>
                <c:pt idx="152">
                  <c:v>45528</c:v>
                </c:pt>
                <c:pt idx="153">
                  <c:v>45529</c:v>
                </c:pt>
                <c:pt idx="154">
                  <c:v>45530</c:v>
                </c:pt>
                <c:pt idx="155">
                  <c:v>45531</c:v>
                </c:pt>
                <c:pt idx="156">
                  <c:v>45532</c:v>
                </c:pt>
                <c:pt idx="157">
                  <c:v>45533</c:v>
                </c:pt>
                <c:pt idx="158">
                  <c:v>45534</c:v>
                </c:pt>
                <c:pt idx="159">
                  <c:v>45535</c:v>
                </c:pt>
                <c:pt idx="160">
                  <c:v>45536</c:v>
                </c:pt>
                <c:pt idx="161">
                  <c:v>45537</c:v>
                </c:pt>
                <c:pt idx="162">
                  <c:v>45538</c:v>
                </c:pt>
                <c:pt idx="163">
                  <c:v>45539</c:v>
                </c:pt>
                <c:pt idx="164">
                  <c:v>45540</c:v>
                </c:pt>
                <c:pt idx="165">
                  <c:v>45541</c:v>
                </c:pt>
                <c:pt idx="166">
                  <c:v>45542</c:v>
                </c:pt>
                <c:pt idx="167">
                  <c:v>45543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45549</c:v>
                </c:pt>
                <c:pt idx="174">
                  <c:v>45550</c:v>
                </c:pt>
                <c:pt idx="175">
                  <c:v>45551</c:v>
                </c:pt>
                <c:pt idx="176">
                  <c:v>45552</c:v>
                </c:pt>
                <c:pt idx="177">
                  <c:v>45553</c:v>
                </c:pt>
                <c:pt idx="178">
                  <c:v>45554</c:v>
                </c:pt>
                <c:pt idx="179">
                  <c:v>45555</c:v>
                </c:pt>
                <c:pt idx="180">
                  <c:v>45556</c:v>
                </c:pt>
                <c:pt idx="181">
                  <c:v>45557</c:v>
                </c:pt>
                <c:pt idx="182">
                  <c:v>45558</c:v>
                </c:pt>
                <c:pt idx="183">
                  <c:v>45559</c:v>
                </c:pt>
                <c:pt idx="184">
                  <c:v>45560</c:v>
                </c:pt>
                <c:pt idx="185">
                  <c:v>45561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107.20869565217392</c:v>
                </c:pt>
                <c:pt idx="2">
                  <c:v>105.85003654694393</c:v>
                </c:pt>
                <c:pt idx="3">
                  <c:v>106.29717298338858</c:v>
                </c:pt>
                <c:pt idx="4">
                  <c:v>106.27787084356288</c:v>
                </c:pt>
                <c:pt idx="5">
                  <c:v>106.0908224235107</c:v>
                </c:pt>
                <c:pt idx="6">
                  <c:v>104.83675419129992</c:v>
                </c:pt>
                <c:pt idx="7">
                  <c:v>102.24396743148152</c:v>
                </c:pt>
                <c:pt idx="8">
                  <c:v>106.59883281300407</c:v>
                </c:pt>
                <c:pt idx="9">
                  <c:v>112.91982638024351</c:v>
                </c:pt>
                <c:pt idx="10">
                  <c:v>116.05607554518045</c:v>
                </c:pt>
                <c:pt idx="11">
                  <c:v>114.39623534584835</c:v>
                </c:pt>
                <c:pt idx="12">
                  <c:v>113.21547217303092</c:v>
                </c:pt>
                <c:pt idx="13">
                  <c:v>118.73423262106715</c:v>
                </c:pt>
                <c:pt idx="14">
                  <c:v>120</c:v>
                </c:pt>
                <c:pt idx="15">
                  <c:v>120</c:v>
                </c:pt>
                <c:pt idx="16">
                  <c:v>119.46086956521738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117.98260869565219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119.82608695652172</c:v>
                </c:pt>
                <c:pt idx="25">
                  <c:v>118.89121613106491</c:v>
                </c:pt>
                <c:pt idx="26">
                  <c:v>119.8895545583226</c:v>
                </c:pt>
                <c:pt idx="27">
                  <c:v>118.34438556460063</c:v>
                </c:pt>
                <c:pt idx="28">
                  <c:v>116.00184753716754</c:v>
                </c:pt>
                <c:pt idx="29">
                  <c:v>117.74557334718602</c:v>
                </c:pt>
                <c:pt idx="30">
                  <c:v>120</c:v>
                </c:pt>
                <c:pt idx="31">
                  <c:v>118.60869565217391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117.51304347826085</c:v>
                </c:pt>
                <c:pt idx="37">
                  <c:v>115.26965343415247</c:v>
                </c:pt>
                <c:pt idx="38">
                  <c:v>116.58507945718381</c:v>
                </c:pt>
                <c:pt idx="39">
                  <c:v>119.84248971558478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119.77391304347827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118.34782608695652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119.98260869565216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119.93043478260869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119.68695652173912</c:v>
                </c:pt>
                <c:pt idx="99">
                  <c:v>120</c:v>
                </c:pt>
                <c:pt idx="100">
                  <c:v>119.75652173913046</c:v>
                </c:pt>
                <c:pt idx="101">
                  <c:v>118.24382536297506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119.82608695652175</c:v>
                </c:pt>
                <c:pt idx="122">
                  <c:v>118.31337626458452</c:v>
                </c:pt>
                <c:pt idx="123">
                  <c:v>119.88133192328986</c:v>
                </c:pt>
                <c:pt idx="124">
                  <c:v>119.8467712096441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120</c:v>
                </c:pt>
                <c:pt idx="134">
                  <c:v>120</c:v>
                </c:pt>
                <c:pt idx="135">
                  <c:v>120</c:v>
                </c:pt>
                <c:pt idx="136">
                  <c:v>120</c:v>
                </c:pt>
                <c:pt idx="137">
                  <c:v>120</c:v>
                </c:pt>
                <c:pt idx="138">
                  <c:v>120</c:v>
                </c:pt>
                <c:pt idx="139">
                  <c:v>120</c:v>
                </c:pt>
                <c:pt idx="140">
                  <c:v>120</c:v>
                </c:pt>
                <c:pt idx="141">
                  <c:v>120</c:v>
                </c:pt>
                <c:pt idx="142">
                  <c:v>120</c:v>
                </c:pt>
                <c:pt idx="143">
                  <c:v>120</c:v>
                </c:pt>
                <c:pt idx="144">
                  <c:v>120</c:v>
                </c:pt>
                <c:pt idx="145">
                  <c:v>120</c:v>
                </c:pt>
                <c:pt idx="146">
                  <c:v>120</c:v>
                </c:pt>
                <c:pt idx="147">
                  <c:v>120</c:v>
                </c:pt>
                <c:pt idx="148">
                  <c:v>120</c:v>
                </c:pt>
                <c:pt idx="149">
                  <c:v>120</c:v>
                </c:pt>
                <c:pt idx="150">
                  <c:v>120</c:v>
                </c:pt>
                <c:pt idx="151">
                  <c:v>117.96521739130432</c:v>
                </c:pt>
                <c:pt idx="152">
                  <c:v>119.72604461489158</c:v>
                </c:pt>
                <c:pt idx="153">
                  <c:v>120</c:v>
                </c:pt>
                <c:pt idx="154">
                  <c:v>118.92173913043477</c:v>
                </c:pt>
                <c:pt idx="155">
                  <c:v>119.37647586712743</c:v>
                </c:pt>
                <c:pt idx="156">
                  <c:v>120</c:v>
                </c:pt>
                <c:pt idx="157">
                  <c:v>119.63478260869563</c:v>
                </c:pt>
                <c:pt idx="158">
                  <c:v>119.49661020807211</c:v>
                </c:pt>
                <c:pt idx="159">
                  <c:v>117.75879296419723</c:v>
                </c:pt>
                <c:pt idx="160">
                  <c:v>120</c:v>
                </c:pt>
                <c:pt idx="161">
                  <c:v>118.81739130434781</c:v>
                </c:pt>
                <c:pt idx="162">
                  <c:v>119.95091115330101</c:v>
                </c:pt>
                <c:pt idx="163">
                  <c:v>120</c:v>
                </c:pt>
                <c:pt idx="164">
                  <c:v>120</c:v>
                </c:pt>
                <c:pt idx="165">
                  <c:v>118.92173913043477</c:v>
                </c:pt>
                <c:pt idx="166">
                  <c:v>117.18554656591839</c:v>
                </c:pt>
                <c:pt idx="167">
                  <c:v>120</c:v>
                </c:pt>
                <c:pt idx="168">
                  <c:v>120</c:v>
                </c:pt>
                <c:pt idx="169">
                  <c:v>120</c:v>
                </c:pt>
                <c:pt idx="170">
                  <c:v>120</c:v>
                </c:pt>
                <c:pt idx="171">
                  <c:v>119.33913043478262</c:v>
                </c:pt>
                <c:pt idx="172">
                  <c:v>120</c:v>
                </c:pt>
                <c:pt idx="173">
                  <c:v>119.13043478260869</c:v>
                </c:pt>
                <c:pt idx="174">
                  <c:v>120</c:v>
                </c:pt>
                <c:pt idx="175">
                  <c:v>120</c:v>
                </c:pt>
                <c:pt idx="176">
                  <c:v>120</c:v>
                </c:pt>
                <c:pt idx="177">
                  <c:v>120</c:v>
                </c:pt>
                <c:pt idx="178">
                  <c:v>120</c:v>
                </c:pt>
                <c:pt idx="179">
                  <c:v>119.40869565217393</c:v>
                </c:pt>
                <c:pt idx="180">
                  <c:v>120</c:v>
                </c:pt>
                <c:pt idx="181">
                  <c:v>119.40869565217393</c:v>
                </c:pt>
                <c:pt idx="182">
                  <c:v>120</c:v>
                </c:pt>
                <c:pt idx="183">
                  <c:v>118.95652173913041</c:v>
                </c:pt>
                <c:pt idx="184">
                  <c:v>116.94251795841326</c:v>
                </c:pt>
                <c:pt idx="185">
                  <c:v>114.51859162653484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45376</c:v>
                </c:pt>
                <c:pt idx="1">
                  <c:v>45377</c:v>
                </c:pt>
                <c:pt idx="2">
                  <c:v>45378</c:v>
                </c:pt>
                <c:pt idx="3">
                  <c:v>45379</c:v>
                </c:pt>
                <c:pt idx="4">
                  <c:v>45380</c:v>
                </c:pt>
                <c:pt idx="5">
                  <c:v>45381</c:v>
                </c:pt>
                <c:pt idx="6">
                  <c:v>45382</c:v>
                </c:pt>
                <c:pt idx="7">
                  <c:v>45383</c:v>
                </c:pt>
                <c:pt idx="8">
                  <c:v>45384</c:v>
                </c:pt>
                <c:pt idx="9">
                  <c:v>45385</c:v>
                </c:pt>
                <c:pt idx="10">
                  <c:v>45386</c:v>
                </c:pt>
                <c:pt idx="11">
                  <c:v>45387</c:v>
                </c:pt>
                <c:pt idx="12">
                  <c:v>45388</c:v>
                </c:pt>
                <c:pt idx="13">
                  <c:v>45389</c:v>
                </c:pt>
                <c:pt idx="14">
                  <c:v>45390</c:v>
                </c:pt>
                <c:pt idx="15">
                  <c:v>45391</c:v>
                </c:pt>
                <c:pt idx="16">
                  <c:v>45392</c:v>
                </c:pt>
                <c:pt idx="17">
                  <c:v>45393</c:v>
                </c:pt>
                <c:pt idx="18">
                  <c:v>45394</c:v>
                </c:pt>
                <c:pt idx="19">
                  <c:v>45395</c:v>
                </c:pt>
                <c:pt idx="20">
                  <c:v>45396</c:v>
                </c:pt>
                <c:pt idx="21">
                  <c:v>45397</c:v>
                </c:pt>
                <c:pt idx="22">
                  <c:v>45398</c:v>
                </c:pt>
                <c:pt idx="23">
                  <c:v>45399</c:v>
                </c:pt>
                <c:pt idx="24">
                  <c:v>45400</c:v>
                </c:pt>
                <c:pt idx="25">
                  <c:v>45401</c:v>
                </c:pt>
                <c:pt idx="26">
                  <c:v>45402</c:v>
                </c:pt>
                <c:pt idx="27">
                  <c:v>45403</c:v>
                </c:pt>
                <c:pt idx="28">
                  <c:v>45404</c:v>
                </c:pt>
                <c:pt idx="29">
                  <c:v>45405</c:v>
                </c:pt>
                <c:pt idx="30">
                  <c:v>45406</c:v>
                </c:pt>
                <c:pt idx="31">
                  <c:v>45407</c:v>
                </c:pt>
                <c:pt idx="32">
                  <c:v>45408</c:v>
                </c:pt>
                <c:pt idx="33">
                  <c:v>45409</c:v>
                </c:pt>
                <c:pt idx="34">
                  <c:v>45410</c:v>
                </c:pt>
                <c:pt idx="35">
                  <c:v>45411</c:v>
                </c:pt>
                <c:pt idx="36">
                  <c:v>45412</c:v>
                </c:pt>
                <c:pt idx="37">
                  <c:v>45413</c:v>
                </c:pt>
                <c:pt idx="38">
                  <c:v>45414</c:v>
                </c:pt>
                <c:pt idx="39">
                  <c:v>45415</c:v>
                </c:pt>
                <c:pt idx="40">
                  <c:v>45416</c:v>
                </c:pt>
                <c:pt idx="41">
                  <c:v>45417</c:v>
                </c:pt>
                <c:pt idx="42">
                  <c:v>45418</c:v>
                </c:pt>
                <c:pt idx="43">
                  <c:v>45419</c:v>
                </c:pt>
                <c:pt idx="44">
                  <c:v>45420</c:v>
                </c:pt>
                <c:pt idx="45">
                  <c:v>45421</c:v>
                </c:pt>
                <c:pt idx="46">
                  <c:v>45422</c:v>
                </c:pt>
                <c:pt idx="47">
                  <c:v>45423</c:v>
                </c:pt>
                <c:pt idx="48">
                  <c:v>45424</c:v>
                </c:pt>
                <c:pt idx="49">
                  <c:v>45425</c:v>
                </c:pt>
                <c:pt idx="50">
                  <c:v>45426</c:v>
                </c:pt>
                <c:pt idx="51">
                  <c:v>45427</c:v>
                </c:pt>
                <c:pt idx="52">
                  <c:v>45428</c:v>
                </c:pt>
                <c:pt idx="53">
                  <c:v>45429</c:v>
                </c:pt>
                <c:pt idx="54">
                  <c:v>45430</c:v>
                </c:pt>
                <c:pt idx="55">
                  <c:v>45431</c:v>
                </c:pt>
                <c:pt idx="56">
                  <c:v>45432</c:v>
                </c:pt>
                <c:pt idx="57">
                  <c:v>45433</c:v>
                </c:pt>
                <c:pt idx="58">
                  <c:v>45434</c:v>
                </c:pt>
                <c:pt idx="59">
                  <c:v>45435</c:v>
                </c:pt>
                <c:pt idx="60">
                  <c:v>45436</c:v>
                </c:pt>
                <c:pt idx="61">
                  <c:v>45437</c:v>
                </c:pt>
                <c:pt idx="62">
                  <c:v>45438</c:v>
                </c:pt>
                <c:pt idx="63">
                  <c:v>45439</c:v>
                </c:pt>
                <c:pt idx="64">
                  <c:v>45440</c:v>
                </c:pt>
                <c:pt idx="65">
                  <c:v>45441</c:v>
                </c:pt>
                <c:pt idx="66">
                  <c:v>45442</c:v>
                </c:pt>
                <c:pt idx="67">
                  <c:v>45443</c:v>
                </c:pt>
                <c:pt idx="68">
                  <c:v>45444</c:v>
                </c:pt>
                <c:pt idx="69">
                  <c:v>45445</c:v>
                </c:pt>
                <c:pt idx="70">
                  <c:v>45446</c:v>
                </c:pt>
                <c:pt idx="71">
                  <c:v>45447</c:v>
                </c:pt>
                <c:pt idx="72">
                  <c:v>45448</c:v>
                </c:pt>
                <c:pt idx="73">
                  <c:v>45449</c:v>
                </c:pt>
                <c:pt idx="74">
                  <c:v>45450</c:v>
                </c:pt>
                <c:pt idx="75">
                  <c:v>45451</c:v>
                </c:pt>
                <c:pt idx="76">
                  <c:v>45452</c:v>
                </c:pt>
                <c:pt idx="77">
                  <c:v>45453</c:v>
                </c:pt>
                <c:pt idx="78">
                  <c:v>45454</c:v>
                </c:pt>
                <c:pt idx="79">
                  <c:v>45455</c:v>
                </c:pt>
                <c:pt idx="80">
                  <c:v>45456</c:v>
                </c:pt>
                <c:pt idx="81">
                  <c:v>45457</c:v>
                </c:pt>
                <c:pt idx="82">
                  <c:v>45458</c:v>
                </c:pt>
                <c:pt idx="83">
                  <c:v>45459</c:v>
                </c:pt>
                <c:pt idx="84">
                  <c:v>45460</c:v>
                </c:pt>
                <c:pt idx="85">
                  <c:v>45461</c:v>
                </c:pt>
                <c:pt idx="86">
                  <c:v>45462</c:v>
                </c:pt>
                <c:pt idx="87">
                  <c:v>45463</c:v>
                </c:pt>
                <c:pt idx="88">
                  <c:v>45464</c:v>
                </c:pt>
                <c:pt idx="89">
                  <c:v>45465</c:v>
                </c:pt>
                <c:pt idx="90">
                  <c:v>45466</c:v>
                </c:pt>
                <c:pt idx="91">
                  <c:v>45467</c:v>
                </c:pt>
                <c:pt idx="92">
                  <c:v>45468</c:v>
                </c:pt>
                <c:pt idx="93">
                  <c:v>45469</c:v>
                </c:pt>
                <c:pt idx="94">
                  <c:v>45470</c:v>
                </c:pt>
                <c:pt idx="95">
                  <c:v>45471</c:v>
                </c:pt>
                <c:pt idx="96">
                  <c:v>45472</c:v>
                </c:pt>
                <c:pt idx="97">
                  <c:v>45473</c:v>
                </c:pt>
                <c:pt idx="98">
                  <c:v>45474</c:v>
                </c:pt>
                <c:pt idx="99">
                  <c:v>45475</c:v>
                </c:pt>
                <c:pt idx="100">
                  <c:v>45476</c:v>
                </c:pt>
                <c:pt idx="101">
                  <c:v>45477</c:v>
                </c:pt>
                <c:pt idx="102">
                  <c:v>45478</c:v>
                </c:pt>
                <c:pt idx="103">
                  <c:v>45479</c:v>
                </c:pt>
                <c:pt idx="104">
                  <c:v>45480</c:v>
                </c:pt>
                <c:pt idx="105">
                  <c:v>45481</c:v>
                </c:pt>
                <c:pt idx="106">
                  <c:v>45482</c:v>
                </c:pt>
                <c:pt idx="107">
                  <c:v>45483</c:v>
                </c:pt>
                <c:pt idx="108">
                  <c:v>45484</c:v>
                </c:pt>
                <c:pt idx="109">
                  <c:v>45485</c:v>
                </c:pt>
                <c:pt idx="110">
                  <c:v>45486</c:v>
                </c:pt>
                <c:pt idx="111">
                  <c:v>45487</c:v>
                </c:pt>
                <c:pt idx="112">
                  <c:v>45488</c:v>
                </c:pt>
                <c:pt idx="113">
                  <c:v>45489</c:v>
                </c:pt>
                <c:pt idx="114">
                  <c:v>45490</c:v>
                </c:pt>
                <c:pt idx="115">
                  <c:v>45491</c:v>
                </c:pt>
                <c:pt idx="116">
                  <c:v>45492</c:v>
                </c:pt>
                <c:pt idx="117">
                  <c:v>45493</c:v>
                </c:pt>
                <c:pt idx="118">
                  <c:v>45494</c:v>
                </c:pt>
                <c:pt idx="119">
                  <c:v>45495</c:v>
                </c:pt>
                <c:pt idx="120">
                  <c:v>45496</c:v>
                </c:pt>
                <c:pt idx="121">
                  <c:v>45497</c:v>
                </c:pt>
                <c:pt idx="122">
                  <c:v>45498</c:v>
                </c:pt>
                <c:pt idx="123">
                  <c:v>45499</c:v>
                </c:pt>
                <c:pt idx="124">
                  <c:v>45500</c:v>
                </c:pt>
                <c:pt idx="125">
                  <c:v>45501</c:v>
                </c:pt>
                <c:pt idx="126">
                  <c:v>45502</c:v>
                </c:pt>
                <c:pt idx="127">
                  <c:v>45503</c:v>
                </c:pt>
                <c:pt idx="128">
                  <c:v>45504</c:v>
                </c:pt>
                <c:pt idx="129">
                  <c:v>45505</c:v>
                </c:pt>
                <c:pt idx="130">
                  <c:v>45506</c:v>
                </c:pt>
                <c:pt idx="131">
                  <c:v>45507</c:v>
                </c:pt>
                <c:pt idx="132">
                  <c:v>45508</c:v>
                </c:pt>
                <c:pt idx="133">
                  <c:v>45509</c:v>
                </c:pt>
                <c:pt idx="134">
                  <c:v>45510</c:v>
                </c:pt>
                <c:pt idx="135">
                  <c:v>45511</c:v>
                </c:pt>
                <c:pt idx="136">
                  <c:v>45512</c:v>
                </c:pt>
                <c:pt idx="137">
                  <c:v>45513</c:v>
                </c:pt>
                <c:pt idx="138">
                  <c:v>45514</c:v>
                </c:pt>
                <c:pt idx="139">
                  <c:v>45515</c:v>
                </c:pt>
                <c:pt idx="140">
                  <c:v>45516</c:v>
                </c:pt>
                <c:pt idx="141">
                  <c:v>45517</c:v>
                </c:pt>
                <c:pt idx="142">
                  <c:v>45518</c:v>
                </c:pt>
                <c:pt idx="143">
                  <c:v>45519</c:v>
                </c:pt>
                <c:pt idx="144">
                  <c:v>45520</c:v>
                </c:pt>
                <c:pt idx="145">
                  <c:v>45521</c:v>
                </c:pt>
                <c:pt idx="146">
                  <c:v>45522</c:v>
                </c:pt>
                <c:pt idx="147">
                  <c:v>45523</c:v>
                </c:pt>
                <c:pt idx="148">
                  <c:v>45524</c:v>
                </c:pt>
                <c:pt idx="149">
                  <c:v>45525</c:v>
                </c:pt>
                <c:pt idx="150">
                  <c:v>45526</c:v>
                </c:pt>
                <c:pt idx="151">
                  <c:v>45527</c:v>
                </c:pt>
                <c:pt idx="152">
                  <c:v>45528</c:v>
                </c:pt>
                <c:pt idx="153">
                  <c:v>45529</c:v>
                </c:pt>
                <c:pt idx="154">
                  <c:v>45530</c:v>
                </c:pt>
                <c:pt idx="155">
                  <c:v>45531</c:v>
                </c:pt>
                <c:pt idx="156">
                  <c:v>45532</c:v>
                </c:pt>
                <c:pt idx="157">
                  <c:v>45533</c:v>
                </c:pt>
                <c:pt idx="158">
                  <c:v>45534</c:v>
                </c:pt>
                <c:pt idx="159">
                  <c:v>45535</c:v>
                </c:pt>
                <c:pt idx="160">
                  <c:v>45536</c:v>
                </c:pt>
                <c:pt idx="161">
                  <c:v>45537</c:v>
                </c:pt>
                <c:pt idx="162">
                  <c:v>45538</c:v>
                </c:pt>
                <c:pt idx="163">
                  <c:v>45539</c:v>
                </c:pt>
                <c:pt idx="164">
                  <c:v>45540</c:v>
                </c:pt>
                <c:pt idx="165">
                  <c:v>45541</c:v>
                </c:pt>
                <c:pt idx="166">
                  <c:v>45542</c:v>
                </c:pt>
                <c:pt idx="167">
                  <c:v>45543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45549</c:v>
                </c:pt>
                <c:pt idx="174">
                  <c:v>45550</c:v>
                </c:pt>
                <c:pt idx="175">
                  <c:v>45551</c:v>
                </c:pt>
                <c:pt idx="176">
                  <c:v>45552</c:v>
                </c:pt>
                <c:pt idx="177">
                  <c:v>45553</c:v>
                </c:pt>
                <c:pt idx="178">
                  <c:v>45554</c:v>
                </c:pt>
                <c:pt idx="179">
                  <c:v>45555</c:v>
                </c:pt>
                <c:pt idx="180">
                  <c:v>45556</c:v>
                </c:pt>
                <c:pt idx="181">
                  <c:v>45557</c:v>
                </c:pt>
                <c:pt idx="182">
                  <c:v>45558</c:v>
                </c:pt>
                <c:pt idx="183">
                  <c:v>45559</c:v>
                </c:pt>
                <c:pt idx="184">
                  <c:v>45560</c:v>
                </c:pt>
                <c:pt idx="185">
                  <c:v>45561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45376</c:v>
                </c:pt>
                <c:pt idx="1">
                  <c:v>45377</c:v>
                </c:pt>
                <c:pt idx="2">
                  <c:v>45378</c:v>
                </c:pt>
                <c:pt idx="3">
                  <c:v>45379</c:v>
                </c:pt>
                <c:pt idx="4">
                  <c:v>45380</c:v>
                </c:pt>
                <c:pt idx="5">
                  <c:v>45381</c:v>
                </c:pt>
                <c:pt idx="6">
                  <c:v>45382</c:v>
                </c:pt>
                <c:pt idx="7">
                  <c:v>45383</c:v>
                </c:pt>
                <c:pt idx="8">
                  <c:v>45384</c:v>
                </c:pt>
                <c:pt idx="9">
                  <c:v>45385</c:v>
                </c:pt>
                <c:pt idx="10">
                  <c:v>45386</c:v>
                </c:pt>
                <c:pt idx="11">
                  <c:v>45387</c:v>
                </c:pt>
                <c:pt idx="12">
                  <c:v>45388</c:v>
                </c:pt>
                <c:pt idx="13">
                  <c:v>45389</c:v>
                </c:pt>
                <c:pt idx="14">
                  <c:v>45390</c:v>
                </c:pt>
                <c:pt idx="15">
                  <c:v>45391</c:v>
                </c:pt>
                <c:pt idx="16">
                  <c:v>45392</c:v>
                </c:pt>
                <c:pt idx="17">
                  <c:v>45393</c:v>
                </c:pt>
                <c:pt idx="18">
                  <c:v>45394</c:v>
                </c:pt>
                <c:pt idx="19">
                  <c:v>45395</c:v>
                </c:pt>
                <c:pt idx="20">
                  <c:v>45396</c:v>
                </c:pt>
                <c:pt idx="21">
                  <c:v>45397</c:v>
                </c:pt>
                <c:pt idx="22">
                  <c:v>45398</c:v>
                </c:pt>
                <c:pt idx="23">
                  <c:v>45399</c:v>
                </c:pt>
                <c:pt idx="24">
                  <c:v>45400</c:v>
                </c:pt>
                <c:pt idx="25">
                  <c:v>45401</c:v>
                </c:pt>
                <c:pt idx="26">
                  <c:v>45402</c:v>
                </c:pt>
                <c:pt idx="27">
                  <c:v>45403</c:v>
                </c:pt>
                <c:pt idx="28">
                  <c:v>45404</c:v>
                </c:pt>
                <c:pt idx="29">
                  <c:v>45405</c:v>
                </c:pt>
                <c:pt idx="30">
                  <c:v>45406</c:v>
                </c:pt>
                <c:pt idx="31">
                  <c:v>45407</c:v>
                </c:pt>
                <c:pt idx="32">
                  <c:v>45408</c:v>
                </c:pt>
                <c:pt idx="33">
                  <c:v>45409</c:v>
                </c:pt>
                <c:pt idx="34">
                  <c:v>45410</c:v>
                </c:pt>
                <c:pt idx="35">
                  <c:v>45411</c:v>
                </c:pt>
                <c:pt idx="36">
                  <c:v>45412</c:v>
                </c:pt>
                <c:pt idx="37">
                  <c:v>45413</c:v>
                </c:pt>
                <c:pt idx="38">
                  <c:v>45414</c:v>
                </c:pt>
                <c:pt idx="39">
                  <c:v>45415</c:v>
                </c:pt>
                <c:pt idx="40">
                  <c:v>45416</c:v>
                </c:pt>
                <c:pt idx="41">
                  <c:v>45417</c:v>
                </c:pt>
                <c:pt idx="42">
                  <c:v>45418</c:v>
                </c:pt>
                <c:pt idx="43">
                  <c:v>45419</c:v>
                </c:pt>
                <c:pt idx="44">
                  <c:v>45420</c:v>
                </c:pt>
                <c:pt idx="45">
                  <c:v>45421</c:v>
                </c:pt>
                <c:pt idx="46">
                  <c:v>45422</c:v>
                </c:pt>
                <c:pt idx="47">
                  <c:v>45423</c:v>
                </c:pt>
                <c:pt idx="48">
                  <c:v>45424</c:v>
                </c:pt>
                <c:pt idx="49">
                  <c:v>45425</c:v>
                </c:pt>
                <c:pt idx="50">
                  <c:v>45426</c:v>
                </c:pt>
                <c:pt idx="51">
                  <c:v>45427</c:v>
                </c:pt>
                <c:pt idx="52">
                  <c:v>45428</c:v>
                </c:pt>
                <c:pt idx="53">
                  <c:v>45429</c:v>
                </c:pt>
                <c:pt idx="54">
                  <c:v>45430</c:v>
                </c:pt>
                <c:pt idx="55">
                  <c:v>45431</c:v>
                </c:pt>
                <c:pt idx="56">
                  <c:v>45432</c:v>
                </c:pt>
                <c:pt idx="57">
                  <c:v>45433</c:v>
                </c:pt>
                <c:pt idx="58">
                  <c:v>45434</c:v>
                </c:pt>
                <c:pt idx="59">
                  <c:v>45435</c:v>
                </c:pt>
                <c:pt idx="60">
                  <c:v>45436</c:v>
                </c:pt>
                <c:pt idx="61">
                  <c:v>45437</c:v>
                </c:pt>
                <c:pt idx="62">
                  <c:v>45438</c:v>
                </c:pt>
                <c:pt idx="63">
                  <c:v>45439</c:v>
                </c:pt>
                <c:pt idx="64">
                  <c:v>45440</c:v>
                </c:pt>
                <c:pt idx="65">
                  <c:v>45441</c:v>
                </c:pt>
                <c:pt idx="66">
                  <c:v>45442</c:v>
                </c:pt>
                <c:pt idx="67">
                  <c:v>45443</c:v>
                </c:pt>
                <c:pt idx="68">
                  <c:v>45444</c:v>
                </c:pt>
                <c:pt idx="69">
                  <c:v>45445</c:v>
                </c:pt>
                <c:pt idx="70">
                  <c:v>45446</c:v>
                </c:pt>
                <c:pt idx="71">
                  <c:v>45447</c:v>
                </c:pt>
                <c:pt idx="72">
                  <c:v>45448</c:v>
                </c:pt>
                <c:pt idx="73">
                  <c:v>45449</c:v>
                </c:pt>
                <c:pt idx="74">
                  <c:v>45450</c:v>
                </c:pt>
                <c:pt idx="75">
                  <c:v>45451</c:v>
                </c:pt>
                <c:pt idx="76">
                  <c:v>45452</c:v>
                </c:pt>
                <c:pt idx="77">
                  <c:v>45453</c:v>
                </c:pt>
                <c:pt idx="78">
                  <c:v>45454</c:v>
                </c:pt>
                <c:pt idx="79">
                  <c:v>45455</c:v>
                </c:pt>
                <c:pt idx="80">
                  <c:v>45456</c:v>
                </c:pt>
                <c:pt idx="81">
                  <c:v>45457</c:v>
                </c:pt>
                <c:pt idx="82">
                  <c:v>45458</c:v>
                </c:pt>
                <c:pt idx="83">
                  <c:v>45459</c:v>
                </c:pt>
                <c:pt idx="84">
                  <c:v>45460</c:v>
                </c:pt>
                <c:pt idx="85">
                  <c:v>45461</c:v>
                </c:pt>
                <c:pt idx="86">
                  <c:v>45462</c:v>
                </c:pt>
                <c:pt idx="87">
                  <c:v>45463</c:v>
                </c:pt>
                <c:pt idx="88">
                  <c:v>45464</c:v>
                </c:pt>
                <c:pt idx="89">
                  <c:v>45465</c:v>
                </c:pt>
                <c:pt idx="90">
                  <c:v>45466</c:v>
                </c:pt>
                <c:pt idx="91">
                  <c:v>45467</c:v>
                </c:pt>
                <c:pt idx="92">
                  <c:v>45468</c:v>
                </c:pt>
                <c:pt idx="93">
                  <c:v>45469</c:v>
                </c:pt>
                <c:pt idx="94">
                  <c:v>45470</c:v>
                </c:pt>
                <c:pt idx="95">
                  <c:v>45471</c:v>
                </c:pt>
                <c:pt idx="96">
                  <c:v>45472</c:v>
                </c:pt>
                <c:pt idx="97">
                  <c:v>45473</c:v>
                </c:pt>
                <c:pt idx="98">
                  <c:v>45474</c:v>
                </c:pt>
                <c:pt idx="99">
                  <c:v>45475</c:v>
                </c:pt>
                <c:pt idx="100">
                  <c:v>45476</c:v>
                </c:pt>
                <c:pt idx="101">
                  <c:v>45477</c:v>
                </c:pt>
                <c:pt idx="102">
                  <c:v>45478</c:v>
                </c:pt>
                <c:pt idx="103">
                  <c:v>45479</c:v>
                </c:pt>
                <c:pt idx="104">
                  <c:v>45480</c:v>
                </c:pt>
                <c:pt idx="105">
                  <c:v>45481</c:v>
                </c:pt>
                <c:pt idx="106">
                  <c:v>45482</c:v>
                </c:pt>
                <c:pt idx="107">
                  <c:v>45483</c:v>
                </c:pt>
                <c:pt idx="108">
                  <c:v>45484</c:v>
                </c:pt>
                <c:pt idx="109">
                  <c:v>45485</c:v>
                </c:pt>
                <c:pt idx="110">
                  <c:v>45486</c:v>
                </c:pt>
                <c:pt idx="111">
                  <c:v>45487</c:v>
                </c:pt>
                <c:pt idx="112">
                  <c:v>45488</c:v>
                </c:pt>
                <c:pt idx="113">
                  <c:v>45489</c:v>
                </c:pt>
                <c:pt idx="114">
                  <c:v>45490</c:v>
                </c:pt>
                <c:pt idx="115">
                  <c:v>45491</c:v>
                </c:pt>
                <c:pt idx="116">
                  <c:v>45492</c:v>
                </c:pt>
                <c:pt idx="117">
                  <c:v>45493</c:v>
                </c:pt>
                <c:pt idx="118">
                  <c:v>45494</c:v>
                </c:pt>
                <c:pt idx="119">
                  <c:v>45495</c:v>
                </c:pt>
                <c:pt idx="120">
                  <c:v>45496</c:v>
                </c:pt>
                <c:pt idx="121">
                  <c:v>45497</c:v>
                </c:pt>
                <c:pt idx="122">
                  <c:v>45498</c:v>
                </c:pt>
                <c:pt idx="123">
                  <c:v>45499</c:v>
                </c:pt>
                <c:pt idx="124">
                  <c:v>45500</c:v>
                </c:pt>
                <c:pt idx="125">
                  <c:v>45501</c:v>
                </c:pt>
                <c:pt idx="126">
                  <c:v>45502</c:v>
                </c:pt>
                <c:pt idx="127">
                  <c:v>45503</c:v>
                </c:pt>
                <c:pt idx="128">
                  <c:v>45504</c:v>
                </c:pt>
                <c:pt idx="129">
                  <c:v>45505</c:v>
                </c:pt>
                <c:pt idx="130">
                  <c:v>45506</c:v>
                </c:pt>
                <c:pt idx="131">
                  <c:v>45507</c:v>
                </c:pt>
                <c:pt idx="132">
                  <c:v>45508</c:v>
                </c:pt>
                <c:pt idx="133">
                  <c:v>45509</c:v>
                </c:pt>
                <c:pt idx="134">
                  <c:v>45510</c:v>
                </c:pt>
                <c:pt idx="135">
                  <c:v>45511</c:v>
                </c:pt>
                <c:pt idx="136">
                  <c:v>45512</c:v>
                </c:pt>
                <c:pt idx="137">
                  <c:v>45513</c:v>
                </c:pt>
                <c:pt idx="138">
                  <c:v>45514</c:v>
                </c:pt>
                <c:pt idx="139">
                  <c:v>45515</c:v>
                </c:pt>
                <c:pt idx="140">
                  <c:v>45516</c:v>
                </c:pt>
                <c:pt idx="141">
                  <c:v>45517</c:v>
                </c:pt>
                <c:pt idx="142">
                  <c:v>45518</c:v>
                </c:pt>
                <c:pt idx="143">
                  <c:v>45519</c:v>
                </c:pt>
                <c:pt idx="144">
                  <c:v>45520</c:v>
                </c:pt>
                <c:pt idx="145">
                  <c:v>45521</c:v>
                </c:pt>
                <c:pt idx="146">
                  <c:v>45522</c:v>
                </c:pt>
                <c:pt idx="147">
                  <c:v>45523</c:v>
                </c:pt>
                <c:pt idx="148">
                  <c:v>45524</c:v>
                </c:pt>
                <c:pt idx="149">
                  <c:v>45525</c:v>
                </c:pt>
                <c:pt idx="150">
                  <c:v>45526</c:v>
                </c:pt>
                <c:pt idx="151">
                  <c:v>45527</c:v>
                </c:pt>
                <c:pt idx="152">
                  <c:v>45528</c:v>
                </c:pt>
                <c:pt idx="153">
                  <c:v>45529</c:v>
                </c:pt>
                <c:pt idx="154">
                  <c:v>45530</c:v>
                </c:pt>
                <c:pt idx="155">
                  <c:v>45531</c:v>
                </c:pt>
                <c:pt idx="156">
                  <c:v>45532</c:v>
                </c:pt>
                <c:pt idx="157">
                  <c:v>45533</c:v>
                </c:pt>
                <c:pt idx="158">
                  <c:v>45534</c:v>
                </c:pt>
                <c:pt idx="159">
                  <c:v>45535</c:v>
                </c:pt>
                <c:pt idx="160">
                  <c:v>45536</c:v>
                </c:pt>
                <c:pt idx="161">
                  <c:v>45537</c:v>
                </c:pt>
                <c:pt idx="162">
                  <c:v>45538</c:v>
                </c:pt>
                <c:pt idx="163">
                  <c:v>45539</c:v>
                </c:pt>
                <c:pt idx="164">
                  <c:v>45540</c:v>
                </c:pt>
                <c:pt idx="165">
                  <c:v>45541</c:v>
                </c:pt>
                <c:pt idx="166">
                  <c:v>45542</c:v>
                </c:pt>
                <c:pt idx="167">
                  <c:v>45543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45549</c:v>
                </c:pt>
                <c:pt idx="174">
                  <c:v>45550</c:v>
                </c:pt>
                <c:pt idx="175">
                  <c:v>45551</c:v>
                </c:pt>
                <c:pt idx="176">
                  <c:v>45552</c:v>
                </c:pt>
                <c:pt idx="177">
                  <c:v>45553</c:v>
                </c:pt>
                <c:pt idx="178">
                  <c:v>45554</c:v>
                </c:pt>
                <c:pt idx="179">
                  <c:v>45555</c:v>
                </c:pt>
                <c:pt idx="180">
                  <c:v>45556</c:v>
                </c:pt>
                <c:pt idx="181">
                  <c:v>45557</c:v>
                </c:pt>
                <c:pt idx="182">
                  <c:v>45558</c:v>
                </c:pt>
                <c:pt idx="183">
                  <c:v>45559</c:v>
                </c:pt>
                <c:pt idx="184">
                  <c:v>45560</c:v>
                </c:pt>
                <c:pt idx="185">
                  <c:v>45561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1.7419086321019819</c:v>
                </c:pt>
                <c:pt idx="15">
                  <c:v>4.2019086321019898</c:v>
                </c:pt>
                <c:pt idx="16">
                  <c:v>4.2019086321019898</c:v>
                </c:pt>
                <c:pt idx="17">
                  <c:v>5.7903999364498162</c:v>
                </c:pt>
                <c:pt idx="18">
                  <c:v>8.6103999364498094</c:v>
                </c:pt>
                <c:pt idx="19">
                  <c:v>11.410399936449807</c:v>
                </c:pt>
                <c:pt idx="20">
                  <c:v>11.410399936449807</c:v>
                </c:pt>
                <c:pt idx="21">
                  <c:v>16.169147762536767</c:v>
                </c:pt>
                <c:pt idx="22">
                  <c:v>18.149147762536771</c:v>
                </c:pt>
                <c:pt idx="23">
                  <c:v>18.929147762536772</c:v>
                </c:pt>
                <c:pt idx="24">
                  <c:v>18.929147762536772</c:v>
                </c:pt>
                <c:pt idx="25">
                  <c:v>18.929147762536772</c:v>
                </c:pt>
                <c:pt idx="26">
                  <c:v>18.929147762536772</c:v>
                </c:pt>
                <c:pt idx="27">
                  <c:v>18.929147762536772</c:v>
                </c:pt>
                <c:pt idx="28">
                  <c:v>18.929147762536772</c:v>
                </c:pt>
                <c:pt idx="29">
                  <c:v>18.929147762536772</c:v>
                </c:pt>
                <c:pt idx="30">
                  <c:v>23.580281294777976</c:v>
                </c:pt>
                <c:pt idx="31">
                  <c:v>23.580281294777976</c:v>
                </c:pt>
                <c:pt idx="32">
                  <c:v>25.808484193328695</c:v>
                </c:pt>
                <c:pt idx="33">
                  <c:v>30.088484193328696</c:v>
                </c:pt>
                <c:pt idx="34">
                  <c:v>33.258484193328698</c:v>
                </c:pt>
                <c:pt idx="35">
                  <c:v>37.058484193328709</c:v>
                </c:pt>
                <c:pt idx="36">
                  <c:v>37.058484193328709</c:v>
                </c:pt>
                <c:pt idx="37">
                  <c:v>37.058484193328709</c:v>
                </c:pt>
                <c:pt idx="38">
                  <c:v>37.058484193328709</c:v>
                </c:pt>
                <c:pt idx="39">
                  <c:v>37.058484193328709</c:v>
                </c:pt>
                <c:pt idx="40">
                  <c:v>40.519622141204451</c:v>
                </c:pt>
                <c:pt idx="41">
                  <c:v>41.589622141204458</c:v>
                </c:pt>
                <c:pt idx="42">
                  <c:v>45.699622141204458</c:v>
                </c:pt>
                <c:pt idx="43">
                  <c:v>46.599622141204463</c:v>
                </c:pt>
                <c:pt idx="44">
                  <c:v>46.599622141204463</c:v>
                </c:pt>
                <c:pt idx="45">
                  <c:v>46.841883010769678</c:v>
                </c:pt>
                <c:pt idx="46">
                  <c:v>49.481883010769678</c:v>
                </c:pt>
                <c:pt idx="47">
                  <c:v>54.421883010769676</c:v>
                </c:pt>
                <c:pt idx="48">
                  <c:v>58.251883010769674</c:v>
                </c:pt>
                <c:pt idx="49">
                  <c:v>61.931883010769681</c:v>
                </c:pt>
                <c:pt idx="50">
                  <c:v>69.541883010769681</c:v>
                </c:pt>
                <c:pt idx="51">
                  <c:v>73.17188301076969</c:v>
                </c:pt>
                <c:pt idx="52">
                  <c:v>75.581883010769687</c:v>
                </c:pt>
                <c:pt idx="53">
                  <c:v>76.871883010769693</c:v>
                </c:pt>
                <c:pt idx="54">
                  <c:v>77.92188301076969</c:v>
                </c:pt>
                <c:pt idx="55">
                  <c:v>77.92188301076969</c:v>
                </c:pt>
                <c:pt idx="56">
                  <c:v>77.926477213668235</c:v>
                </c:pt>
                <c:pt idx="57">
                  <c:v>79.746477213668243</c:v>
                </c:pt>
                <c:pt idx="58">
                  <c:v>81.596477213668237</c:v>
                </c:pt>
                <c:pt idx="59">
                  <c:v>86.256477213668248</c:v>
                </c:pt>
                <c:pt idx="60">
                  <c:v>88.43647721366824</c:v>
                </c:pt>
                <c:pt idx="61">
                  <c:v>93.556477213668245</c:v>
                </c:pt>
                <c:pt idx="62">
                  <c:v>95.266477213668239</c:v>
                </c:pt>
                <c:pt idx="63">
                  <c:v>97.036477213668249</c:v>
                </c:pt>
                <c:pt idx="64">
                  <c:v>99.17647721366825</c:v>
                </c:pt>
                <c:pt idx="65">
                  <c:v>100.03647721366825</c:v>
                </c:pt>
                <c:pt idx="66">
                  <c:v>103.63647721366824</c:v>
                </c:pt>
                <c:pt idx="67">
                  <c:v>104.96647721366824</c:v>
                </c:pt>
                <c:pt idx="68">
                  <c:v>106.71647721366824</c:v>
                </c:pt>
                <c:pt idx="69">
                  <c:v>107.52647721366824</c:v>
                </c:pt>
                <c:pt idx="70">
                  <c:v>109.01647721366824</c:v>
                </c:pt>
                <c:pt idx="71">
                  <c:v>112.30647721366823</c:v>
                </c:pt>
                <c:pt idx="72">
                  <c:v>116.67647721366822</c:v>
                </c:pt>
                <c:pt idx="73">
                  <c:v>118.12647721366822</c:v>
                </c:pt>
                <c:pt idx="74">
                  <c:v>118.77647721366823</c:v>
                </c:pt>
                <c:pt idx="75">
                  <c:v>119.37647721366822</c:v>
                </c:pt>
                <c:pt idx="76">
                  <c:v>123.44647721366822</c:v>
                </c:pt>
                <c:pt idx="77">
                  <c:v>129.82647721366823</c:v>
                </c:pt>
                <c:pt idx="78">
                  <c:v>129.82647721366823</c:v>
                </c:pt>
                <c:pt idx="79">
                  <c:v>134.38649975158444</c:v>
                </c:pt>
                <c:pt idx="80">
                  <c:v>134.49649975158445</c:v>
                </c:pt>
                <c:pt idx="81">
                  <c:v>135.78649975158444</c:v>
                </c:pt>
                <c:pt idx="82">
                  <c:v>137.61649975158446</c:v>
                </c:pt>
                <c:pt idx="83">
                  <c:v>139.22649975158447</c:v>
                </c:pt>
                <c:pt idx="84">
                  <c:v>143.97649975158447</c:v>
                </c:pt>
                <c:pt idx="85">
                  <c:v>155.13649975158447</c:v>
                </c:pt>
                <c:pt idx="86">
                  <c:v>163.32649975158446</c:v>
                </c:pt>
                <c:pt idx="87">
                  <c:v>164.32649975158446</c:v>
                </c:pt>
                <c:pt idx="88">
                  <c:v>165.38649975158444</c:v>
                </c:pt>
                <c:pt idx="89">
                  <c:v>167.57649975158444</c:v>
                </c:pt>
                <c:pt idx="90">
                  <c:v>170.43649975158445</c:v>
                </c:pt>
                <c:pt idx="91">
                  <c:v>172.56649975158444</c:v>
                </c:pt>
                <c:pt idx="92">
                  <c:v>172.81649975158444</c:v>
                </c:pt>
                <c:pt idx="93">
                  <c:v>174.90649975158445</c:v>
                </c:pt>
                <c:pt idx="94">
                  <c:v>174.90649975158445</c:v>
                </c:pt>
                <c:pt idx="95">
                  <c:v>175.7165560068139</c:v>
                </c:pt>
                <c:pt idx="96">
                  <c:v>177.4665560068139</c:v>
                </c:pt>
                <c:pt idx="97">
                  <c:v>178.7865560068139</c:v>
                </c:pt>
                <c:pt idx="98">
                  <c:v>178.7865560068139</c:v>
                </c:pt>
                <c:pt idx="99">
                  <c:v>181.28679299734949</c:v>
                </c:pt>
                <c:pt idx="100">
                  <c:v>181.28679299734949</c:v>
                </c:pt>
                <c:pt idx="101">
                  <c:v>181.28679299734949</c:v>
                </c:pt>
                <c:pt idx="102">
                  <c:v>181.60825093665255</c:v>
                </c:pt>
                <c:pt idx="103">
                  <c:v>185.36825093665254</c:v>
                </c:pt>
                <c:pt idx="104">
                  <c:v>188.05825093665254</c:v>
                </c:pt>
                <c:pt idx="105">
                  <c:v>191.34825093665256</c:v>
                </c:pt>
                <c:pt idx="106">
                  <c:v>192.55825093665257</c:v>
                </c:pt>
                <c:pt idx="107">
                  <c:v>196.17825093665257</c:v>
                </c:pt>
                <c:pt idx="108">
                  <c:v>196.79825093665258</c:v>
                </c:pt>
                <c:pt idx="109">
                  <c:v>200.99825093665257</c:v>
                </c:pt>
                <c:pt idx="110">
                  <c:v>204.36825093665257</c:v>
                </c:pt>
                <c:pt idx="111">
                  <c:v>205.45825093665258</c:v>
                </c:pt>
                <c:pt idx="112">
                  <c:v>210.73825093665258</c:v>
                </c:pt>
                <c:pt idx="113">
                  <c:v>214.39825093665257</c:v>
                </c:pt>
                <c:pt idx="114">
                  <c:v>214.47825093665256</c:v>
                </c:pt>
                <c:pt idx="115">
                  <c:v>214.66825093665256</c:v>
                </c:pt>
                <c:pt idx="116">
                  <c:v>216.46825093665257</c:v>
                </c:pt>
                <c:pt idx="117">
                  <c:v>219.01825093665258</c:v>
                </c:pt>
                <c:pt idx="118">
                  <c:v>222.6182509366526</c:v>
                </c:pt>
                <c:pt idx="119">
                  <c:v>227.00825093665259</c:v>
                </c:pt>
                <c:pt idx="120">
                  <c:v>228.10825093665258</c:v>
                </c:pt>
                <c:pt idx="121">
                  <c:v>228.10825093665258</c:v>
                </c:pt>
                <c:pt idx="122">
                  <c:v>228.10825093665258</c:v>
                </c:pt>
                <c:pt idx="123">
                  <c:v>228.10825093665258</c:v>
                </c:pt>
                <c:pt idx="124">
                  <c:v>228.10825093665258</c:v>
                </c:pt>
                <c:pt idx="125">
                  <c:v>229.62029763221275</c:v>
                </c:pt>
                <c:pt idx="126">
                  <c:v>229.80029763221276</c:v>
                </c:pt>
                <c:pt idx="127">
                  <c:v>231.35029763221274</c:v>
                </c:pt>
                <c:pt idx="128">
                  <c:v>235.68029763221273</c:v>
                </c:pt>
                <c:pt idx="129">
                  <c:v>239.02029763221273</c:v>
                </c:pt>
                <c:pt idx="130">
                  <c:v>239.71029763221273</c:v>
                </c:pt>
                <c:pt idx="131">
                  <c:v>244.66029763221275</c:v>
                </c:pt>
                <c:pt idx="132">
                  <c:v>246.30029763221273</c:v>
                </c:pt>
                <c:pt idx="133">
                  <c:v>249.75029763221272</c:v>
                </c:pt>
                <c:pt idx="134">
                  <c:v>250.85029763221274</c:v>
                </c:pt>
                <c:pt idx="135">
                  <c:v>253.36029763221273</c:v>
                </c:pt>
                <c:pt idx="136">
                  <c:v>255.44029763221275</c:v>
                </c:pt>
                <c:pt idx="137">
                  <c:v>255.53029763221275</c:v>
                </c:pt>
                <c:pt idx="138">
                  <c:v>258.96029763221276</c:v>
                </c:pt>
                <c:pt idx="139">
                  <c:v>262.71029763221276</c:v>
                </c:pt>
                <c:pt idx="140">
                  <c:v>264.63029763221277</c:v>
                </c:pt>
                <c:pt idx="141">
                  <c:v>270.19029763221278</c:v>
                </c:pt>
                <c:pt idx="142">
                  <c:v>272.2302976322128</c:v>
                </c:pt>
                <c:pt idx="143">
                  <c:v>272.53029763221275</c:v>
                </c:pt>
                <c:pt idx="144">
                  <c:v>277.76029763221277</c:v>
                </c:pt>
                <c:pt idx="145">
                  <c:v>279.67029763221274</c:v>
                </c:pt>
                <c:pt idx="146">
                  <c:v>280.24029763221273</c:v>
                </c:pt>
                <c:pt idx="147">
                  <c:v>282.45029763221271</c:v>
                </c:pt>
                <c:pt idx="148">
                  <c:v>283.12029763221273</c:v>
                </c:pt>
                <c:pt idx="149">
                  <c:v>285.91029763221275</c:v>
                </c:pt>
                <c:pt idx="150">
                  <c:v>285.95029763221277</c:v>
                </c:pt>
                <c:pt idx="151">
                  <c:v>285.95029763221277</c:v>
                </c:pt>
                <c:pt idx="152">
                  <c:v>285.95029763221277</c:v>
                </c:pt>
                <c:pt idx="153">
                  <c:v>287.37311344719672</c:v>
                </c:pt>
                <c:pt idx="154">
                  <c:v>287.37311344719672</c:v>
                </c:pt>
                <c:pt idx="155">
                  <c:v>287.37311344719672</c:v>
                </c:pt>
                <c:pt idx="156">
                  <c:v>288.52537167216923</c:v>
                </c:pt>
                <c:pt idx="157">
                  <c:v>288.52537167216923</c:v>
                </c:pt>
                <c:pt idx="158">
                  <c:v>288.52537167216923</c:v>
                </c:pt>
                <c:pt idx="159">
                  <c:v>288.52537167216923</c:v>
                </c:pt>
                <c:pt idx="160">
                  <c:v>288.86938575199565</c:v>
                </c:pt>
                <c:pt idx="161">
                  <c:v>288.86938575199565</c:v>
                </c:pt>
                <c:pt idx="162">
                  <c:v>288.86938575199565</c:v>
                </c:pt>
                <c:pt idx="163">
                  <c:v>290.54122102620505</c:v>
                </c:pt>
                <c:pt idx="164">
                  <c:v>295.00122102620503</c:v>
                </c:pt>
                <c:pt idx="165">
                  <c:v>295.00122102620503</c:v>
                </c:pt>
                <c:pt idx="166">
                  <c:v>295.00122102620503</c:v>
                </c:pt>
                <c:pt idx="167">
                  <c:v>295.90724925073744</c:v>
                </c:pt>
                <c:pt idx="168">
                  <c:v>297.67724925073742</c:v>
                </c:pt>
                <c:pt idx="169">
                  <c:v>302.43724925073741</c:v>
                </c:pt>
                <c:pt idx="170">
                  <c:v>302.53724925073743</c:v>
                </c:pt>
                <c:pt idx="171">
                  <c:v>302.53724925073743</c:v>
                </c:pt>
                <c:pt idx="172">
                  <c:v>302.92815794639523</c:v>
                </c:pt>
                <c:pt idx="173">
                  <c:v>302.92815794639523</c:v>
                </c:pt>
                <c:pt idx="174">
                  <c:v>303.13952751161781</c:v>
                </c:pt>
                <c:pt idx="175">
                  <c:v>305.69952751161782</c:v>
                </c:pt>
                <c:pt idx="176">
                  <c:v>307.61952751161783</c:v>
                </c:pt>
                <c:pt idx="177">
                  <c:v>314.40952751161785</c:v>
                </c:pt>
                <c:pt idx="178">
                  <c:v>316.16952751161784</c:v>
                </c:pt>
                <c:pt idx="179">
                  <c:v>316.16952751161784</c:v>
                </c:pt>
                <c:pt idx="180">
                  <c:v>317.45066577248849</c:v>
                </c:pt>
                <c:pt idx="181">
                  <c:v>317.45066577248849</c:v>
                </c:pt>
                <c:pt idx="182">
                  <c:v>320.95149359857595</c:v>
                </c:pt>
                <c:pt idx="183">
                  <c:v>320.95149359857595</c:v>
                </c:pt>
                <c:pt idx="184">
                  <c:v>320.95149359857595</c:v>
                </c:pt>
                <c:pt idx="185">
                  <c:v>320.95149359857595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45376</c:v>
                </c:pt>
                <c:pt idx="1">
                  <c:v>45377</c:v>
                </c:pt>
                <c:pt idx="2">
                  <c:v>45378</c:v>
                </c:pt>
                <c:pt idx="3">
                  <c:v>45379</c:v>
                </c:pt>
                <c:pt idx="4">
                  <c:v>45380</c:v>
                </c:pt>
                <c:pt idx="5">
                  <c:v>45381</c:v>
                </c:pt>
                <c:pt idx="6">
                  <c:v>45382</c:v>
                </c:pt>
                <c:pt idx="7">
                  <c:v>45383</c:v>
                </c:pt>
                <c:pt idx="8">
                  <c:v>45384</c:v>
                </c:pt>
                <c:pt idx="9">
                  <c:v>45385</c:v>
                </c:pt>
                <c:pt idx="10">
                  <c:v>45386</c:v>
                </c:pt>
                <c:pt idx="11">
                  <c:v>45387</c:v>
                </c:pt>
                <c:pt idx="12">
                  <c:v>45388</c:v>
                </c:pt>
                <c:pt idx="13">
                  <c:v>45389</c:v>
                </c:pt>
                <c:pt idx="14">
                  <c:v>45390</c:v>
                </c:pt>
                <c:pt idx="15">
                  <c:v>45391</c:v>
                </c:pt>
                <c:pt idx="16">
                  <c:v>45392</c:v>
                </c:pt>
                <c:pt idx="17">
                  <c:v>45393</c:v>
                </c:pt>
                <c:pt idx="18">
                  <c:v>45394</c:v>
                </c:pt>
                <c:pt idx="19">
                  <c:v>45395</c:v>
                </c:pt>
                <c:pt idx="20">
                  <c:v>45396</c:v>
                </c:pt>
                <c:pt idx="21">
                  <c:v>45397</c:v>
                </c:pt>
                <c:pt idx="22">
                  <c:v>45398</c:v>
                </c:pt>
                <c:pt idx="23">
                  <c:v>45399</c:v>
                </c:pt>
                <c:pt idx="24">
                  <c:v>45400</c:v>
                </c:pt>
                <c:pt idx="25">
                  <c:v>45401</c:v>
                </c:pt>
                <c:pt idx="26">
                  <c:v>45402</c:v>
                </c:pt>
                <c:pt idx="27">
                  <c:v>45403</c:v>
                </c:pt>
                <c:pt idx="28">
                  <c:v>45404</c:v>
                </c:pt>
                <c:pt idx="29">
                  <c:v>45405</c:v>
                </c:pt>
                <c:pt idx="30">
                  <c:v>45406</c:v>
                </c:pt>
                <c:pt idx="31">
                  <c:v>45407</c:v>
                </c:pt>
                <c:pt idx="32">
                  <c:v>45408</c:v>
                </c:pt>
                <c:pt idx="33">
                  <c:v>45409</c:v>
                </c:pt>
                <c:pt idx="34">
                  <c:v>45410</c:v>
                </c:pt>
                <c:pt idx="35">
                  <c:v>45411</c:v>
                </c:pt>
                <c:pt idx="36">
                  <c:v>45412</c:v>
                </c:pt>
                <c:pt idx="37">
                  <c:v>45413</c:v>
                </c:pt>
                <c:pt idx="38">
                  <c:v>45414</c:v>
                </c:pt>
                <c:pt idx="39">
                  <c:v>45415</c:v>
                </c:pt>
                <c:pt idx="40">
                  <c:v>45416</c:v>
                </c:pt>
                <c:pt idx="41">
                  <c:v>45417</c:v>
                </c:pt>
                <c:pt idx="42">
                  <c:v>45418</c:v>
                </c:pt>
                <c:pt idx="43">
                  <c:v>45419</c:v>
                </c:pt>
                <c:pt idx="44">
                  <c:v>45420</c:v>
                </c:pt>
                <c:pt idx="45">
                  <c:v>45421</c:v>
                </c:pt>
                <c:pt idx="46">
                  <c:v>45422</c:v>
                </c:pt>
                <c:pt idx="47">
                  <c:v>45423</c:v>
                </c:pt>
                <c:pt idx="48">
                  <c:v>45424</c:v>
                </c:pt>
                <c:pt idx="49">
                  <c:v>45425</c:v>
                </c:pt>
                <c:pt idx="50">
                  <c:v>45426</c:v>
                </c:pt>
                <c:pt idx="51">
                  <c:v>45427</c:v>
                </c:pt>
                <c:pt idx="52">
                  <c:v>45428</c:v>
                </c:pt>
                <c:pt idx="53">
                  <c:v>45429</c:v>
                </c:pt>
                <c:pt idx="54">
                  <c:v>45430</c:v>
                </c:pt>
                <c:pt idx="55">
                  <c:v>45431</c:v>
                </c:pt>
                <c:pt idx="56">
                  <c:v>45432</c:v>
                </c:pt>
                <c:pt idx="57">
                  <c:v>45433</c:v>
                </c:pt>
                <c:pt idx="58">
                  <c:v>45434</c:v>
                </c:pt>
                <c:pt idx="59">
                  <c:v>45435</c:v>
                </c:pt>
                <c:pt idx="60">
                  <c:v>45436</c:v>
                </c:pt>
                <c:pt idx="61">
                  <c:v>45437</c:v>
                </c:pt>
                <c:pt idx="62">
                  <c:v>45438</c:v>
                </c:pt>
                <c:pt idx="63">
                  <c:v>45439</c:v>
                </c:pt>
                <c:pt idx="64">
                  <c:v>45440</c:v>
                </c:pt>
                <c:pt idx="65">
                  <c:v>45441</c:v>
                </c:pt>
                <c:pt idx="66">
                  <c:v>45442</c:v>
                </c:pt>
                <c:pt idx="67">
                  <c:v>45443</c:v>
                </c:pt>
                <c:pt idx="68">
                  <c:v>45444</c:v>
                </c:pt>
                <c:pt idx="69">
                  <c:v>45445</c:v>
                </c:pt>
                <c:pt idx="70">
                  <c:v>45446</c:v>
                </c:pt>
                <c:pt idx="71">
                  <c:v>45447</c:v>
                </c:pt>
                <c:pt idx="72">
                  <c:v>45448</c:v>
                </c:pt>
                <c:pt idx="73">
                  <c:v>45449</c:v>
                </c:pt>
                <c:pt idx="74">
                  <c:v>45450</c:v>
                </c:pt>
                <c:pt idx="75">
                  <c:v>45451</c:v>
                </c:pt>
                <c:pt idx="76">
                  <c:v>45452</c:v>
                </c:pt>
                <c:pt idx="77">
                  <c:v>45453</c:v>
                </c:pt>
                <c:pt idx="78">
                  <c:v>45454</c:v>
                </c:pt>
                <c:pt idx="79">
                  <c:v>45455</c:v>
                </c:pt>
                <c:pt idx="80">
                  <c:v>45456</c:v>
                </c:pt>
                <c:pt idx="81">
                  <c:v>45457</c:v>
                </c:pt>
                <c:pt idx="82">
                  <c:v>45458</c:v>
                </c:pt>
                <c:pt idx="83">
                  <c:v>45459</c:v>
                </c:pt>
                <c:pt idx="84">
                  <c:v>45460</c:v>
                </c:pt>
                <c:pt idx="85">
                  <c:v>45461</c:v>
                </c:pt>
                <c:pt idx="86">
                  <c:v>45462</c:v>
                </c:pt>
                <c:pt idx="87">
                  <c:v>45463</c:v>
                </c:pt>
                <c:pt idx="88">
                  <c:v>45464</c:v>
                </c:pt>
                <c:pt idx="89">
                  <c:v>45465</c:v>
                </c:pt>
                <c:pt idx="90">
                  <c:v>45466</c:v>
                </c:pt>
                <c:pt idx="91">
                  <c:v>45467</c:v>
                </c:pt>
                <c:pt idx="92">
                  <c:v>45468</c:v>
                </c:pt>
                <c:pt idx="93">
                  <c:v>45469</c:v>
                </c:pt>
                <c:pt idx="94">
                  <c:v>45470</c:v>
                </c:pt>
                <c:pt idx="95">
                  <c:v>45471</c:v>
                </c:pt>
                <c:pt idx="96">
                  <c:v>45472</c:v>
                </c:pt>
                <c:pt idx="97">
                  <c:v>45473</c:v>
                </c:pt>
                <c:pt idx="98">
                  <c:v>45474</c:v>
                </c:pt>
                <c:pt idx="99">
                  <c:v>45475</c:v>
                </c:pt>
                <c:pt idx="100">
                  <c:v>45476</c:v>
                </c:pt>
                <c:pt idx="101">
                  <c:v>45477</c:v>
                </c:pt>
                <c:pt idx="102">
                  <c:v>45478</c:v>
                </c:pt>
                <c:pt idx="103">
                  <c:v>45479</c:v>
                </c:pt>
                <c:pt idx="104">
                  <c:v>45480</c:v>
                </c:pt>
                <c:pt idx="105">
                  <c:v>45481</c:v>
                </c:pt>
                <c:pt idx="106">
                  <c:v>45482</c:v>
                </c:pt>
                <c:pt idx="107">
                  <c:v>45483</c:v>
                </c:pt>
                <c:pt idx="108">
                  <c:v>45484</c:v>
                </c:pt>
                <c:pt idx="109">
                  <c:v>45485</c:v>
                </c:pt>
                <c:pt idx="110">
                  <c:v>45486</c:v>
                </c:pt>
                <c:pt idx="111">
                  <c:v>45487</c:v>
                </c:pt>
                <c:pt idx="112">
                  <c:v>45488</c:v>
                </c:pt>
                <c:pt idx="113">
                  <c:v>45489</c:v>
                </c:pt>
                <c:pt idx="114">
                  <c:v>45490</c:v>
                </c:pt>
                <c:pt idx="115">
                  <c:v>45491</c:v>
                </c:pt>
                <c:pt idx="116">
                  <c:v>45492</c:v>
                </c:pt>
                <c:pt idx="117">
                  <c:v>45493</c:v>
                </c:pt>
                <c:pt idx="118">
                  <c:v>45494</c:v>
                </c:pt>
                <c:pt idx="119">
                  <c:v>45495</c:v>
                </c:pt>
                <c:pt idx="120">
                  <c:v>45496</c:v>
                </c:pt>
                <c:pt idx="121">
                  <c:v>45497</c:v>
                </c:pt>
                <c:pt idx="122">
                  <c:v>45498</c:v>
                </c:pt>
                <c:pt idx="123">
                  <c:v>45499</c:v>
                </c:pt>
                <c:pt idx="124">
                  <c:v>45500</c:v>
                </c:pt>
                <c:pt idx="125">
                  <c:v>45501</c:v>
                </c:pt>
                <c:pt idx="126">
                  <c:v>45502</c:v>
                </c:pt>
                <c:pt idx="127">
                  <c:v>45503</c:v>
                </c:pt>
                <c:pt idx="128">
                  <c:v>45504</c:v>
                </c:pt>
                <c:pt idx="129">
                  <c:v>45505</c:v>
                </c:pt>
                <c:pt idx="130">
                  <c:v>45506</c:v>
                </c:pt>
                <c:pt idx="131">
                  <c:v>45507</c:v>
                </c:pt>
                <c:pt idx="132">
                  <c:v>45508</c:v>
                </c:pt>
                <c:pt idx="133">
                  <c:v>45509</c:v>
                </c:pt>
                <c:pt idx="134">
                  <c:v>45510</c:v>
                </c:pt>
                <c:pt idx="135">
                  <c:v>45511</c:v>
                </c:pt>
                <c:pt idx="136">
                  <c:v>45512</c:v>
                </c:pt>
                <c:pt idx="137">
                  <c:v>45513</c:v>
                </c:pt>
                <c:pt idx="138">
                  <c:v>45514</c:v>
                </c:pt>
                <c:pt idx="139">
                  <c:v>45515</c:v>
                </c:pt>
                <c:pt idx="140">
                  <c:v>45516</c:v>
                </c:pt>
                <c:pt idx="141">
                  <c:v>45517</c:v>
                </c:pt>
                <c:pt idx="142">
                  <c:v>45518</c:v>
                </c:pt>
                <c:pt idx="143">
                  <c:v>45519</c:v>
                </c:pt>
                <c:pt idx="144">
                  <c:v>45520</c:v>
                </c:pt>
                <c:pt idx="145">
                  <c:v>45521</c:v>
                </c:pt>
                <c:pt idx="146">
                  <c:v>45522</c:v>
                </c:pt>
                <c:pt idx="147">
                  <c:v>45523</c:v>
                </c:pt>
                <c:pt idx="148">
                  <c:v>45524</c:v>
                </c:pt>
                <c:pt idx="149">
                  <c:v>45525</c:v>
                </c:pt>
                <c:pt idx="150">
                  <c:v>45526</c:v>
                </c:pt>
                <c:pt idx="151">
                  <c:v>45527</c:v>
                </c:pt>
                <c:pt idx="152">
                  <c:v>45528</c:v>
                </c:pt>
                <c:pt idx="153">
                  <c:v>45529</c:v>
                </c:pt>
                <c:pt idx="154">
                  <c:v>45530</c:v>
                </c:pt>
                <c:pt idx="155">
                  <c:v>45531</c:v>
                </c:pt>
                <c:pt idx="156">
                  <c:v>45532</c:v>
                </c:pt>
                <c:pt idx="157">
                  <c:v>45533</c:v>
                </c:pt>
                <c:pt idx="158">
                  <c:v>45534</c:v>
                </c:pt>
                <c:pt idx="159">
                  <c:v>45535</c:v>
                </c:pt>
                <c:pt idx="160">
                  <c:v>45536</c:v>
                </c:pt>
                <c:pt idx="161">
                  <c:v>45537</c:v>
                </c:pt>
                <c:pt idx="162">
                  <c:v>45538</c:v>
                </c:pt>
                <c:pt idx="163">
                  <c:v>45539</c:v>
                </c:pt>
                <c:pt idx="164">
                  <c:v>45540</c:v>
                </c:pt>
                <c:pt idx="165">
                  <c:v>45541</c:v>
                </c:pt>
                <c:pt idx="166">
                  <c:v>45542</c:v>
                </c:pt>
                <c:pt idx="167">
                  <c:v>45543</c:v>
                </c:pt>
                <c:pt idx="168">
                  <c:v>45544</c:v>
                </c:pt>
                <c:pt idx="169">
                  <c:v>45545</c:v>
                </c:pt>
                <c:pt idx="170">
                  <c:v>45546</c:v>
                </c:pt>
                <c:pt idx="171">
                  <c:v>45547</c:v>
                </c:pt>
                <c:pt idx="172">
                  <c:v>45548</c:v>
                </c:pt>
                <c:pt idx="173">
                  <c:v>45549</c:v>
                </c:pt>
                <c:pt idx="174">
                  <c:v>45550</c:v>
                </c:pt>
                <c:pt idx="175">
                  <c:v>45551</c:v>
                </c:pt>
                <c:pt idx="176">
                  <c:v>45552</c:v>
                </c:pt>
                <c:pt idx="177">
                  <c:v>45553</c:v>
                </c:pt>
                <c:pt idx="178">
                  <c:v>45554</c:v>
                </c:pt>
                <c:pt idx="179">
                  <c:v>45555</c:v>
                </c:pt>
                <c:pt idx="180">
                  <c:v>45556</c:v>
                </c:pt>
                <c:pt idx="181">
                  <c:v>45557</c:v>
                </c:pt>
                <c:pt idx="182">
                  <c:v>45558</c:v>
                </c:pt>
                <c:pt idx="183">
                  <c:v>45559</c:v>
                </c:pt>
                <c:pt idx="184">
                  <c:v>45560</c:v>
                </c:pt>
                <c:pt idx="185">
                  <c:v>45561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0.89999999997313951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8.4437344952976043E-2</c:v>
                </c:pt>
                <c:pt idx="61">
                  <c:v>0.10476665977623756</c:v>
                </c:pt>
                <c:pt idx="62">
                  <c:v>0.12776687472856207</c:v>
                </c:pt>
                <c:pt idx="63">
                  <c:v>0.15403371878949862</c:v>
                </c:pt>
                <c:pt idx="64">
                  <c:v>0.18605985105180983</c:v>
                </c:pt>
                <c:pt idx="65">
                  <c:v>0.21866327992142159</c:v>
                </c:pt>
                <c:pt idx="66">
                  <c:v>0.25517611138625701</c:v>
                </c:pt>
                <c:pt idx="67">
                  <c:v>0.29634311942918951</c:v>
                </c:pt>
                <c:pt idx="68">
                  <c:v>0.34064304766203685</c:v>
                </c:pt>
                <c:pt idx="69">
                  <c:v>0.38684083772787359</c:v>
                </c:pt>
                <c:pt idx="70">
                  <c:v>0.43952554293472562</c:v>
                </c:pt>
                <c:pt idx="71">
                  <c:v>0.49124916422435316</c:v>
                </c:pt>
                <c:pt idx="72">
                  <c:v>0.54129217176002975</c:v>
                </c:pt>
                <c:pt idx="73">
                  <c:v>0.5886473161903798</c:v>
                </c:pt>
                <c:pt idx="74">
                  <c:v>0.62930045210831753</c:v>
                </c:pt>
                <c:pt idx="75">
                  <c:v>0.666376207992604</c:v>
                </c:pt>
                <c:pt idx="76">
                  <c:v>0.70467559893098375</c:v>
                </c:pt>
                <c:pt idx="77">
                  <c:v>0.73822063372171887</c:v>
                </c:pt>
                <c:pt idx="78">
                  <c:v>0.76936999787984583</c:v>
                </c:pt>
                <c:pt idx="79">
                  <c:v>0.79265117076365299</c:v>
                </c:pt>
                <c:pt idx="80">
                  <c:v>0.81163995041821002</c:v>
                </c:pt>
                <c:pt idx="81">
                  <c:v>0.82598204094056971</c:v>
                </c:pt>
                <c:pt idx="82">
                  <c:v>0.83952479400529223</c:v>
                </c:pt>
                <c:pt idx="83">
                  <c:v>0.85083773936306528</c:v>
                </c:pt>
                <c:pt idx="84">
                  <c:v>0.86020873321205304</c:v>
                </c:pt>
                <c:pt idx="85">
                  <c:v>0.8680939343032652</c:v>
                </c:pt>
                <c:pt idx="86">
                  <c:v>0.87443620601114624</c:v>
                </c:pt>
                <c:pt idx="87">
                  <c:v>0.87929174240146379</c:v>
                </c:pt>
                <c:pt idx="88">
                  <c:v>0.88286281867632421</c:v>
                </c:pt>
                <c:pt idx="89">
                  <c:v>0.88584302367368217</c:v>
                </c:pt>
                <c:pt idx="90">
                  <c:v>0.88864037040138588</c:v>
                </c:pt>
                <c:pt idx="91">
                  <c:v>0.89072396969630818</c:v>
                </c:pt>
                <c:pt idx="92">
                  <c:v>0.89236690996637913</c:v>
                </c:pt>
                <c:pt idx="93">
                  <c:v>0.89367234253552918</c:v>
                </c:pt>
                <c:pt idx="94">
                  <c:v>0.8947636885366248</c:v>
                </c:pt>
                <c:pt idx="95">
                  <c:v>0.8956556227774114</c:v>
                </c:pt>
                <c:pt idx="96">
                  <c:v>0.89638228797335529</c:v>
                </c:pt>
                <c:pt idx="97">
                  <c:v>0.89700652237926415</c:v>
                </c:pt>
                <c:pt idx="98">
                  <c:v>0.897491735667163</c:v>
                </c:pt>
                <c:pt idx="99">
                  <c:v>0.89792542473729364</c:v>
                </c:pt>
                <c:pt idx="100">
                  <c:v>0.89827576037273915</c:v>
                </c:pt>
                <c:pt idx="101">
                  <c:v>0.89859148721655824</c:v>
                </c:pt>
                <c:pt idx="102">
                  <c:v>0.89884251968128226</c:v>
                </c:pt>
                <c:pt idx="103">
                  <c:v>0.89905985376154296</c:v>
                </c:pt>
                <c:pt idx="104">
                  <c:v>0.89921760536389606</c:v>
                </c:pt>
                <c:pt idx="105">
                  <c:v>0.8993436969407077</c:v>
                </c:pt>
                <c:pt idx="106">
                  <c:v>0.89945042775692408</c:v>
                </c:pt>
                <c:pt idx="107">
                  <c:v>0.89953772385401476</c:v>
                </c:pt>
                <c:pt idx="108">
                  <c:v>0.89961399737731873</c:v>
                </c:pt>
                <c:pt idx="109">
                  <c:v>0.89967574030337405</c:v>
                </c:pt>
                <c:pt idx="110">
                  <c:v>0.89972661055903458</c:v>
                </c:pt>
                <c:pt idx="111">
                  <c:v>0.89977412407951896</c:v>
                </c:pt>
                <c:pt idx="112">
                  <c:v>0.89981338173477843</c:v>
                </c:pt>
                <c:pt idx="113">
                  <c:v>0.89984822403402775</c:v>
                </c:pt>
                <c:pt idx="114">
                  <c:v>0.89987457774788893</c:v>
                </c:pt>
                <c:pt idx="115">
                  <c:v>0.8998966682831907</c:v>
                </c:pt>
                <c:pt idx="116">
                  <c:v>0.89991579897641072</c:v>
                </c:pt>
                <c:pt idx="117">
                  <c:v>0.89993187435437771</c:v>
                </c:pt>
                <c:pt idx="118">
                  <c:v>0.89994511793946319</c:v>
                </c:pt>
                <c:pt idx="119">
                  <c:v>0.89995521165513337</c:v>
                </c:pt>
                <c:pt idx="120">
                  <c:v>0.89996342540474694</c:v>
                </c:pt>
                <c:pt idx="121">
                  <c:v>0.89996982879590015</c:v>
                </c:pt>
                <c:pt idx="122">
                  <c:v>0.89997501976784711</c:v>
                </c:pt>
                <c:pt idx="123">
                  <c:v>0.89997957018386565</c:v>
                </c:pt>
                <c:pt idx="124">
                  <c:v>0.89998316881925644</c:v>
                </c:pt>
                <c:pt idx="125">
                  <c:v>0.89998614851354253</c:v>
                </c:pt>
                <c:pt idx="126">
                  <c:v>0.89998838744134091</c:v>
                </c:pt>
                <c:pt idx="127">
                  <c:v>0.89999038334995451</c:v>
                </c:pt>
                <c:pt idx="128">
                  <c:v>0.89999230450880097</c:v>
                </c:pt>
                <c:pt idx="129">
                  <c:v>0.89999387628514183</c:v>
                </c:pt>
                <c:pt idx="130">
                  <c:v>0.89999507423505132</c:v>
                </c:pt>
                <c:pt idx="131">
                  <c:v>0.89999604466336636</c:v>
                </c:pt>
                <c:pt idx="132">
                  <c:v>0.89999679571636981</c:v>
                </c:pt>
                <c:pt idx="133">
                  <c:v>0.89999741030438796</c:v>
                </c:pt>
                <c:pt idx="134">
                  <c:v>0.89999791196981571</c:v>
                </c:pt>
                <c:pt idx="135">
                  <c:v>0.89999829711282353</c:v>
                </c:pt>
                <c:pt idx="136">
                  <c:v>0.89999858003929789</c:v>
                </c:pt>
                <c:pt idx="137">
                  <c:v>0.8999988008058879</c:v>
                </c:pt>
                <c:pt idx="138">
                  <c:v>0.8999990077751665</c:v>
                </c:pt>
                <c:pt idx="139">
                  <c:v>0.89999918624654418</c:v>
                </c:pt>
                <c:pt idx="140">
                  <c:v>0.89999933691773526</c:v>
                </c:pt>
                <c:pt idx="141">
                  <c:v>0.8999994629422301</c:v>
                </c:pt>
                <c:pt idx="142">
                  <c:v>0.89999956181532936</c:v>
                </c:pt>
                <c:pt idx="143">
                  <c:v>0.89999964448363434</c:v>
                </c:pt>
                <c:pt idx="144">
                  <c:v>0.89999971105788079</c:v>
                </c:pt>
                <c:pt idx="145">
                  <c:v>0.89999976113255742</c:v>
                </c:pt>
                <c:pt idx="146">
                  <c:v>0.89999980527635703</c:v>
                </c:pt>
                <c:pt idx="147">
                  <c:v>0.89999984050769455</c:v>
                </c:pt>
                <c:pt idx="148">
                  <c:v>0.89999987079274868</c:v>
                </c:pt>
                <c:pt idx="149">
                  <c:v>0.89999989476161346</c:v>
                </c:pt>
                <c:pt idx="150">
                  <c:v>0.89999991439486071</c:v>
                </c:pt>
                <c:pt idx="151">
                  <c:v>0.89999993082905438</c:v>
                </c:pt>
                <c:pt idx="152">
                  <c:v>0.89999994390309701</c:v>
                </c:pt>
                <c:pt idx="153">
                  <c:v>0.89999995547607148</c:v>
                </c:pt>
                <c:pt idx="154">
                  <c:v>0.89999996468434618</c:v>
                </c:pt>
                <c:pt idx="155">
                  <c:v>0.89999997218673145</c:v>
                </c:pt>
                <c:pt idx="156">
                  <c:v>0.89999997785798691</c:v>
                </c:pt>
                <c:pt idx="157">
                  <c:v>0.89999998257681857</c:v>
                </c:pt>
                <c:pt idx="158">
                  <c:v>0.899999986156367</c:v>
                </c:pt>
                <c:pt idx="159">
                  <c:v>0.89999998886933752</c:v>
                </c:pt>
                <c:pt idx="160">
                  <c:v>0.89999999096146976</c:v>
                </c:pt>
                <c:pt idx="161">
                  <c:v>0.89999999267458619</c:v>
                </c:pt>
                <c:pt idx="162">
                  <c:v>0.89999999410254372</c:v>
                </c:pt>
                <c:pt idx="163">
                  <c:v>0.89999999522340668</c:v>
                </c:pt>
                <c:pt idx="164">
                  <c:v>0.89999999617683124</c:v>
                </c:pt>
                <c:pt idx="165">
                  <c:v>0.89999999696883193</c:v>
                </c:pt>
                <c:pt idx="166">
                  <c:v>0.8999999975869013</c:v>
                </c:pt>
                <c:pt idx="167">
                  <c:v>0.89999999803835717</c:v>
                </c:pt>
                <c:pt idx="168">
                  <c:v>0.89999999842176492</c:v>
                </c:pt>
                <c:pt idx="169">
                  <c:v>0.89999999874519832</c:v>
                </c:pt>
                <c:pt idx="170">
                  <c:v>0.89999999899825534</c:v>
                </c:pt>
                <c:pt idx="171">
                  <c:v>0.89999999921344098</c:v>
                </c:pt>
                <c:pt idx="172">
                  <c:v>0.89999999938080288</c:v>
                </c:pt>
                <c:pt idx="173">
                  <c:v>0.89999999951538245</c:v>
                </c:pt>
                <c:pt idx="174">
                  <c:v>0.89999999962005739</c:v>
                </c:pt>
                <c:pt idx="175">
                  <c:v>0.8999999997079714</c:v>
                </c:pt>
                <c:pt idx="176">
                  <c:v>0.89999999977134393</c:v>
                </c:pt>
                <c:pt idx="177">
                  <c:v>0.89999999981765366</c:v>
                </c:pt>
                <c:pt idx="178">
                  <c:v>0.8999999998542394</c:v>
                </c:pt>
                <c:pt idx="179">
                  <c:v>0.89999999988212032</c:v>
                </c:pt>
                <c:pt idx="180">
                  <c:v>0.89999999990530322</c:v>
                </c:pt>
                <c:pt idx="181">
                  <c:v>0.89999999992522728</c:v>
                </c:pt>
                <c:pt idx="182">
                  <c:v>0.899999999941831</c:v>
                </c:pt>
                <c:pt idx="183">
                  <c:v>0.89999999995519409</c:v>
                </c:pt>
                <c:pt idx="184">
                  <c:v>0.89999999996517344</c:v>
                </c:pt>
                <c:pt idx="185">
                  <c:v>0.89999999997313951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</v>
    <v>8</v>
    <v>10</v>
    <v>1</v>
  </rv>
  <rv s="0">
    <v>2</v>
    <v>8</v>
    <v>9</v>
    <v>1</v>
  </rv>
  <rv s="0">
    <v>2</v>
    <v>8</v>
    <v>8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B4" zoomScale="110" zoomScaleNormal="110" workbookViewId="0">
      <selection activeCell="D54" sqref="D54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5" width="9.140625" style="55" customWidth="1"/>
    <col min="26" max="29" width="9.140625" customWidth="1"/>
    <col min="30" max="30" width="10.85546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181</v>
      </c>
      <c r="D1" s="123" t="s">
        <v>151</v>
      </c>
      <c r="E1" s="124"/>
      <c r="F1" s="124"/>
      <c r="G1" s="124"/>
      <c r="H1" s="125"/>
      <c r="Z1"/>
      <c r="AA1"/>
      <c r="AB1"/>
      <c r="AC1"/>
    </row>
    <row r="2" spans="2:34" s="55" customFormat="1" ht="47.25" customHeight="1">
      <c r="C2" s="100"/>
      <c r="D2" s="126" t="s">
        <v>152</v>
      </c>
      <c r="E2" s="127"/>
      <c r="F2" s="127"/>
      <c r="G2" s="127"/>
      <c r="H2" s="128"/>
      <c r="Z2"/>
      <c r="AA2"/>
      <c r="AB2"/>
      <c r="AC2"/>
    </row>
    <row r="3" spans="2:34" s="54" customFormat="1" ht="15.75" thickBot="1">
      <c r="B3" s="55"/>
      <c r="C3" s="129" t="s">
        <v>182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75">
      <c r="C4" s="102" t="s">
        <v>171</v>
      </c>
      <c r="D4" s="103" t="s">
        <v>275</v>
      </c>
      <c r="E4" s="58"/>
      <c r="F4" s="102" t="s">
        <v>190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75">
      <c r="C5" s="102" t="s">
        <v>26</v>
      </c>
      <c r="D5" s="104" t="s">
        <v>64</v>
      </c>
      <c r="E5" s="58"/>
      <c r="F5" s="102" t="s">
        <v>191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75">
      <c r="C6" s="102" t="s">
        <v>94</v>
      </c>
      <c r="D6" s="104" t="s">
        <v>75</v>
      </c>
      <c r="F6" s="102" t="s">
        <v>186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95</v>
      </c>
      <c r="D7" s="85" t="str">
        <f>IF(E7="","General",E7)</f>
        <v>Head only</v>
      </c>
      <c r="E7" s="92" t="s">
        <v>76</v>
      </c>
      <c r="Z7"/>
      <c r="AA7"/>
      <c r="AB7"/>
      <c r="AC7"/>
    </row>
    <row r="8" spans="2:34" s="55" customFormat="1">
      <c r="C8" s="64" t="s">
        <v>150</v>
      </c>
      <c r="D8" s="65" t="str">
        <f>SUBSTITUTE(CurrentCropName&amp;" "&amp;CurrentCropType&amp;" "&amp;CurrentCropVariety,"_"," ")</f>
        <v>Broccoli Vegetable Head only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45436</v>
      </c>
      <c r="E9" s="67">
        <v>45436</v>
      </c>
      <c r="F9" s="57" t="s">
        <v>145</v>
      </c>
      <c r="G9" s="85" t="str">
        <f>IF(H9="",VLOOKUP(CurrentCropNameFull,CropCoefficients,13,FALSE),H9)</f>
        <v>Seedling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45561</v>
      </c>
      <c r="E10" s="67">
        <v>45561</v>
      </c>
      <c r="F10" s="57" t="s">
        <v>146</v>
      </c>
      <c r="G10" s="85" t="str">
        <f>IF(H10="",VLOOKUP(CurrentCropNameFull,CropCoefficients,15,FALSE),H10)</f>
        <v>EarlyReproductive</v>
      </c>
      <c r="H10" s="72"/>
      <c r="Z10"/>
      <c r="AA10"/>
      <c r="AB10"/>
      <c r="AC10"/>
    </row>
    <row r="11" spans="2:34" s="55" customFormat="1">
      <c r="C11" s="57" t="s">
        <v>136</v>
      </c>
      <c r="D11" s="85">
        <f>IF(CurrentUnits="kg/head",IF(E11="",VLOOKUP(CurrentCropNameFull,CropCoefficients,20,FALSE),E11),"1")</f>
        <v>40000</v>
      </c>
      <c r="E11" s="72">
        <v>40000</v>
      </c>
      <c r="F11" s="57" t="s">
        <v>133</v>
      </c>
      <c r="G11" s="85">
        <f>IF(H11="",VLOOKUP(CurrentCropNameFull,CropCoefficients,23,FALSE),H11)</f>
        <v>0</v>
      </c>
      <c r="H11" s="69"/>
      <c r="Z11"/>
      <c r="AA11"/>
      <c r="AB11"/>
      <c r="AC11"/>
    </row>
    <row r="12" spans="2:34" s="55" customFormat="1">
      <c r="C12" s="57" t="str">
        <f>"Yield ("&amp;CurrentUnits&amp;")"</f>
        <v>Yield (kg/head)</v>
      </c>
      <c r="D12" s="85">
        <f>IF(E12="",VLOOKUP(CurrentCropNameFull,CropCoefficients,17,FALSE),E12)</f>
        <v>0.4</v>
      </c>
      <c r="E12" s="69">
        <v>0.4</v>
      </c>
      <c r="F12" s="57" t="s">
        <v>135</v>
      </c>
      <c r="G12" s="85">
        <f>IF(H12="",VLOOKUP(CurrentCropNameFull,CropCoefficients,22,FALSE),H12)</f>
        <v>0</v>
      </c>
      <c r="H12" s="69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kg/head</v>
      </c>
      <c r="E13" s="71"/>
      <c r="F13" s="57" t="s">
        <v>134</v>
      </c>
      <c r="G13" s="93">
        <f>IF(H13="",VLOOKUP(CurrentCropNameFull,CropCoefficients,26,FALSE),H13)</f>
        <v>89</v>
      </c>
      <c r="H13" s="69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16</v>
      </c>
      <c r="C14" s="64" t="str">
        <f>"Yield "&amp;CurrentYield_tperHa&amp;" (t/ha)"</f>
        <v>Yield 16 (t/ha)</v>
      </c>
      <c r="D14" s="90" t="str">
        <f ca="1">"requires "&amp;ROUND(SUM('Model Interface'!P9:Q9),0)&amp;" kg N/ha from all sources"</f>
        <v>requires 185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 ca="1">PriorHarvestDate</f>
        <v>45376</v>
      </c>
      <c r="Z14"/>
      <c r="AA14"/>
      <c r="AB14"/>
      <c r="AC14"/>
    </row>
    <row r="15" spans="2:34" s="55" customFormat="1" ht="16.5" thickBot="1">
      <c r="B15" s="55">
        <f ca="1">SUMIF(B29:B43,1,G29:G43)</f>
        <v>88.212052739237961</v>
      </c>
      <c r="C15" s="105" t="s">
        <v>219</v>
      </c>
      <c r="D15" s="106" t="str">
        <f ca="1">SUMIF(B29:B43,1,G29:G43)&amp;" Kg/ha"</f>
        <v>88.212052739238 Kg/ha</v>
      </c>
      <c r="E15" s="107" t="s">
        <v>185</v>
      </c>
      <c r="F15" s="57" t="s">
        <v>158</v>
      </c>
      <c r="G15" s="85" t="str">
        <f>IF(H15="","Full (Plough)",H15)</f>
        <v>Full (Plough)</v>
      </c>
      <c r="H15" s="72"/>
      <c r="R15" s="122" t="s">
        <v>221</v>
      </c>
      <c r="S15" s="122"/>
      <c r="T15" s="122"/>
      <c r="U15" s="122"/>
      <c r="V15" s="122"/>
      <c r="W15" s="115"/>
      <c r="X15" s="115"/>
      <c r="Y15" s="115"/>
      <c r="Z15" s="120" t="s">
        <v>220</v>
      </c>
      <c r="AA15" s="120"/>
      <c r="AB15" s="120"/>
      <c r="AC15" s="120"/>
      <c r="AD15" s="121" t="s">
        <v>222</v>
      </c>
      <c r="AE15" s="121"/>
      <c r="AF15" s="121"/>
      <c r="AG15" s="121"/>
      <c r="AH15" s="121"/>
    </row>
    <row r="16" spans="2:34" s="55" customFormat="1" ht="5.25" customHeight="1">
      <c r="Z16"/>
      <c r="AA16"/>
      <c r="AB16"/>
      <c r="AC16"/>
    </row>
    <row r="17" spans="1:37" s="54" customFormat="1" ht="15.75" thickBot="1">
      <c r="A17" s="55"/>
      <c r="B17" s="55"/>
      <c r="C17" s="129" t="s">
        <v>183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Interface'!J11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240</v>
      </c>
      <c r="Y17" s="55" t="s">
        <v>241</v>
      </c>
      <c r="Z17" s="55" t="s">
        <v>200</v>
      </c>
      <c r="AA17" s="55" t="s">
        <v>201</v>
      </c>
      <c r="AB17" s="55" t="s">
        <v>186</v>
      </c>
      <c r="AC17" s="55" t="s">
        <v>204</v>
      </c>
      <c r="AD17" s="55" t="s">
        <v>14</v>
      </c>
      <c r="AE17" s="55"/>
      <c r="AF17" s="55" t="s">
        <v>156</v>
      </c>
      <c r="AG17" s="55" t="s">
        <v>155</v>
      </c>
      <c r="AH17" s="55" t="s">
        <v>13</v>
      </c>
      <c r="AI17" s="54" t="s">
        <v>173</v>
      </c>
      <c r="AJ17" s="55" t="s">
        <v>240</v>
      </c>
      <c r="AK17" s="55" t="s">
        <v>241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Interface'!X12:X501,('Model Interface'!X12:X501&gt;=StartGraphDate)*('Model Interface'!X12:X501&lt;=CurrentHarvestDate),"")</f>
        <v>45376</v>
      </c>
      <c r="S18" s="55">
        <f ca="1">IF(R18&gt;1,R18,"")</f>
        <v>45376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205.45477707006367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1.1458094368831817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0.89999999997313951</v>
      </c>
      <c r="AD18" s="83">
        <f t="array" aca="1" ref="AD18:AD662" ca="1">_xlfn._xlws.FILTER('Model Interface'!X12:X1005,('Model Interface'!X12:X1005&gt;=CurrentHarvestDate+1)*('Model Interface'!X12:X1005&lt;=FollowingHarvestDate),"")</f>
        <v>45562</v>
      </c>
      <c r="AE18" s="55">
        <f ca="1">IF(AD18&gt;1,AD18,"")</f>
        <v>45562</v>
      </c>
      <c r="AF18" s="55">
        <f t="shared" ref="AF18:AF20" ca="1" si="6">VLOOKUP(AE18,ModelOutputs,2,FALSE)</f>
        <v>32.220304336636481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0.83363579149412448</v>
      </c>
      <c r="AK18" s="55">
        <f t="shared" ref="AK18" ca="1" si="10">VLOOKUP(AE18,ModelOutputs,4,FALSE)</f>
        <v>2.6482635260386189</v>
      </c>
    </row>
    <row r="19" spans="1:37" s="55" customFormat="1">
      <c r="C19" s="57" t="s">
        <v>216</v>
      </c>
      <c r="D19" s="85">
        <f>IF(E19="",60,E19)</f>
        <v>55</v>
      </c>
      <c r="E19" s="16">
        <v>55</v>
      </c>
      <c r="F19" s="94" t="str">
        <f ca="1">ROUND('Model Interface'!N8,0)&amp;" kg N/ha available from SOM mineralisation"</f>
        <v>138 kg N/ha available from SOM mineralisation</v>
      </c>
      <c r="R19" s="83">
        <f ca="1"/>
        <v>45377</v>
      </c>
      <c r="S19" s="55">
        <f t="shared" ref="S19:S82" ca="1" si="11">IF(R19&gt;1,R19,"")</f>
        <v>45377</v>
      </c>
      <c r="T19" s="55">
        <f t="shared" ca="1" si="0"/>
        <v>54.836828367819166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2.3060214359930375</v>
      </c>
      <c r="Y19" s="55">
        <f t="shared" ref="Y19:Y82" ca="1" si="14">VLOOKUP(S19,ModelOutputs,4,FALSE)+Y18</f>
        <v>3.6766163687093076</v>
      </c>
      <c r="Z19">
        <f t="shared" ca="1" si="3"/>
        <v>107.20869565217392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45563</v>
      </c>
      <c r="AE19" s="55">
        <f t="shared" ref="AE19:AE20" ca="1" si="16">IF(AD19&gt;1,AD19,"")</f>
        <v>45563</v>
      </c>
      <c r="AF19" s="55">
        <f t="shared" ca="1" si="6"/>
        <v>35.634119453092509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1.6916658137172389</v>
      </c>
      <c r="AK19" s="55">
        <f t="shared" ref="AK19:AK82" ca="1" si="19">VLOOKUP(AE19,ModelOutputs,4,FALSE)+AK18</f>
        <v>5.2040486202715357</v>
      </c>
    </row>
    <row r="20" spans="1:37" s="55" customFormat="1">
      <c r="C20" s="57" t="s">
        <v>225</v>
      </c>
      <c r="D20" s="85" t="str">
        <f>IF(E20="","Sedementary",E20)</f>
        <v>Sedimentary</v>
      </c>
      <c r="E20" s="16" t="s">
        <v>242</v>
      </c>
      <c r="F20" s="94"/>
      <c r="R20" s="83">
        <f ca="1"/>
        <v>45378</v>
      </c>
      <c r="S20" s="55">
        <f t="shared" ca="1" si="11"/>
        <v>45378</v>
      </c>
      <c r="T20" s="55">
        <f t="shared" ca="1" si="0"/>
        <v>58.972411499303199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3.336923505682527</v>
      </c>
      <c r="Y20" s="55">
        <f t="shared" ca="1" si="14"/>
        <v>6.7812974305038534</v>
      </c>
      <c r="Z20">
        <f t="shared" ca="1" si="3"/>
        <v>105.85003654694393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45564</v>
      </c>
      <c r="AE20" s="55">
        <f t="shared" ca="1" si="16"/>
        <v>45564</v>
      </c>
      <c r="AF20" s="55">
        <f t="shared" ca="1" si="6"/>
        <v>38.242246215475532</v>
      </c>
      <c r="AG20" s="55">
        <f t="shared" ca="1" si="7"/>
        <v>0</v>
      </c>
      <c r="AH20" s="55">
        <f t="shared" ca="1" si="8"/>
        <v>0</v>
      </c>
      <c r="AI20" s="55">
        <f t="shared" ca="1" si="17"/>
        <v>-0.62835469406323707</v>
      </c>
      <c r="AJ20" s="55">
        <f t="shared" ca="1" si="18"/>
        <v>2.5397329992429598</v>
      </c>
      <c r="AK20" s="55">
        <f t="shared" ca="1" si="19"/>
        <v>7.5924628911920777</v>
      </c>
    </row>
    <row r="21" spans="1:37" s="55" customFormat="1" ht="15.75" customHeight="1">
      <c r="B21" s="55">
        <f>VLOOKUP(SampleDepth,depths,2,FALSE)</f>
        <v>3</v>
      </c>
      <c r="C21" s="57" t="s">
        <v>207</v>
      </c>
      <c r="D21" s="85" t="str">
        <f>IF(E21="","0-30cm",E21)</f>
        <v>Top30cm</v>
      </c>
      <c r="E21" s="16" t="s">
        <v>260</v>
      </c>
      <c r="F21" s="94"/>
      <c r="R21" s="83">
        <f ca="1"/>
        <v>45379</v>
      </c>
      <c r="S21" s="55">
        <f t="shared" ca="1" si="11"/>
        <v>45379</v>
      </c>
      <c r="T21" s="55">
        <f t="shared" ca="1" si="0"/>
        <v>63.005682914370901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4.4080083272915918</v>
      </c>
      <c r="Y21" s="55">
        <f t="shared" ca="1" si="14"/>
        <v>9.7434840239624911</v>
      </c>
      <c r="Z21">
        <f t="shared" ca="1" si="3"/>
        <v>106.29717298338858</v>
      </c>
      <c r="AA21">
        <f t="shared" ca="1" si="15"/>
        <v>0</v>
      </c>
      <c r="AB21">
        <f t="shared" ca="1" si="4"/>
        <v>0</v>
      </c>
      <c r="AC21">
        <f t="shared" ca="1" si="5"/>
        <v>0</v>
      </c>
      <c r="AD21" s="83">
        <f ca="1"/>
        <v>45565</v>
      </c>
      <c r="AE21" s="55">
        <f t="shared" ref="AE21:AE84" ca="1" si="20">IF(AD21&gt;1,AD21,"")</f>
        <v>45565</v>
      </c>
      <c r="AF21" s="55">
        <f t="shared" ref="AF21:AF84" ca="1" si="21">VLOOKUP(AE21,ModelOutputs,2,FALSE)</f>
        <v>41.148888733736491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-0.62835469406323707</v>
      </c>
      <c r="AJ21" s="55">
        <f t="shared" ca="1" si="18"/>
        <v>3.3229764377664637</v>
      </c>
      <c r="AK21" s="55">
        <f t="shared" ca="1" si="19"/>
        <v>9.7158619709295309</v>
      </c>
    </row>
    <row r="22" spans="1:37" s="55" customFormat="1" ht="15" customHeight="1">
      <c r="C22" s="57" t="s">
        <v>208</v>
      </c>
      <c r="D22" s="85" t="str">
        <f>IF(E22="","loam",E22)</f>
        <v>SandyLoam</v>
      </c>
      <c r="E22" s="16" t="s">
        <v>266</v>
      </c>
      <c r="F22" s="94"/>
      <c r="R22" s="83">
        <f ca="1"/>
        <v>45380</v>
      </c>
      <c r="S22" s="55">
        <f t="shared" ca="1" si="11"/>
        <v>45380</v>
      </c>
      <c r="T22" s="55">
        <f t="shared" ca="1" si="0"/>
        <v>66.877899878672608</v>
      </c>
      <c r="U22" s="55">
        <f t="shared" ca="1" si="1"/>
        <v>0</v>
      </c>
      <c r="V22" s="55">
        <f t="shared" ca="1" si="2"/>
        <v>0</v>
      </c>
      <c r="W22" s="55">
        <f t="shared" ca="1" si="12"/>
        <v>0</v>
      </c>
      <c r="X22" s="55">
        <f t="shared" ca="1" si="13"/>
        <v>5.4984848134171935</v>
      </c>
      <c r="Y22" s="55">
        <f t="shared" ca="1" si="14"/>
        <v>12.525224502138597</v>
      </c>
      <c r="Z22">
        <f t="shared" ca="1" si="3"/>
        <v>106.27787084356288</v>
      </c>
      <c r="AA22">
        <f t="shared" ca="1" si="15"/>
        <v>0</v>
      </c>
      <c r="AB22">
        <f t="shared" ca="1" si="4"/>
        <v>0</v>
      </c>
      <c r="AC22">
        <f t="shared" ca="1" si="5"/>
        <v>0</v>
      </c>
      <c r="AD22" s="83">
        <f ca="1"/>
        <v>45566</v>
      </c>
      <c r="AE22" s="55">
        <f t="shared" ca="1" si="20"/>
        <v>45566</v>
      </c>
      <c r="AF22" s="55">
        <f t="shared" ca="1" si="21"/>
        <v>44.007015394607336</v>
      </c>
      <c r="AG22" s="55">
        <f t="shared" ca="1" si="22"/>
        <v>0</v>
      </c>
      <c r="AH22" s="55">
        <f t="shared" ca="1" si="23"/>
        <v>0</v>
      </c>
      <c r="AI22" s="55">
        <f t="shared" ca="1" si="17"/>
        <v>-0.63894255458373528</v>
      </c>
      <c r="AJ22" s="55">
        <f t="shared" ca="1" si="18"/>
        <v>4.1333960557873501</v>
      </c>
      <c r="AK22" s="55">
        <f t="shared" ca="1" si="19"/>
        <v>11.774156874299983</v>
      </c>
    </row>
    <row r="23" spans="1:37" s="55" customFormat="1">
      <c r="C23" s="57"/>
      <c r="D23" s="85"/>
      <c r="E23" s="113"/>
      <c r="F23" s="94"/>
      <c r="R23" s="83">
        <f ca="1"/>
        <v>45381</v>
      </c>
      <c r="S23" s="55">
        <f t="shared" ca="1" si="11"/>
        <v>45381</v>
      </c>
      <c r="T23" s="55">
        <f t="shared" ca="1" si="0"/>
        <v>70.401842016949601</v>
      </c>
      <c r="U23" s="55">
        <f t="shared" ca="1" si="1"/>
        <v>0</v>
      </c>
      <c r="V23" s="55">
        <f t="shared" ca="1" si="2"/>
        <v>0</v>
      </c>
      <c r="W23" s="55">
        <f t="shared" ca="1" si="12"/>
        <v>0</v>
      </c>
      <c r="X23" s="55">
        <f t="shared" ca="1" si="13"/>
        <v>6.5428472887620606</v>
      </c>
      <c r="Y23" s="55">
        <f t="shared" ca="1" si="14"/>
        <v>15.004804165070723</v>
      </c>
      <c r="Z23">
        <f t="shared" ca="1" si="3"/>
        <v>106.0908224235107</v>
      </c>
      <c r="AA23">
        <f t="shared" ca="1" si="15"/>
        <v>0</v>
      </c>
      <c r="AB23">
        <f t="shared" ca="1" si="4"/>
        <v>0</v>
      </c>
      <c r="AC23">
        <f t="shared" ca="1" si="5"/>
        <v>0</v>
      </c>
      <c r="AD23" s="83">
        <f ca="1"/>
        <v>45567</v>
      </c>
      <c r="AE23" s="55">
        <f t="shared" ca="1" si="20"/>
        <v>45567</v>
      </c>
      <c r="AF23" s="55">
        <f t="shared" ca="1" si="21"/>
        <v>46.533503686550766</v>
      </c>
      <c r="AG23" s="55">
        <f t="shared" ca="1" si="22"/>
        <v>0</v>
      </c>
      <c r="AH23" s="55">
        <f t="shared" ca="1" si="23"/>
        <v>0</v>
      </c>
      <c r="AI23" s="55">
        <f t="shared" ca="1" si="17"/>
        <v>-1.0592277646918287</v>
      </c>
      <c r="AJ23" s="55">
        <f t="shared" ca="1" si="18"/>
        <v>5.0139112303254878</v>
      </c>
      <c r="AK23" s="55">
        <f t="shared" ca="1" si="19"/>
        <v>13.840415201813364</v>
      </c>
    </row>
    <row r="24" spans="1:37" s="55" customFormat="1">
      <c r="C24" s="57" t="s">
        <v>224</v>
      </c>
      <c r="D24" s="85">
        <f>IF(E24="",0,E24)</f>
        <v>0</v>
      </c>
      <c r="E24" s="113">
        <v>0</v>
      </c>
      <c r="F24" s="94"/>
      <c r="R24" s="83">
        <f ca="1"/>
        <v>45382</v>
      </c>
      <c r="S24" s="55">
        <f t="shared" ca="1" si="11"/>
        <v>45382</v>
      </c>
      <c r="T24" s="55">
        <f t="shared" ca="1" si="0"/>
        <v>73.666768460300489</v>
      </c>
      <c r="U24" s="55">
        <f t="shared" ca="1" si="1"/>
        <v>0</v>
      </c>
      <c r="V24" s="55">
        <f t="shared" ca="1" si="2"/>
        <v>0</v>
      </c>
      <c r="W24" s="55">
        <f t="shared" ca="1" si="12"/>
        <v>0</v>
      </c>
      <c r="X24" s="55">
        <f t="shared" ca="1" si="13"/>
        <v>7.5528951065166972</v>
      </c>
      <c r="Y24" s="55">
        <f t="shared" ca="1" si="14"/>
        <v>17.259682790666975</v>
      </c>
      <c r="Z24">
        <f t="shared" ca="1" si="3"/>
        <v>104.83675419129992</v>
      </c>
      <c r="AA24">
        <f t="shared" ca="1" si="15"/>
        <v>0</v>
      </c>
      <c r="AB24">
        <f t="shared" ca="1" si="4"/>
        <v>0</v>
      </c>
      <c r="AC24">
        <f t="shared" ca="1" si="5"/>
        <v>0</v>
      </c>
      <c r="AD24" s="83">
        <f ca="1"/>
        <v>45568</v>
      </c>
      <c r="AE24" s="55">
        <f t="shared" ca="1" si="20"/>
        <v>45568</v>
      </c>
      <c r="AF24" s="55">
        <f t="shared" ca="1" si="21"/>
        <v>49.155069585752443</v>
      </c>
      <c r="AG24" s="55">
        <f t="shared" ca="1" si="22"/>
        <v>0</v>
      </c>
      <c r="AH24" s="55">
        <f t="shared" ca="1" si="23"/>
        <v>0</v>
      </c>
      <c r="AI24" s="55">
        <f t="shared" ca="1" si="17"/>
        <v>-1.0592277646918287</v>
      </c>
      <c r="AJ24" s="55">
        <f t="shared" ca="1" si="18"/>
        <v>5.8191449540799729</v>
      </c>
      <c r="AK24" s="55">
        <f t="shared" ca="1" si="19"/>
        <v>15.656747377260558</v>
      </c>
    </row>
    <row r="25" spans="1:37" s="55" customFormat="1">
      <c r="C25" s="61" t="str">
        <f>IF(COUNT(C29:C34)&gt;0,"Side dressings remaining","Side dressings")</f>
        <v>Side dressings remaining</v>
      </c>
      <c r="D25" s="85">
        <f>IF(E25="",1,E25)</f>
        <v>3</v>
      </c>
      <c r="E25" s="98">
        <v>3</v>
      </c>
      <c r="R25" s="83">
        <f ca="1"/>
        <v>45383</v>
      </c>
      <c r="S25" s="55">
        <f t="shared" ca="1" si="11"/>
        <v>45383</v>
      </c>
      <c r="T25" s="55">
        <f t="shared" ca="1" si="0"/>
        <v>76.615230530122346</v>
      </c>
      <c r="U25" s="55">
        <f t="shared" ca="1" si="1"/>
        <v>0</v>
      </c>
      <c r="V25" s="55">
        <f t="shared" ca="1" si="2"/>
        <v>0</v>
      </c>
      <c r="W25" s="55">
        <f t="shared" ca="1" si="12"/>
        <v>0</v>
      </c>
      <c r="X25" s="55">
        <f t="shared" ca="1" si="13"/>
        <v>8.4915991774617616</v>
      </c>
      <c r="Y25" s="55">
        <f t="shared" ca="1" si="14"/>
        <v>19.269440789543765</v>
      </c>
      <c r="Z25">
        <f t="shared" ca="1" si="3"/>
        <v>102.24396743148152</v>
      </c>
      <c r="AA25">
        <f t="shared" ca="1" si="15"/>
        <v>0</v>
      </c>
      <c r="AB25">
        <f t="shared" ca="1" si="4"/>
        <v>0</v>
      </c>
      <c r="AC25">
        <f t="shared" ca="1" si="5"/>
        <v>0</v>
      </c>
      <c r="AD25" s="83">
        <f ca="1"/>
        <v>45569</v>
      </c>
      <c r="AE25" s="55">
        <f t="shared" ca="1" si="20"/>
        <v>45569</v>
      </c>
      <c r="AF25" s="55">
        <f t="shared" ca="1" si="21"/>
        <v>51.663703327405706</v>
      </c>
      <c r="AG25" s="55">
        <f t="shared" ca="1" si="22"/>
        <v>0</v>
      </c>
      <c r="AH25" s="55">
        <f t="shared" ca="1" si="23"/>
        <v>0</v>
      </c>
      <c r="AI25" s="55">
        <f t="shared" ca="1" si="17"/>
        <v>-1.0592277646918287</v>
      </c>
      <c r="AJ25" s="55">
        <f t="shared" ca="1" si="18"/>
        <v>6.6206871823624267</v>
      </c>
      <c r="AK25" s="55">
        <f t="shared" ca="1" si="19"/>
        <v>17.363838890631364</v>
      </c>
    </row>
    <row r="26" spans="1:37" s="55" customFormat="1" ht="15.75" thickBot="1">
      <c r="C26" s="56"/>
      <c r="D26" s="56"/>
      <c r="E26" s="56"/>
      <c r="F26" s="56"/>
      <c r="R26" s="83">
        <f ca="1"/>
        <v>45384</v>
      </c>
      <c r="S26" s="55">
        <f t="shared" ca="1" si="11"/>
        <v>45384</v>
      </c>
      <c r="T26" s="55">
        <f t="shared" ca="1" si="0"/>
        <v>79.666889554094496</v>
      </c>
      <c r="U26" s="55">
        <f t="shared" ca="1" si="1"/>
        <v>0</v>
      </c>
      <c r="V26" s="55">
        <f t="shared" ca="1" si="2"/>
        <v>0</v>
      </c>
      <c r="W26" s="55">
        <f t="shared" ca="1" si="12"/>
        <v>0</v>
      </c>
      <c r="X26" s="55">
        <f t="shared" ca="1" si="13"/>
        <v>9.5550909494220573</v>
      </c>
      <c r="Y26" s="55">
        <f t="shared" ca="1" si="14"/>
        <v>21.257608041555621</v>
      </c>
      <c r="Z26">
        <f t="shared" ca="1" si="3"/>
        <v>106.59883281300407</v>
      </c>
      <c r="AA26">
        <f t="shared" ca="1" si="15"/>
        <v>0</v>
      </c>
      <c r="AB26">
        <f t="shared" ca="1" si="4"/>
        <v>0</v>
      </c>
      <c r="AC26">
        <f t="shared" ca="1" si="5"/>
        <v>0</v>
      </c>
      <c r="AD26" s="83">
        <f ca="1"/>
        <v>45570</v>
      </c>
      <c r="AE26" s="55">
        <f t="shared" ca="1" si="20"/>
        <v>45570</v>
      </c>
      <c r="AF26" s="55">
        <f t="shared" ca="1" si="21"/>
        <v>54.062010873405541</v>
      </c>
      <c r="AG26" s="55">
        <f t="shared" ca="1" si="22"/>
        <v>0</v>
      </c>
      <c r="AH26" s="55">
        <f t="shared" ca="1" si="23"/>
        <v>0</v>
      </c>
      <c r="AI26" s="55">
        <f t="shared" ca="1" si="17"/>
        <v>-1.0592277646918287</v>
      </c>
      <c r="AJ26" s="55">
        <f t="shared" ca="1" si="18"/>
        <v>7.4170791035177093</v>
      </c>
      <c r="AK26" s="55">
        <f t="shared" ca="1" si="19"/>
        <v>18.965754515475915</v>
      </c>
    </row>
    <row r="27" spans="1:37" s="55" customFormat="1" ht="15.75" thickBot="1">
      <c r="C27" s="132" t="s">
        <v>137</v>
      </c>
      <c r="D27" s="133"/>
      <c r="E27" s="60"/>
      <c r="F27" s="134" t="s">
        <v>144</v>
      </c>
      <c r="G27" s="135"/>
      <c r="R27" s="83">
        <f ca="1"/>
        <v>45385</v>
      </c>
      <c r="S27" s="55">
        <f t="shared" ca="1" si="11"/>
        <v>45385</v>
      </c>
      <c r="T27" s="55">
        <f t="shared" ca="1" si="0"/>
        <v>82.581527312985358</v>
      </c>
      <c r="U27" s="55">
        <f t="shared" ca="1" si="1"/>
        <v>0</v>
      </c>
      <c r="V27" s="55">
        <f t="shared" ca="1" si="2"/>
        <v>0</v>
      </c>
      <c r="W27" s="55">
        <f t="shared" ca="1" si="12"/>
        <v>0</v>
      </c>
      <c r="X27" s="55">
        <f t="shared" ca="1" si="13"/>
        <v>10.66840340424381</v>
      </c>
      <c r="Y27" s="55">
        <f t="shared" ca="1" si="14"/>
        <v>23.05893334562473</v>
      </c>
      <c r="Z27">
        <f t="shared" ca="1" si="3"/>
        <v>112.91982638024351</v>
      </c>
      <c r="AA27">
        <f t="shared" ca="1" si="15"/>
        <v>0</v>
      </c>
      <c r="AB27">
        <f t="shared" ca="1" si="4"/>
        <v>0</v>
      </c>
      <c r="AC27">
        <f t="shared" ca="1" si="5"/>
        <v>0</v>
      </c>
      <c r="AD27" s="83">
        <f ca="1"/>
        <v>45571</v>
      </c>
      <c r="AE27" s="55">
        <f t="shared" ca="1" si="20"/>
        <v>45571</v>
      </c>
      <c r="AF27" s="55">
        <f t="shared" ca="1" si="21"/>
        <v>56.415102143281288</v>
      </c>
      <c r="AG27" s="55">
        <f t="shared" ca="1" si="22"/>
        <v>0</v>
      </c>
      <c r="AH27" s="55">
        <f t="shared" ca="1" si="23"/>
        <v>0</v>
      </c>
      <c r="AI27" s="55">
        <f t="shared" ca="1" si="17"/>
        <v>-1.0592277646918287</v>
      </c>
      <c r="AJ27" s="55">
        <f t="shared" ca="1" si="18"/>
        <v>8.2292437599325297</v>
      </c>
      <c r="AK27" s="55">
        <f t="shared" ca="1" si="19"/>
        <v>20.50668112893684</v>
      </c>
    </row>
    <row r="28" spans="1:37" s="55" customFormat="1" ht="15.75" thickBot="1">
      <c r="C28" s="108" t="s">
        <v>14</v>
      </c>
      <c r="D28" s="109" t="s">
        <v>111</v>
      </c>
      <c r="F28" s="8" t="s">
        <v>14</v>
      </c>
      <c r="G28" s="62" t="s">
        <v>111</v>
      </c>
      <c r="R28" s="83">
        <f ca="1"/>
        <v>45386</v>
      </c>
      <c r="S28" s="55">
        <f t="shared" ca="1" si="11"/>
        <v>45386</v>
      </c>
      <c r="T28" s="55">
        <f t="shared" ca="1" si="0"/>
        <v>85.149838441936723</v>
      </c>
      <c r="U28" s="55">
        <f t="shared" ca="1" si="1"/>
        <v>0</v>
      </c>
      <c r="V28" s="55">
        <f t="shared" ca="1" si="2"/>
        <v>0</v>
      </c>
      <c r="W28" s="55">
        <f t="shared" ca="1" si="12"/>
        <v>0</v>
      </c>
      <c r="X28" s="55">
        <f t="shared" ca="1" si="13"/>
        <v>11.70260872049397</v>
      </c>
      <c r="Y28" s="55">
        <f t="shared" ca="1" si="14"/>
        <v>24.593039158325926</v>
      </c>
      <c r="Z28">
        <f t="shared" ca="1" si="3"/>
        <v>116.05607554518045</v>
      </c>
      <c r="AA28">
        <f t="shared" ca="1" si="15"/>
        <v>0</v>
      </c>
      <c r="AB28">
        <f t="shared" ca="1" si="4"/>
        <v>0</v>
      </c>
      <c r="AC28">
        <f t="shared" ca="1" si="5"/>
        <v>0</v>
      </c>
      <c r="AD28" s="83">
        <f ca="1"/>
        <v>45572</v>
      </c>
      <c r="AE28" s="55">
        <f t="shared" ca="1" si="20"/>
        <v>45572</v>
      </c>
      <c r="AF28" s="55">
        <f t="shared" ca="1" si="21"/>
        <v>58.639572045102433</v>
      </c>
      <c r="AG28" s="55">
        <f t="shared" ca="1" si="22"/>
        <v>0</v>
      </c>
      <c r="AH28" s="55">
        <f t="shared" ca="1" si="23"/>
        <v>0</v>
      </c>
      <c r="AI28" s="55">
        <f t="shared" ca="1" si="17"/>
        <v>-1.0592277646918287</v>
      </c>
      <c r="AJ28" s="55">
        <f t="shared" ca="1" si="18"/>
        <v>9.0285761736498724</v>
      </c>
      <c r="AK28" s="55">
        <f t="shared" ca="1" si="19"/>
        <v>21.931818617040641</v>
      </c>
    </row>
    <row r="29" spans="1:37" s="55" customFormat="1">
      <c r="A29" s="83">
        <f t="array" aca="1" ref="A29:A43" ca="1">_xlfn._xlws.FILTER('Model Interface'!X12:X501,'Model Interface'!Y12:Y501&gt;0,"")</f>
        <v>45432</v>
      </c>
      <c r="B29" s="55">
        <f t="shared" ref="B29:B43" ca="1" si="24">IF(AND(NOT(F29=""),F29&gt;=StartSchedullingDate),1,0)</f>
        <v>0</v>
      </c>
      <c r="C29" s="78">
        <v>45432</v>
      </c>
      <c r="D29" s="80">
        <v>50</v>
      </c>
      <c r="F29" s="74">
        <f ca="1">A29</f>
        <v>45432</v>
      </c>
      <c r="G29" s="76">
        <f ca="1">IFERROR(VLOOKUP(F29,'Model Interface'!$J$12:$O$501,6,FALSE),"")</f>
        <v>50</v>
      </c>
      <c r="H29" s="55" t="str">
        <f ca="1">IF(B29=1,"Suggested","Applied or Planned")</f>
        <v>Applied or Planned</v>
      </c>
      <c r="R29" s="83">
        <f ca="1"/>
        <v>45387</v>
      </c>
      <c r="S29" s="55">
        <f t="shared" ca="1" si="11"/>
        <v>45387</v>
      </c>
      <c r="T29" s="55">
        <f t="shared" ca="1" si="0"/>
        <v>87.50424026948491</v>
      </c>
      <c r="U29" s="55">
        <f t="shared" ca="1" si="1"/>
        <v>0</v>
      </c>
      <c r="V29" s="55">
        <f t="shared" ca="1" si="2"/>
        <v>0</v>
      </c>
      <c r="W29" s="55">
        <f t="shared" ca="1" si="12"/>
        <v>0</v>
      </c>
      <c r="X29" s="55">
        <f t="shared" ca="1" si="13"/>
        <v>12.682818171521822</v>
      </c>
      <c r="Y29" s="55">
        <f t="shared" ca="1" si="14"/>
        <v>25.96723153484627</v>
      </c>
      <c r="Z29">
        <f t="shared" ca="1" si="3"/>
        <v>114.39623534584835</v>
      </c>
      <c r="AA29">
        <f t="shared" ca="1" si="15"/>
        <v>0</v>
      </c>
      <c r="AB29">
        <f t="shared" ca="1" si="4"/>
        <v>0</v>
      </c>
      <c r="AC29">
        <f t="shared" ca="1" si="5"/>
        <v>0</v>
      </c>
      <c r="AD29" s="83">
        <f ca="1"/>
        <v>45573</v>
      </c>
      <c r="AE29" s="55">
        <f t="shared" ca="1" si="20"/>
        <v>45573</v>
      </c>
      <c r="AF29" s="55">
        <f t="shared" ca="1" si="21"/>
        <v>60.726026922868257</v>
      </c>
      <c r="AG29" s="55">
        <f t="shared" ca="1" si="22"/>
        <v>0</v>
      </c>
      <c r="AH29" s="55">
        <f t="shared" ca="1" si="23"/>
        <v>0</v>
      </c>
      <c r="AI29" s="55">
        <f t="shared" ca="1" si="17"/>
        <v>-1.0592277646918287</v>
      </c>
      <c r="AJ29" s="55">
        <f t="shared" ca="1" si="18"/>
        <v>9.8031299674585188</v>
      </c>
      <c r="AK29" s="55">
        <f t="shared" ca="1" si="19"/>
        <v>23.243719700997822</v>
      </c>
    </row>
    <row r="30" spans="1:37" s="55" customFormat="1">
      <c r="A30" s="83">
        <f ca="1"/>
        <v>45527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45527</v>
      </c>
      <c r="G30" s="76">
        <f ca="1">IFERROR(VLOOKUP(F30,'Model Interface'!$J$12:$O$501,6,FALSE),"")</f>
        <v>24.983787879523192</v>
      </c>
      <c r="H30" s="55" t="str">
        <f t="shared" ref="H30:H43" ca="1" si="26">IF(F30="","",IF(F30&lt;=StartSchedullingDate,"Applied or Planned","Suggested"))</f>
        <v>Suggested</v>
      </c>
      <c r="R30" s="83">
        <f ca="1"/>
        <v>45388</v>
      </c>
      <c r="S30" s="55">
        <f t="shared" ca="1" si="11"/>
        <v>45388</v>
      </c>
      <c r="T30" s="55">
        <f t="shared" ca="1" si="0"/>
        <v>89.58469290381008</v>
      </c>
      <c r="U30" s="55">
        <f t="shared" ca="1" si="1"/>
        <v>0</v>
      </c>
      <c r="V30" s="55">
        <f t="shared" ca="1" si="2"/>
        <v>0</v>
      </c>
      <c r="W30" s="55">
        <f t="shared" ca="1" si="12"/>
        <v>0</v>
      </c>
      <c r="X30" s="55">
        <f t="shared" ca="1" si="13"/>
        <v>13.569441132492528</v>
      </c>
      <c r="Y30" s="55">
        <f t="shared" ca="1" si="14"/>
        <v>27.161061208200728</v>
      </c>
      <c r="Z30">
        <f t="shared" ca="1" si="3"/>
        <v>113.21547217303092</v>
      </c>
      <c r="AA30">
        <f t="shared" ca="1" si="15"/>
        <v>0</v>
      </c>
      <c r="AB30">
        <f t="shared" ca="1" si="4"/>
        <v>0</v>
      </c>
      <c r="AC30">
        <f t="shared" ca="1" si="5"/>
        <v>0</v>
      </c>
      <c r="AD30" s="83">
        <f ca="1"/>
        <v>45574</v>
      </c>
      <c r="AE30" s="55">
        <f t="shared" ca="1" si="20"/>
        <v>45574</v>
      </c>
      <c r="AF30" s="55">
        <f t="shared" ca="1" si="21"/>
        <v>62.705073007570334</v>
      </c>
      <c r="AG30" s="55">
        <f t="shared" ca="1" si="22"/>
        <v>0</v>
      </c>
      <c r="AH30" s="55">
        <f t="shared" ca="1" si="23"/>
        <v>0</v>
      </c>
      <c r="AI30" s="55">
        <f t="shared" ca="1" si="17"/>
        <v>-1.0592277646918287</v>
      </c>
      <c r="AJ30" s="55">
        <f t="shared" ca="1" si="18"/>
        <v>10.562622874782024</v>
      </c>
      <c r="AK30" s="55">
        <f t="shared" ca="1" si="19"/>
        <v>24.463272878376394</v>
      </c>
    </row>
    <row r="31" spans="1:37" s="55" customFormat="1">
      <c r="A31" s="83">
        <f ca="1"/>
        <v>45537</v>
      </c>
      <c r="B31" s="55">
        <f t="shared" ca="1" si="24"/>
        <v>1</v>
      </c>
      <c r="C31" s="78"/>
      <c r="D31" s="81"/>
      <c r="F31" s="74">
        <f t="shared" ca="1" si="25"/>
        <v>45537</v>
      </c>
      <c r="G31" s="76">
        <f ca="1">IFERROR(VLOOKUP(F31,'Model Interface'!$J$12:$O$501,6,FALSE),"")</f>
        <v>28.484583749188701</v>
      </c>
      <c r="H31" s="55" t="str">
        <f t="shared" ca="1" si="26"/>
        <v>Suggested</v>
      </c>
      <c r="R31" s="83">
        <f ca="1"/>
        <v>45389</v>
      </c>
      <c r="S31" s="55">
        <f t="shared" ca="1" si="11"/>
        <v>45389</v>
      </c>
      <c r="T31" s="55">
        <f t="shared" ca="1" si="0"/>
        <v>91.701702859454713</v>
      </c>
      <c r="U31" s="55">
        <f t="shared" ca="1" si="1"/>
        <v>0</v>
      </c>
      <c r="V31" s="55">
        <f t="shared" ca="1" si="2"/>
        <v>0</v>
      </c>
      <c r="W31" s="55">
        <f t="shared" ca="1" si="12"/>
        <v>0</v>
      </c>
      <c r="X31" s="55">
        <f t="shared" ca="1" si="13"/>
        <v>14.524500513693155</v>
      </c>
      <c r="Y31" s="55">
        <f t="shared" ca="1" si="14"/>
        <v>28.323011782644741</v>
      </c>
      <c r="Z31">
        <f t="shared" ca="1" si="3"/>
        <v>118.73423262106715</v>
      </c>
      <c r="AA31">
        <f t="shared" ca="1" si="15"/>
        <v>0</v>
      </c>
      <c r="AB31">
        <f t="shared" ca="1" si="4"/>
        <v>0</v>
      </c>
      <c r="AC31">
        <f t="shared" ca="1" si="5"/>
        <v>0</v>
      </c>
      <c r="AD31" s="83">
        <f ca="1"/>
        <v>45575</v>
      </c>
      <c r="AE31" s="55">
        <f t="shared" ca="1" si="20"/>
        <v>45575</v>
      </c>
      <c r="AF31" s="55">
        <f t="shared" ca="1" si="21"/>
        <v>64.611240277569337</v>
      </c>
      <c r="AG31" s="55">
        <f t="shared" ca="1" si="22"/>
        <v>0</v>
      </c>
      <c r="AH31" s="55">
        <f t="shared" ca="1" si="23"/>
        <v>0</v>
      </c>
      <c r="AI31" s="55">
        <f t="shared" ca="1" si="17"/>
        <v>-1.2402421129041199</v>
      </c>
      <c r="AJ31" s="55">
        <f t="shared" ca="1" si="18"/>
        <v>11.406877405490544</v>
      </c>
      <c r="AK31" s="55">
        <f t="shared" ca="1" si="19"/>
        <v>25.706199965879158</v>
      </c>
    </row>
    <row r="32" spans="1:37" s="55" customFormat="1">
      <c r="A32" s="83">
        <f ca="1"/>
        <v>45547</v>
      </c>
      <c r="B32" s="55">
        <f t="shared" ca="1" si="24"/>
        <v>1</v>
      </c>
      <c r="C32" s="78"/>
      <c r="D32" s="81"/>
      <c r="F32" s="74">
        <f t="shared" ca="1" si="25"/>
        <v>45547</v>
      </c>
      <c r="G32" s="76">
        <f ca="1">IFERROR(VLOOKUP(F32,'Model Interface'!$J$12:$O$501,6,FALSE),"")</f>
        <v>34.743681110526069</v>
      </c>
      <c r="H32" s="55" t="str">
        <f t="shared" ca="1" si="26"/>
        <v>Suggested</v>
      </c>
      <c r="R32" s="83">
        <f ca="1"/>
        <v>45390</v>
      </c>
      <c r="S32" s="55">
        <f t="shared" ca="1" si="11"/>
        <v>45390</v>
      </c>
      <c r="T32" s="55">
        <f t="shared" ca="1" si="0"/>
        <v>92.930496418225658</v>
      </c>
      <c r="U32" s="55">
        <f t="shared" ca="1" si="1"/>
        <v>0</v>
      </c>
      <c r="V32" s="55">
        <f t="shared" ca="1" si="2"/>
        <v>0</v>
      </c>
      <c r="W32" s="55">
        <f t="shared" ca="1" si="12"/>
        <v>-0.89149340406729327</v>
      </c>
      <c r="X32" s="55">
        <f t="shared" ca="1" si="13"/>
        <v>15.523713029471702</v>
      </c>
      <c r="Y32" s="55">
        <f t="shared" ca="1" si="14"/>
        <v>29.444086229704425</v>
      </c>
      <c r="Z32">
        <f t="shared" ca="1" si="3"/>
        <v>120</v>
      </c>
      <c r="AA32">
        <f t="shared" ca="1" si="15"/>
        <v>1.7419086321019819</v>
      </c>
      <c r="AB32">
        <f t="shared" ca="1" si="4"/>
        <v>0</v>
      </c>
      <c r="AC32">
        <f t="shared" ca="1" si="5"/>
        <v>0</v>
      </c>
      <c r="AD32" s="83">
        <f ca="1"/>
        <v>45576</v>
      </c>
      <c r="AE32" s="55">
        <f t="shared" ca="1" si="20"/>
        <v>45576</v>
      </c>
      <c r="AF32" s="55">
        <f t="shared" ca="1" si="21"/>
        <v>66.637422147002667</v>
      </c>
      <c r="AG32" s="55">
        <f t="shared" ca="1" si="22"/>
        <v>2.8674377859788827</v>
      </c>
      <c r="AH32" s="55">
        <f t="shared" ca="1" si="23"/>
        <v>0</v>
      </c>
      <c r="AI32" s="55">
        <f t="shared" ca="1" si="17"/>
        <v>-1.2402421129041199</v>
      </c>
      <c r="AJ32" s="55">
        <f t="shared" ca="1" si="18"/>
        <v>12.258767912341611</v>
      </c>
      <c r="AK32" s="55">
        <f t="shared" ca="1" si="19"/>
        <v>26.880491328461424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Interface'!$J$12:$O$501,6,FALSE),"")</f>
        <v/>
      </c>
      <c r="H33" s="55" t="str">
        <f t="shared" ca="1" si="26"/>
        <v/>
      </c>
      <c r="R33" s="83">
        <f ca="1"/>
        <v>45391</v>
      </c>
      <c r="S33" s="55">
        <f t="shared" ca="1" si="11"/>
        <v>45391</v>
      </c>
      <c r="T33" s="55">
        <f t="shared" ca="1" si="0"/>
        <v>93.722403053991286</v>
      </c>
      <c r="U33" s="55">
        <f t="shared" ca="1" si="1"/>
        <v>0</v>
      </c>
      <c r="V33" s="55">
        <f t="shared" ca="1" si="2"/>
        <v>0</v>
      </c>
      <c r="W33" s="55">
        <f t="shared" ca="1" si="12"/>
        <v>-2.1612282210944143</v>
      </c>
      <c r="X33" s="55">
        <f t="shared" ca="1" si="13"/>
        <v>16.534792112143901</v>
      </c>
      <c r="Y33" s="55">
        <f t="shared" ca="1" si="14"/>
        <v>30.494648599824973</v>
      </c>
      <c r="Z33">
        <f t="shared" ca="1" si="3"/>
        <v>120</v>
      </c>
      <c r="AA33">
        <f t="shared" ca="1" si="15"/>
        <v>4.2019086321019898</v>
      </c>
      <c r="AB33">
        <f t="shared" ca="1" si="4"/>
        <v>0</v>
      </c>
      <c r="AC33">
        <f t="shared" ca="1" si="5"/>
        <v>0</v>
      </c>
      <c r="AD33" s="83">
        <f ca="1"/>
        <v>45577</v>
      </c>
      <c r="AE33" s="55">
        <f t="shared" ca="1" si="20"/>
        <v>45577</v>
      </c>
      <c r="AF33" s="55">
        <f t="shared" ca="1" si="21"/>
        <v>68.41738560498527</v>
      </c>
      <c r="AG33" s="55">
        <f t="shared" ca="1" si="22"/>
        <v>2.9751916906942575</v>
      </c>
      <c r="AH33" s="55">
        <f t="shared" ca="1" si="23"/>
        <v>0</v>
      </c>
      <c r="AI33" s="55">
        <f t="shared" ca="1" si="17"/>
        <v>-1.2402421129041199</v>
      </c>
      <c r="AJ33" s="55">
        <f t="shared" ca="1" si="18"/>
        <v>13.077378791038271</v>
      </c>
      <c r="AK33" s="55">
        <f t="shared" ca="1" si="19"/>
        <v>27.949597812462748</v>
      </c>
    </row>
    <row r="34" spans="1:37" s="55" customFormat="1" ht="15.7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Interface'!$J$12:$O$501,6,FALSE),"")</f>
        <v/>
      </c>
      <c r="H34" s="55" t="str">
        <f t="shared" ca="1" si="26"/>
        <v/>
      </c>
      <c r="R34" s="83">
        <f ca="1"/>
        <v>45392</v>
      </c>
      <c r="S34" s="55">
        <f t="shared" ca="1" si="11"/>
        <v>45392</v>
      </c>
      <c r="T34" s="55">
        <f t="shared" ca="1" si="0"/>
        <v>95.668980006231607</v>
      </c>
      <c r="U34" s="55">
        <f t="shared" ca="1" si="1"/>
        <v>0</v>
      </c>
      <c r="V34" s="55">
        <f t="shared" ca="1" si="2"/>
        <v>0</v>
      </c>
      <c r="W34" s="55">
        <f t="shared" ca="1" si="12"/>
        <v>-2.1612282210944143</v>
      </c>
      <c r="X34" s="55">
        <f t="shared" ca="1" si="13"/>
        <v>17.523901038233234</v>
      </c>
      <c r="Y34" s="55">
        <f t="shared" ca="1" si="14"/>
        <v>31.452116625975968</v>
      </c>
      <c r="Z34">
        <f t="shared" ca="1" si="3"/>
        <v>119.46086956521738</v>
      </c>
      <c r="AA34">
        <f t="shared" ca="1" si="15"/>
        <v>4.2019086321019898</v>
      </c>
      <c r="AB34">
        <f t="shared" ca="1" si="4"/>
        <v>0</v>
      </c>
      <c r="AC34">
        <f t="shared" ca="1" si="5"/>
        <v>0</v>
      </c>
      <c r="AD34" s="83">
        <f ca="1"/>
        <v>45578</v>
      </c>
      <c r="AE34" s="55">
        <f t="shared" ca="1" si="20"/>
        <v>45578</v>
      </c>
      <c r="AF34" s="55">
        <f t="shared" ca="1" si="21"/>
        <v>69.678935440909228</v>
      </c>
      <c r="AG34" s="55">
        <f t="shared" ca="1" si="22"/>
        <v>3.0970385152357891</v>
      </c>
      <c r="AH34" s="55">
        <f t="shared" ca="1" si="23"/>
        <v>0</v>
      </c>
      <c r="AI34" s="55">
        <f t="shared" ca="1" si="17"/>
        <v>-1.7708789771239193</v>
      </c>
      <c r="AJ34" s="55">
        <f t="shared" ca="1" si="18"/>
        <v>13.943895302349809</v>
      </c>
      <c r="AK34" s="55">
        <f t="shared" ca="1" si="19"/>
        <v>28.997114825836512</v>
      </c>
    </row>
    <row r="35" spans="1:37" s="55" customFormat="1" ht="15.7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Interface'!$J$12:$O$501,6,FALSE),"")</f>
        <v/>
      </c>
      <c r="H35" s="55" t="str">
        <f t="shared" ca="1" si="26"/>
        <v/>
      </c>
      <c r="R35" s="83">
        <f ca="1"/>
        <v>45393</v>
      </c>
      <c r="S35" s="55">
        <f t="shared" ca="1" si="11"/>
        <v>45393</v>
      </c>
      <c r="T35" s="55">
        <f t="shared" ca="1" si="0"/>
        <v>96.83052599968029</v>
      </c>
      <c r="U35" s="55">
        <f t="shared" ca="1" si="1"/>
        <v>0</v>
      </c>
      <c r="V35" s="55">
        <f t="shared" ca="1" si="2"/>
        <v>0</v>
      </c>
      <c r="W35" s="55">
        <f t="shared" ca="1" si="12"/>
        <v>-3.0083222855501957</v>
      </c>
      <c r="X35" s="55">
        <f t="shared" ca="1" si="13"/>
        <v>18.589435394290842</v>
      </c>
      <c r="Y35" s="55">
        <f t="shared" ca="1" si="14"/>
        <v>32.395222327822822</v>
      </c>
      <c r="Z35">
        <f t="shared" ca="1" si="3"/>
        <v>120</v>
      </c>
      <c r="AA35">
        <f t="shared" ca="1" si="15"/>
        <v>5.7903999364498162</v>
      </c>
      <c r="AB35">
        <f t="shared" ca="1" si="4"/>
        <v>0</v>
      </c>
      <c r="AC35">
        <f t="shared" ca="1" si="5"/>
        <v>0</v>
      </c>
      <c r="AD35" s="83">
        <f ca="1"/>
        <v>45579</v>
      </c>
      <c r="AE35" s="55">
        <f t="shared" ca="1" si="20"/>
        <v>45579</v>
      </c>
      <c r="AF35" s="55">
        <f t="shared" ca="1" si="21"/>
        <v>70.673214904787585</v>
      </c>
      <c r="AG35" s="55">
        <f t="shared" ca="1" si="22"/>
        <v>3.222503042812753</v>
      </c>
      <c r="AH35" s="55">
        <f t="shared" ca="1" si="23"/>
        <v>0</v>
      </c>
      <c r="AI35" s="55">
        <f t="shared" ca="1" si="17"/>
        <v>-2.4870342214924293</v>
      </c>
      <c r="AJ35" s="55">
        <f t="shared" ca="1" si="18"/>
        <v>14.804234691634775</v>
      </c>
      <c r="AK35" s="55">
        <f t="shared" ca="1" si="19"/>
        <v>29.972674672375383</v>
      </c>
    </row>
    <row r="36" spans="1:37" s="55" customFormat="1" ht="15.75" thickBot="1">
      <c r="A36" s="83" t="e">
        <f ca="1"/>
        <v>#N/A</v>
      </c>
      <c r="B36" s="55">
        <f t="shared" ca="1" si="24"/>
        <v>0</v>
      </c>
      <c r="C36" s="132" t="s">
        <v>138</v>
      </c>
      <c r="D36" s="133"/>
      <c r="F36" s="74" t="str">
        <f t="shared" ca="1" si="25"/>
        <v/>
      </c>
      <c r="G36" s="76" t="str">
        <f ca="1">IFERROR(VLOOKUP(F36,'Model Interface'!$J$12:$O$501,6,FALSE),"")</f>
        <v/>
      </c>
      <c r="H36" s="55" t="str">
        <f t="shared" ca="1" si="26"/>
        <v/>
      </c>
      <c r="R36" s="83">
        <f ca="1"/>
        <v>45394</v>
      </c>
      <c r="S36" s="55">
        <f t="shared" ca="1" si="11"/>
        <v>45394</v>
      </c>
      <c r="T36" s="55">
        <f t="shared" ca="1" si="0"/>
        <v>97.187171280491185</v>
      </c>
      <c r="U36" s="55">
        <f t="shared" ca="1" si="1"/>
        <v>0</v>
      </c>
      <c r="V36" s="55">
        <f t="shared" ca="1" si="2"/>
        <v>0</v>
      </c>
      <c r="W36" s="55">
        <f t="shared" ca="1" si="12"/>
        <v>-4.5176813108280811</v>
      </c>
      <c r="X36" s="55">
        <f t="shared" ca="1" si="13"/>
        <v>19.612466255392622</v>
      </c>
      <c r="Y36" s="55">
        <f t="shared" ca="1" si="14"/>
        <v>33.238195772809817</v>
      </c>
      <c r="Z36">
        <f t="shared" ca="1" si="3"/>
        <v>120</v>
      </c>
      <c r="AA36">
        <f t="shared" ca="1" si="15"/>
        <v>8.6103999364498094</v>
      </c>
      <c r="AB36">
        <f t="shared" ca="1" si="4"/>
        <v>0</v>
      </c>
      <c r="AC36">
        <f t="shared" ca="1" si="5"/>
        <v>0</v>
      </c>
      <c r="AD36" s="83">
        <f ca="1"/>
        <v>45580</v>
      </c>
      <c r="AE36" s="55">
        <f t="shared" ca="1" si="20"/>
        <v>45580</v>
      </c>
      <c r="AF36" s="55">
        <f t="shared" ca="1" si="21"/>
        <v>72.271152821514463</v>
      </c>
      <c r="AG36" s="55">
        <f t="shared" ca="1" si="22"/>
        <v>3.346429736527226</v>
      </c>
      <c r="AH36" s="55">
        <f t="shared" ca="1" si="23"/>
        <v>0</v>
      </c>
      <c r="AI36" s="55">
        <f t="shared" ca="1" si="17"/>
        <v>-2.4870342214924293</v>
      </c>
      <c r="AJ36" s="55">
        <f t="shared" ca="1" si="18"/>
        <v>15.635605899804293</v>
      </c>
      <c r="AK36" s="55">
        <f t="shared" ca="1" si="19"/>
        <v>30.863168074647213</v>
      </c>
    </row>
    <row r="37" spans="1:37" s="55" customFormat="1" ht="15.7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Interface'!$J$12:$O$501,6,FALSE),"")</f>
        <v/>
      </c>
      <c r="H37" s="55" t="str">
        <f t="shared" ca="1" si="26"/>
        <v/>
      </c>
      <c r="R37" s="83">
        <f ca="1"/>
        <v>45395</v>
      </c>
      <c r="S37" s="55">
        <f t="shared" ca="1" si="11"/>
        <v>45395</v>
      </c>
      <c r="T37" s="55">
        <f t="shared" ca="1" si="0"/>
        <v>97.332391724464358</v>
      </c>
      <c r="U37" s="55">
        <f t="shared" ca="1" si="1"/>
        <v>0</v>
      </c>
      <c r="V37" s="55">
        <f t="shared" ca="1" si="2"/>
        <v>0</v>
      </c>
      <c r="W37" s="55">
        <f t="shared" ca="1" si="12"/>
        <v>-6.0185750035067764</v>
      </c>
      <c r="X37" s="55">
        <f t="shared" ca="1" si="13"/>
        <v>20.537422042436418</v>
      </c>
      <c r="Y37" s="55">
        <f t="shared" ca="1" si="14"/>
        <v>33.959354122417892</v>
      </c>
      <c r="Z37">
        <f t="shared" ca="1" si="3"/>
        <v>120</v>
      </c>
      <c r="AA37">
        <f t="shared" ca="1" si="15"/>
        <v>11.410399936449807</v>
      </c>
      <c r="AB37">
        <f t="shared" ca="1" si="4"/>
        <v>0</v>
      </c>
      <c r="AC37">
        <f t="shared" ca="1" si="5"/>
        <v>0</v>
      </c>
      <c r="AD37" s="83">
        <f ca="1"/>
        <v>45581</v>
      </c>
      <c r="AE37" s="55">
        <f t="shared" ca="1" si="20"/>
        <v>45581</v>
      </c>
      <c r="AF37" s="55">
        <f t="shared" ca="1" si="21"/>
        <v>73.889084048796747</v>
      </c>
      <c r="AG37" s="55">
        <f t="shared" ca="1" si="22"/>
        <v>3.4874927423084374</v>
      </c>
      <c r="AH37" s="55">
        <f t="shared" ca="1" si="23"/>
        <v>0</v>
      </c>
      <c r="AI37" s="55">
        <f t="shared" ca="1" si="17"/>
        <v>-2.4870342214924293</v>
      </c>
      <c r="AJ37" s="55">
        <f t="shared" ca="1" si="18"/>
        <v>16.520034225648367</v>
      </c>
      <c r="AK37" s="55">
        <f t="shared" ca="1" si="19"/>
        <v>31.737733981866633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Interface'!$J$12:$O$501,6,FALSE),"")</f>
        <v/>
      </c>
      <c r="H38" s="55" t="str">
        <f t="shared" ca="1" si="26"/>
        <v/>
      </c>
      <c r="R38" s="83">
        <f ca="1"/>
        <v>45396</v>
      </c>
      <c r="S38" s="55">
        <f t="shared" ca="1" si="11"/>
        <v>45396</v>
      </c>
      <c r="T38" s="55">
        <f t="shared" ca="1" si="0"/>
        <v>98.964147257817842</v>
      </c>
      <c r="U38" s="55">
        <f t="shared" ca="1" si="1"/>
        <v>0</v>
      </c>
      <c r="V38" s="55">
        <f t="shared" ca="1" si="2"/>
        <v>0</v>
      </c>
      <c r="W38" s="55">
        <f t="shared" ca="1" si="12"/>
        <v>-6.0185750035067764</v>
      </c>
      <c r="X38" s="55">
        <f t="shared" ca="1" si="13"/>
        <v>21.48510451613215</v>
      </c>
      <c r="Y38" s="55">
        <f t="shared" ca="1" si="14"/>
        <v>34.643427182075648</v>
      </c>
      <c r="Z38">
        <f t="shared" ca="1" si="3"/>
        <v>117.98260869565219</v>
      </c>
      <c r="AA38">
        <f t="shared" ca="1" si="15"/>
        <v>11.410399936449807</v>
      </c>
      <c r="AB38">
        <f t="shared" ca="1" si="4"/>
        <v>0</v>
      </c>
      <c r="AC38">
        <f t="shared" ca="1" si="5"/>
        <v>0</v>
      </c>
      <c r="AD38" s="83">
        <f ca="1"/>
        <v>45582</v>
      </c>
      <c r="AE38" s="55">
        <f t="shared" ca="1" si="20"/>
        <v>45582</v>
      </c>
      <c r="AF38" s="55">
        <f t="shared" ca="1" si="21"/>
        <v>75.415483184451588</v>
      </c>
      <c r="AG38" s="55">
        <f t="shared" ca="1" si="22"/>
        <v>3.6297593005645092</v>
      </c>
      <c r="AH38" s="55">
        <f t="shared" ca="1" si="23"/>
        <v>0</v>
      </c>
      <c r="AI38" s="55">
        <f t="shared" ca="1" si="17"/>
        <v>-2.4870342214924293</v>
      </c>
      <c r="AJ38" s="55">
        <f t="shared" ca="1" si="18"/>
        <v>17.385003890634124</v>
      </c>
      <c r="AK38" s="55">
        <f t="shared" ca="1" si="19"/>
        <v>32.541430010791792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Interface'!$J$12:$O$501,6,FALSE),"")</f>
        <v/>
      </c>
      <c r="H39" s="55" t="str">
        <f t="shared" ca="1" si="26"/>
        <v/>
      </c>
      <c r="R39" s="83">
        <f ca="1"/>
        <v>45397</v>
      </c>
      <c r="S39" s="55">
        <f t="shared" ca="1" si="11"/>
        <v>45397</v>
      </c>
      <c r="T39" s="55">
        <f t="shared" ca="1" si="0"/>
        <v>97.996824206594468</v>
      </c>
      <c r="U39" s="55">
        <f t="shared" ca="1" si="1"/>
        <v>0</v>
      </c>
      <c r="V39" s="55">
        <f t="shared" ca="1" si="2"/>
        <v>0</v>
      </c>
      <c r="W39" s="55">
        <f t="shared" ca="1" si="12"/>
        <v>-8.5868362524849182</v>
      </c>
      <c r="X39" s="55">
        <f t="shared" ca="1" si="13"/>
        <v>22.444277312325102</v>
      </c>
      <c r="Y39" s="55">
        <f t="shared" ca="1" si="14"/>
        <v>35.285192583637468</v>
      </c>
      <c r="Z39">
        <f t="shared" ca="1" si="3"/>
        <v>120</v>
      </c>
      <c r="AA39">
        <f t="shared" ca="1" si="15"/>
        <v>16.169147762536767</v>
      </c>
      <c r="AB39">
        <f t="shared" ca="1" si="4"/>
        <v>0</v>
      </c>
      <c r="AC39">
        <f t="shared" ca="1" si="5"/>
        <v>0</v>
      </c>
      <c r="AD39" s="83">
        <f ca="1"/>
        <v>45583</v>
      </c>
      <c r="AE39" s="55">
        <f t="shared" ca="1" si="20"/>
        <v>45583</v>
      </c>
      <c r="AF39" s="55">
        <f t="shared" ca="1" si="21"/>
        <v>76.821618337323045</v>
      </c>
      <c r="AG39" s="55">
        <f t="shared" ca="1" si="22"/>
        <v>3.7662852751861182</v>
      </c>
      <c r="AH39" s="55">
        <f t="shared" ca="1" si="23"/>
        <v>0</v>
      </c>
      <c r="AI39" s="55">
        <f t="shared" ca="1" si="17"/>
        <v>-2.4870342214924293</v>
      </c>
      <c r="AJ39" s="55">
        <f t="shared" ca="1" si="18"/>
        <v>18.205109608863729</v>
      </c>
      <c r="AK39" s="55">
        <f t="shared" ca="1" si="19"/>
        <v>33.263985420055256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Interface'!$J$12:$O$501,6,FALSE),"")</f>
        <v/>
      </c>
      <c r="H40" s="55" t="str">
        <f t="shared" ca="1" si="26"/>
        <v/>
      </c>
      <c r="R40" s="83">
        <f ca="1"/>
        <v>45398</v>
      </c>
      <c r="S40" s="55">
        <f t="shared" ca="1" si="11"/>
        <v>45398</v>
      </c>
      <c r="T40" s="55">
        <f t="shared" ca="1" si="0"/>
        <v>98.444469503838789</v>
      </c>
      <c r="U40" s="55">
        <f t="shared" ca="1" si="1"/>
        <v>0</v>
      </c>
      <c r="V40" s="55">
        <f t="shared" ca="1" si="2"/>
        <v>0</v>
      </c>
      <c r="W40" s="55">
        <f t="shared" ca="1" si="12"/>
        <v>-9.6603089895093888</v>
      </c>
      <c r="X40" s="55">
        <f t="shared" ca="1" si="13"/>
        <v>23.3805541516281</v>
      </c>
      <c r="Y40" s="55">
        <f t="shared" ca="1" si="14"/>
        <v>35.870033778603258</v>
      </c>
      <c r="Z40">
        <f t="shared" ca="1" si="3"/>
        <v>120</v>
      </c>
      <c r="AA40">
        <f t="shared" ca="1" si="15"/>
        <v>18.149147762536771</v>
      </c>
      <c r="AB40">
        <f t="shared" ca="1" si="4"/>
        <v>0</v>
      </c>
      <c r="AC40">
        <f t="shared" ca="1" si="5"/>
        <v>0</v>
      </c>
      <c r="AD40" s="83">
        <f ca="1"/>
        <v>45584</v>
      </c>
      <c r="AE40" s="55">
        <f t="shared" ca="1" si="20"/>
        <v>45584</v>
      </c>
      <c r="AF40" s="55">
        <f t="shared" ca="1" si="21"/>
        <v>78.216162179644797</v>
      </c>
      <c r="AG40" s="55">
        <f t="shared" ca="1" si="22"/>
        <v>3.9183996649875792</v>
      </c>
      <c r="AH40" s="55">
        <f t="shared" ca="1" si="23"/>
        <v>0</v>
      </c>
      <c r="AI40" s="55">
        <f t="shared" ca="1" si="17"/>
        <v>-2.4870342214924293</v>
      </c>
      <c r="AJ40" s="55">
        <f t="shared" ca="1" si="18"/>
        <v>19.050247922790899</v>
      </c>
      <c r="AK40" s="55">
        <f t="shared" ca="1" si="19"/>
        <v>33.965505338251297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Interface'!$J$12:$O$501,6,FALSE),"")</f>
        <v/>
      </c>
      <c r="H41" s="55" t="str">
        <f t="shared" ca="1" si="26"/>
        <v/>
      </c>
      <c r="R41" s="83">
        <f ca="1"/>
        <v>45399</v>
      </c>
      <c r="S41" s="55">
        <f t="shared" ca="1" si="11"/>
        <v>45399</v>
      </c>
      <c r="T41" s="55">
        <f t="shared" ca="1" si="0"/>
        <v>99.501693417568234</v>
      </c>
      <c r="U41" s="55">
        <f t="shared" ca="1" si="1"/>
        <v>0</v>
      </c>
      <c r="V41" s="55">
        <f t="shared" ca="1" si="2"/>
        <v>0</v>
      </c>
      <c r="W41" s="55">
        <f t="shared" ca="1" si="12"/>
        <v>-10.087733655146595</v>
      </c>
      <c r="X41" s="55">
        <f t="shared" ca="1" si="13"/>
        <v>24.320081108094307</v>
      </c>
      <c r="Y41" s="55">
        <f t="shared" ca="1" si="14"/>
        <v>36.415155401503696</v>
      </c>
      <c r="Z41">
        <f t="shared" ca="1" si="3"/>
        <v>120</v>
      </c>
      <c r="AA41">
        <f t="shared" ca="1" si="15"/>
        <v>18.929147762536772</v>
      </c>
      <c r="AB41">
        <f t="shared" ca="1" si="4"/>
        <v>0</v>
      </c>
      <c r="AC41">
        <f t="shared" ca="1" si="5"/>
        <v>0</v>
      </c>
      <c r="AD41" s="83">
        <f ca="1"/>
        <v>45585</v>
      </c>
      <c r="AE41" s="55">
        <f t="shared" ca="1" si="20"/>
        <v>45585</v>
      </c>
      <c r="AF41" s="55">
        <f t="shared" ca="1" si="21"/>
        <v>79.516894802132981</v>
      </c>
      <c r="AG41" s="55">
        <f t="shared" ca="1" si="22"/>
        <v>4.072812318315659</v>
      </c>
      <c r="AH41" s="55">
        <f t="shared" ca="1" si="23"/>
        <v>0</v>
      </c>
      <c r="AI41" s="55">
        <f t="shared" ca="1" si="17"/>
        <v>-2.4870342214924293</v>
      </c>
      <c r="AJ41" s="55">
        <f t="shared" ca="1" si="18"/>
        <v>19.857216869089669</v>
      </c>
      <c r="AK41" s="55">
        <f t="shared" ca="1" si="19"/>
        <v>34.613681667768795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Interface'!$J$12:$O$501,6,FALSE),"")</f>
        <v/>
      </c>
      <c r="H42" s="55" t="str">
        <f t="shared" ca="1" si="26"/>
        <v/>
      </c>
      <c r="R42" s="83">
        <f ca="1"/>
        <v>45400</v>
      </c>
      <c r="S42" s="55">
        <f t="shared" ca="1" si="11"/>
        <v>45400</v>
      </c>
      <c r="T42" s="55">
        <f t="shared" ca="1" si="0"/>
        <v>100.86538391146588</v>
      </c>
      <c r="U42" s="55">
        <f t="shared" ca="1" si="1"/>
        <v>0</v>
      </c>
      <c r="V42" s="55">
        <f t="shared" ca="1" si="2"/>
        <v>0</v>
      </c>
      <c r="W42" s="55">
        <f t="shared" ca="1" si="12"/>
        <v>-10.087733655146595</v>
      </c>
      <c r="X42" s="55">
        <f t="shared" ca="1" si="13"/>
        <v>25.201378055498616</v>
      </c>
      <c r="Y42" s="55">
        <f t="shared" ca="1" si="14"/>
        <v>36.897548947997038</v>
      </c>
      <c r="Z42">
        <f t="shared" ca="1" si="3"/>
        <v>119.82608695652172</v>
      </c>
      <c r="AA42">
        <f t="shared" ca="1" si="15"/>
        <v>18.929147762536772</v>
      </c>
      <c r="AB42">
        <f t="shared" ca="1" si="4"/>
        <v>0</v>
      </c>
      <c r="AC42">
        <f t="shared" ca="1" si="5"/>
        <v>0</v>
      </c>
      <c r="AD42" s="83">
        <f ca="1"/>
        <v>45586</v>
      </c>
      <c r="AE42" s="55">
        <f t="shared" ca="1" si="20"/>
        <v>45586</v>
      </c>
      <c r="AF42" s="55">
        <f t="shared" ca="1" si="21"/>
        <v>80.835274318278678</v>
      </c>
      <c r="AG42" s="55">
        <f t="shared" ca="1" si="22"/>
        <v>4.2428636463777636</v>
      </c>
      <c r="AH42" s="55">
        <f t="shared" ca="1" si="23"/>
        <v>0</v>
      </c>
      <c r="AI42" s="55">
        <f t="shared" ca="1" si="17"/>
        <v>-2.4870342214924293</v>
      </c>
      <c r="AJ42" s="55">
        <f t="shared" ca="1" si="18"/>
        <v>20.720974732437092</v>
      </c>
      <c r="AK42" s="55">
        <f t="shared" ca="1" si="19"/>
        <v>35.238354648629176</v>
      </c>
    </row>
    <row r="43" spans="1:37" s="55" customFormat="1" ht="15.7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Interface'!$J$12:$O$501,6,FALSE),"")</f>
        <v/>
      </c>
      <c r="H43" s="55" t="str">
        <f t="shared" ca="1" si="26"/>
        <v/>
      </c>
      <c r="R43" s="83">
        <f ca="1"/>
        <v>45401</v>
      </c>
      <c r="S43" s="55">
        <f t="shared" ca="1" si="11"/>
        <v>45401</v>
      </c>
      <c r="T43" s="55">
        <f t="shared" ca="1" si="0"/>
        <v>102.34721969109484</v>
      </c>
      <c r="U43" s="55">
        <f t="shared" ca="1" si="1"/>
        <v>0</v>
      </c>
      <c r="V43" s="55">
        <f t="shared" ca="1" si="2"/>
        <v>0</v>
      </c>
      <c r="W43" s="55">
        <f t="shared" ca="1" si="12"/>
        <v>-10.087733655146595</v>
      </c>
      <c r="X43" s="55">
        <f t="shared" ca="1" si="13"/>
        <v>26.191326560188905</v>
      </c>
      <c r="Y43" s="55">
        <f t="shared" ca="1" si="14"/>
        <v>37.3894362229357</v>
      </c>
      <c r="Z43">
        <f t="shared" ca="1" si="3"/>
        <v>118.89121613106491</v>
      </c>
      <c r="AA43">
        <f t="shared" ca="1" si="15"/>
        <v>18.929147762536772</v>
      </c>
      <c r="AB43">
        <f t="shared" ca="1" si="4"/>
        <v>0</v>
      </c>
      <c r="AC43">
        <f t="shared" ca="1" si="5"/>
        <v>0</v>
      </c>
      <c r="AD43" s="83">
        <f ca="1"/>
        <v>45587</v>
      </c>
      <c r="AE43" s="55">
        <f t="shared" ca="1" si="20"/>
        <v>45587</v>
      </c>
      <c r="AF43" s="55">
        <f t="shared" ca="1" si="21"/>
        <v>82.045427593848956</v>
      </c>
      <c r="AG43" s="55">
        <f t="shared" ca="1" si="22"/>
        <v>4.4040175597646183</v>
      </c>
      <c r="AH43" s="55">
        <f t="shared" ca="1" si="23"/>
        <v>0</v>
      </c>
      <c r="AI43" s="55">
        <f t="shared" ca="1" si="17"/>
        <v>-2.4870342214924293</v>
      </c>
      <c r="AJ43" s="55">
        <f t="shared" ca="1" si="18"/>
        <v>21.535805466523211</v>
      </c>
      <c r="AK43" s="55">
        <f t="shared" ca="1" si="19"/>
        <v>35.794831103500194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45436</v>
      </c>
      <c r="C44" s="94" t="s">
        <v>149</v>
      </c>
      <c r="D44" s="96">
        <f ca="1">MAX(CurrentEstablishDate,C38:C43,MAX(C29:C34)+1)</f>
        <v>45436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45402</v>
      </c>
      <c r="S44" s="55">
        <f t="shared" ca="1" si="11"/>
        <v>45402</v>
      </c>
      <c r="T44" s="55">
        <f t="shared" ca="1" si="0"/>
        <v>103.79143075833231</v>
      </c>
      <c r="U44" s="55">
        <f t="shared" ca="1" si="1"/>
        <v>0</v>
      </c>
      <c r="V44" s="55">
        <f t="shared" ca="1" si="2"/>
        <v>0</v>
      </c>
      <c r="W44" s="55">
        <f t="shared" ca="1" si="12"/>
        <v>-10.087733655146595</v>
      </c>
      <c r="X44" s="55">
        <f t="shared" ca="1" si="13"/>
        <v>27.180435486278238</v>
      </c>
      <c r="Y44" s="55">
        <f t="shared" ca="1" si="14"/>
        <v>37.844538364083846</v>
      </c>
      <c r="Z44">
        <f t="shared" ca="1" si="3"/>
        <v>119.8895545583226</v>
      </c>
      <c r="AA44">
        <f t="shared" ca="1" si="15"/>
        <v>18.929147762536772</v>
      </c>
      <c r="AB44">
        <f t="shared" ca="1" si="4"/>
        <v>0</v>
      </c>
      <c r="AC44">
        <f t="shared" ca="1" si="5"/>
        <v>0</v>
      </c>
      <c r="AD44" s="83">
        <f ca="1"/>
        <v>45588</v>
      </c>
      <c r="AE44" s="55">
        <f t="shared" ca="1" si="20"/>
        <v>45588</v>
      </c>
      <c r="AF44" s="55">
        <f t="shared" ca="1" si="21"/>
        <v>83.189020003699241</v>
      </c>
      <c r="AG44" s="55">
        <f t="shared" ca="1" si="22"/>
        <v>4.5721661654803576</v>
      </c>
      <c r="AH44" s="55">
        <f t="shared" ca="1" si="23"/>
        <v>0</v>
      </c>
      <c r="AI44" s="55">
        <f t="shared" ca="1" si="17"/>
        <v>-2.4870342214924293</v>
      </c>
      <c r="AJ44" s="55">
        <f t="shared" ca="1" si="18"/>
        <v>22.325021179204079</v>
      </c>
      <c r="AK44" s="55">
        <f t="shared" ca="1" si="19"/>
        <v>36.31735640638535</v>
      </c>
    </row>
    <row r="45" spans="1:37" s="55" customFormat="1">
      <c r="R45" s="83">
        <f ca="1"/>
        <v>45403</v>
      </c>
      <c r="S45" s="55">
        <f t="shared" ca="1" si="11"/>
        <v>45403</v>
      </c>
      <c r="T45" s="55">
        <f t="shared" ca="1" si="0"/>
        <v>105.12705872886866</v>
      </c>
      <c r="U45" s="55">
        <f t="shared" ca="1" si="1"/>
        <v>0</v>
      </c>
      <c r="V45" s="55">
        <f t="shared" ca="1" si="2"/>
        <v>0</v>
      </c>
      <c r="W45" s="55">
        <f t="shared" ca="1" si="12"/>
        <v>-10.087733655146595</v>
      </c>
      <c r="X45" s="55">
        <f t="shared" ca="1" si="13"/>
        <v>28.113469113100756</v>
      </c>
      <c r="Y45" s="55">
        <f t="shared" ca="1" si="14"/>
        <v>38.247132707797675</v>
      </c>
      <c r="Z45">
        <f t="shared" ca="1" si="3"/>
        <v>118.34438556460063</v>
      </c>
      <c r="AA45">
        <f t="shared" ca="1" si="15"/>
        <v>18.929147762536772</v>
      </c>
      <c r="AB45">
        <f t="shared" ca="1" si="4"/>
        <v>0</v>
      </c>
      <c r="AC45">
        <f t="shared" ca="1" si="5"/>
        <v>0</v>
      </c>
      <c r="AD45" s="83">
        <f ca="1"/>
        <v>45589</v>
      </c>
      <c r="AE45" s="55">
        <f t="shared" ca="1" si="20"/>
        <v>45589</v>
      </c>
      <c r="AF45" s="55">
        <f t="shared" ca="1" si="21"/>
        <v>84.319395146314122</v>
      </c>
      <c r="AG45" s="55">
        <f t="shared" ca="1" si="22"/>
        <v>4.7611065901902725</v>
      </c>
      <c r="AH45" s="55">
        <f t="shared" ca="1" si="23"/>
        <v>0</v>
      </c>
      <c r="AI45" s="55">
        <f t="shared" ca="1" si="17"/>
        <v>-2.4870342214924293</v>
      </c>
      <c r="AJ45" s="55">
        <f t="shared" ca="1" si="18"/>
        <v>23.135459482393216</v>
      </c>
      <c r="AK45" s="55">
        <f t="shared" ca="1" si="19"/>
        <v>36.826233670520999</v>
      </c>
    </row>
    <row r="46" spans="1:37" s="55" customFormat="1" ht="15.75" thickBot="1">
      <c r="C46" s="129" t="s">
        <v>153</v>
      </c>
      <c r="D46" s="129"/>
      <c r="E46" s="129"/>
      <c r="F46" s="129"/>
      <c r="G46" s="129"/>
      <c r="H46" s="129"/>
      <c r="R46" s="83">
        <f ca="1"/>
        <v>45404</v>
      </c>
      <c r="S46" s="55">
        <f t="shared" ca="1" si="11"/>
        <v>45404</v>
      </c>
      <c r="T46" s="55">
        <f t="shared" ca="1" si="0"/>
        <v>106.46716622719231</v>
      </c>
      <c r="U46" s="55">
        <f t="shared" ca="1" si="1"/>
        <v>0</v>
      </c>
      <c r="V46" s="55">
        <f t="shared" ca="1" si="2"/>
        <v>0</v>
      </c>
      <c r="W46" s="55">
        <f t="shared" ca="1" si="12"/>
        <v>-10.087733655146595</v>
      </c>
      <c r="X46" s="55">
        <f t="shared" ca="1" si="13"/>
        <v>29.071818361225905</v>
      </c>
      <c r="Y46" s="55">
        <f t="shared" ca="1" si="14"/>
        <v>38.628890957996184</v>
      </c>
      <c r="Z46">
        <f t="shared" ca="1" si="3"/>
        <v>116.00184753716754</v>
      </c>
      <c r="AA46">
        <f t="shared" ca="1" si="15"/>
        <v>18.929147762536772</v>
      </c>
      <c r="AB46">
        <f t="shared" ca="1" si="4"/>
        <v>0</v>
      </c>
      <c r="AC46">
        <f t="shared" ca="1" si="5"/>
        <v>0</v>
      </c>
      <c r="AD46" s="83">
        <f ca="1"/>
        <v>45590</v>
      </c>
      <c r="AE46" s="55">
        <f t="shared" ca="1" si="20"/>
        <v>45590</v>
      </c>
      <c r="AF46" s="55">
        <f t="shared" ca="1" si="21"/>
        <v>85.49640980994441</v>
      </c>
      <c r="AG46" s="55">
        <f t="shared" ca="1" si="22"/>
        <v>4.9810395509068677</v>
      </c>
      <c r="AH46" s="55">
        <f t="shared" ca="1" si="23"/>
        <v>0</v>
      </c>
      <c r="AI46" s="55">
        <f t="shared" ca="1" si="17"/>
        <v>-2.4870342214924293</v>
      </c>
      <c r="AJ46" s="55">
        <f t="shared" ca="1" si="18"/>
        <v>24.027626136548793</v>
      </c>
      <c r="AK46" s="55">
        <f t="shared" ca="1" si="19"/>
        <v>37.331014640712304</v>
      </c>
    </row>
    <row r="47" spans="1:37" s="55" customFormat="1">
      <c r="C47" s="61" t="s">
        <v>26</v>
      </c>
      <c r="D47" s="88" t="str">
        <f>IF(E47="","Fodder",E47)</f>
        <v>Vegetable</v>
      </c>
      <c r="E47" s="87" t="s">
        <v>64</v>
      </c>
      <c r="F47" s="61" t="s">
        <v>133</v>
      </c>
      <c r="G47" s="88">
        <f>IF(H47="",VLOOKUP(PriorCropNameFull,CropCoefficients,23,FALSE),H47)</f>
        <v>0</v>
      </c>
      <c r="H47" s="89"/>
      <c r="R47" s="83">
        <f ca="1"/>
        <v>45405</v>
      </c>
      <c r="S47" s="55">
        <f t="shared" ca="1" si="11"/>
        <v>45405</v>
      </c>
      <c r="T47" s="55">
        <f t="shared" ca="1" si="0"/>
        <v>107.87832290856451</v>
      </c>
      <c r="U47" s="55">
        <f t="shared" ca="1" si="1"/>
        <v>0</v>
      </c>
      <c r="V47" s="55">
        <f t="shared" ca="1" si="2"/>
        <v>0</v>
      </c>
      <c r="W47" s="55">
        <f t="shared" ca="1" si="12"/>
        <v>-10.087733655146595</v>
      </c>
      <c r="X47" s="55">
        <f t="shared" ca="1" si="13"/>
        <v>30.106886299272691</v>
      </c>
      <c r="Y47" s="55">
        <f t="shared" ca="1" si="14"/>
        <v>39.004979701321595</v>
      </c>
      <c r="Z47">
        <f t="shared" ca="1" si="3"/>
        <v>117.74557334718602</v>
      </c>
      <c r="AA47">
        <f t="shared" ca="1" si="15"/>
        <v>18.929147762536772</v>
      </c>
      <c r="AB47">
        <f t="shared" ca="1" si="4"/>
        <v>0</v>
      </c>
      <c r="AC47">
        <f t="shared" ca="1" si="5"/>
        <v>0</v>
      </c>
      <c r="AD47" s="83">
        <f ca="1"/>
        <v>45591</v>
      </c>
      <c r="AE47" s="55">
        <f t="shared" ca="1" si="20"/>
        <v>45591</v>
      </c>
      <c r="AF47" s="55">
        <f t="shared" ca="1" si="21"/>
        <v>86.680308671271646</v>
      </c>
      <c r="AG47" s="55">
        <f t="shared" ca="1" si="22"/>
        <v>5.2144884680411225</v>
      </c>
      <c r="AH47" s="55">
        <f t="shared" ca="1" si="23"/>
        <v>0</v>
      </c>
      <c r="AI47" s="55">
        <f t="shared" ca="1" si="17"/>
        <v>-2.4870342214924293</v>
      </c>
      <c r="AJ47" s="55">
        <f t="shared" ca="1" si="18"/>
        <v>24.971930814478412</v>
      </c>
      <c r="AK47" s="55">
        <f t="shared" ca="1" si="19"/>
        <v>37.804057741244172</v>
      </c>
    </row>
    <row r="48" spans="1:37" s="55" customFormat="1">
      <c r="C48" s="61" t="s">
        <v>94</v>
      </c>
      <c r="D48" s="84" t="str">
        <f>IF(E48="","Barley",E48)</f>
        <v>Broccoli</v>
      </c>
      <c r="E48" s="66" t="s">
        <v>75</v>
      </c>
      <c r="F48" s="61" t="s">
        <v>135</v>
      </c>
      <c r="G48" s="84">
        <f>IF(H48="",VLOOKUP(PriorCropNameFull,CropCoefficients,22,FALSE),H48)</f>
        <v>0</v>
      </c>
      <c r="H48" s="72"/>
      <c r="R48" s="83">
        <f ca="1"/>
        <v>45406</v>
      </c>
      <c r="S48" s="55">
        <f t="shared" ca="1" si="11"/>
        <v>45406</v>
      </c>
      <c r="T48" s="55">
        <f t="shared" ca="1" si="0"/>
        <v>106.48932100061609</v>
      </c>
      <c r="U48" s="55">
        <f t="shared" ca="1" si="1"/>
        <v>0</v>
      </c>
      <c r="V48" s="55">
        <f t="shared" ca="1" si="2"/>
        <v>0</v>
      </c>
      <c r="W48" s="55">
        <f t="shared" ca="1" si="12"/>
        <v>-12.815451041494333</v>
      </c>
      <c r="X48" s="55">
        <f t="shared" ca="1" si="13"/>
        <v>31.107788825235872</v>
      </c>
      <c r="Y48" s="55">
        <f t="shared" ca="1" si="14"/>
        <v>39.342792653757719</v>
      </c>
      <c r="Z48">
        <f t="shared" ca="1" si="3"/>
        <v>120</v>
      </c>
      <c r="AA48">
        <f t="shared" ca="1" si="15"/>
        <v>23.580281294777976</v>
      </c>
      <c r="AB48">
        <f t="shared" ca="1" si="4"/>
        <v>0</v>
      </c>
      <c r="AC48">
        <f t="shared" ca="1" si="5"/>
        <v>0</v>
      </c>
      <c r="AD48" s="83">
        <f ca="1"/>
        <v>45592</v>
      </c>
      <c r="AE48" s="55">
        <f t="shared" ca="1" si="20"/>
        <v>45592</v>
      </c>
      <c r="AF48" s="55">
        <f t="shared" ca="1" si="21"/>
        <v>87.794092697300187</v>
      </c>
      <c r="AG48" s="55">
        <f t="shared" ca="1" si="22"/>
        <v>5.4455558059197502</v>
      </c>
      <c r="AH48" s="55">
        <f t="shared" ca="1" si="23"/>
        <v>0</v>
      </c>
      <c r="AI48" s="55">
        <f t="shared" ca="1" si="17"/>
        <v>-2.4870342214924293</v>
      </c>
      <c r="AJ48" s="55">
        <f t="shared" ca="1" si="18"/>
        <v>25.891257759755867</v>
      </c>
      <c r="AK48" s="55">
        <f t="shared" ca="1" si="19"/>
        <v>38.229582159873893</v>
      </c>
    </row>
    <row r="49" spans="2:37" s="55" customFormat="1">
      <c r="C49" s="61" t="s">
        <v>95</v>
      </c>
      <c r="D49" s="84" t="str">
        <f>IF(E49="","General",E49)</f>
        <v>Head only</v>
      </c>
      <c r="E49" s="66" t="s">
        <v>76</v>
      </c>
      <c r="F49" s="61" t="s">
        <v>134</v>
      </c>
      <c r="G49" s="84">
        <f>IF(H49="",VLOOKUP(PriorCropNameFull,CropCoefficients,26,FALSE),H49)</f>
        <v>89</v>
      </c>
      <c r="H49" s="72"/>
      <c r="R49" s="83">
        <f ca="1"/>
        <v>45407</v>
      </c>
      <c r="S49" s="55">
        <f t="shared" ca="1" si="11"/>
        <v>45407</v>
      </c>
      <c r="T49" s="55">
        <f t="shared" ca="1" si="0"/>
        <v>107.75257606879325</v>
      </c>
      <c r="U49" s="55">
        <f t="shared" ca="1" si="1"/>
        <v>0</v>
      </c>
      <c r="V49" s="55">
        <f t="shared" ca="1" si="2"/>
        <v>0</v>
      </c>
      <c r="W49" s="55">
        <f t="shared" ca="1" si="12"/>
        <v>-12.815451041494333</v>
      </c>
      <c r="X49" s="55">
        <f t="shared" ca="1" si="13"/>
        <v>32.068610015427893</v>
      </c>
      <c r="Y49" s="55">
        <f t="shared" ca="1" si="14"/>
        <v>39.645226531742857</v>
      </c>
      <c r="Z49">
        <f t="shared" ca="1" si="3"/>
        <v>118.60869565217391</v>
      </c>
      <c r="AA49">
        <f t="shared" ca="1" si="15"/>
        <v>23.580281294777976</v>
      </c>
      <c r="AB49">
        <f t="shared" ca="1" si="4"/>
        <v>0</v>
      </c>
      <c r="AC49">
        <f t="shared" ca="1" si="5"/>
        <v>0</v>
      </c>
      <c r="AD49" s="83">
        <f ca="1"/>
        <v>45593</v>
      </c>
      <c r="AE49" s="55">
        <f t="shared" ca="1" si="20"/>
        <v>45593</v>
      </c>
      <c r="AF49" s="55">
        <f t="shared" ca="1" si="21"/>
        <v>88.633966879348549</v>
      </c>
      <c r="AG49" s="55">
        <f t="shared" ca="1" si="22"/>
        <v>5.7022283624505299</v>
      </c>
      <c r="AH49" s="55">
        <f t="shared" ca="1" si="23"/>
        <v>0</v>
      </c>
      <c r="AI49" s="55">
        <f t="shared" ca="1" si="17"/>
        <v>-2.7630945465666361</v>
      </c>
      <c r="AJ49" s="55">
        <f t="shared" ca="1" si="18"/>
        <v>26.853729074677481</v>
      </c>
      <c r="AK49" s="55">
        <f t="shared" ca="1" si="19"/>
        <v>38.639717908605625</v>
      </c>
    </row>
    <row r="50" spans="2:37" s="55" customFormat="1">
      <c r="B50" s="90">
        <f>IF(PriorUnits="kg/head",PriorYield*PriorPopulation/1000,IF(PriorUnits="kg/ha",PriorYield/1000,PriorYield))</f>
        <v>20</v>
      </c>
      <c r="C50" s="64" t="s">
        <v>150</v>
      </c>
      <c r="D50" s="65" t="str">
        <f>SUBSTITUTE(PriorCropName&amp;" "&amp;PriorCropType&amp;" "&amp;PriorCropVariety,"_"," ")</f>
        <v>Broccoli Vegetable Head only</v>
      </c>
      <c r="F50" s="56"/>
      <c r="R50" s="83">
        <f ca="1"/>
        <v>45408</v>
      </c>
      <c r="S50" s="55">
        <f t="shared" ca="1" si="11"/>
        <v>45408</v>
      </c>
      <c r="T50" s="55">
        <f t="shared" ca="1" si="0"/>
        <v>107.760344651</v>
      </c>
      <c r="U50" s="55">
        <f t="shared" ca="1" si="1"/>
        <v>0</v>
      </c>
      <c r="V50" s="55">
        <f t="shared" ca="1" si="2"/>
        <v>0</v>
      </c>
      <c r="W50" s="55">
        <f t="shared" ca="1" si="12"/>
        <v>-14.137806500538817</v>
      </c>
      <c r="X50" s="55">
        <f t="shared" ca="1" si="13"/>
        <v>33.101953145477964</v>
      </c>
      <c r="Y50" s="55">
        <f t="shared" ca="1" si="14"/>
        <v>39.942007442944025</v>
      </c>
      <c r="Z50">
        <f t="shared" ca="1" si="3"/>
        <v>120</v>
      </c>
      <c r="AA50">
        <f t="shared" ca="1" si="15"/>
        <v>25.808484193328695</v>
      </c>
      <c r="AB50">
        <f t="shared" ca="1" si="4"/>
        <v>0</v>
      </c>
      <c r="AC50">
        <f t="shared" ca="1" si="5"/>
        <v>0</v>
      </c>
      <c r="AD50" s="83">
        <f ca="1"/>
        <v>45594</v>
      </c>
      <c r="AE50" s="55">
        <f t="shared" ca="1" si="20"/>
        <v>45594</v>
      </c>
      <c r="AF50" s="55">
        <f t="shared" ca="1" si="21"/>
        <v>89.639280140025008</v>
      </c>
      <c r="AG50" s="55">
        <f t="shared" ca="1" si="22"/>
        <v>5.9429831773482551</v>
      </c>
      <c r="AH50" s="55">
        <f t="shared" ca="1" si="23"/>
        <v>0</v>
      </c>
      <c r="AI50" s="55">
        <f t="shared" ca="1" si="17"/>
        <v>-2.7630945465666361</v>
      </c>
      <c r="AJ50" s="55">
        <f t="shared" ca="1" si="18"/>
        <v>27.741774640211776</v>
      </c>
      <c r="AK50" s="55">
        <f t="shared" ca="1" si="19"/>
        <v>38.997740418645513</v>
      </c>
    </row>
    <row r="51" spans="2:37" s="55" customFormat="1">
      <c r="C51" s="61" t="s">
        <v>4</v>
      </c>
      <c r="D51" s="68">
        <f ca="1">IF(E51="",CurrentEstablishDate-120,E51)</f>
        <v>45316</v>
      </c>
      <c r="E51" s="67"/>
      <c r="F51" s="61" t="s">
        <v>145</v>
      </c>
      <c r="G51" s="84" t="str">
        <f>IF(H51="",VLOOKUP(PriorCropNameFull,CropCoefficients,13,FALSE),H51)</f>
        <v>Seedling</v>
      </c>
      <c r="H51" s="72"/>
      <c r="R51" s="83">
        <f ca="1"/>
        <v>45409</v>
      </c>
      <c r="S51" s="55">
        <f t="shared" ca="1" si="11"/>
        <v>45409</v>
      </c>
      <c r="T51" s="55">
        <f t="shared" ca="1" si="0"/>
        <v>106.48665697472477</v>
      </c>
      <c r="U51" s="55">
        <f t="shared" ca="1" si="1"/>
        <v>0</v>
      </c>
      <c r="V51" s="55">
        <f t="shared" ca="1" si="2"/>
        <v>0</v>
      </c>
      <c r="W51" s="55">
        <f t="shared" ca="1" si="12"/>
        <v>-16.64780503537494</v>
      </c>
      <c r="X51" s="55">
        <f t="shared" ca="1" si="13"/>
        <v>34.076855592382458</v>
      </c>
      <c r="Y51" s="55">
        <f t="shared" ca="1" si="14"/>
        <v>40.203415854600436</v>
      </c>
      <c r="Z51">
        <f t="shared" ca="1" si="3"/>
        <v>120</v>
      </c>
      <c r="AA51">
        <f t="shared" ca="1" si="15"/>
        <v>30.088484193328696</v>
      </c>
      <c r="AB51">
        <f t="shared" ca="1" si="4"/>
        <v>0</v>
      </c>
      <c r="AC51">
        <f t="shared" ca="1" si="5"/>
        <v>0</v>
      </c>
      <c r="AD51" s="83">
        <f ca="1"/>
        <v>45595</v>
      </c>
      <c r="AE51" s="55">
        <f t="shared" ca="1" si="20"/>
        <v>45595</v>
      </c>
      <c r="AF51" s="55">
        <f t="shared" ca="1" si="21"/>
        <v>90.582043800049249</v>
      </c>
      <c r="AG51" s="55">
        <f t="shared" ca="1" si="22"/>
        <v>6.1800934756039929</v>
      </c>
      <c r="AH51" s="55">
        <f t="shared" ca="1" si="23"/>
        <v>0</v>
      </c>
      <c r="AI51" s="55">
        <f t="shared" ca="1" si="17"/>
        <v>-2.7630945465666361</v>
      </c>
      <c r="AJ51" s="55">
        <f t="shared" ca="1" si="18"/>
        <v>28.597499140879272</v>
      </c>
      <c r="AK51" s="55">
        <f t="shared" ca="1" si="19"/>
        <v>39.321889876258005</v>
      </c>
    </row>
    <row r="52" spans="2:37" s="55" customFormat="1">
      <c r="C52" s="61" t="s">
        <v>5</v>
      </c>
      <c r="D52" s="68">
        <f ca="1">IF(E52="",CurrentEstablishDate-60,E52)</f>
        <v>45376</v>
      </c>
      <c r="F52" s="61" t="s">
        <v>146</v>
      </c>
      <c r="G52" s="84" t="str">
        <f>IF(H52="",VLOOKUP(PriorCropNameFull,CropCoefficients,15,FALSE),H52)</f>
        <v>EarlyReproductive</v>
      </c>
      <c r="H52" s="72"/>
      <c r="R52" s="83">
        <f ca="1"/>
        <v>45410</v>
      </c>
      <c r="S52" s="55">
        <f t="shared" ca="1" si="11"/>
        <v>45410</v>
      </c>
      <c r="T52" s="55">
        <f t="shared" ca="1" si="0"/>
        <v>105.8293464047502</v>
      </c>
      <c r="U52" s="55">
        <f t="shared" ca="1" si="1"/>
        <v>0</v>
      </c>
      <c r="V52" s="55">
        <f t="shared" ca="1" si="2"/>
        <v>0</v>
      </c>
      <c r="W52" s="55">
        <f t="shared" ca="1" si="12"/>
        <v>-18.495370697391785</v>
      </c>
      <c r="X52" s="55">
        <f t="shared" ca="1" si="13"/>
        <v>35.029452113960538</v>
      </c>
      <c r="Y52" s="55">
        <f t="shared" ca="1" si="14"/>
        <v>40.441074425064627</v>
      </c>
      <c r="Z52">
        <f t="shared" ca="1" si="3"/>
        <v>120</v>
      </c>
      <c r="AA52">
        <f t="shared" ca="1" si="15"/>
        <v>33.258484193328698</v>
      </c>
      <c r="AB52">
        <f t="shared" ca="1" si="4"/>
        <v>0</v>
      </c>
      <c r="AC52">
        <f t="shared" ca="1" si="5"/>
        <v>0</v>
      </c>
      <c r="AD52" s="83">
        <f ca="1"/>
        <v>45596</v>
      </c>
      <c r="AE52" s="55">
        <f t="shared" ca="1" si="20"/>
        <v>45596</v>
      </c>
      <c r="AF52" s="55">
        <f t="shared" ca="1" si="21"/>
        <v>91.485076877763873</v>
      </c>
      <c r="AG52" s="55">
        <f t="shared" ca="1" si="22"/>
        <v>6.4219006977690087</v>
      </c>
      <c r="AH52" s="55">
        <f t="shared" ca="1" si="23"/>
        <v>0</v>
      </c>
      <c r="AI52" s="55">
        <f t="shared" ca="1" si="17"/>
        <v>-2.7630945465666361</v>
      </c>
      <c r="AJ52" s="55">
        <f t="shared" ca="1" si="18"/>
        <v>29.442515349519454</v>
      </c>
      <c r="AK52" s="55">
        <f t="shared" ca="1" si="19"/>
        <v>39.621713967497463</v>
      </c>
    </row>
    <row r="53" spans="2:37" s="55" customFormat="1">
      <c r="C53" s="61" t="s">
        <v>136</v>
      </c>
      <c r="D53" s="73">
        <f>IF(PriorUnits="kg/head",IF(E53="",VLOOKUP(PriorCropNameFull,CropCoefficients,20,FALSE),E53),1)</f>
        <v>50000</v>
      </c>
      <c r="E53" s="72">
        <v>50000</v>
      </c>
      <c r="F53" s="61"/>
      <c r="G53" s="61"/>
      <c r="H53" s="61"/>
      <c r="R53" s="83">
        <f ca="1"/>
        <v>45411</v>
      </c>
      <c r="S53" s="55">
        <f t="shared" ca="1" si="11"/>
        <v>45411</v>
      </c>
      <c r="T53" s="55">
        <f t="shared" ca="1" si="0"/>
        <v>104.79094059154075</v>
      </c>
      <c r="U53" s="55">
        <f t="shared" ca="1" si="1"/>
        <v>0</v>
      </c>
      <c r="V53" s="55">
        <f t="shared" ca="1" si="2"/>
        <v>0</v>
      </c>
      <c r="W53" s="55">
        <f t="shared" ca="1" si="12"/>
        <v>-20.68838690339447</v>
      </c>
      <c r="X53" s="55">
        <f t="shared" ca="1" si="13"/>
        <v>35.966540835142467</v>
      </c>
      <c r="Y53" s="55">
        <f t="shared" ca="1" si="14"/>
        <v>40.658596096675922</v>
      </c>
      <c r="Z53">
        <f t="shared" ca="1" si="3"/>
        <v>120</v>
      </c>
      <c r="AA53">
        <f t="shared" ca="1" si="15"/>
        <v>37.058484193328709</v>
      </c>
      <c r="AB53">
        <f t="shared" ca="1" si="4"/>
        <v>0</v>
      </c>
      <c r="AC53">
        <f t="shared" ca="1" si="5"/>
        <v>0</v>
      </c>
      <c r="AD53" s="83">
        <f ca="1"/>
        <v>45597</v>
      </c>
      <c r="AE53" s="55">
        <f t="shared" ca="1" si="20"/>
        <v>45597</v>
      </c>
      <c r="AF53" s="55">
        <f t="shared" ca="1" si="21"/>
        <v>92.384132109874926</v>
      </c>
      <c r="AG53" s="55">
        <f t="shared" ca="1" si="22"/>
        <v>6.7014660500973822</v>
      </c>
      <c r="AH53" s="55">
        <f t="shared" ca="1" si="23"/>
        <v>0</v>
      </c>
      <c r="AI53" s="55">
        <f t="shared" ca="1" si="17"/>
        <v>-2.7630945465666361</v>
      </c>
      <c r="AJ53" s="55">
        <f t="shared" ca="1" si="18"/>
        <v>30.32503916309301</v>
      </c>
      <c r="AK53" s="55">
        <f t="shared" ca="1" si="19"/>
        <v>39.917810738363336</v>
      </c>
    </row>
    <row r="54" spans="2:37" s="54" customFormat="1">
      <c r="B54" s="55"/>
      <c r="C54" s="61" t="s">
        <v>100</v>
      </c>
      <c r="D54" s="70">
        <f>IF(E54="",VLOOKUP(PriorCropNameFull,CropCoefficients,17,FALSE),E54)</f>
        <v>0.4</v>
      </c>
      <c r="E54" s="69">
        <v>0.4</v>
      </c>
      <c r="F54" s="61" t="s">
        <v>148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45412</v>
      </c>
      <c r="S54" s="55">
        <f t="shared" ca="1" si="11"/>
        <v>45412</v>
      </c>
      <c r="T54" s="55">
        <f t="shared" ca="1" si="0"/>
        <v>105.7702974371382</v>
      </c>
      <c r="U54" s="55">
        <f t="shared" ca="1" si="1"/>
        <v>0</v>
      </c>
      <c r="V54" s="55">
        <f t="shared" ca="1" si="2"/>
        <v>0</v>
      </c>
      <c r="W54" s="55">
        <f t="shared" ca="1" si="12"/>
        <v>-20.68838690339447</v>
      </c>
      <c r="X54" s="55">
        <f t="shared" ca="1" si="13"/>
        <v>36.766609430278919</v>
      </c>
      <c r="Y54" s="55">
        <f t="shared" ca="1" si="14"/>
        <v>40.837884347136928</v>
      </c>
      <c r="Z54">
        <f t="shared" ca="1" si="3"/>
        <v>117.51304347826085</v>
      </c>
      <c r="AA54">
        <f t="shared" ca="1" si="15"/>
        <v>37.058484193328709</v>
      </c>
      <c r="AB54">
        <f t="shared" ca="1" si="4"/>
        <v>0</v>
      </c>
      <c r="AC54">
        <f t="shared" ca="1" si="5"/>
        <v>0</v>
      </c>
      <c r="AD54" s="83">
        <f ca="1"/>
        <v>45598</v>
      </c>
      <c r="AE54" s="55">
        <f t="shared" ca="1" si="20"/>
        <v>45598</v>
      </c>
      <c r="AF54" s="55">
        <f t="shared" ca="1" si="21"/>
        <v>93.345541136528411</v>
      </c>
      <c r="AG54" s="55">
        <f t="shared" ca="1" si="22"/>
        <v>7.0303429675616096</v>
      </c>
      <c r="AH54" s="55">
        <f t="shared" ca="1" si="23"/>
        <v>0</v>
      </c>
      <c r="AI54" s="55">
        <f t="shared" ca="1" si="17"/>
        <v>-2.7630945465666361</v>
      </c>
      <c r="AJ54" s="55">
        <f t="shared" ca="1" si="18"/>
        <v>31.320034252993391</v>
      </c>
      <c r="AK54" s="55">
        <f t="shared" ca="1" si="19"/>
        <v>40.213101592580664</v>
      </c>
    </row>
    <row r="55" spans="2:37" s="55" customFormat="1">
      <c r="C55" s="61" t="s">
        <v>15</v>
      </c>
      <c r="D55" s="84" t="str">
        <f>IF(E55="",VLOOKUP(PriorCropNameFull,CropCoefficients,18,FALSE),E55)</f>
        <v>kg/head</v>
      </c>
      <c r="E55" s="71"/>
      <c r="F55" s="58" t="s">
        <v>158</v>
      </c>
      <c r="G55" s="85" t="str">
        <f>IF(H55="","Full (Plough)",H55)</f>
        <v>Full (Plough)</v>
      </c>
      <c r="H55" s="72"/>
      <c r="R55" s="83">
        <f ca="1"/>
        <v>45413</v>
      </c>
      <c r="S55" s="55">
        <f t="shared" ca="1" si="11"/>
        <v>45413</v>
      </c>
      <c r="T55" s="55">
        <f t="shared" ca="1" si="0"/>
        <v>106.73561759556077</v>
      </c>
      <c r="U55" s="55">
        <f t="shared" ca="1" si="1"/>
        <v>0</v>
      </c>
      <c r="V55" s="55">
        <f t="shared" ca="1" si="2"/>
        <v>0</v>
      </c>
      <c r="W55" s="55">
        <f t="shared" ca="1" si="12"/>
        <v>-20.68838690339447</v>
      </c>
      <c r="X55" s="55">
        <f t="shared" ca="1" si="13"/>
        <v>37.564470751199266</v>
      </c>
      <c r="Y55" s="55">
        <f t="shared" ca="1" si="14"/>
        <v>41.005343184639159</v>
      </c>
      <c r="Z55">
        <f t="shared" ca="1" si="3"/>
        <v>115.26965343415247</v>
      </c>
      <c r="AA55">
        <f t="shared" ca="1" si="15"/>
        <v>37.058484193328709</v>
      </c>
      <c r="AB55">
        <f t="shared" ca="1" si="4"/>
        <v>0</v>
      </c>
      <c r="AC55">
        <f t="shared" ca="1" si="5"/>
        <v>0</v>
      </c>
      <c r="AD55" s="83">
        <f ca="1"/>
        <v>45599</v>
      </c>
      <c r="AE55" s="55">
        <f t="shared" ca="1" si="20"/>
        <v>45599</v>
      </c>
      <c r="AF55" s="55">
        <f t="shared" ca="1" si="21"/>
        <v>94.239226532423217</v>
      </c>
      <c r="AG55" s="55">
        <f t="shared" ca="1" si="22"/>
        <v>7.3573480998819711</v>
      </c>
      <c r="AH55" s="55">
        <f t="shared" ca="1" si="23"/>
        <v>0</v>
      </c>
      <c r="AI55" s="55">
        <f t="shared" ca="1" si="17"/>
        <v>-2.7630945465666361</v>
      </c>
      <c r="AJ55" s="55">
        <f t="shared" ca="1" si="18"/>
        <v>32.275915452197502</v>
      </c>
      <c r="AK55" s="55">
        <f t="shared" ca="1" si="19"/>
        <v>40.477910921591722</v>
      </c>
    </row>
    <row r="56" spans="2:37" s="55" customFormat="1">
      <c r="C56" s="64" t="str">
        <f>"Yield "&amp;ROUND(PriorYield_tperHa,0)&amp;" (t/ha)"</f>
        <v>Yield 20 (t/ha)</v>
      </c>
      <c r="D56" s="90" t="str">
        <f ca="1">"Previous crop residues are providing "&amp;ROUND('Model Interface'!M10,0)&amp;" kg N/ha to the current crop"</f>
        <v>Previous crop residues are providing 44 kg N/ha to the current crop</v>
      </c>
      <c r="R56" s="83">
        <f ca="1"/>
        <v>45414</v>
      </c>
      <c r="S56" s="55">
        <f t="shared" ca="1" si="11"/>
        <v>45414</v>
      </c>
      <c r="T56" s="55">
        <f t="shared" ca="1" si="0"/>
        <v>107.79822150613862</v>
      </c>
      <c r="U56" s="55">
        <f t="shared" ca="1" si="1"/>
        <v>0</v>
      </c>
      <c r="V56" s="55">
        <f t="shared" ca="1" si="2"/>
        <v>0</v>
      </c>
      <c r="W56" s="55">
        <f t="shared" ca="1" si="12"/>
        <v>-20.68838690339447</v>
      </c>
      <c r="X56" s="55">
        <f t="shared" ca="1" si="13"/>
        <v>38.45675754746501</v>
      </c>
      <c r="Y56" s="55">
        <f t="shared" ca="1" si="14"/>
        <v>41.175660298951279</v>
      </c>
      <c r="Z56">
        <f t="shared" ca="1" si="3"/>
        <v>116.58507945718381</v>
      </c>
      <c r="AA56">
        <f t="shared" ca="1" si="15"/>
        <v>37.058484193328709</v>
      </c>
      <c r="AB56">
        <f t="shared" ca="1" si="4"/>
        <v>0</v>
      </c>
      <c r="AC56">
        <f t="shared" ca="1" si="5"/>
        <v>0</v>
      </c>
      <c r="AD56" s="83">
        <f ca="1"/>
        <v>45600</v>
      </c>
      <c r="AE56" s="55">
        <f t="shared" ca="1" si="20"/>
        <v>45600</v>
      </c>
      <c r="AF56" s="55">
        <f t="shared" ca="1" si="21"/>
        <v>95.034106368184695</v>
      </c>
      <c r="AG56" s="55">
        <f t="shared" ca="1" si="22"/>
        <v>7.6772581114004987</v>
      </c>
      <c r="AH56" s="55">
        <f t="shared" ca="1" si="23"/>
        <v>0</v>
      </c>
      <c r="AI56" s="55">
        <f t="shared" ca="1" si="17"/>
        <v>-2.7630945465666361</v>
      </c>
      <c r="AJ56" s="55">
        <f t="shared" ca="1" si="18"/>
        <v>33.154084503041751</v>
      </c>
      <c r="AK56" s="55">
        <f t="shared" ca="1" si="19"/>
        <v>40.71453171802748</v>
      </c>
    </row>
    <row r="57" spans="2:37" s="55" customFormat="1" ht="15.75" thickBot="1">
      <c r="C57" s="129" t="s">
        <v>154</v>
      </c>
      <c r="D57" s="129"/>
      <c r="E57" s="129"/>
      <c r="F57" s="129"/>
      <c r="G57" s="129"/>
      <c r="H57" s="129"/>
      <c r="R57" s="83">
        <f ca="1"/>
        <v>45415</v>
      </c>
      <c r="S57" s="55">
        <f t="shared" ca="1" si="11"/>
        <v>45415</v>
      </c>
      <c r="T57" s="55">
        <f t="shared" ca="1" si="0"/>
        <v>108.85347132823854</v>
      </c>
      <c r="U57" s="55">
        <f t="shared" ca="1" si="1"/>
        <v>0</v>
      </c>
      <c r="V57" s="55">
        <f t="shared" ca="1" si="2"/>
        <v>0</v>
      </c>
      <c r="W57" s="55">
        <f t="shared" ca="1" si="12"/>
        <v>-20.68838690339447</v>
      </c>
      <c r="X57" s="55">
        <f t="shared" ca="1" si="13"/>
        <v>39.352989673821071</v>
      </c>
      <c r="Y57" s="55">
        <f t="shared" ca="1" si="14"/>
        <v>41.334677994695149</v>
      </c>
      <c r="Z57">
        <f t="shared" ca="1" si="3"/>
        <v>119.84248971558478</v>
      </c>
      <c r="AA57">
        <f t="shared" ca="1" si="15"/>
        <v>37.058484193328709</v>
      </c>
      <c r="AB57">
        <f t="shared" ca="1" si="4"/>
        <v>0</v>
      </c>
      <c r="AC57">
        <f t="shared" ca="1" si="5"/>
        <v>0</v>
      </c>
      <c r="AD57" s="83">
        <f ca="1"/>
        <v>45601</v>
      </c>
      <c r="AE57" s="55">
        <f t="shared" ca="1" si="20"/>
        <v>45601</v>
      </c>
      <c r="AF57" s="55">
        <f t="shared" ca="1" si="21"/>
        <v>95.74948323964523</v>
      </c>
      <c r="AG57" s="55">
        <f t="shared" ca="1" si="22"/>
        <v>8.003847639005464</v>
      </c>
      <c r="AH57" s="55">
        <f t="shared" ca="1" si="23"/>
        <v>0</v>
      </c>
      <c r="AI57" s="55">
        <f t="shared" ca="1" si="17"/>
        <v>-2.7630945465666361</v>
      </c>
      <c r="AJ57" s="55">
        <f t="shared" ca="1" si="18"/>
        <v>33.978421124306216</v>
      </c>
      <c r="AK57" s="55">
        <f t="shared" ca="1" si="19"/>
        <v>40.932161495828517</v>
      </c>
    </row>
    <row r="58" spans="2:37" s="55" customFormat="1">
      <c r="C58" s="61" t="s">
        <v>26</v>
      </c>
      <c r="D58" s="88" t="str">
        <f>IF(E58="","Fodder",E58)</f>
        <v>Potato</v>
      </c>
      <c r="E58" s="87" t="s">
        <v>8</v>
      </c>
      <c r="F58" s="61" t="s">
        <v>133</v>
      </c>
      <c r="G58" s="88">
        <f>IF(H58="",VLOOKUP(FollowingCropFullName,CropCoefficients,23,FALSE),H58)</f>
        <v>0</v>
      </c>
      <c r="H58" s="89"/>
      <c r="R58" s="83">
        <f ca="1"/>
        <v>45416</v>
      </c>
      <c r="S58" s="55">
        <f t="shared" ca="1" si="11"/>
        <v>45416</v>
      </c>
      <c r="T58" s="55">
        <f t="shared" ca="1" si="0"/>
        <v>107.88178378481089</v>
      </c>
      <c r="U58" s="55">
        <f t="shared" ca="1" si="1"/>
        <v>0</v>
      </c>
      <c r="V58" s="55">
        <f t="shared" ca="1" si="2"/>
        <v>0</v>
      </c>
      <c r="W58" s="55">
        <f t="shared" ca="1" si="12"/>
        <v>-22.744758201684487</v>
      </c>
      <c r="X58" s="55">
        <f t="shared" ca="1" si="13"/>
        <v>40.285213576085667</v>
      </c>
      <c r="Y58" s="55">
        <f t="shared" ca="1" si="14"/>
        <v>41.487137847292921</v>
      </c>
      <c r="Z58">
        <f t="shared" ca="1" si="3"/>
        <v>120</v>
      </c>
      <c r="AA58">
        <f t="shared" ca="1" si="15"/>
        <v>40.519622141204451</v>
      </c>
      <c r="AB58">
        <f t="shared" ca="1" si="4"/>
        <v>0</v>
      </c>
      <c r="AC58">
        <f t="shared" ca="1" si="5"/>
        <v>0</v>
      </c>
      <c r="AD58" s="83">
        <f ca="1"/>
        <v>45602</v>
      </c>
      <c r="AE58" s="55">
        <f t="shared" ca="1" si="20"/>
        <v>45602</v>
      </c>
      <c r="AF58" s="55">
        <f t="shared" ca="1" si="21"/>
        <v>96.436213089544907</v>
      </c>
      <c r="AG58" s="55">
        <f t="shared" ca="1" si="22"/>
        <v>8.3555528819437477</v>
      </c>
      <c r="AH58" s="55">
        <f t="shared" ca="1" si="23"/>
        <v>0</v>
      </c>
      <c r="AI58" s="55">
        <f t="shared" ca="1" si="17"/>
        <v>-2.7630945465666361</v>
      </c>
      <c r="AJ58" s="55">
        <f t="shared" ca="1" si="18"/>
        <v>34.810541675387405</v>
      </c>
      <c r="AK58" s="55">
        <f t="shared" ca="1" si="19"/>
        <v>41.138476037585285</v>
      </c>
    </row>
    <row r="59" spans="2:37" s="55" customFormat="1">
      <c r="C59" s="61" t="s">
        <v>94</v>
      </c>
      <c r="D59" s="84" t="str">
        <f>IF(E59="","Oat",E59)</f>
        <v>Early_harvest</v>
      </c>
      <c r="E59" s="66" t="s">
        <v>278</v>
      </c>
      <c r="F59" s="61" t="s">
        <v>135</v>
      </c>
      <c r="G59" s="84">
        <f>IF(H59="",VLOOKUP(FollowingCropFullName,CropCoefficients,22,FALSE),H59)</f>
        <v>0</v>
      </c>
      <c r="H59" s="72"/>
      <c r="R59" s="83">
        <f ca="1"/>
        <v>45417</v>
      </c>
      <c r="S59" s="55">
        <f t="shared" ca="1" si="11"/>
        <v>45417</v>
      </c>
      <c r="T59" s="55">
        <f t="shared" ca="1" si="0"/>
        <v>108.28874448883222</v>
      </c>
      <c r="U59" s="55">
        <f t="shared" ca="1" si="1"/>
        <v>0</v>
      </c>
      <c r="V59" s="55">
        <f t="shared" ca="1" si="2"/>
        <v>0</v>
      </c>
      <c r="W59" s="55">
        <f t="shared" ca="1" si="12"/>
        <v>-23.382877093121582</v>
      </c>
      <c r="X59" s="55">
        <f t="shared" ca="1" si="13"/>
        <v>41.191753823921616</v>
      </c>
      <c r="Y59" s="55">
        <f t="shared" ca="1" si="14"/>
        <v>41.625677194915397</v>
      </c>
      <c r="Z59">
        <f t="shared" ca="1" si="3"/>
        <v>120</v>
      </c>
      <c r="AA59">
        <f t="shared" ca="1" si="15"/>
        <v>41.589622141204458</v>
      </c>
      <c r="AB59">
        <f t="shared" ca="1" si="4"/>
        <v>0</v>
      </c>
      <c r="AC59">
        <f t="shared" ca="1" si="5"/>
        <v>0</v>
      </c>
      <c r="AD59" s="83">
        <f ca="1"/>
        <v>45603</v>
      </c>
      <c r="AE59" s="55">
        <f t="shared" ca="1" si="20"/>
        <v>45603</v>
      </c>
      <c r="AF59" s="55">
        <f t="shared" ca="1" si="21"/>
        <v>97.113345151164495</v>
      </c>
      <c r="AG59" s="55">
        <f t="shared" ca="1" si="22"/>
        <v>8.7424213029385385</v>
      </c>
      <c r="AH59" s="55">
        <f t="shared" ca="1" si="23"/>
        <v>0</v>
      </c>
      <c r="AI59" s="55">
        <f t="shared" ca="1" si="17"/>
        <v>-2.7630945465666361</v>
      </c>
      <c r="AJ59" s="55">
        <f t="shared" ca="1" si="18"/>
        <v>35.676852863534158</v>
      </c>
      <c r="AK59" s="55">
        <f t="shared" ca="1" si="19"/>
        <v>41.336165332052907</v>
      </c>
    </row>
    <row r="60" spans="2:37" s="55" customFormat="1">
      <c r="C60" s="61" t="s">
        <v>95</v>
      </c>
      <c r="D60" s="84" t="str">
        <f>IF(E60="","General",E60)</f>
        <v>Moonlight</v>
      </c>
      <c r="E60" s="66" t="s">
        <v>245</v>
      </c>
      <c r="F60" s="61" t="s">
        <v>134</v>
      </c>
      <c r="G60" s="84">
        <f>IF(H60="",VLOOKUP(FollowingCropFullName,CropCoefficients,26,FALSE),H60)</f>
        <v>76</v>
      </c>
      <c r="H60" s="72"/>
      <c r="R60" s="83">
        <f ca="1"/>
        <v>45418</v>
      </c>
      <c r="S60" s="55">
        <f t="shared" ca="1" si="11"/>
        <v>45418</v>
      </c>
      <c r="T60" s="55">
        <f t="shared" ca="1" si="0"/>
        <v>106.85430983930964</v>
      </c>
      <c r="U60" s="55">
        <f t="shared" ca="1" si="1"/>
        <v>0</v>
      </c>
      <c r="V60" s="55">
        <f t="shared" ca="1" si="2"/>
        <v>0</v>
      </c>
      <c r="W60" s="55">
        <f t="shared" ca="1" si="12"/>
        <v>-25.801501167136564</v>
      </c>
      <c r="X60" s="55">
        <f t="shared" ca="1" si="13"/>
        <v>42.052093213206582</v>
      </c>
      <c r="Y60" s="55">
        <f t="shared" ca="1" si="14"/>
        <v>41.749527230122837</v>
      </c>
      <c r="Z60">
        <f t="shared" ca="1" si="3"/>
        <v>120</v>
      </c>
      <c r="AA60">
        <f t="shared" ca="1" si="15"/>
        <v>45.699622141204458</v>
      </c>
      <c r="AB60">
        <f t="shared" ca="1" si="4"/>
        <v>0</v>
      </c>
      <c r="AC60">
        <f t="shared" ca="1" si="5"/>
        <v>0</v>
      </c>
      <c r="AD60" s="83">
        <f ca="1"/>
        <v>45604</v>
      </c>
      <c r="AE60" s="55">
        <f t="shared" ca="1" si="20"/>
        <v>45604</v>
      </c>
      <c r="AF60" s="55">
        <f t="shared" ca="1" si="21"/>
        <v>97.774240766739553</v>
      </c>
      <c r="AG60" s="55">
        <f t="shared" ca="1" si="22"/>
        <v>9.1603209980476166</v>
      </c>
      <c r="AH60" s="55">
        <f t="shared" ca="1" si="23"/>
        <v>0</v>
      </c>
      <c r="AI60" s="55">
        <f t="shared" ca="1" si="17"/>
        <v>-2.7630945465666361</v>
      </c>
      <c r="AJ60" s="55">
        <f t="shared" ca="1" si="18"/>
        <v>36.568660528610927</v>
      </c>
      <c r="AK60" s="55">
        <f t="shared" ca="1" si="19"/>
        <v>41.523152977660281</v>
      </c>
    </row>
    <row r="61" spans="2:37" s="55" customFormat="1">
      <c r="B61" s="90">
        <f>IF(FollowingUnits="kg/head",FollowingYIeld*FollowingPopulation/1000,IF(FollowingUnits="kg/ha",FollowingYIeld/1000,FollowingYIeld))</f>
        <v>70</v>
      </c>
      <c r="C61" s="64" t="s">
        <v>150</v>
      </c>
      <c r="D61" s="65" t="str">
        <f>SUBSTITUTE(FollowingCropName&amp;" "&amp;FollowingCropType&amp;" "&amp;FollowingCropVariety,"_"," ")</f>
        <v>Early harvest Potato Moonlight</v>
      </c>
      <c r="F61" s="56"/>
      <c r="R61" s="83">
        <f ca="1"/>
        <v>45419</v>
      </c>
      <c r="S61" s="55">
        <f t="shared" ca="1" si="11"/>
        <v>45419</v>
      </c>
      <c r="T61" s="55">
        <f t="shared" ca="1" si="0"/>
        <v>107.308505297065</v>
      </c>
      <c r="U61" s="55">
        <f t="shared" ca="1" si="1"/>
        <v>0</v>
      </c>
      <c r="V61" s="55">
        <f t="shared" ca="1" si="2"/>
        <v>0</v>
      </c>
      <c r="W61" s="55">
        <f t="shared" ca="1" si="12"/>
        <v>-26.333378106435063</v>
      </c>
      <c r="X61" s="55">
        <f t="shared" ca="1" si="13"/>
        <v>42.92170855102821</v>
      </c>
      <c r="Y61" s="55">
        <f t="shared" ca="1" si="14"/>
        <v>41.865984289355069</v>
      </c>
      <c r="Z61">
        <f t="shared" ca="1" si="3"/>
        <v>120</v>
      </c>
      <c r="AA61">
        <f t="shared" ca="1" si="15"/>
        <v>46.599622141204463</v>
      </c>
      <c r="AB61">
        <f t="shared" ca="1" si="4"/>
        <v>0</v>
      </c>
      <c r="AC61">
        <f t="shared" ca="1" si="5"/>
        <v>0</v>
      </c>
      <c r="AD61" s="83">
        <f ca="1"/>
        <v>45605</v>
      </c>
      <c r="AE61" s="55">
        <f t="shared" ca="1" si="20"/>
        <v>45605</v>
      </c>
      <c r="AF61" s="55">
        <f t="shared" ca="1" si="21"/>
        <v>98.377512880908938</v>
      </c>
      <c r="AG61" s="55">
        <f t="shared" ca="1" si="22"/>
        <v>9.573815620322236</v>
      </c>
      <c r="AH61" s="55">
        <f t="shared" ca="1" si="23"/>
        <v>0</v>
      </c>
      <c r="AI61" s="55">
        <f t="shared" ca="1" si="17"/>
        <v>-2.7630945465666361</v>
      </c>
      <c r="AJ61" s="55">
        <f t="shared" ca="1" si="18"/>
        <v>37.417773296493209</v>
      </c>
      <c r="AK61" s="55">
        <f t="shared" ca="1" si="19"/>
        <v>41.690806946222004</v>
      </c>
    </row>
    <row r="62" spans="2:37" s="55" customFormat="1">
      <c r="C62" s="61" t="s">
        <v>4</v>
      </c>
      <c r="D62" s="68">
        <f>IF(E62="",CurrentHarvestDate+15,E62)</f>
        <v>45576</v>
      </c>
      <c r="E62" s="67"/>
      <c r="F62" s="61" t="s">
        <v>145</v>
      </c>
      <c r="G62" s="84" t="str">
        <f>IF(H62="",VLOOKUP(FollowingCropFullName,CropCoefficients,13,FALSE),H62)</f>
        <v>Seed</v>
      </c>
      <c r="H62" s="72"/>
      <c r="R62" s="83">
        <f ca="1"/>
        <v>45420</v>
      </c>
      <c r="S62" s="55">
        <f t="shared" ca="1" si="11"/>
        <v>45420</v>
      </c>
      <c r="T62" s="55">
        <f t="shared" ca="1" si="0"/>
        <v>108.40101286986892</v>
      </c>
      <c r="U62" s="55">
        <f t="shared" ca="1" si="1"/>
        <v>0</v>
      </c>
      <c r="V62" s="55">
        <f t="shared" ca="1" si="2"/>
        <v>0</v>
      </c>
      <c r="W62" s="55">
        <f t="shared" ca="1" si="12"/>
        <v>-26.333378106435063</v>
      </c>
      <c r="X62" s="55">
        <f t="shared" ca="1" si="13"/>
        <v>43.895779224054088</v>
      </c>
      <c r="Y62" s="55">
        <f t="shared" ca="1" si="14"/>
        <v>41.984421189133116</v>
      </c>
      <c r="Z62">
        <f t="shared" ca="1" si="3"/>
        <v>119.77391304347827</v>
      </c>
      <c r="AA62">
        <f t="shared" ca="1" si="15"/>
        <v>46.599622141204463</v>
      </c>
      <c r="AB62">
        <f t="shared" ca="1" si="4"/>
        <v>0</v>
      </c>
      <c r="AC62">
        <f t="shared" ca="1" si="5"/>
        <v>0</v>
      </c>
      <c r="AD62" s="83">
        <f ca="1"/>
        <v>45606</v>
      </c>
      <c r="AE62" s="55">
        <f t="shared" ca="1" si="20"/>
        <v>45606</v>
      </c>
      <c r="AF62" s="55">
        <f t="shared" ca="1" si="21"/>
        <v>98.979817181145165</v>
      </c>
      <c r="AG62" s="55">
        <f t="shared" ca="1" si="22"/>
        <v>10.017218554221952</v>
      </c>
      <c r="AH62" s="55">
        <f t="shared" ca="1" si="23"/>
        <v>0</v>
      </c>
      <c r="AI62" s="55">
        <f t="shared" ca="1" si="17"/>
        <v>-2.7630945465666361</v>
      </c>
      <c r="AJ62" s="55">
        <f t="shared" ca="1" si="18"/>
        <v>38.305338909365894</v>
      </c>
      <c r="AK62" s="55">
        <f t="shared" ca="1" si="19"/>
        <v>41.848948567485273</v>
      </c>
    </row>
    <row r="63" spans="2:37" s="55" customFormat="1">
      <c r="C63" s="61" t="s">
        <v>5</v>
      </c>
      <c r="D63" s="68">
        <f>IF(E63="",FollowingEstablishDate+120,E63)</f>
        <v>45696</v>
      </c>
      <c r="E63" s="67"/>
      <c r="F63" s="61" t="s">
        <v>146</v>
      </c>
      <c r="G63" s="84" t="str">
        <f>IF(H63="",VLOOKUP(FollowingCropFullName,CropCoefficients,15,FALSE),H63)</f>
        <v>MidReproductive</v>
      </c>
      <c r="H63" s="72"/>
      <c r="R63" s="83">
        <f ca="1"/>
        <v>45421</v>
      </c>
      <c r="S63" s="55">
        <f t="shared" ca="1" si="11"/>
        <v>45421</v>
      </c>
      <c r="T63" s="55">
        <f t="shared" ca="1" si="0"/>
        <v>109.30671619700625</v>
      </c>
      <c r="U63" s="55">
        <f t="shared" ca="1" si="1"/>
        <v>0</v>
      </c>
      <c r="V63" s="55">
        <f t="shared" ca="1" si="2"/>
        <v>0</v>
      </c>
      <c r="W63" s="55">
        <f t="shared" ca="1" si="12"/>
        <v>-26.479214066489813</v>
      </c>
      <c r="X63" s="55">
        <f t="shared" ca="1" si="13"/>
        <v>44.84019430800101</v>
      </c>
      <c r="Y63" s="55">
        <f t="shared" ca="1" si="14"/>
        <v>42.091545392378272</v>
      </c>
      <c r="Z63">
        <f t="shared" ca="1" si="3"/>
        <v>120</v>
      </c>
      <c r="AA63">
        <f t="shared" ca="1" si="15"/>
        <v>46.841883010769678</v>
      </c>
      <c r="AB63">
        <f t="shared" ca="1" si="4"/>
        <v>0</v>
      </c>
      <c r="AC63">
        <f t="shared" ca="1" si="5"/>
        <v>0</v>
      </c>
      <c r="AD63" s="83">
        <f ca="1"/>
        <v>45607</v>
      </c>
      <c r="AE63" s="55">
        <f t="shared" ca="1" si="20"/>
        <v>45607</v>
      </c>
      <c r="AF63" s="55">
        <f t="shared" ca="1" si="21"/>
        <v>99.530565868193065</v>
      </c>
      <c r="AG63" s="55">
        <f t="shared" ca="1" si="22"/>
        <v>10.436007780226754</v>
      </c>
      <c r="AH63" s="55">
        <f t="shared" ca="1" si="23"/>
        <v>0</v>
      </c>
      <c r="AI63" s="55">
        <f t="shared" ca="1" si="17"/>
        <v>-2.7630945465666361</v>
      </c>
      <c r="AJ63" s="55">
        <f t="shared" ca="1" si="18"/>
        <v>39.136144348445988</v>
      </c>
      <c r="AK63" s="55">
        <f t="shared" ca="1" si="19"/>
        <v>41.987681041457883</v>
      </c>
    </row>
    <row r="64" spans="2:37" s="54" customFormat="1">
      <c r="B64" s="55"/>
      <c r="C64" s="61" t="s">
        <v>136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45422</v>
      </c>
      <c r="S64" s="55">
        <f t="shared" ca="1" si="11"/>
        <v>45422</v>
      </c>
      <c r="T64" s="55">
        <f t="shared" ca="1" si="0"/>
        <v>108.71447353655655</v>
      </c>
      <c r="U64" s="55">
        <f t="shared" ca="1" si="1"/>
        <v>0</v>
      </c>
      <c r="V64" s="55">
        <f t="shared" ca="1" si="2"/>
        <v>0</v>
      </c>
      <c r="W64" s="55">
        <f t="shared" ca="1" si="12"/>
        <v>-28.059827977386533</v>
      </c>
      <c r="X64" s="55">
        <f t="shared" ca="1" si="13"/>
        <v>45.733269311571661</v>
      </c>
      <c r="Y64" s="55">
        <f t="shared" ca="1" si="14"/>
        <v>42.186841639254645</v>
      </c>
      <c r="Z64">
        <f t="shared" ca="1" si="3"/>
        <v>120</v>
      </c>
      <c r="AA64">
        <f t="shared" ca="1" si="15"/>
        <v>49.481883010769678</v>
      </c>
      <c r="AB64">
        <f t="shared" ca="1" si="4"/>
        <v>0</v>
      </c>
      <c r="AC64">
        <f t="shared" ca="1" si="5"/>
        <v>0</v>
      </c>
      <c r="AD64" s="83">
        <f ca="1"/>
        <v>45608</v>
      </c>
      <c r="AE64" s="55">
        <f t="shared" ca="1" si="20"/>
        <v>45608</v>
      </c>
      <c r="AF64" s="55">
        <f t="shared" ca="1" si="21"/>
        <v>100.01497233069628</v>
      </c>
      <c r="AG64" s="55">
        <f t="shared" ca="1" si="22"/>
        <v>10.843737582078921</v>
      </c>
      <c r="AH64" s="55">
        <f t="shared" ca="1" si="23"/>
        <v>0</v>
      </c>
      <c r="AI64" s="55">
        <f t="shared" ca="1" si="17"/>
        <v>-2.7630945465666361</v>
      </c>
      <c r="AJ64" s="55">
        <f t="shared" ca="1" si="18"/>
        <v>39.903321233246075</v>
      </c>
      <c r="AK64" s="55">
        <f t="shared" ca="1" si="19"/>
        <v>42.112640421013189</v>
      </c>
    </row>
    <row r="65" spans="2:37" s="55" customFormat="1">
      <c r="C65" s="61" t="s">
        <v>100</v>
      </c>
      <c r="D65" s="70">
        <f>IF(E65="",VLOOKUP(FollowingCropFullName,CropCoefficients,17,FALSE),E65)</f>
        <v>70</v>
      </c>
      <c r="E65" s="69"/>
      <c r="F65" s="61" t="s">
        <v>148</v>
      </c>
      <c r="G65" s="85" t="str">
        <f>IF(H65="","None removed",H65)</f>
        <v>None removed</v>
      </c>
      <c r="H65" s="72"/>
      <c r="R65" s="83">
        <f ca="1"/>
        <v>45423</v>
      </c>
      <c r="S65" s="55">
        <f t="shared" ca="1" si="11"/>
        <v>45423</v>
      </c>
      <c r="T65" s="55">
        <f t="shared" ca="1" si="0"/>
        <v>106.83029901581207</v>
      </c>
      <c r="U65" s="55">
        <f t="shared" ca="1" si="1"/>
        <v>0</v>
      </c>
      <c r="V65" s="55">
        <f t="shared" ca="1" si="2"/>
        <v>0</v>
      </c>
      <c r="W65" s="55">
        <f t="shared" ca="1" si="12"/>
        <v>-30.966231416697873</v>
      </c>
      <c r="X65" s="55">
        <f t="shared" ca="1" si="13"/>
        <v>46.663875058718723</v>
      </c>
      <c r="Y65" s="55">
        <f t="shared" ca="1" si="14"/>
        <v>42.278464810674436</v>
      </c>
      <c r="Z65">
        <f t="shared" ca="1" si="3"/>
        <v>120</v>
      </c>
      <c r="AA65">
        <f t="shared" ca="1" si="15"/>
        <v>54.421883010769676</v>
      </c>
      <c r="AB65">
        <f t="shared" ca="1" si="4"/>
        <v>0</v>
      </c>
      <c r="AC65">
        <f t="shared" ca="1" si="5"/>
        <v>0</v>
      </c>
      <c r="AD65" s="83">
        <f ca="1"/>
        <v>45609</v>
      </c>
      <c r="AE65" s="55">
        <f t="shared" ca="1" si="20"/>
        <v>45609</v>
      </c>
      <c r="AF65" s="55">
        <f t="shared" ca="1" si="21"/>
        <v>100.45207154460378</v>
      </c>
      <c r="AG65" s="55">
        <f t="shared" ca="1" si="22"/>
        <v>11.269234601095679</v>
      </c>
      <c r="AH65" s="55">
        <f t="shared" ca="1" si="23"/>
        <v>0</v>
      </c>
      <c r="AI65" s="55">
        <f t="shared" ca="1" si="17"/>
        <v>-2.7630945465666361</v>
      </c>
      <c r="AJ65" s="55">
        <f t="shared" ca="1" si="18"/>
        <v>40.648835457789545</v>
      </c>
      <c r="AK65" s="55">
        <f t="shared" ca="1" si="19"/>
        <v>42.229722429393981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158</v>
      </c>
      <c r="G66" s="85" t="str">
        <f>IF(H66="","Full (Plough)",H66)</f>
        <v>Full (Plough)</v>
      </c>
      <c r="H66" s="72"/>
      <c r="R66" s="83">
        <f ca="1"/>
        <v>45424</v>
      </c>
      <c r="S66" s="55">
        <f t="shared" ca="1" si="11"/>
        <v>45424</v>
      </c>
      <c r="T66" s="55">
        <f t="shared" ca="1" si="0"/>
        <v>105.56173093071779</v>
      </c>
      <c r="U66" s="55">
        <f t="shared" ca="1" si="1"/>
        <v>0</v>
      </c>
      <c r="V66" s="55">
        <f t="shared" ca="1" si="2"/>
        <v>0</v>
      </c>
      <c r="W66" s="55">
        <f t="shared" ca="1" si="12"/>
        <v>-33.192818999256808</v>
      </c>
      <c r="X66" s="55">
        <f t="shared" ca="1" si="13"/>
        <v>47.54048779715486</v>
      </c>
      <c r="Y66" s="55">
        <f t="shared" ca="1" si="14"/>
        <v>42.359871569702939</v>
      </c>
      <c r="Z66">
        <f t="shared" ca="1" si="3"/>
        <v>120</v>
      </c>
      <c r="AA66">
        <f t="shared" ca="1" si="15"/>
        <v>58.251883010769674</v>
      </c>
      <c r="AB66">
        <f t="shared" ca="1" si="4"/>
        <v>0</v>
      </c>
      <c r="AC66">
        <f t="shared" ca="1" si="5"/>
        <v>0</v>
      </c>
      <c r="AD66" s="83">
        <f ca="1"/>
        <v>45610</v>
      </c>
      <c r="AE66" s="55">
        <f t="shared" ca="1" si="20"/>
        <v>45610</v>
      </c>
      <c r="AF66" s="55">
        <f t="shared" ca="1" si="21"/>
        <v>100.86490750798238</v>
      </c>
      <c r="AG66" s="55">
        <f t="shared" ca="1" si="22"/>
        <v>11.762631842987018</v>
      </c>
      <c r="AH66" s="55">
        <f t="shared" ca="1" si="23"/>
        <v>0</v>
      </c>
      <c r="AI66" s="55">
        <f t="shared" ca="1" si="17"/>
        <v>-2.7630945465666361</v>
      </c>
      <c r="AJ66" s="55">
        <f t="shared" ca="1" si="18"/>
        <v>41.439099666190366</v>
      </c>
      <c r="AK66" s="55">
        <f t="shared" ca="1" si="19"/>
        <v>42.345691426263095</v>
      </c>
    </row>
    <row r="67" spans="2:37">
      <c r="B67" s="55"/>
      <c r="C67" s="64" t="str">
        <f>"Yield "&amp;ROUND(FollowingYield_tperHa,0)&amp;" (t/ha)"</f>
        <v>Yield 70 (t/ha)</v>
      </c>
      <c r="D67" s="101" t="str">
        <f ca="1">"Following crop will take up "&amp;ROUND('Model Interface'!L10,0)&amp;" kg N/ha"</f>
        <v>Following crop will take up 354 kg N/ha</v>
      </c>
      <c r="R67" s="83">
        <f ca="1"/>
        <v>45425</v>
      </c>
      <c r="S67" s="55">
        <f t="shared" ca="1" si="11"/>
        <v>45425</v>
      </c>
      <c r="T67" s="55">
        <f t="shared" ca="1" si="0"/>
        <v>104.40748806363993</v>
      </c>
      <c r="U67" s="55">
        <f t="shared" ca="1" si="1"/>
        <v>0</v>
      </c>
      <c r="V67" s="55">
        <f t="shared" ca="1" si="2"/>
        <v>0</v>
      </c>
      <c r="W67" s="55">
        <f t="shared" ca="1" si="12"/>
        <v>-35.308810757346578</v>
      </c>
      <c r="X67" s="55">
        <f t="shared" ca="1" si="13"/>
        <v>48.42570003957492</v>
      </c>
      <c r="Y67" s="55">
        <f t="shared" ca="1" si="14"/>
        <v>42.436408218294808</v>
      </c>
      <c r="Z67">
        <f t="shared" ca="1" si="3"/>
        <v>120</v>
      </c>
      <c r="AA67">
        <f t="shared" ca="1" si="15"/>
        <v>61.931883010769681</v>
      </c>
      <c r="AB67">
        <f t="shared" ca="1" si="4"/>
        <v>0</v>
      </c>
      <c r="AC67">
        <f t="shared" ca="1" si="5"/>
        <v>0</v>
      </c>
      <c r="AD67" s="83">
        <f ca="1"/>
        <v>45611</v>
      </c>
      <c r="AE67" s="55">
        <f t="shared" ca="1" si="20"/>
        <v>45611</v>
      </c>
      <c r="AF67" s="55">
        <f t="shared" ca="1" si="21"/>
        <v>101.30638789568417</v>
      </c>
      <c r="AG67" s="55">
        <f t="shared" ca="1" si="22"/>
        <v>12.357288745671928</v>
      </c>
      <c r="AH67" s="55">
        <f t="shared" ca="1" si="23"/>
        <v>0</v>
      </c>
      <c r="AI67" s="55">
        <f t="shared" ca="1" si="17"/>
        <v>-2.7630945465666361</v>
      </c>
      <c r="AJ67" s="55">
        <f t="shared" ca="1" si="18"/>
        <v>42.357587710931092</v>
      </c>
      <c r="AK67" s="55">
        <f t="shared" ca="1" si="19"/>
        <v>42.463340671909059</v>
      </c>
    </row>
    <row r="68" spans="2:37" ht="15.75" thickBot="1">
      <c r="C68" s="131" t="s">
        <v>184</v>
      </c>
      <c r="D68" s="131"/>
      <c r="E68" s="131"/>
      <c r="F68" s="131"/>
      <c r="G68" s="131"/>
      <c r="H68" s="131"/>
      <c r="R68" s="83">
        <f ca="1"/>
        <v>45426</v>
      </c>
      <c r="S68" s="55">
        <f t="shared" ca="1" si="11"/>
        <v>45426</v>
      </c>
      <c r="T68" s="55">
        <f t="shared" ca="1" si="0"/>
        <v>101.16393518105518</v>
      </c>
      <c r="U68" s="55">
        <f t="shared" ca="1" si="1"/>
        <v>0</v>
      </c>
      <c r="V68" s="55">
        <f t="shared" ca="1" si="2"/>
        <v>0</v>
      </c>
      <c r="W68" s="55">
        <f t="shared" ca="1" si="12"/>
        <v>-39.548605942224484</v>
      </c>
      <c r="X68" s="55">
        <f t="shared" ca="1" si="13"/>
        <v>49.34824088074933</v>
      </c>
      <c r="Y68" s="55">
        <f t="shared" ca="1" si="14"/>
        <v>42.510109679413546</v>
      </c>
      <c r="Z68">
        <f t="shared" ca="1" si="3"/>
        <v>120</v>
      </c>
      <c r="AA68">
        <f t="shared" ca="1" si="15"/>
        <v>69.541883010769681</v>
      </c>
      <c r="AB68">
        <f t="shared" ca="1" si="4"/>
        <v>0</v>
      </c>
      <c r="AC68">
        <f t="shared" ca="1" si="5"/>
        <v>0</v>
      </c>
      <c r="AD68" s="83">
        <f ca="1"/>
        <v>45612</v>
      </c>
      <c r="AE68" s="55">
        <f t="shared" ca="1" si="20"/>
        <v>45612</v>
      </c>
      <c r="AF68" s="55">
        <f t="shared" ca="1" si="21"/>
        <v>101.7610542695257</v>
      </c>
      <c r="AG68" s="55">
        <f t="shared" ca="1" si="22"/>
        <v>12.994141727439455</v>
      </c>
      <c r="AH68" s="55">
        <f t="shared" ca="1" si="23"/>
        <v>0</v>
      </c>
      <c r="AI68" s="55">
        <f t="shared" ca="1" si="17"/>
        <v>-2.7630945465666361</v>
      </c>
      <c r="AJ68" s="55">
        <f t="shared" ca="1" si="18"/>
        <v>43.338834192367173</v>
      </c>
      <c r="AK68" s="55">
        <f t="shared" ca="1" si="19"/>
        <v>42.573613546082036</v>
      </c>
    </row>
    <row r="69" spans="2:37">
      <c r="C69" s="61"/>
      <c r="D69" s="88"/>
      <c r="E69" s="99"/>
      <c r="R69" s="83">
        <f ca="1"/>
        <v>45427</v>
      </c>
      <c r="S69" s="55">
        <f t="shared" ca="1" si="11"/>
        <v>45427</v>
      </c>
      <c r="T69" s="55">
        <f t="shared" ca="1" si="0"/>
        <v>100.10373098145973</v>
      </c>
      <c r="U69" s="55">
        <f t="shared" ca="1" si="1"/>
        <v>0</v>
      </c>
      <c r="V69" s="55">
        <f t="shared" ca="1" si="2"/>
        <v>0</v>
      </c>
      <c r="W69" s="55">
        <f t="shared" ca="1" si="12"/>
        <v>-41.549810094627759</v>
      </c>
      <c r="X69" s="55">
        <f t="shared" ca="1" si="13"/>
        <v>50.223295643746397</v>
      </c>
      <c r="Y69" s="55">
        <f t="shared" ca="1" si="14"/>
        <v>42.576054869224308</v>
      </c>
      <c r="Z69">
        <f t="shared" ca="1" si="3"/>
        <v>120</v>
      </c>
      <c r="AA69">
        <f t="shared" ca="1" si="15"/>
        <v>73.17188301076969</v>
      </c>
      <c r="AB69">
        <f t="shared" ca="1" si="4"/>
        <v>0</v>
      </c>
      <c r="AC69">
        <f t="shared" ca="1" si="5"/>
        <v>0</v>
      </c>
      <c r="AD69" s="83">
        <f ca="1"/>
        <v>45613</v>
      </c>
      <c r="AE69" s="55">
        <f t="shared" ca="1" si="20"/>
        <v>45613</v>
      </c>
      <c r="AF69" s="55">
        <f t="shared" ca="1" si="21"/>
        <v>102.2187591489612</v>
      </c>
      <c r="AG69" s="55">
        <f t="shared" ca="1" si="22"/>
        <v>13.628319383118216</v>
      </c>
      <c r="AH69" s="55">
        <f t="shared" ca="1" si="23"/>
        <v>0</v>
      </c>
      <c r="AI69" s="55">
        <f t="shared" ca="1" si="17"/>
        <v>-2.7630945465666361</v>
      </c>
      <c r="AJ69" s="55">
        <f t="shared" ca="1" si="18"/>
        <v>44.332136125894337</v>
      </c>
      <c r="AK69" s="55">
        <f t="shared" ca="1" si="19"/>
        <v>42.672194147669124</v>
      </c>
    </row>
    <row r="70" spans="2:37">
      <c r="C70" s="61"/>
      <c r="D70" s="84"/>
      <c r="E70" s="69"/>
      <c r="R70" s="83">
        <f ca="1"/>
        <v>45428</v>
      </c>
      <c r="S70" s="55">
        <f t="shared" ca="1" si="11"/>
        <v>45428</v>
      </c>
      <c r="T70" s="55">
        <f t="shared" ca="1" si="0"/>
        <v>99.666840481631482</v>
      </c>
      <c r="U70" s="55">
        <f t="shared" ca="1" si="1"/>
        <v>0</v>
      </c>
      <c r="V70" s="55">
        <f t="shared" ca="1" si="2"/>
        <v>0</v>
      </c>
      <c r="W70" s="55">
        <f t="shared" ca="1" si="12"/>
        <v>-42.872634623802803</v>
      </c>
      <c r="X70" s="55">
        <f t="shared" ca="1" si="13"/>
        <v>51.050149174670388</v>
      </c>
      <c r="Y70" s="55">
        <f t="shared" ca="1" si="14"/>
        <v>42.635135367647109</v>
      </c>
      <c r="Z70">
        <f t="shared" ca="1" si="3"/>
        <v>120</v>
      </c>
      <c r="AA70">
        <f t="shared" ca="1" si="15"/>
        <v>75.581883010769687</v>
      </c>
      <c r="AB70">
        <f t="shared" ca="1" si="4"/>
        <v>0</v>
      </c>
      <c r="AC70">
        <f t="shared" ca="1" si="5"/>
        <v>0</v>
      </c>
      <c r="AD70" s="83">
        <f ca="1"/>
        <v>45614</v>
      </c>
      <c r="AE70" s="55">
        <f t="shared" ca="1" si="20"/>
        <v>45614</v>
      </c>
      <c r="AF70" s="55">
        <f t="shared" ca="1" si="21"/>
        <v>102.58793028593472</v>
      </c>
      <c r="AG70" s="55">
        <f t="shared" ca="1" si="22"/>
        <v>14.255720242628874</v>
      </c>
      <c r="AH70" s="55">
        <f t="shared" ca="1" si="23"/>
        <v>0</v>
      </c>
      <c r="AI70" s="55">
        <f t="shared" ca="1" si="17"/>
        <v>-2.7630945465666361</v>
      </c>
      <c r="AJ70" s="55">
        <f t="shared" ca="1" si="18"/>
        <v>45.240367831390827</v>
      </c>
      <c r="AK70" s="55">
        <f t="shared" ca="1" si="19"/>
        <v>42.760534438656812</v>
      </c>
    </row>
    <row r="71" spans="2:37">
      <c r="C71" s="61"/>
      <c r="D71" s="84"/>
      <c r="E71" s="69"/>
      <c r="R71" s="83">
        <f ca="1"/>
        <v>45429</v>
      </c>
      <c r="S71" s="55">
        <f t="shared" ca="1" si="11"/>
        <v>45429</v>
      </c>
      <c r="T71" s="55">
        <f t="shared" ca="1" si="0"/>
        <v>99.790577730825433</v>
      </c>
      <c r="U71" s="55">
        <f t="shared" ca="1" si="1"/>
        <v>0</v>
      </c>
      <c r="V71" s="55">
        <f t="shared" ca="1" si="2"/>
        <v>0</v>
      </c>
      <c r="W71" s="55">
        <f t="shared" ca="1" si="12"/>
        <v>-43.581581597768761</v>
      </c>
      <c r="X71" s="55">
        <f t="shared" ca="1" si="13"/>
        <v>51.829764545396586</v>
      </c>
      <c r="Y71" s="55">
        <f t="shared" ca="1" si="14"/>
        <v>42.68820422008082</v>
      </c>
      <c r="Z71">
        <f t="shared" ca="1" si="3"/>
        <v>120</v>
      </c>
      <c r="AA71">
        <f t="shared" ca="1" si="15"/>
        <v>76.871883010769693</v>
      </c>
      <c r="AB71">
        <f t="shared" ca="1" si="4"/>
        <v>0</v>
      </c>
      <c r="AC71">
        <f t="shared" ca="1" si="5"/>
        <v>0</v>
      </c>
      <c r="AD71" s="83">
        <f ca="1"/>
        <v>45615</v>
      </c>
      <c r="AE71" s="55">
        <f t="shared" ca="1" si="20"/>
        <v>45615</v>
      </c>
      <c r="AF71" s="55">
        <f t="shared" ca="1" si="21"/>
        <v>102.91190640290773</v>
      </c>
      <c r="AG71" s="55">
        <f t="shared" ca="1" si="22"/>
        <v>14.924408595169377</v>
      </c>
      <c r="AH71" s="55">
        <f t="shared" ca="1" si="23"/>
        <v>0</v>
      </c>
      <c r="AI71" s="55">
        <f t="shared" ca="1" si="17"/>
        <v>-2.7630945465666361</v>
      </c>
      <c r="AJ71" s="55">
        <f t="shared" ca="1" si="18"/>
        <v>46.149878446438336</v>
      </c>
      <c r="AK71" s="55">
        <f t="shared" ca="1" si="19"/>
        <v>42.843688293122817</v>
      </c>
    </row>
    <row r="72" spans="2:37">
      <c r="C72" s="61"/>
      <c r="D72" s="84">
        <v>120</v>
      </c>
      <c r="E72" s="69">
        <v>120</v>
      </c>
      <c r="R72" s="83">
        <f ca="1"/>
        <v>45430</v>
      </c>
      <c r="S72" s="55">
        <f t="shared" ca="1" si="11"/>
        <v>45430</v>
      </c>
      <c r="T72" s="55">
        <f t="shared" ca="1" si="0"/>
        <v>100.06442813359894</v>
      </c>
      <c r="U72" s="55">
        <f t="shared" ca="1" si="1"/>
        <v>0</v>
      </c>
      <c r="V72" s="55">
        <f t="shared" ca="1" si="2"/>
        <v>0</v>
      </c>
      <c r="W72" s="55">
        <f t="shared" ca="1" si="12"/>
        <v>-44.160215030019572</v>
      </c>
      <c r="X72" s="55">
        <f t="shared" ca="1" si="13"/>
        <v>52.631306773679043</v>
      </c>
      <c r="Y72" s="55">
        <f t="shared" ca="1" si="14"/>
        <v>42.739145826822678</v>
      </c>
      <c r="Z72">
        <f t="shared" ca="1" si="3"/>
        <v>120</v>
      </c>
      <c r="AA72">
        <f t="shared" ca="1" si="15"/>
        <v>77.92188301076969</v>
      </c>
      <c r="AB72">
        <f t="shared" ca="1" si="4"/>
        <v>0</v>
      </c>
      <c r="AC72">
        <f t="shared" ca="1" si="5"/>
        <v>0</v>
      </c>
      <c r="AD72" s="83">
        <f ca="1"/>
        <v>45616</v>
      </c>
      <c r="AE72" s="55">
        <f t="shared" ca="1" si="20"/>
        <v>45616</v>
      </c>
      <c r="AF72" s="55">
        <f t="shared" ca="1" si="21"/>
        <v>103.17252080852964</v>
      </c>
      <c r="AG72" s="55">
        <f t="shared" ca="1" si="22"/>
        <v>15.629497755163218</v>
      </c>
      <c r="AH72" s="55">
        <f t="shared" ca="1" si="23"/>
        <v>0</v>
      </c>
      <c r="AI72" s="55">
        <f t="shared" ca="1" si="17"/>
        <v>-2.7630945465666361</v>
      </c>
      <c r="AJ72" s="55">
        <f t="shared" ca="1" si="18"/>
        <v>47.037861674998112</v>
      </c>
      <c r="AK72" s="55">
        <f t="shared" ca="1" si="19"/>
        <v>42.921408630178796</v>
      </c>
    </row>
    <row r="73" spans="2:37">
      <c r="R73" s="83">
        <f ca="1"/>
        <v>45431</v>
      </c>
      <c r="S73" s="55">
        <f t="shared" ca="1" si="11"/>
        <v>45431</v>
      </c>
      <c r="T73" s="55">
        <f t="shared" ca="1" si="0"/>
        <v>100.90312881223099</v>
      </c>
      <c r="U73" s="55">
        <f t="shared" ca="1" si="1"/>
        <v>0</v>
      </c>
      <c r="V73" s="55">
        <f t="shared" ca="1" si="2"/>
        <v>0</v>
      </c>
      <c r="W73" s="55">
        <f t="shared" ca="1" si="12"/>
        <v>-44.160215030019572</v>
      </c>
      <c r="X73" s="55">
        <f t="shared" ca="1" si="13"/>
        <v>53.422569122080638</v>
      </c>
      <c r="Y73" s="55">
        <f t="shared" ca="1" si="14"/>
        <v>42.786584157053134</v>
      </c>
      <c r="Z73">
        <f t="shared" ca="1" si="3"/>
        <v>118.34782608695652</v>
      </c>
      <c r="AA73">
        <f t="shared" ca="1" si="15"/>
        <v>77.92188301076969</v>
      </c>
      <c r="AB73">
        <f t="shared" ca="1" si="4"/>
        <v>0</v>
      </c>
      <c r="AC73">
        <f t="shared" ca="1" si="5"/>
        <v>0</v>
      </c>
      <c r="AD73" s="83">
        <f ca="1"/>
        <v>45617</v>
      </c>
      <c r="AE73" s="55">
        <f t="shared" ca="1" si="20"/>
        <v>45617</v>
      </c>
      <c r="AF73" s="55">
        <f t="shared" ca="1" si="21"/>
        <v>103.3654209360981</v>
      </c>
      <c r="AG73" s="55">
        <f t="shared" ca="1" si="22"/>
        <v>16.373897173955584</v>
      </c>
      <c r="AH73" s="55">
        <f t="shared" ca="1" si="23"/>
        <v>0</v>
      </c>
      <c r="AI73" s="55">
        <f t="shared" ca="1" si="17"/>
        <v>-2.7630945465666361</v>
      </c>
      <c r="AJ73" s="55">
        <f t="shared" ca="1" si="18"/>
        <v>47.902458032647267</v>
      </c>
      <c r="AK73" s="55">
        <f t="shared" ca="1" si="19"/>
        <v>42.994111818890481</v>
      </c>
    </row>
    <row r="74" spans="2:37">
      <c r="R74" s="83">
        <f ca="1"/>
        <v>45432</v>
      </c>
      <c r="S74" s="55">
        <f t="shared" ca="1" si="11"/>
        <v>45432</v>
      </c>
      <c r="T74" s="55">
        <f t="shared" ca="1" si="0"/>
        <v>151.72382663571932</v>
      </c>
      <c r="U74" s="55">
        <f t="shared" ca="1" si="1"/>
        <v>0</v>
      </c>
      <c r="V74" s="55">
        <f t="shared" ca="1" si="2"/>
        <v>50</v>
      </c>
      <c r="W74" s="55">
        <f t="shared" ca="1" si="12"/>
        <v>-44.16405385634944</v>
      </c>
      <c r="X74" s="55">
        <f t="shared" ca="1" si="13"/>
        <v>54.202909262355575</v>
      </c>
      <c r="Y74" s="55">
        <f t="shared" ca="1" si="14"/>
        <v>42.830780666596397</v>
      </c>
      <c r="Z74">
        <f t="shared" ca="1" si="3"/>
        <v>120</v>
      </c>
      <c r="AA74">
        <f t="shared" ca="1" si="15"/>
        <v>77.926477213668235</v>
      </c>
      <c r="AB74">
        <f t="shared" ca="1" si="4"/>
        <v>0</v>
      </c>
      <c r="AC74">
        <f t="shared" ca="1" si="5"/>
        <v>0</v>
      </c>
      <c r="AD74" s="83">
        <f ca="1"/>
        <v>45618</v>
      </c>
      <c r="AE74" s="55">
        <f t="shared" ca="1" si="20"/>
        <v>45618</v>
      </c>
      <c r="AF74" s="55">
        <f t="shared" ca="1" si="21"/>
        <v>103.45823398483472</v>
      </c>
      <c r="AG74" s="55">
        <f t="shared" ca="1" si="22"/>
        <v>17.20196558651552</v>
      </c>
      <c r="AH74" s="55">
        <f t="shared" ca="1" si="23"/>
        <v>0</v>
      </c>
      <c r="AI74" s="55">
        <f t="shared" ca="1" si="17"/>
        <v>-2.7630945465666361</v>
      </c>
      <c r="AJ74" s="55">
        <f t="shared" ca="1" si="18"/>
        <v>48.75305371534192</v>
      </c>
      <c r="AK74" s="55">
        <f t="shared" ca="1" si="19"/>
        <v>43.06439759749238</v>
      </c>
    </row>
    <row r="75" spans="2:37">
      <c r="R75" s="83">
        <f ca="1"/>
        <v>45433</v>
      </c>
      <c r="S75" s="55">
        <f t="shared" ca="1" si="11"/>
        <v>45433</v>
      </c>
      <c r="T75" s="55">
        <f t="shared" ca="1" si="0"/>
        <v>150.92911706841952</v>
      </c>
      <c r="U75" s="55">
        <f t="shared" ca="1" si="1"/>
        <v>0</v>
      </c>
      <c r="V75" s="55">
        <f t="shared" ca="1" si="2"/>
        <v>0</v>
      </c>
      <c r="W75" s="55">
        <f t="shared" ca="1" si="12"/>
        <v>-45.676844832646822</v>
      </c>
      <c r="X75" s="55">
        <f t="shared" ca="1" si="13"/>
        <v>54.883197884606503</v>
      </c>
      <c r="Y75" s="55">
        <f t="shared" ca="1" si="14"/>
        <v>42.868573453343032</v>
      </c>
      <c r="Z75">
        <f t="shared" ca="1" si="3"/>
        <v>120</v>
      </c>
      <c r="AA75">
        <f t="shared" ca="1" si="15"/>
        <v>79.746477213668243</v>
      </c>
      <c r="AB75">
        <f t="shared" ca="1" si="4"/>
        <v>0</v>
      </c>
      <c r="AC75">
        <f t="shared" ca="1" si="5"/>
        <v>0</v>
      </c>
      <c r="AD75" s="83">
        <f ca="1"/>
        <v>45619</v>
      </c>
      <c r="AE75" s="55">
        <f t="shared" ca="1" si="20"/>
        <v>45619</v>
      </c>
      <c r="AF75" s="55">
        <f t="shared" ca="1" si="21"/>
        <v>103.48519255712034</v>
      </c>
      <c r="AG75" s="55">
        <f t="shared" ca="1" si="22"/>
        <v>18.070898916286861</v>
      </c>
      <c r="AH75" s="55">
        <f t="shared" ca="1" si="23"/>
        <v>0</v>
      </c>
      <c r="AI75" s="55">
        <f t="shared" ca="1" si="17"/>
        <v>-2.7630945465666361</v>
      </c>
      <c r="AJ75" s="55">
        <f t="shared" ca="1" si="18"/>
        <v>49.583680022753178</v>
      </c>
      <c r="AK75" s="55">
        <f t="shared" ca="1" si="19"/>
        <v>43.129663192138075</v>
      </c>
    </row>
    <row r="76" spans="2:37">
      <c r="R76" s="83">
        <f ca="1"/>
        <v>45434</v>
      </c>
      <c r="S76" s="55">
        <f t="shared" ca="1" si="11"/>
        <v>45434</v>
      </c>
      <c r="T76" s="55">
        <f t="shared" ca="1" si="0"/>
        <v>150.15536480659111</v>
      </c>
      <c r="U76" s="55">
        <f t="shared" ca="1" si="1"/>
        <v>0</v>
      </c>
      <c r="V76" s="55">
        <f t="shared" ca="1" si="2"/>
        <v>0</v>
      </c>
      <c r="W76" s="55">
        <f t="shared" ca="1" si="12"/>
        <v>-47.206688621908171</v>
      </c>
      <c r="X76" s="55">
        <f t="shared" ca="1" si="13"/>
        <v>55.602055302185171</v>
      </c>
      <c r="Y76" s="55">
        <f t="shared" ca="1" si="14"/>
        <v>42.9058075631973</v>
      </c>
      <c r="Z76">
        <f t="shared" ca="1" si="3"/>
        <v>120</v>
      </c>
      <c r="AA76">
        <f t="shared" ca="1" si="15"/>
        <v>81.596477213668237</v>
      </c>
      <c r="AB76">
        <f t="shared" ca="1" si="4"/>
        <v>0</v>
      </c>
      <c r="AC76">
        <f t="shared" ca="1" si="5"/>
        <v>0</v>
      </c>
      <c r="AD76" s="83">
        <f ca="1"/>
        <v>45620</v>
      </c>
      <c r="AE76" s="55">
        <f t="shared" ca="1" si="20"/>
        <v>45620</v>
      </c>
      <c r="AF76" s="55">
        <f t="shared" ca="1" si="21"/>
        <v>103.42974066057185</v>
      </c>
      <c r="AG76" s="55">
        <f t="shared" ca="1" si="22"/>
        <v>19.069555536312304</v>
      </c>
      <c r="AH76" s="55">
        <f t="shared" ca="1" si="23"/>
        <v>0</v>
      </c>
      <c r="AI76" s="55">
        <f t="shared" ca="1" si="17"/>
        <v>-2.7630945465666361</v>
      </c>
      <c r="AJ76" s="55">
        <f t="shared" ca="1" si="18"/>
        <v>50.462393962053504</v>
      </c>
      <c r="AK76" s="55">
        <f t="shared" ca="1" si="19"/>
        <v>43.194153976314702</v>
      </c>
    </row>
    <row r="77" spans="2:37">
      <c r="R77" s="83">
        <f ca="1"/>
        <v>45435</v>
      </c>
      <c r="S77" s="55">
        <f t="shared" ca="1" si="11"/>
        <v>45435</v>
      </c>
      <c r="T77" s="55">
        <f t="shared" ca="1" si="0"/>
        <v>147.1502554382418</v>
      </c>
      <c r="U77" s="55">
        <f t="shared" ca="1" si="1"/>
        <v>0</v>
      </c>
      <c r="V77" s="55">
        <f t="shared" ca="1" si="2"/>
        <v>0</v>
      </c>
      <c r="W77" s="55">
        <f t="shared" ca="1" si="12"/>
        <v>-50.983118655676854</v>
      </c>
      <c r="X77" s="55">
        <f t="shared" ca="1" si="13"/>
        <v>56.337556662972489</v>
      </c>
      <c r="Y77" s="55">
        <f t="shared" ca="1" si="14"/>
        <v>42.941626867829385</v>
      </c>
      <c r="Z77">
        <f t="shared" ca="1" si="3"/>
        <v>120</v>
      </c>
      <c r="AA77">
        <f t="shared" ca="1" si="15"/>
        <v>86.256477213668248</v>
      </c>
      <c r="AB77">
        <f t="shared" ca="1" si="4"/>
        <v>0</v>
      </c>
      <c r="AC77">
        <f t="shared" ca="1" si="5"/>
        <v>0</v>
      </c>
      <c r="AD77" s="83">
        <f ca="1"/>
        <v>45621</v>
      </c>
      <c r="AE77" s="55">
        <f t="shared" ca="1" si="20"/>
        <v>45621</v>
      </c>
      <c r="AF77" s="55">
        <f t="shared" ca="1" si="21"/>
        <v>103.36200927534401</v>
      </c>
      <c r="AG77" s="55">
        <f t="shared" ca="1" si="22"/>
        <v>20.134548034927835</v>
      </c>
      <c r="AH77" s="55">
        <f t="shared" ca="1" si="23"/>
        <v>0</v>
      </c>
      <c r="AI77" s="55">
        <f t="shared" ca="1" si="17"/>
        <v>-2.7630945465666361</v>
      </c>
      <c r="AJ77" s="55">
        <f t="shared" ca="1" si="18"/>
        <v>51.399437633675234</v>
      </c>
      <c r="AK77" s="55">
        <f t="shared" ca="1" si="19"/>
        <v>43.254371418080659</v>
      </c>
    </row>
    <row r="78" spans="2:37">
      <c r="R78" s="83">
        <f ca="1"/>
        <v>45436</v>
      </c>
      <c r="S78" s="55">
        <f t="shared" ca="1" si="11"/>
        <v>45436</v>
      </c>
      <c r="T78" s="55">
        <f t="shared" ca="1" si="0"/>
        <v>146.14995200255467</v>
      </c>
      <c r="U78" s="55">
        <f t="shared" ca="1" si="1"/>
        <v>3.0364421556754944</v>
      </c>
      <c r="V78" s="55">
        <f t="shared" ca="1" si="2"/>
        <v>0</v>
      </c>
      <c r="W78" s="55">
        <f t="shared" ca="1" si="12"/>
        <v>-52.737765325806066</v>
      </c>
      <c r="X78" s="55">
        <f t="shared" ca="1" si="13"/>
        <v>57.058481426347413</v>
      </c>
      <c r="Y78" s="55">
        <f t="shared" ca="1" si="14"/>
        <v>42.975045338896521</v>
      </c>
      <c r="Z78">
        <f t="shared" ca="1" si="3"/>
        <v>120</v>
      </c>
      <c r="AA78">
        <f t="shared" ca="1" si="15"/>
        <v>88.43647721366824</v>
      </c>
      <c r="AB78">
        <f t="shared" ca="1" si="4"/>
        <v>0</v>
      </c>
      <c r="AC78">
        <f t="shared" ca="1" si="5"/>
        <v>8.4437344952976043E-2</v>
      </c>
      <c r="AD78" s="83">
        <f ca="1"/>
        <v>45622</v>
      </c>
      <c r="AE78" s="55">
        <f t="shared" ca="1" si="20"/>
        <v>45622</v>
      </c>
      <c r="AF78" s="55">
        <f t="shared" ca="1" si="21"/>
        <v>103.19686855097413</v>
      </c>
      <c r="AG78" s="55">
        <f t="shared" ca="1" si="22"/>
        <v>21.290491945864296</v>
      </c>
      <c r="AH78" s="55">
        <f t="shared" ca="1" si="23"/>
        <v>0</v>
      </c>
      <c r="AI78" s="55">
        <f t="shared" ca="1" si="17"/>
        <v>-2.7630945465666361</v>
      </c>
      <c r="AJ78" s="55">
        <f t="shared" ca="1" si="18"/>
        <v>52.333275479910881</v>
      </c>
      <c r="AK78" s="55">
        <f t="shared" ca="1" si="19"/>
        <v>43.311336758411592</v>
      </c>
    </row>
    <row r="79" spans="2:37">
      <c r="R79" s="83">
        <f ca="1"/>
        <v>45437</v>
      </c>
      <c r="S79" s="55">
        <f t="shared" ca="1" si="11"/>
        <v>45437</v>
      </c>
      <c r="T79" s="55">
        <f t="shared" ca="1" si="0"/>
        <v>142.75857407163824</v>
      </c>
      <c r="U79" s="55">
        <f t="shared" ca="1" si="1"/>
        <v>3.1845544627344169</v>
      </c>
      <c r="V79" s="55">
        <f t="shared" ca="1" si="2"/>
        <v>0</v>
      </c>
      <c r="W79" s="55">
        <f t="shared" ca="1" si="12"/>
        <v>-56.763143321657942</v>
      </c>
      <c r="X79" s="55">
        <f t="shared" ca="1" si="13"/>
        <v>57.808036750166551</v>
      </c>
      <c r="Y79" s="55">
        <f t="shared" ca="1" si="14"/>
        <v>43.007602387071735</v>
      </c>
      <c r="Z79">
        <f t="shared" ca="1" si="3"/>
        <v>120</v>
      </c>
      <c r="AA79">
        <f t="shared" ca="1" si="15"/>
        <v>93.556477213668245</v>
      </c>
      <c r="AB79">
        <f t="shared" ca="1" si="4"/>
        <v>0</v>
      </c>
      <c r="AC79">
        <f t="shared" ca="1" si="5"/>
        <v>0.10476665977623756</v>
      </c>
      <c r="AD79" s="83">
        <f ca="1"/>
        <v>45623</v>
      </c>
      <c r="AE79" s="55">
        <f t="shared" ca="1" si="20"/>
        <v>45623</v>
      </c>
      <c r="AF79" s="55">
        <f t="shared" ca="1" si="21"/>
        <v>103.05378659164181</v>
      </c>
      <c r="AG79" s="55">
        <f t="shared" ca="1" si="22"/>
        <v>22.485713700710757</v>
      </c>
      <c r="AH79" s="55">
        <f t="shared" ca="1" si="23"/>
        <v>0</v>
      </c>
      <c r="AI79" s="55">
        <f t="shared" ca="1" si="17"/>
        <v>-2.7630945465666361</v>
      </c>
      <c r="AJ79" s="55">
        <f t="shared" ca="1" si="18"/>
        <v>53.333458574031489</v>
      </c>
      <c r="AK79" s="55">
        <f t="shared" ca="1" si="19"/>
        <v>43.363293459805128</v>
      </c>
    </row>
    <row r="80" spans="2:37">
      <c r="R80" s="83">
        <f ca="1"/>
        <v>45438</v>
      </c>
      <c r="S80" s="55">
        <f t="shared" ca="1" si="11"/>
        <v>45438</v>
      </c>
      <c r="T80" s="55">
        <f t="shared" ca="1" si="0"/>
        <v>142.01140926653125</v>
      </c>
      <c r="U80" s="55">
        <f t="shared" ca="1" si="1"/>
        <v>3.3311390674958563</v>
      </c>
      <c r="V80" s="55">
        <f t="shared" ca="1" si="2"/>
        <v>0</v>
      </c>
      <c r="W80" s="55">
        <f t="shared" ca="1" si="12"/>
        <v>-58.100520332402752</v>
      </c>
      <c r="X80" s="55">
        <f t="shared" ca="1" si="13"/>
        <v>58.515250015615059</v>
      </c>
      <c r="Y80" s="55">
        <f t="shared" ca="1" si="14"/>
        <v>43.037185932022474</v>
      </c>
      <c r="Z80">
        <f t="shared" ca="1" si="3"/>
        <v>120</v>
      </c>
      <c r="AA80">
        <f t="shared" ca="1" si="15"/>
        <v>95.266477213668239</v>
      </c>
      <c r="AB80">
        <f t="shared" ca="1" si="4"/>
        <v>0</v>
      </c>
      <c r="AC80">
        <f t="shared" ca="1" si="5"/>
        <v>0.12776687472856207</v>
      </c>
      <c r="AD80" s="83">
        <f ca="1"/>
        <v>45624</v>
      </c>
      <c r="AE80" s="55">
        <f t="shared" ca="1" si="20"/>
        <v>45624</v>
      </c>
      <c r="AF80" s="55">
        <f t="shared" ca="1" si="21"/>
        <v>102.82370900273877</v>
      </c>
      <c r="AG80" s="55">
        <f t="shared" ca="1" si="22"/>
        <v>23.6229881055324</v>
      </c>
      <c r="AH80" s="55">
        <f t="shared" ca="1" si="23"/>
        <v>0</v>
      </c>
      <c r="AI80" s="55">
        <f t="shared" ca="1" si="17"/>
        <v>-2.7630945465666361</v>
      </c>
      <c r="AJ80" s="55">
        <f t="shared" ca="1" si="18"/>
        <v>54.195715289860154</v>
      </c>
      <c r="AK80" s="55">
        <f t="shared" ca="1" si="19"/>
        <v>43.408233559895059</v>
      </c>
    </row>
    <row r="81" spans="18:37">
      <c r="R81" s="83">
        <f ca="1"/>
        <v>45439</v>
      </c>
      <c r="S81" s="55">
        <f t="shared" ca="1" si="11"/>
        <v>45439</v>
      </c>
      <c r="T81" s="55">
        <f t="shared" ca="1" si="0"/>
        <v>141.20123420411755</v>
      </c>
      <c r="U81" s="55">
        <f t="shared" ca="1" si="1"/>
        <v>3.4800850606384452</v>
      </c>
      <c r="V81" s="55">
        <f t="shared" ca="1" si="2"/>
        <v>0</v>
      </c>
      <c r="W81" s="55">
        <f t="shared" ca="1" si="12"/>
        <v>-59.476925406688117</v>
      </c>
      <c r="X81" s="55">
        <f t="shared" ca="1" si="13"/>
        <v>59.202876845190858</v>
      </c>
      <c r="Y81" s="55">
        <f t="shared" ca="1" si="14"/>
        <v>43.064735107460919</v>
      </c>
      <c r="Z81">
        <f t="shared" ca="1" si="3"/>
        <v>120</v>
      </c>
      <c r="AA81">
        <f t="shared" ca="1" si="15"/>
        <v>97.036477213668249</v>
      </c>
      <c r="AB81">
        <f t="shared" ca="1" si="4"/>
        <v>0</v>
      </c>
      <c r="AC81">
        <f t="shared" ca="1" si="5"/>
        <v>0.15403371878949862</v>
      </c>
      <c r="AD81" s="83">
        <f ca="1"/>
        <v>45625</v>
      </c>
      <c r="AE81" s="55">
        <f t="shared" ca="1" si="20"/>
        <v>45625</v>
      </c>
      <c r="AF81" s="55">
        <f t="shared" ca="1" si="21"/>
        <v>102.51531314833716</v>
      </c>
      <c r="AG81" s="55">
        <f t="shared" ca="1" si="22"/>
        <v>24.946899375708735</v>
      </c>
      <c r="AH81" s="55">
        <f t="shared" ca="1" si="23"/>
        <v>0</v>
      </c>
      <c r="AI81" s="55">
        <f t="shared" ca="1" si="17"/>
        <v>-2.7630945465666361</v>
      </c>
      <c r="AJ81" s="55">
        <f t="shared" ca="1" si="18"/>
        <v>55.166117401025694</v>
      </c>
      <c r="AK81" s="55">
        <f t="shared" ca="1" si="19"/>
        <v>43.453346864504248</v>
      </c>
    </row>
    <row r="82" spans="18:37">
      <c r="R82" s="83">
        <f ca="1"/>
        <v>45440</v>
      </c>
      <c r="S82" s="55">
        <f t="shared" ca="1" si="11"/>
        <v>45440</v>
      </c>
      <c r="T82" s="55">
        <f t="shared" ref="T82:T145" ca="1" si="27">VLOOKUP(S82,ModelOutputs,2,FALSE)</f>
        <v>140.13623949148479</v>
      </c>
      <c r="U82" s="55">
        <f t="shared" ref="U82:U145" ca="1" si="28">VLOOKUP(S82,ModelOutputs,7,FALSE)</f>
        <v>3.643643975448116</v>
      </c>
      <c r="V82" s="55">
        <f t="shared" ref="V82:V145" ca="1" si="29">VLOOKUP(S82,ModelOutputs,6,FALSE)</f>
        <v>0</v>
      </c>
      <c r="W82" s="55">
        <f t="shared" ca="1" si="12"/>
        <v>-61.128502072695007</v>
      </c>
      <c r="X82" s="55">
        <f t="shared" ca="1" si="13"/>
        <v>59.925872707327827</v>
      </c>
      <c r="Y82" s="55">
        <f t="shared" ca="1" si="14"/>
        <v>43.091880113507727</v>
      </c>
      <c r="Z82">
        <f t="shared" ref="Z82:Z145" ca="1" si="30">VLOOKUP(S82,ModelOutputs,10,FALSE)*AWC</f>
        <v>120</v>
      </c>
      <c r="AA82">
        <f t="shared" ca="1" si="15"/>
        <v>99.17647721366825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0.18605985105180983</v>
      </c>
      <c r="AD82" s="83">
        <f ca="1"/>
        <v>45626</v>
      </c>
      <c r="AE82" s="55">
        <f t="shared" ca="1" si="20"/>
        <v>45626</v>
      </c>
      <c r="AF82" s="55">
        <f t="shared" ca="1" si="21"/>
        <v>102.21130996428265</v>
      </c>
      <c r="AG82" s="55">
        <f t="shared" ca="1" si="22"/>
        <v>26.310440389999297</v>
      </c>
      <c r="AH82" s="55">
        <f t="shared" ca="1" si="23"/>
        <v>0</v>
      </c>
      <c r="AI82" s="55">
        <f t="shared" ca="1" si="17"/>
        <v>-2.7630945465666361</v>
      </c>
      <c r="AJ82" s="55">
        <f t="shared" ca="1" si="18"/>
        <v>56.184356007204308</v>
      </c>
      <c r="AK82" s="55">
        <f t="shared" ca="1" si="19"/>
        <v>43.494646088561687</v>
      </c>
    </row>
    <row r="83" spans="18:37">
      <c r="R83" s="83">
        <f ca="1"/>
        <v>45441</v>
      </c>
      <c r="S83" s="55">
        <f t="shared" ref="S83:S146" ca="1" si="33">IF(R83&gt;1,R83,"")</f>
        <v>45441</v>
      </c>
      <c r="T83" s="55">
        <f t="shared" ca="1" si="27"/>
        <v>139.99130565020289</v>
      </c>
      <c r="U83" s="55">
        <f t="shared" ca="1" si="28"/>
        <v>3.7963456833951792</v>
      </c>
      <c r="V83" s="55">
        <f t="shared" ca="1" si="29"/>
        <v>0</v>
      </c>
      <c r="W83" s="55">
        <f t="shared" ref="W83:W146" ca="1" si="34">-VLOOKUP(S83,ModelOutputs,9,FALSE)+W82</f>
        <v>-61.791533358006404</v>
      </c>
      <c r="X83" s="55">
        <f t="shared" ref="X83:X146" ca="1" si="35">VLOOKUP(S83,ModelOutputs,5,FALSE)+X82</f>
        <v>60.57279038981067</v>
      </c>
      <c r="Y83" s="55">
        <f t="shared" ref="Y83:Y146" ca="1" si="36">VLOOKUP(S83,ModelOutputs,4,FALSE)+Y82</f>
        <v>43.115761583001479</v>
      </c>
      <c r="Z83">
        <f t="shared" ca="1" si="30"/>
        <v>120</v>
      </c>
      <c r="AA83">
        <f t="shared" ref="AA83:AA146" ca="1" si="37">VLOOKUP(S83,ModelOutputs,11,FALSE)+AA82</f>
        <v>100.03647721366825</v>
      </c>
      <c r="AB83">
        <f t="shared" ca="1" si="31"/>
        <v>0</v>
      </c>
      <c r="AC83">
        <f t="shared" ca="1" si="32"/>
        <v>0.21866327992142159</v>
      </c>
      <c r="AD83" s="83">
        <f ca="1"/>
        <v>45627</v>
      </c>
      <c r="AE83" s="55">
        <f t="shared" ca="1" si="20"/>
        <v>45627</v>
      </c>
      <c r="AF83" s="55">
        <f t="shared" ca="1" si="21"/>
        <v>101.77086601244206</v>
      </c>
      <c r="AG83" s="55">
        <f t="shared" ca="1" si="22"/>
        <v>27.778243143535107</v>
      </c>
      <c r="AH83" s="55">
        <f t="shared" ca="1" si="23"/>
        <v>0</v>
      </c>
      <c r="AI83" s="55">
        <f t="shared" ref="AI83:AI146" ca="1" si="38">-VLOOKUP(AE83,ModelOutputs,9,FALSE)+AI82</f>
        <v>-2.7630945465666361</v>
      </c>
      <c r="AJ83" s="55">
        <f t="shared" ref="AJ83:AJ146" ca="1" si="39">VLOOKUP(AE83,ModelOutputs,5,FALSE)+AJ82</f>
        <v>57.172540717313836</v>
      </c>
      <c r="AK83" s="55">
        <f t="shared" ref="AK83:AK146" ca="1" si="40">VLOOKUP(AE83,ModelOutputs,4,FALSE)+AK82</f>
        <v>43.53382018014738</v>
      </c>
    </row>
    <row r="84" spans="18:37">
      <c r="R84" s="83">
        <f ca="1"/>
        <v>45442</v>
      </c>
      <c r="S84" s="55">
        <f t="shared" ca="1" si="33"/>
        <v>45442</v>
      </c>
      <c r="T84" s="55">
        <f t="shared" ca="1" si="27"/>
        <v>137.77346473511599</v>
      </c>
      <c r="U84" s="55">
        <f t="shared" ca="1" si="28"/>
        <v>3.9563575606609342</v>
      </c>
      <c r="V84" s="55">
        <f t="shared" ca="1" si="29"/>
        <v>0</v>
      </c>
      <c r="W84" s="55">
        <f t="shared" ca="1" si="34"/>
        <v>-64.523042050146088</v>
      </c>
      <c r="X84" s="55">
        <f t="shared" ca="1" si="35"/>
        <v>61.223578595511476</v>
      </c>
      <c r="Y84" s="55">
        <f t="shared" ca="1" si="36"/>
        <v>43.138653031619235</v>
      </c>
      <c r="Z84">
        <f t="shared" ca="1" si="30"/>
        <v>120</v>
      </c>
      <c r="AA84">
        <f t="shared" ca="1" si="37"/>
        <v>103.63647721366824</v>
      </c>
      <c r="AB84">
        <f t="shared" ca="1" si="31"/>
        <v>0</v>
      </c>
      <c r="AC84">
        <f t="shared" ca="1" si="32"/>
        <v>0.25517611138625701</v>
      </c>
      <c r="AD84" s="83">
        <f ca="1"/>
        <v>45628</v>
      </c>
      <c r="AE84" s="55">
        <f t="shared" ca="1" si="20"/>
        <v>45628</v>
      </c>
      <c r="AF84" s="55">
        <f t="shared" ca="1" si="21"/>
        <v>101.23863896689082</v>
      </c>
      <c r="AG84" s="55">
        <f t="shared" ca="1" si="22"/>
        <v>29.308935955265248</v>
      </c>
      <c r="AH84" s="55">
        <f t="shared" ca="1" si="23"/>
        <v>0</v>
      </c>
      <c r="AI84" s="55">
        <f t="shared" ca="1" si="38"/>
        <v>-2.7630945465666361</v>
      </c>
      <c r="AJ84" s="55">
        <f t="shared" ca="1" si="39"/>
        <v>58.134692687136365</v>
      </c>
      <c r="AK84" s="55">
        <f t="shared" ca="1" si="40"/>
        <v>43.570133976503747</v>
      </c>
    </row>
    <row r="85" spans="18:37">
      <c r="R85" s="83">
        <f ca="1"/>
        <v>45443</v>
      </c>
      <c r="S85" s="55">
        <f t="shared" ca="1" si="33"/>
        <v>45443</v>
      </c>
      <c r="T85" s="55">
        <f t="shared" ca="1" si="27"/>
        <v>137.28766132415066</v>
      </c>
      <c r="U85" s="55">
        <f t="shared" ca="1" si="28"/>
        <v>4.12790848337744</v>
      </c>
      <c r="V85" s="55">
        <f t="shared" ca="1" si="29"/>
        <v>0</v>
      </c>
      <c r="W85" s="55">
        <f t="shared" ca="1" si="34"/>
        <v>-65.528624427439212</v>
      </c>
      <c r="X85" s="55">
        <f t="shared" ca="1" si="35"/>
        <v>61.892624636327803</v>
      </c>
      <c r="Y85" s="55">
        <f t="shared" ca="1" si="36"/>
        <v>43.160936879847235</v>
      </c>
      <c r="Z85">
        <f t="shared" ca="1" si="30"/>
        <v>120</v>
      </c>
      <c r="AA85">
        <f t="shared" ca="1" si="37"/>
        <v>104.96647721366824</v>
      </c>
      <c r="AB85">
        <f t="shared" ca="1" si="31"/>
        <v>0</v>
      </c>
      <c r="AC85">
        <f t="shared" ca="1" si="32"/>
        <v>0.29634311942918951</v>
      </c>
      <c r="AD85" s="83">
        <f ca="1"/>
        <v>45629</v>
      </c>
      <c r="AE85" s="55">
        <f t="shared" ref="AE85:AE148" ca="1" si="41">IF(AD85&gt;1,AD85,"")</f>
        <v>45629</v>
      </c>
      <c r="AF85" s="55">
        <f t="shared" ref="AF85:AF148" ca="1" si="42">VLOOKUP(AE85,ModelOutputs,2,FALSE)</f>
        <v>100.57597359285656</v>
      </c>
      <c r="AG85" s="55">
        <f t="shared" ref="AG85:AG148" ca="1" si="43">VLOOKUP(AE85,ModelOutputs,7,FALSE)</f>
        <v>30.996258118876703</v>
      </c>
      <c r="AH85" s="55">
        <f t="shared" ref="AH85:AH148" ca="1" si="44">VLOOKUP(AE85,ModelOutputs,6,FALSE)</f>
        <v>0</v>
      </c>
      <c r="AI85" s="55">
        <f t="shared" ca="1" si="38"/>
        <v>-2.7630945465666361</v>
      </c>
      <c r="AJ85" s="55">
        <f t="shared" ca="1" si="39"/>
        <v>59.124181765044362</v>
      </c>
      <c r="AK85" s="55">
        <f t="shared" ca="1" si="40"/>
        <v>43.60530168817295</v>
      </c>
    </row>
    <row r="86" spans="18:37">
      <c r="R86" s="83">
        <f ca="1"/>
        <v>45444</v>
      </c>
      <c r="S86" s="55">
        <f t="shared" ca="1" si="33"/>
        <v>45444</v>
      </c>
      <c r="T86" s="55">
        <f t="shared" ca="1" si="27"/>
        <v>136.48373669393533</v>
      </c>
      <c r="U86" s="55">
        <f t="shared" ca="1" si="28"/>
        <v>4.3067747845305151</v>
      </c>
      <c r="V86" s="55">
        <f t="shared" ca="1" si="29"/>
        <v>0</v>
      </c>
      <c r="W86" s="55">
        <f t="shared" ca="1" si="34"/>
        <v>-66.844011165141637</v>
      </c>
      <c r="X86" s="55">
        <f t="shared" ca="1" si="35"/>
        <v>62.561670677144129</v>
      </c>
      <c r="Y86" s="55">
        <f t="shared" ca="1" si="36"/>
        <v>43.182219247671078</v>
      </c>
      <c r="Z86">
        <f t="shared" ca="1" si="30"/>
        <v>120</v>
      </c>
      <c r="AA86">
        <f t="shared" ca="1" si="37"/>
        <v>106.71647721366824</v>
      </c>
      <c r="AB86">
        <f t="shared" ca="1" si="31"/>
        <v>0</v>
      </c>
      <c r="AC86">
        <f t="shared" ca="1" si="32"/>
        <v>0.34064304766203685</v>
      </c>
      <c r="AD86" s="83">
        <f ca="1"/>
        <v>45630</v>
      </c>
      <c r="AE86" s="55">
        <f t="shared" ca="1" si="41"/>
        <v>45630</v>
      </c>
      <c r="AF86" s="55">
        <f t="shared" ca="1" si="42"/>
        <v>99.792902788069114</v>
      </c>
      <c r="AG86" s="55">
        <f t="shared" ca="1" si="43"/>
        <v>32.74883039766766</v>
      </c>
      <c r="AH86" s="55">
        <f t="shared" ca="1" si="44"/>
        <v>0</v>
      </c>
      <c r="AI86" s="55">
        <f t="shared" ca="1" si="38"/>
        <v>-2.7630945465666361</v>
      </c>
      <c r="AJ86" s="55">
        <f t="shared" ca="1" si="39"/>
        <v>60.061159786083714</v>
      </c>
      <c r="AK86" s="55">
        <f t="shared" ca="1" si="40"/>
        <v>43.637825141137107</v>
      </c>
    </row>
    <row r="87" spans="18:37">
      <c r="R87" s="83">
        <f ca="1"/>
        <v>45445</v>
      </c>
      <c r="S87" s="55">
        <f t="shared" ca="1" si="33"/>
        <v>45445</v>
      </c>
      <c r="T87" s="55">
        <f t="shared" ca="1" si="27"/>
        <v>136.37350642272415</v>
      </c>
      <c r="U87" s="55">
        <f t="shared" ca="1" si="28"/>
        <v>4.4913539684219552</v>
      </c>
      <c r="V87" s="55">
        <f t="shared" ca="1" si="29"/>
        <v>0</v>
      </c>
      <c r="W87" s="55">
        <f t="shared" ca="1" si="34"/>
        <v>-67.45235558944475</v>
      </c>
      <c r="X87" s="55">
        <f t="shared" ca="1" si="35"/>
        <v>63.224159067668019</v>
      </c>
      <c r="Y87" s="55">
        <f t="shared" ca="1" si="36"/>
        <v>43.202424194130558</v>
      </c>
      <c r="Z87">
        <f t="shared" ca="1" si="30"/>
        <v>120</v>
      </c>
      <c r="AA87">
        <f t="shared" ca="1" si="37"/>
        <v>107.52647721366824</v>
      </c>
      <c r="AB87">
        <f t="shared" ca="1" si="31"/>
        <v>0</v>
      </c>
      <c r="AC87">
        <f t="shared" ca="1" si="32"/>
        <v>0.38684083772787359</v>
      </c>
      <c r="AD87" s="83">
        <f ca="1"/>
        <v>45631</v>
      </c>
      <c r="AE87" s="55">
        <f t="shared" ca="1" si="41"/>
        <v>45631</v>
      </c>
      <c r="AF87" s="55">
        <f t="shared" ca="1" si="42"/>
        <v>98.912797755605339</v>
      </c>
      <c r="AG87" s="55">
        <f t="shared" ca="1" si="43"/>
        <v>34.593149446842737</v>
      </c>
      <c r="AH87" s="55">
        <f t="shared" ca="1" si="44"/>
        <v>0</v>
      </c>
      <c r="AI87" s="55">
        <f t="shared" ca="1" si="38"/>
        <v>-2.7630945465666361</v>
      </c>
      <c r="AJ87" s="55">
        <f t="shared" ca="1" si="39"/>
        <v>60.994888060525739</v>
      </c>
      <c r="AK87" s="55">
        <f t="shared" ca="1" si="40"/>
        <v>43.66831088340637</v>
      </c>
    </row>
    <row r="88" spans="18:37">
      <c r="R88" s="83">
        <f ca="1"/>
        <v>45446</v>
      </c>
      <c r="S88" s="55">
        <f t="shared" ca="1" si="33"/>
        <v>45446</v>
      </c>
      <c r="T88" s="55">
        <f t="shared" ca="1" si="27"/>
        <v>135.80011019617129</v>
      </c>
      <c r="U88" s="55">
        <f t="shared" ca="1" si="28"/>
        <v>4.7045700596539284</v>
      </c>
      <c r="V88" s="55">
        <f t="shared" ca="1" si="29"/>
        <v>0</v>
      </c>
      <c r="W88" s="55">
        <f t="shared" ca="1" si="34"/>
        <v>-68.566703740068974</v>
      </c>
      <c r="X88" s="55">
        <f t="shared" ca="1" si="35"/>
        <v>63.957566776784169</v>
      </c>
      <c r="Y88" s="55">
        <f t="shared" ca="1" si="36"/>
        <v>43.223184500317778</v>
      </c>
      <c r="Z88">
        <f t="shared" ca="1" si="30"/>
        <v>120</v>
      </c>
      <c r="AA88">
        <f t="shared" ca="1" si="37"/>
        <v>109.01647721366824</v>
      </c>
      <c r="AB88">
        <f t="shared" ca="1" si="31"/>
        <v>0</v>
      </c>
      <c r="AC88">
        <f t="shared" ca="1" si="32"/>
        <v>0.43952554293472562</v>
      </c>
      <c r="AD88" s="83">
        <f ca="1"/>
        <v>45632</v>
      </c>
      <c r="AE88" s="55">
        <f t="shared" ca="1" si="41"/>
        <v>45632</v>
      </c>
      <c r="AF88" s="55">
        <f t="shared" ca="1" si="42"/>
        <v>97.988332305232177</v>
      </c>
      <c r="AG88" s="55">
        <f t="shared" ca="1" si="43"/>
        <v>36.432567937166361</v>
      </c>
      <c r="AH88" s="55">
        <f t="shared" ca="1" si="44"/>
        <v>0</v>
      </c>
      <c r="AI88" s="55">
        <f t="shared" ca="1" si="38"/>
        <v>-2.7630945465666361</v>
      </c>
      <c r="AJ88" s="55">
        <f t="shared" ca="1" si="39"/>
        <v>61.882301600257222</v>
      </c>
      <c r="AK88" s="55">
        <f t="shared" ca="1" si="40"/>
        <v>43.695850383625348</v>
      </c>
    </row>
    <row r="89" spans="18:37">
      <c r="R89" s="83">
        <f ca="1"/>
        <v>45447</v>
      </c>
      <c r="S89" s="55">
        <f t="shared" ca="1" si="33"/>
        <v>45447</v>
      </c>
      <c r="T89" s="55">
        <f t="shared" ca="1" si="27"/>
        <v>133.89131931475214</v>
      </c>
      <c r="U89" s="55">
        <f t="shared" ca="1" si="28"/>
        <v>4.9222989610108199</v>
      </c>
      <c r="V89" s="55">
        <f t="shared" ca="1" si="29"/>
        <v>0</v>
      </c>
      <c r="W89" s="55">
        <f t="shared" ca="1" si="34"/>
        <v>-70.992659209740026</v>
      </c>
      <c r="X89" s="55">
        <f t="shared" ca="1" si="35"/>
        <v>64.672986953365935</v>
      </c>
      <c r="Y89" s="55">
        <f t="shared" ca="1" si="36"/>
        <v>43.242657813344806</v>
      </c>
      <c r="Z89">
        <f t="shared" ca="1" si="30"/>
        <v>120</v>
      </c>
      <c r="AA89">
        <f t="shared" ca="1" si="37"/>
        <v>112.30647721366823</v>
      </c>
      <c r="AB89">
        <f t="shared" ca="1" si="31"/>
        <v>0</v>
      </c>
      <c r="AC89">
        <f t="shared" ca="1" si="32"/>
        <v>0.49124916422435316</v>
      </c>
      <c r="AD89" s="83">
        <f ca="1"/>
        <v>45633</v>
      </c>
      <c r="AE89" s="55">
        <f t="shared" ca="1" si="41"/>
        <v>45633</v>
      </c>
      <c r="AF89" s="55">
        <f t="shared" ca="1" si="42"/>
        <v>97.095040129396352</v>
      </c>
      <c r="AG89" s="55">
        <f t="shared" ca="1" si="43"/>
        <v>38.247609687137071</v>
      </c>
      <c r="AH89" s="55">
        <f t="shared" ca="1" si="44"/>
        <v>0</v>
      </c>
      <c r="AI89" s="55">
        <f t="shared" ca="1" si="38"/>
        <v>-2.7630945465666361</v>
      </c>
      <c r="AJ89" s="55">
        <f t="shared" ca="1" si="39"/>
        <v>62.779148390109569</v>
      </c>
      <c r="AK89" s="55">
        <f t="shared" ca="1" si="40"/>
        <v>43.720753167907894</v>
      </c>
    </row>
    <row r="90" spans="18:37">
      <c r="R90" s="83">
        <f ca="1"/>
        <v>45448</v>
      </c>
      <c r="S90" s="55">
        <f t="shared" ca="1" si="33"/>
        <v>45448</v>
      </c>
      <c r="T90" s="55">
        <f t="shared" ca="1" si="27"/>
        <v>131.23319031096815</v>
      </c>
      <c r="U90" s="55">
        <f t="shared" ca="1" si="28"/>
        <v>5.1470753658402408</v>
      </c>
      <c r="V90" s="55">
        <f t="shared" ca="1" si="29"/>
        <v>0</v>
      </c>
      <c r="W90" s="55">
        <f t="shared" ca="1" si="34"/>
        <v>-74.151004656557319</v>
      </c>
      <c r="X90" s="55">
        <f t="shared" ca="1" si="35"/>
        <v>65.3795190133212</v>
      </c>
      <c r="Y90" s="55">
        <f t="shared" ca="1" si="36"/>
        <v>43.261118601252271</v>
      </c>
      <c r="Z90">
        <f t="shared" ca="1" si="30"/>
        <v>120</v>
      </c>
      <c r="AA90">
        <f t="shared" ca="1" si="37"/>
        <v>116.67647721366822</v>
      </c>
      <c r="AB90">
        <f t="shared" ca="1" si="31"/>
        <v>0</v>
      </c>
      <c r="AC90">
        <f t="shared" ca="1" si="32"/>
        <v>0.54129217176002975</v>
      </c>
      <c r="AD90" s="83">
        <f ca="1"/>
        <v>45634</v>
      </c>
      <c r="AE90" s="55">
        <f t="shared" ca="1" si="41"/>
        <v>45634</v>
      </c>
      <c r="AF90" s="55">
        <f t="shared" ca="1" si="42"/>
        <v>96.013102615066586</v>
      </c>
      <c r="AG90" s="55">
        <f t="shared" ca="1" si="43"/>
        <v>40.26629469922652</v>
      </c>
      <c r="AH90" s="55">
        <f t="shared" ca="1" si="44"/>
        <v>0</v>
      </c>
      <c r="AI90" s="55">
        <f t="shared" ca="1" si="38"/>
        <v>-2.7630945465666361</v>
      </c>
      <c r="AJ90" s="55">
        <f t="shared" ca="1" si="39"/>
        <v>63.69125761695998</v>
      </c>
      <c r="AK90" s="55">
        <f t="shared" ca="1" si="40"/>
        <v>43.745391438817158</v>
      </c>
    </row>
    <row r="91" spans="18:37">
      <c r="R91" s="83">
        <f ca="1"/>
        <v>45449</v>
      </c>
      <c r="S91" s="55">
        <f t="shared" ca="1" si="33"/>
        <v>45449</v>
      </c>
      <c r="T91" s="55">
        <f t="shared" ca="1" si="27"/>
        <v>130.67443681304022</v>
      </c>
      <c r="U91" s="55">
        <f t="shared" ca="1" si="28"/>
        <v>5.3796307068134164</v>
      </c>
      <c r="V91" s="55">
        <f t="shared" ca="1" si="29"/>
        <v>0</v>
      </c>
      <c r="W91" s="55">
        <f t="shared" ca="1" si="34"/>
        <v>-75.194506318644059</v>
      </c>
      <c r="X91" s="55">
        <f t="shared" ca="1" si="35"/>
        <v>66.079261869328391</v>
      </c>
      <c r="Y91" s="55">
        <f t="shared" ca="1" si="36"/>
        <v>43.278679250377067</v>
      </c>
      <c r="Z91">
        <f t="shared" ca="1" si="30"/>
        <v>120</v>
      </c>
      <c r="AA91">
        <f t="shared" ca="1" si="37"/>
        <v>118.12647721366822</v>
      </c>
      <c r="AB91">
        <f t="shared" ca="1" si="31"/>
        <v>0</v>
      </c>
      <c r="AC91">
        <f t="shared" ca="1" si="32"/>
        <v>0.5886473161903798</v>
      </c>
      <c r="AD91" s="83">
        <f ca="1"/>
        <v>45635</v>
      </c>
      <c r="AE91" s="55">
        <f t="shared" ca="1" si="41"/>
        <v>45635</v>
      </c>
      <c r="AF91" s="55">
        <f t="shared" ca="1" si="42"/>
        <v>94.801766693781403</v>
      </c>
      <c r="AG91" s="55">
        <f t="shared" ca="1" si="43"/>
        <v>42.540184390144205</v>
      </c>
      <c r="AH91" s="55">
        <f t="shared" ca="1" si="44"/>
        <v>0</v>
      </c>
      <c r="AI91" s="55">
        <f t="shared" ca="1" si="38"/>
        <v>-2.7630945465666361</v>
      </c>
      <c r="AJ91" s="55">
        <f t="shared" ca="1" si="39"/>
        <v>64.729181432257207</v>
      </c>
      <c r="AK91" s="55">
        <f t="shared" ca="1" si="40"/>
        <v>43.770021393152426</v>
      </c>
    </row>
    <row r="92" spans="18:37">
      <c r="R92" s="83">
        <f ca="1"/>
        <v>45450</v>
      </c>
      <c r="S92" s="55">
        <f t="shared" ca="1" si="33"/>
        <v>45450</v>
      </c>
      <c r="T92" s="55">
        <f t="shared" ca="1" si="27"/>
        <v>130.64283279340145</v>
      </c>
      <c r="U92" s="55">
        <f t="shared" ca="1" si="28"/>
        <v>5.6018652388477124</v>
      </c>
      <c r="V92" s="55">
        <f t="shared" ca="1" si="29"/>
        <v>0</v>
      </c>
      <c r="W92" s="55">
        <f t="shared" ca="1" si="34"/>
        <v>-75.662169792556668</v>
      </c>
      <c r="X92" s="55">
        <f t="shared" ca="1" si="35"/>
        <v>66.721682574456352</v>
      </c>
      <c r="Y92" s="55">
        <f t="shared" ca="1" si="36"/>
        <v>43.294552531557244</v>
      </c>
      <c r="Z92">
        <f t="shared" ca="1" si="30"/>
        <v>120</v>
      </c>
      <c r="AA92">
        <f t="shared" ca="1" si="37"/>
        <v>118.77647721366823</v>
      </c>
      <c r="AB92">
        <f t="shared" ca="1" si="31"/>
        <v>0</v>
      </c>
      <c r="AC92">
        <f t="shared" ca="1" si="32"/>
        <v>0.62930045210831753</v>
      </c>
      <c r="AD92" s="83">
        <f ca="1"/>
        <v>45636</v>
      </c>
      <c r="AE92" s="55">
        <f t="shared" ca="1" si="41"/>
        <v>45636</v>
      </c>
      <c r="AF92" s="55">
        <f t="shared" ca="1" si="42"/>
        <v>93.354347271534351</v>
      </c>
      <c r="AG92" s="55">
        <f t="shared" ca="1" si="43"/>
        <v>45.096188335953102</v>
      </c>
      <c r="AH92" s="55">
        <f t="shared" ca="1" si="44"/>
        <v>0</v>
      </c>
      <c r="AI92" s="55">
        <f t="shared" ca="1" si="38"/>
        <v>-2.7630945465666361</v>
      </c>
      <c r="AJ92" s="55">
        <f t="shared" ca="1" si="39"/>
        <v>65.813164993204836</v>
      </c>
      <c r="AK92" s="55">
        <f t="shared" ca="1" si="40"/>
        <v>43.794622355766641</v>
      </c>
    </row>
    <row r="93" spans="18:37">
      <c r="R93" s="83">
        <f ca="1"/>
        <v>45451</v>
      </c>
      <c r="S93" s="55">
        <f t="shared" ca="1" si="33"/>
        <v>45451</v>
      </c>
      <c r="T93" s="55">
        <f t="shared" ca="1" si="27"/>
        <v>130.633624527839</v>
      </c>
      <c r="U93" s="55">
        <f t="shared" ca="1" si="28"/>
        <v>5.8306148756241338</v>
      </c>
      <c r="V93" s="55">
        <f t="shared" ca="1" si="29"/>
        <v>0</v>
      </c>
      <c r="W93" s="55">
        <f t="shared" ca="1" si="34"/>
        <v>-76.09382872577909</v>
      </c>
      <c r="X93" s="55">
        <f t="shared" ca="1" si="35"/>
        <v>67.357713788167217</v>
      </c>
      <c r="Y93" s="55">
        <f t="shared" ca="1" si="36"/>
        <v>43.309721622282765</v>
      </c>
      <c r="Z93">
        <f t="shared" ca="1" si="30"/>
        <v>120</v>
      </c>
      <c r="AA93">
        <f t="shared" ca="1" si="37"/>
        <v>119.37647721366822</v>
      </c>
      <c r="AB93">
        <f t="shared" ca="1" si="31"/>
        <v>0</v>
      </c>
      <c r="AC93">
        <f t="shared" ca="1" si="32"/>
        <v>0.666376207992604</v>
      </c>
      <c r="AD93" s="83">
        <f ca="1"/>
        <v>45637</v>
      </c>
      <c r="AE93" s="55">
        <f t="shared" ca="1" si="41"/>
        <v>45637</v>
      </c>
      <c r="AF93" s="55">
        <f t="shared" ca="1" si="42"/>
        <v>91.822577043793785</v>
      </c>
      <c r="AG93" s="55">
        <f t="shared" ca="1" si="43"/>
        <v>47.669363299434494</v>
      </c>
      <c r="AH93" s="55">
        <f t="shared" ca="1" si="44"/>
        <v>0</v>
      </c>
      <c r="AI93" s="55">
        <f t="shared" ca="1" si="38"/>
        <v>-2.7630945465666361</v>
      </c>
      <c r="AJ93" s="55">
        <f t="shared" ca="1" si="39"/>
        <v>66.83213352988183</v>
      </c>
      <c r="AK93" s="55">
        <f t="shared" ca="1" si="40"/>
        <v>43.817058554830474</v>
      </c>
    </row>
    <row r="94" spans="18:37">
      <c r="R94" s="83">
        <f ca="1"/>
        <v>45452</v>
      </c>
      <c r="S94" s="55">
        <f t="shared" ca="1" si="33"/>
        <v>45452</v>
      </c>
      <c r="T94" s="55">
        <f t="shared" ca="1" si="27"/>
        <v>128.23137913973534</v>
      </c>
      <c r="U94" s="55">
        <f t="shared" ca="1" si="28"/>
        <v>6.1046275550454085</v>
      </c>
      <c r="V94" s="55">
        <f t="shared" ca="1" si="29"/>
        <v>0</v>
      </c>
      <c r="W94" s="55">
        <f t="shared" ca="1" si="34"/>
        <v>-78.968070044293796</v>
      </c>
      <c r="X94" s="55">
        <f t="shared" ca="1" si="35"/>
        <v>68.087640439160637</v>
      </c>
      <c r="Y94" s="55">
        <f t="shared" ca="1" si="36"/>
        <v>43.325803581121633</v>
      </c>
      <c r="Z94">
        <f t="shared" ca="1" si="30"/>
        <v>120</v>
      </c>
      <c r="AA94">
        <f t="shared" ca="1" si="37"/>
        <v>123.44647721366822</v>
      </c>
      <c r="AB94">
        <f t="shared" ca="1" si="31"/>
        <v>0</v>
      </c>
      <c r="AC94">
        <f t="shared" ca="1" si="32"/>
        <v>0.70467559893098375</v>
      </c>
      <c r="AD94" s="83">
        <f ca="1"/>
        <v>45638</v>
      </c>
      <c r="AE94" s="55">
        <f t="shared" ca="1" si="41"/>
        <v>45638</v>
      </c>
      <c r="AF94" s="55">
        <f t="shared" ca="1" si="42"/>
        <v>90.136243134076722</v>
      </c>
      <c r="AG94" s="55">
        <f t="shared" ca="1" si="43"/>
        <v>50.341566647708881</v>
      </c>
      <c r="AH94" s="55">
        <f t="shared" ca="1" si="44"/>
        <v>0</v>
      </c>
      <c r="AI94" s="55">
        <f t="shared" ca="1" si="38"/>
        <v>-2.7630945465666361</v>
      </c>
      <c r="AJ94" s="55">
        <f t="shared" ca="1" si="39"/>
        <v>67.796872699571551</v>
      </c>
      <c r="AK94" s="55">
        <f t="shared" ca="1" si="40"/>
        <v>43.838188823698083</v>
      </c>
    </row>
    <row r="95" spans="18:37">
      <c r="R95" s="83">
        <f ca="1"/>
        <v>45453</v>
      </c>
      <c r="S95" s="55">
        <f t="shared" ca="1" si="33"/>
        <v>45453</v>
      </c>
      <c r="T95" s="55">
        <f t="shared" ca="1" si="27"/>
        <v>124.32197758332687</v>
      </c>
      <c r="U95" s="55">
        <f t="shared" ca="1" si="28"/>
        <v>6.3911987694329415</v>
      </c>
      <c r="V95" s="55">
        <f t="shared" ca="1" si="29"/>
        <v>0</v>
      </c>
      <c r="W95" s="55">
        <f t="shared" ca="1" si="34"/>
        <v>-83.336275876946232</v>
      </c>
      <c r="X95" s="55">
        <f t="shared" ca="1" si="35"/>
        <v>68.817567090154057</v>
      </c>
      <c r="Y95" s="55">
        <f t="shared" ca="1" si="36"/>
        <v>43.341252420759695</v>
      </c>
      <c r="Z95">
        <f t="shared" ca="1" si="30"/>
        <v>120</v>
      </c>
      <c r="AA95">
        <f t="shared" ca="1" si="37"/>
        <v>129.82647721366823</v>
      </c>
      <c r="AB95">
        <f t="shared" ca="1" si="31"/>
        <v>0</v>
      </c>
      <c r="AC95">
        <f t="shared" ca="1" si="32"/>
        <v>0.73822063372171887</v>
      </c>
      <c r="AD95" s="83">
        <f ca="1"/>
        <v>45639</v>
      </c>
      <c r="AE95" s="55">
        <f t="shared" ca="1" si="41"/>
        <v>45639</v>
      </c>
      <c r="AF95" s="55">
        <f t="shared" ca="1" si="42"/>
        <v>88.396506551353781</v>
      </c>
      <c r="AG95" s="55">
        <f t="shared" ca="1" si="43"/>
        <v>52.975514636679904</v>
      </c>
      <c r="AH95" s="55">
        <f t="shared" ca="1" si="44"/>
        <v>0</v>
      </c>
      <c r="AI95" s="55">
        <f t="shared" ca="1" si="38"/>
        <v>-2.7630945465666361</v>
      </c>
      <c r="AJ95" s="55">
        <f t="shared" ca="1" si="39"/>
        <v>68.671883286753214</v>
      </c>
      <c r="AK95" s="55">
        <f t="shared" ca="1" si="40"/>
        <v>43.857389642764495</v>
      </c>
    </row>
    <row r="96" spans="18:37">
      <c r="R96" s="83">
        <f ca="1"/>
        <v>45454</v>
      </c>
      <c r="S96" s="55">
        <f t="shared" ca="1" si="33"/>
        <v>45454</v>
      </c>
      <c r="T96" s="55">
        <f t="shared" ca="1" si="27"/>
        <v>124.80879082254991</v>
      </c>
      <c r="U96" s="55">
        <f t="shared" ca="1" si="28"/>
        <v>6.7173490378454055</v>
      </c>
      <c r="V96" s="55">
        <f t="shared" ca="1" si="29"/>
        <v>0</v>
      </c>
      <c r="W96" s="55">
        <f t="shared" ca="1" si="34"/>
        <v>-83.336275876946232</v>
      </c>
      <c r="X96" s="55">
        <f t="shared" ca="1" si="35"/>
        <v>69.614693499589649</v>
      </c>
      <c r="Y96" s="55">
        <f t="shared" ca="1" si="36"/>
        <v>43.357089518959611</v>
      </c>
      <c r="Z96">
        <f t="shared" ca="1" si="30"/>
        <v>119.98260869565216</v>
      </c>
      <c r="AA96">
        <f t="shared" ca="1" si="37"/>
        <v>129.82647721366823</v>
      </c>
      <c r="AB96">
        <f t="shared" ca="1" si="31"/>
        <v>0</v>
      </c>
      <c r="AC96">
        <f t="shared" ca="1" si="32"/>
        <v>0.76936999787984583</v>
      </c>
      <c r="AD96" s="83">
        <f ca="1"/>
        <v>45640</v>
      </c>
      <c r="AE96" s="55">
        <f t="shared" ca="1" si="41"/>
        <v>45640</v>
      </c>
      <c r="AF96" s="55">
        <f t="shared" ca="1" si="42"/>
        <v>86.630406533692394</v>
      </c>
      <c r="AG96" s="55">
        <f t="shared" ca="1" si="43"/>
        <v>55.615647234686847</v>
      </c>
      <c r="AH96" s="55">
        <f t="shared" ca="1" si="44"/>
        <v>0</v>
      </c>
      <c r="AI96" s="55">
        <f t="shared" ca="1" si="38"/>
        <v>-2.7630945465666361</v>
      </c>
      <c r="AJ96" s="55">
        <f t="shared" ca="1" si="39"/>
        <v>69.528092351063535</v>
      </c>
      <c r="AK96" s="55">
        <f t="shared" ca="1" si="40"/>
        <v>43.875213158799731</v>
      </c>
    </row>
    <row r="97" spans="18:37">
      <c r="R97" s="83">
        <f ca="1"/>
        <v>45455</v>
      </c>
      <c r="S97" s="55">
        <f t="shared" ca="1" si="33"/>
        <v>45455</v>
      </c>
      <c r="T97" s="55">
        <f t="shared" ca="1" si="27"/>
        <v>122.15429720721173</v>
      </c>
      <c r="U97" s="55">
        <f t="shared" ca="1" si="28"/>
        <v>7.0198121246260294</v>
      </c>
      <c r="V97" s="55">
        <f t="shared" ca="1" si="29"/>
        <v>0</v>
      </c>
      <c r="W97" s="55">
        <f t="shared" ca="1" si="34"/>
        <v>-86.40395721578561</v>
      </c>
      <c r="X97" s="55">
        <f t="shared" ca="1" si="35"/>
        <v>70.3164687561287</v>
      </c>
      <c r="Y97" s="55">
        <f t="shared" ca="1" si="36"/>
        <v>43.370965072702383</v>
      </c>
      <c r="Z97">
        <f t="shared" ca="1" si="30"/>
        <v>120</v>
      </c>
      <c r="AA97">
        <f t="shared" ca="1" si="37"/>
        <v>134.38649975158444</v>
      </c>
      <c r="AB97">
        <f t="shared" ca="1" si="31"/>
        <v>0</v>
      </c>
      <c r="AC97">
        <f t="shared" ca="1" si="32"/>
        <v>0.79265117076365299</v>
      </c>
      <c r="AD97" s="83">
        <f ca="1"/>
        <v>45641</v>
      </c>
      <c r="AE97" s="55">
        <f t="shared" ca="1" si="41"/>
        <v>45641</v>
      </c>
      <c r="AF97" s="55">
        <f t="shared" ca="1" si="42"/>
        <v>84.517702323542537</v>
      </c>
      <c r="AG97" s="55">
        <f t="shared" ca="1" si="43"/>
        <v>58.632738021661069</v>
      </c>
      <c r="AH97" s="55">
        <f t="shared" ca="1" si="44"/>
        <v>0</v>
      </c>
      <c r="AI97" s="55">
        <f t="shared" ca="1" si="38"/>
        <v>-2.7630945465666361</v>
      </c>
      <c r="AJ97" s="55">
        <f t="shared" ca="1" si="39"/>
        <v>70.414149219801999</v>
      </c>
      <c r="AK97" s="55">
        <f t="shared" ca="1" si="40"/>
        <v>43.893542866885632</v>
      </c>
    </row>
    <row r="98" spans="18:37">
      <c r="R98" s="83">
        <f ca="1"/>
        <v>45456</v>
      </c>
      <c r="S98" s="55">
        <f t="shared" ca="1" si="33"/>
        <v>45456</v>
      </c>
      <c r="T98" s="55">
        <f t="shared" ca="1" si="27"/>
        <v>122.46616965183662</v>
      </c>
      <c r="U98" s="55">
        <f t="shared" ca="1" si="28"/>
        <v>7.3244467296924292</v>
      </c>
      <c r="V98" s="55">
        <f t="shared" ca="1" si="29"/>
        <v>0</v>
      </c>
      <c r="W98" s="55">
        <f t="shared" ca="1" si="34"/>
        <v>-86.478146866386282</v>
      </c>
      <c r="X98" s="55">
        <f t="shared" ca="1" si="35"/>
        <v>70.994101336952411</v>
      </c>
      <c r="Y98" s="55">
        <f t="shared" ca="1" si="36"/>
        <v>43.38402919217063</v>
      </c>
      <c r="Z98">
        <f t="shared" ca="1" si="30"/>
        <v>120</v>
      </c>
      <c r="AA98">
        <f t="shared" ca="1" si="37"/>
        <v>134.49649975158445</v>
      </c>
      <c r="AB98">
        <f t="shared" ca="1" si="31"/>
        <v>0</v>
      </c>
      <c r="AC98">
        <f t="shared" ca="1" si="32"/>
        <v>0.81163995041821002</v>
      </c>
      <c r="AD98" s="83">
        <f ca="1"/>
        <v>45642</v>
      </c>
      <c r="AE98" s="55">
        <f t="shared" ca="1" si="41"/>
        <v>45642</v>
      </c>
      <c r="AF98" s="55">
        <f t="shared" ca="1" si="42"/>
        <v>82.276439308373682</v>
      </c>
      <c r="AG98" s="55">
        <f t="shared" ca="1" si="43"/>
        <v>61.785125078720895</v>
      </c>
      <c r="AH98" s="55">
        <f t="shared" ca="1" si="44"/>
        <v>0</v>
      </c>
      <c r="AI98" s="55">
        <f t="shared" ca="1" si="38"/>
        <v>-2.7630945465666361</v>
      </c>
      <c r="AJ98" s="55">
        <f t="shared" ca="1" si="39"/>
        <v>71.307697871114627</v>
      </c>
      <c r="AK98" s="55">
        <f t="shared" ca="1" si="40"/>
        <v>43.911118257463976</v>
      </c>
    </row>
    <row r="99" spans="18:37">
      <c r="R99" s="83">
        <f ca="1"/>
        <v>45457</v>
      </c>
      <c r="S99" s="55">
        <f t="shared" ca="1" si="33"/>
        <v>45457</v>
      </c>
      <c r="T99" s="55">
        <f t="shared" ca="1" si="27"/>
        <v>121.93641891425023</v>
      </c>
      <c r="U99" s="55">
        <f t="shared" ca="1" si="28"/>
        <v>7.6067995069991863</v>
      </c>
      <c r="V99" s="55">
        <f t="shared" ca="1" si="29"/>
        <v>0</v>
      </c>
      <c r="W99" s="55">
        <f t="shared" ca="1" si="34"/>
        <v>-87.344425599020553</v>
      </c>
      <c r="X99" s="55">
        <f t="shared" ca="1" si="35"/>
        <v>71.601265642079298</v>
      </c>
      <c r="Y99" s="55">
        <f t="shared" ca="1" si="36"/>
        <v>43.395745659398372</v>
      </c>
      <c r="Z99">
        <f t="shared" ca="1" si="30"/>
        <v>120</v>
      </c>
      <c r="AA99">
        <f t="shared" ca="1" si="37"/>
        <v>135.78649975158444</v>
      </c>
      <c r="AB99">
        <f t="shared" ca="1" si="31"/>
        <v>0</v>
      </c>
      <c r="AC99">
        <f t="shared" ca="1" si="32"/>
        <v>0.82598204094056971</v>
      </c>
      <c r="AD99" s="83">
        <f ca="1"/>
        <v>45643</v>
      </c>
      <c r="AE99" s="55">
        <f t="shared" ca="1" si="41"/>
        <v>45643</v>
      </c>
      <c r="AF99" s="55">
        <f t="shared" ca="1" si="42"/>
        <v>79.766721379077268</v>
      </c>
      <c r="AG99" s="55">
        <f t="shared" ca="1" si="43"/>
        <v>65.195798559314056</v>
      </c>
      <c r="AH99" s="55">
        <f t="shared" ca="1" si="44"/>
        <v>0</v>
      </c>
      <c r="AI99" s="55">
        <f t="shared" ca="1" si="38"/>
        <v>-2.7630945465666361</v>
      </c>
      <c r="AJ99" s="55">
        <f t="shared" ca="1" si="39"/>
        <v>72.191275401223123</v>
      </c>
      <c r="AK99" s="55">
        <f t="shared" ca="1" si="40"/>
        <v>43.928496278652226</v>
      </c>
    </row>
    <row r="100" spans="18:37">
      <c r="R100" s="83">
        <f ca="1"/>
        <v>45458</v>
      </c>
      <c r="S100" s="55">
        <f t="shared" ca="1" si="33"/>
        <v>45458</v>
      </c>
      <c r="T100" s="55">
        <f t="shared" ca="1" si="27"/>
        <v>121.07673822136299</v>
      </c>
      <c r="U100" s="55">
        <f t="shared" ca="1" si="28"/>
        <v>7.9361204901417359</v>
      </c>
      <c r="V100" s="55">
        <f t="shared" ca="1" si="29"/>
        <v>0</v>
      </c>
      <c r="W100" s="55">
        <f t="shared" ca="1" si="34"/>
        <v>-88.564668552051501</v>
      </c>
      <c r="X100" s="55">
        <f t="shared" ca="1" si="35"/>
        <v>72.27889822290301</v>
      </c>
      <c r="Y100" s="55">
        <f t="shared" ca="1" si="36"/>
        <v>43.407996321860928</v>
      </c>
      <c r="Z100">
        <f t="shared" ca="1" si="30"/>
        <v>120</v>
      </c>
      <c r="AA100">
        <f t="shared" ca="1" si="37"/>
        <v>137.61649975158446</v>
      </c>
      <c r="AB100">
        <f t="shared" ca="1" si="31"/>
        <v>0</v>
      </c>
      <c r="AC100">
        <f t="shared" ca="1" si="32"/>
        <v>0.83952479400529223</v>
      </c>
      <c r="AD100" s="83">
        <f ca="1"/>
        <v>45644</v>
      </c>
      <c r="AE100" s="55">
        <f t="shared" ca="1" si="41"/>
        <v>45644</v>
      </c>
      <c r="AF100" s="55">
        <f t="shared" ca="1" si="42"/>
        <v>77.273626202713814</v>
      </c>
      <c r="AG100" s="55">
        <f t="shared" ca="1" si="43"/>
        <v>68.620587355317127</v>
      </c>
      <c r="AH100" s="55">
        <f t="shared" ca="1" si="44"/>
        <v>0</v>
      </c>
      <c r="AI100" s="55">
        <f t="shared" ca="1" si="38"/>
        <v>-2.7630945465666361</v>
      </c>
      <c r="AJ100" s="55">
        <f t="shared" ca="1" si="39"/>
        <v>73.106767311822836</v>
      </c>
      <c r="AK100" s="55">
        <f t="shared" ca="1" si="40"/>
        <v>43.94469798769213</v>
      </c>
    </row>
    <row r="101" spans="18:37">
      <c r="R101" s="83">
        <f ca="1"/>
        <v>45459</v>
      </c>
      <c r="S101" s="55">
        <f t="shared" ca="1" si="33"/>
        <v>45459</v>
      </c>
      <c r="T101" s="55">
        <f t="shared" ca="1" si="27"/>
        <v>120.3592102077132</v>
      </c>
      <c r="U101" s="55">
        <f t="shared" ca="1" si="28"/>
        <v>8.2826960144329878</v>
      </c>
      <c r="V101" s="55">
        <f t="shared" ca="1" si="29"/>
        <v>0</v>
      </c>
      <c r="W101" s="55">
        <f t="shared" ca="1" si="34"/>
        <v>-89.631853549226562</v>
      </c>
      <c r="X101" s="55">
        <f t="shared" ca="1" si="35"/>
        <v>72.963183301532112</v>
      </c>
      <c r="Y101" s="55">
        <f t="shared" ca="1" si="36"/>
        <v>43.419943751048351</v>
      </c>
      <c r="Z101">
        <f t="shared" ca="1" si="30"/>
        <v>120</v>
      </c>
      <c r="AA101">
        <f t="shared" ca="1" si="37"/>
        <v>139.22649975158447</v>
      </c>
      <c r="AB101">
        <f t="shared" ca="1" si="31"/>
        <v>0</v>
      </c>
      <c r="AC101">
        <f t="shared" ca="1" si="32"/>
        <v>0.85083773936306528</v>
      </c>
      <c r="AD101" s="83">
        <f ca="1"/>
        <v>45645</v>
      </c>
      <c r="AE101" s="55">
        <f t="shared" ca="1" si="41"/>
        <v>45645</v>
      </c>
      <c r="AF101" s="55">
        <f t="shared" ca="1" si="42"/>
        <v>74.831030092241818</v>
      </c>
      <c r="AG101" s="55">
        <f t="shared" ca="1" si="43"/>
        <v>71.94925513710244</v>
      </c>
      <c r="AH101" s="55">
        <f t="shared" ca="1" si="44"/>
        <v>0</v>
      </c>
      <c r="AI101" s="55">
        <f t="shared" ca="1" si="38"/>
        <v>-2.7630945465666361</v>
      </c>
      <c r="AJ101" s="55">
        <f t="shared" ca="1" si="39"/>
        <v>73.978002746190583</v>
      </c>
      <c r="AK101" s="55">
        <f t="shared" ca="1" si="40"/>
        <v>43.9595342246377</v>
      </c>
    </row>
    <row r="102" spans="18:37">
      <c r="R102" s="83">
        <f ca="1"/>
        <v>45460</v>
      </c>
      <c r="S102" s="55">
        <f t="shared" ca="1" si="33"/>
        <v>45460</v>
      </c>
      <c r="T102" s="55">
        <f t="shared" ca="1" si="27"/>
        <v>117.61985962486371</v>
      </c>
      <c r="U102" s="55">
        <f t="shared" ca="1" si="28"/>
        <v>8.6471400291811786</v>
      </c>
      <c r="V102" s="55">
        <f t="shared" ca="1" si="29"/>
        <v>0</v>
      </c>
      <c r="W102" s="55">
        <f t="shared" ca="1" si="34"/>
        <v>-92.70872089158712</v>
      </c>
      <c r="X102" s="55">
        <f t="shared" ca="1" si="35"/>
        <v>73.653490980477116</v>
      </c>
      <c r="Y102" s="55">
        <f t="shared" ca="1" si="36"/>
        <v>43.431596846362595</v>
      </c>
      <c r="Z102">
        <f t="shared" ca="1" si="30"/>
        <v>120</v>
      </c>
      <c r="AA102">
        <f t="shared" ca="1" si="37"/>
        <v>143.97649975158447</v>
      </c>
      <c r="AB102">
        <f t="shared" ca="1" si="31"/>
        <v>0</v>
      </c>
      <c r="AC102">
        <f t="shared" ca="1" si="32"/>
        <v>0.86020873321205304</v>
      </c>
      <c r="AD102" s="83">
        <f ca="1"/>
        <v>45646</v>
      </c>
      <c r="AE102" s="55">
        <f t="shared" ca="1" si="41"/>
        <v>45646</v>
      </c>
      <c r="AF102" s="55">
        <f t="shared" ca="1" si="42"/>
        <v>72.186287900491692</v>
      </c>
      <c r="AG102" s="55">
        <f t="shared" ca="1" si="43"/>
        <v>75.442458329502131</v>
      </c>
      <c r="AH102" s="55">
        <f t="shared" ca="1" si="44"/>
        <v>0</v>
      </c>
      <c r="AI102" s="55">
        <f t="shared" ca="1" si="38"/>
        <v>-2.7630945465666361</v>
      </c>
      <c r="AJ102" s="55">
        <f t="shared" ca="1" si="39"/>
        <v>74.811976281928708</v>
      </c>
      <c r="AK102" s="55">
        <f t="shared" ca="1" si="40"/>
        <v>43.97402168954914</v>
      </c>
    </row>
    <row r="103" spans="18:37">
      <c r="R103" s="83">
        <f ca="1"/>
        <v>45461</v>
      </c>
      <c r="S103" s="55">
        <f t="shared" ca="1" si="33"/>
        <v>45461</v>
      </c>
      <c r="T103" s="55">
        <f t="shared" ca="1" si="27"/>
        <v>111.12271189034915</v>
      </c>
      <c r="U103" s="55">
        <f t="shared" ca="1" si="28"/>
        <v>9.0402167068605159</v>
      </c>
      <c r="V103" s="55">
        <f t="shared" ca="1" si="29"/>
        <v>0</v>
      </c>
      <c r="W103" s="55">
        <f t="shared" ca="1" si="34"/>
        <v>-99.538419392813097</v>
      </c>
      <c r="X103" s="55">
        <f t="shared" ca="1" si="35"/>
        <v>74.367539176557685</v>
      </c>
      <c r="Y103" s="55">
        <f t="shared" ca="1" si="36"/>
        <v>43.443176094672786</v>
      </c>
      <c r="Z103">
        <f t="shared" ca="1" si="30"/>
        <v>120</v>
      </c>
      <c r="AA103">
        <f t="shared" ca="1" si="37"/>
        <v>155.13649975158447</v>
      </c>
      <c r="AB103">
        <f t="shared" ca="1" si="31"/>
        <v>0</v>
      </c>
      <c r="AC103">
        <f t="shared" ca="1" si="32"/>
        <v>0.8680939343032652</v>
      </c>
      <c r="AD103" s="83">
        <f ca="1"/>
        <v>45647</v>
      </c>
      <c r="AE103" s="55">
        <f t="shared" ca="1" si="41"/>
        <v>45647</v>
      </c>
      <c r="AF103" s="55">
        <f t="shared" ca="1" si="42"/>
        <v>69.347210937376019</v>
      </c>
      <c r="AG103" s="55">
        <f t="shared" ca="1" si="43"/>
        <v>79.089130485768436</v>
      </c>
      <c r="AH103" s="55">
        <f t="shared" ca="1" si="44"/>
        <v>0</v>
      </c>
      <c r="AI103" s="55">
        <f t="shared" ca="1" si="38"/>
        <v>-2.7630945465666361</v>
      </c>
      <c r="AJ103" s="55">
        <f t="shared" ca="1" si="39"/>
        <v>75.605452830128854</v>
      </c>
      <c r="AK103" s="55">
        <f t="shared" ca="1" si="40"/>
        <v>43.988140334499626</v>
      </c>
    </row>
    <row r="104" spans="18:37">
      <c r="R104" s="83">
        <f ca="1"/>
        <v>45462</v>
      </c>
      <c r="S104" s="55">
        <f t="shared" ca="1" si="33"/>
        <v>45462</v>
      </c>
      <c r="T104" s="55">
        <f t="shared" ca="1" si="27"/>
        <v>106.62688119326918</v>
      </c>
      <c r="U104" s="55">
        <f t="shared" ca="1" si="28"/>
        <v>9.4485364632527418</v>
      </c>
      <c r="V104" s="55">
        <f t="shared" ca="1" si="29"/>
        <v>0</v>
      </c>
      <c r="W104" s="55">
        <f t="shared" ca="1" si="34"/>
        <v>-104.34775532976516</v>
      </c>
      <c r="X104" s="55">
        <f t="shared" ca="1" si="35"/>
        <v>75.078164706703092</v>
      </c>
      <c r="Y104" s="55">
        <f t="shared" ca="1" si="36"/>
        <v>43.454375560791711</v>
      </c>
      <c r="Z104">
        <f t="shared" ca="1" si="30"/>
        <v>120</v>
      </c>
      <c r="AA104">
        <f t="shared" ca="1" si="37"/>
        <v>163.32649975158446</v>
      </c>
      <c r="AB104">
        <f t="shared" ca="1" si="31"/>
        <v>0</v>
      </c>
      <c r="AC104">
        <f t="shared" ca="1" si="32"/>
        <v>0.87443620601114624</v>
      </c>
      <c r="AD104" s="83">
        <f ca="1"/>
        <v>45648</v>
      </c>
      <c r="AE104" s="55">
        <f t="shared" ca="1" si="41"/>
        <v>45648</v>
      </c>
      <c r="AF104" s="55">
        <f t="shared" ca="1" si="42"/>
        <v>66.138388118168052</v>
      </c>
      <c r="AG104" s="55">
        <f t="shared" ca="1" si="43"/>
        <v>83.100026533332866</v>
      </c>
      <c r="AH104" s="55">
        <f t="shared" ca="1" si="44"/>
        <v>0</v>
      </c>
      <c r="AI104" s="55">
        <f t="shared" ca="1" si="38"/>
        <v>-2.7630945465666361</v>
      </c>
      <c r="AJ104" s="55">
        <f t="shared" ca="1" si="39"/>
        <v>76.39317011663276</v>
      </c>
      <c r="AK104" s="55">
        <f t="shared" ca="1" si="40"/>
        <v>44.002496276352183</v>
      </c>
    </row>
    <row r="105" spans="18:37">
      <c r="R105" s="83">
        <f ca="1"/>
        <v>45463</v>
      </c>
      <c r="S105" s="55">
        <f t="shared" ca="1" si="33"/>
        <v>45463</v>
      </c>
      <c r="T105" s="55">
        <f t="shared" ca="1" si="27"/>
        <v>106.32091690651625</v>
      </c>
      <c r="U105" s="55">
        <f t="shared" ca="1" si="28"/>
        <v>9.8504381447966427</v>
      </c>
      <c r="V105" s="55">
        <f t="shared" ca="1" si="29"/>
        <v>0</v>
      </c>
      <c r="W105" s="55">
        <f t="shared" ca="1" si="34"/>
        <v>-104.93329081417787</v>
      </c>
      <c r="X105" s="55">
        <f t="shared" ca="1" si="35"/>
        <v>75.749186072214286</v>
      </c>
      <c r="Y105" s="55">
        <f t="shared" ca="1" si="36"/>
        <v>43.464827074484184</v>
      </c>
      <c r="Z105">
        <f t="shared" ca="1" si="30"/>
        <v>120</v>
      </c>
      <c r="AA105">
        <f t="shared" ca="1" si="37"/>
        <v>164.32649975158446</v>
      </c>
      <c r="AB105">
        <f t="shared" ca="1" si="31"/>
        <v>0</v>
      </c>
      <c r="AC105">
        <f t="shared" ca="1" si="32"/>
        <v>0.87929174240146379</v>
      </c>
      <c r="AD105" s="83">
        <f ca="1"/>
        <v>45649</v>
      </c>
      <c r="AE105" s="55">
        <f t="shared" ca="1" si="41"/>
        <v>45649</v>
      </c>
      <c r="AF105" s="55">
        <f t="shared" ca="1" si="42"/>
        <v>62.769676331148872</v>
      </c>
      <c r="AG105" s="55">
        <f t="shared" ca="1" si="43"/>
        <v>87.282514480010306</v>
      </c>
      <c r="AH105" s="55">
        <f t="shared" ca="1" si="44"/>
        <v>0</v>
      </c>
      <c r="AI105" s="55">
        <f t="shared" ca="1" si="38"/>
        <v>-2.7630945465666361</v>
      </c>
      <c r="AJ105" s="55">
        <f t="shared" ca="1" si="39"/>
        <v>77.192940990928832</v>
      </c>
      <c r="AK105" s="55">
        <f t="shared" ca="1" si="40"/>
        <v>44.016501561714371</v>
      </c>
    </row>
    <row r="106" spans="18:37">
      <c r="R106" s="83">
        <f ca="1"/>
        <v>45464</v>
      </c>
      <c r="S106" s="55">
        <f t="shared" ca="1" si="33"/>
        <v>45464</v>
      </c>
      <c r="T106" s="55">
        <f t="shared" ca="1" si="27"/>
        <v>105.94208140838737</v>
      </c>
      <c r="U106" s="55">
        <f t="shared" ca="1" si="28"/>
        <v>10.223744072379606</v>
      </c>
      <c r="V106" s="55">
        <f t="shared" ca="1" si="29"/>
        <v>0</v>
      </c>
      <c r="W106" s="55">
        <f t="shared" ca="1" si="34"/>
        <v>-105.55174690680538</v>
      </c>
      <c r="X106" s="55">
        <f t="shared" ca="1" si="35"/>
        <v>76.352648442901923</v>
      </c>
      <c r="Y106" s="55">
        <f t="shared" ca="1" si="36"/>
        <v>43.474291225878147</v>
      </c>
      <c r="Z106">
        <f t="shared" ca="1" si="30"/>
        <v>120</v>
      </c>
      <c r="AA106">
        <f t="shared" ca="1" si="37"/>
        <v>165.38649975158444</v>
      </c>
      <c r="AB106">
        <f t="shared" ca="1" si="31"/>
        <v>0</v>
      </c>
      <c r="AC106">
        <f t="shared" ca="1" si="32"/>
        <v>0.88286281867632421</v>
      </c>
      <c r="AD106" s="83">
        <f ca="1"/>
        <v>45650</v>
      </c>
      <c r="AE106" s="55">
        <f t="shared" ca="1" si="41"/>
        <v>45650</v>
      </c>
      <c r="AF106" s="55">
        <f t="shared" ca="1" si="42"/>
        <v>59.104003079783944</v>
      </c>
      <c r="AG106" s="55">
        <f t="shared" ca="1" si="43"/>
        <v>91.810052687614018</v>
      </c>
      <c r="AH106" s="55">
        <f t="shared" ca="1" si="44"/>
        <v>0</v>
      </c>
      <c r="AI106" s="55">
        <f t="shared" ca="1" si="38"/>
        <v>-2.7630945465666361</v>
      </c>
      <c r="AJ106" s="55">
        <f t="shared" ca="1" si="39"/>
        <v>78.040685563825022</v>
      </c>
      <c r="AK106" s="55">
        <f t="shared" ca="1" si="40"/>
        <v>44.030621945056957</v>
      </c>
    </row>
    <row r="107" spans="18:37">
      <c r="R107" s="83">
        <f ca="1"/>
        <v>45465</v>
      </c>
      <c r="S107" s="55">
        <f t="shared" ca="1" si="33"/>
        <v>45465</v>
      </c>
      <c r="T107" s="55">
        <f t="shared" ca="1" si="27"/>
        <v>104.90361268768542</v>
      </c>
      <c r="U107" s="55">
        <f t="shared" ca="1" si="28"/>
        <v>10.612801855510913</v>
      </c>
      <c r="V107" s="55">
        <f t="shared" ca="1" si="29"/>
        <v>0</v>
      </c>
      <c r="W107" s="55">
        <f t="shared" ca="1" si="34"/>
        <v>-106.81697569635163</v>
      </c>
      <c r="X107" s="55">
        <f t="shared" ca="1" si="35"/>
        <v>76.959194747292642</v>
      </c>
      <c r="Y107" s="55">
        <f t="shared" ca="1" si="36"/>
        <v>43.483562773463049</v>
      </c>
      <c r="Z107">
        <f t="shared" ca="1" si="30"/>
        <v>120</v>
      </c>
      <c r="AA107">
        <f t="shared" ca="1" si="37"/>
        <v>167.57649975158444</v>
      </c>
      <c r="AB107">
        <f t="shared" ca="1" si="31"/>
        <v>0</v>
      </c>
      <c r="AC107">
        <f t="shared" ca="1" si="32"/>
        <v>0.88584302367368217</v>
      </c>
      <c r="AD107" s="83">
        <f ca="1"/>
        <v>45651</v>
      </c>
      <c r="AE107" s="55">
        <f t="shared" ca="1" si="41"/>
        <v>45651</v>
      </c>
      <c r="AF107" s="55">
        <f t="shared" ca="1" si="42"/>
        <v>55.048772185233766</v>
      </c>
      <c r="AG107" s="55">
        <f t="shared" ca="1" si="43"/>
        <v>96.703020321844932</v>
      </c>
      <c r="AH107" s="55">
        <f t="shared" ca="1" si="44"/>
        <v>0</v>
      </c>
      <c r="AI107" s="55">
        <f t="shared" ca="1" si="38"/>
        <v>-2.7630945465666361</v>
      </c>
      <c r="AJ107" s="55">
        <f t="shared" ca="1" si="39"/>
        <v>78.864177611686173</v>
      </c>
      <c r="AK107" s="55">
        <f t="shared" ca="1" si="40"/>
        <v>44.044866636876542</v>
      </c>
    </row>
    <row r="108" spans="18:37">
      <c r="R108" s="83">
        <f ca="1"/>
        <v>45466</v>
      </c>
      <c r="S108" s="55">
        <f t="shared" ca="1" si="33"/>
        <v>45466</v>
      </c>
      <c r="T108" s="55">
        <f t="shared" ca="1" si="27"/>
        <v>103.51179221700062</v>
      </c>
      <c r="U108" s="55">
        <f t="shared" ca="1" si="28"/>
        <v>11.077160721653609</v>
      </c>
      <c r="V108" s="55">
        <f t="shared" ca="1" si="29"/>
        <v>0</v>
      </c>
      <c r="W108" s="55">
        <f t="shared" ca="1" si="34"/>
        <v>-108.44736143231448</v>
      </c>
      <c r="X108" s="55">
        <f t="shared" ca="1" si="35"/>
        <v>77.652189901202362</v>
      </c>
      <c r="Y108" s="55">
        <f t="shared" ca="1" si="36"/>
        <v>43.493491750974059</v>
      </c>
      <c r="Z108">
        <f t="shared" ca="1" si="30"/>
        <v>120</v>
      </c>
      <c r="AA108">
        <f t="shared" ca="1" si="37"/>
        <v>170.43649975158445</v>
      </c>
      <c r="AB108">
        <f t="shared" ca="1" si="31"/>
        <v>0</v>
      </c>
      <c r="AC108">
        <f t="shared" ca="1" si="32"/>
        <v>0.88864037040138588</v>
      </c>
      <c r="AD108" s="83">
        <f ca="1"/>
        <v>45652</v>
      </c>
      <c r="AE108" s="55">
        <f t="shared" ca="1" si="41"/>
        <v>45652</v>
      </c>
      <c r="AF108" s="55">
        <f t="shared" ca="1" si="42"/>
        <v>50.900530894956567</v>
      </c>
      <c r="AG108" s="55">
        <f t="shared" ca="1" si="43"/>
        <v>101.62220004130155</v>
      </c>
      <c r="AH108" s="55">
        <f t="shared" ca="1" si="44"/>
        <v>0</v>
      </c>
      <c r="AI108" s="55">
        <f t="shared" ca="1" si="38"/>
        <v>-2.7630945465666361</v>
      </c>
      <c r="AJ108" s="55">
        <f t="shared" ca="1" si="39"/>
        <v>79.621596366214789</v>
      </c>
      <c r="AK108" s="55">
        <f t="shared" ca="1" si="40"/>
        <v>44.05838631152735</v>
      </c>
    </row>
    <row r="109" spans="18:37">
      <c r="R109" s="83">
        <f ca="1"/>
        <v>45467</v>
      </c>
      <c r="S109" s="55">
        <f t="shared" ca="1" si="33"/>
        <v>45467</v>
      </c>
      <c r="T109" s="55">
        <f t="shared" ca="1" si="27"/>
        <v>102.51241046205689</v>
      </c>
      <c r="U109" s="55">
        <f t="shared" ca="1" si="28"/>
        <v>11.520472837951983</v>
      </c>
      <c r="V109" s="55">
        <f t="shared" ca="1" si="29"/>
        <v>0</v>
      </c>
      <c r="W109" s="55">
        <f t="shared" ca="1" si="34"/>
        <v>-109.64987657764766</v>
      </c>
      <c r="X109" s="55">
        <f t="shared" ca="1" si="35"/>
        <v>78.289495744391559</v>
      </c>
      <c r="Y109" s="55">
        <f t="shared" ca="1" si="36"/>
        <v>43.502631414472681</v>
      </c>
      <c r="Z109">
        <f t="shared" ca="1" si="30"/>
        <v>120</v>
      </c>
      <c r="AA109">
        <f t="shared" ca="1" si="37"/>
        <v>172.56649975158444</v>
      </c>
      <c r="AB109">
        <f t="shared" ca="1" si="31"/>
        <v>0</v>
      </c>
      <c r="AC109">
        <f t="shared" ca="1" si="32"/>
        <v>0.89072396969630818</v>
      </c>
      <c r="AD109" s="83">
        <f ca="1"/>
        <v>45653</v>
      </c>
      <c r="AE109" s="55">
        <f t="shared" ca="1" si="41"/>
        <v>45653</v>
      </c>
      <c r="AF109" s="55">
        <f t="shared" ca="1" si="42"/>
        <v>46.743066843973551</v>
      </c>
      <c r="AG109" s="55">
        <f t="shared" ca="1" si="43"/>
        <v>106.48869913783226</v>
      </c>
      <c r="AH109" s="55">
        <f t="shared" ca="1" si="44"/>
        <v>0</v>
      </c>
      <c r="AI109" s="55">
        <f t="shared" ca="1" si="38"/>
        <v>-2.7630945465666361</v>
      </c>
      <c r="AJ109" s="55">
        <f t="shared" ca="1" si="39"/>
        <v>80.317905339443456</v>
      </c>
      <c r="AK109" s="55">
        <f t="shared" ca="1" si="40"/>
        <v>44.071112383846376</v>
      </c>
    </row>
    <row r="110" spans="18:37">
      <c r="R110" s="83">
        <f ca="1"/>
        <v>45468</v>
      </c>
      <c r="S110" s="55">
        <f t="shared" ca="1" si="33"/>
        <v>45468</v>
      </c>
      <c r="T110" s="55">
        <f t="shared" ca="1" si="27"/>
        <v>102.55179746788104</v>
      </c>
      <c r="U110" s="55">
        <f t="shared" ca="1" si="28"/>
        <v>11.961965456247643</v>
      </c>
      <c r="V110" s="55">
        <f t="shared" ca="1" si="29"/>
        <v>0</v>
      </c>
      <c r="W110" s="55">
        <f t="shared" ca="1" si="34"/>
        <v>-109.79107108140779</v>
      </c>
      <c r="X110" s="55">
        <f t="shared" ca="1" si="35"/>
        <v>78.902862336103766</v>
      </c>
      <c r="Y110" s="55">
        <f t="shared" ca="1" si="36"/>
        <v>43.511338950640415</v>
      </c>
      <c r="Z110">
        <f t="shared" ca="1" si="30"/>
        <v>120</v>
      </c>
      <c r="AA110">
        <f t="shared" ca="1" si="37"/>
        <v>172.81649975158444</v>
      </c>
      <c r="AB110">
        <f t="shared" ca="1" si="31"/>
        <v>0</v>
      </c>
      <c r="AC110">
        <f t="shared" ca="1" si="32"/>
        <v>0.89236690996637913</v>
      </c>
      <c r="AD110" s="83">
        <f ca="1"/>
        <v>45654</v>
      </c>
      <c r="AE110" s="55">
        <f t="shared" ca="1" si="41"/>
        <v>45654</v>
      </c>
      <c r="AF110" s="55">
        <f t="shared" ca="1" si="42"/>
        <v>42.411923414628227</v>
      </c>
      <c r="AG110" s="55">
        <f t="shared" ca="1" si="43"/>
        <v>111.54265837914416</v>
      </c>
      <c r="AH110" s="55">
        <f t="shared" ca="1" si="44"/>
        <v>0</v>
      </c>
      <c r="AI110" s="55">
        <f t="shared" ca="1" si="38"/>
        <v>-2.7630945465666361</v>
      </c>
      <c r="AJ110" s="55">
        <f t="shared" ca="1" si="39"/>
        <v>81.028196628465764</v>
      </c>
      <c r="AK110" s="55">
        <f t="shared" ca="1" si="40"/>
        <v>44.083636906790652</v>
      </c>
    </row>
    <row r="111" spans="18:37">
      <c r="R111" s="83">
        <f ca="1"/>
        <v>45469</v>
      </c>
      <c r="S111" s="55">
        <f t="shared" ca="1" si="33"/>
        <v>45469</v>
      </c>
      <c r="T111" s="55">
        <f t="shared" ca="1" si="27"/>
        <v>101.54333903445317</v>
      </c>
      <c r="U111" s="55">
        <f t="shared" ca="1" si="28"/>
        <v>12.401191168913378</v>
      </c>
      <c r="V111" s="55">
        <f t="shared" ca="1" si="29"/>
        <v>0</v>
      </c>
      <c r="W111" s="55">
        <f t="shared" ca="1" si="34"/>
        <v>-110.9598496301203</v>
      </c>
      <c r="X111" s="55">
        <f t="shared" ca="1" si="35"/>
        <v>79.49408996938503</v>
      </c>
      <c r="Y111" s="55">
        <f t="shared" ca="1" si="36"/>
        <v>43.519657145309516</v>
      </c>
      <c r="Z111">
        <f t="shared" ca="1" si="30"/>
        <v>120</v>
      </c>
      <c r="AA111">
        <f t="shared" ca="1" si="37"/>
        <v>174.90649975158445</v>
      </c>
      <c r="AB111">
        <f t="shared" ca="1" si="31"/>
        <v>0</v>
      </c>
      <c r="AC111">
        <f t="shared" ca="1" si="32"/>
        <v>0.89367234253552918</v>
      </c>
      <c r="AD111" s="83">
        <f ca="1"/>
        <v>45655</v>
      </c>
      <c r="AE111" s="55">
        <f t="shared" ca="1" si="41"/>
        <v>45655</v>
      </c>
      <c r="AF111" s="55">
        <f t="shared" ca="1" si="42"/>
        <v>37.95639049254099</v>
      </c>
      <c r="AG111" s="55">
        <f t="shared" ca="1" si="43"/>
        <v>116.72301670241261</v>
      </c>
      <c r="AH111" s="55">
        <f t="shared" ca="1" si="44"/>
        <v>0</v>
      </c>
      <c r="AI111" s="55">
        <f t="shared" ca="1" si="38"/>
        <v>-2.7630945465666361</v>
      </c>
      <c r="AJ111" s="55">
        <f t="shared" ca="1" si="39"/>
        <v>81.740802132797953</v>
      </c>
      <c r="AK111" s="55">
        <f t="shared" ca="1" si="40"/>
        <v>44.09585680363967</v>
      </c>
    </row>
    <row r="112" spans="18:37">
      <c r="R112" s="83">
        <f ca="1"/>
        <v>45470</v>
      </c>
      <c r="S112" s="55">
        <f t="shared" ca="1" si="33"/>
        <v>45470</v>
      </c>
      <c r="T112" s="55">
        <f t="shared" ca="1" si="27"/>
        <v>101.6888031599904</v>
      </c>
      <c r="U112" s="55">
        <f t="shared" ca="1" si="28"/>
        <v>12.859412656223899</v>
      </c>
      <c r="V112" s="55">
        <f t="shared" ca="1" si="29"/>
        <v>0</v>
      </c>
      <c r="W112" s="55">
        <f t="shared" ca="1" si="34"/>
        <v>-110.9598496301203</v>
      </c>
      <c r="X112" s="55">
        <f t="shared" ca="1" si="35"/>
        <v>80.08958140062191</v>
      </c>
      <c r="Y112" s="55">
        <f t="shared" ca="1" si="36"/>
        <v>43.527851326920391</v>
      </c>
      <c r="Z112">
        <f t="shared" ca="1" si="30"/>
        <v>119.93043478260869</v>
      </c>
      <c r="AA112">
        <f t="shared" ca="1" si="37"/>
        <v>174.90649975158445</v>
      </c>
      <c r="AB112">
        <f t="shared" ca="1" si="31"/>
        <v>0</v>
      </c>
      <c r="AC112">
        <f t="shared" ca="1" si="32"/>
        <v>0.8947636885366248</v>
      </c>
      <c r="AD112" s="83">
        <f ca="1"/>
        <v>45656</v>
      </c>
      <c r="AE112" s="55">
        <f t="shared" ca="1" si="41"/>
        <v>45656</v>
      </c>
      <c r="AF112" s="55">
        <f t="shared" ca="1" si="42"/>
        <v>33.511855879101113</v>
      </c>
      <c r="AG112" s="55">
        <f t="shared" ca="1" si="43"/>
        <v>121.88516957362268</v>
      </c>
      <c r="AH112" s="55">
        <f t="shared" ca="1" si="44"/>
        <v>0</v>
      </c>
      <c r="AI112" s="55">
        <f t="shared" ca="1" si="38"/>
        <v>-2.7630945465666361</v>
      </c>
      <c r="AJ112" s="55">
        <f t="shared" ca="1" si="39"/>
        <v>82.446736485021319</v>
      </c>
      <c r="AK112" s="55">
        <f t="shared" ca="1" si="40"/>
        <v>44.107540709186502</v>
      </c>
    </row>
    <row r="113" spans="18:37">
      <c r="R113" s="83">
        <f ca="1"/>
        <v>45471</v>
      </c>
      <c r="S113" s="55">
        <f t="shared" ca="1" si="33"/>
        <v>45471</v>
      </c>
      <c r="T113" s="55">
        <f t="shared" ca="1" si="27"/>
        <v>101.36498861848236</v>
      </c>
      <c r="U113" s="55">
        <f t="shared" ca="1" si="28"/>
        <v>13.326575081384881</v>
      </c>
      <c r="V113" s="55">
        <f t="shared" ca="1" si="29"/>
        <v>0</v>
      </c>
      <c r="W113" s="55">
        <f t="shared" ca="1" si="34"/>
        <v>-111.412057026857</v>
      </c>
      <c r="X113" s="55">
        <f t="shared" ca="1" si="35"/>
        <v>80.677170060492003</v>
      </c>
      <c r="Y113" s="55">
        <f t="shared" ca="1" si="36"/>
        <v>43.535817947439931</v>
      </c>
      <c r="Z113">
        <f t="shared" ca="1" si="30"/>
        <v>120</v>
      </c>
      <c r="AA113">
        <f t="shared" ca="1" si="37"/>
        <v>175.7165560068139</v>
      </c>
      <c r="AB113">
        <f t="shared" ca="1" si="31"/>
        <v>0</v>
      </c>
      <c r="AC113">
        <f t="shared" ca="1" si="32"/>
        <v>0.8956556227774114</v>
      </c>
      <c r="AD113" s="83">
        <f ca="1"/>
        <v>45657</v>
      </c>
      <c r="AE113" s="55">
        <f t="shared" ca="1" si="41"/>
        <v>45657</v>
      </c>
      <c r="AF113" s="55">
        <f t="shared" ca="1" si="42"/>
        <v>29.379576151355828</v>
      </c>
      <c r="AG113" s="55">
        <f t="shared" ca="1" si="43"/>
        <v>126.62362823889373</v>
      </c>
      <c r="AH113" s="55">
        <f t="shared" ca="1" si="44"/>
        <v>0</v>
      </c>
      <c r="AI113" s="55">
        <f t="shared" ca="1" si="38"/>
        <v>-2.7630945465666361</v>
      </c>
      <c r="AJ113" s="55">
        <f t="shared" ca="1" si="39"/>
        <v>83.042435788128472</v>
      </c>
      <c r="AK113" s="55">
        <f t="shared" ca="1" si="40"/>
        <v>44.118020343605117</v>
      </c>
    </row>
    <row r="114" spans="18:37">
      <c r="R114" s="83">
        <f ca="1"/>
        <v>45472</v>
      </c>
      <c r="S114" s="55">
        <f t="shared" ca="1" si="33"/>
        <v>45472</v>
      </c>
      <c r="T114" s="55">
        <f t="shared" ca="1" si="27"/>
        <v>100.50776149871552</v>
      </c>
      <c r="U114" s="55">
        <f t="shared" ca="1" si="28"/>
        <v>13.799624185003209</v>
      </c>
      <c r="V114" s="55">
        <f t="shared" ca="1" si="29"/>
        <v>0</v>
      </c>
      <c r="W114" s="55">
        <f t="shared" ca="1" si="34"/>
        <v>-112.38071878622867</v>
      </c>
      <c r="X114" s="55">
        <f t="shared" ca="1" si="35"/>
        <v>81.253928633926449</v>
      </c>
      <c r="Y114" s="55">
        <f t="shared" ca="1" si="36"/>
        <v>43.543543117228637</v>
      </c>
      <c r="Z114">
        <f t="shared" ca="1" si="30"/>
        <v>120</v>
      </c>
      <c r="AA114">
        <f t="shared" ca="1" si="37"/>
        <v>177.4665560068139</v>
      </c>
      <c r="AB114">
        <f t="shared" ca="1" si="31"/>
        <v>0</v>
      </c>
      <c r="AC114">
        <f t="shared" ca="1" si="32"/>
        <v>0.89638228797335529</v>
      </c>
      <c r="AD114" s="83">
        <f ca="1"/>
        <v>45658</v>
      </c>
      <c r="AE114" s="55">
        <f t="shared" ca="1" si="41"/>
        <v>45658</v>
      </c>
      <c r="AF114" s="55">
        <f t="shared" ca="1" si="42"/>
        <v>24.12518593925591</v>
      </c>
      <c r="AG114" s="55">
        <f t="shared" ca="1" si="43"/>
        <v>132.59883262306468</v>
      </c>
      <c r="AH114" s="55">
        <f t="shared" ca="1" si="44"/>
        <v>0</v>
      </c>
      <c r="AI114" s="55">
        <f t="shared" ca="1" si="38"/>
        <v>-2.7630945465666361</v>
      </c>
      <c r="AJ114" s="55">
        <f t="shared" ca="1" si="39"/>
        <v>83.751377896747613</v>
      </c>
      <c r="AK114" s="55">
        <f t="shared" ca="1" si="40"/>
        <v>44.129892407057007</v>
      </c>
    </row>
    <row r="115" spans="18:37">
      <c r="R115" s="83">
        <f ca="1"/>
        <v>45473</v>
      </c>
      <c r="S115" s="55">
        <f t="shared" ca="1" si="33"/>
        <v>45473</v>
      </c>
      <c r="T115" s="55">
        <f t="shared" ca="1" si="27"/>
        <v>99.877918880036802</v>
      </c>
      <c r="U115" s="55">
        <f t="shared" ca="1" si="28"/>
        <v>14.305412387807113</v>
      </c>
      <c r="V115" s="55">
        <f t="shared" ca="1" si="29"/>
        <v>0</v>
      </c>
      <c r="W115" s="55">
        <f t="shared" ca="1" si="34"/>
        <v>-113.10678783130442</v>
      </c>
      <c r="X115" s="55">
        <f t="shared" ca="1" si="35"/>
        <v>81.848199821548207</v>
      </c>
      <c r="Y115" s="55">
        <f t="shared" ca="1" si="36"/>
        <v>43.551286558807803</v>
      </c>
      <c r="Z115">
        <f t="shared" ca="1" si="30"/>
        <v>120</v>
      </c>
      <c r="AA115">
        <f t="shared" ca="1" si="37"/>
        <v>178.7865560068139</v>
      </c>
      <c r="AB115">
        <f t="shared" ca="1" si="31"/>
        <v>0</v>
      </c>
      <c r="AC115">
        <f t="shared" ca="1" si="32"/>
        <v>0.89700652237926415</v>
      </c>
      <c r="AD115" s="83">
        <f ca="1"/>
        <v>45659</v>
      </c>
      <c r="AE115" s="55">
        <f t="shared" ca="1" si="41"/>
        <v>45659</v>
      </c>
      <c r="AF115" s="55">
        <f t="shared" ca="1" si="42"/>
        <v>18.48611255428402</v>
      </c>
      <c r="AG115" s="55">
        <f t="shared" ca="1" si="43"/>
        <v>138.97794562107819</v>
      </c>
      <c r="AH115" s="55">
        <f t="shared" ca="1" si="44"/>
        <v>0</v>
      </c>
      <c r="AI115" s="55">
        <f t="shared" ca="1" si="38"/>
        <v>-2.7630945465666361</v>
      </c>
      <c r="AJ115" s="55">
        <f t="shared" ca="1" si="39"/>
        <v>84.479578352663552</v>
      </c>
      <c r="AK115" s="55">
        <f t="shared" ca="1" si="40"/>
        <v>44.141731564182685</v>
      </c>
    </row>
    <row r="116" spans="18:37">
      <c r="R116" s="83">
        <f ca="1"/>
        <v>45474</v>
      </c>
      <c r="S116" s="55">
        <f t="shared" ca="1" si="33"/>
        <v>45474</v>
      </c>
      <c r="T116" s="55">
        <f t="shared" ca="1" si="27"/>
        <v>99.956551340567572</v>
      </c>
      <c r="U116" s="55">
        <f t="shared" ca="1" si="28"/>
        <v>14.793084886402744</v>
      </c>
      <c r="V116" s="55">
        <f t="shared" ca="1" si="29"/>
        <v>0</v>
      </c>
      <c r="W116" s="55">
        <f t="shared" ca="1" si="34"/>
        <v>-113.10678783130442</v>
      </c>
      <c r="X116" s="55">
        <f t="shared" ca="1" si="35"/>
        <v>82.407196643578985</v>
      </c>
      <c r="Y116" s="55">
        <f t="shared" ca="1" si="36"/>
        <v>43.558594695903423</v>
      </c>
      <c r="Z116">
        <f t="shared" ca="1" si="30"/>
        <v>119.68695652173912</v>
      </c>
      <c r="AA116">
        <f t="shared" ca="1" si="37"/>
        <v>178.7865560068139</v>
      </c>
      <c r="AB116">
        <f t="shared" ca="1" si="31"/>
        <v>0</v>
      </c>
      <c r="AC116">
        <f t="shared" ca="1" si="32"/>
        <v>0.897491735667163</v>
      </c>
      <c r="AD116" s="83">
        <f ca="1"/>
        <v>45660</v>
      </c>
      <c r="AE116" s="55">
        <f t="shared" ca="1" si="41"/>
        <v>45660</v>
      </c>
      <c r="AF116" s="55">
        <f t="shared" ca="1" si="42"/>
        <v>12.731303985199052</v>
      </c>
      <c r="AG116" s="55">
        <f t="shared" ca="1" si="43"/>
        <v>145.52372993346026</v>
      </c>
      <c r="AH116" s="55">
        <f t="shared" ca="1" si="44"/>
        <v>0</v>
      </c>
      <c r="AI116" s="55">
        <f t="shared" ca="1" si="38"/>
        <v>-2.7630945465666361</v>
      </c>
      <c r="AJ116" s="55">
        <f t="shared" ca="1" si="39"/>
        <v>85.2582438005836</v>
      </c>
      <c r="AK116" s="55">
        <f t="shared" ca="1" si="40"/>
        <v>44.154041859559733</v>
      </c>
    </row>
    <row r="117" spans="18:37">
      <c r="R117" s="83">
        <f ca="1"/>
        <v>45475</v>
      </c>
      <c r="S117" s="55">
        <f t="shared" ca="1" si="33"/>
        <v>45475</v>
      </c>
      <c r="T117" s="55">
        <f t="shared" ca="1" si="27"/>
        <v>98.659846486170636</v>
      </c>
      <c r="U117" s="55">
        <f t="shared" ca="1" si="28"/>
        <v>15.333676547737365</v>
      </c>
      <c r="V117" s="55">
        <f t="shared" ca="1" si="29"/>
        <v>0</v>
      </c>
      <c r="W117" s="55">
        <f t="shared" ca="1" si="34"/>
        <v>-114.46527680395383</v>
      </c>
      <c r="X117" s="55">
        <f t="shared" ca="1" si="35"/>
        <v>83.002077751366443</v>
      </c>
      <c r="Y117" s="55">
        <f t="shared" ca="1" si="36"/>
        <v>43.566089367703057</v>
      </c>
      <c r="Z117">
        <f t="shared" ca="1" si="30"/>
        <v>120</v>
      </c>
      <c r="AA117">
        <f t="shared" ca="1" si="37"/>
        <v>181.28679299734949</v>
      </c>
      <c r="AB117">
        <f t="shared" ca="1" si="31"/>
        <v>0</v>
      </c>
      <c r="AC117">
        <f t="shared" ca="1" si="32"/>
        <v>0.89792542473729364</v>
      </c>
      <c r="AD117" s="83">
        <f ca="1"/>
        <v>45661</v>
      </c>
      <c r="AE117" s="55">
        <f t="shared" ca="1" si="41"/>
        <v>45661</v>
      </c>
      <c r="AF117" s="55">
        <f t="shared" ca="1" si="42"/>
        <v>7.4778766902520406</v>
      </c>
      <c r="AG117" s="55">
        <f t="shared" ca="1" si="43"/>
        <v>151.46154401207906</v>
      </c>
      <c r="AH117" s="55">
        <f t="shared" ca="1" si="44"/>
        <v>0</v>
      </c>
      <c r="AI117" s="55">
        <f t="shared" ca="1" si="38"/>
        <v>-2.7630945465666361</v>
      </c>
      <c r="AJ117" s="55">
        <f t="shared" ca="1" si="39"/>
        <v>85.931764313796037</v>
      </c>
      <c r="AK117" s="55">
        <f t="shared" ca="1" si="40"/>
        <v>44.164908130019079</v>
      </c>
    </row>
    <row r="118" spans="18:37">
      <c r="R118" s="83">
        <f ca="1"/>
        <v>45476</v>
      </c>
      <c r="S118" s="55">
        <f t="shared" ca="1" si="33"/>
        <v>45476</v>
      </c>
      <c r="T118" s="55">
        <f t="shared" ca="1" si="27"/>
        <v>98.703775293585466</v>
      </c>
      <c r="U118" s="55">
        <f t="shared" ca="1" si="28"/>
        <v>15.877961395342524</v>
      </c>
      <c r="V118" s="55">
        <f t="shared" ca="1" si="29"/>
        <v>0</v>
      </c>
      <c r="W118" s="55">
        <f t="shared" ca="1" si="34"/>
        <v>-114.46527680395383</v>
      </c>
      <c r="X118" s="55">
        <f t="shared" ca="1" si="35"/>
        <v>83.583032565319243</v>
      </c>
      <c r="Y118" s="55">
        <f t="shared" ca="1" si="36"/>
        <v>43.573348208770234</v>
      </c>
      <c r="Z118">
        <f t="shared" ca="1" si="30"/>
        <v>119.75652173913046</v>
      </c>
      <c r="AA118">
        <f t="shared" ca="1" si="37"/>
        <v>181.28679299734949</v>
      </c>
      <c r="AB118">
        <f t="shared" ca="1" si="31"/>
        <v>0</v>
      </c>
      <c r="AC118">
        <f t="shared" ca="1" si="32"/>
        <v>0.89827576037273915</v>
      </c>
      <c r="AD118" s="83">
        <f ca="1"/>
        <v>45662</v>
      </c>
      <c r="AE118" s="55">
        <f t="shared" ca="1" si="41"/>
        <v>45662</v>
      </c>
      <c r="AF118" s="55">
        <f t="shared" ca="1" si="42"/>
        <v>2.3830706111567768</v>
      </c>
      <c r="AG118" s="55">
        <f t="shared" ca="1" si="43"/>
        <v>157.20450619171973</v>
      </c>
      <c r="AH118" s="55">
        <f t="shared" ca="1" si="44"/>
        <v>0</v>
      </c>
      <c r="AI118" s="55">
        <f t="shared" ca="1" si="38"/>
        <v>-2.7630945465666361</v>
      </c>
      <c r="AJ118" s="55">
        <f t="shared" ca="1" si="39"/>
        <v>86.569778660277962</v>
      </c>
      <c r="AK118" s="55">
        <f t="shared" ca="1" si="40"/>
        <v>44.175049884082561</v>
      </c>
    </row>
    <row r="119" spans="18:37">
      <c r="R119" s="83">
        <f ca="1"/>
        <v>45477</v>
      </c>
      <c r="S119" s="55">
        <f t="shared" ca="1" si="33"/>
        <v>45477</v>
      </c>
      <c r="T119" s="55">
        <f t="shared" ca="1" si="27"/>
        <v>98.726071456126817</v>
      </c>
      <c r="U119" s="55">
        <f t="shared" ca="1" si="28"/>
        <v>16.49353338668336</v>
      </c>
      <c r="V119" s="55">
        <f t="shared" ca="1" si="29"/>
        <v>0</v>
      </c>
      <c r="W119" s="55">
        <f t="shared" ca="1" si="34"/>
        <v>-114.46527680395383</v>
      </c>
      <c r="X119" s="55">
        <f t="shared" ca="1" si="35"/>
        <v>84.213348149147293</v>
      </c>
      <c r="Y119" s="55">
        <f t="shared" ca="1" si="36"/>
        <v>43.580900778824365</v>
      </c>
      <c r="Z119">
        <f t="shared" ca="1" si="30"/>
        <v>118.24382536297506</v>
      </c>
      <c r="AA119">
        <f t="shared" ca="1" si="37"/>
        <v>181.28679299734949</v>
      </c>
      <c r="AB119">
        <f t="shared" ca="1" si="31"/>
        <v>0</v>
      </c>
      <c r="AC119">
        <f t="shared" ca="1" si="32"/>
        <v>0.89859148721655824</v>
      </c>
      <c r="AD119" s="83">
        <f ca="1"/>
        <v>45663</v>
      </c>
      <c r="AE119" s="55">
        <f t="shared" ca="1" si="41"/>
        <v>45663</v>
      </c>
      <c r="AF119" s="55">
        <f t="shared" ca="1" si="42"/>
        <v>-3.3902290375747697</v>
      </c>
      <c r="AG119" s="55">
        <f t="shared" ca="1" si="43"/>
        <v>163.65049574738242</v>
      </c>
      <c r="AH119" s="55">
        <f t="shared" ca="1" si="44"/>
        <v>0</v>
      </c>
      <c r="AI119" s="55">
        <f t="shared" ca="1" si="38"/>
        <v>-2.7630945465666361</v>
      </c>
      <c r="AJ119" s="55">
        <f t="shared" ca="1" si="39"/>
        <v>87.232548158333287</v>
      </c>
      <c r="AK119" s="55">
        <f t="shared" ca="1" si="40"/>
        <v>44.184970292958376</v>
      </c>
    </row>
    <row r="120" spans="18:37">
      <c r="R120" s="83">
        <f ca="1"/>
        <v>45478</v>
      </c>
      <c r="S120" s="55">
        <f t="shared" ca="1" si="33"/>
        <v>45478</v>
      </c>
      <c r="T120" s="55">
        <f t="shared" ca="1" si="27"/>
        <v>98.553172241278133</v>
      </c>
      <c r="U120" s="55">
        <f t="shared" ca="1" si="28"/>
        <v>17.111997146296883</v>
      </c>
      <c r="V120" s="55">
        <f t="shared" ca="1" si="29"/>
        <v>0</v>
      </c>
      <c r="W120" s="55">
        <f t="shared" ca="1" si="34"/>
        <v>-114.63975022237376</v>
      </c>
      <c r="X120" s="55">
        <f t="shared" ca="1" si="35"/>
        <v>84.82609268820255</v>
      </c>
      <c r="Y120" s="55">
        <f t="shared" ca="1" si="36"/>
        <v>43.588194202953879</v>
      </c>
      <c r="Z120">
        <f t="shared" ca="1" si="30"/>
        <v>120</v>
      </c>
      <c r="AA120">
        <f t="shared" ca="1" si="37"/>
        <v>181.60825093665255</v>
      </c>
      <c r="AB120">
        <f t="shared" ca="1" si="31"/>
        <v>0</v>
      </c>
      <c r="AC120">
        <f t="shared" ca="1" si="32"/>
        <v>0.89884251968128226</v>
      </c>
      <c r="AD120" s="83">
        <f ca="1"/>
        <v>45664</v>
      </c>
      <c r="AE120" s="55">
        <f t="shared" ca="1" si="41"/>
        <v>45664</v>
      </c>
      <c r="AF120" s="55">
        <f t="shared" ca="1" si="42"/>
        <v>-8.9591831565077307</v>
      </c>
      <c r="AG120" s="55">
        <f t="shared" ca="1" si="43"/>
        <v>169.85643853755667</v>
      </c>
      <c r="AH120" s="55">
        <f t="shared" ca="1" si="44"/>
        <v>0</v>
      </c>
      <c r="AI120" s="55">
        <f t="shared" ca="1" si="38"/>
        <v>-2.7630945465666361</v>
      </c>
      <c r="AJ120" s="55">
        <f t="shared" ca="1" si="39"/>
        <v>87.860265484320081</v>
      </c>
      <c r="AK120" s="55">
        <f t="shared" ca="1" si="40"/>
        <v>44.194241638212866</v>
      </c>
    </row>
    <row r="121" spans="18:37">
      <c r="R121" s="83">
        <f ca="1"/>
        <v>45479</v>
      </c>
      <c r="S121" s="55">
        <f t="shared" ca="1" si="33"/>
        <v>45479</v>
      </c>
      <c r="T121" s="55">
        <f t="shared" ca="1" si="27"/>
        <v>96.530101888285557</v>
      </c>
      <c r="U121" s="55">
        <f t="shared" ca="1" si="28"/>
        <v>17.790570751936645</v>
      </c>
      <c r="V121" s="55">
        <f t="shared" ca="1" si="29"/>
        <v>0</v>
      </c>
      <c r="W121" s="55">
        <f t="shared" ca="1" si="34"/>
        <v>-116.63862282495322</v>
      </c>
      <c r="X121" s="55">
        <f t="shared" ca="1" si="35"/>
        <v>85.473010370685401</v>
      </c>
      <c r="Y121" s="55">
        <f t="shared" ca="1" si="36"/>
        <v>43.595652375697661</v>
      </c>
      <c r="Z121">
        <f t="shared" ca="1" si="30"/>
        <v>120</v>
      </c>
      <c r="AA121">
        <f t="shared" ca="1" si="37"/>
        <v>185.36825093665254</v>
      </c>
      <c r="AB121">
        <f t="shared" ca="1" si="31"/>
        <v>0</v>
      </c>
      <c r="AC121">
        <f t="shared" ca="1" si="32"/>
        <v>0.89905985376154296</v>
      </c>
      <c r="AD121" s="83">
        <f ca="1"/>
        <v>45665</v>
      </c>
      <c r="AE121" s="55">
        <f t="shared" ca="1" si="41"/>
        <v>45665</v>
      </c>
      <c r="AF121" s="55">
        <f t="shared" ca="1" si="42"/>
        <v>-14.809597293850924</v>
      </c>
      <c r="AG121" s="55">
        <f t="shared" ca="1" si="43"/>
        <v>176.35675907697745</v>
      </c>
      <c r="AH121" s="55">
        <f t="shared" ca="1" si="44"/>
        <v>0</v>
      </c>
      <c r="AI121" s="55">
        <f t="shared" ca="1" si="38"/>
        <v>-2.7630945465666361</v>
      </c>
      <c r="AJ121" s="55">
        <f t="shared" ca="1" si="39"/>
        <v>88.500955295879976</v>
      </c>
      <c r="AK121" s="55">
        <f t="shared" ca="1" si="40"/>
        <v>44.203458228730561</v>
      </c>
    </row>
    <row r="122" spans="18:37">
      <c r="R122" s="83">
        <f ca="1"/>
        <v>45480</v>
      </c>
      <c r="S122" s="55">
        <f t="shared" ca="1" si="33"/>
        <v>45480</v>
      </c>
      <c r="T122" s="55">
        <f t="shared" ca="1" si="27"/>
        <v>95.085153666871634</v>
      </c>
      <c r="U122" s="55">
        <f t="shared" ca="1" si="28"/>
        <v>18.410437694986339</v>
      </c>
      <c r="V122" s="55">
        <f t="shared" ca="1" si="29"/>
        <v>0</v>
      </c>
      <c r="W122" s="55">
        <f t="shared" ca="1" si="34"/>
        <v>-118.04726114492823</v>
      </c>
      <c r="X122" s="55">
        <f t="shared" ca="1" si="35"/>
        <v>86.049768944119847</v>
      </c>
      <c r="Y122" s="55">
        <f t="shared" ca="1" si="36"/>
        <v>43.602450843874003</v>
      </c>
      <c r="Z122">
        <f t="shared" ca="1" si="30"/>
        <v>120</v>
      </c>
      <c r="AA122">
        <f t="shared" ca="1" si="37"/>
        <v>188.05825093665254</v>
      </c>
      <c r="AB122">
        <f t="shared" ca="1" si="31"/>
        <v>0</v>
      </c>
      <c r="AC122">
        <f t="shared" ca="1" si="32"/>
        <v>0.89921760536389606</v>
      </c>
      <c r="AD122" s="83">
        <f ca="1"/>
        <v>45666</v>
      </c>
      <c r="AE122" s="55">
        <f t="shared" ca="1" si="41"/>
        <v>45666</v>
      </c>
      <c r="AF122" s="55">
        <f t="shared" ca="1" si="42"/>
        <v>-20.554723513873469</v>
      </c>
      <c r="AG122" s="55">
        <f t="shared" ca="1" si="43"/>
        <v>182.70065159725786</v>
      </c>
      <c r="AH122" s="55">
        <f t="shared" ca="1" si="44"/>
        <v>0</v>
      </c>
      <c r="AI122" s="55">
        <f t="shared" ca="1" si="38"/>
        <v>-2.7630945465666361</v>
      </c>
      <c r="AJ122" s="55">
        <f t="shared" ca="1" si="39"/>
        <v>89.091668578162199</v>
      </c>
      <c r="AK122" s="55">
        <f t="shared" ca="1" si="40"/>
        <v>44.211511246706202</v>
      </c>
    </row>
    <row r="123" spans="18:37">
      <c r="R123" s="83">
        <f ca="1"/>
        <v>45481</v>
      </c>
      <c r="S123" s="55">
        <f t="shared" ca="1" si="33"/>
        <v>45481</v>
      </c>
      <c r="T123" s="55">
        <f t="shared" ca="1" si="27"/>
        <v>93.343697316020879</v>
      </c>
      <c r="U123" s="55">
        <f t="shared" ca="1" si="28"/>
        <v>19.022058648250358</v>
      </c>
      <c r="V123" s="55">
        <f t="shared" ca="1" si="29"/>
        <v>0</v>
      </c>
      <c r="W123" s="55">
        <f t="shared" ca="1" si="34"/>
        <v>-119.73854071571793</v>
      </c>
      <c r="X123" s="55">
        <f t="shared" ca="1" si="35"/>
        <v>86.604673032037411</v>
      </c>
      <c r="Y123" s="55">
        <f t="shared" ca="1" si="36"/>
        <v>43.608990929159411</v>
      </c>
      <c r="Z123">
        <f t="shared" ca="1" si="30"/>
        <v>120</v>
      </c>
      <c r="AA123">
        <f t="shared" ca="1" si="37"/>
        <v>191.34825093665256</v>
      </c>
      <c r="AB123">
        <f t="shared" ca="1" si="31"/>
        <v>0</v>
      </c>
      <c r="AC123">
        <f t="shared" ca="1" si="32"/>
        <v>0.8993436969407077</v>
      </c>
      <c r="AD123" s="83">
        <f ca="1"/>
        <v>45667</v>
      </c>
      <c r="AE123" s="55">
        <f t="shared" ca="1" si="41"/>
        <v>45667</v>
      </c>
      <c r="AF123" s="55">
        <f t="shared" ca="1" si="42"/>
        <v>-26.647701297195081</v>
      </c>
      <c r="AG123" s="55">
        <f t="shared" ca="1" si="43"/>
        <v>189.39882315671051</v>
      </c>
      <c r="AH123" s="55">
        <f t="shared" ca="1" si="44"/>
        <v>0</v>
      </c>
      <c r="AI123" s="55">
        <f t="shared" ca="1" si="38"/>
        <v>-2.7630945465666361</v>
      </c>
      <c r="AJ123" s="55">
        <f t="shared" ca="1" si="39"/>
        <v>89.68913325103965</v>
      </c>
      <c r="AK123" s="55">
        <f t="shared" ca="1" si="40"/>
        <v>44.219240349959783</v>
      </c>
    </row>
    <row r="124" spans="18:37">
      <c r="R124" s="83">
        <f ca="1"/>
        <v>45482</v>
      </c>
      <c r="S124" s="55">
        <f t="shared" ca="1" si="33"/>
        <v>45482</v>
      </c>
      <c r="T124" s="55">
        <f t="shared" ca="1" si="27"/>
        <v>92.655751047959697</v>
      </c>
      <c r="U124" s="55">
        <f t="shared" ca="1" si="28"/>
        <v>19.65864597266987</v>
      </c>
      <c r="V124" s="55">
        <f t="shared" ca="1" si="29"/>
        <v>0</v>
      </c>
      <c r="W124" s="55">
        <f t="shared" ca="1" si="34"/>
        <v>-120.35597715530999</v>
      </c>
      <c r="X124" s="55">
        <f t="shared" ca="1" si="35"/>
        <v>87.164256123262646</v>
      </c>
      <c r="Y124" s="55">
        <f t="shared" ca="1" si="36"/>
        <v>43.61548533388455</v>
      </c>
      <c r="Z124">
        <f t="shared" ca="1" si="30"/>
        <v>120</v>
      </c>
      <c r="AA124">
        <f t="shared" ca="1" si="37"/>
        <v>192.55825093665257</v>
      </c>
      <c r="AB124">
        <f t="shared" ca="1" si="31"/>
        <v>0</v>
      </c>
      <c r="AC124">
        <f t="shared" ca="1" si="32"/>
        <v>0.89945042775692408</v>
      </c>
      <c r="AD124" s="83">
        <f ca="1"/>
        <v>45668</v>
      </c>
      <c r="AE124" s="55">
        <f t="shared" ca="1" si="41"/>
        <v>45668</v>
      </c>
      <c r="AF124" s="55">
        <f t="shared" ca="1" si="42"/>
        <v>-32.824296707454792</v>
      </c>
      <c r="AG124" s="55">
        <f t="shared" ca="1" si="43"/>
        <v>196.15926264437013</v>
      </c>
      <c r="AH124" s="55">
        <f t="shared" ca="1" si="44"/>
        <v>0</v>
      </c>
      <c r="AI124" s="55">
        <f t="shared" ca="1" si="38"/>
        <v>-2.7630945465666361</v>
      </c>
      <c r="AJ124" s="55">
        <f t="shared" ca="1" si="39"/>
        <v>90.2659694229487</v>
      </c>
      <c r="AK124" s="55">
        <f t="shared" ca="1" si="40"/>
        <v>44.226248255450649</v>
      </c>
    </row>
    <row r="125" spans="18:37">
      <c r="R125" s="83">
        <f ca="1"/>
        <v>45483</v>
      </c>
      <c r="S125" s="55">
        <f t="shared" ca="1" si="33"/>
        <v>45483</v>
      </c>
      <c r="T125" s="55">
        <f t="shared" ca="1" si="27"/>
        <v>90.760844114080243</v>
      </c>
      <c r="U125" s="55">
        <f t="shared" ca="1" si="28"/>
        <v>20.297802174962946</v>
      </c>
      <c r="V125" s="55">
        <f t="shared" ca="1" si="29"/>
        <v>0</v>
      </c>
      <c r="W125" s="55">
        <f t="shared" ca="1" si="34"/>
        <v>-122.16540638956113</v>
      </c>
      <c r="X125" s="55">
        <f t="shared" ca="1" si="35"/>
        <v>87.711611111211113</v>
      </c>
      <c r="Y125" s="55">
        <f t="shared" ca="1" si="36"/>
        <v>43.621808848600857</v>
      </c>
      <c r="Z125">
        <f t="shared" ca="1" si="30"/>
        <v>120</v>
      </c>
      <c r="AA125">
        <f t="shared" ca="1" si="37"/>
        <v>196.17825093665257</v>
      </c>
      <c r="AB125">
        <f t="shared" ca="1" si="31"/>
        <v>0</v>
      </c>
      <c r="AC125">
        <f t="shared" ca="1" si="32"/>
        <v>0.89953772385401476</v>
      </c>
      <c r="AD125" s="83">
        <f ca="1"/>
        <v>45669</v>
      </c>
      <c r="AE125" s="55">
        <f t="shared" ca="1" si="41"/>
        <v>45669</v>
      </c>
      <c r="AF125" s="55">
        <f t="shared" ca="1" si="42"/>
        <v>-39.297020357445362</v>
      </c>
      <c r="AG125" s="55">
        <f t="shared" ca="1" si="43"/>
        <v>203.22537029281122</v>
      </c>
      <c r="AH125" s="55">
        <f t="shared" ca="1" si="44"/>
        <v>0</v>
      </c>
      <c r="AI125" s="55">
        <f t="shared" ca="1" si="38"/>
        <v>-2.7630945465666361</v>
      </c>
      <c r="AJ125" s="55">
        <f t="shared" ca="1" si="39"/>
        <v>90.85257241048518</v>
      </c>
      <c r="AK125" s="55">
        <f t="shared" ca="1" si="40"/>
        <v>44.233029266364689</v>
      </c>
    </row>
    <row r="126" spans="18:37">
      <c r="R126" s="83">
        <f ca="1"/>
        <v>45484</v>
      </c>
      <c r="S126" s="55">
        <f t="shared" ca="1" si="33"/>
        <v>45484</v>
      </c>
      <c r="T126" s="55">
        <f t="shared" ca="1" si="27"/>
        <v>90.339572172118835</v>
      </c>
      <c r="U126" s="55">
        <f t="shared" ca="1" si="28"/>
        <v>20.984249610025948</v>
      </c>
      <c r="V126" s="55">
        <f t="shared" ca="1" si="29"/>
        <v>0</v>
      </c>
      <c r="W126" s="55">
        <f t="shared" ca="1" si="34"/>
        <v>-122.47387020410825</v>
      </c>
      <c r="X126" s="55">
        <f t="shared" ca="1" si="35"/>
        <v>88.278851993741384</v>
      </c>
      <c r="Y126" s="55">
        <f t="shared" ca="1" si="36"/>
        <v>43.628207273719305</v>
      </c>
      <c r="Z126">
        <f t="shared" ca="1" si="30"/>
        <v>120</v>
      </c>
      <c r="AA126">
        <f t="shared" ca="1" si="37"/>
        <v>196.79825093665258</v>
      </c>
      <c r="AB126">
        <f t="shared" ca="1" si="31"/>
        <v>0</v>
      </c>
      <c r="AC126">
        <f t="shared" ca="1" si="32"/>
        <v>0.89961399737731873</v>
      </c>
      <c r="AD126" s="83">
        <f ca="1"/>
        <v>45670</v>
      </c>
      <c r="AE126" s="55">
        <f t="shared" ca="1" si="41"/>
        <v>45670</v>
      </c>
      <c r="AF126" s="55">
        <f t="shared" ca="1" si="42"/>
        <v>-45.619975429384752</v>
      </c>
      <c r="AG126" s="55">
        <f t="shared" ca="1" si="43"/>
        <v>210.13704805060334</v>
      </c>
      <c r="AH126" s="55">
        <f t="shared" ca="1" si="44"/>
        <v>0</v>
      </c>
      <c r="AI126" s="55">
        <f t="shared" ca="1" si="38"/>
        <v>-2.7630945465666361</v>
      </c>
      <c r="AJ126" s="55">
        <f t="shared" ca="1" si="39"/>
        <v>91.434462352797496</v>
      </c>
      <c r="AK126" s="55">
        <f t="shared" ca="1" si="40"/>
        <v>44.239862009905103</v>
      </c>
    </row>
    <row r="127" spans="18:37">
      <c r="R127" s="83">
        <f ca="1"/>
        <v>45485</v>
      </c>
      <c r="S127" s="55">
        <f t="shared" ca="1" si="33"/>
        <v>45485</v>
      </c>
      <c r="T127" s="55">
        <f t="shared" ca="1" si="27"/>
        <v>88.173537407268014</v>
      </c>
      <c r="U127" s="55">
        <f t="shared" ca="1" si="28"/>
        <v>21.66782690384451</v>
      </c>
      <c r="V127" s="55">
        <f t="shared" ca="1" si="29"/>
        <v>0</v>
      </c>
      <c r="W127" s="55">
        <f t="shared" ca="1" si="34"/>
        <v>-124.51336246065897</v>
      </c>
      <c r="X127" s="55">
        <f t="shared" ca="1" si="35"/>
        <v>88.829682839766292</v>
      </c>
      <c r="Y127" s="55">
        <f t="shared" ca="1" si="36"/>
        <v>43.63441121321285</v>
      </c>
      <c r="Z127">
        <f t="shared" ca="1" si="30"/>
        <v>120</v>
      </c>
      <c r="AA127">
        <f t="shared" ca="1" si="37"/>
        <v>200.99825093665257</v>
      </c>
      <c r="AB127">
        <f t="shared" ca="1" si="31"/>
        <v>0</v>
      </c>
      <c r="AC127">
        <f t="shared" ca="1" si="32"/>
        <v>0.89967574030337405</v>
      </c>
      <c r="AD127" s="83">
        <f ca="1"/>
        <v>45671</v>
      </c>
      <c r="AE127" s="55">
        <f t="shared" ca="1" si="41"/>
        <v>45671</v>
      </c>
      <c r="AF127" s="55">
        <f t="shared" ca="1" si="42"/>
        <v>-51.632770431132855</v>
      </c>
      <c r="AG127" s="55">
        <f t="shared" ca="1" si="43"/>
        <v>216.71828261664987</v>
      </c>
      <c r="AH127" s="55">
        <f t="shared" ca="1" si="44"/>
        <v>0</v>
      </c>
      <c r="AI127" s="55">
        <f t="shared" ca="1" si="38"/>
        <v>-2.7630945465666361</v>
      </c>
      <c r="AJ127" s="55">
        <f t="shared" ca="1" si="39"/>
        <v>91.996234745567847</v>
      </c>
      <c r="AK127" s="55">
        <f t="shared" ca="1" si="40"/>
        <v>44.246529181433182</v>
      </c>
    </row>
    <row r="128" spans="18:37">
      <c r="R128" s="83">
        <f ca="1"/>
        <v>45486</v>
      </c>
      <c r="S128" s="55">
        <f t="shared" ca="1" si="33"/>
        <v>45486</v>
      </c>
      <c r="T128" s="55">
        <f t="shared" ca="1" si="27"/>
        <v>86.427777384401267</v>
      </c>
      <c r="U128" s="55">
        <f t="shared" ca="1" si="28"/>
        <v>22.356621638519307</v>
      </c>
      <c r="V128" s="55">
        <f t="shared" ca="1" si="29"/>
        <v>0</v>
      </c>
      <c r="W128" s="55">
        <f t="shared" ca="1" si="34"/>
        <v>-126.1174119058541</v>
      </c>
      <c r="X128" s="55">
        <f t="shared" ca="1" si="35"/>
        <v>89.370702498522945</v>
      </c>
      <c r="Y128" s="55">
        <f t="shared" ca="1" si="36"/>
        <v>43.640475711459374</v>
      </c>
      <c r="Z128">
        <f t="shared" ca="1" si="30"/>
        <v>120</v>
      </c>
      <c r="AA128">
        <f t="shared" ca="1" si="37"/>
        <v>204.36825093665257</v>
      </c>
      <c r="AB128">
        <f t="shared" ca="1" si="31"/>
        <v>0</v>
      </c>
      <c r="AC128">
        <f t="shared" ca="1" si="32"/>
        <v>0.89972661055903458</v>
      </c>
      <c r="AD128" s="83">
        <f ca="1"/>
        <v>45672</v>
      </c>
      <c r="AE128" s="55">
        <f t="shared" ca="1" si="41"/>
        <v>45672</v>
      </c>
      <c r="AF128" s="55">
        <f t="shared" ca="1" si="42"/>
        <v>-57.738500521929183</v>
      </c>
      <c r="AG128" s="55">
        <f t="shared" ca="1" si="43"/>
        <v>223.40550900213663</v>
      </c>
      <c r="AH128" s="55">
        <f t="shared" ca="1" si="44"/>
        <v>0</v>
      </c>
      <c r="AI128" s="55">
        <f t="shared" ca="1" si="38"/>
        <v>-2.7630945465666361</v>
      </c>
      <c r="AJ128" s="55">
        <f t="shared" ca="1" si="39"/>
        <v>92.570944117826699</v>
      </c>
      <c r="AK128" s="55">
        <f t="shared" ca="1" si="40"/>
        <v>44.253316103864755</v>
      </c>
    </row>
    <row r="129" spans="18:37">
      <c r="R129" s="83">
        <f ca="1"/>
        <v>45487</v>
      </c>
      <c r="S129" s="55">
        <f t="shared" ca="1" si="33"/>
        <v>45487</v>
      </c>
      <c r="T129" s="55">
        <f t="shared" ca="1" si="27"/>
        <v>85.72226676511508</v>
      </c>
      <c r="U129" s="55">
        <f t="shared" ca="1" si="28"/>
        <v>23.150665953920974</v>
      </c>
      <c r="V129" s="55">
        <f t="shared" ca="1" si="29"/>
        <v>0</v>
      </c>
      <c r="W129" s="55">
        <f t="shared" ca="1" si="34"/>
        <v>-126.63199397678324</v>
      </c>
      <c r="X129" s="55">
        <f t="shared" ca="1" si="35"/>
        <v>89.967415786825441</v>
      </c>
      <c r="Y129" s="55">
        <f t="shared" ca="1" si="36"/>
        <v>43.646878190201491</v>
      </c>
      <c r="Z129">
        <f t="shared" ca="1" si="30"/>
        <v>120</v>
      </c>
      <c r="AA129">
        <f t="shared" ca="1" si="37"/>
        <v>205.45825093665258</v>
      </c>
      <c r="AB129">
        <f t="shared" ca="1" si="31"/>
        <v>0</v>
      </c>
      <c r="AC129">
        <f t="shared" ca="1" si="32"/>
        <v>0.89977412407951896</v>
      </c>
      <c r="AD129" s="83">
        <f ca="1"/>
        <v>45673</v>
      </c>
      <c r="AE129" s="55">
        <f t="shared" ca="1" si="41"/>
        <v>45673</v>
      </c>
      <c r="AF129" s="55">
        <f t="shared" ca="1" si="42"/>
        <v>-64.047077063014058</v>
      </c>
      <c r="AG129" s="55">
        <f t="shared" ca="1" si="43"/>
        <v>230.29413180914582</v>
      </c>
      <c r="AH129" s="55">
        <f t="shared" ca="1" si="44"/>
        <v>0</v>
      </c>
      <c r="AI129" s="55">
        <f t="shared" ca="1" si="38"/>
        <v>-2.7630945465666361</v>
      </c>
      <c r="AJ129" s="55">
        <f t="shared" ca="1" si="39"/>
        <v>93.144667351719676</v>
      </c>
      <c r="AK129" s="55">
        <f t="shared" ca="1" si="40"/>
        <v>44.259639135896116</v>
      </c>
    </row>
    <row r="130" spans="18:37">
      <c r="R130" s="83">
        <f ca="1"/>
        <v>45488</v>
      </c>
      <c r="S130" s="55">
        <f t="shared" ca="1" si="33"/>
        <v>45488</v>
      </c>
      <c r="T130" s="55">
        <f t="shared" ca="1" si="27"/>
        <v>83.089758502214295</v>
      </c>
      <c r="U130" s="55">
        <f t="shared" ca="1" si="28"/>
        <v>23.970114571296083</v>
      </c>
      <c r="V130" s="55">
        <f t="shared" ca="1" si="29"/>
        <v>0</v>
      </c>
      <c r="W130" s="55">
        <f t="shared" ca="1" si="34"/>
        <v>-129.0480996500998</v>
      </c>
      <c r="X130" s="55">
        <f t="shared" ca="1" si="35"/>
        <v>90.564129075127937</v>
      </c>
      <c r="Y130" s="55">
        <f t="shared" ca="1" si="36"/>
        <v>43.653210929689898</v>
      </c>
      <c r="Z130">
        <f t="shared" ca="1" si="30"/>
        <v>120</v>
      </c>
      <c r="AA130">
        <f t="shared" ca="1" si="37"/>
        <v>210.73825093665258</v>
      </c>
      <c r="AB130">
        <f t="shared" ca="1" si="31"/>
        <v>0</v>
      </c>
      <c r="AC130">
        <f t="shared" ca="1" si="32"/>
        <v>0.89981338173477843</v>
      </c>
      <c r="AD130" s="83">
        <f ca="1"/>
        <v>45674</v>
      </c>
      <c r="AE130" s="55">
        <f t="shared" ca="1" si="41"/>
        <v>45674</v>
      </c>
      <c r="AF130" s="55">
        <f t="shared" ca="1" si="42"/>
        <v>-70.448452175649379</v>
      </c>
      <c r="AG130" s="55">
        <f t="shared" ca="1" si="43"/>
        <v>237.28535916414114</v>
      </c>
      <c r="AH130" s="55">
        <f t="shared" ca="1" si="44"/>
        <v>0</v>
      </c>
      <c r="AI130" s="55">
        <f t="shared" ca="1" si="38"/>
        <v>-2.7630945465666361</v>
      </c>
      <c r="AJ130" s="55">
        <f t="shared" ca="1" si="39"/>
        <v>93.728218716965785</v>
      </c>
      <c r="AK130" s="55">
        <f t="shared" ca="1" si="40"/>
        <v>44.265940013010002</v>
      </c>
    </row>
    <row r="131" spans="18:37">
      <c r="R131" s="83">
        <f ca="1"/>
        <v>45489</v>
      </c>
      <c r="S131" s="55">
        <f t="shared" ca="1" si="33"/>
        <v>45489</v>
      </c>
      <c r="T131" s="55">
        <f t="shared" ca="1" si="27"/>
        <v>81.186035826183456</v>
      </c>
      <c r="U131" s="55">
        <f t="shared" ca="1" si="28"/>
        <v>24.886419013493477</v>
      </c>
      <c r="V131" s="55">
        <f t="shared" ca="1" si="29"/>
        <v>0</v>
      </c>
      <c r="W131" s="55">
        <f t="shared" ca="1" si="34"/>
        <v>-130.68452774614408</v>
      </c>
      <c r="X131" s="55">
        <f t="shared" ca="1" si="35"/>
        <v>91.206549780255898</v>
      </c>
      <c r="Y131" s="55">
        <f t="shared" ca="1" si="36"/>
        <v>43.659800086772776</v>
      </c>
      <c r="Z131">
        <f t="shared" ca="1" si="30"/>
        <v>120</v>
      </c>
      <c r="AA131">
        <f t="shared" ca="1" si="37"/>
        <v>214.39825093665257</v>
      </c>
      <c r="AB131">
        <f t="shared" ca="1" si="31"/>
        <v>0</v>
      </c>
      <c r="AC131">
        <f t="shared" ca="1" si="32"/>
        <v>0.89984822403402775</v>
      </c>
      <c r="AD131" s="83">
        <f ca="1"/>
        <v>45675</v>
      </c>
      <c r="AE131" s="55">
        <f t="shared" ca="1" si="41"/>
        <v>45675</v>
      </c>
      <c r="AF131" s="55">
        <f t="shared" ca="1" si="42"/>
        <v>-76.60418282897794</v>
      </c>
      <c r="AG131" s="55">
        <f t="shared" ca="1" si="43"/>
        <v>244.03769387058625</v>
      </c>
      <c r="AH131" s="55">
        <f t="shared" ca="1" si="44"/>
        <v>0</v>
      </c>
      <c r="AI131" s="55">
        <f t="shared" ca="1" si="38"/>
        <v>-2.7630945465666361</v>
      </c>
      <c r="AJ131" s="55">
        <f t="shared" ca="1" si="39"/>
        <v>94.318128916352407</v>
      </c>
      <c r="AK131" s="55">
        <f t="shared" ca="1" si="40"/>
        <v>44.27263386673993</v>
      </c>
    </row>
    <row r="132" spans="18:37">
      <c r="R132" s="83">
        <f ca="1"/>
        <v>45490</v>
      </c>
      <c r="S132" s="55">
        <f t="shared" ca="1" si="33"/>
        <v>45490</v>
      </c>
      <c r="T132" s="55">
        <f t="shared" ca="1" si="27"/>
        <v>80.879384349642891</v>
      </c>
      <c r="U132" s="55">
        <f t="shared" ca="1" si="28"/>
        <v>25.759732563219593</v>
      </c>
      <c r="V132" s="55">
        <f t="shared" ca="1" si="29"/>
        <v>0</v>
      </c>
      <c r="W132" s="55">
        <f t="shared" ca="1" si="34"/>
        <v>-130.72016156185754</v>
      </c>
      <c r="X132" s="55">
        <f t="shared" ca="1" si="35"/>
        <v>91.802651938304848</v>
      </c>
      <c r="Y132" s="55">
        <f t="shared" ca="1" si="36"/>
        <v>43.665993817622855</v>
      </c>
      <c r="Z132">
        <f t="shared" ca="1" si="30"/>
        <v>120</v>
      </c>
      <c r="AA132">
        <f t="shared" ca="1" si="37"/>
        <v>214.47825093665256</v>
      </c>
      <c r="AB132">
        <f t="shared" ca="1" si="31"/>
        <v>0</v>
      </c>
      <c r="AC132">
        <f t="shared" ca="1" si="32"/>
        <v>0.89987457774788893</v>
      </c>
      <c r="AD132" s="83">
        <f ca="1"/>
        <v>45676</v>
      </c>
      <c r="AE132" s="55">
        <f t="shared" ca="1" si="41"/>
        <v>45676</v>
      </c>
      <c r="AF132" s="55">
        <f t="shared" ca="1" si="42"/>
        <v>-82.90703961413567</v>
      </c>
      <c r="AG132" s="55">
        <f t="shared" ca="1" si="43"/>
        <v>250.96202995604773</v>
      </c>
      <c r="AH132" s="55">
        <f t="shared" ca="1" si="44"/>
        <v>0</v>
      </c>
      <c r="AI132" s="55">
        <f t="shared" ca="1" si="38"/>
        <v>-2.7630945465666361</v>
      </c>
      <c r="AJ132" s="55">
        <f t="shared" ca="1" si="39"/>
        <v>94.932685758725327</v>
      </c>
      <c r="AK132" s="55">
        <f t="shared" ca="1" si="40"/>
        <v>44.279556324670757</v>
      </c>
    </row>
    <row r="133" spans="18:37">
      <c r="R133" s="83">
        <f ca="1"/>
        <v>45491</v>
      </c>
      <c r="S133" s="55">
        <f t="shared" ca="1" si="33"/>
        <v>45491</v>
      </c>
      <c r="T133" s="55">
        <f t="shared" ca="1" si="27"/>
        <v>80.491036109329926</v>
      </c>
      <c r="U133" s="55">
        <f t="shared" ca="1" si="28"/>
        <v>26.674742939478531</v>
      </c>
      <c r="V133" s="55">
        <f t="shared" ca="1" si="29"/>
        <v>0</v>
      </c>
      <c r="W133" s="55">
        <f t="shared" ca="1" si="34"/>
        <v>-130.80438551558353</v>
      </c>
      <c r="X133" s="55">
        <f t="shared" ca="1" si="35"/>
        <v>92.40734666878808</v>
      </c>
      <c r="Y133" s="55">
        <f t="shared" ca="1" si="36"/>
        <v>43.672185176811588</v>
      </c>
      <c r="Z133">
        <f t="shared" ca="1" si="30"/>
        <v>120</v>
      </c>
      <c r="AA133">
        <f t="shared" ca="1" si="37"/>
        <v>214.66825093665256</v>
      </c>
      <c r="AB133">
        <f t="shared" ca="1" si="31"/>
        <v>0</v>
      </c>
      <c r="AC133">
        <f t="shared" ca="1" si="32"/>
        <v>0.8998966682831907</v>
      </c>
      <c r="AD133" s="83">
        <f ca="1"/>
        <v>45677</v>
      </c>
      <c r="AE133" s="55">
        <f t="shared" ca="1" si="41"/>
        <v>45677</v>
      </c>
      <c r="AF133" s="55">
        <f t="shared" ca="1" si="42"/>
        <v>-88.947776900144163</v>
      </c>
      <c r="AG133" s="55">
        <f t="shared" ca="1" si="43"/>
        <v>257.62034082720891</v>
      </c>
      <c r="AH133" s="55">
        <f t="shared" ca="1" si="44"/>
        <v>0</v>
      </c>
      <c r="AI133" s="55">
        <f t="shared" ca="1" si="38"/>
        <v>-2.7630945465666361</v>
      </c>
      <c r="AJ133" s="55">
        <f t="shared" ca="1" si="39"/>
        <v>95.54327194762368</v>
      </c>
      <c r="AK133" s="55">
        <f t="shared" ca="1" si="40"/>
        <v>44.286543720925089</v>
      </c>
    </row>
    <row r="134" spans="18:37">
      <c r="R134" s="83">
        <f ca="1"/>
        <v>45492</v>
      </c>
      <c r="S134" s="55">
        <f t="shared" ca="1" si="33"/>
        <v>45492</v>
      </c>
      <c r="T134" s="55">
        <f t="shared" ca="1" si="27"/>
        <v>79.34930470410751</v>
      </c>
      <c r="U134" s="55">
        <f t="shared" ca="1" si="28"/>
        <v>27.672899600175377</v>
      </c>
      <c r="V134" s="55">
        <f t="shared" ca="1" si="29"/>
        <v>0</v>
      </c>
      <c r="W134" s="55">
        <f t="shared" ca="1" si="34"/>
        <v>-131.59097862308511</v>
      </c>
      <c r="X134" s="55">
        <f t="shared" ca="1" si="35"/>
        <v>93.044014993047341</v>
      </c>
      <c r="Y134" s="55">
        <f t="shared" ca="1" si="36"/>
        <v>43.678535215528349</v>
      </c>
      <c r="Z134">
        <f t="shared" ca="1" si="30"/>
        <v>120</v>
      </c>
      <c r="AA134">
        <f t="shared" ca="1" si="37"/>
        <v>216.46825093665257</v>
      </c>
      <c r="AB134">
        <f t="shared" ca="1" si="31"/>
        <v>0</v>
      </c>
      <c r="AC134">
        <f t="shared" ca="1" si="32"/>
        <v>0.89991579897641072</v>
      </c>
      <c r="AD134" s="83">
        <f ca="1"/>
        <v>45678</v>
      </c>
      <c r="AE134" s="55">
        <f t="shared" ca="1" si="41"/>
        <v>45678</v>
      </c>
      <c r="AF134" s="55">
        <f t="shared" ca="1" si="42"/>
        <v>-94.674100821600561</v>
      </c>
      <c r="AG134" s="55">
        <f t="shared" ca="1" si="43"/>
        <v>263.9431631761571</v>
      </c>
      <c r="AH134" s="55">
        <f t="shared" ca="1" si="44"/>
        <v>0</v>
      </c>
      <c r="AI134" s="55">
        <f t="shared" ca="1" si="38"/>
        <v>-2.7630945465666361</v>
      </c>
      <c r="AJ134" s="55">
        <f t="shared" ca="1" si="39"/>
        <v>96.133074853817789</v>
      </c>
      <c r="AK134" s="55">
        <f t="shared" ca="1" si="40"/>
        <v>44.293239242222775</v>
      </c>
    </row>
    <row r="135" spans="18:37">
      <c r="R135" s="83">
        <f ca="1"/>
        <v>45493</v>
      </c>
      <c r="S135" s="55">
        <f t="shared" ca="1" si="33"/>
        <v>45493</v>
      </c>
      <c r="T135" s="55">
        <f t="shared" ca="1" si="27"/>
        <v>77.852931555071279</v>
      </c>
      <c r="U135" s="55">
        <f t="shared" ca="1" si="28"/>
        <v>28.740301172268087</v>
      </c>
      <c r="V135" s="55">
        <f t="shared" ca="1" si="29"/>
        <v>0</v>
      </c>
      <c r="W135" s="55">
        <f t="shared" ca="1" si="34"/>
        <v>-132.68430457492371</v>
      </c>
      <c r="X135" s="55">
        <f t="shared" ca="1" si="35"/>
        <v>93.701937501403279</v>
      </c>
      <c r="Y135" s="55">
        <f t="shared" ca="1" si="36"/>
        <v>43.684967082067487</v>
      </c>
      <c r="Z135">
        <f t="shared" ca="1" si="30"/>
        <v>120</v>
      </c>
      <c r="AA135">
        <f t="shared" ca="1" si="37"/>
        <v>219.01825093665258</v>
      </c>
      <c r="AB135">
        <f t="shared" ca="1" si="31"/>
        <v>0</v>
      </c>
      <c r="AC135">
        <f t="shared" ca="1" si="32"/>
        <v>0.89993187435437771</v>
      </c>
      <c r="AD135" s="83">
        <f ca="1"/>
        <v>45679</v>
      </c>
      <c r="AE135" s="55">
        <f t="shared" ca="1" si="41"/>
        <v>45679</v>
      </c>
      <c r="AF135" s="55">
        <f t="shared" ca="1" si="42"/>
        <v>-100.13689609846067</v>
      </c>
      <c r="AG135" s="55">
        <f t="shared" ca="1" si="43"/>
        <v>269.98960372795949</v>
      </c>
      <c r="AH135" s="55">
        <f t="shared" ca="1" si="44"/>
        <v>0</v>
      </c>
      <c r="AI135" s="55">
        <f t="shared" ca="1" si="38"/>
        <v>-2.7630945465666361</v>
      </c>
      <c r="AJ135" s="55">
        <f t="shared" ca="1" si="39"/>
        <v>96.710186829936916</v>
      </c>
      <c r="AK135" s="55">
        <f t="shared" ca="1" si="40"/>
        <v>44.299772541045932</v>
      </c>
    </row>
    <row r="136" spans="18:37">
      <c r="R136" s="83">
        <f ca="1"/>
        <v>45494</v>
      </c>
      <c r="S136" s="55">
        <f t="shared" ca="1" si="33"/>
        <v>45494</v>
      </c>
      <c r="T136" s="55">
        <f t="shared" ca="1" si="27"/>
        <v>75.899419520027394</v>
      </c>
      <c r="U136" s="55">
        <f t="shared" ca="1" si="28"/>
        <v>29.866502885463724</v>
      </c>
      <c r="V136" s="55">
        <f t="shared" ca="1" si="29"/>
        <v>0</v>
      </c>
      <c r="W136" s="55">
        <f t="shared" ca="1" si="34"/>
        <v>-134.18909306627731</v>
      </c>
      <c r="X136" s="55">
        <f t="shared" ca="1" si="35"/>
        <v>94.372958866914473</v>
      </c>
      <c r="Y136" s="55">
        <f t="shared" ca="1" si="36"/>
        <v>43.691423886061635</v>
      </c>
      <c r="Z136">
        <f t="shared" ca="1" si="30"/>
        <v>120</v>
      </c>
      <c r="AA136">
        <f t="shared" ca="1" si="37"/>
        <v>222.6182509366526</v>
      </c>
      <c r="AB136">
        <f t="shared" ca="1" si="31"/>
        <v>0</v>
      </c>
      <c r="AC136">
        <f t="shared" ca="1" si="32"/>
        <v>0.89994511793946319</v>
      </c>
      <c r="AD136" s="83">
        <f ca="1"/>
        <v>45680</v>
      </c>
      <c r="AE136" s="55">
        <f t="shared" ca="1" si="41"/>
        <v>45680</v>
      </c>
      <c r="AF136" s="55">
        <f t="shared" ca="1" si="42"/>
        <v>-105.51066255147047</v>
      </c>
      <c r="AG136" s="55">
        <f t="shared" ca="1" si="43"/>
        <v>275.98759404202951</v>
      </c>
      <c r="AH136" s="55">
        <f t="shared" ca="1" si="44"/>
        <v>0</v>
      </c>
      <c r="AI136" s="55">
        <f t="shared" ca="1" si="38"/>
        <v>-2.7630945465666361</v>
      </c>
      <c r="AJ136" s="55">
        <f t="shared" ca="1" si="39"/>
        <v>97.327059615346343</v>
      </c>
      <c r="AK136" s="55">
        <f t="shared" ca="1" si="40"/>
        <v>44.307123616696721</v>
      </c>
    </row>
    <row r="137" spans="18:37">
      <c r="R137" s="83">
        <f ca="1"/>
        <v>45495</v>
      </c>
      <c r="S137" s="55">
        <f t="shared" ca="1" si="33"/>
        <v>45495</v>
      </c>
      <c r="T137" s="55">
        <f t="shared" ca="1" si="27"/>
        <v>73.66307643314741</v>
      </c>
      <c r="U137" s="55">
        <f t="shared" ca="1" si="28"/>
        <v>30.960259276212525</v>
      </c>
      <c r="V137" s="55">
        <f t="shared" ca="1" si="29"/>
        <v>0</v>
      </c>
      <c r="W137" s="55">
        <f t="shared" ca="1" si="34"/>
        <v>-135.97003138665087</v>
      </c>
      <c r="X137" s="55">
        <f t="shared" ca="1" si="35"/>
        <v>95.005175989238651</v>
      </c>
      <c r="Y137" s="55">
        <f t="shared" ca="1" si="36"/>
        <v>43.697558387979846</v>
      </c>
      <c r="Z137">
        <f t="shared" ca="1" si="30"/>
        <v>120</v>
      </c>
      <c r="AA137">
        <f t="shared" ca="1" si="37"/>
        <v>227.00825093665259</v>
      </c>
      <c r="AB137">
        <f t="shared" ca="1" si="31"/>
        <v>0</v>
      </c>
      <c r="AC137">
        <f t="shared" ca="1" si="32"/>
        <v>0.89995521165513337</v>
      </c>
      <c r="AD137" s="83">
        <f ca="1"/>
        <v>45681</v>
      </c>
      <c r="AE137" s="55">
        <f t="shared" ca="1" si="41"/>
        <v>45681</v>
      </c>
      <c r="AF137" s="55">
        <f t="shared" ca="1" si="42"/>
        <v>-110.85642967511484</v>
      </c>
      <c r="AG137" s="55">
        <f t="shared" ca="1" si="43"/>
        <v>281.95171154349657</v>
      </c>
      <c r="AH137" s="55">
        <f t="shared" ca="1" si="44"/>
        <v>0</v>
      </c>
      <c r="AI137" s="55">
        <f t="shared" ca="1" si="38"/>
        <v>-2.7630945465666361</v>
      </c>
      <c r="AJ137" s="55">
        <f t="shared" ca="1" si="39"/>
        <v>97.938399686243002</v>
      </c>
      <c r="AK137" s="55">
        <f t="shared" ca="1" si="40"/>
        <v>44.314133923622755</v>
      </c>
    </row>
    <row r="138" spans="18:37">
      <c r="R138" s="83">
        <f ca="1"/>
        <v>45496</v>
      </c>
      <c r="S138" s="55">
        <f t="shared" ca="1" si="33"/>
        <v>45496</v>
      </c>
      <c r="T138" s="55">
        <f t="shared" ca="1" si="27"/>
        <v>72.734160423636851</v>
      </c>
      <c r="U138" s="55">
        <f t="shared" ca="1" si="28"/>
        <v>32.084935194651152</v>
      </c>
      <c r="V138" s="55">
        <f t="shared" ca="1" si="29"/>
        <v>0</v>
      </c>
      <c r="W138" s="55">
        <f t="shared" ca="1" si="34"/>
        <v>-136.41065282226072</v>
      </c>
      <c r="X138" s="55">
        <f t="shared" ca="1" si="35"/>
        <v>95.635491573066702</v>
      </c>
      <c r="Y138" s="55">
        <f t="shared" ca="1" si="36"/>
        <v>43.70362414868972</v>
      </c>
      <c r="Z138">
        <f t="shared" ca="1" si="30"/>
        <v>120</v>
      </c>
      <c r="AA138">
        <f t="shared" ca="1" si="37"/>
        <v>228.10825093665258</v>
      </c>
      <c r="AB138">
        <f t="shared" ca="1" si="31"/>
        <v>0</v>
      </c>
      <c r="AC138">
        <f t="shared" ca="1" si="32"/>
        <v>0.89996342540474694</v>
      </c>
      <c r="AD138" s="83">
        <f ca="1"/>
        <v>45682</v>
      </c>
      <c r="AE138" s="55">
        <f t="shared" ca="1" si="41"/>
        <v>45682</v>
      </c>
      <c r="AF138" s="55">
        <f t="shared" ca="1" si="42"/>
        <v>-116.13888469463446</v>
      </c>
      <c r="AG138" s="55">
        <f t="shared" ca="1" si="43"/>
        <v>287.83524886713428</v>
      </c>
      <c r="AH138" s="55">
        <f t="shared" ca="1" si="44"/>
        <v>0</v>
      </c>
      <c r="AI138" s="55">
        <f t="shared" ca="1" si="38"/>
        <v>-2.7630945465666361</v>
      </c>
      <c r="AJ138" s="55">
        <f t="shared" ca="1" si="39"/>
        <v>98.533049925019938</v>
      </c>
      <c r="AK138" s="55">
        <f t="shared" ca="1" si="40"/>
        <v>44.320565988963914</v>
      </c>
    </row>
    <row r="139" spans="18:37">
      <c r="R139" s="83">
        <f ca="1"/>
        <v>45497</v>
      </c>
      <c r="S139" s="55">
        <f t="shared" ca="1" si="33"/>
        <v>45497</v>
      </c>
      <c r="T139" s="55">
        <f t="shared" ca="1" si="27"/>
        <v>72.240107619189146</v>
      </c>
      <c r="U139" s="55">
        <f t="shared" ca="1" si="28"/>
        <v>33.185810165037196</v>
      </c>
      <c r="V139" s="55">
        <f t="shared" ca="1" si="29"/>
        <v>0</v>
      </c>
      <c r="W139" s="55">
        <f t="shared" ca="1" si="34"/>
        <v>-136.41065282226072</v>
      </c>
      <c r="X139" s="55">
        <f t="shared" ca="1" si="35"/>
        <v>96.236494076108769</v>
      </c>
      <c r="Y139" s="55">
        <f t="shared" ca="1" si="36"/>
        <v>43.709443811585984</v>
      </c>
      <c r="Z139">
        <f t="shared" ca="1" si="30"/>
        <v>119.82608695652175</v>
      </c>
      <c r="AA139">
        <f t="shared" ca="1" si="37"/>
        <v>228.10825093665258</v>
      </c>
      <c r="AB139">
        <f t="shared" ca="1" si="31"/>
        <v>0</v>
      </c>
      <c r="AC139">
        <f t="shared" ca="1" si="32"/>
        <v>0.89996982879590015</v>
      </c>
      <c r="AD139" s="83">
        <f ca="1"/>
        <v>45683</v>
      </c>
      <c r="AE139" s="55">
        <f t="shared" ca="1" si="41"/>
        <v>45683</v>
      </c>
      <c r="AF139" s="55">
        <f t="shared" ca="1" si="42"/>
        <v>-121.69799011631115</v>
      </c>
      <c r="AG139" s="55">
        <f t="shared" ca="1" si="43"/>
        <v>294.03863040101078</v>
      </c>
      <c r="AH139" s="55">
        <f t="shared" ca="1" si="44"/>
        <v>0</v>
      </c>
      <c r="AI139" s="55">
        <f t="shared" ca="1" si="38"/>
        <v>-2.7630945465666361</v>
      </c>
      <c r="AJ139" s="55">
        <f t="shared" ca="1" si="39"/>
        <v>99.170636058294704</v>
      </c>
      <c r="AK139" s="55">
        <f t="shared" ca="1" si="40"/>
        <v>44.327255967888952</v>
      </c>
    </row>
    <row r="140" spans="18:37">
      <c r="R140" s="83">
        <f ca="1"/>
        <v>45498</v>
      </c>
      <c r="S140" s="55">
        <f t="shared" ca="1" si="33"/>
        <v>45498</v>
      </c>
      <c r="T140" s="55">
        <f t="shared" ca="1" si="27"/>
        <v>71.725247560156504</v>
      </c>
      <c r="U140" s="55">
        <f t="shared" ca="1" si="28"/>
        <v>34.296993324575453</v>
      </c>
      <c r="V140" s="55">
        <f t="shared" ca="1" si="29"/>
        <v>0</v>
      </c>
      <c r="W140" s="55">
        <f t="shared" ca="1" si="34"/>
        <v>-136.41065282226072</v>
      </c>
      <c r="X140" s="55">
        <f t="shared" ca="1" si="35"/>
        <v>96.827114207264728</v>
      </c>
      <c r="Y140" s="55">
        <f t="shared" ca="1" si="36"/>
        <v>43.715146780935633</v>
      </c>
      <c r="Z140">
        <f t="shared" ca="1" si="30"/>
        <v>118.31337626458452</v>
      </c>
      <c r="AA140">
        <f t="shared" ca="1" si="37"/>
        <v>228.10825093665258</v>
      </c>
      <c r="AB140">
        <f t="shared" ca="1" si="31"/>
        <v>0</v>
      </c>
      <c r="AC140">
        <f t="shared" ca="1" si="32"/>
        <v>0.89997501976784711</v>
      </c>
      <c r="AD140" s="83">
        <f ca="1"/>
        <v>45684</v>
      </c>
      <c r="AE140" s="55">
        <f t="shared" ca="1" si="41"/>
        <v>45684</v>
      </c>
      <c r="AF140" s="55">
        <f t="shared" ca="1" si="42"/>
        <v>-126.89507597011422</v>
      </c>
      <c r="AG140" s="55">
        <f t="shared" ca="1" si="43"/>
        <v>299.8825700391871</v>
      </c>
      <c r="AH140" s="55">
        <f t="shared" ca="1" si="44"/>
        <v>0</v>
      </c>
      <c r="AI140" s="55">
        <f t="shared" ca="1" si="38"/>
        <v>-2.7630945465666361</v>
      </c>
      <c r="AJ140" s="55">
        <f t="shared" ca="1" si="39"/>
        <v>99.810536587816003</v>
      </c>
      <c r="AK140" s="55">
        <f t="shared" ca="1" si="40"/>
        <v>44.334209222740903</v>
      </c>
    </row>
    <row r="141" spans="18:37">
      <c r="R141" s="83">
        <f ca="1"/>
        <v>45499</v>
      </c>
      <c r="S141" s="55">
        <f t="shared" ca="1" si="33"/>
        <v>45499</v>
      </c>
      <c r="T141" s="55">
        <f t="shared" ca="1" si="27"/>
        <v>71.138891655308498</v>
      </c>
      <c r="U141" s="55">
        <f t="shared" ca="1" si="28"/>
        <v>35.515125155787963</v>
      </c>
      <c r="V141" s="55">
        <f t="shared" ca="1" si="29"/>
        <v>0</v>
      </c>
      <c r="W141" s="55">
        <f t="shared" ca="1" si="34"/>
        <v>-136.41065282226072</v>
      </c>
      <c r="X141" s="55">
        <f t="shared" ca="1" si="35"/>
        <v>97.453007132046224</v>
      </c>
      <c r="Y141" s="55">
        <f t="shared" ca="1" si="36"/>
        <v>43.721029782518642</v>
      </c>
      <c r="Z141">
        <f t="shared" ca="1" si="30"/>
        <v>119.88133192328986</v>
      </c>
      <c r="AA141">
        <f t="shared" ca="1" si="37"/>
        <v>228.10825093665258</v>
      </c>
      <c r="AB141">
        <f t="shared" ca="1" si="31"/>
        <v>0</v>
      </c>
      <c r="AC141">
        <f t="shared" ca="1" si="32"/>
        <v>0.89997957018386565</v>
      </c>
      <c r="AD141" s="83">
        <f ca="1"/>
        <v>45685</v>
      </c>
      <c r="AE141" s="55">
        <f t="shared" ca="1" si="41"/>
        <v>45685</v>
      </c>
      <c r="AF141" s="55">
        <f t="shared" ca="1" si="42"/>
        <v>-131.83404527403329</v>
      </c>
      <c r="AG141" s="55">
        <f t="shared" ca="1" si="43"/>
        <v>305.43888455772787</v>
      </c>
      <c r="AH141" s="55">
        <f t="shared" ca="1" si="44"/>
        <v>0</v>
      </c>
      <c r="AI141" s="55">
        <f t="shared" ca="1" si="38"/>
        <v>-2.7630945465666361</v>
      </c>
      <c r="AJ141" s="55">
        <f t="shared" ca="1" si="39"/>
        <v>100.42153600247622</v>
      </c>
      <c r="AK141" s="55">
        <f t="shared" ca="1" si="40"/>
        <v>44.340555022702397</v>
      </c>
    </row>
    <row r="142" spans="18:37">
      <c r="R142" s="83">
        <f ca="1"/>
        <v>45500</v>
      </c>
      <c r="S142" s="55">
        <f t="shared" ca="1" si="33"/>
        <v>45500</v>
      </c>
      <c r="T142" s="55">
        <f t="shared" ca="1" si="27"/>
        <v>70.541174415411803</v>
      </c>
      <c r="U142" s="55">
        <f t="shared" ca="1" si="28"/>
        <v>36.723235354909669</v>
      </c>
      <c r="V142" s="55">
        <f t="shared" ca="1" si="29"/>
        <v>0</v>
      </c>
      <c r="W142" s="55">
        <f t="shared" ca="1" si="34"/>
        <v>-136.41065282226072</v>
      </c>
      <c r="X142" s="55">
        <f t="shared" ca="1" si="35"/>
        <v>98.057701862529456</v>
      </c>
      <c r="Y142" s="55">
        <f t="shared" ca="1" si="36"/>
        <v>43.72672801126042</v>
      </c>
      <c r="Z142">
        <f t="shared" ca="1" si="30"/>
        <v>119.8467712096441</v>
      </c>
      <c r="AA142">
        <f t="shared" ca="1" si="37"/>
        <v>228.10825093665258</v>
      </c>
      <c r="AB142">
        <f t="shared" ca="1" si="31"/>
        <v>0</v>
      </c>
      <c r="AC142">
        <f t="shared" ca="1" si="32"/>
        <v>0.89998316881925644</v>
      </c>
      <c r="AD142" s="83">
        <f ca="1"/>
        <v>45686</v>
      </c>
      <c r="AE142" s="55">
        <f t="shared" ca="1" si="41"/>
        <v>45686</v>
      </c>
      <c r="AF142" s="55">
        <f t="shared" ca="1" si="42"/>
        <v>-136.84941405843153</v>
      </c>
      <c r="AG142" s="55">
        <f t="shared" ca="1" si="43"/>
        <v>311.0788986795875</v>
      </c>
      <c r="AH142" s="55">
        <f t="shared" ca="1" si="44"/>
        <v>0</v>
      </c>
      <c r="AI142" s="55">
        <f t="shared" ca="1" si="38"/>
        <v>-2.7630945465666361</v>
      </c>
      <c r="AJ142" s="55">
        <f t="shared" ca="1" si="39"/>
        <v>101.04019301121312</v>
      </c>
      <c r="AK142" s="55">
        <f t="shared" ca="1" si="40"/>
        <v>44.346543351426867</v>
      </c>
    </row>
    <row r="143" spans="18:37">
      <c r="R143" s="83">
        <f ca="1"/>
        <v>45501</v>
      </c>
      <c r="S143" s="55">
        <f t="shared" ca="1" si="33"/>
        <v>45501</v>
      </c>
      <c r="T143" s="55">
        <f t="shared" ca="1" si="27"/>
        <v>69.327937131478095</v>
      </c>
      <c r="U143" s="55">
        <f t="shared" ca="1" si="28"/>
        <v>37.972618563601017</v>
      </c>
      <c r="V143" s="55">
        <f t="shared" ca="1" si="29"/>
        <v>0</v>
      </c>
      <c r="W143" s="55">
        <f t="shared" ca="1" si="34"/>
        <v>-136.98796136914288</v>
      </c>
      <c r="X143" s="55">
        <f t="shared" ca="1" si="35"/>
        <v>98.665484573238217</v>
      </c>
      <c r="Y143" s="55">
        <f t="shared" ca="1" si="36"/>
        <v>43.732399772191435</v>
      </c>
      <c r="Z143">
        <f t="shared" ca="1" si="30"/>
        <v>120</v>
      </c>
      <c r="AA143">
        <f t="shared" ca="1" si="37"/>
        <v>229.62029763221275</v>
      </c>
      <c r="AB143">
        <f t="shared" ca="1" si="31"/>
        <v>0</v>
      </c>
      <c r="AC143">
        <f t="shared" ca="1" si="32"/>
        <v>0.89998614851354253</v>
      </c>
      <c r="AD143" s="83">
        <f ca="1"/>
        <v>45687</v>
      </c>
      <c r="AE143" s="55">
        <f t="shared" ca="1" si="41"/>
        <v>45687</v>
      </c>
      <c r="AF143" s="55">
        <f t="shared" ca="1" si="42"/>
        <v>-141.70758748301887</v>
      </c>
      <c r="AG143" s="55">
        <f t="shared" ca="1" si="43"/>
        <v>316.55949486472315</v>
      </c>
      <c r="AH143" s="55">
        <f t="shared" ca="1" si="44"/>
        <v>0</v>
      </c>
      <c r="AI143" s="55">
        <f t="shared" ca="1" si="38"/>
        <v>-2.7630945465666361</v>
      </c>
      <c r="AJ143" s="55">
        <f t="shared" ca="1" si="39"/>
        <v>101.65683108789956</v>
      </c>
      <c r="AK143" s="55">
        <f t="shared" ca="1" si="40"/>
        <v>44.352328035288757</v>
      </c>
    </row>
    <row r="144" spans="18:37">
      <c r="R144" s="83">
        <f ca="1"/>
        <v>45502</v>
      </c>
      <c r="S144" s="55">
        <f t="shared" ca="1" si="33"/>
        <v>45502</v>
      </c>
      <c r="T144" s="55">
        <f t="shared" ca="1" si="27"/>
        <v>68.660430551482449</v>
      </c>
      <c r="U144" s="55">
        <f t="shared" ca="1" si="28"/>
        <v>39.133435347189824</v>
      </c>
      <c r="V144" s="55">
        <f t="shared" ca="1" si="29"/>
        <v>0</v>
      </c>
      <c r="W144" s="55">
        <f t="shared" ca="1" si="34"/>
        <v>-137.05602475247218</v>
      </c>
      <c r="X144" s="55">
        <f t="shared" ca="1" si="35"/>
        <v>99.221556023487352</v>
      </c>
      <c r="Y144" s="55">
        <f t="shared" ca="1" si="36"/>
        <v>43.737701908864764</v>
      </c>
      <c r="Z144">
        <f t="shared" ca="1" si="30"/>
        <v>120</v>
      </c>
      <c r="AA144">
        <f t="shared" ca="1" si="37"/>
        <v>229.80029763221276</v>
      </c>
      <c r="AB144">
        <f t="shared" ca="1" si="31"/>
        <v>0</v>
      </c>
      <c r="AC144">
        <f t="shared" ca="1" si="32"/>
        <v>0.89998838744134091</v>
      </c>
      <c r="AD144" s="83">
        <f ca="1"/>
        <v>45688</v>
      </c>
      <c r="AE144" s="55">
        <f t="shared" ca="1" si="41"/>
        <v>45688</v>
      </c>
      <c r="AF144" s="55">
        <f t="shared" ca="1" si="42"/>
        <v>-146.26234367843551</v>
      </c>
      <c r="AG144" s="55">
        <f t="shared" ca="1" si="43"/>
        <v>321.70015697088064</v>
      </c>
      <c r="AH144" s="55">
        <f t="shared" ca="1" si="44"/>
        <v>0</v>
      </c>
      <c r="AI144" s="55">
        <f t="shared" ca="1" si="38"/>
        <v>-2.7630945465666361</v>
      </c>
      <c r="AJ144" s="55">
        <f t="shared" ca="1" si="39"/>
        <v>102.23769454522522</v>
      </c>
      <c r="AK144" s="55">
        <f t="shared" ca="1" si="40"/>
        <v>44.357370488703928</v>
      </c>
    </row>
    <row r="145" spans="18:37">
      <c r="R145" s="83">
        <f ca="1"/>
        <v>45503</v>
      </c>
      <c r="S145" s="55">
        <f t="shared" ca="1" si="33"/>
        <v>45503</v>
      </c>
      <c r="T145" s="55">
        <f t="shared" ca="1" si="27"/>
        <v>67.406533455113916</v>
      </c>
      <c r="U145" s="55">
        <f t="shared" ca="1" si="28"/>
        <v>40.407421787927468</v>
      </c>
      <c r="V145" s="55">
        <f t="shared" ca="1" si="29"/>
        <v>0</v>
      </c>
      <c r="W145" s="55">
        <f t="shared" ca="1" si="34"/>
        <v>-137.63142255254556</v>
      </c>
      <c r="X145" s="55">
        <f t="shared" ca="1" si="35"/>
        <v>99.811569055246949</v>
      </c>
      <c r="Y145" s="55">
        <f t="shared" ca="1" si="36"/>
        <v>43.743176021547647</v>
      </c>
      <c r="Z145">
        <f t="shared" ca="1" si="30"/>
        <v>120</v>
      </c>
      <c r="AA145">
        <f t="shared" ca="1" si="37"/>
        <v>231.35029763221274</v>
      </c>
      <c r="AB145">
        <f t="shared" ca="1" si="31"/>
        <v>0</v>
      </c>
      <c r="AC145">
        <f t="shared" ca="1" si="32"/>
        <v>0.89999038334995451</v>
      </c>
      <c r="AD145" s="83">
        <f ca="1"/>
        <v>45689</v>
      </c>
      <c r="AE145" s="55">
        <f t="shared" ca="1" si="41"/>
        <v>45689</v>
      </c>
      <c r="AF145" s="55">
        <f t="shared" ca="1" si="42"/>
        <v>-150.58171904019864</v>
      </c>
      <c r="AG145" s="55">
        <f t="shared" ca="1" si="43"/>
        <v>326.63851341106425</v>
      </c>
      <c r="AH145" s="55">
        <f t="shared" ca="1" si="44"/>
        <v>0</v>
      </c>
      <c r="AI145" s="55">
        <f t="shared" ca="1" si="38"/>
        <v>-2.7630945465666361</v>
      </c>
      <c r="AJ145" s="55">
        <f t="shared" ca="1" si="39"/>
        <v>102.85081686381294</v>
      </c>
      <c r="AK145" s="55">
        <f t="shared" ca="1" si="40"/>
        <v>44.36322924853669</v>
      </c>
    </row>
    <row r="146" spans="18:37">
      <c r="R146" s="83">
        <f ca="1"/>
        <v>45504</v>
      </c>
      <c r="S146" s="55">
        <f t="shared" ca="1" si="33"/>
        <v>45504</v>
      </c>
      <c r="T146" s="55">
        <f t="shared" ref="T146:T209" ca="1" si="45">VLOOKUP(S146,ModelOutputs,2,FALSE)</f>
        <v>65.005048209369875</v>
      </c>
      <c r="U146" s="55">
        <f t="shared" ref="U146:U209" ca="1" si="46">VLOOKUP(S146,ModelOutputs,7,FALSE)</f>
        <v>41.956485494746062</v>
      </c>
      <c r="V146" s="55">
        <f t="shared" ref="V146:V209" ca="1" si="47">VLOOKUP(S146,ModelOutputs,6,FALSE)</f>
        <v>0</v>
      </c>
      <c r="W146" s="55">
        <f t="shared" ca="1" si="34"/>
        <v>-139.18155742680204</v>
      </c>
      <c r="X146" s="55">
        <f t="shared" ca="1" si="35"/>
        <v>100.50321964321</v>
      </c>
      <c r="Y146" s="55">
        <f t="shared" ca="1" si="36"/>
        <v>43.749238768915625</v>
      </c>
      <c r="Z146">
        <f t="shared" ref="Z146:Z209" ca="1" si="48">VLOOKUP(S146,ModelOutputs,10,FALSE)*AWC</f>
        <v>120</v>
      </c>
      <c r="AA146">
        <f t="shared" ca="1" si="37"/>
        <v>235.68029763221273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0.89999230450880097</v>
      </c>
      <c r="AD146" s="83">
        <f ca="1"/>
        <v>45690</v>
      </c>
      <c r="AE146" s="55">
        <f t="shared" ca="1" si="41"/>
        <v>45690</v>
      </c>
      <c r="AF146" s="55">
        <f t="shared" ca="1" si="42"/>
        <v>-154.61897288760093</v>
      </c>
      <c r="AG146" s="55">
        <f t="shared" ca="1" si="43"/>
        <v>331.32033714422198</v>
      </c>
      <c r="AH146" s="55">
        <f t="shared" ca="1" si="44"/>
        <v>0</v>
      </c>
      <c r="AI146" s="55">
        <f t="shared" ca="1" si="38"/>
        <v>-2.7630945465666361</v>
      </c>
      <c r="AJ146" s="55">
        <f t="shared" ca="1" si="39"/>
        <v>103.48888266326213</v>
      </c>
      <c r="AK146" s="55">
        <f t="shared" ca="1" si="40"/>
        <v>44.369733334842913</v>
      </c>
    </row>
    <row r="147" spans="18:37">
      <c r="R147" s="83">
        <f ca="1"/>
        <v>45505</v>
      </c>
      <c r="S147" s="55">
        <f t="shared" ref="S147:S210" ca="1" si="51">IF(R147&gt;1,R147,"")</f>
        <v>45505</v>
      </c>
      <c r="T147" s="55">
        <f t="shared" ca="1" si="45"/>
        <v>62.925312670287902</v>
      </c>
      <c r="U147" s="55">
        <f t="shared" ca="1" si="46"/>
        <v>43.594140280594615</v>
      </c>
      <c r="V147" s="55">
        <f t="shared" ca="1" si="47"/>
        <v>0</v>
      </c>
      <c r="W147" s="55">
        <f t="shared" ref="W147:W210" ca="1" si="52">-VLOOKUP(S147,ModelOutputs,9,FALSE)+W146</f>
        <v>-140.33901839551407</v>
      </c>
      <c r="X147" s="55">
        <f t="shared" ref="X147:X210" ca="1" si="53">VLOOKUP(S147,ModelOutputs,5,FALSE)+X146</f>
        <v>101.21247901977448</v>
      </c>
      <c r="Y147" s="55">
        <f t="shared" ref="Y147:Y210" ca="1" si="54">VLOOKUP(S147,ModelOutputs,4,FALSE)+Y146</f>
        <v>43.755359607829746</v>
      </c>
      <c r="Z147">
        <f t="shared" ca="1" si="48"/>
        <v>120</v>
      </c>
      <c r="AA147">
        <f t="shared" ref="AA147:AA210" ca="1" si="55">VLOOKUP(S147,ModelOutputs,11,FALSE)+AA146</f>
        <v>239.02029763221273</v>
      </c>
      <c r="AB147">
        <f t="shared" ca="1" si="49"/>
        <v>0</v>
      </c>
      <c r="AC147">
        <f t="shared" ca="1" si="50"/>
        <v>0.89999387628514183</v>
      </c>
      <c r="AD147" s="83">
        <f ca="1"/>
        <v>45691</v>
      </c>
      <c r="AE147" s="55">
        <f t="shared" ca="1" si="41"/>
        <v>45691</v>
      </c>
      <c r="AF147" s="55">
        <f t="shared" ca="1" si="42"/>
        <v>-158.5597297874383</v>
      </c>
      <c r="AG147" s="55">
        <f t="shared" ca="1" si="43"/>
        <v>335.89573555743351</v>
      </c>
      <c r="AH147" s="55">
        <f t="shared" ca="1" si="44"/>
        <v>0</v>
      </c>
      <c r="AI147" s="55">
        <f t="shared" ref="AI147:AI210" ca="1" si="56">-VLOOKUP(AE147,ModelOutputs,9,FALSE)+AI146</f>
        <v>-2.7630945465666361</v>
      </c>
      <c r="AJ147" s="55">
        <f t="shared" ref="AJ147:AJ210" ca="1" si="57">VLOOKUP(AE147,ModelOutputs,5,FALSE)+AJ146</f>
        <v>104.11749255997194</v>
      </c>
      <c r="AK147" s="55">
        <f t="shared" ref="AK147:AK210" ca="1" si="58">VLOOKUP(AE147,ModelOutputs,4,FALSE)+AK146</f>
        <v>44.375764951507257</v>
      </c>
    </row>
    <row r="148" spans="18:37">
      <c r="R148" s="83">
        <f ca="1"/>
        <v>45506</v>
      </c>
      <c r="S148" s="55">
        <f t="shared" ca="1" si="51"/>
        <v>45506</v>
      </c>
      <c r="T148" s="55">
        <f t="shared" ca="1" si="45"/>
        <v>61.764377980298981</v>
      </c>
      <c r="U148" s="55">
        <f t="shared" ca="1" si="46"/>
        <v>45.201878625541411</v>
      </c>
      <c r="V148" s="55">
        <f t="shared" ca="1" si="47"/>
        <v>0</v>
      </c>
      <c r="W148" s="55">
        <f t="shared" ca="1" si="52"/>
        <v>-140.57372303183922</v>
      </c>
      <c r="X148" s="55">
        <f t="shared" ca="1" si="53"/>
        <v>101.88812390443351</v>
      </c>
      <c r="Y148" s="55">
        <f t="shared" ca="1" si="54"/>
        <v>43.761223014453726</v>
      </c>
      <c r="Z148">
        <f t="shared" ca="1" si="48"/>
        <v>120</v>
      </c>
      <c r="AA148">
        <f t="shared" ca="1" si="55"/>
        <v>239.71029763221273</v>
      </c>
      <c r="AB148">
        <f t="shared" ca="1" si="49"/>
        <v>0</v>
      </c>
      <c r="AC148">
        <f t="shared" ca="1" si="50"/>
        <v>0.89999507423505132</v>
      </c>
      <c r="AD148" s="83">
        <f ca="1"/>
        <v>45692</v>
      </c>
      <c r="AE148" s="55">
        <f t="shared" ca="1" si="41"/>
        <v>45692</v>
      </c>
      <c r="AF148" s="55">
        <f t="shared" ca="1" si="42"/>
        <v>-162.16400790902446</v>
      </c>
      <c r="AG148" s="55">
        <f t="shared" ca="1" si="43"/>
        <v>340.14422072796208</v>
      </c>
      <c r="AH148" s="55">
        <f t="shared" ca="1" si="44"/>
        <v>0</v>
      </c>
      <c r="AI148" s="55">
        <f t="shared" ca="1" si="56"/>
        <v>-2.7630945465666361</v>
      </c>
      <c r="AJ148" s="55">
        <f t="shared" ca="1" si="57"/>
        <v>104.75526516016247</v>
      </c>
      <c r="AK148" s="55">
        <f t="shared" ca="1" si="58"/>
        <v>44.382199400259132</v>
      </c>
    </row>
    <row r="149" spans="18:37">
      <c r="R149" s="83">
        <f ca="1"/>
        <v>45507</v>
      </c>
      <c r="S149" s="55">
        <f t="shared" ca="1" si="51"/>
        <v>45507</v>
      </c>
      <c r="T149" s="55">
        <f t="shared" ca="1" si="45"/>
        <v>59.170426634566518</v>
      </c>
      <c r="U149" s="55">
        <f t="shared" ca="1" si="46"/>
        <v>46.869594819632312</v>
      </c>
      <c r="V149" s="55">
        <f t="shared" ca="1" si="47"/>
        <v>0</v>
      </c>
      <c r="W149" s="55">
        <f t="shared" ca="1" si="52"/>
        <v>-142.18676031444241</v>
      </c>
      <c r="X149" s="55">
        <f t="shared" ca="1" si="53"/>
        <v>102.56907756961326</v>
      </c>
      <c r="Y149" s="55">
        <f t="shared" ca="1" si="54"/>
        <v>43.7670714802356</v>
      </c>
      <c r="Z149">
        <f t="shared" ca="1" si="48"/>
        <v>120</v>
      </c>
      <c r="AA149">
        <f t="shared" ca="1" si="55"/>
        <v>244.66029763221275</v>
      </c>
      <c r="AB149">
        <f t="shared" ca="1" si="49"/>
        <v>0</v>
      </c>
      <c r="AC149">
        <f t="shared" ca="1" si="50"/>
        <v>0.89999604466336636</v>
      </c>
      <c r="AD149" s="83">
        <f ca="1"/>
        <v>45693</v>
      </c>
      <c r="AE149" s="55">
        <f t="shared" ref="AE149:AE212" ca="1" si="59">IF(AD149&gt;1,AD149,"")</f>
        <v>45693</v>
      </c>
      <c r="AF149" s="55">
        <f t="shared" ref="AF149:AF212" ca="1" si="60">VLOOKUP(AE149,ModelOutputs,2,FALSE)</f>
        <v>-165.4708524893687</v>
      </c>
      <c r="AG149" s="55">
        <f t="shared" ref="AG149:AG212" ca="1" si="61">VLOOKUP(AE149,ModelOutputs,7,FALSE)</f>
        <v>344.06749056374059</v>
      </c>
      <c r="AH149" s="55">
        <f t="shared" ref="AH149:AH212" ca="1" si="62">VLOOKUP(AE149,ModelOutputs,6,FALSE)</f>
        <v>0</v>
      </c>
      <c r="AI149" s="55">
        <f t="shared" ca="1" si="56"/>
        <v>-2.7630945465666361</v>
      </c>
      <c r="AJ149" s="55">
        <f t="shared" ca="1" si="57"/>
        <v>105.36565327096157</v>
      </c>
      <c r="AK149" s="55">
        <f t="shared" ca="1" si="58"/>
        <v>44.388236544894305</v>
      </c>
    </row>
    <row r="150" spans="18:37">
      <c r="R150" s="83">
        <f ca="1"/>
        <v>45508</v>
      </c>
      <c r="S150" s="55">
        <f t="shared" ca="1" si="51"/>
        <v>45508</v>
      </c>
      <c r="T150" s="55">
        <f t="shared" ca="1" si="45"/>
        <v>57.663722980686018</v>
      </c>
      <c r="U150" s="55">
        <f t="shared" ca="1" si="46"/>
        <v>48.515151053349491</v>
      </c>
      <c r="V150" s="55">
        <f t="shared" ca="1" si="47"/>
        <v>0</v>
      </c>
      <c r="W150" s="55">
        <f t="shared" ca="1" si="52"/>
        <v>-142.70757237475493</v>
      </c>
      <c r="X150" s="55">
        <f t="shared" ca="1" si="53"/>
        <v>103.22310248489374</v>
      </c>
      <c r="Y150" s="55">
        <f t="shared" ca="1" si="54"/>
        <v>43.772711205104308</v>
      </c>
      <c r="Z150">
        <f t="shared" ca="1" si="48"/>
        <v>120</v>
      </c>
      <c r="AA150">
        <f t="shared" ca="1" si="55"/>
        <v>246.30029763221273</v>
      </c>
      <c r="AB150">
        <f t="shared" ca="1" si="49"/>
        <v>0</v>
      </c>
      <c r="AC150">
        <f t="shared" ca="1" si="50"/>
        <v>0.89999679571636981</v>
      </c>
      <c r="AD150" s="83">
        <f ca="1"/>
        <v>45694</v>
      </c>
      <c r="AE150" s="55">
        <f t="shared" ca="1" si="59"/>
        <v>45694</v>
      </c>
      <c r="AF150" s="55">
        <f t="shared" ca="1" si="60"/>
        <v>-168.4858633810245</v>
      </c>
      <c r="AG150" s="55">
        <f t="shared" ca="1" si="61"/>
        <v>347.64736149473958</v>
      </c>
      <c r="AH150" s="55">
        <f t="shared" ca="1" si="62"/>
        <v>0</v>
      </c>
      <c r="AI150" s="55">
        <f t="shared" ca="1" si="56"/>
        <v>-2.7630945465666361</v>
      </c>
      <c r="AJ150" s="55">
        <f t="shared" ca="1" si="57"/>
        <v>105.92531787409155</v>
      </c>
      <c r="AK150" s="55">
        <f t="shared" ca="1" si="58"/>
        <v>44.393431981107504</v>
      </c>
    </row>
    <row r="151" spans="18:37">
      <c r="R151" s="83">
        <f ca="1"/>
        <v>45509</v>
      </c>
      <c r="S151" s="55">
        <f t="shared" ca="1" si="51"/>
        <v>45509</v>
      </c>
      <c r="T151" s="55">
        <f t="shared" ca="1" si="45"/>
        <v>55.565547154928154</v>
      </c>
      <c r="U151" s="55">
        <f t="shared" ca="1" si="46"/>
        <v>50.224402175275721</v>
      </c>
      <c r="V151" s="55">
        <f t="shared" ca="1" si="47"/>
        <v>0</v>
      </c>
      <c r="W151" s="55">
        <f t="shared" ca="1" si="52"/>
        <v>-143.76331777069856</v>
      </c>
      <c r="X151" s="55">
        <f t="shared" ca="1" si="53"/>
        <v>103.88428428249357</v>
      </c>
      <c r="Y151" s="55">
        <f t="shared" ca="1" si="54"/>
        <v>43.778350099616489</v>
      </c>
      <c r="Z151">
        <f t="shared" ca="1" si="48"/>
        <v>120</v>
      </c>
      <c r="AA151">
        <f t="shared" ca="1" si="55"/>
        <v>249.75029763221272</v>
      </c>
      <c r="AB151">
        <f t="shared" ca="1" si="49"/>
        <v>0</v>
      </c>
      <c r="AC151">
        <f t="shared" ca="1" si="50"/>
        <v>0.89999741030438796</v>
      </c>
      <c r="AD151" s="83">
        <f ca="1"/>
        <v>45695</v>
      </c>
      <c r="AE151" s="55">
        <f t="shared" ca="1" si="59"/>
        <v>45695</v>
      </c>
      <c r="AF151" s="55">
        <f t="shared" ca="1" si="60"/>
        <v>-171.26085447920161</v>
      </c>
      <c r="AG151" s="55">
        <f t="shared" ca="1" si="61"/>
        <v>350.97990816745966</v>
      </c>
      <c r="AH151" s="55">
        <f t="shared" ca="1" si="62"/>
        <v>0</v>
      </c>
      <c r="AI151" s="55">
        <f t="shared" ca="1" si="56"/>
        <v>-2.7630945465666361</v>
      </c>
      <c r="AJ151" s="55">
        <f t="shared" ca="1" si="57"/>
        <v>106.47767774851776</v>
      </c>
      <c r="AK151" s="55">
        <f t="shared" ca="1" si="58"/>
        <v>44.398627681224276</v>
      </c>
    </row>
    <row r="152" spans="18:37">
      <c r="R152" s="83">
        <f ca="1"/>
        <v>45510</v>
      </c>
      <c r="S152" s="55">
        <f t="shared" ca="1" si="51"/>
        <v>45510</v>
      </c>
      <c r="T152" s="55">
        <f t="shared" ca="1" si="45"/>
        <v>54.136875162530401</v>
      </c>
      <c r="U152" s="55">
        <f t="shared" ca="1" si="46"/>
        <v>51.999141049812465</v>
      </c>
      <c r="V152" s="55">
        <f t="shared" ca="1" si="47"/>
        <v>0</v>
      </c>
      <c r="W152" s="55">
        <f t="shared" ca="1" si="52"/>
        <v>-144.09127739124838</v>
      </c>
      <c r="X152" s="55">
        <f t="shared" ca="1" si="53"/>
        <v>104.55267270570921</v>
      </c>
      <c r="Y152" s="55">
        <f t="shared" ca="1" si="54"/>
        <v>43.783988179089661</v>
      </c>
      <c r="Z152">
        <f t="shared" ca="1" si="48"/>
        <v>120</v>
      </c>
      <c r="AA152">
        <f t="shared" ca="1" si="55"/>
        <v>250.85029763221274</v>
      </c>
      <c r="AB152">
        <f t="shared" ca="1" si="49"/>
        <v>0</v>
      </c>
      <c r="AC152">
        <f t="shared" ca="1" si="50"/>
        <v>0.89999791196981571</v>
      </c>
      <c r="AD152" s="83">
        <f ca="1"/>
        <v>45696</v>
      </c>
      <c r="AE152" s="55">
        <f t="shared" ca="1" si="59"/>
        <v>45696</v>
      </c>
      <c r="AF152" s="55">
        <f t="shared" ca="1" si="60"/>
        <v>-173.98289490149355</v>
      </c>
      <c r="AG152" s="55">
        <f t="shared" ca="1" si="61"/>
        <v>354.28235294117644</v>
      </c>
      <c r="AH152" s="55">
        <f t="shared" ca="1" si="62"/>
        <v>0</v>
      </c>
      <c r="AI152" s="55">
        <f t="shared" ca="1" si="56"/>
        <v>-2.7630945465666361</v>
      </c>
      <c r="AJ152" s="55">
        <f t="shared" ca="1" si="57"/>
        <v>107.05269454217883</v>
      </c>
      <c r="AK152" s="55">
        <f t="shared" ca="1" si="58"/>
        <v>44.404015238988059</v>
      </c>
    </row>
    <row r="153" spans="18:37">
      <c r="R153" s="83">
        <f ca="1"/>
        <v>45511</v>
      </c>
      <c r="S153" s="55">
        <f t="shared" ca="1" si="51"/>
        <v>45511</v>
      </c>
      <c r="T153" s="55">
        <f t="shared" ca="1" si="45"/>
        <v>52.32920001199016</v>
      </c>
      <c r="U153" s="55">
        <f t="shared" ca="1" si="46"/>
        <v>53.722975679454159</v>
      </c>
      <c r="V153" s="55">
        <f t="shared" ca="1" si="47"/>
        <v>0</v>
      </c>
      <c r="W153" s="55">
        <f t="shared" ca="1" si="52"/>
        <v>-144.81463378213877</v>
      </c>
      <c r="X153" s="55">
        <f t="shared" ca="1" si="53"/>
        <v>105.18679503733111</v>
      </c>
      <c r="Y153" s="55">
        <f t="shared" ca="1" si="54"/>
        <v>43.789381717459598</v>
      </c>
      <c r="Z153">
        <f t="shared" ca="1" si="48"/>
        <v>120</v>
      </c>
      <c r="AA153">
        <f t="shared" ca="1" si="55"/>
        <v>253.36029763221273</v>
      </c>
      <c r="AB153">
        <f t="shared" ca="1" si="49"/>
        <v>0</v>
      </c>
      <c r="AC153">
        <f t="shared" ca="1" si="50"/>
        <v>0.89999829711282353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45512</v>
      </c>
      <c r="S154" s="55">
        <f t="shared" ca="1" si="51"/>
        <v>45512</v>
      </c>
      <c r="T154" s="55">
        <f t="shared" ca="1" si="45"/>
        <v>50.751927269577344</v>
      </c>
      <c r="U154" s="55">
        <f t="shared" ca="1" si="46"/>
        <v>55.294665467447267</v>
      </c>
      <c r="V154" s="55">
        <f t="shared" ca="1" si="47"/>
        <v>0</v>
      </c>
      <c r="W154" s="55">
        <f t="shared" ca="1" si="52"/>
        <v>-145.39600078668767</v>
      </c>
      <c r="X154" s="55">
        <f t="shared" ca="1" si="53"/>
        <v>105.75759304896839</v>
      </c>
      <c r="Y154" s="55">
        <f t="shared" ca="1" si="54"/>
        <v>43.794367755951512</v>
      </c>
      <c r="Z154">
        <f t="shared" ca="1" si="48"/>
        <v>120</v>
      </c>
      <c r="AA154">
        <f t="shared" ca="1" si="55"/>
        <v>255.44029763221275</v>
      </c>
      <c r="AB154">
        <f t="shared" ca="1" si="49"/>
        <v>0</v>
      </c>
      <c r="AC154">
        <f t="shared" ca="1" si="50"/>
        <v>0.89999858003929789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45513</v>
      </c>
      <c r="S155" s="55">
        <f t="shared" ca="1" si="51"/>
        <v>45513</v>
      </c>
      <c r="T155" s="55">
        <f t="shared" ca="1" si="45"/>
        <v>49.776663669083149</v>
      </c>
      <c r="U155" s="55">
        <f t="shared" ca="1" si="46"/>
        <v>56.786453486798649</v>
      </c>
      <c r="V155" s="55">
        <f t="shared" ca="1" si="47"/>
        <v>0</v>
      </c>
      <c r="W155" s="55">
        <f t="shared" ca="1" si="52"/>
        <v>-145.42067269824537</v>
      </c>
      <c r="X155" s="55">
        <f t="shared" ca="1" si="53"/>
        <v>106.29403527857912</v>
      </c>
      <c r="Y155" s="55">
        <f t="shared" ca="1" si="54"/>
        <v>43.79912185675569</v>
      </c>
      <c r="Z155">
        <f t="shared" ca="1" si="48"/>
        <v>120</v>
      </c>
      <c r="AA155">
        <f t="shared" ca="1" si="55"/>
        <v>255.53029763221275</v>
      </c>
      <c r="AB155">
        <f t="shared" ca="1" si="49"/>
        <v>0</v>
      </c>
      <c r="AC155">
        <f t="shared" ca="1" si="50"/>
        <v>0.8999988008058879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45514</v>
      </c>
      <c r="S156" s="55">
        <f t="shared" ca="1" si="51"/>
        <v>45514</v>
      </c>
      <c r="T156" s="55">
        <f t="shared" ca="1" si="45"/>
        <v>47.764842995002255</v>
      </c>
      <c r="U156" s="55">
        <f t="shared" ca="1" si="46"/>
        <v>58.493490341162655</v>
      </c>
      <c r="V156" s="55">
        <f t="shared" ca="1" si="47"/>
        <v>0</v>
      </c>
      <c r="W156" s="55">
        <f t="shared" ca="1" si="52"/>
        <v>-146.32294365997996</v>
      </c>
      <c r="X156" s="55">
        <f t="shared" ca="1" si="53"/>
        <v>106.88647912461576</v>
      </c>
      <c r="Y156" s="55">
        <f t="shared" ca="1" si="54"/>
        <v>43.804165152736736</v>
      </c>
      <c r="Z156">
        <f t="shared" ca="1" si="48"/>
        <v>120</v>
      </c>
      <c r="AA156">
        <f t="shared" ca="1" si="55"/>
        <v>258.96029763221276</v>
      </c>
      <c r="AB156">
        <f t="shared" ca="1" si="49"/>
        <v>0</v>
      </c>
      <c r="AC156">
        <f t="shared" ca="1" si="50"/>
        <v>0.8999990077751665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45515</v>
      </c>
      <c r="S157" s="55">
        <f t="shared" ca="1" si="51"/>
        <v>45515</v>
      </c>
      <c r="T157" s="55">
        <f t="shared" ca="1" si="45"/>
        <v>45.619937166078785</v>
      </c>
      <c r="U157" s="55">
        <f t="shared" ca="1" si="46"/>
        <v>60.319129602514593</v>
      </c>
      <c r="V157" s="55">
        <f t="shared" ca="1" si="47"/>
        <v>0</v>
      </c>
      <c r="W157" s="55">
        <f t="shared" ca="1" si="52"/>
        <v>-147.26509453623592</v>
      </c>
      <c r="X157" s="55">
        <f t="shared" ca="1" si="53"/>
        <v>107.50421144638342</v>
      </c>
      <c r="Y157" s="55">
        <f t="shared" ca="1" si="54"/>
        <v>43.809317139653515</v>
      </c>
      <c r="Z157">
        <f t="shared" ca="1" si="48"/>
        <v>120</v>
      </c>
      <c r="AA157">
        <f t="shared" ca="1" si="55"/>
        <v>262.71029763221276</v>
      </c>
      <c r="AB157">
        <f t="shared" ca="1" si="49"/>
        <v>0</v>
      </c>
      <c r="AC157">
        <f t="shared" ca="1" si="50"/>
        <v>0.89999918624654418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45516</v>
      </c>
      <c r="S158" s="55">
        <f t="shared" ca="1" si="51"/>
        <v>45516</v>
      </c>
      <c r="T158" s="55">
        <f t="shared" ca="1" si="45"/>
        <v>43.871069581620311</v>
      </c>
      <c r="U158" s="55">
        <f t="shared" ca="1" si="46"/>
        <v>62.245998874714651</v>
      </c>
      <c r="V158" s="55">
        <f t="shared" ca="1" si="47"/>
        <v>0</v>
      </c>
      <c r="W158" s="55">
        <f t="shared" ca="1" si="52"/>
        <v>-147.72898341111636</v>
      </c>
      <c r="X158" s="55">
        <f t="shared" ca="1" si="53"/>
        <v>108.14087977064268</v>
      </c>
      <c r="Y158" s="55">
        <f t="shared" ca="1" si="54"/>
        <v>43.814539378016278</v>
      </c>
      <c r="Z158">
        <f t="shared" ca="1" si="48"/>
        <v>120</v>
      </c>
      <c r="AA158">
        <f t="shared" ca="1" si="55"/>
        <v>264.63029763221277</v>
      </c>
      <c r="AB158">
        <f t="shared" ca="1" si="49"/>
        <v>0</v>
      </c>
      <c r="AC158">
        <f t="shared" ca="1" si="50"/>
        <v>0.89999933691773526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45517</v>
      </c>
      <c r="S159" s="55">
        <f t="shared" ca="1" si="51"/>
        <v>45517</v>
      </c>
      <c r="T159" s="55">
        <f t="shared" ca="1" si="45"/>
        <v>41.240547170136203</v>
      </c>
      <c r="U159" s="55">
        <f t="shared" ca="1" si="46"/>
        <v>64.273682699006741</v>
      </c>
      <c r="V159" s="55">
        <f t="shared" ca="1" si="47"/>
        <v>0</v>
      </c>
      <c r="W159" s="55">
        <f t="shared" ca="1" si="52"/>
        <v>-148.99178091924773</v>
      </c>
      <c r="X159" s="55">
        <f t="shared" ca="1" si="53"/>
        <v>108.79555325853742</v>
      </c>
      <c r="Y159" s="55">
        <f t="shared" ca="1" si="54"/>
        <v>43.819824811060883</v>
      </c>
      <c r="Z159">
        <f t="shared" ca="1" si="48"/>
        <v>120</v>
      </c>
      <c r="AA159">
        <f t="shared" ca="1" si="55"/>
        <v>270.19029763221278</v>
      </c>
      <c r="AB159">
        <f t="shared" ca="1" si="49"/>
        <v>0</v>
      </c>
      <c r="AC159">
        <f t="shared" ca="1" si="50"/>
        <v>0.8999994629422301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45518</v>
      </c>
      <c r="S160" s="55">
        <f t="shared" ca="1" si="51"/>
        <v>45518</v>
      </c>
      <c r="T160" s="55">
        <f t="shared" ca="1" si="45"/>
        <v>39.43622653585377</v>
      </c>
      <c r="U160" s="55">
        <f t="shared" ca="1" si="46"/>
        <v>66.272922203701398</v>
      </c>
      <c r="V160" s="55">
        <f t="shared" ca="1" si="47"/>
        <v>0</v>
      </c>
      <c r="W160" s="55">
        <f t="shared" ca="1" si="52"/>
        <v>-149.43483835128532</v>
      </c>
      <c r="X160" s="55">
        <f t="shared" ca="1" si="53"/>
        <v>109.42840504266228</v>
      </c>
      <c r="Y160" s="55">
        <f t="shared" ca="1" si="54"/>
        <v>43.824949329385845</v>
      </c>
      <c r="Z160">
        <f t="shared" ca="1" si="48"/>
        <v>120</v>
      </c>
      <c r="AA160">
        <f t="shared" ca="1" si="55"/>
        <v>272.2302976322128</v>
      </c>
      <c r="AB160">
        <f t="shared" ca="1" si="49"/>
        <v>0</v>
      </c>
      <c r="AC160">
        <f t="shared" ca="1" si="50"/>
        <v>0.89999956181532936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45519</v>
      </c>
      <c r="S161" s="55">
        <f t="shared" ca="1" si="51"/>
        <v>45519</v>
      </c>
      <c r="T161" s="55">
        <f t="shared" ca="1" si="45"/>
        <v>37.931315341979094</v>
      </c>
      <c r="U161" s="55">
        <f t="shared" ca="1" si="46"/>
        <v>68.369840309994885</v>
      </c>
      <c r="V161" s="55">
        <f t="shared" ca="1" si="47"/>
        <v>0</v>
      </c>
      <c r="W161" s="55">
        <f t="shared" ca="1" si="52"/>
        <v>-149.49750748098077</v>
      </c>
      <c r="X161" s="55">
        <f t="shared" ca="1" si="53"/>
        <v>110.07790143483237</v>
      </c>
      <c r="Y161" s="55">
        <f t="shared" ca="1" si="54"/>
        <v>43.830128979330006</v>
      </c>
      <c r="Z161">
        <f t="shared" ca="1" si="48"/>
        <v>120</v>
      </c>
      <c r="AA161">
        <f t="shared" ca="1" si="55"/>
        <v>272.53029763221275</v>
      </c>
      <c r="AB161">
        <f t="shared" ca="1" si="49"/>
        <v>0</v>
      </c>
      <c r="AC161">
        <f t="shared" ca="1" si="50"/>
        <v>0.89999964448363434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45520</v>
      </c>
      <c r="S162" s="55">
        <f t="shared" ca="1" si="51"/>
        <v>45520</v>
      </c>
      <c r="T162" s="55">
        <f t="shared" ca="1" si="45"/>
        <v>35.438265946326666</v>
      </c>
      <c r="U162" s="55">
        <f t="shared" ca="1" si="46"/>
        <v>70.491623681271435</v>
      </c>
      <c r="V162" s="55">
        <f t="shared" ca="1" si="47"/>
        <v>0</v>
      </c>
      <c r="W162" s="55">
        <f t="shared" ca="1" si="52"/>
        <v>-150.51823225984643</v>
      </c>
      <c r="X162" s="55">
        <f t="shared" ca="1" si="53"/>
        <v>110.72224696030125</v>
      </c>
      <c r="Y162" s="55">
        <f t="shared" ca="1" si="54"/>
        <v>43.835242208350891</v>
      </c>
      <c r="Z162">
        <f t="shared" ca="1" si="48"/>
        <v>120</v>
      </c>
      <c r="AA162">
        <f t="shared" ca="1" si="55"/>
        <v>277.76029763221277</v>
      </c>
      <c r="AB162">
        <f t="shared" ca="1" si="49"/>
        <v>0</v>
      </c>
      <c r="AC162">
        <f t="shared" ca="1" si="50"/>
        <v>0.89999971105788079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45521</v>
      </c>
      <c r="S163" s="55">
        <f t="shared" ca="1" si="51"/>
        <v>45521</v>
      </c>
      <c r="T163" s="55">
        <f t="shared" ca="1" si="45"/>
        <v>33.699486837269049</v>
      </c>
      <c r="U163" s="55">
        <f t="shared" ca="1" si="46"/>
        <v>72.475610673626193</v>
      </c>
      <c r="V163" s="55">
        <f t="shared" ca="1" si="47"/>
        <v>0</v>
      </c>
      <c r="W163" s="55">
        <f t="shared" ca="1" si="52"/>
        <v>-150.8727117895057</v>
      </c>
      <c r="X163" s="55">
        <f t="shared" ca="1" si="53"/>
        <v>111.31712806808871</v>
      </c>
      <c r="Y163" s="55">
        <f t="shared" ca="1" si="54"/>
        <v>43.840048513519854</v>
      </c>
      <c r="Z163">
        <f t="shared" ca="1" si="48"/>
        <v>120</v>
      </c>
      <c r="AA163">
        <f t="shared" ca="1" si="55"/>
        <v>279.67029763221274</v>
      </c>
      <c r="AB163">
        <f t="shared" ca="1" si="49"/>
        <v>0</v>
      </c>
      <c r="AC163">
        <f t="shared" ca="1" si="50"/>
        <v>0.89999976113255742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45522</v>
      </c>
      <c r="S164" s="55">
        <f t="shared" ca="1" si="51"/>
        <v>45522</v>
      </c>
      <c r="T164" s="55">
        <f t="shared" ca="1" si="45"/>
        <v>32.070956539748742</v>
      </c>
      <c r="U164" s="55">
        <f t="shared" ca="1" si="46"/>
        <v>74.643852750864568</v>
      </c>
      <c r="V164" s="55">
        <f t="shared" ca="1" si="47"/>
        <v>0</v>
      </c>
      <c r="W164" s="55">
        <f t="shared" ca="1" si="52"/>
        <v>-150.97338670525221</v>
      </c>
      <c r="X164" s="55">
        <f t="shared" ca="1" si="53"/>
        <v>111.95252257955947</v>
      </c>
      <c r="Y164" s="55">
        <f t="shared" ca="1" si="54"/>
        <v>43.845040697513674</v>
      </c>
      <c r="Z164">
        <f t="shared" ca="1" si="48"/>
        <v>120</v>
      </c>
      <c r="AA164">
        <f t="shared" ca="1" si="55"/>
        <v>280.24029763221273</v>
      </c>
      <c r="AB164">
        <f t="shared" ca="1" si="49"/>
        <v>0</v>
      </c>
      <c r="AC164">
        <f t="shared" ca="1" si="50"/>
        <v>0.89999980527635703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45523</v>
      </c>
      <c r="S165" s="55">
        <f t="shared" ca="1" si="51"/>
        <v>45523</v>
      </c>
      <c r="T165" s="55">
        <f t="shared" ca="1" si="45"/>
        <v>30.174648762067349</v>
      </c>
      <c r="U165" s="55">
        <f t="shared" ca="1" si="46"/>
        <v>76.799275920871381</v>
      </c>
      <c r="V165" s="55">
        <f t="shared" ca="1" si="47"/>
        <v>0</v>
      </c>
      <c r="W165" s="55">
        <f t="shared" ca="1" si="52"/>
        <v>-151.34064279264908</v>
      </c>
      <c r="X165" s="55">
        <f t="shared" ca="1" si="53"/>
        <v>112.57401279437477</v>
      </c>
      <c r="Y165" s="55">
        <f t="shared" ca="1" si="54"/>
        <v>43.849921962420673</v>
      </c>
      <c r="Z165">
        <f t="shared" ca="1" si="48"/>
        <v>120</v>
      </c>
      <c r="AA165">
        <f t="shared" ca="1" si="55"/>
        <v>282.45029763221271</v>
      </c>
      <c r="AB165">
        <f t="shared" ca="1" si="49"/>
        <v>0</v>
      </c>
      <c r="AC165">
        <f t="shared" ca="1" si="50"/>
        <v>0.89999984050769455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45524</v>
      </c>
      <c r="S166" s="55">
        <f t="shared" ca="1" si="51"/>
        <v>45524</v>
      </c>
      <c r="T166" s="55">
        <f t="shared" ca="1" si="45"/>
        <v>28.41540391828935</v>
      </c>
      <c r="U166" s="55">
        <f t="shared" ca="1" si="46"/>
        <v>79.112717076324017</v>
      </c>
      <c r="V166" s="55">
        <f t="shared" ca="1" si="47"/>
        <v>0</v>
      </c>
      <c r="W166" s="55">
        <f t="shared" ca="1" si="52"/>
        <v>-151.44549151493308</v>
      </c>
      <c r="X166" s="55">
        <f t="shared" ca="1" si="53"/>
        <v>113.22803770965525</v>
      </c>
      <c r="Y166" s="55">
        <f t="shared" ca="1" si="54"/>
        <v>43.854942081098834</v>
      </c>
      <c r="Z166">
        <f t="shared" ca="1" si="48"/>
        <v>120</v>
      </c>
      <c r="AA166">
        <f t="shared" ca="1" si="55"/>
        <v>283.12029763221273</v>
      </c>
      <c r="AB166">
        <f t="shared" ca="1" si="49"/>
        <v>0</v>
      </c>
      <c r="AC166">
        <f t="shared" ca="1" si="50"/>
        <v>0.89999987079274868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45525</v>
      </c>
      <c r="S167" s="55">
        <f t="shared" ca="1" si="51"/>
        <v>45525</v>
      </c>
      <c r="T167" s="55">
        <f t="shared" ca="1" si="45"/>
        <v>26.36109012094192</v>
      </c>
      <c r="U167" s="55">
        <f t="shared" ca="1" si="46"/>
        <v>81.404828374560481</v>
      </c>
      <c r="V167" s="55">
        <f t="shared" ca="1" si="47"/>
        <v>0</v>
      </c>
      <c r="W167" s="55">
        <f t="shared" ca="1" si="52"/>
        <v>-151.85053539531313</v>
      </c>
      <c r="X167" s="55">
        <f t="shared" ca="1" si="53"/>
        <v>113.86598148022911</v>
      </c>
      <c r="Y167" s="55">
        <f t="shared" ca="1" si="54"/>
        <v>43.859839691794051</v>
      </c>
      <c r="Z167">
        <f t="shared" ca="1" si="48"/>
        <v>120</v>
      </c>
      <c r="AA167">
        <f t="shared" ca="1" si="55"/>
        <v>285.91029763221275</v>
      </c>
      <c r="AB167">
        <f t="shared" ca="1" si="49"/>
        <v>0</v>
      </c>
      <c r="AC167">
        <f t="shared" ca="1" si="50"/>
        <v>0.89999989476161346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45526</v>
      </c>
      <c r="S168" s="55">
        <f t="shared" ca="1" si="51"/>
        <v>45526</v>
      </c>
      <c r="T168" s="55">
        <f t="shared" ca="1" si="45"/>
        <v>24.659092885409478</v>
      </c>
      <c r="U168" s="55">
        <f t="shared" ca="1" si="46"/>
        <v>83.748055425176887</v>
      </c>
      <c r="V168" s="55">
        <f t="shared" ca="1" si="47"/>
        <v>0</v>
      </c>
      <c r="W168" s="55">
        <f t="shared" ca="1" si="52"/>
        <v>-151.85596754331107</v>
      </c>
      <c r="X168" s="55">
        <f t="shared" ca="1" si="53"/>
        <v>114.50776139674747</v>
      </c>
      <c r="Y168" s="55">
        <f t="shared" ca="1" si="54"/>
        <v>43.864721738357602</v>
      </c>
      <c r="Z168">
        <f t="shared" ca="1" si="48"/>
        <v>120</v>
      </c>
      <c r="AA168">
        <f t="shared" ca="1" si="55"/>
        <v>285.95029763221277</v>
      </c>
      <c r="AB168">
        <f t="shared" ca="1" si="49"/>
        <v>0</v>
      </c>
      <c r="AC168">
        <f t="shared" ca="1" si="50"/>
        <v>0.89999991439486071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45527</v>
      </c>
      <c r="S169" s="55">
        <f t="shared" ca="1" si="51"/>
        <v>45527</v>
      </c>
      <c r="T169" s="55">
        <f t="shared" ca="1" si="45"/>
        <v>47.853251595620108</v>
      </c>
      <c r="U169" s="55">
        <f t="shared" ca="1" si="46"/>
        <v>86.204470531241157</v>
      </c>
      <c r="V169" s="55">
        <f t="shared" ca="1" si="47"/>
        <v>24.983787879523192</v>
      </c>
      <c r="W169" s="55">
        <f t="shared" ca="1" si="52"/>
        <v>-151.85596754331107</v>
      </c>
      <c r="X169" s="55">
        <f t="shared" ca="1" si="53"/>
        <v>115.16959628522312</v>
      </c>
      <c r="Y169" s="55">
        <f t="shared" ca="1" si="54"/>
        <v>43.869672786633657</v>
      </c>
      <c r="Z169">
        <f t="shared" ca="1" si="48"/>
        <v>117.96521739130432</v>
      </c>
      <c r="AA169">
        <f t="shared" ca="1" si="55"/>
        <v>285.95029763221277</v>
      </c>
      <c r="AB169">
        <f t="shared" ca="1" si="49"/>
        <v>0</v>
      </c>
      <c r="AC169">
        <f t="shared" ca="1" si="50"/>
        <v>0.89999993082905438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45528</v>
      </c>
      <c r="S170" s="55">
        <f t="shared" ca="1" si="51"/>
        <v>45528</v>
      </c>
      <c r="T170" s="55">
        <f t="shared" ca="1" si="45"/>
        <v>46.059045125654009</v>
      </c>
      <c r="U170" s="55">
        <f t="shared" ca="1" si="46"/>
        <v>88.654321662087682</v>
      </c>
      <c r="V170" s="55">
        <f t="shared" ca="1" si="47"/>
        <v>0</v>
      </c>
      <c r="W170" s="55">
        <f t="shared" ca="1" si="52"/>
        <v>-151.85596754331107</v>
      </c>
      <c r="X170" s="55">
        <f t="shared" ca="1" si="53"/>
        <v>115.82038449092393</v>
      </c>
      <c r="Y170" s="55">
        <f t="shared" ca="1" si="54"/>
        <v>43.874529241813278</v>
      </c>
      <c r="Z170">
        <f t="shared" ca="1" si="48"/>
        <v>119.72604461489158</v>
      </c>
      <c r="AA170">
        <f t="shared" ca="1" si="55"/>
        <v>285.95029763221277</v>
      </c>
      <c r="AB170">
        <f t="shared" ca="1" si="49"/>
        <v>0</v>
      </c>
      <c r="AC170">
        <f t="shared" ca="1" si="50"/>
        <v>0.89999994390309701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45529</v>
      </c>
      <c r="S171" s="55">
        <f t="shared" ca="1" si="51"/>
        <v>45529</v>
      </c>
      <c r="T171" s="55">
        <f t="shared" ca="1" si="45"/>
        <v>43.698104724374254</v>
      </c>
      <c r="U171" s="55">
        <f t="shared" ca="1" si="46"/>
        <v>91.395498674239022</v>
      </c>
      <c r="V171" s="55">
        <f t="shared" ca="1" si="47"/>
        <v>0</v>
      </c>
      <c r="W171" s="55">
        <f t="shared" ca="1" si="52"/>
        <v>-152.19837703178834</v>
      </c>
      <c r="X171" s="55">
        <f t="shared" ca="1" si="53"/>
        <v>116.53786576211836</v>
      </c>
      <c r="Y171" s="55">
        <f t="shared" ca="1" si="54"/>
        <v>43.879694069967712</v>
      </c>
      <c r="Z171">
        <f t="shared" ca="1" si="48"/>
        <v>120</v>
      </c>
      <c r="AA171">
        <f t="shared" ca="1" si="55"/>
        <v>287.37311344719672</v>
      </c>
      <c r="AB171">
        <f t="shared" ca="1" si="49"/>
        <v>0</v>
      </c>
      <c r="AC171">
        <f t="shared" ca="1" si="50"/>
        <v>0.89999995547607148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45530</v>
      </c>
      <c r="S172" s="55">
        <f t="shared" ca="1" si="51"/>
        <v>45530</v>
      </c>
      <c r="T172" s="55">
        <f t="shared" ca="1" si="45"/>
        <v>41.634547063117992</v>
      </c>
      <c r="U172" s="55">
        <f t="shared" ca="1" si="46"/>
        <v>94.183736515329954</v>
      </c>
      <c r="V172" s="55">
        <f t="shared" ca="1" si="47"/>
        <v>0</v>
      </c>
      <c r="W172" s="55">
        <f t="shared" ca="1" si="52"/>
        <v>-152.19837703178834</v>
      </c>
      <c r="X172" s="55">
        <f t="shared" ca="1" si="53"/>
        <v>117.25741187807044</v>
      </c>
      <c r="Y172" s="55">
        <f t="shared" ca="1" si="54"/>
        <v>43.884828133850299</v>
      </c>
      <c r="Z172">
        <f t="shared" ca="1" si="48"/>
        <v>118.92173913043477</v>
      </c>
      <c r="AA172">
        <f t="shared" ca="1" si="55"/>
        <v>287.37311344719672</v>
      </c>
      <c r="AB172">
        <f t="shared" ca="1" si="49"/>
        <v>0</v>
      </c>
      <c r="AC172">
        <f t="shared" ca="1" si="50"/>
        <v>0.89999996468434618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45531</v>
      </c>
      <c r="S173" s="55">
        <f t="shared" ca="1" si="51"/>
        <v>45531</v>
      </c>
      <c r="T173" s="55">
        <f t="shared" ca="1" si="45"/>
        <v>39.469480710656789</v>
      </c>
      <c r="U173" s="55">
        <f t="shared" ca="1" si="46"/>
        <v>97.096520308270527</v>
      </c>
      <c r="V173" s="55">
        <f t="shared" ca="1" si="47"/>
        <v>0</v>
      </c>
      <c r="W173" s="55">
        <f t="shared" ca="1" si="52"/>
        <v>-152.19837703178834</v>
      </c>
      <c r="X173" s="55">
        <f t="shared" ca="1" si="53"/>
        <v>117.99991927576971</v>
      </c>
      <c r="Y173" s="55">
        <f t="shared" ca="1" si="54"/>
        <v>43.890038176630391</v>
      </c>
      <c r="Z173">
        <f t="shared" ca="1" si="48"/>
        <v>119.37647586712743</v>
      </c>
      <c r="AA173">
        <f t="shared" ca="1" si="55"/>
        <v>287.37311344719672</v>
      </c>
      <c r="AB173">
        <f t="shared" ca="1" si="49"/>
        <v>0</v>
      </c>
      <c r="AC173">
        <f t="shared" ca="1" si="50"/>
        <v>0.89999997218673145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45532</v>
      </c>
      <c r="S174" s="55">
        <f t="shared" ca="1" si="51"/>
        <v>45532</v>
      </c>
      <c r="T174" s="55">
        <f t="shared" ca="1" si="45"/>
        <v>37.130831279446802</v>
      </c>
      <c r="U174" s="55">
        <f t="shared" ca="1" si="46"/>
        <v>99.912432554551273</v>
      </c>
      <c r="V174" s="55">
        <f t="shared" ca="1" si="47"/>
        <v>0</v>
      </c>
      <c r="W174" s="55">
        <f t="shared" ca="1" si="52"/>
        <v>-152.43400074456932</v>
      </c>
      <c r="X174" s="55">
        <f t="shared" ca="1" si="53"/>
        <v>118.70781416244144</v>
      </c>
      <c r="Y174" s="55">
        <f t="shared" ca="1" si="54"/>
        <v>43.895029817810403</v>
      </c>
      <c r="Z174">
        <f t="shared" ca="1" si="48"/>
        <v>120</v>
      </c>
      <c r="AA174">
        <f t="shared" ca="1" si="55"/>
        <v>288.52537167216923</v>
      </c>
      <c r="AB174">
        <f t="shared" ca="1" si="49"/>
        <v>0</v>
      </c>
      <c r="AC174">
        <f t="shared" ca="1" si="50"/>
        <v>0.89999997785798691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45533</v>
      </c>
      <c r="S175" s="55">
        <f t="shared" ca="1" si="51"/>
        <v>45533</v>
      </c>
      <c r="T175" s="55">
        <f t="shared" ca="1" si="45"/>
        <v>34.887883324603273</v>
      </c>
      <c r="U175" s="55">
        <f t="shared" ca="1" si="46"/>
        <v>102.90584170194984</v>
      </c>
      <c r="V175" s="55">
        <f t="shared" ca="1" si="47"/>
        <v>0</v>
      </c>
      <c r="W175" s="55">
        <f t="shared" ca="1" si="52"/>
        <v>-152.43400074456932</v>
      </c>
      <c r="X175" s="55">
        <f t="shared" ca="1" si="53"/>
        <v>119.45313570053489</v>
      </c>
      <c r="Y175" s="55">
        <f t="shared" ca="1" si="54"/>
        <v>43.900169472271983</v>
      </c>
      <c r="Z175">
        <f t="shared" ca="1" si="48"/>
        <v>119.63478260869563</v>
      </c>
      <c r="AA175">
        <f t="shared" ca="1" si="55"/>
        <v>288.52537167216923</v>
      </c>
      <c r="AB175">
        <f t="shared" ca="1" si="49"/>
        <v>0</v>
      </c>
      <c r="AC175">
        <f t="shared" ca="1" si="50"/>
        <v>0.89999998257681857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45534</v>
      </c>
      <c r="S176" s="55">
        <f t="shared" ca="1" si="51"/>
        <v>45534</v>
      </c>
      <c r="T176" s="55">
        <f t="shared" ca="1" si="45"/>
        <v>32.704689361081392</v>
      </c>
      <c r="U176" s="55">
        <f t="shared" ca="1" si="46"/>
        <v>105.80802465866365</v>
      </c>
      <c r="V176" s="55">
        <f t="shared" ca="1" si="47"/>
        <v>0</v>
      </c>
      <c r="W176" s="55">
        <f t="shared" ca="1" si="52"/>
        <v>-152.43400074456932</v>
      </c>
      <c r="X176" s="55">
        <f t="shared" ca="1" si="53"/>
        <v>120.16718389661546</v>
      </c>
      <c r="Y176" s="55">
        <f t="shared" ca="1" si="54"/>
        <v>43.90511026938335</v>
      </c>
      <c r="Z176">
        <f t="shared" ca="1" si="48"/>
        <v>119.49661020807211</v>
      </c>
      <c r="AA176">
        <f t="shared" ca="1" si="55"/>
        <v>288.52537167216923</v>
      </c>
      <c r="AB176">
        <f t="shared" ca="1" si="49"/>
        <v>0</v>
      </c>
      <c r="AC176">
        <f t="shared" ca="1" si="50"/>
        <v>0.899999986156367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45535</v>
      </c>
      <c r="S177" s="55">
        <f t="shared" ca="1" si="51"/>
        <v>45535</v>
      </c>
      <c r="T177" s="55">
        <f t="shared" ca="1" si="45"/>
        <v>30.609177360413582</v>
      </c>
      <c r="U177" s="55">
        <f t="shared" ca="1" si="46"/>
        <v>108.58522425820611</v>
      </c>
      <c r="V177" s="55">
        <f t="shared" ca="1" si="47"/>
        <v>0</v>
      </c>
      <c r="W177" s="55">
        <f t="shared" ca="1" si="52"/>
        <v>-152.43400074456932</v>
      </c>
      <c r="X177" s="55">
        <f t="shared" ca="1" si="53"/>
        <v>120.84415349931588</v>
      </c>
      <c r="Y177" s="55">
        <f t="shared" ca="1" si="54"/>
        <v>43.909828265557564</v>
      </c>
      <c r="Z177">
        <f t="shared" ca="1" si="48"/>
        <v>117.75879296419723</v>
      </c>
      <c r="AA177">
        <f t="shared" ca="1" si="55"/>
        <v>288.52537167216923</v>
      </c>
      <c r="AB177">
        <f t="shared" ca="1" si="49"/>
        <v>0</v>
      </c>
      <c r="AC177">
        <f t="shared" ca="1" si="50"/>
        <v>0.89999998886933752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45536</v>
      </c>
      <c r="S178" s="55">
        <f t="shared" ca="1" si="51"/>
        <v>45536</v>
      </c>
      <c r="T178" s="55">
        <f t="shared" ca="1" si="45"/>
        <v>28.535458486972903</v>
      </c>
      <c r="U178" s="55">
        <f t="shared" ca="1" si="46"/>
        <v>111.25633292578021</v>
      </c>
      <c r="V178" s="55">
        <f t="shared" ca="1" si="47"/>
        <v>0</v>
      </c>
      <c r="W178" s="55">
        <f t="shared" ca="1" si="52"/>
        <v>-152.48806317656428</v>
      </c>
      <c r="X178" s="55">
        <f t="shared" ca="1" si="53"/>
        <v>121.49107118179873</v>
      </c>
      <c r="Y178" s="55">
        <f t="shared" ca="1" si="54"/>
        <v>43.914362809203098</v>
      </c>
      <c r="Z178">
        <f t="shared" ca="1" si="48"/>
        <v>120</v>
      </c>
      <c r="AA178">
        <f t="shared" ca="1" si="55"/>
        <v>288.86938575199565</v>
      </c>
      <c r="AB178">
        <f t="shared" ca="1" si="49"/>
        <v>0</v>
      </c>
      <c r="AC178">
        <f t="shared" ca="1" si="50"/>
        <v>0.89999999096146976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45537</v>
      </c>
      <c r="S179" s="55">
        <f t="shared" ca="1" si="51"/>
        <v>45537</v>
      </c>
      <c r="T179" s="55">
        <f t="shared" ca="1" si="45"/>
        <v>54.963542449636918</v>
      </c>
      <c r="U179" s="55">
        <f t="shared" ca="1" si="46"/>
        <v>113.97008960460882</v>
      </c>
      <c r="V179" s="55">
        <f t="shared" ca="1" si="47"/>
        <v>28.484583749188701</v>
      </c>
      <c r="W179" s="55">
        <f t="shared" ca="1" si="52"/>
        <v>-152.48806317656428</v>
      </c>
      <c r="X179" s="55">
        <f t="shared" ca="1" si="53"/>
        <v>122.14380018276218</v>
      </c>
      <c r="Y179" s="55">
        <f t="shared" ca="1" si="54"/>
        <v>43.918890700543571</v>
      </c>
      <c r="Z179">
        <f t="shared" ca="1" si="48"/>
        <v>118.81739130434781</v>
      </c>
      <c r="AA179">
        <f t="shared" ca="1" si="55"/>
        <v>288.86938575199565</v>
      </c>
      <c r="AB179">
        <f t="shared" ca="1" si="49"/>
        <v>0</v>
      </c>
      <c r="AC179">
        <f t="shared" ca="1" si="50"/>
        <v>0.89999999267458619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45538</v>
      </c>
      <c r="S180" s="55">
        <f t="shared" ca="1" si="51"/>
        <v>45538</v>
      </c>
      <c r="T180" s="55">
        <f t="shared" ca="1" si="45"/>
        <v>52.824755820992543</v>
      </c>
      <c r="U180" s="55">
        <f t="shared" ca="1" si="46"/>
        <v>116.78646670928788</v>
      </c>
      <c r="V180" s="55">
        <f t="shared" ca="1" si="47"/>
        <v>0</v>
      </c>
      <c r="W180" s="55">
        <f t="shared" ca="1" si="52"/>
        <v>-152.48806317656428</v>
      </c>
      <c r="X180" s="55">
        <f t="shared" ca="1" si="53"/>
        <v>122.81680058225226</v>
      </c>
      <c r="Y180" s="55">
        <f t="shared" ca="1" si="54"/>
        <v>43.923480777088173</v>
      </c>
      <c r="Z180">
        <f t="shared" ca="1" si="48"/>
        <v>119.95091115330101</v>
      </c>
      <c r="AA180">
        <f t="shared" ca="1" si="55"/>
        <v>288.86938575199565</v>
      </c>
      <c r="AB180">
        <f t="shared" ca="1" si="49"/>
        <v>0</v>
      </c>
      <c r="AC180">
        <f t="shared" ca="1" si="50"/>
        <v>0.89999999410254372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45539</v>
      </c>
      <c r="S181" s="55">
        <f t="shared" ca="1" si="51"/>
        <v>45539</v>
      </c>
      <c r="T181" s="55">
        <f t="shared" ca="1" si="45"/>
        <v>50.269528586001371</v>
      </c>
      <c r="U181" s="55">
        <f t="shared" ca="1" si="46"/>
        <v>119.53799186289797</v>
      </c>
      <c r="V181" s="55">
        <f t="shared" ca="1" si="47"/>
        <v>0</v>
      </c>
      <c r="W181" s="55">
        <f t="shared" ca="1" si="52"/>
        <v>-152.95090522034721</v>
      </c>
      <c r="X181" s="55">
        <f t="shared" ca="1" si="53"/>
        <v>123.471474070147</v>
      </c>
      <c r="Y181" s="55">
        <f t="shared" ca="1" si="54"/>
        <v>43.927947251595299</v>
      </c>
      <c r="Z181">
        <f t="shared" ca="1" si="48"/>
        <v>120</v>
      </c>
      <c r="AA181">
        <f t="shared" ca="1" si="55"/>
        <v>290.54122102620505</v>
      </c>
      <c r="AB181">
        <f t="shared" ca="1" si="49"/>
        <v>0</v>
      </c>
      <c r="AC181">
        <f t="shared" ca="1" si="50"/>
        <v>0.89999999522340668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45540</v>
      </c>
      <c r="S182" s="55">
        <f t="shared" ca="1" si="51"/>
        <v>45540</v>
      </c>
      <c r="T182" s="55">
        <f t="shared" ca="1" si="45"/>
        <v>46.895141655505313</v>
      </c>
      <c r="U182" s="55">
        <f t="shared" ca="1" si="46"/>
        <v>122.45610736743845</v>
      </c>
      <c r="V182" s="55">
        <f t="shared" ca="1" si="47"/>
        <v>0</v>
      </c>
      <c r="W182" s="55">
        <f t="shared" ca="1" si="52"/>
        <v>-154.10275864176387</v>
      </c>
      <c r="X182" s="55">
        <f t="shared" ca="1" si="53"/>
        <v>124.162452996518</v>
      </c>
      <c r="Y182" s="55">
        <f t="shared" ca="1" si="54"/>
        <v>43.932550320685394</v>
      </c>
      <c r="Z182">
        <f t="shared" ca="1" si="48"/>
        <v>120</v>
      </c>
      <c r="AA182">
        <f t="shared" ca="1" si="55"/>
        <v>295.00122102620503</v>
      </c>
      <c r="AB182">
        <f t="shared" ca="1" si="49"/>
        <v>0</v>
      </c>
      <c r="AC182">
        <f t="shared" ca="1" si="50"/>
        <v>0.89999999617683124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45541</v>
      </c>
      <c r="S183" s="55">
        <f t="shared" ca="1" si="51"/>
        <v>45541</v>
      </c>
      <c r="T183" s="55">
        <f t="shared" ca="1" si="45"/>
        <v>44.568402111054752</v>
      </c>
      <c r="U183" s="55">
        <f t="shared" ca="1" si="46"/>
        <v>125.50847799536474</v>
      </c>
      <c r="V183" s="55">
        <f t="shared" ca="1" si="47"/>
        <v>0</v>
      </c>
      <c r="W183" s="55">
        <f t="shared" ca="1" si="52"/>
        <v>-154.10275864176387</v>
      </c>
      <c r="X183" s="55">
        <f t="shared" ca="1" si="53"/>
        <v>124.88337775989292</v>
      </c>
      <c r="Y183" s="55">
        <f t="shared" ca="1" si="54"/>
        <v>43.937256640786202</v>
      </c>
      <c r="Z183">
        <f t="shared" ca="1" si="48"/>
        <v>118.92173913043477</v>
      </c>
      <c r="AA183">
        <f t="shared" ca="1" si="55"/>
        <v>295.00122102620503</v>
      </c>
      <c r="AB183">
        <f t="shared" ca="1" si="49"/>
        <v>0</v>
      </c>
      <c r="AC183">
        <f t="shared" ca="1" si="50"/>
        <v>0.89999999696883193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45542</v>
      </c>
      <c r="S184" s="55">
        <f t="shared" ca="1" si="51"/>
        <v>45542</v>
      </c>
      <c r="T184" s="55">
        <f t="shared" ca="1" si="45"/>
        <v>42.275585491719148</v>
      </c>
      <c r="U184" s="55">
        <f t="shared" ca="1" si="46"/>
        <v>128.51379527295234</v>
      </c>
      <c r="V184" s="55">
        <f t="shared" ca="1" si="47"/>
        <v>0</v>
      </c>
      <c r="W184" s="55">
        <f t="shared" ca="1" si="52"/>
        <v>-154.10275864176387</v>
      </c>
      <c r="X184" s="55">
        <f t="shared" ca="1" si="53"/>
        <v>125.59127264656465</v>
      </c>
      <c r="Y184" s="55">
        <f t="shared" ca="1" si="54"/>
        <v>43.941862412366461</v>
      </c>
      <c r="Z184">
        <f t="shared" ca="1" si="48"/>
        <v>117.18554656591839</v>
      </c>
      <c r="AA184">
        <f t="shared" ca="1" si="55"/>
        <v>295.00122102620503</v>
      </c>
      <c r="AB184">
        <f t="shared" ca="1" si="49"/>
        <v>0</v>
      </c>
      <c r="AC184">
        <f t="shared" ca="1" si="50"/>
        <v>0.8999999975869013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45543</v>
      </c>
      <c r="S185" s="55">
        <f t="shared" ca="1" si="51"/>
        <v>45543</v>
      </c>
      <c r="T185" s="55">
        <f t="shared" ca="1" si="45"/>
        <v>39.991026199231555</v>
      </c>
      <c r="U185" s="55">
        <f t="shared" ca="1" si="46"/>
        <v>131.24678541267772</v>
      </c>
      <c r="V185" s="55">
        <f t="shared" ca="1" si="47"/>
        <v>0</v>
      </c>
      <c r="W185" s="55">
        <f t="shared" ca="1" si="52"/>
        <v>-154.30230269127861</v>
      </c>
      <c r="X185" s="55">
        <f t="shared" ca="1" si="53"/>
        <v>126.2349761560955</v>
      </c>
      <c r="Y185" s="55">
        <f t="shared" ca="1" si="54"/>
        <v>43.946133799588146</v>
      </c>
      <c r="Z185">
        <f t="shared" ca="1" si="48"/>
        <v>120</v>
      </c>
      <c r="AA185">
        <f t="shared" ca="1" si="55"/>
        <v>295.90724925073744</v>
      </c>
      <c r="AB185">
        <f t="shared" ca="1" si="49"/>
        <v>0</v>
      </c>
      <c r="AC185">
        <f t="shared" ca="1" si="50"/>
        <v>0.89999999803835717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>
        <f ca="1"/>
        <v>45544</v>
      </c>
      <c r="S186" s="55">
        <f t="shared" ca="1" si="51"/>
        <v>45544</v>
      </c>
      <c r="T186" s="55">
        <f t="shared" ca="1" si="45"/>
        <v>37.435340508632557</v>
      </c>
      <c r="U186" s="55">
        <f t="shared" ca="1" si="46"/>
        <v>134.1169216252832</v>
      </c>
      <c r="V186" s="55">
        <f t="shared" ca="1" si="47"/>
        <v>0</v>
      </c>
      <c r="W186" s="55">
        <f t="shared" ca="1" si="52"/>
        <v>-154.66721588006277</v>
      </c>
      <c r="X186" s="55">
        <f t="shared" ca="1" si="53"/>
        <v>126.90995930070034</v>
      </c>
      <c r="Y186" s="55">
        <f t="shared" ca="1" si="54"/>
        <v>43.950514365773941</v>
      </c>
      <c r="Z186">
        <f t="shared" ca="1" si="48"/>
        <v>120</v>
      </c>
      <c r="AA186">
        <f t="shared" ca="1" si="55"/>
        <v>297.67724925073742</v>
      </c>
      <c r="AB186">
        <f t="shared" ca="1" si="49"/>
        <v>0</v>
      </c>
      <c r="AC186">
        <f t="shared" ca="1" si="50"/>
        <v>0.89999999842176492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>
        <f ca="1"/>
        <v>45545</v>
      </c>
      <c r="S187" s="55">
        <f t="shared" ca="1" si="51"/>
        <v>45545</v>
      </c>
      <c r="T187" s="55">
        <f t="shared" ca="1" si="45"/>
        <v>34.230171803246925</v>
      </c>
      <c r="U187" s="55">
        <f t="shared" ca="1" si="46"/>
        <v>137.14126998395699</v>
      </c>
      <c r="V187" s="55">
        <f t="shared" ca="1" si="47"/>
        <v>0</v>
      </c>
      <c r="W187" s="55">
        <f t="shared" ca="1" si="52"/>
        <v>-155.56454247075425</v>
      </c>
      <c r="X187" s="55">
        <f t="shared" ca="1" si="53"/>
        <v>127.62195264862537</v>
      </c>
      <c r="Y187" s="55">
        <f t="shared" ca="1" si="54"/>
        <v>43.955027261828562</v>
      </c>
      <c r="Z187">
        <f t="shared" ca="1" si="48"/>
        <v>120</v>
      </c>
      <c r="AA187">
        <f t="shared" ca="1" si="55"/>
        <v>302.43724925073741</v>
      </c>
      <c r="AB187">
        <f t="shared" ca="1" si="49"/>
        <v>0</v>
      </c>
      <c r="AC187">
        <f t="shared" ca="1" si="50"/>
        <v>0.89999999874519832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>
        <f ca="1"/>
        <v>45546</v>
      </c>
      <c r="S188" s="55">
        <f t="shared" ca="1" si="51"/>
        <v>45546</v>
      </c>
      <c r="T188" s="55">
        <f t="shared" ca="1" si="45"/>
        <v>31.950967550565007</v>
      </c>
      <c r="U188" s="55">
        <f t="shared" ca="1" si="46"/>
        <v>140.10636040162896</v>
      </c>
      <c r="V188" s="55">
        <f t="shared" ca="1" si="47"/>
        <v>0</v>
      </c>
      <c r="W188" s="55">
        <f t="shared" ca="1" si="52"/>
        <v>-155.5821386557821</v>
      </c>
      <c r="X188" s="55">
        <f t="shared" ca="1" si="53"/>
        <v>128.32101886791369</v>
      </c>
      <c r="Y188" s="55">
        <f t="shared" ca="1" si="54"/>
        <v>43.959443392558136</v>
      </c>
      <c r="Z188">
        <f t="shared" ca="1" si="48"/>
        <v>120</v>
      </c>
      <c r="AA188">
        <f t="shared" ca="1" si="55"/>
        <v>302.53724925073743</v>
      </c>
      <c r="AB188">
        <f t="shared" ca="1" si="49"/>
        <v>0</v>
      </c>
      <c r="AC188">
        <f t="shared" ca="1" si="50"/>
        <v>0.89999999899825534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>
        <f ca="1"/>
        <v>45547</v>
      </c>
      <c r="S189" s="55">
        <f t="shared" ca="1" si="51"/>
        <v>45547</v>
      </c>
      <c r="T189" s="55">
        <f t="shared" ca="1" si="45"/>
        <v>64.277299003333013</v>
      </c>
      <c r="U189" s="55">
        <f t="shared" ca="1" si="46"/>
        <v>143.28071407655329</v>
      </c>
      <c r="V189" s="55">
        <f t="shared" ca="1" si="47"/>
        <v>34.743681110526069</v>
      </c>
      <c r="W189" s="55">
        <f t="shared" ca="1" si="52"/>
        <v>-155.5821386557821</v>
      </c>
      <c r="X189" s="55">
        <f t="shared" ca="1" si="53"/>
        <v>129.07340510450763</v>
      </c>
      <c r="Y189" s="55">
        <f t="shared" ca="1" si="54"/>
        <v>43.964061173130474</v>
      </c>
      <c r="Z189">
        <f t="shared" ca="1" si="48"/>
        <v>119.33913043478262</v>
      </c>
      <c r="AA189">
        <f t="shared" ca="1" si="55"/>
        <v>302.53724925073743</v>
      </c>
      <c r="AB189">
        <f t="shared" ca="1" si="49"/>
        <v>0</v>
      </c>
      <c r="AC189">
        <f t="shared" ca="1" si="50"/>
        <v>0.89999999921344098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>
        <f ca="1"/>
        <v>45548</v>
      </c>
      <c r="S190" s="55">
        <f t="shared" ca="1" si="51"/>
        <v>45548</v>
      </c>
      <c r="T190" s="55">
        <f t="shared" ca="1" si="45"/>
        <v>61.765266491152445</v>
      </c>
      <c r="U190" s="55">
        <f t="shared" ca="1" si="46"/>
        <v>146.40822874545296</v>
      </c>
      <c r="V190" s="55">
        <f t="shared" ca="1" si="47"/>
        <v>0</v>
      </c>
      <c r="W190" s="55">
        <f t="shared" ca="1" si="52"/>
        <v>-155.7151088051906</v>
      </c>
      <c r="X190" s="55">
        <f t="shared" ca="1" si="53"/>
        <v>129.81731873437931</v>
      </c>
      <c r="Y190" s="55">
        <f t="shared" ca="1" si="54"/>
        <v>43.968599849386372</v>
      </c>
      <c r="Z190">
        <f t="shared" ca="1" si="48"/>
        <v>120</v>
      </c>
      <c r="AA190">
        <f t="shared" ca="1" si="55"/>
        <v>302.92815794639523</v>
      </c>
      <c r="AB190">
        <f t="shared" ca="1" si="49"/>
        <v>0</v>
      </c>
      <c r="AC190">
        <f t="shared" ca="1" si="50"/>
        <v>0.89999999938080288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>
        <f ca="1"/>
        <v>45549</v>
      </c>
      <c r="S191" s="55">
        <f t="shared" ca="1" si="51"/>
        <v>45549</v>
      </c>
      <c r="T191" s="55">
        <f t="shared" ca="1" si="45"/>
        <v>59.346259127646547</v>
      </c>
      <c r="U191" s="55">
        <f t="shared" ca="1" si="46"/>
        <v>149.59488085539365</v>
      </c>
      <c r="V191" s="55">
        <f t="shared" ca="1" si="47"/>
        <v>0</v>
      </c>
      <c r="W191" s="55">
        <f t="shared" ca="1" si="52"/>
        <v>-155.7151088051906</v>
      </c>
      <c r="X191" s="55">
        <f t="shared" ca="1" si="53"/>
        <v>130.5803807349057</v>
      </c>
      <c r="Y191" s="55">
        <f t="shared" ca="1" si="54"/>
        <v>43.97318259529478</v>
      </c>
      <c r="Z191">
        <f t="shared" ca="1" si="48"/>
        <v>119.13043478260869</v>
      </c>
      <c r="AA191">
        <f t="shared" ca="1" si="55"/>
        <v>302.92815794639523</v>
      </c>
      <c r="AB191">
        <f t="shared" ca="1" si="49"/>
        <v>0</v>
      </c>
      <c r="AC191">
        <f t="shared" ca="1" si="50"/>
        <v>0.89999999951538245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>
        <f ca="1"/>
        <v>45550</v>
      </c>
      <c r="S192" s="55">
        <f t="shared" ca="1" si="51"/>
        <v>45550</v>
      </c>
      <c r="T192" s="55">
        <f t="shared" ca="1" si="45"/>
        <v>56.898208536246358</v>
      </c>
      <c r="U192" s="55">
        <f t="shared" ca="1" si="46"/>
        <v>152.73857063719115</v>
      </c>
      <c r="V192" s="55">
        <f t="shared" ca="1" si="47"/>
        <v>0</v>
      </c>
      <c r="W192" s="55">
        <f t="shared" ca="1" si="52"/>
        <v>-155.78134197690213</v>
      </c>
      <c r="X192" s="55">
        <f t="shared" ca="1" si="53"/>
        <v>131.33773723044118</v>
      </c>
      <c r="Y192" s="55">
        <f t="shared" ca="1" si="54"/>
        <v>43.97769846186813</v>
      </c>
      <c r="Z192">
        <f t="shared" ca="1" si="48"/>
        <v>120</v>
      </c>
      <c r="AA192">
        <f t="shared" ca="1" si="55"/>
        <v>303.13952751161781</v>
      </c>
      <c r="AB192">
        <f t="shared" ca="1" si="49"/>
        <v>0</v>
      </c>
      <c r="AC192">
        <f t="shared" ca="1" si="50"/>
        <v>0.89999999962005739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>
        <f ca="1"/>
        <v>45551</v>
      </c>
      <c r="S193" s="55">
        <f t="shared" ca="1" si="51"/>
        <v>45551</v>
      </c>
      <c r="T193" s="55">
        <f t="shared" ca="1" si="45"/>
        <v>53.599118579274851</v>
      </c>
      <c r="U193" s="55">
        <f t="shared" ca="1" si="46"/>
        <v>156.11135895518495</v>
      </c>
      <c r="V193" s="55">
        <f t="shared" ca="1" si="47"/>
        <v>0</v>
      </c>
      <c r="W193" s="55">
        <f t="shared" ca="1" si="52"/>
        <v>-156.53701186898789</v>
      </c>
      <c r="X193" s="55">
        <f t="shared" ca="1" si="53"/>
        <v>132.16233766473945</v>
      </c>
      <c r="Y193" s="55">
        <f t="shared" ca="1" si="54"/>
        <v>43.982466280677926</v>
      </c>
      <c r="Z193">
        <f t="shared" ca="1" si="48"/>
        <v>120</v>
      </c>
      <c r="AA193">
        <f t="shared" ca="1" si="55"/>
        <v>305.69952751161782</v>
      </c>
      <c r="AB193">
        <f t="shared" ca="1" si="49"/>
        <v>0</v>
      </c>
      <c r="AC193">
        <f t="shared" ca="1" si="50"/>
        <v>0.8999999997079714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>
        <f ca="1"/>
        <v>45552</v>
      </c>
      <c r="S194" s="55">
        <f t="shared" ca="1" si="51"/>
        <v>45552</v>
      </c>
      <c r="T194" s="55">
        <f t="shared" ca="1" si="45"/>
        <v>50.722506754108259</v>
      </c>
      <c r="U194" s="55">
        <f t="shared" ca="1" si="46"/>
        <v>159.21771774807914</v>
      </c>
      <c r="V194" s="55">
        <f t="shared" ca="1" si="47"/>
        <v>0</v>
      </c>
      <c r="W194" s="55">
        <f t="shared" ca="1" si="52"/>
        <v>-157.07334724475308</v>
      </c>
      <c r="X194" s="55">
        <f t="shared" ca="1" si="53"/>
        <v>132.92397076660455</v>
      </c>
      <c r="Y194" s="55">
        <f t="shared" ca="1" si="54"/>
        <v>43.986915522305587</v>
      </c>
      <c r="Z194">
        <f t="shared" ca="1" si="48"/>
        <v>120</v>
      </c>
      <c r="AA194">
        <f t="shared" ca="1" si="55"/>
        <v>307.61952751161783</v>
      </c>
      <c r="AB194">
        <f t="shared" ca="1" si="49"/>
        <v>0</v>
      </c>
      <c r="AC194">
        <f t="shared" ca="1" si="50"/>
        <v>0.89999999977134393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>
        <f ca="1"/>
        <v>45553</v>
      </c>
      <c r="S195" s="55">
        <f t="shared" ca="1" si="51"/>
        <v>45553</v>
      </c>
      <c r="T195" s="55">
        <f t="shared" ca="1" si="45"/>
        <v>46.831861501547571</v>
      </c>
      <c r="U195" s="55">
        <f t="shared" ca="1" si="46"/>
        <v>162.06373335679424</v>
      </c>
      <c r="V195" s="55">
        <f t="shared" ca="1" si="47"/>
        <v>0</v>
      </c>
      <c r="W195" s="55">
        <f t="shared" ca="1" si="52"/>
        <v>-158.82458737585878</v>
      </c>
      <c r="X195" s="55">
        <f t="shared" ca="1" si="53"/>
        <v>133.62642432032916</v>
      </c>
      <c r="Y195" s="55">
        <f t="shared" ca="1" si="54"/>
        <v>43.991072455841092</v>
      </c>
      <c r="Z195">
        <f t="shared" ca="1" si="48"/>
        <v>120</v>
      </c>
      <c r="AA195">
        <f t="shared" ca="1" si="55"/>
        <v>314.40952751161785</v>
      </c>
      <c r="AB195">
        <f t="shared" ca="1" si="49"/>
        <v>0</v>
      </c>
      <c r="AC195">
        <f t="shared" ca="1" si="50"/>
        <v>0.89999999981765366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>
        <f ca="1"/>
        <v>45554</v>
      </c>
      <c r="S196" s="55">
        <f t="shared" ca="1" si="51"/>
        <v>45554</v>
      </c>
      <c r="T196" s="55">
        <f t="shared" ca="1" si="45"/>
        <v>44.313977793404938</v>
      </c>
      <c r="U196" s="55">
        <f t="shared" ca="1" si="46"/>
        <v>164.85119701007417</v>
      </c>
      <c r="V196" s="55">
        <f t="shared" ca="1" si="47"/>
        <v>0</v>
      </c>
      <c r="W196" s="55">
        <f t="shared" ca="1" si="52"/>
        <v>-159.2541118446737</v>
      </c>
      <c r="X196" s="55">
        <f t="shared" ca="1" si="53"/>
        <v>134.32143943105481</v>
      </c>
      <c r="Y196" s="55">
        <f t="shared" ca="1" si="54"/>
        <v>43.995161759067635</v>
      </c>
      <c r="Z196">
        <f t="shared" ca="1" si="48"/>
        <v>120</v>
      </c>
      <c r="AA196">
        <f t="shared" ca="1" si="55"/>
        <v>316.16952751161784</v>
      </c>
      <c r="AB196">
        <f t="shared" ca="1" si="49"/>
        <v>0</v>
      </c>
      <c r="AC196">
        <f t="shared" ca="1" si="50"/>
        <v>0.8999999998542394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>
        <f ca="1"/>
        <v>45555</v>
      </c>
      <c r="S197" s="55">
        <f t="shared" ca="1" si="51"/>
        <v>45555</v>
      </c>
      <c r="T197" s="55">
        <f t="shared" ca="1" si="45"/>
        <v>42.363025186082325</v>
      </c>
      <c r="U197" s="55">
        <f t="shared" ca="1" si="46"/>
        <v>167.46527986230655</v>
      </c>
      <c r="V197" s="55">
        <f t="shared" ca="1" si="47"/>
        <v>0</v>
      </c>
      <c r="W197" s="55">
        <f t="shared" ca="1" si="52"/>
        <v>-159.2541118446737</v>
      </c>
      <c r="X197" s="55">
        <f t="shared" ca="1" si="53"/>
        <v>134.9806644223618</v>
      </c>
      <c r="Y197" s="55">
        <f t="shared" ca="1" si="54"/>
        <v>43.999067012670402</v>
      </c>
      <c r="Z197">
        <f t="shared" ca="1" si="48"/>
        <v>119.40869565217393</v>
      </c>
      <c r="AA197">
        <f t="shared" ca="1" si="55"/>
        <v>316.16952751161784</v>
      </c>
      <c r="AB197">
        <f t="shared" ca="1" si="49"/>
        <v>0</v>
      </c>
      <c r="AC197">
        <f t="shared" ca="1" si="50"/>
        <v>0.89999999988212032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>
        <f ca="1"/>
        <v>45556</v>
      </c>
      <c r="S198" s="55">
        <f t="shared" ca="1" si="51"/>
        <v>45556</v>
      </c>
      <c r="T198" s="55">
        <f t="shared" ca="1" si="45"/>
        <v>40.098435182744083</v>
      </c>
      <c r="U198" s="55">
        <f t="shared" ca="1" si="46"/>
        <v>170.13053353585343</v>
      </c>
      <c r="V198" s="55">
        <f t="shared" ca="1" si="47"/>
        <v>0</v>
      </c>
      <c r="W198" s="55">
        <f t="shared" ca="1" si="52"/>
        <v>-159.53702812025617</v>
      </c>
      <c r="X198" s="55">
        <f t="shared" ca="1" si="53"/>
        <v>135.66028841478033</v>
      </c>
      <c r="Y198" s="55">
        <f t="shared" ca="1" si="54"/>
        <v>44.00302296604297</v>
      </c>
      <c r="Z198">
        <f t="shared" ca="1" si="48"/>
        <v>120</v>
      </c>
      <c r="AA198">
        <f t="shared" ca="1" si="55"/>
        <v>317.45066577248849</v>
      </c>
      <c r="AB198">
        <f t="shared" ca="1" si="49"/>
        <v>0</v>
      </c>
      <c r="AC198">
        <f t="shared" ca="1" si="50"/>
        <v>0.89999999990530322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>
        <f ca="1"/>
        <v>45557</v>
      </c>
      <c r="S199" s="55">
        <f t="shared" ca="1" si="51"/>
        <v>45557</v>
      </c>
      <c r="T199" s="55">
        <f t="shared" ca="1" si="45"/>
        <v>37.999206253616663</v>
      </c>
      <c r="U199" s="55">
        <f t="shared" ca="1" si="46"/>
        <v>172.96801182822742</v>
      </c>
      <c r="V199" s="55">
        <f t="shared" ca="1" si="47"/>
        <v>0</v>
      </c>
      <c r="W199" s="55">
        <f t="shared" ca="1" si="52"/>
        <v>-159.53702812025617</v>
      </c>
      <c r="X199" s="55">
        <f t="shared" ca="1" si="53"/>
        <v>136.39439358959842</v>
      </c>
      <c r="Y199" s="55">
        <f t="shared" ca="1" si="54"/>
        <v>44.007167154471439</v>
      </c>
      <c r="Z199">
        <f t="shared" ca="1" si="48"/>
        <v>119.40869565217393</v>
      </c>
      <c r="AA199">
        <f t="shared" ca="1" si="55"/>
        <v>317.45066577248849</v>
      </c>
      <c r="AB199">
        <f t="shared" ca="1" si="49"/>
        <v>0</v>
      </c>
      <c r="AC199">
        <f t="shared" ca="1" si="50"/>
        <v>0.89999999992522728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>
        <f ca="1"/>
        <v>45558</v>
      </c>
      <c r="S200" s="55">
        <f t="shared" ca="1" si="51"/>
        <v>45558</v>
      </c>
      <c r="T200" s="55">
        <f t="shared" ca="1" si="45"/>
        <v>35.138523600093116</v>
      </c>
      <c r="U200" s="55">
        <f t="shared" ca="1" si="46"/>
        <v>175.93877613090226</v>
      </c>
      <c r="V200" s="55">
        <f t="shared" ca="1" si="47"/>
        <v>0</v>
      </c>
      <c r="W200" s="55">
        <f t="shared" ca="1" si="52"/>
        <v>-160.21449609200977</v>
      </c>
      <c r="X200" s="55">
        <f t="shared" ca="1" si="53"/>
        <v>137.17763702812192</v>
      </c>
      <c r="Y200" s="55">
        <f t="shared" ca="1" si="54"/>
        <v>44.011473336852816</v>
      </c>
      <c r="Z200">
        <f t="shared" ca="1" si="48"/>
        <v>120</v>
      </c>
      <c r="AA200">
        <f t="shared" ca="1" si="55"/>
        <v>320.95149359857595</v>
      </c>
      <c r="AB200">
        <f t="shared" ca="1" si="49"/>
        <v>0</v>
      </c>
      <c r="AC200">
        <f t="shared" ca="1" si="50"/>
        <v>0.899999999941831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>
        <f ca="1"/>
        <v>45559</v>
      </c>
      <c r="S201" s="55">
        <f t="shared" ca="1" si="51"/>
        <v>45559</v>
      </c>
      <c r="T201" s="55">
        <f t="shared" ca="1" si="45"/>
        <v>32.924230782800613</v>
      </c>
      <c r="U201" s="55">
        <f t="shared" ca="1" si="46"/>
        <v>178.97458853717302</v>
      </c>
      <c r="V201" s="55">
        <f t="shared" ca="1" si="47"/>
        <v>0</v>
      </c>
      <c r="W201" s="55">
        <f t="shared" ca="1" si="52"/>
        <v>-160.21449609200977</v>
      </c>
      <c r="X201" s="55">
        <f t="shared" ca="1" si="53"/>
        <v>137.99475476618309</v>
      </c>
      <c r="Y201" s="55">
        <f t="shared" ca="1" si="54"/>
        <v>44.015875187769922</v>
      </c>
      <c r="Z201">
        <f t="shared" ca="1" si="48"/>
        <v>118.95652173913041</v>
      </c>
      <c r="AA201">
        <f t="shared" ca="1" si="55"/>
        <v>320.95149359857595</v>
      </c>
      <c r="AB201">
        <f t="shared" ca="1" si="49"/>
        <v>0</v>
      </c>
      <c r="AC201">
        <f t="shared" ca="1" si="50"/>
        <v>0.89999999995519409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>
        <f ca="1"/>
        <v>45560</v>
      </c>
      <c r="S202" s="55">
        <f t="shared" ca="1" si="51"/>
        <v>45560</v>
      </c>
      <c r="T202" s="55">
        <f t="shared" ca="1" si="45"/>
        <v>30.837082713982873</v>
      </c>
      <c r="U202" s="55">
        <f t="shared" ca="1" si="46"/>
        <v>181.85212322972004</v>
      </c>
      <c r="V202" s="55">
        <f t="shared" ca="1" si="47"/>
        <v>0</v>
      </c>
      <c r="W202" s="55">
        <f t="shared" ca="1" si="52"/>
        <v>-160.21449609200977</v>
      </c>
      <c r="X202" s="55">
        <f t="shared" ca="1" si="53"/>
        <v>138.78090825769354</v>
      </c>
      <c r="Y202" s="55">
        <f t="shared" ca="1" si="54"/>
        <v>44.020108319988744</v>
      </c>
      <c r="Z202">
        <f t="shared" ca="1" si="48"/>
        <v>116.94251795841326</v>
      </c>
      <c r="AA202">
        <f t="shared" ca="1" si="55"/>
        <v>320.95149359857595</v>
      </c>
      <c r="AB202">
        <f t="shared" ca="1" si="49"/>
        <v>0</v>
      </c>
      <c r="AC202">
        <f t="shared" ca="1" si="50"/>
        <v>0.89999999996517344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>
        <f ca="1"/>
        <v>45561</v>
      </c>
      <c r="S203" s="55">
        <f t="shared" ca="1" si="51"/>
        <v>45561</v>
      </c>
      <c r="T203" s="55">
        <f t="shared" ca="1" si="45"/>
        <v>28.738405019103737</v>
      </c>
      <c r="U203" s="55">
        <f t="shared" ca="1" si="46"/>
        <v>184.76145985401456</v>
      </c>
      <c r="V203" s="55">
        <f t="shared" ca="1" si="47"/>
        <v>0</v>
      </c>
      <c r="W203" s="55">
        <f t="shared" ca="1" si="52"/>
        <v>-160.21449609200977</v>
      </c>
      <c r="X203" s="55">
        <f t="shared" ca="1" si="53"/>
        <v>139.58727025600663</v>
      </c>
      <c r="Y203" s="55">
        <f t="shared" ca="1" si="54"/>
        <v>44.024405251091032</v>
      </c>
      <c r="Z203">
        <f t="shared" ca="1" si="48"/>
        <v>114.51859162653484</v>
      </c>
      <c r="AA203">
        <f t="shared" ca="1" si="55"/>
        <v>320.95149359857595</v>
      </c>
      <c r="AB203">
        <f t="shared" ca="1" si="49"/>
        <v>0</v>
      </c>
      <c r="AC203">
        <f t="shared" ca="1" si="50"/>
        <v>0.89999999997313951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3" priority="48" operator="containsText" text="Suggested">
      <formula>NOT(ISERROR(SEARCH("Suggested",H29)))</formula>
    </cfRule>
  </conditionalFormatting>
  <conditionalFormatting sqref="F29:G29">
    <cfRule type="expression" dxfId="22" priority="54">
      <formula>$B$29=1</formula>
    </cfRule>
  </conditionalFormatting>
  <conditionalFormatting sqref="F30:G30">
    <cfRule type="expression" dxfId="21" priority="61">
      <formula>$B$30=1</formula>
    </cfRule>
  </conditionalFormatting>
  <conditionalFormatting sqref="F31:G31">
    <cfRule type="expression" dxfId="20" priority="63">
      <formula>$B$31=1</formula>
    </cfRule>
  </conditionalFormatting>
  <conditionalFormatting sqref="F32:G32">
    <cfRule type="expression" dxfId="19" priority="65">
      <formula>$B$32=1</formula>
    </cfRule>
  </conditionalFormatting>
  <conditionalFormatting sqref="F33:G33">
    <cfRule type="expression" dxfId="18" priority="67">
      <formula>$B$33=1</formula>
    </cfRule>
  </conditionalFormatting>
  <conditionalFormatting sqref="F34:G34">
    <cfRule type="expression" dxfId="17" priority="69">
      <formula>$B$34=1</formula>
    </cfRule>
  </conditionalFormatting>
  <conditionalFormatting sqref="F35:G35">
    <cfRule type="expression" dxfId="16" priority="71">
      <formula>$B$35=1</formula>
    </cfRule>
  </conditionalFormatting>
  <conditionalFormatting sqref="F36">
    <cfRule type="expression" dxfId="15" priority="73">
      <formula>$B$36=1</formula>
    </cfRule>
  </conditionalFormatting>
  <conditionalFormatting sqref="F37:G37">
    <cfRule type="expression" dxfId="14" priority="75">
      <formula>$B$37=1</formula>
    </cfRule>
  </conditionalFormatting>
  <conditionalFormatting sqref="F38:G38">
    <cfRule type="expression" dxfId="13" priority="77">
      <formula>$B$38=1</formula>
    </cfRule>
  </conditionalFormatting>
  <conditionalFormatting sqref="F22:H24 C22:E23 C17:H21 D24 C25:H45">
    <cfRule type="expression" dxfId="12" priority="8">
      <formula>$B$1=1</formula>
    </cfRule>
  </conditionalFormatting>
  <conditionalFormatting sqref="C55:E56 F54:H55 C68:H71 C64:E67 F65:H66 F8:H15 C57:H63 C53:H53 C52:D52 F52:H52 C46:H51 C54 E54">
    <cfRule type="expression" dxfId="11" priority="7">
      <formula>NOT($B$1=3)</formula>
    </cfRule>
  </conditionalFormatting>
  <conditionalFormatting sqref="E15">
    <cfRule type="expression" dxfId="10" priority="5">
      <formula>NOT($B$1=1)</formula>
    </cfRule>
  </conditionalFormatting>
  <conditionalFormatting sqref="D72:E72">
    <cfRule type="expression" dxfId="9" priority="4">
      <formula>NOT($B$1=3)</formula>
    </cfRule>
  </conditionalFormatting>
  <conditionalFormatting sqref="C72">
    <cfRule type="expression" dxfId="8" priority="3">
      <formula>NOT($B$1=3)</formula>
    </cfRule>
  </conditionalFormatting>
  <conditionalFormatting sqref="G36">
    <cfRule type="expression" dxfId="7" priority="86">
      <formula>$B$36</formula>
    </cfRule>
  </conditionalFormatting>
  <conditionalFormatting sqref="F39:G39">
    <cfRule type="expression" dxfId="6" priority="89">
      <formula>$B$39=1</formula>
    </cfRule>
  </conditionalFormatting>
  <conditionalFormatting sqref="F40:G40">
    <cfRule type="expression" dxfId="5" priority="90">
      <formula>$B$40=1</formula>
    </cfRule>
  </conditionalFormatting>
  <conditionalFormatting sqref="F41:G41">
    <cfRule type="expression" dxfId="4" priority="91">
      <formula>$B$41=1</formula>
    </cfRule>
  </conditionalFormatting>
  <conditionalFormatting sqref="F42:G42">
    <cfRule type="expression" dxfId="3" priority="92">
      <formula>$B$42=1</formula>
    </cfRule>
  </conditionalFormatting>
  <conditionalFormatting sqref="F43:G43">
    <cfRule type="expression" dxfId="2" priority="93">
      <formula>$B$43=1</formula>
    </cfRule>
  </conditionalFormatting>
  <conditionalFormatting sqref="C24 E24">
    <cfRule type="expression" dxfId="1" priority="2">
      <formula>$B$1=1</formula>
    </cfRule>
  </conditionalFormatting>
  <conditionalFormatting sqref="D54">
    <cfRule type="expression" dxfId="0" priority="1">
      <formula>NOT($B$1=3)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E51 E62:E63 C38:C4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5"/>
  <sheetViews>
    <sheetView topLeftCell="J1" zoomScale="105" workbookViewId="0">
      <selection activeCell="R2" sqref="R2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7" max="7" width="7.5703125" customWidth="1"/>
    <col min="8" max="8" width="22.28515625" bestFit="1" customWidth="1"/>
    <col min="10" max="10" width="13.7109375" customWidth="1"/>
    <col min="11" max="11" width="12.5703125" bestFit="1" customWidth="1"/>
    <col min="12" max="12" width="11.7109375" bestFit="1" customWidth="1"/>
    <col min="13" max="23" width="11.7109375" customWidth="1"/>
    <col min="24" max="24" width="10.7109375" bestFit="1" customWidth="1"/>
    <col min="25" max="25" width="10.7109375" customWidth="1"/>
    <col min="26" max="27" width="11.7109375" customWidth="1"/>
    <col min="28" max="28" width="10.7109375" bestFit="1" customWidth="1"/>
    <col min="31" max="31" width="6.140625" customWidth="1"/>
    <col min="38" max="38" width="3.7109375" customWidth="1"/>
    <col min="39" max="39" width="14.140625" customWidth="1"/>
    <col min="40" max="40" width="12.5703125" customWidth="1"/>
    <col min="41" max="41" width="6.28515625" customWidth="1"/>
    <col min="42" max="42" width="15.140625" bestFit="1" customWidth="1"/>
    <col min="43" max="43" width="17.42578125" bestFit="1" customWidth="1"/>
    <col min="44" max="44" width="12.42578125" bestFit="1" customWidth="1"/>
    <col min="45" max="45" width="6" bestFit="1" customWidth="1"/>
  </cols>
  <sheetData>
    <row r="1" spans="1:43">
      <c r="K1" t="str">
        <f t="array" aca="1" ref="K1:S3" ca="1">_xll.GetDailyNBalanceSummary(A7:B55,D18:E24,D9:E15)</f>
        <v>Mineral</v>
      </c>
      <c r="L1" t="str">
        <f ca="1"/>
        <v>UptakeN</v>
      </c>
      <c r="M1" t="str">
        <f ca="1"/>
        <v>Residue</v>
      </c>
      <c r="N1" t="str">
        <f ca="1"/>
        <v>Organic</v>
      </c>
      <c r="O1" t="str">
        <f ca="1"/>
        <v>Fertiliser</v>
      </c>
      <c r="P1" t="str">
        <f ca="1"/>
        <v>Other Crop Parts</v>
      </c>
      <c r="Q1" t="str">
        <f ca="1"/>
        <v>Crop Product</v>
      </c>
      <c r="R1" t="str">
        <f ca="1"/>
        <v>Uncharacterised</v>
      </c>
      <c r="S1" t="str">
        <f ca="1"/>
        <v>Total</v>
      </c>
    </row>
    <row r="2" spans="1:43">
      <c r="J2" t="s">
        <v>276</v>
      </c>
      <c r="K2">
        <f ca="1"/>
        <v>146</v>
      </c>
      <c r="L2">
        <f ca="1"/>
        <v>0</v>
      </c>
      <c r="M2">
        <f ca="1"/>
        <v>1</v>
      </c>
      <c r="N2">
        <f ca="1"/>
        <v>83</v>
      </c>
      <c r="O2">
        <f ca="1"/>
        <v>88</v>
      </c>
      <c r="P2">
        <f ca="1"/>
        <v>3</v>
      </c>
      <c r="Q2">
        <f ca="1"/>
        <v>0</v>
      </c>
      <c r="R2">
        <f ca="1"/>
        <v>1</v>
      </c>
      <c r="S2">
        <f ca="1"/>
        <v>322</v>
      </c>
      <c r="T2">
        <f ca="1">SUM(K2:R2)</f>
        <v>322</v>
      </c>
    </row>
    <row r="3" spans="1:43">
      <c r="J3" t="s">
        <v>277</v>
      </c>
      <c r="K3">
        <f ca="1"/>
        <v>29</v>
      </c>
      <c r="L3">
        <f ca="1"/>
        <v>0</v>
      </c>
      <c r="M3">
        <f ca="1"/>
        <v>0</v>
      </c>
      <c r="N3">
        <f ca="1"/>
        <v>0</v>
      </c>
      <c r="O3">
        <f ca="1"/>
        <v>0</v>
      </c>
      <c r="P3">
        <f ca="1"/>
        <v>104</v>
      </c>
      <c r="Q3">
        <f ca="1"/>
        <v>81</v>
      </c>
      <c r="R3">
        <f ca="1"/>
        <v>109</v>
      </c>
      <c r="S3">
        <f ca="1"/>
        <v>323</v>
      </c>
      <c r="T3">
        <f ca="1">SUM(K3:R3)</f>
        <v>323</v>
      </c>
    </row>
    <row r="4" spans="1:43">
      <c r="K4" s="3">
        <f ca="1">K2-K8</f>
        <v>96</v>
      </c>
      <c r="L4" s="3">
        <f t="shared" ref="L4:R4" ca="1" si="0">L2-L8</f>
        <v>0</v>
      </c>
      <c r="M4" s="3">
        <f t="shared" ca="1" si="0"/>
        <v>-43.024405251091032</v>
      </c>
      <c r="N4" s="3">
        <f t="shared" ca="1" si="0"/>
        <v>-55.441460819123449</v>
      </c>
      <c r="O4" s="3">
        <f t="shared" ca="1" si="0"/>
        <v>-50.212052739237947</v>
      </c>
      <c r="P4" s="3">
        <f t="shared" ca="1" si="0"/>
        <v>1.294086175924211</v>
      </c>
      <c r="Q4" s="3">
        <f t="shared" ca="1" si="0"/>
        <v>-1.3305283315997054</v>
      </c>
      <c r="R4" s="3">
        <f t="shared" ca="1" si="0"/>
        <v>1</v>
      </c>
    </row>
    <row r="5" spans="1:43" ht="15.75" thickBot="1">
      <c r="K5" s="3">
        <f ca="1">K3-K9</f>
        <v>0.26159498089626254</v>
      </c>
      <c r="L5" s="3">
        <f t="shared" ref="L5:R5" ca="1" si="1">L3-L9</f>
        <v>0</v>
      </c>
      <c r="M5" s="3">
        <f t="shared" ca="1" si="1"/>
        <v>0</v>
      </c>
      <c r="N5" s="3">
        <f t="shared" ca="1" si="1"/>
        <v>0</v>
      </c>
      <c r="O5" s="3">
        <f t="shared" ca="1" si="1"/>
        <v>0</v>
      </c>
      <c r="P5" s="3">
        <f t="shared" ca="1" si="1"/>
        <v>0.1985401459854188</v>
      </c>
      <c r="Q5" s="3">
        <f t="shared" ca="1" si="1"/>
        <v>4.0000000000020464E-2</v>
      </c>
      <c r="R5" s="3">
        <f t="shared" ca="1" si="1"/>
        <v>-51.214496092009767</v>
      </c>
    </row>
    <row r="6" spans="1:43" ht="33" thickBot="1">
      <c r="A6" s="138" t="s">
        <v>110</v>
      </c>
      <c r="B6" s="139"/>
      <c r="I6" s="30" t="s">
        <v>109</v>
      </c>
      <c r="J6" s="22"/>
      <c r="K6" s="21" t="s">
        <v>178</v>
      </c>
      <c r="L6" s="22"/>
      <c r="M6" s="21" t="s">
        <v>176</v>
      </c>
      <c r="N6" s="21" t="s">
        <v>177</v>
      </c>
      <c r="O6" s="21" t="s">
        <v>13</v>
      </c>
      <c r="P6" s="21" t="s">
        <v>282</v>
      </c>
      <c r="Q6" s="21" t="s">
        <v>283</v>
      </c>
      <c r="R6" s="23" t="s">
        <v>284</v>
      </c>
      <c r="S6" s="97"/>
      <c r="T6" s="97"/>
      <c r="U6" s="97"/>
      <c r="V6" s="97"/>
      <c r="W6" s="97" t="s">
        <v>175</v>
      </c>
      <c r="X6" s="97" t="s">
        <v>174</v>
      </c>
      <c r="AA6" s="97"/>
      <c r="AG6" t="str">
        <f t="array" aca="1" ref="AG6:AQ9" ca="1">_xll.GetDailyNBalanceSummary(A7:B55,D18:E24,D9:E15)</f>
        <v>Mineral</v>
      </c>
      <c r="AH6" t="str">
        <f ca="1"/>
        <v>UptakeN</v>
      </c>
      <c r="AI6" t="str">
        <f ca="1"/>
        <v>Residue</v>
      </c>
      <c r="AJ6" t="str">
        <f ca="1"/>
        <v>Organic</v>
      </c>
      <c r="AK6" t="str">
        <f ca="1"/>
        <v>Fertiliser</v>
      </c>
      <c r="AL6" t="str">
        <f ca="1"/>
        <v>Other Crop Parts</v>
      </c>
      <c r="AM6" t="str">
        <f ca="1"/>
        <v>Crop Product</v>
      </c>
      <c r="AN6" t="str">
        <f ca="1"/>
        <v>Uncharacterised</v>
      </c>
      <c r="AO6" t="str">
        <f ca="1"/>
        <v>Total</v>
      </c>
      <c r="AP6" t="e">
        <f ca="1"/>
        <v>#N/A</v>
      </c>
      <c r="AQ6" t="e">
        <f ca="1"/>
        <v>#N/A</v>
      </c>
    </row>
    <row r="7" spans="1:43" ht="15.75" thickBot="1">
      <c r="A7" s="12" t="s">
        <v>243</v>
      </c>
      <c r="B7" s="13" t="str">
        <f>Location</f>
        <v>levin</v>
      </c>
      <c r="I7" s="117"/>
      <c r="K7" s="97"/>
      <c r="M7" s="97"/>
      <c r="N7" s="97"/>
      <c r="O7" s="97"/>
      <c r="P7" s="97"/>
      <c r="Q7" s="97"/>
      <c r="R7" s="118"/>
      <c r="S7" s="97"/>
      <c r="T7" s="97"/>
      <c r="U7" s="97"/>
      <c r="V7" s="97"/>
      <c r="W7" s="97"/>
      <c r="X7" s="97"/>
      <c r="AA7" s="97"/>
      <c r="AG7">
        <f ca="1"/>
        <v>146</v>
      </c>
      <c r="AH7">
        <f ca="1"/>
        <v>0</v>
      </c>
      <c r="AI7">
        <f ca="1"/>
        <v>1</v>
      </c>
      <c r="AJ7">
        <f ca="1"/>
        <v>83</v>
      </c>
      <c r="AK7">
        <f ca="1"/>
        <v>88</v>
      </c>
      <c r="AL7">
        <f ca="1"/>
        <v>3</v>
      </c>
      <c r="AM7">
        <f ca="1"/>
        <v>0</v>
      </c>
      <c r="AN7">
        <f ca="1"/>
        <v>1</v>
      </c>
      <c r="AO7">
        <f ca="1"/>
        <v>322</v>
      </c>
      <c r="AP7" t="e">
        <f ca="1"/>
        <v>#N/A</v>
      </c>
      <c r="AQ7" t="e">
        <f ca="1"/>
        <v>#N/A</v>
      </c>
    </row>
    <row r="8" spans="1:43">
      <c r="A8" s="12" t="s">
        <v>223</v>
      </c>
      <c r="B8" s="13" t="str">
        <f>SoilOrder</f>
        <v>SandyLoam</v>
      </c>
      <c r="D8" s="39" t="str">
        <f>ConceptDemo!C27</f>
        <v>Fertiliser already applied or planned</v>
      </c>
      <c r="E8" s="40"/>
      <c r="I8" s="12" t="s">
        <v>0</v>
      </c>
      <c r="J8" s="28">
        <f ca="1">B26+1</f>
        <v>45377</v>
      </c>
      <c r="K8" s="3">
        <v>50</v>
      </c>
      <c r="L8" s="3"/>
      <c r="M8" s="3">
        <f ca="1">SUMIF($I$13:$I$1006,TRUE,M13:M1006)</f>
        <v>44.024405251091032</v>
      </c>
      <c r="N8" s="3">
        <f ca="1">SUMIF($I$13:$I$1006,TRUE,N13:N1006)</f>
        <v>138.44146081912345</v>
      </c>
      <c r="O8" s="3">
        <f ca="1">SUMIF($I$13:$I$1006,TRUE,O13:O1006)</f>
        <v>138.21205273923795</v>
      </c>
      <c r="P8" s="3">
        <f ca="1">VLOOKUP(B37,ModelOutputs,P10,FALSE)-Q8</f>
        <v>1.705913824075789</v>
      </c>
      <c r="Q8">
        <f ca="1">VLOOKUP(B37,ModelOutputs,Q10,FALSE)</f>
        <v>1.3305283315997054</v>
      </c>
      <c r="R8" s="13"/>
      <c r="W8" s="3">
        <f ca="1">MAX(0,X9-X8)</f>
        <v>2.2737367544323206E-13</v>
      </c>
      <c r="X8" s="3">
        <f ca="1">SUM(K8:R8)</f>
        <v>373.71436096512787</v>
      </c>
      <c r="AA8" s="3"/>
      <c r="AG8">
        <f ca="1"/>
        <v>29</v>
      </c>
      <c r="AH8">
        <f ca="1"/>
        <v>0</v>
      </c>
      <c r="AI8">
        <f ca="1"/>
        <v>0</v>
      </c>
      <c r="AJ8">
        <f ca="1"/>
        <v>0</v>
      </c>
      <c r="AK8">
        <f ca="1"/>
        <v>0</v>
      </c>
      <c r="AL8">
        <f ca="1"/>
        <v>104</v>
      </c>
      <c r="AM8">
        <f ca="1"/>
        <v>81</v>
      </c>
      <c r="AN8">
        <f ca="1"/>
        <v>109</v>
      </c>
      <c r="AO8">
        <f ca="1"/>
        <v>323</v>
      </c>
      <c r="AP8" t="e">
        <f ca="1"/>
        <v>#N/A</v>
      </c>
      <c r="AQ8" t="e">
        <f ca="1"/>
        <v>#N/A</v>
      </c>
    </row>
    <row r="9" spans="1:43" ht="15.75" thickBot="1">
      <c r="A9" s="12" t="s">
        <v>206</v>
      </c>
      <c r="B9" s="13" t="str">
        <f>SampleDepth</f>
        <v>Top30cm</v>
      </c>
      <c r="D9" s="19" t="str">
        <f>ConceptDemo!C28</f>
        <v>Date</v>
      </c>
      <c r="E9" s="20" t="str">
        <f>ConceptDemo!D28</f>
        <v>Amount</v>
      </c>
      <c r="I9" s="14" t="s">
        <v>12</v>
      </c>
      <c r="J9" s="29">
        <f>B39</f>
        <v>45561</v>
      </c>
      <c r="K9" s="24">
        <f ca="1">VLOOKUP(J9,ModelOutputs,2,FALSE)</f>
        <v>28.738405019103737</v>
      </c>
      <c r="L9" s="27"/>
      <c r="M9" s="25"/>
      <c r="N9" s="25"/>
      <c r="O9" s="25"/>
      <c r="P9" s="24">
        <f ca="1">(VLOOKUP($J$9,ModelOutputs,P10,FALSE)-VLOOKUP($J$8+1,ModelOutputs,P10,FALSE))-Q9</f>
        <v>103.80145985401458</v>
      </c>
      <c r="Q9" s="26">
        <f ca="1">VLOOKUP($J$9,ModelOutputs,Q10,FALSE)-VLOOKUP($J$8+1,ModelOutputs,Q10,FALSE)</f>
        <v>80.95999999999998</v>
      </c>
      <c r="R9" s="27">
        <f ca="1">SUMIF($I$13:$I$1006,TRUE,R13:R1006)</f>
        <v>160.21449609200977</v>
      </c>
      <c r="S9" s="3"/>
      <c r="T9" s="3"/>
      <c r="U9" s="3"/>
      <c r="V9" s="3"/>
      <c r="W9" s="3">
        <f ca="1">MAX(0,X8-X9)</f>
        <v>0</v>
      </c>
      <c r="X9" s="3">
        <f ca="1">SUM(K9:R9)</f>
        <v>373.71436096512809</v>
      </c>
      <c r="AG9" t="e">
        <f ca="1"/>
        <v>#N/A</v>
      </c>
      <c r="AH9" t="e">
        <f ca="1"/>
        <v>#N/A</v>
      </c>
      <c r="AI9" t="e">
        <f ca="1"/>
        <v>#N/A</v>
      </c>
      <c r="AJ9" t="e">
        <f ca="1"/>
        <v>#N/A</v>
      </c>
      <c r="AK9" t="e">
        <f ca="1"/>
        <v>#N/A</v>
      </c>
      <c r="AL9" t="e">
        <f ca="1"/>
        <v>#N/A</v>
      </c>
      <c r="AM9" t="e">
        <f ca="1"/>
        <v>#N/A</v>
      </c>
      <c r="AN9" t="e">
        <f ca="1"/>
        <v>#N/A</v>
      </c>
      <c r="AO9" t="e">
        <f ca="1"/>
        <v>#N/A</v>
      </c>
      <c r="AP9" t="e">
        <f ca="1"/>
        <v>#N/A</v>
      </c>
      <c r="AQ9" t="e">
        <f ca="1"/>
        <v>#N/A</v>
      </c>
    </row>
    <row r="10" spans="1:43">
      <c r="A10" s="12" t="s">
        <v>233</v>
      </c>
      <c r="B10" s="13" t="str">
        <f>SoilCategory</f>
        <v>Sedimentary</v>
      </c>
      <c r="D10" s="37">
        <f>IF(ConceptDemo!C29="","",ConceptDemo!C29)</f>
        <v>45432</v>
      </c>
      <c r="E10" s="38">
        <f>IF(ConceptDemo!D29="","",ConceptDemo!D29)</f>
        <v>50</v>
      </c>
      <c r="L10">
        <f ca="1">SUMIF(H12:H1005,FALSE,L12:L1005)</f>
        <v>354.3242517794921</v>
      </c>
      <c r="M10">
        <f ca="1">SUMIF(H12:H1005,TRUE,M12:M1005)</f>
        <v>44.020108319988744</v>
      </c>
      <c r="P10">
        <v>7</v>
      </c>
      <c r="Q10">
        <v>8</v>
      </c>
      <c r="W10" s="3"/>
      <c r="AA10" s="3"/>
      <c r="AG10" t="e" cm="1">
        <f t="array" aca="1" ref="AG10" ca="1">_xll.GetDailyNBalanceSummary(A11:B59,D22:E28,D13:E19)</f>
        <v>#VALUE!</v>
      </c>
      <c r="AH10" t="e" cm="1">
        <f t="array" aca="1" ref="AH10" ca="1">_xll.GetDailyNBalanceSummary(B11:C59,E22:F28,E13:F19)</f>
        <v>#VALUE!</v>
      </c>
      <c r="AI10" t="e" cm="1" vm="1">
        <f t="array" aca="1" ref="AI10" ca="1">_xll.GetDailyNBalanceSummary(C11:D59,F22:G28,F13:G19)</f>
        <v>#VALUE!</v>
      </c>
      <c r="AJ10" t="e" cm="1" vm="1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205</v>
      </c>
      <c r="B11" s="13">
        <f>HWEON</f>
        <v>55</v>
      </c>
      <c r="D11" s="18" t="str">
        <f>IF(ConceptDemo!C30="","",ConceptDemo!C30)</f>
        <v/>
      </c>
      <c r="E11" s="17" t="str">
        <f>IF(ConceptDemo!D30="","",ConceptDemo!D30)</f>
        <v/>
      </c>
      <c r="H11" t="s">
        <v>172</v>
      </c>
      <c r="I11" t="s">
        <v>108</v>
      </c>
      <c r="J11" t="str">
        <f t="array" aca="1" ref="J11:V1005" ca="1">_xll.GetDailyNBalance(A7:B55,D18:E24,D9:E15)</f>
        <v>Date</v>
      </c>
      <c r="K11" s="2" t="str">
        <f ca="1"/>
        <v>SoilMineralN</v>
      </c>
      <c r="L11" t="str">
        <f ca="1"/>
        <v>UptakeN</v>
      </c>
      <c r="M11" t="str">
        <f ca="1"/>
        <v>ResidueN</v>
      </c>
      <c r="N11" t="str">
        <f ca="1"/>
        <v>SoilOMN</v>
      </c>
      <c r="O11" t="str">
        <f ca="1"/>
        <v>FertiliserN</v>
      </c>
      <c r="P11" t="str">
        <f ca="1"/>
        <v>CropN</v>
      </c>
      <c r="Q11" t="str">
        <f ca="1"/>
        <v>ProductN</v>
      </c>
      <c r="R11" t="str">
        <f ca="1"/>
        <v>LostN</v>
      </c>
      <c r="S11" t="str">
        <f ca="1"/>
        <v>RSWC</v>
      </c>
      <c r="T11" t="str">
        <f ca="1"/>
        <v>Drainage</v>
      </c>
      <c r="U11" t="str">
        <f ca="1"/>
        <v>Irrigation</v>
      </c>
      <c r="V11" t="str">
        <f ca="1"/>
        <v>Green cover</v>
      </c>
      <c r="X11" t="s">
        <v>142</v>
      </c>
      <c r="Y11" t="s">
        <v>143</v>
      </c>
      <c r="AG11" t="e" cm="1">
        <f t="array" aca="1" ref="AG11" ca="1">_xll.GetDailyNBalanceSummary(A12:B60,D23:E29,D14:E20)</f>
        <v>#VALUE!</v>
      </c>
      <c r="AH11" t="e" cm="1">
        <f t="array" aca="1" ref="AH11" ca="1">_xll.GetDailyNBalanceSummary(B12:C60,E23:F29,E14:F20)</f>
        <v>#VALUE!</v>
      </c>
      <c r="AI11" t="e" cm="1" vm="2">
        <f t="array" aca="1" ref="AI11" ca="1">_xll.GetDailyNBalanceSummary(C12:D60,F23:G29,F14:G20)</f>
        <v>#VALUE!</v>
      </c>
      <c r="AJ11" t="e" cm="1" vm="2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25</v>
      </c>
      <c r="B12" s="13">
        <f>Splits</f>
        <v>3</v>
      </c>
      <c r="D12" s="18" t="str">
        <f>IF(ConceptDemo!C31="","",ConceptDemo!C31)</f>
        <v/>
      </c>
      <c r="E12" s="17" t="str">
        <f>IF(ConceptDemo!D31="","",ConceptDemo!D31)</f>
        <v/>
      </c>
      <c r="H12" t="b">
        <f ca="1">IF(J12&lt;$J$9,TRUE,FALSE)</f>
        <v>1</v>
      </c>
      <c r="I12" t="b">
        <f t="shared" ref="I12:I75" ca="1" si="2">AND(IF(J12&gt;($J$8-1),TRUE,FALSE),IF(J12&lt;($J$9+1),TRUE,FALSE))</f>
        <v>0</v>
      </c>
      <c r="J12" s="2">
        <f ca="1"/>
        <v>45376</v>
      </c>
      <c r="K12">
        <f ca="1"/>
        <v>0</v>
      </c>
      <c r="L12">
        <f ca="1"/>
        <v>5.3593267461968139</v>
      </c>
      <c r="M12">
        <f ca="1"/>
        <v>0</v>
      </c>
      <c r="N12" s="4">
        <f ca="1"/>
        <v>1.1458094368831817</v>
      </c>
      <c r="O12">
        <f ca="1"/>
        <v>0</v>
      </c>
      <c r="P12">
        <f ca="1"/>
        <v>205.45477707006367</v>
      </c>
      <c r="Q12">
        <f ca="1"/>
        <v>101.19999999999997</v>
      </c>
      <c r="R12">
        <f ca="1"/>
        <v>0</v>
      </c>
      <c r="S12">
        <f ca="1"/>
        <v>0.9</v>
      </c>
      <c r="T12">
        <f ca="1"/>
        <v>0</v>
      </c>
      <c r="U12">
        <f ca="1"/>
        <v>0</v>
      </c>
      <c r="V12">
        <f ca="1"/>
        <v>0.89999999997313951</v>
      </c>
      <c r="X12" s="2">
        <f t="shared" ref="X12:X75" ca="1" si="3">IFERROR(J12,$X$10)</f>
        <v>45376</v>
      </c>
      <c r="Y12">
        <f t="shared" ref="Y12:Y75" ca="1" si="4">IFERROR(O12,0)</f>
        <v>0</v>
      </c>
      <c r="AA12" s="3"/>
      <c r="AB12" s="3"/>
      <c r="AD12" s="3"/>
      <c r="AE12" s="3"/>
      <c r="AG12" t="e" cm="1">
        <f t="array" aca="1" ref="AG12" ca="1">_xll.GetDailyNBalanceSummary(A13:B61,D24:E30,D15:E21)</f>
        <v>#VALUE!</v>
      </c>
      <c r="AH12" t="e" cm="1">
        <f t="array" aca="1" ref="AH12" ca="1">_xll.GetDailyNBalanceSummary(B13:C61,E24:F30,E15:F21)</f>
        <v>#VALUE!</v>
      </c>
      <c r="AI12" t="e" cm="1" vm="3">
        <f t="array" aca="1" ref="AI12" ca="1">_xll.GetDailyNBalanceSummary(C13:D61,F24:G30,F15:G21)</f>
        <v>#VALUE!</v>
      </c>
      <c r="AJ12" t="e" cm="1" vm="3">
        <f t="array" aca="1" ref="AJ12" ca="1">_xll.GetDailyNBalanceSummary(D13:E61,G24:H30,G15:H21)</f>
        <v>#VALUE!</v>
      </c>
      <c r="AK12" t="e" cm="1">
        <f t="array" aca="1" ref="AK12" ca="1">_xll.GetDailyNBalanceSummary(E13:F61,H24:I30,H15:I21)</f>
        <v>#VALUE!</v>
      </c>
      <c r="AL12" t="e" cm="1">
        <f t="array" aca="1" ref="AL12" ca="1">_xll.GetDailyNBalanceSummary(F13:G61,I24:J30,I15:J21)</f>
        <v>#VALUE!</v>
      </c>
      <c r="AM12" t="e" cm="1">
        <f t="array" aca="1" ref="AM12" ca="1">_xll.GetDailyNBalanceSummary(G13:H61,J24:K30,J15:K21)</f>
        <v>#VALUE!</v>
      </c>
      <c r="AN12" t="e" cm="1">
        <f t="array" aca="1" ref="AN12" ca="1">_xll.GetDailyNBalanceSummary(H13:I61,K24:L30,K15:L21)</f>
        <v>#VALUE!</v>
      </c>
      <c r="AO12" t="e" cm="1">
        <f t="array" aca="1" ref="AO12" ca="1">_xll.GetDailyNBalanceSummary(I13:J61,L24:M30,L15:M21)</f>
        <v>#VALUE!</v>
      </c>
    </row>
    <row r="13" spans="1:43">
      <c r="A13" s="12" t="s">
        <v>224</v>
      </c>
      <c r="B13" s="13">
        <f>Rocks</f>
        <v>0</v>
      </c>
      <c r="D13" s="18" t="str">
        <f>IF(ConceptDemo!C32="","",ConceptDemo!C32)</f>
        <v/>
      </c>
      <c r="E13" s="17" t="str">
        <f>IF(ConceptDemo!D32="","",ConceptDemo!D32)</f>
        <v/>
      </c>
      <c r="H13" t="b">
        <f t="shared" ref="H13:H76" ca="1" si="5">IF(J13&lt;$J$9,TRUE,FALSE)</f>
        <v>1</v>
      </c>
      <c r="I13" t="b">
        <f t="shared" ca="1" si="2"/>
        <v>1</v>
      </c>
      <c r="J13" s="2">
        <f ca="1"/>
        <v>45377</v>
      </c>
      <c r="K13">
        <f ca="1"/>
        <v>54.836828367819166</v>
      </c>
      <c r="L13">
        <f ca="1"/>
        <v>0</v>
      </c>
      <c r="M13">
        <f ca="1"/>
        <v>3.6766163687093076</v>
      </c>
      <c r="N13" s="4">
        <f ca="1"/>
        <v>1.1602119991098561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0.89340579710144929</v>
      </c>
      <c r="T13">
        <f ca="1"/>
        <v>0</v>
      </c>
      <c r="U13">
        <f ca="1"/>
        <v>0</v>
      </c>
      <c r="V13">
        <f ca="1"/>
        <v>0</v>
      </c>
      <c r="X13" s="2">
        <f t="shared" ca="1" si="3"/>
        <v>45377</v>
      </c>
      <c r="Y13">
        <f t="shared" ca="1" si="4"/>
        <v>0</v>
      </c>
      <c r="Z13" s="3"/>
      <c r="AA13" s="63">
        <f ca="1">K12+M13+N13+O13</f>
        <v>4.8368283678191641</v>
      </c>
      <c r="AB13" s="63">
        <f ca="1">K13+L13+R13</f>
        <v>54.836828367819166</v>
      </c>
      <c r="AC13" s="3">
        <f ca="1">AB13-AA13</f>
        <v>50</v>
      </c>
      <c r="AE13" s="3"/>
    </row>
    <row r="14" spans="1:43">
      <c r="A14" s="12" t="s">
        <v>198</v>
      </c>
      <c r="B14" s="13" t="str">
        <f>PrePlantRain</f>
        <v>Typical</v>
      </c>
      <c r="D14" s="18" t="str">
        <f>IF(ConceptDemo!C33="","",ConceptDemo!C33)</f>
        <v/>
      </c>
      <c r="E14" s="17" t="str">
        <f>IF(ConceptDemo!D33="","",ConceptDemo!D33)</f>
        <v/>
      </c>
      <c r="H14" t="b">
        <f t="shared" ca="1" si="5"/>
        <v>1</v>
      </c>
      <c r="I14" t="b">
        <f t="shared" ca="1" si="2"/>
        <v>1</v>
      </c>
      <c r="J14" s="2">
        <f ca="1"/>
        <v>45378</v>
      </c>
      <c r="K14">
        <f ca="1"/>
        <v>58.972411499303199</v>
      </c>
      <c r="L14">
        <f ca="1"/>
        <v>0</v>
      </c>
      <c r="M14">
        <f ca="1"/>
        <v>3.1046810617945457</v>
      </c>
      <c r="N14" s="4">
        <f ca="1"/>
        <v>1.0309020696894895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0.88208363789119937</v>
      </c>
      <c r="T14">
        <f ca="1"/>
        <v>0</v>
      </c>
      <c r="U14">
        <f ca="1"/>
        <v>0</v>
      </c>
      <c r="V14">
        <f ca="1"/>
        <v>0</v>
      </c>
      <c r="X14" s="2">
        <f t="shared" ca="1" si="3"/>
        <v>45378</v>
      </c>
      <c r="Y14">
        <f t="shared" ca="1" si="4"/>
        <v>0</v>
      </c>
      <c r="AA14" s="63">
        <f t="shared" ref="AA14:AA77" ca="1" si="6">K13+M14+N14+O14</f>
        <v>58.972411499303199</v>
      </c>
      <c r="AB14" s="63">
        <f t="shared" ref="AB14:AB77" ca="1" si="7">K14+L14+R14</f>
        <v>58.972411499303199</v>
      </c>
      <c r="AC14" s="3">
        <f t="shared" ref="AC14:AC77" ca="1" si="8">AB14-AA14</f>
        <v>0</v>
      </c>
    </row>
    <row r="15" spans="1:43" ht="15.75" thickBot="1">
      <c r="A15" s="12" t="s">
        <v>199</v>
      </c>
      <c r="B15" s="13" t="str">
        <f>InCropRain</f>
        <v>Typical</v>
      </c>
      <c r="D15" s="35" t="str">
        <f>IF(ConceptDemo!C34="","",ConceptDemo!C34)</f>
        <v/>
      </c>
      <c r="E15" s="20" t="str">
        <f>IF(ConceptDemo!D34="","",ConceptDemo!D34)</f>
        <v/>
      </c>
      <c r="H15" t="b">
        <f t="shared" ca="1" si="5"/>
        <v>1</v>
      </c>
      <c r="I15" t="b">
        <f t="shared" ca="1" si="2"/>
        <v>1</v>
      </c>
      <c r="J15" s="2">
        <f ca="1"/>
        <v>45379</v>
      </c>
      <c r="K15">
        <f ca="1"/>
        <v>63.005682914370901</v>
      </c>
      <c r="L15">
        <f ca="1"/>
        <v>0</v>
      </c>
      <c r="M15">
        <f ca="1"/>
        <v>2.9621865934586378</v>
      </c>
      <c r="N15" s="4">
        <f ca="1"/>
        <v>1.0710848216090649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  <c r="S15">
        <f ca="1"/>
        <v>0.88580977486157153</v>
      </c>
      <c r="T15">
        <f ca="1"/>
        <v>0</v>
      </c>
      <c r="U15">
        <f ca="1"/>
        <v>0</v>
      </c>
      <c r="V15">
        <f ca="1"/>
        <v>0</v>
      </c>
      <c r="X15" s="2">
        <f t="shared" ca="1" si="3"/>
        <v>45379</v>
      </c>
      <c r="Y15">
        <f t="shared" ca="1" si="4"/>
        <v>0</v>
      </c>
      <c r="AA15" s="63">
        <f t="shared" ca="1" si="6"/>
        <v>63.005682914370901</v>
      </c>
      <c r="AB15" s="63">
        <f t="shared" ca="1" si="7"/>
        <v>63.005682914370901</v>
      </c>
      <c r="AC15" s="3">
        <f t="shared" ca="1" si="8"/>
        <v>0</v>
      </c>
    </row>
    <row r="16" spans="1:43" ht="15.75" thickBot="1">
      <c r="A16" s="12" t="s">
        <v>186</v>
      </c>
      <c r="B16" s="13" t="str">
        <f>Irrigation</f>
        <v>None</v>
      </c>
      <c r="H16" t="b">
        <f t="shared" ca="1" si="5"/>
        <v>1</v>
      </c>
      <c r="I16" t="b">
        <f t="shared" ca="1" si="2"/>
        <v>1</v>
      </c>
      <c r="J16" s="2">
        <f ca="1"/>
        <v>45380</v>
      </c>
      <c r="K16">
        <f ca="1"/>
        <v>66.877899878672608</v>
      </c>
      <c r="L16">
        <f ca="1"/>
        <v>0</v>
      </c>
      <c r="M16">
        <f ca="1"/>
        <v>2.7817404781761059</v>
      </c>
      <c r="N16" s="4">
        <f ca="1"/>
        <v>1.0904764861256018</v>
      </c>
      <c r="O16">
        <f ca="1"/>
        <v>0</v>
      </c>
      <c r="P16">
        <f ca="1"/>
        <v>0</v>
      </c>
      <c r="Q16">
        <f ca="1"/>
        <v>0</v>
      </c>
      <c r="R16">
        <f ca="1"/>
        <v>0</v>
      </c>
      <c r="S16">
        <f ca="1"/>
        <v>0.88564892369635739</v>
      </c>
      <c r="T16">
        <f ca="1"/>
        <v>0</v>
      </c>
      <c r="U16">
        <f ca="1"/>
        <v>0</v>
      </c>
      <c r="V16">
        <f ca="1"/>
        <v>0</v>
      </c>
      <c r="X16" s="2">
        <f t="shared" ca="1" si="3"/>
        <v>45380</v>
      </c>
      <c r="Y16">
        <f t="shared" ca="1" si="4"/>
        <v>0</v>
      </c>
      <c r="AA16" s="63">
        <f t="shared" ca="1" si="6"/>
        <v>66.877899878672608</v>
      </c>
      <c r="AB16" s="63">
        <f t="shared" ca="1" si="7"/>
        <v>66.877899878672608</v>
      </c>
      <c r="AC16" s="3">
        <f t="shared" ca="1" si="8"/>
        <v>0</v>
      </c>
    </row>
    <row r="17" spans="1:29">
      <c r="A17" s="5" t="s">
        <v>139</v>
      </c>
      <c r="B17" s="31" t="str">
        <f>PriorCropNameFull</f>
        <v>Broccoli Vegetable Head only</v>
      </c>
      <c r="D17" s="136" t="str">
        <f>ConceptDemo!C36</f>
        <v>Soil Mineral N Test Results</v>
      </c>
      <c r="E17" s="137"/>
      <c r="H17" t="b">
        <f t="shared" ca="1" si="5"/>
        <v>1</v>
      </c>
      <c r="I17" t="b">
        <f t="shared" ca="1" si="2"/>
        <v>1</v>
      </c>
      <c r="J17" s="2">
        <f ca="1"/>
        <v>45381</v>
      </c>
      <c r="K17">
        <f ca="1"/>
        <v>70.401842016949601</v>
      </c>
      <c r="L17">
        <f ca="1"/>
        <v>0</v>
      </c>
      <c r="M17">
        <f ca="1"/>
        <v>2.4795796629321263</v>
      </c>
      <c r="N17" s="4">
        <f ca="1"/>
        <v>1.044362475344867</v>
      </c>
      <c r="O17">
        <f ca="1"/>
        <v>0</v>
      </c>
      <c r="P17">
        <f ca="1"/>
        <v>0</v>
      </c>
      <c r="Q17">
        <f ca="1"/>
        <v>0</v>
      </c>
      <c r="R17">
        <f ca="1"/>
        <v>0</v>
      </c>
      <c r="S17">
        <f ca="1"/>
        <v>0.88409018686258922</v>
      </c>
      <c r="T17">
        <f ca="1"/>
        <v>0</v>
      </c>
      <c r="U17">
        <f ca="1"/>
        <v>0</v>
      </c>
      <c r="V17">
        <f ca="1"/>
        <v>0</v>
      </c>
      <c r="X17" s="2">
        <f t="shared" ca="1" si="3"/>
        <v>45381</v>
      </c>
      <c r="Y17">
        <f t="shared" ca="1" si="4"/>
        <v>0</v>
      </c>
      <c r="AA17" s="63">
        <f t="shared" ca="1" si="6"/>
        <v>70.401842016949601</v>
      </c>
      <c r="AB17" s="63">
        <f t="shared" ca="1" si="7"/>
        <v>70.401842016949601</v>
      </c>
      <c r="AC17" s="3">
        <f t="shared" ca="1" si="8"/>
        <v>0</v>
      </c>
    </row>
    <row r="18" spans="1:29" ht="15.75" thickBot="1">
      <c r="A18" s="6" t="s">
        <v>234</v>
      </c>
      <c r="B18" s="32">
        <f>PriorYield</f>
        <v>0.4</v>
      </c>
      <c r="D18" s="19" t="str">
        <f>ConceptDemo!C37</f>
        <v>Date</v>
      </c>
      <c r="E18" s="20" t="str">
        <f>ConceptDemo!D37</f>
        <v>Value</v>
      </c>
      <c r="H18" t="b">
        <f t="shared" ca="1" si="5"/>
        <v>1</v>
      </c>
      <c r="I18" t="b">
        <f t="shared" ca="1" si="2"/>
        <v>1</v>
      </c>
      <c r="J18" s="2">
        <f ca="1"/>
        <v>45382</v>
      </c>
      <c r="K18">
        <f ca="1"/>
        <v>73.666768460300489</v>
      </c>
      <c r="L18">
        <f ca="1"/>
        <v>0</v>
      </c>
      <c r="M18">
        <f ca="1"/>
        <v>2.2548786255962519</v>
      </c>
      <c r="N18" s="4">
        <f ca="1"/>
        <v>1.0100478177546368</v>
      </c>
      <c r="O18">
        <f ca="1"/>
        <v>0</v>
      </c>
      <c r="P18">
        <f ca="1"/>
        <v>0</v>
      </c>
      <c r="Q18">
        <f ca="1"/>
        <v>0</v>
      </c>
      <c r="R18">
        <f ca="1"/>
        <v>0</v>
      </c>
      <c r="S18">
        <f ca="1"/>
        <v>0.87363961826083258</v>
      </c>
      <c r="T18">
        <f ca="1"/>
        <v>0</v>
      </c>
      <c r="U18">
        <f ca="1"/>
        <v>0</v>
      </c>
      <c r="V18">
        <f ca="1"/>
        <v>0</v>
      </c>
      <c r="X18" s="2">
        <f t="shared" ca="1" si="3"/>
        <v>45382</v>
      </c>
      <c r="Y18">
        <f t="shared" ca="1" si="4"/>
        <v>0</v>
      </c>
      <c r="AA18" s="63">
        <f t="shared" ca="1" si="6"/>
        <v>73.666768460300489</v>
      </c>
      <c r="AB18" s="63">
        <f t="shared" ca="1" si="7"/>
        <v>73.666768460300489</v>
      </c>
      <c r="AC18" s="3">
        <f t="shared" ca="1" si="8"/>
        <v>0</v>
      </c>
    </row>
    <row r="19" spans="1:29">
      <c r="A19" s="6" t="s">
        <v>227</v>
      </c>
      <c r="B19" s="32">
        <f>PriorPopulation</f>
        <v>50000</v>
      </c>
      <c r="D19" s="18" t="str">
        <f>IF(ConceptDemo!C38="","",ConceptDemo!C38)</f>
        <v/>
      </c>
      <c r="E19" s="17" t="str">
        <f>IF(ConceptDemo!D38="","",ConceptDemo!D38)</f>
        <v/>
      </c>
      <c r="H19" t="b">
        <f t="shared" ca="1" si="5"/>
        <v>1</v>
      </c>
      <c r="I19" t="b">
        <f t="shared" ca="1" si="2"/>
        <v>1</v>
      </c>
      <c r="J19" s="2">
        <f ca="1"/>
        <v>45383</v>
      </c>
      <c r="K19">
        <f ca="1"/>
        <v>76.615230530122346</v>
      </c>
      <c r="L19">
        <f ca="1"/>
        <v>0</v>
      </c>
      <c r="M19">
        <f ca="1"/>
        <v>2.0097579988767897</v>
      </c>
      <c r="N19" s="4">
        <f ca="1"/>
        <v>0.93870407094506414</v>
      </c>
      <c r="O19">
        <f ca="1"/>
        <v>0</v>
      </c>
      <c r="P19">
        <f ca="1"/>
        <v>0</v>
      </c>
      <c r="Q19">
        <f ca="1"/>
        <v>0</v>
      </c>
      <c r="R19">
        <f ca="1"/>
        <v>0</v>
      </c>
      <c r="S19">
        <f ca="1"/>
        <v>0.85203306192901274</v>
      </c>
      <c r="T19">
        <f ca="1"/>
        <v>0</v>
      </c>
      <c r="U19">
        <f ca="1"/>
        <v>0</v>
      </c>
      <c r="V19">
        <f ca="1"/>
        <v>0</v>
      </c>
      <c r="X19" s="2">
        <f t="shared" ca="1" si="3"/>
        <v>45383</v>
      </c>
      <c r="Y19">
        <f t="shared" ca="1" si="4"/>
        <v>0</v>
      </c>
      <c r="AA19" s="63">
        <f t="shared" ca="1" si="6"/>
        <v>76.615230530122346</v>
      </c>
      <c r="AB19" s="63">
        <f t="shared" ca="1" si="7"/>
        <v>76.615230530122346</v>
      </c>
      <c r="AC19" s="3">
        <f t="shared" ca="1" si="8"/>
        <v>0</v>
      </c>
    </row>
    <row r="20" spans="1:29">
      <c r="A20" s="6" t="s">
        <v>228</v>
      </c>
      <c r="B20" s="32" t="str">
        <f>PriorUnits</f>
        <v>kg/head</v>
      </c>
      <c r="D20" s="18" t="str">
        <f>IF(ConceptDemo!C39="","",ConceptDemo!C39)</f>
        <v/>
      </c>
      <c r="E20" s="17" t="str">
        <f>IF(ConceptDemo!D39="","",ConceptDemo!D39)</f>
        <v/>
      </c>
      <c r="H20" t="b">
        <f t="shared" ca="1" si="5"/>
        <v>1</v>
      </c>
      <c r="I20" t="b">
        <f t="shared" ca="1" si="2"/>
        <v>1</v>
      </c>
      <c r="J20" s="2">
        <f ca="1"/>
        <v>45384</v>
      </c>
      <c r="K20">
        <f ca="1"/>
        <v>79.666889554094496</v>
      </c>
      <c r="L20">
        <f ca="1"/>
        <v>0</v>
      </c>
      <c r="M20">
        <f ca="1"/>
        <v>1.9881672520118556</v>
      </c>
      <c r="N20" s="4">
        <f ca="1"/>
        <v>1.0634917719602963</v>
      </c>
      <c r="O20">
        <f ca="1"/>
        <v>0</v>
      </c>
      <c r="P20">
        <f ca="1"/>
        <v>0</v>
      </c>
      <c r="Q20">
        <f ca="1"/>
        <v>0</v>
      </c>
      <c r="R20">
        <f ca="1"/>
        <v>0</v>
      </c>
      <c r="S20">
        <f ca="1"/>
        <v>0.88832360677503386</v>
      </c>
      <c r="T20">
        <f ca="1"/>
        <v>0</v>
      </c>
      <c r="U20">
        <f ca="1"/>
        <v>0</v>
      </c>
      <c r="V20">
        <f ca="1"/>
        <v>0</v>
      </c>
      <c r="X20" s="2">
        <f t="shared" ca="1" si="3"/>
        <v>45384</v>
      </c>
      <c r="Y20">
        <f t="shared" ca="1" si="4"/>
        <v>0</v>
      </c>
      <c r="AA20" s="63">
        <f t="shared" ca="1" si="6"/>
        <v>79.66688955409451</v>
      </c>
      <c r="AB20" s="63">
        <f t="shared" ca="1" si="7"/>
        <v>79.666889554094496</v>
      </c>
      <c r="AC20" s="3">
        <f t="shared" ca="1" si="8"/>
        <v>0</v>
      </c>
    </row>
    <row r="21" spans="1:29">
      <c r="A21" s="6" t="s">
        <v>112</v>
      </c>
      <c r="B21" s="32">
        <f>PriorFieldLoss</f>
        <v>0</v>
      </c>
      <c r="D21" s="18" t="str">
        <f>IF(ConceptDemo!C40="","",ConceptDemo!C40)</f>
        <v/>
      </c>
      <c r="E21" s="17" t="str">
        <f>IF(ConceptDemo!D40="","",ConceptDemo!D40)</f>
        <v/>
      </c>
      <c r="H21" t="b">
        <f t="shared" ca="1" si="5"/>
        <v>1</v>
      </c>
      <c r="I21" t="b">
        <f t="shared" ca="1" si="2"/>
        <v>1</v>
      </c>
      <c r="J21" s="2">
        <f ca="1"/>
        <v>45385</v>
      </c>
      <c r="K21">
        <f ca="1"/>
        <v>82.581527312985358</v>
      </c>
      <c r="L21">
        <f ca="1"/>
        <v>0</v>
      </c>
      <c r="M21">
        <f ca="1"/>
        <v>1.8013253040691097</v>
      </c>
      <c r="N21" s="4">
        <f ca="1"/>
        <v>1.1133124548217521</v>
      </c>
      <c r="O21">
        <f ca="1"/>
        <v>0</v>
      </c>
      <c r="P21">
        <f ca="1"/>
        <v>0</v>
      </c>
      <c r="Q21">
        <f ca="1"/>
        <v>0</v>
      </c>
      <c r="R21">
        <f ca="1"/>
        <v>0</v>
      </c>
      <c r="S21">
        <f ca="1"/>
        <v>0.94099855316869585</v>
      </c>
      <c r="T21">
        <f ca="1"/>
        <v>0</v>
      </c>
      <c r="U21">
        <f ca="1"/>
        <v>0</v>
      </c>
      <c r="V21">
        <f ca="1"/>
        <v>0</v>
      </c>
      <c r="X21" s="2">
        <f t="shared" ca="1" si="3"/>
        <v>45385</v>
      </c>
      <c r="Y21">
        <f t="shared" ca="1" si="4"/>
        <v>0</v>
      </c>
      <c r="AA21" s="63">
        <f t="shared" ca="1" si="6"/>
        <v>82.581527312985358</v>
      </c>
      <c r="AB21" s="63">
        <f t="shared" ca="1" si="7"/>
        <v>82.581527312985358</v>
      </c>
      <c r="AC21" s="3">
        <f t="shared" ca="1" si="8"/>
        <v>0</v>
      </c>
    </row>
    <row r="22" spans="1:29">
      <c r="A22" s="6" t="s">
        <v>113</v>
      </c>
      <c r="B22" s="32">
        <f>PriorDressingLoss</f>
        <v>0</v>
      </c>
      <c r="D22" s="18" t="str">
        <f>IF(ConceptDemo!C41="","",ConceptDemo!C41)</f>
        <v/>
      </c>
      <c r="E22" s="17" t="str">
        <f>IF(ConceptDemo!D41="","",ConceptDemo!D41)</f>
        <v/>
      </c>
      <c r="H22" t="b">
        <f t="shared" ca="1" si="5"/>
        <v>1</v>
      </c>
      <c r="I22" t="b">
        <f t="shared" ca="1" si="2"/>
        <v>1</v>
      </c>
      <c r="J22" s="2">
        <f ca="1"/>
        <v>45386</v>
      </c>
      <c r="K22">
        <f ca="1"/>
        <v>85.149838441936723</v>
      </c>
      <c r="L22">
        <f ca="1"/>
        <v>0</v>
      </c>
      <c r="M22">
        <f ca="1"/>
        <v>1.5341058127011955</v>
      </c>
      <c r="N22" s="4">
        <f ca="1"/>
        <v>1.0342053162501605</v>
      </c>
      <c r="O22">
        <f ca="1"/>
        <v>0</v>
      </c>
      <c r="P22">
        <f ca="1"/>
        <v>0</v>
      </c>
      <c r="Q22">
        <f ca="1"/>
        <v>0</v>
      </c>
      <c r="R22">
        <f ca="1"/>
        <v>0</v>
      </c>
      <c r="S22">
        <f ca="1"/>
        <v>0.96713396287650377</v>
      </c>
      <c r="T22">
        <f ca="1"/>
        <v>0</v>
      </c>
      <c r="U22">
        <f ca="1"/>
        <v>0</v>
      </c>
      <c r="V22">
        <f ca="1"/>
        <v>0</v>
      </c>
      <c r="X22" s="2">
        <f t="shared" ca="1" si="3"/>
        <v>45386</v>
      </c>
      <c r="Y22">
        <f t="shared" ca="1" si="4"/>
        <v>0</v>
      </c>
      <c r="AA22" s="63">
        <f t="shared" ca="1" si="6"/>
        <v>85.149838441936723</v>
      </c>
      <c r="AB22" s="63">
        <f t="shared" ca="1" si="7"/>
        <v>85.149838441936723</v>
      </c>
      <c r="AC22" s="3">
        <f t="shared" ca="1" si="8"/>
        <v>0</v>
      </c>
    </row>
    <row r="23" spans="1:29">
      <c r="A23" s="6" t="s">
        <v>114</v>
      </c>
      <c r="B23" s="32">
        <f>PriorMoistureContent</f>
        <v>89</v>
      </c>
      <c r="D23" s="18" t="str">
        <f>IF(ConceptDemo!C42="","",ConceptDemo!C42)</f>
        <v/>
      </c>
      <c r="E23" s="17" t="str">
        <f>IF(ConceptDemo!D42="","",ConceptDemo!D42)</f>
        <v/>
      </c>
      <c r="H23" t="b">
        <f t="shared" ca="1" si="5"/>
        <v>1</v>
      </c>
      <c r="I23" t="b">
        <f t="shared" ca="1" si="2"/>
        <v>1</v>
      </c>
      <c r="J23" s="2">
        <f ca="1"/>
        <v>45387</v>
      </c>
      <c r="K23">
        <f ca="1"/>
        <v>87.50424026948491</v>
      </c>
      <c r="L23">
        <f ca="1"/>
        <v>0</v>
      </c>
      <c r="M23">
        <f ca="1"/>
        <v>1.3741923765203445</v>
      </c>
      <c r="N23" s="4">
        <f ca="1"/>
        <v>0.9802094510278514</v>
      </c>
      <c r="O23">
        <f ca="1"/>
        <v>0</v>
      </c>
      <c r="P23">
        <f ca="1"/>
        <v>0</v>
      </c>
      <c r="Q23">
        <f ca="1"/>
        <v>0</v>
      </c>
      <c r="R23">
        <f ca="1"/>
        <v>0</v>
      </c>
      <c r="S23">
        <f ca="1"/>
        <v>0.95330196121540289</v>
      </c>
      <c r="T23">
        <f ca="1"/>
        <v>0</v>
      </c>
      <c r="U23">
        <f ca="1"/>
        <v>0</v>
      </c>
      <c r="V23">
        <f ca="1"/>
        <v>0</v>
      </c>
      <c r="X23" s="2">
        <f t="shared" ca="1" si="3"/>
        <v>45387</v>
      </c>
      <c r="Y23">
        <f t="shared" ca="1" si="4"/>
        <v>0</v>
      </c>
      <c r="AA23" s="63">
        <f t="shared" ca="1" si="6"/>
        <v>87.50424026948491</v>
      </c>
      <c r="AB23" s="63">
        <f t="shared" ca="1" si="7"/>
        <v>87.50424026948491</v>
      </c>
      <c r="AC23" s="3">
        <f t="shared" ca="1" si="8"/>
        <v>0</v>
      </c>
    </row>
    <row r="24" spans="1:29" ht="15.75" thickBot="1">
      <c r="A24" s="6" t="s">
        <v>115</v>
      </c>
      <c r="B24" s="34">
        <f ca="1">PriorEstablishDate</f>
        <v>45316</v>
      </c>
      <c r="D24" s="35" t="str">
        <f>IF(ConceptDemo!C43="","",ConceptDemo!C43)</f>
        <v/>
      </c>
      <c r="E24" s="20" t="str">
        <f>IF(ConceptDemo!D43="","",ConceptDemo!D43)</f>
        <v/>
      </c>
      <c r="H24" t="b">
        <f t="shared" ca="1" si="5"/>
        <v>1</v>
      </c>
      <c r="I24" t="b">
        <f t="shared" ca="1" si="2"/>
        <v>1</v>
      </c>
      <c r="J24" s="2">
        <f ca="1"/>
        <v>45388</v>
      </c>
      <c r="K24">
        <f ca="1"/>
        <v>89.58469290381008</v>
      </c>
      <c r="L24">
        <f ca="1"/>
        <v>0</v>
      </c>
      <c r="M24">
        <f ca="1"/>
        <v>1.1938296733544576</v>
      </c>
      <c r="N24" s="4">
        <f ca="1"/>
        <v>0.88662296097070725</v>
      </c>
      <c r="O24">
        <f ca="1"/>
        <v>0</v>
      </c>
      <c r="P24">
        <f ca="1"/>
        <v>0</v>
      </c>
      <c r="Q24">
        <f ca="1"/>
        <v>0</v>
      </c>
      <c r="R24">
        <f ca="1"/>
        <v>0</v>
      </c>
      <c r="S24">
        <f ca="1"/>
        <v>0.94346226810859102</v>
      </c>
      <c r="T24">
        <f ca="1"/>
        <v>0</v>
      </c>
      <c r="U24">
        <f ca="1"/>
        <v>0</v>
      </c>
      <c r="V24">
        <f ca="1"/>
        <v>0</v>
      </c>
      <c r="X24" s="2">
        <f t="shared" ca="1" si="3"/>
        <v>45388</v>
      </c>
      <c r="Y24">
        <f t="shared" ca="1" si="4"/>
        <v>0</v>
      </c>
      <c r="AA24" s="63">
        <f t="shared" ca="1" si="6"/>
        <v>89.58469290381008</v>
      </c>
      <c r="AB24" s="63">
        <f t="shared" ca="1" si="7"/>
        <v>89.58469290381008</v>
      </c>
      <c r="AC24" s="3">
        <f t="shared" ca="1" si="8"/>
        <v>0</v>
      </c>
    </row>
    <row r="25" spans="1:29">
      <c r="A25" s="6" t="s">
        <v>116</v>
      </c>
      <c r="B25" s="32" t="str">
        <f>PriorEstablishStage</f>
        <v>Seedling</v>
      </c>
      <c r="H25" t="b">
        <f t="shared" ca="1" si="5"/>
        <v>1</v>
      </c>
      <c r="I25" t="b">
        <f t="shared" ca="1" si="2"/>
        <v>1</v>
      </c>
      <c r="J25" s="2">
        <f ca="1"/>
        <v>45389</v>
      </c>
      <c r="K25">
        <f ca="1"/>
        <v>91.701702859454713</v>
      </c>
      <c r="L25">
        <f ca="1"/>
        <v>0</v>
      </c>
      <c r="M25">
        <f ca="1"/>
        <v>1.1619505744440133</v>
      </c>
      <c r="N25" s="4">
        <f ca="1"/>
        <v>0.95505938120062683</v>
      </c>
      <c r="O25">
        <f ca="1"/>
        <v>0</v>
      </c>
      <c r="P25">
        <f ca="1"/>
        <v>0</v>
      </c>
      <c r="Q25">
        <f ca="1"/>
        <v>0</v>
      </c>
      <c r="R25">
        <f ca="1"/>
        <v>0</v>
      </c>
      <c r="S25">
        <f ca="1"/>
        <v>0.9894519385088929</v>
      </c>
      <c r="T25">
        <f ca="1"/>
        <v>0</v>
      </c>
      <c r="U25">
        <f ca="1"/>
        <v>0</v>
      </c>
      <c r="V25">
        <f ca="1"/>
        <v>0</v>
      </c>
      <c r="X25" s="2">
        <f t="shared" ca="1" si="3"/>
        <v>45389</v>
      </c>
      <c r="Y25">
        <f t="shared" ca="1" si="4"/>
        <v>0</v>
      </c>
      <c r="AA25" s="63">
        <f t="shared" ca="1" si="6"/>
        <v>91.701702859454727</v>
      </c>
      <c r="AB25" s="63">
        <f t="shared" ca="1" si="7"/>
        <v>91.701702859454713</v>
      </c>
      <c r="AC25" s="3">
        <f t="shared" ca="1" si="8"/>
        <v>0</v>
      </c>
    </row>
    <row r="26" spans="1:29">
      <c r="A26" s="6" t="s">
        <v>117</v>
      </c>
      <c r="B26" s="34">
        <f ca="1">PriorHarvestDate</f>
        <v>45376</v>
      </c>
      <c r="H26" t="b">
        <f t="shared" ca="1" si="5"/>
        <v>1</v>
      </c>
      <c r="I26" t="b">
        <f t="shared" ca="1" si="2"/>
        <v>1</v>
      </c>
      <c r="J26" s="2">
        <f ca="1"/>
        <v>45390</v>
      </c>
      <c r="K26">
        <f ca="1"/>
        <v>92.930496418225658</v>
      </c>
      <c r="L26">
        <f ca="1"/>
        <v>0</v>
      </c>
      <c r="M26">
        <f ca="1"/>
        <v>1.1210744470596836</v>
      </c>
      <c r="N26" s="4">
        <f ca="1"/>
        <v>0.99921251577854775</v>
      </c>
      <c r="O26">
        <f ca="1"/>
        <v>0</v>
      </c>
      <c r="P26">
        <f ca="1"/>
        <v>0</v>
      </c>
      <c r="Q26">
        <f ca="1"/>
        <v>0</v>
      </c>
      <c r="R26">
        <f ca="1"/>
        <v>0.89149340406729327</v>
      </c>
      <c r="S26">
        <f ca="1"/>
        <v>1</v>
      </c>
      <c r="T26">
        <f ca="1"/>
        <v>1.7419086321019819</v>
      </c>
      <c r="U26">
        <f ca="1"/>
        <v>0</v>
      </c>
      <c r="V26">
        <f ca="1"/>
        <v>0</v>
      </c>
      <c r="X26" s="2">
        <f t="shared" ca="1" si="3"/>
        <v>45390</v>
      </c>
      <c r="Y26">
        <f t="shared" ca="1" si="4"/>
        <v>0</v>
      </c>
      <c r="AA26" s="63">
        <f t="shared" ca="1" si="6"/>
        <v>93.821989822292949</v>
      </c>
      <c r="AB26" s="63">
        <f t="shared" ca="1" si="7"/>
        <v>93.821989822292949</v>
      </c>
      <c r="AC26" s="3">
        <f t="shared" ca="1" si="8"/>
        <v>0</v>
      </c>
    </row>
    <row r="27" spans="1:29">
      <c r="A27" s="6" t="s">
        <v>118</v>
      </c>
      <c r="B27" s="32" t="str">
        <f>PriorHarvestStage</f>
        <v>EarlyReproductive</v>
      </c>
      <c r="H27" t="b">
        <f t="shared" ca="1" si="5"/>
        <v>1</v>
      </c>
      <c r="I27" t="b">
        <f t="shared" ca="1" si="2"/>
        <v>1</v>
      </c>
      <c r="J27" s="2">
        <f ca="1"/>
        <v>45391</v>
      </c>
      <c r="K27">
        <f ca="1"/>
        <v>93.722403053991286</v>
      </c>
      <c r="L27">
        <f ca="1"/>
        <v>0</v>
      </c>
      <c r="M27">
        <f ca="1"/>
        <v>1.0505623701205486</v>
      </c>
      <c r="N27" s="4">
        <f ca="1"/>
        <v>1.0110790826721989</v>
      </c>
      <c r="O27">
        <f ca="1"/>
        <v>0</v>
      </c>
      <c r="P27">
        <f ca="1"/>
        <v>0</v>
      </c>
      <c r="Q27">
        <f ca="1"/>
        <v>0</v>
      </c>
      <c r="R27">
        <f ca="1"/>
        <v>1.2697348170271208</v>
      </c>
      <c r="S27">
        <f ca="1"/>
        <v>1</v>
      </c>
      <c r="T27">
        <f ca="1"/>
        <v>2.460000000000008</v>
      </c>
      <c r="U27">
        <f ca="1"/>
        <v>0</v>
      </c>
      <c r="V27">
        <f ca="1"/>
        <v>0</v>
      </c>
      <c r="X27" s="2">
        <f t="shared" ca="1" si="3"/>
        <v>45391</v>
      </c>
      <c r="Y27">
        <f t="shared" ca="1" si="4"/>
        <v>0</v>
      </c>
      <c r="AA27" s="63">
        <f t="shared" ca="1" si="6"/>
        <v>94.9921378710184</v>
      </c>
      <c r="AB27" s="63">
        <f t="shared" ca="1" si="7"/>
        <v>94.9921378710184</v>
      </c>
      <c r="AC27" s="3">
        <f t="shared" ca="1" si="8"/>
        <v>0</v>
      </c>
    </row>
    <row r="28" spans="1:29">
      <c r="A28" s="6" t="s">
        <v>162</v>
      </c>
      <c r="B28" s="32" t="str">
        <f>PriorResidueRemoval</f>
        <v>None removed</v>
      </c>
      <c r="H28" t="b">
        <f t="shared" ca="1" si="5"/>
        <v>1</v>
      </c>
      <c r="I28" t="b">
        <f t="shared" ca="1" si="2"/>
        <v>1</v>
      </c>
      <c r="J28" s="2">
        <f ca="1"/>
        <v>45392</v>
      </c>
      <c r="K28">
        <f ca="1"/>
        <v>95.668980006231607</v>
      </c>
      <c r="L28">
        <f ca="1"/>
        <v>0</v>
      </c>
      <c r="M28">
        <f ca="1"/>
        <v>0.95746802615099469</v>
      </c>
      <c r="N28" s="4">
        <f ca="1"/>
        <v>0.9891089260893321</v>
      </c>
      <c r="O28">
        <f ca="1"/>
        <v>0</v>
      </c>
      <c r="P28">
        <f ca="1"/>
        <v>0</v>
      </c>
      <c r="Q28">
        <f ca="1"/>
        <v>0</v>
      </c>
      <c r="R28">
        <f ca="1"/>
        <v>0</v>
      </c>
      <c r="S28">
        <f ca="1"/>
        <v>0.99550724637681154</v>
      </c>
      <c r="T28">
        <f ca="1"/>
        <v>0</v>
      </c>
      <c r="U28">
        <f ca="1"/>
        <v>0</v>
      </c>
      <c r="V28">
        <f ca="1"/>
        <v>0</v>
      </c>
      <c r="X28" s="2">
        <f t="shared" ca="1" si="3"/>
        <v>45392</v>
      </c>
      <c r="Y28">
        <f t="shared" ca="1" si="4"/>
        <v>0</v>
      </c>
      <c r="AA28" s="63">
        <f t="shared" ca="1" si="6"/>
        <v>95.668980006231607</v>
      </c>
      <c r="AB28" s="63">
        <f t="shared" ca="1" si="7"/>
        <v>95.668980006231607</v>
      </c>
      <c r="AC28" s="3">
        <f t="shared" ca="1" si="8"/>
        <v>0</v>
      </c>
    </row>
    <row r="29" spans="1:29" ht="15.75" thickBot="1">
      <c r="A29" s="6" t="s">
        <v>165</v>
      </c>
      <c r="B29" s="95" t="str">
        <f>PriorResidueIncorporation</f>
        <v>Full (Plough)</v>
      </c>
      <c r="H29" t="b">
        <f t="shared" ca="1" si="5"/>
        <v>1</v>
      </c>
      <c r="I29" t="b">
        <f t="shared" ca="1" si="2"/>
        <v>1</v>
      </c>
      <c r="J29" s="2">
        <f ca="1"/>
        <v>45393</v>
      </c>
      <c r="K29">
        <f ca="1"/>
        <v>96.83052599968029</v>
      </c>
      <c r="L29">
        <f ca="1"/>
        <v>0</v>
      </c>
      <c r="M29">
        <f ca="1"/>
        <v>0.94310570184685361</v>
      </c>
      <c r="N29" s="4">
        <f ca="1"/>
        <v>1.0655343560576078</v>
      </c>
      <c r="O29">
        <f ca="1"/>
        <v>0</v>
      </c>
      <c r="P29">
        <f ca="1"/>
        <v>0</v>
      </c>
      <c r="Q29">
        <f ca="1"/>
        <v>0</v>
      </c>
      <c r="R29">
        <f ca="1"/>
        <v>0.84709406445578161</v>
      </c>
      <c r="S29">
        <f ca="1"/>
        <v>1</v>
      </c>
      <c r="T29">
        <f ca="1"/>
        <v>1.5884913043478264</v>
      </c>
      <c r="U29">
        <f ca="1"/>
        <v>0</v>
      </c>
      <c r="V29">
        <f ca="1"/>
        <v>0</v>
      </c>
      <c r="X29" s="2">
        <f t="shared" ca="1" si="3"/>
        <v>45393</v>
      </c>
      <c r="Y29">
        <f t="shared" ca="1" si="4"/>
        <v>0</v>
      </c>
      <c r="AA29" s="63">
        <f t="shared" ca="1" si="6"/>
        <v>97.677620064136079</v>
      </c>
      <c r="AB29" s="63">
        <f t="shared" ca="1" si="7"/>
        <v>97.677620064136079</v>
      </c>
      <c r="AC29" s="3">
        <f t="shared" ca="1" si="8"/>
        <v>0</v>
      </c>
    </row>
    <row r="30" spans="1:29" ht="15.75" thickBot="1">
      <c r="A30" s="8" t="s">
        <v>140</v>
      </c>
      <c r="B30" s="11" t="str">
        <f>CurrentCropNameFull</f>
        <v>Broccoli Vegetable Head only</v>
      </c>
      <c r="H30" t="b">
        <f t="shared" ca="1" si="5"/>
        <v>1</v>
      </c>
      <c r="I30" t="b">
        <f t="shared" ca="1" si="2"/>
        <v>1</v>
      </c>
      <c r="J30" s="2">
        <f ca="1"/>
        <v>45394</v>
      </c>
      <c r="K30">
        <f ca="1"/>
        <v>97.187171280491185</v>
      </c>
      <c r="L30">
        <f ca="1"/>
        <v>0</v>
      </c>
      <c r="M30">
        <f ca="1"/>
        <v>0.84297344498699545</v>
      </c>
      <c r="N30" s="4">
        <f ca="1"/>
        <v>1.0230308611017807</v>
      </c>
      <c r="O30">
        <f ca="1"/>
        <v>0</v>
      </c>
      <c r="P30">
        <f ca="1"/>
        <v>0</v>
      </c>
      <c r="Q30">
        <f ca="1"/>
        <v>0</v>
      </c>
      <c r="R30">
        <f ca="1"/>
        <v>1.5093590252778857</v>
      </c>
      <c r="S30">
        <f ca="1"/>
        <v>1</v>
      </c>
      <c r="T30">
        <f ca="1"/>
        <v>2.8199999999999932</v>
      </c>
      <c r="U30">
        <f ca="1"/>
        <v>0</v>
      </c>
      <c r="V30">
        <f ca="1"/>
        <v>0</v>
      </c>
      <c r="X30" s="2">
        <f t="shared" ca="1" si="3"/>
        <v>45394</v>
      </c>
      <c r="Y30">
        <f t="shared" ca="1" si="4"/>
        <v>0</v>
      </c>
      <c r="AA30" s="63">
        <f t="shared" ca="1" si="6"/>
        <v>98.696530305769073</v>
      </c>
      <c r="AB30" s="63">
        <f t="shared" ca="1" si="7"/>
        <v>98.696530305769073</v>
      </c>
      <c r="AC30" s="3">
        <f t="shared" ca="1" si="8"/>
        <v>0</v>
      </c>
    </row>
    <row r="31" spans="1:29">
      <c r="A31" s="9" t="s">
        <v>235</v>
      </c>
      <c r="B31" s="11">
        <f>CurrentYield</f>
        <v>0.4</v>
      </c>
      <c r="H31" t="b">
        <f t="shared" ca="1" si="5"/>
        <v>1</v>
      </c>
      <c r="I31" t="b">
        <f t="shared" ca="1" si="2"/>
        <v>1</v>
      </c>
      <c r="J31" s="2">
        <f ca="1"/>
        <v>45395</v>
      </c>
      <c r="K31">
        <f ca="1"/>
        <v>97.332391724464358</v>
      </c>
      <c r="L31">
        <f ca="1"/>
        <v>0</v>
      </c>
      <c r="M31">
        <f ca="1"/>
        <v>0.7211583496080749</v>
      </c>
      <c r="N31" s="4">
        <f ca="1"/>
        <v>0.92495578704379622</v>
      </c>
      <c r="O31">
        <f ca="1"/>
        <v>0</v>
      </c>
      <c r="P31">
        <f ca="1"/>
        <v>0</v>
      </c>
      <c r="Q31">
        <f ca="1"/>
        <v>0</v>
      </c>
      <c r="R31">
        <f ca="1"/>
        <v>1.5008936926786953</v>
      </c>
      <c r="S31">
        <f ca="1"/>
        <v>1</v>
      </c>
      <c r="T31">
        <f ca="1"/>
        <v>2.7999999999999972</v>
      </c>
      <c r="U31">
        <f ca="1"/>
        <v>0</v>
      </c>
      <c r="V31">
        <f ca="1"/>
        <v>0</v>
      </c>
      <c r="X31" s="2">
        <f t="shared" ca="1" si="3"/>
        <v>45395</v>
      </c>
      <c r="Y31">
        <f t="shared" ca="1" si="4"/>
        <v>0</v>
      </c>
      <c r="AA31" s="63">
        <f t="shared" ca="1" si="6"/>
        <v>98.83328541714306</v>
      </c>
      <c r="AB31" s="63">
        <f t="shared" ca="1" si="7"/>
        <v>98.83328541714306</v>
      </c>
      <c r="AC31" s="3">
        <f t="shared" ca="1" si="8"/>
        <v>0</v>
      </c>
    </row>
    <row r="32" spans="1:29">
      <c r="A32" s="9" t="s">
        <v>229</v>
      </c>
      <c r="B32" s="13">
        <f>CurrentPopulation</f>
        <v>40000</v>
      </c>
      <c r="H32" t="b">
        <f t="shared" ca="1" si="5"/>
        <v>1</v>
      </c>
      <c r="I32" t="b">
        <f t="shared" ca="1" si="2"/>
        <v>1</v>
      </c>
      <c r="J32" s="2">
        <f ca="1"/>
        <v>45396</v>
      </c>
      <c r="K32">
        <f ca="1"/>
        <v>98.964147257817842</v>
      </c>
      <c r="L32">
        <f ca="1"/>
        <v>0</v>
      </c>
      <c r="M32">
        <f ca="1"/>
        <v>0.68407305965775578</v>
      </c>
      <c r="N32" s="4">
        <f ca="1"/>
        <v>0.94768247369573033</v>
      </c>
      <c r="O32">
        <f ca="1"/>
        <v>0</v>
      </c>
      <c r="P32">
        <f ca="1"/>
        <v>0</v>
      </c>
      <c r="Q32">
        <f ca="1"/>
        <v>0</v>
      </c>
      <c r="R32">
        <f ca="1"/>
        <v>0</v>
      </c>
      <c r="S32">
        <f ca="1"/>
        <v>0.98318840579710154</v>
      </c>
      <c r="T32">
        <f ca="1"/>
        <v>0</v>
      </c>
      <c r="U32">
        <f ca="1"/>
        <v>0</v>
      </c>
      <c r="V32">
        <f ca="1"/>
        <v>0</v>
      </c>
      <c r="X32" s="2">
        <f t="shared" ca="1" si="3"/>
        <v>45396</v>
      </c>
      <c r="Y32">
        <f t="shared" ca="1" si="4"/>
        <v>0</v>
      </c>
      <c r="AA32" s="63">
        <f t="shared" ca="1" si="6"/>
        <v>98.964147257817856</v>
      </c>
      <c r="AB32" s="63">
        <f t="shared" ca="1" si="7"/>
        <v>98.964147257817842</v>
      </c>
      <c r="AC32" s="3">
        <f t="shared" ca="1" si="8"/>
        <v>0</v>
      </c>
    </row>
    <row r="33" spans="1:29">
      <c r="A33" s="9" t="s">
        <v>230</v>
      </c>
      <c r="B33" s="13" t="str">
        <f>CurrentUnits</f>
        <v>kg/head</v>
      </c>
      <c r="H33" t="b">
        <f t="shared" ca="1" si="5"/>
        <v>1</v>
      </c>
      <c r="I33" t="b">
        <f t="shared" ca="1" si="2"/>
        <v>1</v>
      </c>
      <c r="J33" s="2">
        <f ca="1"/>
        <v>45397</v>
      </c>
      <c r="K33">
        <f ca="1"/>
        <v>97.996824206594468</v>
      </c>
      <c r="L33">
        <f ca="1"/>
        <v>0</v>
      </c>
      <c r="M33">
        <f ca="1"/>
        <v>0.64176540156181971</v>
      </c>
      <c r="N33" s="4">
        <f ca="1"/>
        <v>0.95917279619295259</v>
      </c>
      <c r="O33">
        <f ca="1"/>
        <v>0</v>
      </c>
      <c r="P33">
        <f ca="1"/>
        <v>0</v>
      </c>
      <c r="Q33">
        <f ca="1"/>
        <v>0</v>
      </c>
      <c r="R33">
        <f ca="1"/>
        <v>2.5682612489781422</v>
      </c>
      <c r="S33">
        <f ca="1"/>
        <v>1</v>
      </c>
      <c r="T33">
        <f ca="1"/>
        <v>4.7587478260869602</v>
      </c>
      <c r="U33">
        <f ca="1"/>
        <v>0</v>
      </c>
      <c r="V33">
        <f ca="1"/>
        <v>0</v>
      </c>
      <c r="X33" s="2">
        <f t="shared" ca="1" si="3"/>
        <v>45397</v>
      </c>
      <c r="Y33">
        <f t="shared" ca="1" si="4"/>
        <v>0</v>
      </c>
      <c r="AA33" s="63">
        <f t="shared" ca="1" si="6"/>
        <v>100.56508545557263</v>
      </c>
      <c r="AB33" s="63">
        <f t="shared" ca="1" si="7"/>
        <v>100.56508545557261</v>
      </c>
      <c r="AC33" s="3">
        <f t="shared" ca="1" si="8"/>
        <v>0</v>
      </c>
    </row>
    <row r="34" spans="1:29">
      <c r="A34" s="9" t="s">
        <v>119</v>
      </c>
      <c r="B34" s="10">
        <f>CurrentFieldLoss</f>
        <v>0</v>
      </c>
      <c r="H34" t="b">
        <f t="shared" ca="1" si="5"/>
        <v>1</v>
      </c>
      <c r="I34" t="b">
        <f t="shared" ca="1" si="2"/>
        <v>1</v>
      </c>
      <c r="J34" s="2">
        <f ca="1"/>
        <v>45398</v>
      </c>
      <c r="K34">
        <f ca="1"/>
        <v>98.444469503838789</v>
      </c>
      <c r="L34">
        <f ca="1"/>
        <v>0</v>
      </c>
      <c r="M34">
        <f ca="1"/>
        <v>0.58484119496579012</v>
      </c>
      <c r="N34" s="4">
        <f ca="1"/>
        <v>0.93627683930299921</v>
      </c>
      <c r="O34">
        <f ca="1"/>
        <v>0</v>
      </c>
      <c r="P34">
        <f ca="1"/>
        <v>0</v>
      </c>
      <c r="Q34">
        <f ca="1"/>
        <v>0</v>
      </c>
      <c r="R34">
        <f ca="1"/>
        <v>1.0734727370244701</v>
      </c>
      <c r="S34">
        <f ca="1"/>
        <v>1</v>
      </c>
      <c r="T34">
        <f ca="1"/>
        <v>1.980000000000004</v>
      </c>
      <c r="U34">
        <f ca="1"/>
        <v>0</v>
      </c>
      <c r="V34">
        <f ca="1"/>
        <v>0</v>
      </c>
      <c r="X34" s="2">
        <f t="shared" ca="1" si="3"/>
        <v>45398</v>
      </c>
      <c r="Y34">
        <f t="shared" ca="1" si="4"/>
        <v>0</v>
      </c>
      <c r="AA34" s="63">
        <f t="shared" ca="1" si="6"/>
        <v>99.517942240863263</v>
      </c>
      <c r="AB34" s="63">
        <f t="shared" ca="1" si="7"/>
        <v>99.517942240863263</v>
      </c>
      <c r="AC34" s="3">
        <f t="shared" ca="1" si="8"/>
        <v>0</v>
      </c>
    </row>
    <row r="35" spans="1:29">
      <c r="A35" s="9" t="s">
        <v>120</v>
      </c>
      <c r="B35" s="10">
        <f>CurrentDressingLoss</f>
        <v>0</v>
      </c>
      <c r="H35" t="b">
        <f t="shared" ca="1" si="5"/>
        <v>1</v>
      </c>
      <c r="I35" t="b">
        <f t="shared" ca="1" si="2"/>
        <v>1</v>
      </c>
      <c r="J35" s="2">
        <f ca="1"/>
        <v>45399</v>
      </c>
      <c r="K35">
        <f ca="1"/>
        <v>99.501693417568234</v>
      </c>
      <c r="L35">
        <f ca="1"/>
        <v>0</v>
      </c>
      <c r="M35">
        <f ca="1"/>
        <v>0.54512162290043875</v>
      </c>
      <c r="N35" s="4">
        <f ca="1"/>
        <v>0.9395269564662081</v>
      </c>
      <c r="O35">
        <f ca="1"/>
        <v>0</v>
      </c>
      <c r="P35">
        <f ca="1"/>
        <v>0</v>
      </c>
      <c r="Q35">
        <f ca="1"/>
        <v>0</v>
      </c>
      <c r="R35">
        <f ca="1"/>
        <v>0.42742466563720671</v>
      </c>
      <c r="S35">
        <f ca="1"/>
        <v>1</v>
      </c>
      <c r="T35">
        <f ca="1"/>
        <v>0.78000000000000114</v>
      </c>
      <c r="U35">
        <f ca="1"/>
        <v>0</v>
      </c>
      <c r="V35">
        <f ca="1"/>
        <v>0</v>
      </c>
      <c r="X35" s="2">
        <f t="shared" ca="1" si="3"/>
        <v>45399</v>
      </c>
      <c r="Y35">
        <f t="shared" ca="1" si="4"/>
        <v>0</v>
      </c>
      <c r="AA35" s="63">
        <f t="shared" ca="1" si="6"/>
        <v>99.929118083205438</v>
      </c>
      <c r="AB35" s="63">
        <f t="shared" ca="1" si="7"/>
        <v>99.929118083205438</v>
      </c>
      <c r="AC35" s="3">
        <f t="shared" ca="1" si="8"/>
        <v>0</v>
      </c>
    </row>
    <row r="36" spans="1:29">
      <c r="A36" s="9" t="s">
        <v>121</v>
      </c>
      <c r="B36" s="10">
        <f>CurrentMoistureContent</f>
        <v>89</v>
      </c>
      <c r="H36" t="b">
        <f t="shared" ca="1" si="5"/>
        <v>1</v>
      </c>
      <c r="I36" t="b">
        <f t="shared" ca="1" si="2"/>
        <v>1</v>
      </c>
      <c r="J36" s="2">
        <f ca="1"/>
        <v>45400</v>
      </c>
      <c r="K36">
        <f ca="1"/>
        <v>100.86538391146588</v>
      </c>
      <c r="L36">
        <f ca="1"/>
        <v>0</v>
      </c>
      <c r="M36">
        <f ca="1"/>
        <v>0.48239354649334132</v>
      </c>
      <c r="N36" s="4">
        <f ca="1"/>
        <v>0.88129694740430908</v>
      </c>
      <c r="O36">
        <f ca="1"/>
        <v>0</v>
      </c>
      <c r="P36">
        <f ca="1"/>
        <v>0</v>
      </c>
      <c r="Q36">
        <f ca="1"/>
        <v>0</v>
      </c>
      <c r="R36">
        <f ca="1"/>
        <v>0</v>
      </c>
      <c r="S36">
        <f ca="1"/>
        <v>0.99855072463768102</v>
      </c>
      <c r="T36">
        <f ca="1"/>
        <v>0</v>
      </c>
      <c r="U36">
        <f ca="1"/>
        <v>0</v>
      </c>
      <c r="V36">
        <f ca="1"/>
        <v>0</v>
      </c>
      <c r="X36" s="2">
        <f t="shared" ca="1" si="3"/>
        <v>45400</v>
      </c>
      <c r="Y36">
        <f t="shared" ca="1" si="4"/>
        <v>0</v>
      </c>
      <c r="AA36" s="63">
        <f t="shared" ca="1" si="6"/>
        <v>100.86538391146588</v>
      </c>
      <c r="AB36" s="63">
        <f t="shared" ca="1" si="7"/>
        <v>100.86538391146588</v>
      </c>
      <c r="AC36" s="3">
        <f t="shared" ca="1" si="8"/>
        <v>0</v>
      </c>
    </row>
    <row r="37" spans="1:29">
      <c r="A37" s="9" t="s">
        <v>122</v>
      </c>
      <c r="B37" s="36">
        <f ca="1">CurrentEstablishDate</f>
        <v>45436</v>
      </c>
      <c r="H37" t="b">
        <f t="shared" ca="1" si="5"/>
        <v>1</v>
      </c>
      <c r="I37" t="b">
        <f t="shared" ca="1" si="2"/>
        <v>1</v>
      </c>
      <c r="J37" s="2">
        <f ca="1"/>
        <v>45401</v>
      </c>
      <c r="K37">
        <f ca="1"/>
        <v>102.34721969109484</v>
      </c>
      <c r="L37">
        <f ca="1"/>
        <v>0</v>
      </c>
      <c r="M37">
        <f ca="1"/>
        <v>0.49188727493866224</v>
      </c>
      <c r="N37" s="4">
        <f ca="1"/>
        <v>0.98994850469028883</v>
      </c>
      <c r="O37">
        <f ca="1"/>
        <v>0</v>
      </c>
      <c r="P37">
        <f ca="1"/>
        <v>0</v>
      </c>
      <c r="Q37">
        <f ca="1"/>
        <v>0</v>
      </c>
      <c r="R37">
        <f ca="1"/>
        <v>0</v>
      </c>
      <c r="S37">
        <f ca="1"/>
        <v>0.99076013442554089</v>
      </c>
      <c r="T37">
        <f ca="1"/>
        <v>0</v>
      </c>
      <c r="U37">
        <f ca="1"/>
        <v>0</v>
      </c>
      <c r="V37">
        <f ca="1"/>
        <v>0</v>
      </c>
      <c r="X37" s="2">
        <f t="shared" ca="1" si="3"/>
        <v>45401</v>
      </c>
      <c r="Y37">
        <f t="shared" ca="1" si="4"/>
        <v>0</v>
      </c>
      <c r="AA37" s="63">
        <f t="shared" ca="1" si="6"/>
        <v>102.34721969109484</v>
      </c>
      <c r="AB37" s="63">
        <f t="shared" ca="1" si="7"/>
        <v>102.34721969109484</v>
      </c>
      <c r="AC37" s="3">
        <f t="shared" ca="1" si="8"/>
        <v>0</v>
      </c>
    </row>
    <row r="38" spans="1:29">
      <c r="A38" s="9" t="s">
        <v>123</v>
      </c>
      <c r="B38" s="10" t="str">
        <f>CurrentEstablishStage</f>
        <v>Seedling</v>
      </c>
      <c r="H38" t="b">
        <f t="shared" ca="1" si="5"/>
        <v>1</v>
      </c>
      <c r="I38" t="b">
        <f t="shared" ca="1" si="2"/>
        <v>1</v>
      </c>
      <c r="J38" s="2">
        <f ca="1"/>
        <v>45402</v>
      </c>
      <c r="K38">
        <f ca="1"/>
        <v>103.79143075833231</v>
      </c>
      <c r="L38">
        <f ca="1"/>
        <v>0</v>
      </c>
      <c r="M38">
        <f ca="1"/>
        <v>0.45510214114814573</v>
      </c>
      <c r="N38" s="4">
        <f ca="1"/>
        <v>0.9891089260893321</v>
      </c>
      <c r="O38">
        <f ca="1"/>
        <v>0</v>
      </c>
      <c r="P38">
        <f ca="1"/>
        <v>0</v>
      </c>
      <c r="Q38">
        <f ca="1"/>
        <v>0</v>
      </c>
      <c r="R38">
        <f ca="1"/>
        <v>0</v>
      </c>
      <c r="S38">
        <f ca="1"/>
        <v>0.99907962131935502</v>
      </c>
      <c r="T38">
        <f ca="1"/>
        <v>0</v>
      </c>
      <c r="U38">
        <f ca="1"/>
        <v>0</v>
      </c>
      <c r="V38">
        <f ca="1"/>
        <v>0</v>
      </c>
      <c r="X38" s="2">
        <f t="shared" ca="1" si="3"/>
        <v>45402</v>
      </c>
      <c r="Y38">
        <f t="shared" ca="1" si="4"/>
        <v>0</v>
      </c>
      <c r="AA38" s="63">
        <f t="shared" ca="1" si="6"/>
        <v>103.79143075833231</v>
      </c>
      <c r="AB38" s="63">
        <f t="shared" ca="1" si="7"/>
        <v>103.79143075833231</v>
      </c>
      <c r="AC38" s="3">
        <f t="shared" ca="1" si="8"/>
        <v>0</v>
      </c>
    </row>
    <row r="39" spans="1:29">
      <c r="A39" s="9" t="s">
        <v>124</v>
      </c>
      <c r="B39" s="36">
        <f>CurrentHarvestDate</f>
        <v>45561</v>
      </c>
      <c r="H39" t="b">
        <f t="shared" ca="1" si="5"/>
        <v>1</v>
      </c>
      <c r="I39" t="b">
        <f t="shared" ca="1" si="2"/>
        <v>1</v>
      </c>
      <c r="J39" s="2">
        <f ca="1"/>
        <v>45403</v>
      </c>
      <c r="K39">
        <f ca="1"/>
        <v>105.12705872886866</v>
      </c>
      <c r="L39">
        <f ca="1"/>
        <v>0</v>
      </c>
      <c r="M39">
        <f ca="1"/>
        <v>0.40259434371382952</v>
      </c>
      <c r="N39" s="4">
        <f ca="1"/>
        <v>0.93303362682251911</v>
      </c>
      <c r="O39">
        <f ca="1"/>
        <v>0</v>
      </c>
      <c r="P39">
        <f ca="1"/>
        <v>0</v>
      </c>
      <c r="Q39">
        <f ca="1"/>
        <v>0</v>
      </c>
      <c r="R39">
        <f ca="1"/>
        <v>0</v>
      </c>
      <c r="S39">
        <f ca="1"/>
        <v>0.98620321303833858</v>
      </c>
      <c r="T39">
        <f ca="1"/>
        <v>0</v>
      </c>
      <c r="U39">
        <f ca="1"/>
        <v>0</v>
      </c>
      <c r="V39">
        <f ca="1"/>
        <v>0</v>
      </c>
      <c r="X39" s="2">
        <f t="shared" ca="1" si="3"/>
        <v>45403</v>
      </c>
      <c r="Y39">
        <f t="shared" ca="1" si="4"/>
        <v>0</v>
      </c>
      <c r="AA39" s="63">
        <f t="shared" ca="1" si="6"/>
        <v>105.12705872886866</v>
      </c>
      <c r="AB39" s="63">
        <f t="shared" ca="1" si="7"/>
        <v>105.12705872886866</v>
      </c>
      <c r="AC39" s="3">
        <f t="shared" ca="1" si="8"/>
        <v>0</v>
      </c>
    </row>
    <row r="40" spans="1:29">
      <c r="A40" s="9" t="s">
        <v>125</v>
      </c>
      <c r="B40" s="10" t="str">
        <f>CurrentHarvestStage</f>
        <v>EarlyReproductive</v>
      </c>
      <c r="H40" t="b">
        <f t="shared" ca="1" si="5"/>
        <v>1</v>
      </c>
      <c r="I40" t="b">
        <f t="shared" ca="1" si="2"/>
        <v>1</v>
      </c>
      <c r="J40" s="2">
        <f ca="1"/>
        <v>45404</v>
      </c>
      <c r="K40">
        <f ca="1"/>
        <v>106.46716622719231</v>
      </c>
      <c r="L40">
        <f ca="1"/>
        <v>0</v>
      </c>
      <c r="M40">
        <f ca="1"/>
        <v>0.38175825019850862</v>
      </c>
      <c r="N40" s="4">
        <f ca="1"/>
        <v>0.95834924812514766</v>
      </c>
      <c r="O40">
        <f ca="1"/>
        <v>0</v>
      </c>
      <c r="P40">
        <f ca="1"/>
        <v>0</v>
      </c>
      <c r="Q40">
        <f ca="1"/>
        <v>0</v>
      </c>
      <c r="R40">
        <f ca="1"/>
        <v>0</v>
      </c>
      <c r="S40">
        <f ca="1"/>
        <v>0.96668206280972946</v>
      </c>
      <c r="T40">
        <f ca="1"/>
        <v>0</v>
      </c>
      <c r="U40">
        <f ca="1"/>
        <v>0</v>
      </c>
      <c r="V40">
        <f ca="1"/>
        <v>0</v>
      </c>
      <c r="X40" s="2">
        <f t="shared" ca="1" si="3"/>
        <v>45404</v>
      </c>
      <c r="Y40">
        <f t="shared" ca="1" si="4"/>
        <v>0</v>
      </c>
      <c r="AA40" s="63">
        <f t="shared" ca="1" si="6"/>
        <v>106.46716622719232</v>
      </c>
      <c r="AB40" s="63">
        <f t="shared" ca="1" si="7"/>
        <v>106.46716622719231</v>
      </c>
      <c r="AC40" s="3">
        <f t="shared" ca="1" si="8"/>
        <v>0</v>
      </c>
    </row>
    <row r="41" spans="1:29">
      <c r="A41" s="9" t="s">
        <v>163</v>
      </c>
      <c r="B41" s="10" t="str">
        <f>CurrentResidueRemoval</f>
        <v>None removed</v>
      </c>
      <c r="H41" t="b">
        <f t="shared" ca="1" si="5"/>
        <v>1</v>
      </c>
      <c r="I41" t="b">
        <f t="shared" ca="1" si="2"/>
        <v>1</v>
      </c>
      <c r="J41" s="2">
        <f ca="1"/>
        <v>45405</v>
      </c>
      <c r="K41">
        <f ca="1"/>
        <v>107.87832290856451</v>
      </c>
      <c r="L41">
        <f ca="1"/>
        <v>0</v>
      </c>
      <c r="M41">
        <f ca="1"/>
        <v>0.3760887433254112</v>
      </c>
      <c r="N41" s="4">
        <f ca="1"/>
        <v>1.0350679380467873</v>
      </c>
      <c r="O41">
        <f ca="1"/>
        <v>0</v>
      </c>
      <c r="P41">
        <f ca="1"/>
        <v>0</v>
      </c>
      <c r="Q41">
        <f ca="1"/>
        <v>0</v>
      </c>
      <c r="R41">
        <f ca="1"/>
        <v>0</v>
      </c>
      <c r="S41">
        <f ca="1"/>
        <v>0.98121311122655019</v>
      </c>
      <c r="T41">
        <f ca="1"/>
        <v>0</v>
      </c>
      <c r="U41">
        <f ca="1"/>
        <v>0</v>
      </c>
      <c r="V41">
        <f ca="1"/>
        <v>0</v>
      </c>
      <c r="X41" s="2">
        <f t="shared" ca="1" si="3"/>
        <v>45405</v>
      </c>
      <c r="Y41">
        <f t="shared" ca="1" si="4"/>
        <v>0</v>
      </c>
      <c r="AA41" s="63">
        <f t="shared" ca="1" si="6"/>
        <v>107.87832290856451</v>
      </c>
      <c r="AB41" s="63">
        <f t="shared" ca="1" si="7"/>
        <v>107.87832290856451</v>
      </c>
      <c r="AC41" s="3">
        <f t="shared" ca="1" si="8"/>
        <v>0</v>
      </c>
    </row>
    <row r="42" spans="1:29" ht="15.75" thickBot="1">
      <c r="A42" s="9" t="s">
        <v>166</v>
      </c>
      <c r="B42" s="10" t="str">
        <f>CurrentResidueIncorporation</f>
        <v>Full (Plough)</v>
      </c>
      <c r="H42" t="b">
        <f t="shared" ca="1" si="5"/>
        <v>1</v>
      </c>
      <c r="I42" t="b">
        <f t="shared" ca="1" si="2"/>
        <v>1</v>
      </c>
      <c r="J42" s="2">
        <f ca="1"/>
        <v>45406</v>
      </c>
      <c r="K42">
        <f ca="1"/>
        <v>106.48932100061609</v>
      </c>
      <c r="L42">
        <f ca="1"/>
        <v>0</v>
      </c>
      <c r="M42">
        <f ca="1"/>
        <v>0.33781295243612419</v>
      </c>
      <c r="N42">
        <f ca="1"/>
        <v>1.0009025259631787</v>
      </c>
      <c r="O42">
        <f ca="1"/>
        <v>0</v>
      </c>
      <c r="P42">
        <f ca="1"/>
        <v>0</v>
      </c>
      <c r="Q42">
        <f ca="1"/>
        <v>0</v>
      </c>
      <c r="R42">
        <f ca="1"/>
        <v>2.727717386347738</v>
      </c>
      <c r="S42">
        <f ca="1"/>
        <v>1</v>
      </c>
      <c r="T42">
        <f ca="1"/>
        <v>4.6511335322412037</v>
      </c>
      <c r="U42">
        <f ca="1"/>
        <v>0</v>
      </c>
      <c r="V42">
        <f ca="1"/>
        <v>0</v>
      </c>
      <c r="X42" s="2">
        <f t="shared" ca="1" si="3"/>
        <v>45406</v>
      </c>
      <c r="Y42">
        <f t="shared" ca="1" si="4"/>
        <v>0</v>
      </c>
      <c r="AA42" s="63">
        <f t="shared" ca="1" si="6"/>
        <v>109.21703838696382</v>
      </c>
      <c r="AB42" s="63">
        <f t="shared" ca="1" si="7"/>
        <v>109.21703838696382</v>
      </c>
      <c r="AC42" s="3">
        <f t="shared" ca="1" si="8"/>
        <v>0</v>
      </c>
    </row>
    <row r="43" spans="1:29">
      <c r="A43" s="5" t="s">
        <v>141</v>
      </c>
      <c r="B43" s="31" t="str">
        <f>FollowingCropFullName</f>
        <v>Early harvest Potato Moonlight</v>
      </c>
      <c r="H43" t="b">
        <f t="shared" ca="1" si="5"/>
        <v>1</v>
      </c>
      <c r="I43" t="b">
        <f t="shared" ca="1" si="2"/>
        <v>1</v>
      </c>
      <c r="J43" s="2">
        <f ca="1"/>
        <v>45407</v>
      </c>
      <c r="K43">
        <f ca="1"/>
        <v>107.75257606879325</v>
      </c>
      <c r="L43">
        <f ca="1"/>
        <v>0</v>
      </c>
      <c r="M43">
        <f ca="1"/>
        <v>0.30243387798513766</v>
      </c>
      <c r="N43">
        <f ca="1"/>
        <v>0.96082119019201961</v>
      </c>
      <c r="O43">
        <f ca="1"/>
        <v>0</v>
      </c>
      <c r="P43">
        <f ca="1"/>
        <v>0</v>
      </c>
      <c r="Q43">
        <f ca="1"/>
        <v>0</v>
      </c>
      <c r="R43">
        <f ca="1"/>
        <v>0</v>
      </c>
      <c r="S43">
        <f ca="1"/>
        <v>0.98840579710144927</v>
      </c>
      <c r="T43">
        <f ca="1"/>
        <v>0</v>
      </c>
      <c r="U43">
        <f ca="1"/>
        <v>0</v>
      </c>
      <c r="V43">
        <f ca="1"/>
        <v>0</v>
      </c>
      <c r="X43" s="2">
        <f t="shared" ca="1" si="3"/>
        <v>45407</v>
      </c>
      <c r="Y43">
        <f t="shared" ca="1" si="4"/>
        <v>0</v>
      </c>
      <c r="AA43" s="63">
        <f t="shared" ca="1" si="6"/>
        <v>107.75257606879325</v>
      </c>
      <c r="AB43" s="63">
        <f t="shared" ca="1" si="7"/>
        <v>107.75257606879325</v>
      </c>
      <c r="AC43" s="3">
        <f t="shared" ca="1" si="8"/>
        <v>0</v>
      </c>
    </row>
    <row r="44" spans="1:29">
      <c r="A44" s="6" t="s">
        <v>236</v>
      </c>
      <c r="B44" s="32">
        <f>FollowingYIeld</f>
        <v>70</v>
      </c>
      <c r="H44" t="b">
        <f t="shared" ca="1" si="5"/>
        <v>1</v>
      </c>
      <c r="I44" t="b">
        <f t="shared" ca="1" si="2"/>
        <v>1</v>
      </c>
      <c r="J44" s="2">
        <f ca="1"/>
        <v>45408</v>
      </c>
      <c r="K44">
        <f ca="1"/>
        <v>107.760344651</v>
      </c>
      <c r="L44">
        <f ca="1"/>
        <v>0</v>
      </c>
      <c r="M44">
        <f ca="1"/>
        <v>0.2967809112011679</v>
      </c>
      <c r="N44">
        <f ca="1"/>
        <v>1.0333431300500728</v>
      </c>
      <c r="O44">
        <f ca="1"/>
        <v>0</v>
      </c>
      <c r="P44">
        <f ca="1"/>
        <v>0</v>
      </c>
      <c r="Q44">
        <f ca="1"/>
        <v>0</v>
      </c>
      <c r="R44">
        <f ca="1"/>
        <v>1.3223554590444848</v>
      </c>
      <c r="S44">
        <f ca="1"/>
        <v>1</v>
      </c>
      <c r="T44">
        <f ca="1"/>
        <v>2.2282028985507196</v>
      </c>
      <c r="U44">
        <f ca="1"/>
        <v>0</v>
      </c>
      <c r="V44">
        <f ca="1"/>
        <v>0</v>
      </c>
      <c r="X44" s="2">
        <f t="shared" ca="1" si="3"/>
        <v>45408</v>
      </c>
      <c r="Y44">
        <f t="shared" ca="1" si="4"/>
        <v>0</v>
      </c>
      <c r="AA44" s="63">
        <f t="shared" ca="1" si="6"/>
        <v>109.08270011004448</v>
      </c>
      <c r="AB44" s="63">
        <f t="shared" ca="1" si="7"/>
        <v>109.08270011004448</v>
      </c>
      <c r="AC44" s="3">
        <f t="shared" ca="1" si="8"/>
        <v>0</v>
      </c>
    </row>
    <row r="45" spans="1:29">
      <c r="A45" s="6" t="s">
        <v>231</v>
      </c>
      <c r="B45" s="32">
        <f>FollowingPopulation</f>
        <v>1</v>
      </c>
      <c r="H45" t="b">
        <f t="shared" ca="1" si="5"/>
        <v>1</v>
      </c>
      <c r="I45" t="b">
        <f t="shared" ca="1" si="2"/>
        <v>1</v>
      </c>
      <c r="J45" s="2">
        <f ca="1"/>
        <v>45409</v>
      </c>
      <c r="K45">
        <f ca="1"/>
        <v>106.48665697472477</v>
      </c>
      <c r="L45">
        <f ca="1"/>
        <v>0</v>
      </c>
      <c r="M45">
        <f ca="1"/>
        <v>0.26140841165641149</v>
      </c>
      <c r="N45">
        <f ca="1"/>
        <v>0.9749024469044919</v>
      </c>
      <c r="O45">
        <f ca="1"/>
        <v>0</v>
      </c>
      <c r="P45">
        <f ca="1"/>
        <v>0</v>
      </c>
      <c r="Q45">
        <f ca="1"/>
        <v>0</v>
      </c>
      <c r="R45">
        <f ca="1"/>
        <v>2.509998534836122</v>
      </c>
      <c r="S45">
        <f ca="1"/>
        <v>1</v>
      </c>
      <c r="T45">
        <f ca="1"/>
        <v>4.2800000000000011</v>
      </c>
      <c r="U45">
        <f ca="1"/>
        <v>0</v>
      </c>
      <c r="V45">
        <f ca="1"/>
        <v>0</v>
      </c>
      <c r="X45" s="2">
        <f t="shared" ca="1" si="3"/>
        <v>45409</v>
      </c>
      <c r="Y45">
        <f t="shared" ca="1" si="4"/>
        <v>0</v>
      </c>
      <c r="AA45" s="63">
        <f t="shared" ca="1" si="6"/>
        <v>108.99665550956091</v>
      </c>
      <c r="AB45" s="63">
        <f t="shared" ca="1" si="7"/>
        <v>108.9966555095609</v>
      </c>
      <c r="AC45" s="3">
        <f t="shared" ca="1" si="8"/>
        <v>0</v>
      </c>
    </row>
    <row r="46" spans="1:29">
      <c r="A46" s="6" t="s">
        <v>232</v>
      </c>
      <c r="B46" s="32" t="str">
        <f>FollowingUnits</f>
        <v>t/ha</v>
      </c>
      <c r="H46" t="b">
        <f t="shared" ca="1" si="5"/>
        <v>1</v>
      </c>
      <c r="I46" t="b">
        <f t="shared" ca="1" si="2"/>
        <v>1</v>
      </c>
      <c r="J46" s="2">
        <f ca="1"/>
        <v>45410</v>
      </c>
      <c r="K46">
        <f ca="1"/>
        <v>105.8293464047502</v>
      </c>
      <c r="L46">
        <f ca="1"/>
        <v>0</v>
      </c>
      <c r="M46">
        <f ca="1"/>
        <v>0.23765857046419114</v>
      </c>
      <c r="N46">
        <f ca="1"/>
        <v>0.95259652157808161</v>
      </c>
      <c r="O46">
        <f ca="1"/>
        <v>0</v>
      </c>
      <c r="P46">
        <f ca="1"/>
        <v>0</v>
      </c>
      <c r="Q46">
        <f ca="1"/>
        <v>0</v>
      </c>
      <c r="R46">
        <f ca="1"/>
        <v>1.8475656620168426</v>
      </c>
      <c r="S46">
        <f ca="1"/>
        <v>1</v>
      </c>
      <c r="T46">
        <f ca="1"/>
        <v>3.1700000000000017</v>
      </c>
      <c r="U46">
        <f ca="1"/>
        <v>0</v>
      </c>
      <c r="V46">
        <f ca="1"/>
        <v>0</v>
      </c>
      <c r="X46" s="2">
        <f t="shared" ca="1" si="3"/>
        <v>45410</v>
      </c>
      <c r="Y46">
        <f t="shared" ca="1" si="4"/>
        <v>0</v>
      </c>
      <c r="AA46" s="63">
        <f t="shared" ca="1" si="6"/>
        <v>107.67691206676704</v>
      </c>
      <c r="AB46" s="63">
        <f t="shared" ca="1" si="7"/>
        <v>107.67691206676704</v>
      </c>
      <c r="AC46" s="3">
        <f t="shared" ca="1" si="8"/>
        <v>0</v>
      </c>
    </row>
    <row r="47" spans="1:29">
      <c r="A47" s="6" t="s">
        <v>126</v>
      </c>
      <c r="B47" s="32">
        <f>FollowingFieldLoss</f>
        <v>0</v>
      </c>
      <c r="H47" t="b">
        <f t="shared" ca="1" si="5"/>
        <v>1</v>
      </c>
      <c r="I47" t="b">
        <f t="shared" ca="1" si="2"/>
        <v>1</v>
      </c>
      <c r="J47" s="2">
        <f ca="1"/>
        <v>45411</v>
      </c>
      <c r="K47">
        <f ca="1"/>
        <v>104.79094059154075</v>
      </c>
      <c r="L47">
        <f ca="1"/>
        <v>0</v>
      </c>
      <c r="M47">
        <f ca="1"/>
        <v>0.21752167161129421</v>
      </c>
      <c r="N47">
        <f ca="1"/>
        <v>0.93708872118192987</v>
      </c>
      <c r="O47">
        <f ca="1"/>
        <v>0</v>
      </c>
      <c r="P47">
        <f ca="1"/>
        <v>0</v>
      </c>
      <c r="Q47">
        <f ca="1"/>
        <v>0</v>
      </c>
      <c r="R47">
        <f ca="1"/>
        <v>2.1930162060026852</v>
      </c>
      <c r="S47">
        <f ca="1"/>
        <v>1</v>
      </c>
      <c r="T47">
        <f ca="1"/>
        <v>3.8000000000000114</v>
      </c>
      <c r="U47">
        <f ca="1"/>
        <v>0</v>
      </c>
      <c r="V47">
        <f ca="1"/>
        <v>0</v>
      </c>
      <c r="X47" s="2">
        <f t="shared" ca="1" si="3"/>
        <v>45411</v>
      </c>
      <c r="Y47">
        <f t="shared" ca="1" si="4"/>
        <v>0</v>
      </c>
      <c r="AA47" s="63">
        <f t="shared" ca="1" si="6"/>
        <v>106.98395679754343</v>
      </c>
      <c r="AB47" s="63">
        <f t="shared" ca="1" si="7"/>
        <v>106.98395679754343</v>
      </c>
      <c r="AC47" s="3">
        <f t="shared" ca="1" si="8"/>
        <v>0</v>
      </c>
    </row>
    <row r="48" spans="1:29">
      <c r="A48" s="6" t="s">
        <v>127</v>
      </c>
      <c r="B48" s="32">
        <f>FollowingDressingLoss</f>
        <v>0</v>
      </c>
      <c r="H48" t="b">
        <f t="shared" ca="1" si="5"/>
        <v>1</v>
      </c>
      <c r="I48" t="b">
        <f t="shared" ca="1" si="2"/>
        <v>1</v>
      </c>
      <c r="J48" s="2">
        <f ca="1"/>
        <v>45412</v>
      </c>
      <c r="K48">
        <f ca="1"/>
        <v>105.7702974371382</v>
      </c>
      <c r="L48">
        <f ca="1"/>
        <v>0</v>
      </c>
      <c r="M48">
        <f ca="1"/>
        <v>0.17928825046100627</v>
      </c>
      <c r="N48">
        <f ca="1"/>
        <v>0.80006859513645323</v>
      </c>
      <c r="O48">
        <f ca="1"/>
        <v>0</v>
      </c>
      <c r="P48">
        <f ca="1"/>
        <v>0</v>
      </c>
      <c r="Q48">
        <f ca="1"/>
        <v>0</v>
      </c>
      <c r="R48">
        <f ca="1"/>
        <v>0</v>
      </c>
      <c r="S48">
        <f ca="1"/>
        <v>0.97927536231884049</v>
      </c>
      <c r="T48">
        <f ca="1"/>
        <v>0</v>
      </c>
      <c r="U48">
        <f ca="1"/>
        <v>0</v>
      </c>
      <c r="V48">
        <f ca="1"/>
        <v>0</v>
      </c>
      <c r="X48" s="2">
        <f t="shared" ca="1" si="3"/>
        <v>45412</v>
      </c>
      <c r="Y48">
        <f t="shared" ca="1" si="4"/>
        <v>0</v>
      </c>
      <c r="AA48" s="63">
        <f t="shared" ca="1" si="6"/>
        <v>105.7702974371382</v>
      </c>
      <c r="AB48" s="63">
        <f t="shared" ca="1" si="7"/>
        <v>105.7702974371382</v>
      </c>
      <c r="AC48" s="3">
        <f t="shared" ca="1" si="8"/>
        <v>0</v>
      </c>
    </row>
    <row r="49" spans="1:29">
      <c r="A49" s="6" t="s">
        <v>128</v>
      </c>
      <c r="B49" s="32">
        <f>FollowingMoistureLoss</f>
        <v>76</v>
      </c>
      <c r="H49" t="b">
        <f t="shared" ca="1" si="5"/>
        <v>1</v>
      </c>
      <c r="I49" t="b">
        <f t="shared" ca="1" si="2"/>
        <v>1</v>
      </c>
      <c r="J49" s="2">
        <f ca="1"/>
        <v>45413</v>
      </c>
      <c r="K49">
        <f ca="1"/>
        <v>106.73561759556077</v>
      </c>
      <c r="L49">
        <f ca="1"/>
        <v>0</v>
      </c>
      <c r="M49">
        <f ca="1"/>
        <v>0.16745883750223101</v>
      </c>
      <c r="N49">
        <f ca="1"/>
        <v>0.79786132092034867</v>
      </c>
      <c r="O49">
        <f ca="1"/>
        <v>0</v>
      </c>
      <c r="P49">
        <f ca="1"/>
        <v>0</v>
      </c>
      <c r="Q49">
        <f ca="1"/>
        <v>0</v>
      </c>
      <c r="R49">
        <f ca="1"/>
        <v>0</v>
      </c>
      <c r="S49">
        <f ca="1"/>
        <v>0.96058044528460396</v>
      </c>
      <c r="T49">
        <f ca="1"/>
        <v>0</v>
      </c>
      <c r="U49">
        <f ca="1"/>
        <v>0</v>
      </c>
      <c r="V49">
        <f ca="1"/>
        <v>0</v>
      </c>
      <c r="X49" s="2">
        <f t="shared" ca="1" si="3"/>
        <v>45413</v>
      </c>
      <c r="Y49">
        <f t="shared" ca="1" si="4"/>
        <v>0</v>
      </c>
      <c r="AA49" s="63">
        <f t="shared" ca="1" si="6"/>
        <v>106.73561759556078</v>
      </c>
      <c r="AB49" s="63">
        <f t="shared" ca="1" si="7"/>
        <v>106.73561759556077</v>
      </c>
      <c r="AC49" s="3">
        <f t="shared" ca="1" si="8"/>
        <v>0</v>
      </c>
    </row>
    <row r="50" spans="1:29">
      <c r="A50" s="6" t="s">
        <v>129</v>
      </c>
      <c r="B50" s="34">
        <f>FollowingEstablishDate</f>
        <v>45576</v>
      </c>
      <c r="H50" t="b">
        <f t="shared" ca="1" si="5"/>
        <v>1</v>
      </c>
      <c r="I50" t="b">
        <f t="array" aca="1" ref="I50" ca="1">AND(IF(J50&gt;($J$8-1),TRUE,FALSE),IF(J50&lt;($J$9+1),TRUE,FALSE))</f>
        <v>1</v>
      </c>
      <c r="J50" s="2">
        <f ca="1"/>
        <v>45414</v>
      </c>
      <c r="K50">
        <f ca="1"/>
        <v>107.79822150613862</v>
      </c>
      <c r="L50">
        <f ca="1"/>
        <v>0</v>
      </c>
      <c r="M50">
        <f ca="1"/>
        <v>0.1703171143121196</v>
      </c>
      <c r="N50">
        <f ca="1"/>
        <v>0.8922867962657407</v>
      </c>
      <c r="O50">
        <f ca="1"/>
        <v>0</v>
      </c>
      <c r="P50">
        <f ca="1"/>
        <v>0</v>
      </c>
      <c r="Q50">
        <f ca="1"/>
        <v>0</v>
      </c>
      <c r="R50">
        <f ca="1"/>
        <v>0</v>
      </c>
      <c r="S50">
        <f ca="1"/>
        <v>0.97154232880986513</v>
      </c>
      <c r="T50">
        <f ca="1"/>
        <v>0</v>
      </c>
      <c r="U50">
        <f ca="1"/>
        <v>0</v>
      </c>
      <c r="V50">
        <f ca="1"/>
        <v>0</v>
      </c>
      <c r="X50" s="2">
        <f t="shared" ca="1" si="3"/>
        <v>45414</v>
      </c>
      <c r="Y50">
        <f t="shared" ca="1" si="4"/>
        <v>0</v>
      </c>
      <c r="AA50" s="63">
        <f t="shared" ca="1" si="6"/>
        <v>107.79822150613863</v>
      </c>
      <c r="AB50" s="63">
        <f t="shared" ca="1" si="7"/>
        <v>107.79822150613862</v>
      </c>
      <c r="AC50" s="3">
        <f t="shared" ca="1" si="8"/>
        <v>0</v>
      </c>
    </row>
    <row r="51" spans="1:29">
      <c r="A51" s="6" t="s">
        <v>130</v>
      </c>
      <c r="B51" s="32" t="str">
        <f>FollowingEstablishStage</f>
        <v>Seed</v>
      </c>
      <c r="H51" t="b">
        <f t="shared" ca="1" si="5"/>
        <v>1</v>
      </c>
      <c r="I51" t="b">
        <f t="shared" ca="1" si="2"/>
        <v>1</v>
      </c>
      <c r="J51" s="2">
        <f ca="1"/>
        <v>45415</v>
      </c>
      <c r="K51">
        <f ca="1"/>
        <v>108.85347132823854</v>
      </c>
      <c r="L51">
        <f ca="1"/>
        <v>0</v>
      </c>
      <c r="M51">
        <f ca="1"/>
        <v>0.15901769574387004</v>
      </c>
      <c r="N51">
        <f ca="1"/>
        <v>0.89623212635605998</v>
      </c>
      <c r="O51">
        <f ca="1"/>
        <v>0</v>
      </c>
      <c r="P51">
        <f ca="1"/>
        <v>0</v>
      </c>
      <c r="Q51">
        <f ca="1"/>
        <v>0</v>
      </c>
      <c r="R51">
        <f ca="1"/>
        <v>0</v>
      </c>
      <c r="S51">
        <f ca="1"/>
        <v>0.99868741429653984</v>
      </c>
      <c r="T51">
        <f ca="1"/>
        <v>0</v>
      </c>
      <c r="U51">
        <f ca="1"/>
        <v>0</v>
      </c>
      <c r="V51">
        <f ca="1"/>
        <v>0</v>
      </c>
      <c r="X51" s="2">
        <f t="shared" ca="1" si="3"/>
        <v>45415</v>
      </c>
      <c r="Y51">
        <f t="shared" ca="1" si="4"/>
        <v>0</v>
      </c>
      <c r="AA51" s="63">
        <f t="shared" ca="1" si="6"/>
        <v>108.85347132823854</v>
      </c>
      <c r="AB51" s="63">
        <f t="shared" ca="1" si="7"/>
        <v>108.85347132823854</v>
      </c>
      <c r="AC51" s="3">
        <f t="shared" ca="1" si="8"/>
        <v>0</v>
      </c>
    </row>
    <row r="52" spans="1:29">
      <c r="A52" s="6" t="s">
        <v>131</v>
      </c>
      <c r="B52" s="34">
        <f>FollowingHarvestDate</f>
        <v>45696</v>
      </c>
      <c r="H52" t="b">
        <f t="shared" ca="1" si="5"/>
        <v>1</v>
      </c>
      <c r="I52" t="b">
        <f t="shared" ca="1" si="2"/>
        <v>1</v>
      </c>
      <c r="J52" s="2">
        <f ca="1"/>
        <v>45416</v>
      </c>
      <c r="K52">
        <f ca="1"/>
        <v>107.88178378481089</v>
      </c>
      <c r="L52">
        <f ca="1"/>
        <v>0</v>
      </c>
      <c r="M52">
        <f ca="1"/>
        <v>0.15245985259777228</v>
      </c>
      <c r="N52">
        <f ca="1"/>
        <v>0.93222390226459795</v>
      </c>
      <c r="O52">
        <f ca="1"/>
        <v>0</v>
      </c>
      <c r="P52">
        <f ca="1"/>
        <v>0</v>
      </c>
      <c r="Q52">
        <f ca="1"/>
        <v>0</v>
      </c>
      <c r="R52">
        <f ca="1"/>
        <v>2.0563712982900175</v>
      </c>
      <c r="S52">
        <f ca="1"/>
        <v>1</v>
      </c>
      <c r="T52">
        <f ca="1"/>
        <v>3.4611379478757414</v>
      </c>
      <c r="U52">
        <f ca="1"/>
        <v>0</v>
      </c>
      <c r="V52">
        <f ca="1"/>
        <v>0</v>
      </c>
      <c r="X52" s="2">
        <f t="shared" ca="1" si="3"/>
        <v>45416</v>
      </c>
      <c r="Y52">
        <f t="shared" ca="1" si="4"/>
        <v>0</v>
      </c>
      <c r="AA52" s="63">
        <f t="shared" ca="1" si="6"/>
        <v>109.93815508310091</v>
      </c>
      <c r="AB52" s="63">
        <f t="shared" ca="1" si="7"/>
        <v>109.93815508310091</v>
      </c>
      <c r="AC52" s="3">
        <f t="shared" ca="1" si="8"/>
        <v>0</v>
      </c>
    </row>
    <row r="53" spans="1:29">
      <c r="A53" s="6" t="s">
        <v>132</v>
      </c>
      <c r="B53" s="32" t="str">
        <f>FollowingHarvestStage</f>
        <v>MidReproductive</v>
      </c>
      <c r="H53" t="b">
        <f t="shared" ca="1" si="5"/>
        <v>1</v>
      </c>
      <c r="I53" t="b">
        <f t="shared" ca="1" si="2"/>
        <v>1</v>
      </c>
      <c r="J53" s="2">
        <f ca="1"/>
        <v>45417</v>
      </c>
      <c r="K53">
        <f ca="1"/>
        <v>108.28874448883222</v>
      </c>
      <c r="L53">
        <f ca="1"/>
        <v>0</v>
      </c>
      <c r="M53">
        <f ca="1"/>
        <v>0.13853934762247633</v>
      </c>
      <c r="N53">
        <f ca="1"/>
        <v>0.90654024783594822</v>
      </c>
      <c r="O53">
        <f ca="1"/>
        <v>0</v>
      </c>
      <c r="P53">
        <f ca="1"/>
        <v>0</v>
      </c>
      <c r="Q53">
        <f ca="1"/>
        <v>0</v>
      </c>
      <c r="R53">
        <f ca="1"/>
        <v>0.63811889143709377</v>
      </c>
      <c r="S53">
        <f ca="1"/>
        <v>1</v>
      </c>
      <c r="T53">
        <f ca="1"/>
        <v>1.0700000000000074</v>
      </c>
      <c r="U53">
        <f ca="1"/>
        <v>0</v>
      </c>
      <c r="V53">
        <f ca="1"/>
        <v>0</v>
      </c>
      <c r="X53" s="2">
        <f t="shared" ca="1" si="3"/>
        <v>45417</v>
      </c>
      <c r="Y53">
        <f t="shared" ca="1" si="4"/>
        <v>0</v>
      </c>
      <c r="AA53" s="63">
        <f t="shared" ca="1" si="6"/>
        <v>108.92686338026931</v>
      </c>
      <c r="AB53" s="63">
        <f t="shared" ca="1" si="7"/>
        <v>108.92686338026931</v>
      </c>
      <c r="AC53" s="3">
        <f t="shared" ca="1" si="8"/>
        <v>0</v>
      </c>
    </row>
    <row r="54" spans="1:29" ht="15.75" thickBot="1">
      <c r="A54" s="7" t="s">
        <v>164</v>
      </c>
      <c r="B54" s="33" t="str">
        <f>FollowingResidueRemoval</f>
        <v>None removed</v>
      </c>
      <c r="H54" t="b">
        <f t="shared" ca="1" si="5"/>
        <v>1</v>
      </c>
      <c r="I54" t="b">
        <f t="shared" ca="1" si="2"/>
        <v>1</v>
      </c>
      <c r="J54" s="2">
        <f ca="1"/>
        <v>45418</v>
      </c>
      <c r="K54">
        <f ca="1"/>
        <v>106.85430983930964</v>
      </c>
      <c r="L54">
        <f ca="1"/>
        <v>0</v>
      </c>
      <c r="M54">
        <f ca="1"/>
        <v>0.12385003520743965</v>
      </c>
      <c r="N54">
        <f ca="1"/>
        <v>0.86033938928496634</v>
      </c>
      <c r="O54">
        <f ca="1"/>
        <v>0</v>
      </c>
      <c r="P54">
        <f ca="1"/>
        <v>0</v>
      </c>
      <c r="Q54">
        <f ca="1"/>
        <v>0</v>
      </c>
      <c r="R54">
        <f ca="1"/>
        <v>2.418624074014982</v>
      </c>
      <c r="S54">
        <f ca="1"/>
        <v>1</v>
      </c>
      <c r="T54">
        <f ca="1"/>
        <v>4.1099999999999994</v>
      </c>
      <c r="U54">
        <f ca="1"/>
        <v>0</v>
      </c>
      <c r="V54">
        <f ca="1"/>
        <v>0</v>
      </c>
      <c r="X54" s="2">
        <f t="shared" ca="1" si="3"/>
        <v>45418</v>
      </c>
      <c r="Y54">
        <f t="shared" ca="1" si="4"/>
        <v>0</v>
      </c>
      <c r="AA54" s="63">
        <f t="shared" ca="1" si="6"/>
        <v>109.27293391332462</v>
      </c>
      <c r="AB54" s="63">
        <f t="shared" ca="1" si="7"/>
        <v>109.27293391332462</v>
      </c>
      <c r="AC54" s="3">
        <f t="shared" ca="1" si="8"/>
        <v>0</v>
      </c>
    </row>
    <row r="55" spans="1:29">
      <c r="A55" s="6" t="s">
        <v>167</v>
      </c>
      <c r="B55" t="str">
        <f>FollowingResidueIncorporation</f>
        <v>Full (Plough)</v>
      </c>
      <c r="H55" t="b">
        <f t="shared" ca="1" si="5"/>
        <v>1</v>
      </c>
      <c r="I55" t="b">
        <f t="shared" ca="1" si="2"/>
        <v>1</v>
      </c>
      <c r="J55" s="2">
        <f ca="1"/>
        <v>45419</v>
      </c>
      <c r="K55">
        <f ca="1"/>
        <v>107.308505297065</v>
      </c>
      <c r="L55">
        <f ca="1"/>
        <v>0</v>
      </c>
      <c r="M55">
        <f ca="1"/>
        <v>0.11645705923223204</v>
      </c>
      <c r="N55">
        <f ca="1"/>
        <v>0.86961533782162848</v>
      </c>
      <c r="O55">
        <f ca="1"/>
        <v>0</v>
      </c>
      <c r="P55">
        <f ca="1"/>
        <v>0</v>
      </c>
      <c r="Q55">
        <f ca="1"/>
        <v>0</v>
      </c>
      <c r="R55">
        <f ca="1"/>
        <v>0.53187693929849944</v>
      </c>
      <c r="S55">
        <f ca="1"/>
        <v>1</v>
      </c>
      <c r="T55">
        <f ca="1"/>
        <v>0.90000000000000568</v>
      </c>
      <c r="U55">
        <f ca="1"/>
        <v>0</v>
      </c>
      <c r="V55">
        <f ca="1"/>
        <v>0</v>
      </c>
      <c r="X55" s="2">
        <f t="shared" ca="1" si="3"/>
        <v>45419</v>
      </c>
      <c r="Y55">
        <f t="shared" ca="1" si="4"/>
        <v>0</v>
      </c>
      <c r="AA55" s="63">
        <f t="shared" ca="1" si="6"/>
        <v>107.8403822363635</v>
      </c>
      <c r="AB55" s="63">
        <f t="shared" ca="1" si="7"/>
        <v>107.8403822363635</v>
      </c>
      <c r="AC55" s="3">
        <f t="shared" ca="1" si="8"/>
        <v>0</v>
      </c>
    </row>
    <row r="56" spans="1:29">
      <c r="A56" s="12"/>
      <c r="B56" s="13"/>
      <c r="H56" t="b">
        <f t="shared" ca="1" si="5"/>
        <v>1</v>
      </c>
      <c r="I56" t="b">
        <f t="shared" ca="1" si="2"/>
        <v>1</v>
      </c>
      <c r="J56" s="2">
        <f ca="1"/>
        <v>45420</v>
      </c>
      <c r="K56">
        <f ca="1"/>
        <v>108.40101286986892</v>
      </c>
      <c r="L56">
        <f ca="1"/>
        <v>0</v>
      </c>
      <c r="M56">
        <f ca="1"/>
        <v>0.11843689977804672</v>
      </c>
      <c r="N56">
        <f ca="1"/>
        <v>0.97407067302587558</v>
      </c>
      <c r="O56">
        <f ca="1"/>
        <v>0</v>
      </c>
      <c r="P56">
        <f ca="1"/>
        <v>0</v>
      </c>
      <c r="Q56">
        <f ca="1"/>
        <v>0</v>
      </c>
      <c r="R56">
        <f ca="1"/>
        <v>0</v>
      </c>
      <c r="S56">
        <f ca="1"/>
        <v>0.99811594202898557</v>
      </c>
      <c r="T56">
        <f ca="1"/>
        <v>0</v>
      </c>
      <c r="U56">
        <f ca="1"/>
        <v>0</v>
      </c>
      <c r="V56">
        <f ca="1"/>
        <v>0</v>
      </c>
      <c r="X56" s="2">
        <f t="shared" ca="1" si="3"/>
        <v>45420</v>
      </c>
      <c r="Y56">
        <f t="shared" ca="1" si="4"/>
        <v>0</v>
      </c>
      <c r="AA56" s="63">
        <f t="shared" ca="1" si="6"/>
        <v>108.40101286986892</v>
      </c>
      <c r="AB56" s="63">
        <f t="shared" ca="1" si="7"/>
        <v>108.40101286986892</v>
      </c>
      <c r="AC56" s="3">
        <f t="shared" ca="1" si="8"/>
        <v>0</v>
      </c>
    </row>
    <row r="57" spans="1:29" ht="15.75" thickBot="1">
      <c r="A57" s="14"/>
      <c r="B57" s="15"/>
      <c r="H57" t="b">
        <f t="shared" ca="1" si="5"/>
        <v>1</v>
      </c>
      <c r="I57" t="b">
        <f t="shared" ca="1" si="2"/>
        <v>1</v>
      </c>
      <c r="J57" s="2">
        <f ca="1"/>
        <v>45421</v>
      </c>
      <c r="K57">
        <f ca="1"/>
        <v>109.30671619700625</v>
      </c>
      <c r="L57">
        <f ca="1"/>
        <v>0</v>
      </c>
      <c r="M57">
        <f ca="1"/>
        <v>0.10712420324515648</v>
      </c>
      <c r="N57">
        <f ca="1"/>
        <v>0.94441508394691931</v>
      </c>
      <c r="O57">
        <f ca="1"/>
        <v>0</v>
      </c>
      <c r="P57">
        <f ca="1"/>
        <v>0</v>
      </c>
      <c r="Q57">
        <f ca="1"/>
        <v>0</v>
      </c>
      <c r="R57">
        <f ca="1"/>
        <v>0.1458359600547513</v>
      </c>
      <c r="S57">
        <f ca="1"/>
        <v>1</v>
      </c>
      <c r="T57">
        <f ca="1"/>
        <v>0.24226086956521442</v>
      </c>
      <c r="U57">
        <f ca="1"/>
        <v>0</v>
      </c>
      <c r="V57">
        <f ca="1"/>
        <v>0</v>
      </c>
      <c r="X57" s="2">
        <f t="shared" ca="1" si="3"/>
        <v>45421</v>
      </c>
      <c r="Y57">
        <f t="shared" ca="1" si="4"/>
        <v>0</v>
      </c>
      <c r="AA57" s="63">
        <f t="shared" ca="1" si="6"/>
        <v>109.45255215706101</v>
      </c>
      <c r="AB57" s="63">
        <f t="shared" ca="1" si="7"/>
        <v>109.45255215706101</v>
      </c>
      <c r="AC57" s="3">
        <f t="shared" ca="1" si="8"/>
        <v>0</v>
      </c>
    </row>
    <row r="58" spans="1:29">
      <c r="H58" t="b">
        <f t="shared" ca="1" si="5"/>
        <v>1</v>
      </c>
      <c r="I58" t="b">
        <f t="shared" ca="1" si="2"/>
        <v>1</v>
      </c>
      <c r="J58" s="2">
        <f ca="1"/>
        <v>45422</v>
      </c>
      <c r="K58">
        <f ca="1"/>
        <v>108.71447353655655</v>
      </c>
      <c r="L58">
        <f ca="1"/>
        <v>0</v>
      </c>
      <c r="M58">
        <f ca="1"/>
        <v>9.5296246876372948E-2</v>
      </c>
      <c r="N58">
        <f ca="1"/>
        <v>0.89307500357064784</v>
      </c>
      <c r="O58">
        <f ca="1"/>
        <v>0</v>
      </c>
      <c r="P58">
        <f ca="1"/>
        <v>0</v>
      </c>
      <c r="Q58">
        <f ca="1"/>
        <v>0</v>
      </c>
      <c r="R58">
        <f ca="1"/>
        <v>1.5806139108967179</v>
      </c>
      <c r="S58">
        <f ca="1"/>
        <v>1</v>
      </c>
      <c r="T58">
        <f ca="1"/>
        <v>2.6400000000000006</v>
      </c>
      <c r="U58">
        <f ca="1"/>
        <v>0</v>
      </c>
      <c r="V58">
        <f ca="1"/>
        <v>0</v>
      </c>
      <c r="X58" s="2">
        <f t="shared" ca="1" si="3"/>
        <v>45422</v>
      </c>
      <c r="Y58">
        <f t="shared" ca="1" si="4"/>
        <v>0</v>
      </c>
      <c r="AA58" s="63">
        <f t="shared" ca="1" si="6"/>
        <v>110.29508744745327</v>
      </c>
      <c r="AB58" s="63">
        <f t="shared" ca="1" si="7"/>
        <v>110.29508744745327</v>
      </c>
      <c r="AC58" s="3">
        <f t="shared" ca="1" si="8"/>
        <v>0</v>
      </c>
    </row>
    <row r="59" spans="1:29">
      <c r="H59" t="b">
        <f t="shared" ca="1" si="5"/>
        <v>1</v>
      </c>
      <c r="I59" t="b">
        <f t="shared" ca="1" si="2"/>
        <v>1</v>
      </c>
      <c r="J59" s="2">
        <f ca="1"/>
        <v>45423</v>
      </c>
      <c r="K59">
        <f ca="1"/>
        <v>106.83029901581207</v>
      </c>
      <c r="L59">
        <f ca="1"/>
        <v>0</v>
      </c>
      <c r="M59">
        <f ca="1"/>
        <v>9.1623171419790594E-2</v>
      </c>
      <c r="N59">
        <f ca="1"/>
        <v>0.9306057471470609</v>
      </c>
      <c r="O59">
        <f ca="1"/>
        <v>0</v>
      </c>
      <c r="P59">
        <f ca="1"/>
        <v>0</v>
      </c>
      <c r="Q59">
        <f ca="1"/>
        <v>0</v>
      </c>
      <c r="R59">
        <f ca="1"/>
        <v>2.9064034393113385</v>
      </c>
      <c r="S59">
        <f ca="1"/>
        <v>1</v>
      </c>
      <c r="T59">
        <f ca="1"/>
        <v>4.9399999999999977</v>
      </c>
      <c r="U59">
        <f ca="1"/>
        <v>0</v>
      </c>
      <c r="V59">
        <f ca="1"/>
        <v>0</v>
      </c>
      <c r="X59" s="2">
        <f t="shared" ca="1" si="3"/>
        <v>45423</v>
      </c>
      <c r="Y59">
        <f t="shared" ca="1" si="4"/>
        <v>0</v>
      </c>
      <c r="AA59" s="63">
        <f t="shared" ca="1" si="6"/>
        <v>109.73670245512339</v>
      </c>
      <c r="AB59" s="63">
        <f t="shared" ca="1" si="7"/>
        <v>109.73670245512341</v>
      </c>
      <c r="AC59" s="3">
        <f t="shared" ca="1" si="8"/>
        <v>0</v>
      </c>
    </row>
    <row r="60" spans="1:29">
      <c r="H60" t="b">
        <f t="shared" ca="1" si="5"/>
        <v>1</v>
      </c>
      <c r="I60" t="b">
        <f t="shared" ca="1" si="2"/>
        <v>1</v>
      </c>
      <c r="J60" s="2">
        <f ca="1"/>
        <v>45424</v>
      </c>
      <c r="K60">
        <f ca="1"/>
        <v>105.56173093071779</v>
      </c>
      <c r="L60">
        <f ca="1"/>
        <v>0</v>
      </c>
      <c r="M60">
        <f ca="1"/>
        <v>8.1406759028503473E-2</v>
      </c>
      <c r="N60">
        <f ca="1"/>
        <v>0.8766127384361353</v>
      </c>
      <c r="O60">
        <f ca="1"/>
        <v>0</v>
      </c>
      <c r="P60">
        <f ca="1"/>
        <v>0</v>
      </c>
      <c r="Q60">
        <f ca="1"/>
        <v>0</v>
      </c>
      <c r="R60">
        <f ca="1"/>
        <v>2.2265875825589361</v>
      </c>
      <c r="S60">
        <f ca="1"/>
        <v>1</v>
      </c>
      <c r="T60">
        <f ca="1"/>
        <v>3.8299999999999983</v>
      </c>
      <c r="U60">
        <f ca="1"/>
        <v>0</v>
      </c>
      <c r="V60">
        <f ca="1"/>
        <v>0</v>
      </c>
      <c r="X60" s="2">
        <f t="shared" ca="1" si="3"/>
        <v>45424</v>
      </c>
      <c r="Y60">
        <f t="shared" ca="1" si="4"/>
        <v>0</v>
      </c>
      <c r="AA60" s="63">
        <f t="shared" ca="1" si="6"/>
        <v>107.78831851327672</v>
      </c>
      <c r="AB60" s="63">
        <f t="shared" ca="1" si="7"/>
        <v>107.78831851327672</v>
      </c>
      <c r="AC60" s="3">
        <f t="shared" ca="1" si="8"/>
        <v>0</v>
      </c>
    </row>
    <row r="61" spans="1:29">
      <c r="H61" t="b">
        <f t="shared" ca="1" si="5"/>
        <v>1</v>
      </c>
      <c r="I61" t="b">
        <f t="shared" ca="1" si="2"/>
        <v>1</v>
      </c>
      <c r="J61" s="2">
        <f ca="1"/>
        <v>45425</v>
      </c>
      <c r="K61">
        <f ca="1"/>
        <v>104.40748806363993</v>
      </c>
      <c r="L61">
        <f ca="1"/>
        <v>0</v>
      </c>
      <c r="M61">
        <f ca="1"/>
        <v>7.6536648591869039E-2</v>
      </c>
      <c r="N61">
        <f ca="1"/>
        <v>0.88521224242005803</v>
      </c>
      <c r="O61">
        <f ca="1"/>
        <v>0</v>
      </c>
      <c r="P61">
        <f ca="1"/>
        <v>0</v>
      </c>
      <c r="Q61">
        <f ca="1"/>
        <v>0</v>
      </c>
      <c r="R61">
        <f ca="1"/>
        <v>2.1159917580897734</v>
      </c>
      <c r="S61">
        <f ca="1"/>
        <v>1</v>
      </c>
      <c r="T61">
        <f ca="1"/>
        <v>3.6800000000000068</v>
      </c>
      <c r="U61">
        <f ca="1"/>
        <v>0</v>
      </c>
      <c r="V61">
        <f ca="1"/>
        <v>0</v>
      </c>
      <c r="X61" s="2">
        <f t="shared" ca="1" si="3"/>
        <v>45425</v>
      </c>
      <c r="Y61">
        <f t="shared" ca="1" si="4"/>
        <v>0</v>
      </c>
      <c r="AA61" s="63">
        <f t="shared" ca="1" si="6"/>
        <v>106.52347982172971</v>
      </c>
      <c r="AB61" s="63">
        <f t="shared" ca="1" si="7"/>
        <v>106.52347982172971</v>
      </c>
      <c r="AC61" s="3">
        <f t="shared" ca="1" si="8"/>
        <v>0</v>
      </c>
    </row>
    <row r="62" spans="1:29">
      <c r="H62" t="b">
        <f t="shared" ca="1" si="5"/>
        <v>1</v>
      </c>
      <c r="I62" t="b">
        <f t="shared" ca="1" si="2"/>
        <v>1</v>
      </c>
      <c r="J62" s="2">
        <f ca="1"/>
        <v>45426</v>
      </c>
      <c r="K62">
        <f ca="1"/>
        <v>101.16393518105518</v>
      </c>
      <c r="L62">
        <f ca="1"/>
        <v>0</v>
      </c>
      <c r="M62">
        <f ca="1"/>
        <v>7.3701461118737654E-2</v>
      </c>
      <c r="N62">
        <f ca="1"/>
        <v>0.92254084117440827</v>
      </c>
      <c r="O62">
        <f ca="1"/>
        <v>0</v>
      </c>
      <c r="P62">
        <f ca="1"/>
        <v>0</v>
      </c>
      <c r="Q62">
        <f ca="1"/>
        <v>0</v>
      </c>
      <c r="R62">
        <f ca="1"/>
        <v>4.2397951848779032</v>
      </c>
      <c r="S62">
        <f ca="1"/>
        <v>1</v>
      </c>
      <c r="T62">
        <f ca="1"/>
        <v>7.6099999999999994</v>
      </c>
      <c r="U62">
        <f ca="1"/>
        <v>0</v>
      </c>
      <c r="V62">
        <f ca="1"/>
        <v>0</v>
      </c>
      <c r="X62" s="2">
        <f t="shared" ca="1" si="3"/>
        <v>45426</v>
      </c>
      <c r="Y62">
        <f t="shared" ca="1" si="4"/>
        <v>0</v>
      </c>
      <c r="AA62" s="63">
        <f t="shared" ca="1" si="6"/>
        <v>105.40373036593307</v>
      </c>
      <c r="AB62" s="63">
        <f t="shared" ca="1" si="7"/>
        <v>105.40373036593309</v>
      </c>
      <c r="AC62" s="3">
        <f t="shared" ca="1" si="8"/>
        <v>0</v>
      </c>
    </row>
    <row r="63" spans="1:29">
      <c r="H63" t="b">
        <f t="shared" ca="1" si="5"/>
        <v>1</v>
      </c>
      <c r="I63" t="b">
        <f t="shared" ca="1" si="2"/>
        <v>1</v>
      </c>
      <c r="J63" s="2">
        <f ca="1"/>
        <v>45427</v>
      </c>
      <c r="K63">
        <f ca="1"/>
        <v>100.10373098145973</v>
      </c>
      <c r="L63">
        <f ca="1"/>
        <v>0</v>
      </c>
      <c r="M63">
        <f ca="1"/>
        <v>6.5945189810761917E-2</v>
      </c>
      <c r="N63">
        <f ca="1"/>
        <v>0.87505476299706531</v>
      </c>
      <c r="O63">
        <f ca="1"/>
        <v>0</v>
      </c>
      <c r="P63">
        <f ca="1"/>
        <v>0</v>
      </c>
      <c r="Q63">
        <f ca="1"/>
        <v>0</v>
      </c>
      <c r="R63">
        <f ca="1"/>
        <v>2.0012041524032744</v>
      </c>
      <c r="S63">
        <f ca="1"/>
        <v>1</v>
      </c>
      <c r="T63">
        <f ca="1"/>
        <v>3.6300000000000097</v>
      </c>
      <c r="U63">
        <f ca="1"/>
        <v>0</v>
      </c>
      <c r="V63">
        <f ca="1"/>
        <v>0</v>
      </c>
      <c r="X63" s="2">
        <f t="shared" ca="1" si="3"/>
        <v>45427</v>
      </c>
      <c r="Y63">
        <f t="shared" ca="1" si="4"/>
        <v>0</v>
      </c>
      <c r="AA63" s="63">
        <f t="shared" ca="1" si="6"/>
        <v>102.10493513386301</v>
      </c>
      <c r="AB63" s="63">
        <f t="shared" ca="1" si="7"/>
        <v>102.10493513386301</v>
      </c>
      <c r="AC63" s="3">
        <f t="shared" ca="1" si="8"/>
        <v>0</v>
      </c>
    </row>
    <row r="64" spans="1:29">
      <c r="H64" t="b">
        <f t="shared" ca="1" si="5"/>
        <v>1</v>
      </c>
      <c r="I64" t="b">
        <f t="shared" ca="1" si="2"/>
        <v>1</v>
      </c>
      <c r="J64" s="2">
        <f ca="1"/>
        <v>45428</v>
      </c>
      <c r="K64">
        <f ca="1"/>
        <v>99.666840481631482</v>
      </c>
      <c r="L64">
        <f ca="1"/>
        <v>0</v>
      </c>
      <c r="M64">
        <f ca="1"/>
        <v>5.9080498422801497E-2</v>
      </c>
      <c r="N64">
        <f ca="1"/>
        <v>0.82685353092399017</v>
      </c>
      <c r="O64">
        <f ca="1"/>
        <v>0</v>
      </c>
      <c r="P64">
        <f ca="1"/>
        <v>0</v>
      </c>
      <c r="Q64">
        <f ca="1"/>
        <v>0</v>
      </c>
      <c r="R64">
        <f ca="1"/>
        <v>1.3228245291750431</v>
      </c>
      <c r="S64">
        <f ca="1"/>
        <v>1</v>
      </c>
      <c r="T64">
        <f ca="1"/>
        <v>2.4099999999999966</v>
      </c>
      <c r="U64">
        <f ca="1"/>
        <v>0</v>
      </c>
      <c r="V64">
        <f ca="1"/>
        <v>0</v>
      </c>
      <c r="X64" s="2">
        <f t="shared" ca="1" si="3"/>
        <v>45428</v>
      </c>
      <c r="Y64">
        <f t="shared" ca="1" si="4"/>
        <v>0</v>
      </c>
      <c r="AA64" s="63">
        <f t="shared" ca="1" si="6"/>
        <v>100.98966501080652</v>
      </c>
      <c r="AB64" s="63">
        <f t="shared" ca="1" si="7"/>
        <v>100.98966501080652</v>
      </c>
      <c r="AC64" s="3">
        <f t="shared" ca="1" si="8"/>
        <v>0</v>
      </c>
    </row>
    <row r="65" spans="1:29">
      <c r="A65" s="1"/>
      <c r="B65" s="1"/>
      <c r="H65" t="b">
        <f t="shared" ca="1" si="5"/>
        <v>1</v>
      </c>
      <c r="I65" t="b">
        <f t="shared" ca="1" si="2"/>
        <v>1</v>
      </c>
      <c r="J65" s="2">
        <f ca="1"/>
        <v>45429</v>
      </c>
      <c r="K65">
        <f ca="1"/>
        <v>99.790577730825433</v>
      </c>
      <c r="L65">
        <f ca="1"/>
        <v>0</v>
      </c>
      <c r="M65">
        <f ca="1"/>
        <v>5.3068852433710845E-2</v>
      </c>
      <c r="N65">
        <f ca="1"/>
        <v>0.77961537072619613</v>
      </c>
      <c r="O65">
        <f ca="1"/>
        <v>0</v>
      </c>
      <c r="P65">
        <f ca="1"/>
        <v>0</v>
      </c>
      <c r="Q65">
        <f ca="1"/>
        <v>0</v>
      </c>
      <c r="R65">
        <f ca="1"/>
        <v>0.70894697396595452</v>
      </c>
      <c r="S65">
        <f ca="1"/>
        <v>1</v>
      </c>
      <c r="T65">
        <f ca="1"/>
        <v>1.2900000000000063</v>
      </c>
      <c r="U65">
        <f ca="1"/>
        <v>0</v>
      </c>
      <c r="V65">
        <f ca="1"/>
        <v>0</v>
      </c>
      <c r="X65" s="2">
        <f t="shared" ca="1" si="3"/>
        <v>45429</v>
      </c>
      <c r="Y65">
        <f t="shared" ca="1" si="4"/>
        <v>0</v>
      </c>
      <c r="AA65" s="63">
        <f t="shared" ca="1" si="6"/>
        <v>100.49952470479138</v>
      </c>
      <c r="AB65" s="63">
        <f t="shared" ca="1" si="7"/>
        <v>100.49952470479138</v>
      </c>
      <c r="AC65" s="3">
        <f t="shared" ca="1" si="8"/>
        <v>0</v>
      </c>
    </row>
    <row r="66" spans="1:29">
      <c r="H66" t="b">
        <f t="shared" ca="1" si="5"/>
        <v>1</v>
      </c>
      <c r="I66" t="b">
        <f t="shared" ca="1" si="2"/>
        <v>1</v>
      </c>
      <c r="J66" s="2">
        <f ca="1"/>
        <v>45430</v>
      </c>
      <c r="K66">
        <f ca="1"/>
        <v>100.06442813359894</v>
      </c>
      <c r="L66">
        <f ca="1"/>
        <v>0</v>
      </c>
      <c r="M66">
        <f ca="1"/>
        <v>5.0941606741858436E-2</v>
      </c>
      <c r="N66">
        <f ca="1"/>
        <v>0.80154222828245403</v>
      </c>
      <c r="O66">
        <f ca="1"/>
        <v>0</v>
      </c>
      <c r="P66">
        <f ca="1"/>
        <v>0</v>
      </c>
      <c r="Q66">
        <f ca="1"/>
        <v>0</v>
      </c>
      <c r="R66">
        <f ca="1"/>
        <v>0.57863343225080976</v>
      </c>
      <c r="S66">
        <f ca="1"/>
        <v>1</v>
      </c>
      <c r="T66">
        <f ca="1"/>
        <v>1.0499999999999972</v>
      </c>
      <c r="U66">
        <f ca="1"/>
        <v>0</v>
      </c>
      <c r="V66">
        <f ca="1"/>
        <v>0</v>
      </c>
      <c r="X66" s="2">
        <f t="shared" ca="1" si="3"/>
        <v>45430</v>
      </c>
      <c r="Y66">
        <f t="shared" ca="1" si="4"/>
        <v>0</v>
      </c>
      <c r="AA66" s="63">
        <f t="shared" ca="1" si="6"/>
        <v>100.64306156584975</v>
      </c>
      <c r="AB66" s="63">
        <f t="shared" ca="1" si="7"/>
        <v>100.64306156584975</v>
      </c>
      <c r="AC66" s="3">
        <f t="shared" ca="1" si="8"/>
        <v>0</v>
      </c>
    </row>
    <row r="67" spans="1:29">
      <c r="H67" t="b">
        <f t="shared" ca="1" si="5"/>
        <v>1</v>
      </c>
      <c r="I67" t="b">
        <f t="shared" ca="1" si="2"/>
        <v>1</v>
      </c>
      <c r="J67" s="2">
        <f ca="1"/>
        <v>45431</v>
      </c>
      <c r="K67">
        <f ca="1"/>
        <v>100.90312881223099</v>
      </c>
      <c r="L67">
        <f ca="1"/>
        <v>0</v>
      </c>
      <c r="M67">
        <f ca="1"/>
        <v>4.7438330230455961E-2</v>
      </c>
      <c r="N67">
        <f ca="1"/>
        <v>0.7912623484015936</v>
      </c>
      <c r="O67">
        <f ca="1"/>
        <v>0</v>
      </c>
      <c r="P67">
        <f ca="1"/>
        <v>0</v>
      </c>
      <c r="Q67">
        <f ca="1"/>
        <v>0</v>
      </c>
      <c r="R67">
        <f ca="1"/>
        <v>0</v>
      </c>
      <c r="S67">
        <f ca="1"/>
        <v>0.98623188405797102</v>
      </c>
      <c r="T67">
        <f ca="1"/>
        <v>0</v>
      </c>
      <c r="U67">
        <f ca="1"/>
        <v>0</v>
      </c>
      <c r="V67">
        <f ca="1"/>
        <v>0</v>
      </c>
      <c r="X67" s="2">
        <f t="shared" ca="1" si="3"/>
        <v>45431</v>
      </c>
      <c r="Y67">
        <f t="shared" ca="1" si="4"/>
        <v>0</v>
      </c>
      <c r="AA67" s="63">
        <f t="shared" ca="1" si="6"/>
        <v>100.90312881223097</v>
      </c>
      <c r="AB67" s="63">
        <f t="shared" ca="1" si="7"/>
        <v>100.90312881223099</v>
      </c>
      <c r="AC67" s="3">
        <f t="shared" ca="1" si="8"/>
        <v>0</v>
      </c>
    </row>
    <row r="68" spans="1:29">
      <c r="H68" t="b">
        <f t="shared" ca="1" si="5"/>
        <v>1</v>
      </c>
      <c r="I68" t="b">
        <f t="shared" ca="1" si="2"/>
        <v>1</v>
      </c>
      <c r="J68" s="2">
        <f ca="1"/>
        <v>45432</v>
      </c>
      <c r="K68">
        <f ca="1"/>
        <v>151.72382663571932</v>
      </c>
      <c r="L68">
        <f ca="1"/>
        <v>0</v>
      </c>
      <c r="M68">
        <f ca="1"/>
        <v>4.4196509543262152E-2</v>
      </c>
      <c r="N68">
        <f ca="1"/>
        <v>0.78034014027493936</v>
      </c>
      <c r="O68">
        <f ca="1"/>
        <v>50</v>
      </c>
      <c r="P68">
        <f ca="1"/>
        <v>0</v>
      </c>
      <c r="Q68">
        <f ca="1"/>
        <v>0</v>
      </c>
      <c r="R68">
        <f ca="1"/>
        <v>3.8388263298710836E-3</v>
      </c>
      <c r="S68">
        <f ca="1"/>
        <v>1</v>
      </c>
      <c r="T68">
        <f ca="1"/>
        <v>4.5942028985450634E-3</v>
      </c>
      <c r="U68">
        <f ca="1"/>
        <v>0</v>
      </c>
      <c r="V68">
        <f ca="1"/>
        <v>0</v>
      </c>
      <c r="X68" s="2">
        <f t="shared" ca="1" si="3"/>
        <v>45432</v>
      </c>
      <c r="Y68">
        <f t="shared" ca="1" si="4"/>
        <v>50</v>
      </c>
      <c r="AA68" s="63">
        <f t="shared" ca="1" si="6"/>
        <v>151.7276654620492</v>
      </c>
      <c r="AB68" s="63">
        <f t="shared" ca="1" si="7"/>
        <v>151.7276654620492</v>
      </c>
      <c r="AC68" s="3">
        <f t="shared" ca="1" si="8"/>
        <v>0</v>
      </c>
    </row>
    <row r="69" spans="1:29">
      <c r="H69" t="b">
        <f t="shared" ca="1" si="5"/>
        <v>1</v>
      </c>
      <c r="I69" t="b">
        <f t="shared" ca="1" si="2"/>
        <v>1</v>
      </c>
      <c r="J69" s="2">
        <f ca="1"/>
        <v>45433</v>
      </c>
      <c r="K69">
        <f ca="1"/>
        <v>150.92911706841952</v>
      </c>
      <c r="L69">
        <f ca="1"/>
        <v>0</v>
      </c>
      <c r="M69">
        <f ca="1"/>
        <v>3.7792786746635443E-2</v>
      </c>
      <c r="N69">
        <f ca="1"/>
        <v>0.68028862225092768</v>
      </c>
      <c r="O69">
        <f ca="1"/>
        <v>0</v>
      </c>
      <c r="P69">
        <f ca="1"/>
        <v>0</v>
      </c>
      <c r="Q69">
        <f ca="1"/>
        <v>0</v>
      </c>
      <c r="R69">
        <f ca="1"/>
        <v>1.5127909762973824</v>
      </c>
      <c r="S69">
        <f ca="1"/>
        <v>1</v>
      </c>
      <c r="T69">
        <f ca="1"/>
        <v>1.8200000000000074</v>
      </c>
      <c r="U69">
        <f ca="1"/>
        <v>0</v>
      </c>
      <c r="V69">
        <f ca="1"/>
        <v>0</v>
      </c>
      <c r="X69" s="2">
        <f t="shared" ca="1" si="3"/>
        <v>45433</v>
      </c>
      <c r="Y69">
        <f t="shared" ca="1" si="4"/>
        <v>0</v>
      </c>
      <c r="AA69" s="63">
        <f t="shared" ca="1" si="6"/>
        <v>152.44190804471691</v>
      </c>
      <c r="AB69" s="63">
        <f t="shared" ca="1" si="7"/>
        <v>152.44190804471691</v>
      </c>
      <c r="AC69" s="3">
        <f t="shared" ca="1" si="8"/>
        <v>0</v>
      </c>
    </row>
    <row r="70" spans="1:29">
      <c r="H70" t="b">
        <f t="shared" ca="1" si="5"/>
        <v>1</v>
      </c>
      <c r="I70" t="b">
        <f t="shared" ca="1" si="2"/>
        <v>1</v>
      </c>
      <c r="J70" s="2">
        <f ca="1"/>
        <v>45434</v>
      </c>
      <c r="K70">
        <f ca="1"/>
        <v>150.15536480659111</v>
      </c>
      <c r="L70">
        <f ca="1"/>
        <v>0</v>
      </c>
      <c r="M70">
        <f ca="1"/>
        <v>3.7234109854267672E-2</v>
      </c>
      <c r="N70">
        <f ca="1"/>
        <v>0.71885741757866928</v>
      </c>
      <c r="O70">
        <f ca="1"/>
        <v>0</v>
      </c>
      <c r="P70">
        <f ca="1"/>
        <v>0</v>
      </c>
      <c r="Q70">
        <f ca="1"/>
        <v>0</v>
      </c>
      <c r="R70">
        <f ca="1"/>
        <v>1.5298437892613514</v>
      </c>
      <c r="S70">
        <f ca="1"/>
        <v>1</v>
      </c>
      <c r="T70">
        <f ca="1"/>
        <v>1.8499999999999943</v>
      </c>
      <c r="U70">
        <f ca="1"/>
        <v>0</v>
      </c>
      <c r="V70">
        <f ca="1"/>
        <v>0</v>
      </c>
      <c r="X70" s="2">
        <f t="shared" ca="1" si="3"/>
        <v>45434</v>
      </c>
      <c r="Y70">
        <f t="shared" ca="1" si="4"/>
        <v>0</v>
      </c>
      <c r="AA70" s="63">
        <f t="shared" ca="1" si="6"/>
        <v>151.68520859585246</v>
      </c>
      <c r="AB70" s="63">
        <f t="shared" ca="1" si="7"/>
        <v>151.68520859585246</v>
      </c>
      <c r="AC70" s="3">
        <f t="shared" ca="1" si="8"/>
        <v>0</v>
      </c>
    </row>
    <row r="71" spans="1:29">
      <c r="H71" t="b">
        <f t="shared" ca="1" si="5"/>
        <v>1</v>
      </c>
      <c r="I71" t="b">
        <f t="shared" ca="1" si="2"/>
        <v>1</v>
      </c>
      <c r="J71" s="2">
        <f ca="1"/>
        <v>45435</v>
      </c>
      <c r="K71">
        <f ca="1"/>
        <v>147.1502554382418</v>
      </c>
      <c r="L71">
        <f ca="1"/>
        <v>0</v>
      </c>
      <c r="M71">
        <f ca="1"/>
        <v>3.5819304632084936E-2</v>
      </c>
      <c r="N71">
        <f ca="1"/>
        <v>0.73550136078731698</v>
      </c>
      <c r="O71">
        <f ca="1"/>
        <v>0</v>
      </c>
      <c r="P71">
        <f ca="1"/>
        <v>0</v>
      </c>
      <c r="Q71">
        <f ca="1"/>
        <v>0</v>
      </c>
      <c r="R71">
        <f ca="1"/>
        <v>3.7764300337686842</v>
      </c>
      <c r="S71">
        <f ca="1"/>
        <v>1</v>
      </c>
      <c r="T71">
        <f ca="1"/>
        <v>4.6600000000000108</v>
      </c>
      <c r="U71">
        <f ca="1"/>
        <v>0</v>
      </c>
      <c r="V71">
        <f ca="1"/>
        <v>0</v>
      </c>
      <c r="X71" s="2">
        <f t="shared" ca="1" si="3"/>
        <v>45435</v>
      </c>
      <c r="Y71">
        <f t="shared" ca="1" si="4"/>
        <v>0</v>
      </c>
      <c r="AA71" s="63">
        <f t="shared" ca="1" si="6"/>
        <v>150.92668547201052</v>
      </c>
      <c r="AB71" s="63">
        <f t="shared" ca="1" si="7"/>
        <v>150.92668547201049</v>
      </c>
      <c r="AC71" s="3">
        <f t="shared" ca="1" si="8"/>
        <v>0</v>
      </c>
    </row>
    <row r="72" spans="1:29">
      <c r="H72" t="b">
        <f t="shared" ca="1" si="5"/>
        <v>1</v>
      </c>
      <c r="I72" t="b">
        <f t="shared" ca="1" si="2"/>
        <v>1</v>
      </c>
      <c r="J72" s="2">
        <f ca="1"/>
        <v>45436</v>
      </c>
      <c r="K72">
        <f ca="1"/>
        <v>146.14995200255467</v>
      </c>
      <c r="L72">
        <f ca="1"/>
        <v>0</v>
      </c>
      <c r="M72">
        <f ca="1"/>
        <v>3.3418471067136579E-2</v>
      </c>
      <c r="N72">
        <f ca="1"/>
        <v>0.72092476337492706</v>
      </c>
      <c r="O72">
        <f ca="1"/>
        <v>0</v>
      </c>
      <c r="P72">
        <f ca="1"/>
        <v>3.0364421556754944</v>
      </c>
      <c r="Q72">
        <f ca="1"/>
        <v>1.3305283315997054</v>
      </c>
      <c r="R72">
        <f ca="1"/>
        <v>1.7546466701292152</v>
      </c>
      <c r="S72">
        <f ca="1"/>
        <v>1</v>
      </c>
      <c r="T72">
        <f ca="1"/>
        <v>2.1799999999999926</v>
      </c>
      <c r="U72">
        <f ca="1"/>
        <v>0</v>
      </c>
      <c r="V72">
        <f ca="1"/>
        <v>8.4437344952976043E-2</v>
      </c>
      <c r="X72" s="2">
        <f t="shared" ca="1" si="3"/>
        <v>45436</v>
      </c>
      <c r="Y72">
        <f t="shared" ca="1" si="4"/>
        <v>0</v>
      </c>
      <c r="AA72" s="63">
        <f t="shared" ca="1" si="6"/>
        <v>147.90459867268387</v>
      </c>
      <c r="AB72" s="63">
        <f t="shared" ca="1" si="7"/>
        <v>147.90459867268387</v>
      </c>
      <c r="AC72" s="3">
        <f t="shared" ca="1" si="8"/>
        <v>0</v>
      </c>
    </row>
    <row r="73" spans="1:29">
      <c r="H73" t="b">
        <f t="shared" ca="1" si="5"/>
        <v>1</v>
      </c>
      <c r="I73" t="b">
        <f t="shared" ca="1" si="2"/>
        <v>1</v>
      </c>
      <c r="J73" s="2">
        <f ca="1"/>
        <v>45437</v>
      </c>
      <c r="K73">
        <f ca="1"/>
        <v>142.75857407163824</v>
      </c>
      <c r="L73">
        <f ca="1"/>
        <v>0.14811230705892253</v>
      </c>
      <c r="M73">
        <f ca="1"/>
        <v>3.2557048175213765E-2</v>
      </c>
      <c r="N73">
        <f ca="1"/>
        <v>0.7495553238191357</v>
      </c>
      <c r="O73">
        <f ca="1"/>
        <v>0</v>
      </c>
      <c r="P73">
        <f ca="1"/>
        <v>3.1845544627344169</v>
      </c>
      <c r="Q73">
        <f ca="1"/>
        <v>1.3954291631311566</v>
      </c>
      <c r="R73">
        <f ca="1"/>
        <v>4.0253779958518781</v>
      </c>
      <c r="S73">
        <f ca="1"/>
        <v>1</v>
      </c>
      <c r="T73">
        <f ca="1"/>
        <v>5.1200000000000045</v>
      </c>
      <c r="U73">
        <f ca="1"/>
        <v>0</v>
      </c>
      <c r="V73">
        <f ca="1"/>
        <v>0.10476665977623756</v>
      </c>
      <c r="X73" s="2">
        <f t="shared" ca="1" si="3"/>
        <v>45437</v>
      </c>
      <c r="Y73">
        <f t="shared" ca="1" si="4"/>
        <v>0</v>
      </c>
      <c r="AA73" s="63">
        <f t="shared" ca="1" si="6"/>
        <v>146.93206437454901</v>
      </c>
      <c r="AB73" s="63">
        <f t="shared" ca="1" si="7"/>
        <v>146.93206437454901</v>
      </c>
      <c r="AC73" s="3">
        <f t="shared" ca="1" si="8"/>
        <v>0</v>
      </c>
    </row>
    <row r="74" spans="1:29">
      <c r="H74" t="b">
        <f t="shared" ca="1" si="5"/>
        <v>1</v>
      </c>
      <c r="I74" t="b">
        <f t="shared" ca="1" si="2"/>
        <v>1</v>
      </c>
      <c r="J74" s="2">
        <f ca="1"/>
        <v>45438</v>
      </c>
      <c r="K74">
        <f ca="1"/>
        <v>142.01140926653125</v>
      </c>
      <c r="L74">
        <f ca="1"/>
        <v>0.14658460476143942</v>
      </c>
      <c r="M74">
        <f ca="1"/>
        <v>2.9583544950739338E-2</v>
      </c>
      <c r="N74">
        <f ca="1"/>
        <v>0.70721326544850838</v>
      </c>
      <c r="O74">
        <f ca="1"/>
        <v>0</v>
      </c>
      <c r="P74">
        <f ca="1"/>
        <v>3.3311390674958563</v>
      </c>
      <c r="Q74">
        <f ca="1"/>
        <v>1.4596605759531975</v>
      </c>
      <c r="R74">
        <f ca="1"/>
        <v>1.3373770107448066</v>
      </c>
      <c r="S74">
        <f ca="1"/>
        <v>1</v>
      </c>
      <c r="T74">
        <f ca="1"/>
        <v>1.7099999999999937</v>
      </c>
      <c r="U74">
        <f ca="1"/>
        <v>0</v>
      </c>
      <c r="V74">
        <f ca="1"/>
        <v>0.12776687472856207</v>
      </c>
      <c r="X74" s="2">
        <f t="shared" ca="1" si="3"/>
        <v>45438</v>
      </c>
      <c r="Y74">
        <f t="shared" ca="1" si="4"/>
        <v>0</v>
      </c>
      <c r="AA74" s="63">
        <f t="shared" ca="1" si="6"/>
        <v>143.49537088203749</v>
      </c>
      <c r="AB74" s="63">
        <f t="shared" ca="1" si="7"/>
        <v>143.49537088203749</v>
      </c>
      <c r="AC74" s="3">
        <f t="shared" ca="1" si="8"/>
        <v>0</v>
      </c>
    </row>
    <row r="75" spans="1:29">
      <c r="H75" t="b">
        <f t="shared" ca="1" si="5"/>
        <v>1</v>
      </c>
      <c r="I75" t="b">
        <f t="shared" ca="1" si="2"/>
        <v>1</v>
      </c>
      <c r="J75" s="2">
        <f ca="1"/>
        <v>45439</v>
      </c>
      <c r="K75">
        <f ca="1"/>
        <v>141.20123420411755</v>
      </c>
      <c r="L75">
        <f ca="1"/>
        <v>0.14894599314258894</v>
      </c>
      <c r="M75">
        <f ca="1"/>
        <v>2.7549175438444706E-2</v>
      </c>
      <c r="N75">
        <f ca="1"/>
        <v>0.68762682957579846</v>
      </c>
      <c r="O75">
        <f ca="1"/>
        <v>0</v>
      </c>
      <c r="P75">
        <f ca="1"/>
        <v>3.4800850606384452</v>
      </c>
      <c r="Q75">
        <f ca="1"/>
        <v>1.5249267175735977</v>
      </c>
      <c r="R75">
        <f ca="1"/>
        <v>1.3764050742853629</v>
      </c>
      <c r="S75">
        <f ca="1"/>
        <v>1</v>
      </c>
      <c r="T75">
        <f ca="1"/>
        <v>1.7700000000000102</v>
      </c>
      <c r="U75">
        <f ca="1"/>
        <v>0</v>
      </c>
      <c r="V75">
        <f ca="1"/>
        <v>0.15403371878949862</v>
      </c>
      <c r="X75" s="2">
        <f t="shared" ca="1" si="3"/>
        <v>45439</v>
      </c>
      <c r="Y75">
        <f t="shared" ca="1" si="4"/>
        <v>0</v>
      </c>
      <c r="AA75" s="63">
        <f t="shared" ca="1" si="6"/>
        <v>142.7265852715455</v>
      </c>
      <c r="AB75" s="63">
        <f t="shared" ca="1" si="7"/>
        <v>142.7265852715455</v>
      </c>
      <c r="AC75" s="3">
        <f t="shared" ca="1" si="8"/>
        <v>0</v>
      </c>
    </row>
    <row r="76" spans="1:29">
      <c r="H76" t="b">
        <f t="shared" ca="1" si="5"/>
        <v>1</v>
      </c>
      <c r="I76" t="b">
        <f t="shared" ref="I76:I139" ca="1" si="9">AND(IF(J76&gt;($J$8-1),TRUE,FALSE),IF(J76&lt;($J$9+1),TRUE,FALSE))</f>
        <v>1</v>
      </c>
      <c r="J76" s="2">
        <f ca="1"/>
        <v>45440</v>
      </c>
      <c r="K76">
        <f ca="1"/>
        <v>140.13623949148479</v>
      </c>
      <c r="L76">
        <f ca="1"/>
        <v>0.16355891480967077</v>
      </c>
      <c r="M76">
        <f ca="1"/>
        <v>2.7145006046808362E-2</v>
      </c>
      <c r="N76">
        <f ca="1"/>
        <v>0.72299586213697042</v>
      </c>
      <c r="O76">
        <f ca="1"/>
        <v>0</v>
      </c>
      <c r="P76">
        <f ca="1"/>
        <v>3.643643975448116</v>
      </c>
      <c r="Q76">
        <f ca="1"/>
        <v>1.5965960459792814</v>
      </c>
      <c r="R76">
        <f ca="1"/>
        <v>1.6515766660068907</v>
      </c>
      <c r="S76">
        <f ca="1"/>
        <v>1</v>
      </c>
      <c r="T76">
        <f ca="1"/>
        <v>2.1400000000000006</v>
      </c>
      <c r="U76">
        <f ca="1"/>
        <v>0</v>
      </c>
      <c r="V76">
        <f ca="1"/>
        <v>0.18605985105180983</v>
      </c>
      <c r="X76" s="2">
        <f t="shared" ref="X76:X139" ca="1" si="10">IFERROR(J76,$X$10)</f>
        <v>45440</v>
      </c>
      <c r="Y76">
        <f t="shared" ref="Y76:Y139" ca="1" si="11">IFERROR(O76,0)</f>
        <v>0</v>
      </c>
      <c r="AA76" s="63">
        <f t="shared" ca="1" si="6"/>
        <v>141.95137507230132</v>
      </c>
      <c r="AB76" s="63">
        <f t="shared" ca="1" si="7"/>
        <v>141.95137507230135</v>
      </c>
      <c r="AC76" s="3">
        <f t="shared" ca="1" si="8"/>
        <v>0</v>
      </c>
    </row>
    <row r="77" spans="1:29">
      <c r="H77" t="b">
        <f t="shared" ref="H77:H140" ca="1" si="12">IF(J77&lt;$J$9,TRUE,FALSE)</f>
        <v>1</v>
      </c>
      <c r="I77" t="b">
        <f t="shared" ca="1" si="9"/>
        <v>1</v>
      </c>
      <c r="J77" s="2">
        <f ca="1"/>
        <v>45441</v>
      </c>
      <c r="K77">
        <f ca="1"/>
        <v>139.99130565020289</v>
      </c>
      <c r="L77">
        <f ca="1"/>
        <v>0.15270170794706317</v>
      </c>
      <c r="M77">
        <f ca="1"/>
        <v>2.3881469493751695E-2</v>
      </c>
      <c r="N77">
        <f ca="1"/>
        <v>0.64691768248284565</v>
      </c>
      <c r="O77">
        <f ca="1"/>
        <v>0</v>
      </c>
      <c r="P77">
        <f ca="1"/>
        <v>3.7963456833951792</v>
      </c>
      <c r="Q77">
        <f ca="1"/>
        <v>1.6635078915836752</v>
      </c>
      <c r="R77">
        <f ca="1"/>
        <v>0.66303128531139532</v>
      </c>
      <c r="S77">
        <f ca="1"/>
        <v>1</v>
      </c>
      <c r="T77">
        <f ca="1"/>
        <v>0.85999999999999943</v>
      </c>
      <c r="U77">
        <f ca="1"/>
        <v>0</v>
      </c>
      <c r="V77">
        <f ca="1"/>
        <v>0.21866327992142159</v>
      </c>
      <c r="X77" s="2">
        <f t="shared" ca="1" si="10"/>
        <v>45441</v>
      </c>
      <c r="Y77">
        <f t="shared" ca="1" si="11"/>
        <v>0</v>
      </c>
      <c r="AA77" s="63">
        <f t="shared" ca="1" si="6"/>
        <v>140.80703864346137</v>
      </c>
      <c r="AB77" s="63">
        <f t="shared" ca="1" si="7"/>
        <v>140.80703864346137</v>
      </c>
      <c r="AC77" s="3">
        <f t="shared" ca="1" si="8"/>
        <v>0</v>
      </c>
    </row>
    <row r="78" spans="1:29">
      <c r="H78" t="b">
        <f t="shared" ca="1" si="12"/>
        <v>1</v>
      </c>
      <c r="I78" t="b">
        <f t="shared" ca="1" si="9"/>
        <v>1</v>
      </c>
      <c r="J78" s="2">
        <f ca="1"/>
        <v>45442</v>
      </c>
      <c r="K78">
        <f ca="1"/>
        <v>137.77346473511599</v>
      </c>
      <c r="L78">
        <f ca="1"/>
        <v>0.16001187726575505</v>
      </c>
      <c r="M78">
        <f ca="1"/>
        <v>2.2891448617755827E-2</v>
      </c>
      <c r="N78">
        <f ca="1"/>
        <v>0.65078820570080542</v>
      </c>
      <c r="O78">
        <f ca="1"/>
        <v>0</v>
      </c>
      <c r="P78">
        <f ca="1"/>
        <v>3.9563575606609342</v>
      </c>
      <c r="Q78">
        <f ca="1"/>
        <v>1.7336229555892926</v>
      </c>
      <c r="R78">
        <f ca="1"/>
        <v>2.7315086921396872</v>
      </c>
      <c r="S78">
        <f ca="1"/>
        <v>1</v>
      </c>
      <c r="T78">
        <f ca="1"/>
        <v>3.5999999999999943</v>
      </c>
      <c r="U78">
        <f ca="1"/>
        <v>0</v>
      </c>
      <c r="V78">
        <f ca="1"/>
        <v>0.25517611138625701</v>
      </c>
      <c r="X78" s="2">
        <f t="shared" ca="1" si="10"/>
        <v>45442</v>
      </c>
      <c r="Y78">
        <f t="shared" ca="1" si="11"/>
        <v>0</v>
      </c>
      <c r="AA78" s="63">
        <f t="shared" ref="AA78:AA141" ca="1" si="13">K77+M78+N78+O78</f>
        <v>140.66498530452145</v>
      </c>
      <c r="AB78" s="63">
        <f t="shared" ref="AB78:AB141" ca="1" si="14">K78+L78+R78</f>
        <v>140.66498530452145</v>
      </c>
      <c r="AC78" s="3">
        <f t="shared" ref="AC78:AC141" ca="1" si="15">AB78-AA78</f>
        <v>0</v>
      </c>
    </row>
    <row r="79" spans="1:29">
      <c r="H79" t="b">
        <f t="shared" ca="1" si="12"/>
        <v>1</v>
      </c>
      <c r="I79" t="b">
        <f t="shared" ca="1" si="9"/>
        <v>1</v>
      </c>
      <c r="J79" s="2">
        <f ca="1"/>
        <v>45443</v>
      </c>
      <c r="K79">
        <f ca="1"/>
        <v>137.28766132415066</v>
      </c>
      <c r="L79">
        <f ca="1"/>
        <v>0.17155092271650574</v>
      </c>
      <c r="M79">
        <f ca="1"/>
        <v>2.228384822799967E-2</v>
      </c>
      <c r="N79">
        <f ca="1"/>
        <v>0.66904604081632513</v>
      </c>
      <c r="O79">
        <f ca="1"/>
        <v>0</v>
      </c>
      <c r="P79">
        <f ca="1"/>
        <v>4.12790848337744</v>
      </c>
      <c r="Q79">
        <f ca="1"/>
        <v>1.8087942749440016</v>
      </c>
      <c r="R79">
        <f ca="1"/>
        <v>1.0055823772931256</v>
      </c>
      <c r="S79">
        <f ca="1"/>
        <v>1</v>
      </c>
      <c r="T79">
        <f ca="1"/>
        <v>1.3299999999999983</v>
      </c>
      <c r="U79">
        <f ca="1"/>
        <v>0</v>
      </c>
      <c r="V79">
        <f ca="1"/>
        <v>0.29634311942918951</v>
      </c>
      <c r="X79" s="2">
        <f t="shared" ca="1" si="10"/>
        <v>45443</v>
      </c>
      <c r="Y79">
        <f t="shared" ca="1" si="11"/>
        <v>0</v>
      </c>
      <c r="AA79" s="63">
        <f t="shared" ca="1" si="13"/>
        <v>138.46479462416031</v>
      </c>
      <c r="AB79" s="63">
        <f t="shared" ca="1" si="14"/>
        <v>138.46479462416031</v>
      </c>
      <c r="AC79" s="3">
        <f t="shared" ca="1" si="15"/>
        <v>0</v>
      </c>
    </row>
    <row r="80" spans="1:29">
      <c r="H80" t="b">
        <f t="shared" ca="1" si="12"/>
        <v>1</v>
      </c>
      <c r="I80" t="b">
        <f t="shared" ca="1" si="9"/>
        <v>1</v>
      </c>
      <c r="J80" s="2">
        <f ca="1"/>
        <v>45444</v>
      </c>
      <c r="K80">
        <f ca="1"/>
        <v>136.48373669393533</v>
      </c>
      <c r="L80">
        <f ca="1"/>
        <v>0.17886630115307511</v>
      </c>
      <c r="M80">
        <f ca="1"/>
        <v>2.1282367823843629E-2</v>
      </c>
      <c r="N80">
        <f ca="1"/>
        <v>0.66904604081632513</v>
      </c>
      <c r="O80">
        <f ca="1"/>
        <v>0</v>
      </c>
      <c r="P80">
        <f ca="1"/>
        <v>4.3067747845305151</v>
      </c>
      <c r="Q80">
        <f ca="1"/>
        <v>1.8871710952657006</v>
      </c>
      <c r="R80">
        <f ca="1"/>
        <v>1.3153867377024202</v>
      </c>
      <c r="S80">
        <f ca="1"/>
        <v>1</v>
      </c>
      <c r="T80">
        <f ca="1"/>
        <v>1.75</v>
      </c>
      <c r="U80">
        <f ca="1"/>
        <v>0</v>
      </c>
      <c r="V80">
        <f ca="1"/>
        <v>0.34064304766203685</v>
      </c>
      <c r="X80" s="2">
        <f t="shared" ca="1" si="10"/>
        <v>45444</v>
      </c>
      <c r="Y80">
        <f t="shared" ca="1" si="11"/>
        <v>0</v>
      </c>
      <c r="AA80" s="63">
        <f t="shared" ca="1" si="13"/>
        <v>137.9779897327908</v>
      </c>
      <c r="AB80" s="63">
        <f t="shared" ca="1" si="14"/>
        <v>137.97798973279083</v>
      </c>
      <c r="AC80" s="3">
        <f t="shared" ca="1" si="15"/>
        <v>0</v>
      </c>
    </row>
    <row r="81" spans="8:29">
      <c r="H81" t="b">
        <f t="shared" ca="1" si="12"/>
        <v>1</v>
      </c>
      <c r="I81" t="b">
        <f t="shared" ca="1" si="9"/>
        <v>1</v>
      </c>
      <c r="J81" s="2">
        <f ca="1"/>
        <v>45445</v>
      </c>
      <c r="K81">
        <f ca="1"/>
        <v>136.37350642272415</v>
      </c>
      <c r="L81">
        <f ca="1"/>
        <v>0.18457918389144012</v>
      </c>
      <c r="M81">
        <f ca="1"/>
        <v>2.0204946459479345E-2</v>
      </c>
      <c r="N81">
        <f ca="1"/>
        <v>0.6624883905238893</v>
      </c>
      <c r="O81">
        <f ca="1"/>
        <v>0</v>
      </c>
      <c r="P81">
        <f ca="1"/>
        <v>4.4913539684219552</v>
      </c>
      <c r="Q81">
        <f ca="1"/>
        <v>1.9680512243773578</v>
      </c>
      <c r="R81">
        <f ca="1"/>
        <v>0.60834442430311031</v>
      </c>
      <c r="S81">
        <f ca="1"/>
        <v>1</v>
      </c>
      <c r="T81">
        <f ca="1"/>
        <v>0.81000000000000227</v>
      </c>
      <c r="U81">
        <f ca="1"/>
        <v>0</v>
      </c>
      <c r="V81">
        <f ca="1"/>
        <v>0.38684083772787359</v>
      </c>
      <c r="X81" s="2">
        <f t="shared" ca="1" si="10"/>
        <v>45445</v>
      </c>
      <c r="Y81">
        <f t="shared" ca="1" si="11"/>
        <v>0</v>
      </c>
      <c r="AA81" s="63">
        <f t="shared" ca="1" si="13"/>
        <v>137.16643003091869</v>
      </c>
      <c r="AB81" s="63">
        <f t="shared" ca="1" si="14"/>
        <v>137.16643003091869</v>
      </c>
      <c r="AC81" s="3">
        <f t="shared" ca="1" si="15"/>
        <v>0</v>
      </c>
    </row>
    <row r="82" spans="8:29">
      <c r="H82" t="b">
        <f t="shared" ca="1" si="12"/>
        <v>1</v>
      </c>
      <c r="I82" t="b">
        <f t="shared" ca="1" si="9"/>
        <v>1</v>
      </c>
      <c r="J82" s="2">
        <f ca="1"/>
        <v>45446</v>
      </c>
      <c r="K82">
        <f ca="1"/>
        <v>135.80011019617129</v>
      </c>
      <c r="L82">
        <f ca="1"/>
        <v>0.21321609123197316</v>
      </c>
      <c r="M82">
        <f ca="1"/>
        <v>2.0760306187220579E-2</v>
      </c>
      <c r="N82">
        <f ca="1"/>
        <v>0.73340770911614794</v>
      </c>
      <c r="O82">
        <f ca="1"/>
        <v>0</v>
      </c>
      <c r="P82">
        <f ca="1"/>
        <v>4.7045700596539284</v>
      </c>
      <c r="Q82">
        <f ca="1"/>
        <v>2.0614796631858612</v>
      </c>
      <c r="R82">
        <f ca="1"/>
        <v>1.1143481506242308</v>
      </c>
      <c r="S82">
        <f ca="1"/>
        <v>1</v>
      </c>
      <c r="T82">
        <f ca="1"/>
        <v>1.4899999999999949</v>
      </c>
      <c r="U82">
        <f ca="1"/>
        <v>0</v>
      </c>
      <c r="V82">
        <f ca="1"/>
        <v>0.43952554293472562</v>
      </c>
      <c r="X82" s="2">
        <f t="shared" ca="1" si="10"/>
        <v>45446</v>
      </c>
      <c r="Y82">
        <f t="shared" ca="1" si="11"/>
        <v>0</v>
      </c>
      <c r="AA82" s="63">
        <f t="shared" ca="1" si="13"/>
        <v>137.1276744380275</v>
      </c>
      <c r="AB82" s="63">
        <f t="shared" ca="1" si="14"/>
        <v>137.1276744380275</v>
      </c>
      <c r="AC82" s="3">
        <f t="shared" ca="1" si="15"/>
        <v>0</v>
      </c>
    </row>
    <row r="83" spans="8:29">
      <c r="H83" t="b">
        <f t="shared" ca="1" si="12"/>
        <v>1</v>
      </c>
      <c r="I83" t="b">
        <f t="shared" ca="1" si="9"/>
        <v>1</v>
      </c>
      <c r="J83" s="2">
        <f ca="1"/>
        <v>45447</v>
      </c>
      <c r="K83">
        <f ca="1"/>
        <v>133.89131931475214</v>
      </c>
      <c r="L83">
        <f ca="1"/>
        <v>0.21772890135689149</v>
      </c>
      <c r="M83">
        <f ca="1"/>
        <v>1.9473313027027928E-2</v>
      </c>
      <c r="N83">
        <f ca="1"/>
        <v>0.7154201765817686</v>
      </c>
      <c r="O83">
        <f ca="1"/>
        <v>0</v>
      </c>
      <c r="P83">
        <f ca="1"/>
        <v>4.9222989610108199</v>
      </c>
      <c r="Q83">
        <f ca="1"/>
        <v>2.1568855550194814</v>
      </c>
      <c r="R83">
        <f ca="1"/>
        <v>2.4259554696710541</v>
      </c>
      <c r="S83">
        <f ca="1"/>
        <v>1</v>
      </c>
      <c r="T83">
        <f ca="1"/>
        <v>3.289999999999992</v>
      </c>
      <c r="U83">
        <f ca="1"/>
        <v>0</v>
      </c>
      <c r="V83">
        <f ca="1"/>
        <v>0.49124916422435316</v>
      </c>
      <c r="X83" s="2">
        <f t="shared" ca="1" si="10"/>
        <v>45447</v>
      </c>
      <c r="Y83">
        <f t="shared" ca="1" si="11"/>
        <v>0</v>
      </c>
      <c r="AA83" s="63">
        <f t="shared" ca="1" si="13"/>
        <v>136.53500368578008</v>
      </c>
      <c r="AB83" s="63">
        <f t="shared" ca="1" si="14"/>
        <v>136.53500368578008</v>
      </c>
      <c r="AC83" s="3">
        <f t="shared" ca="1" si="15"/>
        <v>0</v>
      </c>
    </row>
    <row r="84" spans="8:29">
      <c r="H84" t="b">
        <f t="shared" ca="1" si="12"/>
        <v>1</v>
      </c>
      <c r="I84" t="b">
        <f t="shared" ca="1" si="9"/>
        <v>1</v>
      </c>
      <c r="J84" s="2">
        <f ca="1"/>
        <v>45448</v>
      </c>
      <c r="K84">
        <f ca="1"/>
        <v>131.23319031096815</v>
      </c>
      <c r="L84">
        <f ca="1"/>
        <v>0.22477640482942096</v>
      </c>
      <c r="M84">
        <f ca="1"/>
        <v>1.8460787907464749E-2</v>
      </c>
      <c r="N84">
        <f ca="1"/>
        <v>0.70653205995527057</v>
      </c>
      <c r="O84">
        <f ca="1"/>
        <v>0</v>
      </c>
      <c r="P84">
        <f ca="1"/>
        <v>5.1470753658402408</v>
      </c>
      <c r="Q84">
        <f ca="1"/>
        <v>2.2553795685944373</v>
      </c>
      <c r="R84">
        <f ca="1"/>
        <v>3.1583454468172931</v>
      </c>
      <c r="S84">
        <f ca="1"/>
        <v>1</v>
      </c>
      <c r="T84">
        <f ca="1"/>
        <v>4.3699999999999903</v>
      </c>
      <c r="U84">
        <f ca="1"/>
        <v>0</v>
      </c>
      <c r="V84">
        <f ca="1"/>
        <v>0.54129217176002975</v>
      </c>
      <c r="X84" s="2">
        <f t="shared" ca="1" si="10"/>
        <v>45448</v>
      </c>
      <c r="Y84">
        <f t="shared" ca="1" si="11"/>
        <v>0</v>
      </c>
      <c r="AA84" s="63">
        <f t="shared" ca="1" si="13"/>
        <v>134.61631216261486</v>
      </c>
      <c r="AB84" s="63">
        <f t="shared" ca="1" si="14"/>
        <v>134.61631216261486</v>
      </c>
      <c r="AC84" s="3">
        <f t="shared" ca="1" si="15"/>
        <v>0</v>
      </c>
    </row>
    <row r="85" spans="8:29">
      <c r="H85" t="b">
        <f t="shared" ca="1" si="12"/>
        <v>1</v>
      </c>
      <c r="I85" t="b">
        <f t="shared" ca="1" si="9"/>
        <v>1</v>
      </c>
      <c r="J85" s="2">
        <f ca="1"/>
        <v>45449</v>
      </c>
      <c r="K85">
        <f ca="1"/>
        <v>130.67443681304022</v>
      </c>
      <c r="L85">
        <f ca="1"/>
        <v>0.23255534097317554</v>
      </c>
      <c r="M85">
        <f ca="1"/>
        <v>1.7560649124796157E-2</v>
      </c>
      <c r="N85">
        <f ca="1"/>
        <v>0.69974285600719321</v>
      </c>
      <c r="O85">
        <f ca="1"/>
        <v>0</v>
      </c>
      <c r="P85">
        <f ca="1"/>
        <v>5.3796307068134164</v>
      </c>
      <c r="Q85">
        <f ca="1"/>
        <v>2.3572822079222746</v>
      </c>
      <c r="R85">
        <f ca="1"/>
        <v>1.0435016620867434</v>
      </c>
      <c r="S85">
        <f ca="1"/>
        <v>1</v>
      </c>
      <c r="T85">
        <f ca="1"/>
        <v>1.4500000000000028</v>
      </c>
      <c r="U85">
        <f ca="1"/>
        <v>0</v>
      </c>
      <c r="V85">
        <f ca="1"/>
        <v>0.5886473161903798</v>
      </c>
      <c r="X85" s="2">
        <f t="shared" ca="1" si="10"/>
        <v>45449</v>
      </c>
      <c r="Y85">
        <f t="shared" ca="1" si="11"/>
        <v>0</v>
      </c>
      <c r="AA85" s="63">
        <f t="shared" ca="1" si="13"/>
        <v>131.95049381610013</v>
      </c>
      <c r="AB85" s="63">
        <f t="shared" ca="1" si="14"/>
        <v>131.95049381610013</v>
      </c>
      <c r="AC85" s="3">
        <f t="shared" ca="1" si="15"/>
        <v>0</v>
      </c>
    </row>
    <row r="86" spans="8:29">
      <c r="H86" t="b">
        <f t="shared" ca="1" si="12"/>
        <v>1</v>
      </c>
      <c r="I86" t="b">
        <f t="shared" ca="1" si="9"/>
        <v>1</v>
      </c>
      <c r="J86" s="2">
        <f ca="1"/>
        <v>45450</v>
      </c>
      <c r="K86">
        <f ca="1"/>
        <v>130.64283279340145</v>
      </c>
      <c r="L86">
        <f ca="1"/>
        <v>0.222234532034296</v>
      </c>
      <c r="M86">
        <f ca="1"/>
        <v>1.5873281180176946E-2</v>
      </c>
      <c r="N86">
        <f ca="1"/>
        <v>0.64242070512796057</v>
      </c>
      <c r="O86">
        <f ca="1"/>
        <v>0</v>
      </c>
      <c r="P86">
        <f ca="1"/>
        <v>5.6018652388477124</v>
      </c>
      <c r="Q86">
        <f ca="1"/>
        <v>2.4546624068431568</v>
      </c>
      <c r="R86">
        <f ca="1"/>
        <v>0.46766347391261509</v>
      </c>
      <c r="S86">
        <f ca="1"/>
        <v>1</v>
      </c>
      <c r="T86">
        <f ca="1"/>
        <v>0.65000000000000568</v>
      </c>
      <c r="U86">
        <f ca="1"/>
        <v>0</v>
      </c>
      <c r="V86">
        <f ca="1"/>
        <v>0.62930045210831753</v>
      </c>
      <c r="X86" s="2">
        <f t="shared" ca="1" si="10"/>
        <v>45450</v>
      </c>
      <c r="Y86">
        <f t="shared" ca="1" si="11"/>
        <v>0</v>
      </c>
      <c r="AA86" s="63">
        <f t="shared" ca="1" si="13"/>
        <v>131.33273079934835</v>
      </c>
      <c r="AB86" s="63">
        <f t="shared" ca="1" si="14"/>
        <v>131.33273079934835</v>
      </c>
      <c r="AC86" s="3">
        <f t="shared" ca="1" si="15"/>
        <v>0</v>
      </c>
    </row>
    <row r="87" spans="8:29">
      <c r="H87" t="b">
        <f t="shared" ca="1" si="12"/>
        <v>1</v>
      </c>
      <c r="I87" t="b">
        <f t="shared" ca="1" si="9"/>
        <v>1</v>
      </c>
      <c r="J87" s="2">
        <f ca="1"/>
        <v>45451</v>
      </c>
      <c r="K87">
        <f ca="1"/>
        <v>130.633624527839</v>
      </c>
      <c r="L87">
        <f ca="1"/>
        <v>0.22874963677642146</v>
      </c>
      <c r="M87">
        <f ca="1"/>
        <v>1.5169090725521528E-2</v>
      </c>
      <c r="N87">
        <f ca="1"/>
        <v>0.63603121371087012</v>
      </c>
      <c r="O87">
        <f ca="1"/>
        <v>0</v>
      </c>
      <c r="P87">
        <f ca="1"/>
        <v>5.8306148756241338</v>
      </c>
      <c r="Q87">
        <f ca="1"/>
        <v>2.554897437504053</v>
      </c>
      <c r="R87">
        <f ca="1"/>
        <v>0.43165893322242038</v>
      </c>
      <c r="S87">
        <f ca="1"/>
        <v>1</v>
      </c>
      <c r="T87">
        <f ca="1"/>
        <v>0.59999999999999432</v>
      </c>
      <c r="U87">
        <f ca="1"/>
        <v>0</v>
      </c>
      <c r="V87">
        <f ca="1"/>
        <v>0.666376207992604</v>
      </c>
      <c r="X87" s="2">
        <f t="shared" ca="1" si="10"/>
        <v>45451</v>
      </c>
      <c r="Y87">
        <f t="shared" ca="1" si="11"/>
        <v>0</v>
      </c>
      <c r="AA87" s="63">
        <f t="shared" ca="1" si="13"/>
        <v>131.29403309783785</v>
      </c>
      <c r="AB87" s="63">
        <f t="shared" ca="1" si="14"/>
        <v>131.29403309783785</v>
      </c>
      <c r="AC87" s="3">
        <f t="shared" ca="1" si="15"/>
        <v>0</v>
      </c>
    </row>
    <row r="88" spans="8:29">
      <c r="H88" t="b">
        <f t="shared" ca="1" si="12"/>
        <v>1</v>
      </c>
      <c r="I88" t="b">
        <f t="shared" ca="1" si="9"/>
        <v>1</v>
      </c>
      <c r="J88" s="2">
        <f ca="1"/>
        <v>45452</v>
      </c>
      <c r="K88">
        <f ca="1"/>
        <v>128.23137913973534</v>
      </c>
      <c r="L88">
        <f ca="1"/>
        <v>0.27401267942127472</v>
      </c>
      <c r="M88">
        <f ca="1"/>
        <v>1.6081958838867649E-2</v>
      </c>
      <c r="N88">
        <f ca="1"/>
        <v>0.72992665099342668</v>
      </c>
      <c r="O88">
        <f ca="1"/>
        <v>0</v>
      </c>
      <c r="P88">
        <f ca="1"/>
        <v>6.1046275550454085</v>
      </c>
      <c r="Q88">
        <f ca="1"/>
        <v>2.6749661279304799</v>
      </c>
      <c r="R88">
        <f ca="1"/>
        <v>2.8742413185147004</v>
      </c>
      <c r="S88">
        <f ca="1"/>
        <v>1</v>
      </c>
      <c r="T88">
        <f ca="1"/>
        <v>4.0699999999999932</v>
      </c>
      <c r="U88">
        <f ca="1"/>
        <v>0</v>
      </c>
      <c r="V88">
        <f ca="1"/>
        <v>0.70467559893098375</v>
      </c>
      <c r="X88" s="2">
        <f t="shared" ca="1" si="10"/>
        <v>45452</v>
      </c>
      <c r="Y88">
        <f t="shared" ca="1" si="11"/>
        <v>0</v>
      </c>
      <c r="AA88" s="63">
        <f t="shared" ca="1" si="13"/>
        <v>131.37963313767131</v>
      </c>
      <c r="AB88" s="63">
        <f t="shared" ca="1" si="14"/>
        <v>131.37963313767131</v>
      </c>
      <c r="AC88" s="3">
        <f t="shared" ca="1" si="15"/>
        <v>0</v>
      </c>
    </row>
    <row r="89" spans="8:29">
      <c r="H89" t="b">
        <f t="shared" ca="1" si="12"/>
        <v>1</v>
      </c>
      <c r="I89" t="b">
        <f t="shared" ca="1" si="9"/>
        <v>1</v>
      </c>
      <c r="J89" s="2">
        <f ca="1"/>
        <v>45453</v>
      </c>
      <c r="K89">
        <f ca="1"/>
        <v>124.32197758332687</v>
      </c>
      <c r="L89">
        <f ca="1"/>
        <v>0.28657121438753297</v>
      </c>
      <c r="M89">
        <f ca="1"/>
        <v>1.5448839638061429E-2</v>
      </c>
      <c r="N89">
        <f ca="1"/>
        <v>0.72992665099342668</v>
      </c>
      <c r="O89">
        <f ca="1"/>
        <v>0</v>
      </c>
      <c r="P89">
        <f ca="1"/>
        <v>6.3911987694329415</v>
      </c>
      <c r="Q89">
        <f ca="1"/>
        <v>2.8005378003731329</v>
      </c>
      <c r="R89">
        <f ca="1"/>
        <v>4.3682058326524364</v>
      </c>
      <c r="S89">
        <f ca="1"/>
        <v>1</v>
      </c>
      <c r="T89">
        <f ca="1"/>
        <v>6.3800000000000097</v>
      </c>
      <c r="U89">
        <f ca="1"/>
        <v>0</v>
      </c>
      <c r="V89">
        <f ca="1"/>
        <v>0.73822063372171887</v>
      </c>
      <c r="X89" s="2">
        <f t="shared" ca="1" si="10"/>
        <v>45453</v>
      </c>
      <c r="Y89">
        <f t="shared" ca="1" si="11"/>
        <v>0</v>
      </c>
      <c r="AA89" s="63">
        <f t="shared" ca="1" si="13"/>
        <v>128.97675463036683</v>
      </c>
      <c r="AB89" s="63">
        <f t="shared" ca="1" si="14"/>
        <v>128.97675463036686</v>
      </c>
      <c r="AC89" s="3">
        <f t="shared" ca="1" si="15"/>
        <v>0</v>
      </c>
    </row>
    <row r="90" spans="8:29">
      <c r="H90" t="b">
        <f t="shared" ca="1" si="12"/>
        <v>1</v>
      </c>
      <c r="I90" t="b">
        <f t="shared" ca="1" si="9"/>
        <v>1</v>
      </c>
      <c r="J90" s="2">
        <f ca="1"/>
        <v>45454</v>
      </c>
      <c r="K90">
        <f ca="1"/>
        <v>124.80879082254991</v>
      </c>
      <c r="L90">
        <f ca="1"/>
        <v>0.32615026841246397</v>
      </c>
      <c r="M90">
        <f ca="1"/>
        <v>1.5837098199916966E-2</v>
      </c>
      <c r="N90">
        <f ca="1"/>
        <v>0.79712640943559065</v>
      </c>
      <c r="O90">
        <f ca="1"/>
        <v>0</v>
      </c>
      <c r="P90">
        <f ca="1"/>
        <v>6.7173490378454055</v>
      </c>
      <c r="Q90">
        <f ca="1"/>
        <v>2.9434524848075188</v>
      </c>
      <c r="R90">
        <f ca="1"/>
        <v>0</v>
      </c>
      <c r="S90">
        <f ca="1"/>
        <v>0.99985507246376804</v>
      </c>
      <c r="T90">
        <f ca="1"/>
        <v>0</v>
      </c>
      <c r="U90">
        <f ca="1"/>
        <v>0</v>
      </c>
      <c r="V90">
        <f ca="1"/>
        <v>0.76936999787984583</v>
      </c>
      <c r="X90" s="2">
        <f t="shared" ca="1" si="10"/>
        <v>45454</v>
      </c>
      <c r="Y90">
        <f t="shared" ca="1" si="11"/>
        <v>0</v>
      </c>
      <c r="AA90" s="63">
        <f t="shared" ca="1" si="13"/>
        <v>125.13494109096239</v>
      </c>
      <c r="AB90" s="63">
        <f t="shared" ca="1" si="14"/>
        <v>125.13494109096237</v>
      </c>
      <c r="AC90" s="3">
        <f t="shared" ca="1" si="15"/>
        <v>0</v>
      </c>
    </row>
    <row r="91" spans="8:29">
      <c r="H91" t="b">
        <f t="shared" ca="1" si="12"/>
        <v>1</v>
      </c>
      <c r="I91" t="b">
        <f t="shared" ca="1" si="9"/>
        <v>1</v>
      </c>
      <c r="J91" s="2">
        <f ca="1"/>
        <v>45455</v>
      </c>
      <c r="K91">
        <f ca="1"/>
        <v>122.15429720721173</v>
      </c>
      <c r="L91">
        <f ca="1"/>
        <v>0.30246308678062395</v>
      </c>
      <c r="M91">
        <f ca="1"/>
        <v>1.3875553742771274E-2</v>
      </c>
      <c r="N91">
        <f ca="1"/>
        <v>0.70177525653905748</v>
      </c>
      <c r="O91">
        <f ca="1"/>
        <v>0</v>
      </c>
      <c r="P91">
        <f ca="1"/>
        <v>7.0198121246260294</v>
      </c>
      <c r="Q91">
        <f ca="1"/>
        <v>3.0759877631340027</v>
      </c>
      <c r="R91">
        <f ca="1"/>
        <v>3.067681338839376</v>
      </c>
      <c r="S91">
        <f ca="1"/>
        <v>1</v>
      </c>
      <c r="T91">
        <f ca="1"/>
        <v>4.5600225379162254</v>
      </c>
      <c r="U91">
        <f ca="1"/>
        <v>0</v>
      </c>
      <c r="V91">
        <f ca="1"/>
        <v>0.79265117076365299</v>
      </c>
      <c r="X91" s="2">
        <f t="shared" ca="1" si="10"/>
        <v>45455</v>
      </c>
      <c r="Y91">
        <f t="shared" ca="1" si="11"/>
        <v>0</v>
      </c>
      <c r="AA91" s="63">
        <f t="shared" ca="1" si="13"/>
        <v>125.52444163283174</v>
      </c>
      <c r="AB91" s="63">
        <f t="shared" ca="1" si="14"/>
        <v>125.52444163283172</v>
      </c>
      <c r="AC91" s="3">
        <f t="shared" ca="1" si="15"/>
        <v>0</v>
      </c>
    </row>
    <row r="92" spans="8:29">
      <c r="H92" t="b">
        <f t="shared" ca="1" si="12"/>
        <v>1</v>
      </c>
      <c r="I92" t="b">
        <f t="shared" ca="1" si="9"/>
        <v>1</v>
      </c>
      <c r="J92" s="2">
        <f ca="1"/>
        <v>45456</v>
      </c>
      <c r="K92">
        <f ca="1"/>
        <v>122.46616965183662</v>
      </c>
      <c r="L92">
        <f ca="1"/>
        <v>0.30463460506639972</v>
      </c>
      <c r="M92">
        <f ca="1"/>
        <v>1.3064119468246815E-2</v>
      </c>
      <c r="N92">
        <f ca="1"/>
        <v>0.67763258082370947</v>
      </c>
      <c r="O92">
        <f ca="1"/>
        <v>0</v>
      </c>
      <c r="P92">
        <f ca="1"/>
        <v>7.3244467296924292</v>
      </c>
      <c r="Q92">
        <f ca="1"/>
        <v>3.2094745717231041</v>
      </c>
      <c r="R92">
        <f ca="1"/>
        <v>7.4189650600677448E-2</v>
      </c>
      <c r="S92">
        <f ca="1"/>
        <v>1</v>
      </c>
      <c r="T92">
        <f ca="1"/>
        <v>0.10999999999999943</v>
      </c>
      <c r="U92">
        <f ca="1"/>
        <v>0</v>
      </c>
      <c r="V92">
        <f ca="1"/>
        <v>0.81163995041821002</v>
      </c>
      <c r="X92" s="2">
        <f t="shared" ca="1" si="10"/>
        <v>45456</v>
      </c>
      <c r="Y92">
        <f t="shared" ca="1" si="11"/>
        <v>0</v>
      </c>
      <c r="AA92" s="63">
        <f t="shared" ca="1" si="13"/>
        <v>122.84499390750369</v>
      </c>
      <c r="AB92" s="63">
        <f t="shared" ca="1" si="14"/>
        <v>122.84499390750369</v>
      </c>
      <c r="AC92" s="3">
        <f t="shared" ca="1" si="15"/>
        <v>0</v>
      </c>
    </row>
    <row r="93" spans="8:29">
      <c r="H93" t="b">
        <f t="shared" ca="1" si="12"/>
        <v>1</v>
      </c>
      <c r="I93" t="b">
        <f t="shared" ca="1" si="9"/>
        <v>1</v>
      </c>
      <c r="J93" s="2">
        <f ca="1"/>
        <v>45457</v>
      </c>
      <c r="K93">
        <f ca="1"/>
        <v>121.93641891425023</v>
      </c>
      <c r="L93">
        <f ca="1"/>
        <v>0.28235277730675712</v>
      </c>
      <c r="M93">
        <f ca="1"/>
        <v>1.1716467227742555E-2</v>
      </c>
      <c r="N93">
        <f ca="1"/>
        <v>0.60716430512688691</v>
      </c>
      <c r="O93">
        <f ca="1"/>
        <v>0</v>
      </c>
      <c r="P93">
        <f ca="1"/>
        <v>7.6067995069991863</v>
      </c>
      <c r="Q93">
        <f ca="1"/>
        <v>3.3331977814705098</v>
      </c>
      <c r="R93">
        <f ca="1"/>
        <v>0.86627873263427668</v>
      </c>
      <c r="S93">
        <f ca="1"/>
        <v>1</v>
      </c>
      <c r="T93">
        <f ca="1"/>
        <v>1.289999999999992</v>
      </c>
      <c r="U93">
        <f ca="1"/>
        <v>0</v>
      </c>
      <c r="V93">
        <f ca="1"/>
        <v>0.82598204094056971</v>
      </c>
      <c r="X93" s="2">
        <f t="shared" ca="1" si="10"/>
        <v>45457</v>
      </c>
      <c r="Y93">
        <f t="shared" ca="1" si="11"/>
        <v>0</v>
      </c>
      <c r="AA93" s="63">
        <f t="shared" ca="1" si="13"/>
        <v>123.08505042419125</v>
      </c>
      <c r="AB93" s="63">
        <f t="shared" ca="1" si="14"/>
        <v>123.08505042419125</v>
      </c>
      <c r="AC93" s="3">
        <f t="shared" ca="1" si="15"/>
        <v>0</v>
      </c>
    </row>
    <row r="94" spans="8:29">
      <c r="H94" t="b">
        <f t="shared" ca="1" si="12"/>
        <v>1</v>
      </c>
      <c r="I94" t="b">
        <f t="shared" ca="1" si="9"/>
        <v>1</v>
      </c>
      <c r="J94" s="2">
        <f ca="1"/>
        <v>45458</v>
      </c>
      <c r="K94">
        <f ca="1"/>
        <v>121.07673822136299</v>
      </c>
      <c r="L94">
        <f ca="1"/>
        <v>0.32932098314254965</v>
      </c>
      <c r="M94">
        <f ca="1"/>
        <v>1.2250662462555795E-2</v>
      </c>
      <c r="N94">
        <f ca="1"/>
        <v>0.67763258082370947</v>
      </c>
      <c r="O94">
        <f ca="1"/>
        <v>0</v>
      </c>
      <c r="P94">
        <f ca="1"/>
        <v>7.9361204901417359</v>
      </c>
      <c r="Q94">
        <f ca="1"/>
        <v>3.4775018306823267</v>
      </c>
      <c r="R94">
        <f ca="1"/>
        <v>1.2202429530309526</v>
      </c>
      <c r="S94">
        <f ca="1"/>
        <v>1</v>
      </c>
      <c r="T94">
        <f ca="1"/>
        <v>1.8299999999999983</v>
      </c>
      <c r="U94">
        <f ca="1"/>
        <v>0</v>
      </c>
      <c r="V94">
        <f ca="1"/>
        <v>0.83952479400529223</v>
      </c>
      <c r="X94" s="2">
        <f t="shared" ca="1" si="10"/>
        <v>45458</v>
      </c>
      <c r="Y94">
        <f t="shared" ca="1" si="11"/>
        <v>0</v>
      </c>
      <c r="AA94" s="63">
        <f t="shared" ca="1" si="13"/>
        <v>122.62630215753649</v>
      </c>
      <c r="AB94" s="63">
        <f t="shared" ca="1" si="14"/>
        <v>122.62630215753649</v>
      </c>
      <c r="AC94" s="3">
        <f t="shared" ca="1" si="15"/>
        <v>0</v>
      </c>
    </row>
    <row r="95" spans="8:29">
      <c r="H95" t="b">
        <f t="shared" ca="1" si="12"/>
        <v>1</v>
      </c>
      <c r="I95" t="b">
        <f t="shared" ca="1" si="9"/>
        <v>1</v>
      </c>
      <c r="J95" s="2">
        <f ca="1"/>
        <v>45459</v>
      </c>
      <c r="K95">
        <f ca="1"/>
        <v>120.3592102077132</v>
      </c>
      <c r="L95">
        <f ca="1"/>
        <v>0.34657552429125182</v>
      </c>
      <c r="M95">
        <f ca="1"/>
        <v>1.1947429187422642E-2</v>
      </c>
      <c r="N95">
        <f ca="1"/>
        <v>0.68428507862910293</v>
      </c>
      <c r="O95">
        <f ca="1"/>
        <v>0</v>
      </c>
      <c r="P95">
        <f ca="1"/>
        <v>8.2826960144329878</v>
      </c>
      <c r="Q95">
        <f ca="1"/>
        <v>3.6293665889971276</v>
      </c>
      <c r="R95">
        <f ca="1"/>
        <v>1.0671849971750567</v>
      </c>
      <c r="S95">
        <f ca="1"/>
        <v>1</v>
      </c>
      <c r="T95">
        <f ca="1"/>
        <v>1.6099999999999994</v>
      </c>
      <c r="U95">
        <f ca="1"/>
        <v>0</v>
      </c>
      <c r="V95">
        <f ca="1"/>
        <v>0.85083773936306528</v>
      </c>
      <c r="X95" s="2">
        <f t="shared" ca="1" si="10"/>
        <v>45459</v>
      </c>
      <c r="Y95">
        <f t="shared" ca="1" si="11"/>
        <v>0</v>
      </c>
      <c r="AA95" s="63">
        <f t="shared" ca="1" si="13"/>
        <v>121.77297072917952</v>
      </c>
      <c r="AB95" s="63">
        <f t="shared" ca="1" si="14"/>
        <v>121.77297072917952</v>
      </c>
      <c r="AC95" s="3">
        <f t="shared" ca="1" si="15"/>
        <v>0</v>
      </c>
    </row>
    <row r="96" spans="8:29">
      <c r="H96" t="b">
        <f t="shared" ca="1" si="12"/>
        <v>1</v>
      </c>
      <c r="I96" t="b">
        <f t="shared" ca="1" si="9"/>
        <v>1</v>
      </c>
      <c r="J96" s="2">
        <f ca="1"/>
        <v>45460</v>
      </c>
      <c r="K96">
        <f ca="1"/>
        <v>117.61985962486371</v>
      </c>
      <c r="L96">
        <f ca="1"/>
        <v>0.36444401474819088</v>
      </c>
      <c r="M96">
        <f ca="1"/>
        <v>1.165309531424441E-2</v>
      </c>
      <c r="N96">
        <f ca="1"/>
        <v>0.69030767894500022</v>
      </c>
      <c r="O96">
        <f ca="1"/>
        <v>0</v>
      </c>
      <c r="P96">
        <f ca="1"/>
        <v>8.6471400291811786</v>
      </c>
      <c r="Q96">
        <f ca="1"/>
        <v>3.7890610807884708</v>
      </c>
      <c r="R96">
        <f ca="1"/>
        <v>3.0768673423605644</v>
      </c>
      <c r="S96">
        <f ca="1"/>
        <v>1</v>
      </c>
      <c r="T96">
        <f ca="1"/>
        <v>4.75</v>
      </c>
      <c r="U96">
        <f ca="1"/>
        <v>0</v>
      </c>
      <c r="V96">
        <f ca="1"/>
        <v>0.86020873321205304</v>
      </c>
      <c r="X96" s="2">
        <f t="shared" ca="1" si="10"/>
        <v>45460</v>
      </c>
      <c r="Y96">
        <f t="shared" ca="1" si="11"/>
        <v>0</v>
      </c>
      <c r="AA96" s="63">
        <f t="shared" ca="1" si="13"/>
        <v>121.06117098197245</v>
      </c>
      <c r="AB96" s="63">
        <f t="shared" ca="1" si="14"/>
        <v>121.06117098197245</v>
      </c>
      <c r="AC96" s="3">
        <f t="shared" ca="1" si="15"/>
        <v>0</v>
      </c>
    </row>
    <row r="97" spans="8:29">
      <c r="H97" t="b">
        <f t="shared" ca="1" si="12"/>
        <v>1</v>
      </c>
      <c r="I97" t="b">
        <f t="shared" ca="1" si="9"/>
        <v>1</v>
      </c>
      <c r="J97" s="2">
        <f ca="1"/>
        <v>45461</v>
      </c>
      <c r="K97">
        <f ca="1"/>
        <v>111.12271189034915</v>
      </c>
      <c r="L97">
        <f ca="1"/>
        <v>0.39307667767933729</v>
      </c>
      <c r="M97">
        <f ca="1"/>
        <v>1.1579248310191304E-2</v>
      </c>
      <c r="N97">
        <f ca="1"/>
        <v>0.71404819608056869</v>
      </c>
      <c r="O97">
        <f ca="1"/>
        <v>0</v>
      </c>
      <c r="P97">
        <f ca="1"/>
        <v>9.0402167068605159</v>
      </c>
      <c r="Q97">
        <f ca="1"/>
        <v>3.9613020224332476</v>
      </c>
      <c r="R97">
        <f ca="1"/>
        <v>6.8296985012259777</v>
      </c>
      <c r="S97">
        <f ca="1"/>
        <v>1</v>
      </c>
      <c r="T97">
        <f ca="1"/>
        <v>11.159999999999997</v>
      </c>
      <c r="U97">
        <f ca="1"/>
        <v>0</v>
      </c>
      <c r="V97">
        <f ca="1"/>
        <v>0.8680939343032652</v>
      </c>
      <c r="X97" s="2">
        <f t="shared" ca="1" si="10"/>
        <v>45461</v>
      </c>
      <c r="Y97">
        <f t="shared" ca="1" si="11"/>
        <v>0</v>
      </c>
      <c r="AA97" s="63">
        <f t="shared" ca="1" si="13"/>
        <v>118.34548706925446</v>
      </c>
      <c r="AB97" s="63">
        <f t="shared" ca="1" si="14"/>
        <v>118.34548706925446</v>
      </c>
      <c r="AC97" s="3">
        <f t="shared" ca="1" si="15"/>
        <v>0</v>
      </c>
    </row>
    <row r="98" spans="8:29">
      <c r="H98" t="b">
        <f t="shared" ca="1" si="12"/>
        <v>1</v>
      </c>
      <c r="I98" t="b">
        <f t="shared" ca="1" si="9"/>
        <v>1</v>
      </c>
      <c r="J98" s="2">
        <f ca="1"/>
        <v>45462</v>
      </c>
      <c r="K98">
        <f ca="1"/>
        <v>106.62688119326918</v>
      </c>
      <c r="L98">
        <f ca="1"/>
        <v>0.40831975639222584</v>
      </c>
      <c r="M98">
        <f ca="1"/>
        <v>1.1199466118924306E-2</v>
      </c>
      <c r="N98">
        <f ca="1"/>
        <v>0.71062553014540031</v>
      </c>
      <c r="O98">
        <f ca="1"/>
        <v>0</v>
      </c>
      <c r="P98">
        <f ca="1"/>
        <v>9.4485364632527418</v>
      </c>
      <c r="Q98">
        <f ca="1"/>
        <v>4.1402222772506461</v>
      </c>
      <c r="R98">
        <f ca="1"/>
        <v>4.8093359369520625</v>
      </c>
      <c r="S98">
        <f ca="1"/>
        <v>1</v>
      </c>
      <c r="T98">
        <f ca="1"/>
        <v>8.1899999999999977</v>
      </c>
      <c r="U98">
        <f ca="1"/>
        <v>0</v>
      </c>
      <c r="V98">
        <f ca="1"/>
        <v>0.87443620601114624</v>
      </c>
      <c r="X98" s="2">
        <f t="shared" ca="1" si="10"/>
        <v>45462</v>
      </c>
      <c r="Y98">
        <f t="shared" ca="1" si="11"/>
        <v>0</v>
      </c>
      <c r="AA98" s="63">
        <f t="shared" ca="1" si="13"/>
        <v>111.84453688661348</v>
      </c>
      <c r="AB98" s="63">
        <f t="shared" ca="1" si="14"/>
        <v>111.84453688661348</v>
      </c>
      <c r="AC98" s="3">
        <f t="shared" ca="1" si="15"/>
        <v>0</v>
      </c>
    </row>
    <row r="99" spans="8:29">
      <c r="H99" t="b">
        <f t="shared" ca="1" si="12"/>
        <v>1</v>
      </c>
      <c r="I99" t="b">
        <f t="shared" ca="1" si="9"/>
        <v>1</v>
      </c>
      <c r="J99" s="2">
        <f ca="1"/>
        <v>45463</v>
      </c>
      <c r="K99">
        <f ca="1"/>
        <v>106.32091690651625</v>
      </c>
      <c r="L99">
        <f ca="1"/>
        <v>0.40190168154390093</v>
      </c>
      <c r="M99">
        <f ca="1"/>
        <v>1.0451513692473213E-2</v>
      </c>
      <c r="N99">
        <f ca="1"/>
        <v>0.67102136551119118</v>
      </c>
      <c r="O99">
        <f ca="1"/>
        <v>0</v>
      </c>
      <c r="P99">
        <f ca="1"/>
        <v>9.8504381447966427</v>
      </c>
      <c r="Q99">
        <f ca="1"/>
        <v>4.3163302175294422</v>
      </c>
      <c r="R99">
        <f ca="1"/>
        <v>0.5855354844126982</v>
      </c>
      <c r="S99">
        <f ca="1"/>
        <v>1</v>
      </c>
      <c r="T99">
        <f ca="1"/>
        <v>1</v>
      </c>
      <c r="U99">
        <f ca="1"/>
        <v>0</v>
      </c>
      <c r="V99">
        <f ca="1"/>
        <v>0.87929174240146379</v>
      </c>
      <c r="X99" s="2">
        <f t="shared" ca="1" si="10"/>
        <v>45463</v>
      </c>
      <c r="Y99">
        <f t="shared" ca="1" si="11"/>
        <v>0</v>
      </c>
      <c r="AA99" s="63">
        <f t="shared" ca="1" si="13"/>
        <v>107.30835407247285</v>
      </c>
      <c r="AB99" s="63">
        <f t="shared" ca="1" si="14"/>
        <v>107.30835407247285</v>
      </c>
      <c r="AC99" s="3">
        <f t="shared" ca="1" si="15"/>
        <v>0</v>
      </c>
    </row>
    <row r="100" spans="8:29">
      <c r="H100" t="b">
        <f t="shared" ca="1" si="12"/>
        <v>1</v>
      </c>
      <c r="I100" t="b">
        <f t="shared" ca="1" si="9"/>
        <v>1</v>
      </c>
      <c r="J100" s="2">
        <f ca="1"/>
        <v>45464</v>
      </c>
      <c r="K100">
        <f ca="1"/>
        <v>105.94208140838737</v>
      </c>
      <c r="L100">
        <f ca="1"/>
        <v>0.37330592758296355</v>
      </c>
      <c r="M100">
        <f ca="1"/>
        <v>9.4641513939635047E-3</v>
      </c>
      <c r="N100">
        <f ca="1"/>
        <v>0.60346237068763786</v>
      </c>
      <c r="O100">
        <f ca="1"/>
        <v>0</v>
      </c>
      <c r="P100">
        <f ca="1"/>
        <v>10.223744072379606</v>
      </c>
      <c r="Q100">
        <f ca="1"/>
        <v>4.4799078809717896</v>
      </c>
      <c r="R100">
        <f ca="1"/>
        <v>0.61845609262750645</v>
      </c>
      <c r="S100">
        <f ca="1"/>
        <v>1</v>
      </c>
      <c r="T100">
        <f ca="1"/>
        <v>1.0599999999999881</v>
      </c>
      <c r="U100">
        <f ca="1"/>
        <v>0</v>
      </c>
      <c r="V100">
        <f ca="1"/>
        <v>0.88286281867632421</v>
      </c>
      <c r="X100" s="2">
        <f t="shared" ca="1" si="10"/>
        <v>45464</v>
      </c>
      <c r="Y100">
        <f t="shared" ca="1" si="11"/>
        <v>0</v>
      </c>
      <c r="AA100" s="63">
        <f t="shared" ca="1" si="13"/>
        <v>106.93384342859785</v>
      </c>
      <c r="AB100" s="63">
        <f t="shared" ca="1" si="14"/>
        <v>106.93384342859784</v>
      </c>
      <c r="AC100" s="3">
        <f t="shared" ca="1" si="15"/>
        <v>0</v>
      </c>
    </row>
    <row r="101" spans="8:29">
      <c r="H101" t="b">
        <f t="shared" ca="1" si="12"/>
        <v>1</v>
      </c>
      <c r="I101" t="b">
        <f t="shared" ca="1" si="9"/>
        <v>1</v>
      </c>
      <c r="J101" s="2">
        <f ca="1"/>
        <v>45465</v>
      </c>
      <c r="K101">
        <f ca="1"/>
        <v>104.90361268768542</v>
      </c>
      <c r="L101">
        <f ca="1"/>
        <v>0.38905778313130668</v>
      </c>
      <c r="M101">
        <f ca="1"/>
        <v>9.2715475849018958E-3</v>
      </c>
      <c r="N101">
        <f ca="1"/>
        <v>0.60654630439072499</v>
      </c>
      <c r="O101">
        <f ca="1"/>
        <v>0</v>
      </c>
      <c r="P101">
        <f ca="1"/>
        <v>10.612801855510913</v>
      </c>
      <c r="Q101">
        <f ca="1"/>
        <v>4.6503877967897216</v>
      </c>
      <c r="R101">
        <f ca="1"/>
        <v>1.2652287895462568</v>
      </c>
      <c r="S101">
        <f ca="1"/>
        <v>1</v>
      </c>
      <c r="T101">
        <f ca="1"/>
        <v>2.1899999999999977</v>
      </c>
      <c r="U101">
        <f ca="1"/>
        <v>0</v>
      </c>
      <c r="V101">
        <f ca="1"/>
        <v>0.88584302367368217</v>
      </c>
      <c r="X101" s="2">
        <f t="shared" ca="1" si="10"/>
        <v>45465</v>
      </c>
      <c r="Y101">
        <f t="shared" ca="1" si="11"/>
        <v>0</v>
      </c>
      <c r="AA101" s="63">
        <f t="shared" ca="1" si="13"/>
        <v>106.55789926036299</v>
      </c>
      <c r="AB101" s="63">
        <f t="shared" ca="1" si="14"/>
        <v>106.55789926036299</v>
      </c>
      <c r="AC101" s="3">
        <f t="shared" ca="1" si="15"/>
        <v>0</v>
      </c>
    </row>
    <row r="102" spans="8:29">
      <c r="H102" t="b">
        <f t="shared" ca="1" si="12"/>
        <v>1</v>
      </c>
      <c r="I102" t="b">
        <f t="shared" ca="1" si="9"/>
        <v>1</v>
      </c>
      <c r="J102" s="2">
        <f ca="1"/>
        <v>45466</v>
      </c>
      <c r="K102">
        <f ca="1"/>
        <v>103.51179221700062</v>
      </c>
      <c r="L102">
        <f ca="1"/>
        <v>0.46435886614269606</v>
      </c>
      <c r="M102">
        <f ca="1"/>
        <v>9.928977511009407E-3</v>
      </c>
      <c r="N102">
        <f ca="1"/>
        <v>0.69299515390972399</v>
      </c>
      <c r="O102">
        <f ca="1"/>
        <v>0</v>
      </c>
      <c r="P102">
        <f ca="1"/>
        <v>11.077160721653609</v>
      </c>
      <c r="Q102">
        <f ca="1"/>
        <v>4.8538636398179005</v>
      </c>
      <c r="R102">
        <f ca="1"/>
        <v>1.6303857359628444</v>
      </c>
      <c r="S102">
        <f ca="1"/>
        <v>1</v>
      </c>
      <c r="T102">
        <f ca="1"/>
        <v>2.8599999999999994</v>
      </c>
      <c r="U102">
        <f ca="1"/>
        <v>0</v>
      </c>
      <c r="V102">
        <f ca="1"/>
        <v>0.88864037040138588</v>
      </c>
      <c r="X102" s="2">
        <f t="shared" ca="1" si="10"/>
        <v>45466</v>
      </c>
      <c r="Y102">
        <f t="shared" ca="1" si="11"/>
        <v>0</v>
      </c>
      <c r="AA102" s="63">
        <f t="shared" ca="1" si="13"/>
        <v>105.60653681910615</v>
      </c>
      <c r="AB102" s="63">
        <f t="shared" ca="1" si="14"/>
        <v>105.60653681910617</v>
      </c>
      <c r="AC102" s="3">
        <f t="shared" ca="1" si="15"/>
        <v>0</v>
      </c>
    </row>
    <row r="103" spans="8:29">
      <c r="H103" t="b">
        <f t="shared" ca="1" si="12"/>
        <v>1</v>
      </c>
      <c r="I103" t="b">
        <f t="shared" ca="1" si="9"/>
        <v>1</v>
      </c>
      <c r="J103" s="2">
        <f ca="1"/>
        <v>45467</v>
      </c>
      <c r="K103">
        <f ca="1"/>
        <v>102.51241046205689</v>
      </c>
      <c r="L103">
        <f ca="1"/>
        <v>0.44331211629837419</v>
      </c>
      <c r="M103">
        <f ca="1"/>
        <v>9.1396634986224967E-3</v>
      </c>
      <c r="N103">
        <f ca="1"/>
        <v>0.63730584318919359</v>
      </c>
      <c r="O103">
        <f ca="1"/>
        <v>0</v>
      </c>
      <c r="P103">
        <f ca="1"/>
        <v>11.520472837951983</v>
      </c>
      <c r="Q103">
        <f ca="1"/>
        <v>5.0481170786242107</v>
      </c>
      <c r="R103">
        <f ca="1"/>
        <v>1.202515145333177</v>
      </c>
      <c r="S103">
        <f ca="1"/>
        <v>1</v>
      </c>
      <c r="T103">
        <f ca="1"/>
        <v>2.1300000000000097</v>
      </c>
      <c r="U103">
        <f ca="1"/>
        <v>0</v>
      </c>
      <c r="V103">
        <f ca="1"/>
        <v>0.89072396969630818</v>
      </c>
      <c r="X103" s="2">
        <f t="shared" ca="1" si="10"/>
        <v>45467</v>
      </c>
      <c r="Y103">
        <f t="shared" ca="1" si="11"/>
        <v>0</v>
      </c>
      <c r="AA103" s="63">
        <f t="shared" ca="1" si="13"/>
        <v>104.15823772368843</v>
      </c>
      <c r="AB103" s="63">
        <f t="shared" ca="1" si="14"/>
        <v>104.15823772368844</v>
      </c>
      <c r="AC103" s="3">
        <f t="shared" ca="1" si="15"/>
        <v>0</v>
      </c>
    </row>
    <row r="104" spans="8:29">
      <c r="H104" t="b">
        <f t="shared" ca="1" si="12"/>
        <v>1</v>
      </c>
      <c r="I104" t="b">
        <f t="shared" ca="1" si="9"/>
        <v>1</v>
      </c>
      <c r="J104" s="2">
        <f ca="1"/>
        <v>45468</v>
      </c>
      <c r="K104">
        <f ca="1"/>
        <v>102.55179746788104</v>
      </c>
      <c r="L104">
        <f ca="1"/>
        <v>0.44149261829566022</v>
      </c>
      <c r="M104">
        <f ca="1"/>
        <v>8.707536167733565E-3</v>
      </c>
      <c r="N104">
        <f ca="1"/>
        <v>0.6133665917122002</v>
      </c>
      <c r="O104">
        <f ca="1"/>
        <v>0</v>
      </c>
      <c r="P104">
        <f ca="1"/>
        <v>11.961965456247643</v>
      </c>
      <c r="Q104">
        <f ca="1"/>
        <v>5.2415732377466728</v>
      </c>
      <c r="R104">
        <f ca="1"/>
        <v>0.14119450376012607</v>
      </c>
      <c r="S104">
        <f ca="1"/>
        <v>1</v>
      </c>
      <c r="T104">
        <f ca="1"/>
        <v>0.25</v>
      </c>
      <c r="U104">
        <f ca="1"/>
        <v>0</v>
      </c>
      <c r="V104">
        <f ca="1"/>
        <v>0.89236690996637913</v>
      </c>
      <c r="X104" s="2">
        <f t="shared" ca="1" si="10"/>
        <v>45468</v>
      </c>
      <c r="Y104">
        <f t="shared" ca="1" si="11"/>
        <v>0</v>
      </c>
      <c r="AA104" s="63">
        <f t="shared" ca="1" si="13"/>
        <v>103.13448458993682</v>
      </c>
      <c r="AB104" s="63">
        <f t="shared" ca="1" si="14"/>
        <v>103.13448458993683</v>
      </c>
      <c r="AC104" s="3">
        <f t="shared" ca="1" si="15"/>
        <v>0</v>
      </c>
    </row>
    <row r="105" spans="8:29">
      <c r="H105" t="b">
        <f t="shared" ca="1" si="12"/>
        <v>1</v>
      </c>
      <c r="I105" t="b">
        <f t="shared" ca="1" si="9"/>
        <v>1</v>
      </c>
      <c r="J105" s="2">
        <f ca="1"/>
        <v>45469</v>
      </c>
      <c r="K105">
        <f ca="1"/>
        <v>101.54333903445317</v>
      </c>
      <c r="L105">
        <f ca="1"/>
        <v>0.43922571266573485</v>
      </c>
      <c r="M105">
        <f ca="1"/>
        <v>8.3181946691013309E-3</v>
      </c>
      <c r="N105">
        <f ca="1"/>
        <v>0.59122763328126904</v>
      </c>
      <c r="O105">
        <f ca="1"/>
        <v>0</v>
      </c>
      <c r="P105">
        <f ca="1"/>
        <v>12.401191168913378</v>
      </c>
      <c r="Q105">
        <f ca="1"/>
        <v>5.4340360691483873</v>
      </c>
      <c r="R105">
        <f ca="1"/>
        <v>1.1687785487125049</v>
      </c>
      <c r="S105">
        <f ca="1"/>
        <v>1</v>
      </c>
      <c r="T105">
        <f ca="1"/>
        <v>2.0900000000000034</v>
      </c>
      <c r="U105">
        <f ca="1"/>
        <v>0</v>
      </c>
      <c r="V105">
        <f ca="1"/>
        <v>0.89367234253552918</v>
      </c>
      <c r="X105" s="2">
        <f t="shared" ca="1" si="10"/>
        <v>45469</v>
      </c>
      <c r="Y105">
        <f t="shared" ca="1" si="11"/>
        <v>0</v>
      </c>
      <c r="AA105" s="63">
        <f t="shared" ca="1" si="13"/>
        <v>103.15134329583141</v>
      </c>
      <c r="AB105" s="63">
        <f t="shared" ca="1" si="14"/>
        <v>103.15134329583141</v>
      </c>
      <c r="AC105" s="3">
        <f t="shared" ca="1" si="15"/>
        <v>0</v>
      </c>
    </row>
    <row r="106" spans="8:29">
      <c r="H106" t="b">
        <f t="shared" ca="1" si="12"/>
        <v>1</v>
      </c>
      <c r="I106" t="b">
        <f t="shared" ca="1" si="9"/>
        <v>1</v>
      </c>
      <c r="J106" s="2">
        <f ca="1"/>
        <v>45470</v>
      </c>
      <c r="K106">
        <f ca="1"/>
        <v>101.6888031599904</v>
      </c>
      <c r="L106">
        <f ca="1"/>
        <v>0.45822148731052081</v>
      </c>
      <c r="M106">
        <f ca="1"/>
        <v>8.1941816108752619E-3</v>
      </c>
      <c r="N106">
        <f ca="1"/>
        <v>0.59549143123687776</v>
      </c>
      <c r="O106">
        <f ca="1"/>
        <v>0</v>
      </c>
      <c r="P106">
        <f ca="1"/>
        <v>12.859412656223899</v>
      </c>
      <c r="Q106">
        <f ca="1"/>
        <v>5.6348225948771384</v>
      </c>
      <c r="R106">
        <f ca="1"/>
        <v>0</v>
      </c>
      <c r="S106">
        <f ca="1"/>
        <v>0.99942028985507236</v>
      </c>
      <c r="T106">
        <f ca="1"/>
        <v>0</v>
      </c>
      <c r="U106">
        <f ca="1"/>
        <v>0</v>
      </c>
      <c r="V106">
        <f ca="1"/>
        <v>0.8947636885366248</v>
      </c>
      <c r="X106" s="2">
        <f t="shared" ca="1" si="10"/>
        <v>45470</v>
      </c>
      <c r="Y106">
        <f t="shared" ca="1" si="11"/>
        <v>0</v>
      </c>
      <c r="AA106" s="63">
        <f t="shared" ca="1" si="13"/>
        <v>102.14702464730092</v>
      </c>
      <c r="AB106" s="63">
        <f t="shared" ca="1" si="14"/>
        <v>102.14702464730092</v>
      </c>
      <c r="AC106" s="3">
        <f t="shared" ca="1" si="15"/>
        <v>0</v>
      </c>
    </row>
    <row r="107" spans="8:29">
      <c r="H107" t="b">
        <f t="shared" ca="1" si="12"/>
        <v>1</v>
      </c>
      <c r="I107" t="b">
        <f t="shared" ca="1" si="9"/>
        <v>1</v>
      </c>
      <c r="J107" s="2">
        <f ca="1"/>
        <v>45471</v>
      </c>
      <c r="K107">
        <f ca="1"/>
        <v>101.36498861848236</v>
      </c>
      <c r="L107">
        <f ca="1"/>
        <v>0.46716242516098205</v>
      </c>
      <c r="M107">
        <f ca="1"/>
        <v>7.9666205195394468E-3</v>
      </c>
      <c r="N107">
        <f ca="1"/>
        <v>0.58758865987009357</v>
      </c>
      <c r="O107">
        <f ca="1"/>
        <v>0</v>
      </c>
      <c r="P107">
        <f ca="1"/>
        <v>13.326575081384881</v>
      </c>
      <c r="Q107">
        <f ca="1"/>
        <v>5.8395269199615845</v>
      </c>
      <c r="R107">
        <f ca="1"/>
        <v>0.45220739673670096</v>
      </c>
      <c r="S107">
        <f ca="1"/>
        <v>1</v>
      </c>
      <c r="T107">
        <f ca="1"/>
        <v>0.81005625522945479</v>
      </c>
      <c r="U107">
        <f ca="1"/>
        <v>0</v>
      </c>
      <c r="V107">
        <f ca="1"/>
        <v>0.8956556227774114</v>
      </c>
      <c r="X107" s="2">
        <f t="shared" ca="1" si="10"/>
        <v>45471</v>
      </c>
      <c r="Y107">
        <f t="shared" ca="1" si="11"/>
        <v>0</v>
      </c>
      <c r="AA107" s="63">
        <f t="shared" ca="1" si="13"/>
        <v>102.28435844038003</v>
      </c>
      <c r="AB107" s="63">
        <f t="shared" ca="1" si="14"/>
        <v>102.28435844038003</v>
      </c>
      <c r="AC107" s="3">
        <f t="shared" ca="1" si="15"/>
        <v>0</v>
      </c>
    </row>
    <row r="108" spans="8:29">
      <c r="H108" t="b">
        <f t="shared" ca="1" si="12"/>
        <v>1</v>
      </c>
      <c r="I108" t="b">
        <f t="shared" ca="1" si="9"/>
        <v>1</v>
      </c>
      <c r="J108" s="2">
        <f ca="1"/>
        <v>45472</v>
      </c>
      <c r="K108">
        <f ca="1"/>
        <v>100.50776149871552</v>
      </c>
      <c r="L108">
        <f ca="1"/>
        <v>0.47304910361832775</v>
      </c>
      <c r="M108">
        <f ca="1"/>
        <v>7.7251697887064097E-3</v>
      </c>
      <c r="N108">
        <f ca="1"/>
        <v>0.57675857343444648</v>
      </c>
      <c r="O108">
        <f ca="1"/>
        <v>0</v>
      </c>
      <c r="P108">
        <f ca="1"/>
        <v>13.799624185003209</v>
      </c>
      <c r="Q108">
        <f ca="1"/>
        <v>6.0468107087950376</v>
      </c>
      <c r="R108">
        <f ca="1"/>
        <v>0.96866175937167054</v>
      </c>
      <c r="S108">
        <f ca="1"/>
        <v>1</v>
      </c>
      <c r="T108">
        <f ca="1"/>
        <v>1.7499999999999858</v>
      </c>
      <c r="U108">
        <f ca="1"/>
        <v>0</v>
      </c>
      <c r="V108">
        <f ca="1"/>
        <v>0.89638228797335529</v>
      </c>
      <c r="X108" s="2">
        <f t="shared" ca="1" si="10"/>
        <v>45472</v>
      </c>
      <c r="Y108">
        <f t="shared" ca="1" si="11"/>
        <v>0</v>
      </c>
      <c r="AA108" s="63">
        <f t="shared" ca="1" si="13"/>
        <v>101.9494723617055</v>
      </c>
      <c r="AB108" s="63">
        <f t="shared" ca="1" si="14"/>
        <v>101.94947236170552</v>
      </c>
      <c r="AC108" s="3">
        <f t="shared" ca="1" si="15"/>
        <v>0</v>
      </c>
    </row>
    <row r="109" spans="8:29">
      <c r="H109" t="b">
        <f t="shared" ca="1" si="12"/>
        <v>1</v>
      </c>
      <c r="I109" t="b">
        <f t="shared" ca="1" si="9"/>
        <v>1</v>
      </c>
      <c r="J109" s="2">
        <f ca="1"/>
        <v>45473</v>
      </c>
      <c r="K109">
        <f ca="1"/>
        <v>99.877918880036802</v>
      </c>
      <c r="L109">
        <f ca="1"/>
        <v>0.50578820280390424</v>
      </c>
      <c r="M109">
        <f ca="1"/>
        <v>7.7434415791657329E-3</v>
      </c>
      <c r="N109">
        <f ca="1"/>
        <v>0.59427118762176234</v>
      </c>
      <c r="O109">
        <f ca="1"/>
        <v>0</v>
      </c>
      <c r="P109">
        <f ca="1"/>
        <v>14.305412387807113</v>
      </c>
      <c r="Q109">
        <f ca="1"/>
        <v>6.2684403329133938</v>
      </c>
      <c r="R109">
        <f ca="1"/>
        <v>0.7260690450757421</v>
      </c>
      <c r="S109">
        <f ca="1"/>
        <v>1</v>
      </c>
      <c r="T109">
        <f ca="1"/>
        <v>1.3199999999999932</v>
      </c>
      <c r="U109">
        <f ca="1"/>
        <v>0</v>
      </c>
      <c r="V109">
        <f ca="1"/>
        <v>0.89700652237926415</v>
      </c>
      <c r="X109" s="2">
        <f t="shared" ca="1" si="10"/>
        <v>45473</v>
      </c>
      <c r="Y109">
        <f t="shared" ca="1" si="11"/>
        <v>0</v>
      </c>
      <c r="AA109" s="63">
        <f t="shared" ca="1" si="13"/>
        <v>101.10977612791645</v>
      </c>
      <c r="AB109" s="63">
        <f t="shared" ca="1" si="14"/>
        <v>101.10977612791645</v>
      </c>
      <c r="AC109" s="3">
        <f t="shared" ca="1" si="15"/>
        <v>0</v>
      </c>
    </row>
    <row r="110" spans="8:29">
      <c r="H110" t="b">
        <f t="shared" ca="1" si="12"/>
        <v>1</v>
      </c>
      <c r="I110" t="b">
        <f t="shared" ca="1" si="9"/>
        <v>1</v>
      </c>
      <c r="J110" s="2">
        <f ca="1"/>
        <v>45474</v>
      </c>
      <c r="K110">
        <f ca="1"/>
        <v>99.956551340567572</v>
      </c>
      <c r="L110">
        <f ca="1"/>
        <v>0.48767249859563044</v>
      </c>
      <c r="M110">
        <f ca="1"/>
        <v>7.3081370956202818E-3</v>
      </c>
      <c r="N110">
        <f ca="1"/>
        <v>0.55899682203078382</v>
      </c>
      <c r="O110">
        <f ca="1"/>
        <v>0</v>
      </c>
      <c r="P110">
        <f ca="1"/>
        <v>14.793084886402744</v>
      </c>
      <c r="Q110">
        <f ca="1"/>
        <v>6.482131897796557</v>
      </c>
      <c r="R110">
        <f ca="1"/>
        <v>0</v>
      </c>
      <c r="S110">
        <f ca="1"/>
        <v>0.99739130434782597</v>
      </c>
      <c r="T110">
        <f ca="1"/>
        <v>0</v>
      </c>
      <c r="U110">
        <f ca="1"/>
        <v>0</v>
      </c>
      <c r="V110">
        <f ca="1"/>
        <v>0.897491735667163</v>
      </c>
      <c r="X110" s="2">
        <f t="shared" ca="1" si="10"/>
        <v>45474</v>
      </c>
      <c r="Y110">
        <f t="shared" ca="1" si="11"/>
        <v>0</v>
      </c>
      <c r="AA110" s="63">
        <f t="shared" ca="1" si="13"/>
        <v>100.4442238391632</v>
      </c>
      <c r="AB110" s="63">
        <f t="shared" ca="1" si="14"/>
        <v>100.4442238391632</v>
      </c>
      <c r="AC110" s="3">
        <f t="shared" ca="1" si="15"/>
        <v>0</v>
      </c>
    </row>
    <row r="111" spans="8:29">
      <c r="H111" t="b">
        <f t="shared" ca="1" si="12"/>
        <v>1</v>
      </c>
      <c r="I111" t="b">
        <f t="shared" ca="1" si="9"/>
        <v>1</v>
      </c>
      <c r="J111" s="2">
        <f ca="1"/>
        <v>45475</v>
      </c>
      <c r="K111">
        <f ca="1"/>
        <v>98.659846486170636</v>
      </c>
      <c r="L111">
        <f ca="1"/>
        <v>0.54059166133462178</v>
      </c>
      <c r="M111">
        <f ca="1"/>
        <v>7.494671799634034E-3</v>
      </c>
      <c r="N111">
        <f ca="1"/>
        <v>0.59488110778745396</v>
      </c>
      <c r="O111">
        <f ca="1"/>
        <v>0</v>
      </c>
      <c r="P111">
        <f ca="1"/>
        <v>15.333676547737365</v>
      </c>
      <c r="Q111">
        <f ca="1"/>
        <v>6.719011931848204</v>
      </c>
      <c r="R111">
        <f ca="1"/>
        <v>1.3584889726494087</v>
      </c>
      <c r="S111">
        <f ca="1"/>
        <v>1</v>
      </c>
      <c r="T111">
        <f ca="1"/>
        <v>2.5002369905355977</v>
      </c>
      <c r="U111">
        <f ca="1"/>
        <v>0</v>
      </c>
      <c r="V111">
        <f ca="1"/>
        <v>0.89792542473729364</v>
      </c>
      <c r="X111" s="2">
        <f t="shared" ca="1" si="10"/>
        <v>45475</v>
      </c>
      <c r="Y111">
        <f t="shared" ca="1" si="11"/>
        <v>0</v>
      </c>
      <c r="AA111" s="63">
        <f t="shared" ca="1" si="13"/>
        <v>100.55892712015466</v>
      </c>
      <c r="AB111" s="63">
        <f t="shared" ca="1" si="14"/>
        <v>100.55892712015466</v>
      </c>
      <c r="AC111" s="3">
        <f t="shared" ca="1" si="15"/>
        <v>0</v>
      </c>
    </row>
    <row r="112" spans="8:29">
      <c r="H112" t="b">
        <f t="shared" ca="1" si="12"/>
        <v>1</v>
      </c>
      <c r="I112" t="b">
        <f t="shared" ca="1" si="9"/>
        <v>1</v>
      </c>
      <c r="J112" s="2">
        <f ca="1"/>
        <v>45476</v>
      </c>
      <c r="K112">
        <f ca="1"/>
        <v>98.703775293585466</v>
      </c>
      <c r="L112">
        <f ca="1"/>
        <v>0.54428484760515872</v>
      </c>
      <c r="M112">
        <f ca="1"/>
        <v>7.2588410671770021E-3</v>
      </c>
      <c r="N112">
        <f ca="1"/>
        <v>0.58095481395279547</v>
      </c>
      <c r="O112">
        <f ca="1"/>
        <v>0</v>
      </c>
      <c r="P112">
        <f ca="1"/>
        <v>15.877961395342524</v>
      </c>
      <c r="Q112">
        <f ca="1"/>
        <v>6.95751027071677</v>
      </c>
      <c r="R112">
        <f ca="1"/>
        <v>0</v>
      </c>
      <c r="S112">
        <f ca="1"/>
        <v>0.99797101449275383</v>
      </c>
      <c r="T112">
        <f ca="1"/>
        <v>0</v>
      </c>
      <c r="U112">
        <f ca="1"/>
        <v>0</v>
      </c>
      <c r="V112">
        <f ca="1"/>
        <v>0.89827576037273915</v>
      </c>
      <c r="X112" s="2">
        <f t="shared" ca="1" si="10"/>
        <v>45476</v>
      </c>
      <c r="Y112">
        <f t="shared" ca="1" si="11"/>
        <v>0</v>
      </c>
      <c r="AA112" s="63">
        <f t="shared" ca="1" si="13"/>
        <v>99.248060141190606</v>
      </c>
      <c r="AB112" s="63">
        <f t="shared" ca="1" si="14"/>
        <v>99.248060141190621</v>
      </c>
      <c r="AC112" s="3">
        <f t="shared" ca="1" si="15"/>
        <v>0</v>
      </c>
    </row>
    <row r="113" spans="8:29">
      <c r="H113" t="b">
        <f t="shared" ca="1" si="12"/>
        <v>1</v>
      </c>
      <c r="I113" t="b">
        <f t="shared" ca="1" si="9"/>
        <v>1</v>
      </c>
      <c r="J113" s="2">
        <f ca="1"/>
        <v>45477</v>
      </c>
      <c r="K113">
        <f ca="1"/>
        <v>98.726071456126817</v>
      </c>
      <c r="L113">
        <f ca="1"/>
        <v>0.61557199134083618</v>
      </c>
      <c r="M113">
        <f ca="1"/>
        <v>7.5525700541305696E-3</v>
      </c>
      <c r="N113">
        <f ca="1"/>
        <v>0.63031558382804642</v>
      </c>
      <c r="O113">
        <f ca="1"/>
        <v>0</v>
      </c>
      <c r="P113">
        <f ca="1"/>
        <v>16.49353338668336</v>
      </c>
      <c r="Q113">
        <f ca="1"/>
        <v>7.2272456823027769</v>
      </c>
      <c r="R113">
        <f ca="1"/>
        <v>0</v>
      </c>
      <c r="S113">
        <f ca="1"/>
        <v>0.98536521135812549</v>
      </c>
      <c r="T113">
        <f ca="1"/>
        <v>0</v>
      </c>
      <c r="U113">
        <f ca="1"/>
        <v>0</v>
      </c>
      <c r="V113">
        <f ca="1"/>
        <v>0.89859148721655824</v>
      </c>
      <c r="X113" s="2">
        <f t="shared" ca="1" si="10"/>
        <v>45477</v>
      </c>
      <c r="Y113">
        <f t="shared" ca="1" si="11"/>
        <v>0</v>
      </c>
      <c r="AA113" s="63">
        <f t="shared" ca="1" si="13"/>
        <v>99.341643447467646</v>
      </c>
      <c r="AB113" s="63">
        <f t="shared" ca="1" si="14"/>
        <v>99.341643447467646</v>
      </c>
      <c r="AC113" s="3">
        <f t="shared" ca="1" si="15"/>
        <v>0</v>
      </c>
    </row>
    <row r="114" spans="8:29">
      <c r="H114" t="b">
        <f t="shared" ca="1" si="12"/>
        <v>1</v>
      </c>
      <c r="I114" t="b">
        <f t="shared" ca="1" si="9"/>
        <v>1</v>
      </c>
      <c r="J114" s="2">
        <f ca="1"/>
        <v>45478</v>
      </c>
      <c r="K114">
        <f ca="1"/>
        <v>98.553172241278133</v>
      </c>
      <c r="L114">
        <f ca="1"/>
        <v>0.61846375961352251</v>
      </c>
      <c r="M114">
        <f ca="1"/>
        <v>7.293424129514392E-3</v>
      </c>
      <c r="N114">
        <f ca="1"/>
        <v>0.61274453905525339</v>
      </c>
      <c r="O114">
        <f ca="1"/>
        <v>0</v>
      </c>
      <c r="P114">
        <f ca="1"/>
        <v>17.111997146296883</v>
      </c>
      <c r="Q114">
        <f ca="1"/>
        <v>7.4982482280602794</v>
      </c>
      <c r="R114">
        <f ca="1"/>
        <v>0.17447341841993622</v>
      </c>
      <c r="S114">
        <f ca="1"/>
        <v>1</v>
      </c>
      <c r="T114">
        <f ca="1"/>
        <v>0.3214579393030732</v>
      </c>
      <c r="U114">
        <f ca="1"/>
        <v>0</v>
      </c>
      <c r="V114">
        <f ca="1"/>
        <v>0.89884251968128226</v>
      </c>
      <c r="X114" s="2">
        <f t="shared" ca="1" si="10"/>
        <v>45478</v>
      </c>
      <c r="Y114">
        <f t="shared" ca="1" si="11"/>
        <v>0</v>
      </c>
      <c r="AA114" s="63">
        <f t="shared" ca="1" si="13"/>
        <v>99.346109419311588</v>
      </c>
      <c r="AB114" s="63">
        <f t="shared" ca="1" si="14"/>
        <v>99.346109419311588</v>
      </c>
      <c r="AC114" s="3">
        <f t="shared" ca="1" si="15"/>
        <v>0</v>
      </c>
    </row>
    <row r="115" spans="8:29">
      <c r="H115" t="b">
        <f t="shared" ca="1" si="12"/>
        <v>1</v>
      </c>
      <c r="I115" t="b">
        <f t="shared" ca="1" si="9"/>
        <v>1</v>
      </c>
      <c r="J115" s="2">
        <f ca="1"/>
        <v>45479</v>
      </c>
      <c r="K115">
        <f ca="1"/>
        <v>96.530101888285557</v>
      </c>
      <c r="L115">
        <f ca="1"/>
        <v>0.67857360563976243</v>
      </c>
      <c r="M115">
        <f ca="1"/>
        <v>7.458172743781688E-3</v>
      </c>
      <c r="N115">
        <f ca="1"/>
        <v>0.64691768248284565</v>
      </c>
      <c r="O115">
        <f ca="1"/>
        <v>0</v>
      </c>
      <c r="P115">
        <f ca="1"/>
        <v>17.790570751936645</v>
      </c>
      <c r="Q115">
        <f ca="1"/>
        <v>7.7955901042069771</v>
      </c>
      <c r="R115">
        <f ca="1"/>
        <v>1.9988726025794503</v>
      </c>
      <c r="S115">
        <f ca="1"/>
        <v>1</v>
      </c>
      <c r="T115">
        <f ca="1"/>
        <v>3.7599999999999909</v>
      </c>
      <c r="U115">
        <f ca="1"/>
        <v>0</v>
      </c>
      <c r="V115">
        <f ca="1"/>
        <v>0.89905985376154296</v>
      </c>
      <c r="X115" s="2">
        <f t="shared" ca="1" si="10"/>
        <v>45479</v>
      </c>
      <c r="Y115">
        <f t="shared" ca="1" si="11"/>
        <v>0</v>
      </c>
      <c r="AA115" s="63">
        <f t="shared" ca="1" si="13"/>
        <v>99.207548096504766</v>
      </c>
      <c r="AB115" s="63">
        <f t="shared" ca="1" si="14"/>
        <v>99.207548096504766</v>
      </c>
      <c r="AC115" s="3">
        <f t="shared" ca="1" si="15"/>
        <v>0</v>
      </c>
    </row>
    <row r="116" spans="8:29">
      <c r="H116" t="b">
        <f t="shared" ca="1" si="12"/>
        <v>1</v>
      </c>
      <c r="I116" t="b">
        <f t="shared" ca="1" si="9"/>
        <v>1</v>
      </c>
      <c r="J116" s="2">
        <f ca="1"/>
        <v>45480</v>
      </c>
      <c r="K116">
        <f ca="1"/>
        <v>95.085153666871634</v>
      </c>
      <c r="L116">
        <f ca="1"/>
        <v>0.61986694304969348</v>
      </c>
      <c r="M116">
        <f ca="1"/>
        <v>6.7984681763419985E-3</v>
      </c>
      <c r="N116">
        <f ca="1"/>
        <v>0.57675857343444648</v>
      </c>
      <c r="O116">
        <f ca="1"/>
        <v>0</v>
      </c>
      <c r="P116">
        <f ca="1"/>
        <v>18.410437694986339</v>
      </c>
      <c r="Q116">
        <f ca="1"/>
        <v>8.0672075061746558</v>
      </c>
      <c r="R116">
        <f ca="1"/>
        <v>1.4086383199750159</v>
      </c>
      <c r="S116">
        <f ca="1"/>
        <v>1</v>
      </c>
      <c r="T116">
        <f ca="1"/>
        <v>2.6899999999999977</v>
      </c>
      <c r="U116">
        <f ca="1"/>
        <v>0</v>
      </c>
      <c r="V116">
        <f ca="1"/>
        <v>0.89921760536389606</v>
      </c>
      <c r="X116" s="2">
        <f t="shared" ca="1" si="10"/>
        <v>45480</v>
      </c>
      <c r="Y116">
        <f t="shared" ca="1" si="11"/>
        <v>0</v>
      </c>
      <c r="AA116" s="63">
        <f t="shared" ca="1" si="13"/>
        <v>97.113658929896346</v>
      </c>
      <c r="AB116" s="63">
        <f t="shared" ca="1" si="14"/>
        <v>97.113658929896332</v>
      </c>
      <c r="AC116" s="3">
        <f t="shared" ca="1" si="15"/>
        <v>0</v>
      </c>
    </row>
    <row r="117" spans="8:29">
      <c r="H117" t="b">
        <f t="shared" ca="1" si="12"/>
        <v>1</v>
      </c>
      <c r="I117" t="b">
        <f t="shared" ca="1" si="9"/>
        <v>1</v>
      </c>
      <c r="J117" s="2">
        <f ca="1"/>
        <v>45481</v>
      </c>
      <c r="K117">
        <f ca="1"/>
        <v>93.343697316020879</v>
      </c>
      <c r="L117">
        <f ca="1"/>
        <v>0.61162095326401911</v>
      </c>
      <c r="M117">
        <f ca="1"/>
        <v>6.5400852854082814E-3</v>
      </c>
      <c r="N117">
        <f ca="1"/>
        <v>0.55490408791756807</v>
      </c>
      <c r="O117">
        <f ca="1"/>
        <v>0</v>
      </c>
      <c r="P117">
        <f ca="1"/>
        <v>19.022058648250358</v>
      </c>
      <c r="Q117">
        <f ca="1"/>
        <v>8.3352116257317288</v>
      </c>
      <c r="R117">
        <f ca="1"/>
        <v>1.6912795707897033</v>
      </c>
      <c r="S117">
        <f ca="1"/>
        <v>1</v>
      </c>
      <c r="T117">
        <f ca="1"/>
        <v>3.2900000000000063</v>
      </c>
      <c r="U117">
        <f ca="1"/>
        <v>0</v>
      </c>
      <c r="V117">
        <f ca="1"/>
        <v>0.8993436969407077</v>
      </c>
      <c r="X117" s="2">
        <f t="shared" ca="1" si="10"/>
        <v>45481</v>
      </c>
      <c r="Y117">
        <f t="shared" ca="1" si="11"/>
        <v>0</v>
      </c>
      <c r="AA117" s="63">
        <f t="shared" ca="1" si="13"/>
        <v>95.646597840074605</v>
      </c>
      <c r="AB117" s="63">
        <f t="shared" ca="1" si="14"/>
        <v>95.646597840074605</v>
      </c>
      <c r="AC117" s="3">
        <f t="shared" ca="1" si="15"/>
        <v>0</v>
      </c>
    </row>
    <row r="118" spans="8:29">
      <c r="H118" t="b">
        <f t="shared" ca="1" si="12"/>
        <v>1</v>
      </c>
      <c r="I118" t="b">
        <f t="shared" ca="1" si="9"/>
        <v>1</v>
      </c>
      <c r="J118" s="2">
        <f ca="1"/>
        <v>45482</v>
      </c>
      <c r="K118">
        <f ca="1"/>
        <v>92.655751047959697</v>
      </c>
      <c r="L118">
        <f ca="1"/>
        <v>0.63658732441951216</v>
      </c>
      <c r="M118">
        <f ca="1"/>
        <v>6.494404725138736E-3</v>
      </c>
      <c r="N118">
        <f ca="1"/>
        <v>0.55958309122524053</v>
      </c>
      <c r="O118">
        <f ca="1"/>
        <v>0</v>
      </c>
      <c r="P118">
        <f ca="1"/>
        <v>19.65864597266987</v>
      </c>
      <c r="Q118">
        <f ca="1"/>
        <v>8.6141556751331887</v>
      </c>
      <c r="R118">
        <f ca="1"/>
        <v>0.61743643959206007</v>
      </c>
      <c r="S118">
        <f ca="1"/>
        <v>1</v>
      </c>
      <c r="T118">
        <f ca="1"/>
        <v>1.210000000000008</v>
      </c>
      <c r="U118">
        <f ca="1"/>
        <v>0</v>
      </c>
      <c r="V118">
        <f ca="1"/>
        <v>0.89945042775692408</v>
      </c>
      <c r="X118" s="2">
        <f t="shared" ca="1" si="10"/>
        <v>45482</v>
      </c>
      <c r="Y118">
        <f t="shared" ca="1" si="11"/>
        <v>0</v>
      </c>
      <c r="AA118" s="63">
        <f t="shared" ca="1" si="13"/>
        <v>93.909774811971246</v>
      </c>
      <c r="AB118" s="63">
        <f t="shared" ca="1" si="14"/>
        <v>93.909774811971261</v>
      </c>
      <c r="AC118" s="3">
        <f t="shared" ca="1" si="15"/>
        <v>0</v>
      </c>
    </row>
    <row r="119" spans="8:29">
      <c r="H119" t="b">
        <f t="shared" ca="1" si="12"/>
        <v>1</v>
      </c>
      <c r="I119" t="b">
        <f t="shared" ca="1" si="9"/>
        <v>1</v>
      </c>
      <c r="J119" s="2">
        <f ca="1"/>
        <v>45483</v>
      </c>
      <c r="K119">
        <f ca="1"/>
        <v>90.760844114080243</v>
      </c>
      <c r="L119">
        <f ca="1"/>
        <v>0.63915620229307635</v>
      </c>
      <c r="M119">
        <f ca="1"/>
        <v>6.3235147163069882E-3</v>
      </c>
      <c r="N119">
        <f ca="1"/>
        <v>0.54735498794846438</v>
      </c>
      <c r="O119">
        <f ca="1"/>
        <v>0</v>
      </c>
      <c r="P119">
        <f ca="1"/>
        <v>20.297802174962946</v>
      </c>
      <c r="Q119">
        <f ca="1"/>
        <v>8.8942253724528211</v>
      </c>
      <c r="R119">
        <f ca="1"/>
        <v>1.809429234251144</v>
      </c>
      <c r="S119">
        <f ca="1"/>
        <v>1</v>
      </c>
      <c r="T119">
        <f ca="1"/>
        <v>3.6200000000000045</v>
      </c>
      <c r="U119">
        <f ca="1"/>
        <v>0</v>
      </c>
      <c r="V119">
        <f ca="1"/>
        <v>0.89953772385401476</v>
      </c>
      <c r="X119" s="2">
        <f t="shared" ca="1" si="10"/>
        <v>45483</v>
      </c>
      <c r="Y119">
        <f t="shared" ca="1" si="11"/>
        <v>0</v>
      </c>
      <c r="AA119" s="63">
        <f t="shared" ca="1" si="13"/>
        <v>93.209429550624463</v>
      </c>
      <c r="AB119" s="63">
        <f t="shared" ca="1" si="14"/>
        <v>93.209429550624463</v>
      </c>
      <c r="AC119" s="3">
        <f t="shared" ca="1" si="15"/>
        <v>0</v>
      </c>
    </row>
    <row r="120" spans="8:29">
      <c r="H120" t="b">
        <f t="shared" ca="1" si="12"/>
        <v>1</v>
      </c>
      <c r="I120" t="b">
        <f t="shared" ca="1" si="9"/>
        <v>1</v>
      </c>
      <c r="J120" s="2">
        <f ca="1"/>
        <v>45484</v>
      </c>
      <c r="K120">
        <f ca="1"/>
        <v>90.339572172118835</v>
      </c>
      <c r="L120">
        <f ca="1"/>
        <v>0.68644743506300188</v>
      </c>
      <c r="M120">
        <f ca="1"/>
        <v>6.3984251184479035E-3</v>
      </c>
      <c r="N120">
        <f ca="1"/>
        <v>0.56724088253026428</v>
      </c>
      <c r="O120">
        <f ca="1"/>
        <v>0</v>
      </c>
      <c r="P120">
        <f ca="1"/>
        <v>20.984249610025948</v>
      </c>
      <c r="Q120">
        <f ca="1"/>
        <v>9.1950174553180037</v>
      </c>
      <c r="R120">
        <f ca="1"/>
        <v>0.30846381454712107</v>
      </c>
      <c r="S120">
        <f ca="1"/>
        <v>1</v>
      </c>
      <c r="T120">
        <f ca="1"/>
        <v>0.62000000000000455</v>
      </c>
      <c r="U120">
        <f ca="1"/>
        <v>0</v>
      </c>
      <c r="V120">
        <f ca="1"/>
        <v>0.89961399737731873</v>
      </c>
      <c r="X120" s="2">
        <f t="shared" ca="1" si="10"/>
        <v>45484</v>
      </c>
      <c r="Y120">
        <f t="shared" ca="1" si="11"/>
        <v>0</v>
      </c>
      <c r="AA120" s="63">
        <f t="shared" ca="1" si="13"/>
        <v>91.334483421728962</v>
      </c>
      <c r="AB120" s="63">
        <f t="shared" ca="1" si="14"/>
        <v>91.334483421728962</v>
      </c>
      <c r="AC120" s="3">
        <f t="shared" ca="1" si="15"/>
        <v>0</v>
      </c>
    </row>
    <row r="121" spans="8:29">
      <c r="H121" t="b">
        <f t="shared" ca="1" si="12"/>
        <v>1</v>
      </c>
      <c r="I121" t="b">
        <f t="shared" ca="1" si="9"/>
        <v>1</v>
      </c>
      <c r="J121" s="2">
        <f ca="1"/>
        <v>45485</v>
      </c>
      <c r="K121">
        <f ca="1"/>
        <v>88.173537407268014</v>
      </c>
      <c r="L121">
        <f ca="1"/>
        <v>0.68357729381856203</v>
      </c>
      <c r="M121">
        <f ca="1"/>
        <v>6.2039394935453629E-3</v>
      </c>
      <c r="N121">
        <f ca="1"/>
        <v>0.55083084602490195</v>
      </c>
      <c r="O121">
        <f ca="1"/>
        <v>0</v>
      </c>
      <c r="P121">
        <f ca="1"/>
        <v>21.66782690384451</v>
      </c>
      <c r="Q121">
        <f ca="1"/>
        <v>9.4945518806861422</v>
      </c>
      <c r="R121">
        <f ca="1"/>
        <v>2.0394922565507154</v>
      </c>
      <c r="S121">
        <f ca="1"/>
        <v>1</v>
      </c>
      <c r="T121">
        <f ca="1"/>
        <v>4.1999999999999886</v>
      </c>
      <c r="U121">
        <f ca="1"/>
        <v>0</v>
      </c>
      <c r="V121">
        <f ca="1"/>
        <v>0.89967574030337405</v>
      </c>
      <c r="X121" s="2">
        <f t="shared" ca="1" si="10"/>
        <v>45485</v>
      </c>
      <c r="Y121">
        <f t="shared" ca="1" si="11"/>
        <v>0</v>
      </c>
      <c r="AA121" s="63">
        <f t="shared" ca="1" si="13"/>
        <v>90.896606957637289</v>
      </c>
      <c r="AB121" s="63">
        <f t="shared" ca="1" si="14"/>
        <v>90.896606957637289</v>
      </c>
      <c r="AC121" s="3">
        <f t="shared" ca="1" si="15"/>
        <v>0</v>
      </c>
    </row>
    <row r="122" spans="8:29">
      <c r="H122" t="b">
        <f t="shared" ca="1" si="12"/>
        <v>1</v>
      </c>
      <c r="I122" t="b">
        <f t="shared" ca="1" si="9"/>
        <v>1</v>
      </c>
      <c r="J122" s="2">
        <f ca="1"/>
        <v>45486</v>
      </c>
      <c r="K122">
        <f ca="1"/>
        <v>86.427777384401267</v>
      </c>
      <c r="L122">
        <f ca="1"/>
        <v>0.68879473467479713</v>
      </c>
      <c r="M122">
        <f ca="1"/>
        <v>6.064498246523442E-3</v>
      </c>
      <c r="N122">
        <f ca="1"/>
        <v>0.54101965875664937</v>
      </c>
      <c r="O122">
        <f ca="1"/>
        <v>0</v>
      </c>
      <c r="P122">
        <f ca="1"/>
        <v>22.356621638519307</v>
      </c>
      <c r="Q122">
        <f ca="1"/>
        <v>9.7963725188394299</v>
      </c>
      <c r="R122">
        <f ca="1"/>
        <v>1.6040494451951364</v>
      </c>
      <c r="S122">
        <f ca="1"/>
        <v>1</v>
      </c>
      <c r="T122">
        <f ca="1"/>
        <v>3.3700000000000045</v>
      </c>
      <c r="U122">
        <f ca="1"/>
        <v>0</v>
      </c>
      <c r="V122">
        <f ca="1"/>
        <v>0.89972661055903458</v>
      </c>
      <c r="X122" s="2">
        <f t="shared" ca="1" si="10"/>
        <v>45486</v>
      </c>
      <c r="Y122">
        <f t="shared" ca="1" si="11"/>
        <v>0</v>
      </c>
      <c r="AA122" s="63">
        <f t="shared" ca="1" si="13"/>
        <v>88.720621564271198</v>
      </c>
      <c r="AB122" s="63">
        <f t="shared" ca="1" si="14"/>
        <v>88.720621564271198</v>
      </c>
      <c r="AC122" s="3">
        <f t="shared" ca="1" si="15"/>
        <v>0</v>
      </c>
    </row>
    <row r="123" spans="8:29">
      <c r="H123" t="b">
        <f t="shared" ca="1" si="12"/>
        <v>1</v>
      </c>
      <c r="I123" t="b">
        <f t="shared" ca="1" si="9"/>
        <v>1</v>
      </c>
      <c r="J123" s="2">
        <f ca="1"/>
        <v>45487</v>
      </c>
      <c r="K123">
        <f ca="1"/>
        <v>85.72226676511508</v>
      </c>
      <c r="L123">
        <f ca="1"/>
        <v>0.79404431540166698</v>
      </c>
      <c r="M123">
        <f ca="1"/>
        <v>6.4024787421175233E-3</v>
      </c>
      <c r="N123">
        <f ca="1"/>
        <v>0.59671328830249049</v>
      </c>
      <c r="O123">
        <f ca="1"/>
        <v>0</v>
      </c>
      <c r="P123">
        <f ca="1"/>
        <v>23.150665953920974</v>
      </c>
      <c r="Q123">
        <f ca="1"/>
        <v>10.144312115255874</v>
      </c>
      <c r="R123">
        <f ca="1"/>
        <v>0.51458207092913499</v>
      </c>
      <c r="S123">
        <f ca="1"/>
        <v>1</v>
      </c>
      <c r="T123">
        <f ca="1"/>
        <v>1.0899999999999892</v>
      </c>
      <c r="U123">
        <f ca="1"/>
        <v>0</v>
      </c>
      <c r="V123">
        <f ca="1"/>
        <v>0.89977412407951896</v>
      </c>
      <c r="X123" s="2">
        <f t="shared" ca="1" si="10"/>
        <v>45487</v>
      </c>
      <c r="Y123">
        <f t="shared" ca="1" si="11"/>
        <v>0</v>
      </c>
      <c r="AA123" s="63">
        <f t="shared" ca="1" si="13"/>
        <v>87.030893151445881</v>
      </c>
      <c r="AB123" s="63">
        <f t="shared" ca="1" si="14"/>
        <v>87.030893151445881</v>
      </c>
      <c r="AC123" s="3">
        <f t="shared" ca="1" si="15"/>
        <v>0</v>
      </c>
    </row>
    <row r="124" spans="8:29">
      <c r="H124" t="b">
        <f t="shared" ca="1" si="12"/>
        <v>1</v>
      </c>
      <c r="I124" t="b">
        <f t="shared" ca="1" si="9"/>
        <v>1</v>
      </c>
      <c r="J124" s="2">
        <f ca="1"/>
        <v>45488</v>
      </c>
      <c r="K124">
        <f ca="1"/>
        <v>83.089758502214295</v>
      </c>
      <c r="L124">
        <f ca="1"/>
        <v>0.81944861737510877</v>
      </c>
      <c r="M124">
        <f ca="1"/>
        <v>6.3327394884069577E-3</v>
      </c>
      <c r="N124">
        <f ca="1"/>
        <v>0.59671328830249049</v>
      </c>
      <c r="O124">
        <f ca="1"/>
        <v>0</v>
      </c>
      <c r="P124">
        <f ca="1"/>
        <v>23.970114571296083</v>
      </c>
      <c r="Q124">
        <f ca="1"/>
        <v>10.503383536942559</v>
      </c>
      <c r="R124">
        <f ca="1"/>
        <v>2.416105673316562</v>
      </c>
      <c r="S124">
        <f ca="1"/>
        <v>1</v>
      </c>
      <c r="T124">
        <f ca="1"/>
        <v>5.2800000000000011</v>
      </c>
      <c r="U124">
        <f ca="1"/>
        <v>0</v>
      </c>
      <c r="V124">
        <f ca="1"/>
        <v>0.89981338173477843</v>
      </c>
      <c r="X124" s="2">
        <f t="shared" ca="1" si="10"/>
        <v>45488</v>
      </c>
      <c r="Y124">
        <f t="shared" ca="1" si="11"/>
        <v>0</v>
      </c>
      <c r="AA124" s="63">
        <f t="shared" ca="1" si="13"/>
        <v>86.32531279290599</v>
      </c>
      <c r="AB124" s="63">
        <f t="shared" ca="1" si="14"/>
        <v>86.325312792905976</v>
      </c>
      <c r="AC124" s="3">
        <f t="shared" ca="1" si="15"/>
        <v>0</v>
      </c>
    </row>
    <row r="125" spans="8:29">
      <c r="H125" t="b">
        <f t="shared" ca="1" si="12"/>
        <v>1</v>
      </c>
      <c r="I125" t="b">
        <f t="shared" ca="1" si="9"/>
        <v>1</v>
      </c>
      <c r="J125" s="2">
        <f ca="1"/>
        <v>45489</v>
      </c>
      <c r="K125">
        <f ca="1"/>
        <v>81.186035826183456</v>
      </c>
      <c r="L125">
        <f ca="1"/>
        <v>0.9163044421973936</v>
      </c>
      <c r="M125">
        <f ca="1"/>
        <v>6.5891570828782164E-3</v>
      </c>
      <c r="N125">
        <f ca="1"/>
        <v>0.64242070512796057</v>
      </c>
      <c r="O125">
        <f ca="1"/>
        <v>0</v>
      </c>
      <c r="P125">
        <f ca="1"/>
        <v>24.886419013493477</v>
      </c>
      <c r="Q125">
        <f ca="1"/>
        <v>10.904895885345283</v>
      </c>
      <c r="R125">
        <f ca="1"/>
        <v>1.6364280960442874</v>
      </c>
      <c r="S125">
        <f ca="1"/>
        <v>1</v>
      </c>
      <c r="T125">
        <f ca="1"/>
        <v>3.6599999999999966</v>
      </c>
      <c r="U125">
        <f ca="1"/>
        <v>0</v>
      </c>
      <c r="V125">
        <f ca="1"/>
        <v>0.89984822403402775</v>
      </c>
      <c r="X125" s="2">
        <f t="shared" ca="1" si="10"/>
        <v>45489</v>
      </c>
      <c r="Y125">
        <f t="shared" ca="1" si="11"/>
        <v>0</v>
      </c>
      <c r="AA125" s="63">
        <f t="shared" ca="1" si="13"/>
        <v>83.738768364425141</v>
      </c>
      <c r="AB125" s="63">
        <f t="shared" ca="1" si="14"/>
        <v>83.738768364425141</v>
      </c>
      <c r="AC125" s="3">
        <f t="shared" ca="1" si="15"/>
        <v>0</v>
      </c>
    </row>
    <row r="126" spans="8:29">
      <c r="H126" t="b">
        <f t="shared" ca="1" si="12"/>
        <v>1</v>
      </c>
      <c r="I126" t="b">
        <f t="shared" ca="1" si="9"/>
        <v>1</v>
      </c>
      <c r="J126" s="2">
        <f ca="1"/>
        <v>45490</v>
      </c>
      <c r="K126">
        <f ca="1"/>
        <v>80.879384349642891</v>
      </c>
      <c r="L126">
        <f ca="1"/>
        <v>0.87331354972611663</v>
      </c>
      <c r="M126">
        <f ca="1"/>
        <v>6.1937308500787935E-3</v>
      </c>
      <c r="N126">
        <f ca="1"/>
        <v>0.59610215804894884</v>
      </c>
      <c r="O126">
        <f ca="1"/>
        <v>0</v>
      </c>
      <c r="P126">
        <f ca="1"/>
        <v>25.759732563219593</v>
      </c>
      <c r="Q126">
        <f ca="1"/>
        <v>11.287570199792091</v>
      </c>
      <c r="R126">
        <f ca="1"/>
        <v>3.5633815713465092E-2</v>
      </c>
      <c r="S126">
        <f ca="1"/>
        <v>1</v>
      </c>
      <c r="T126">
        <f ca="1"/>
        <v>7.9999999999998295E-2</v>
      </c>
      <c r="U126">
        <f ca="1"/>
        <v>0</v>
      </c>
      <c r="V126">
        <f ca="1"/>
        <v>0.89987457774788893</v>
      </c>
      <c r="X126" s="2">
        <f t="shared" ca="1" si="10"/>
        <v>45490</v>
      </c>
      <c r="Y126">
        <f t="shared" ca="1" si="11"/>
        <v>0</v>
      </c>
      <c r="AA126" s="63">
        <f t="shared" ca="1" si="13"/>
        <v>81.788331715082478</v>
      </c>
      <c r="AB126" s="63">
        <f t="shared" ca="1" si="14"/>
        <v>81.788331715082478</v>
      </c>
      <c r="AC126" s="3">
        <f t="shared" ca="1" si="15"/>
        <v>0</v>
      </c>
    </row>
    <row r="127" spans="8:29">
      <c r="H127" t="b">
        <f t="shared" ca="1" si="12"/>
        <v>1</v>
      </c>
      <c r="I127" t="b">
        <f t="shared" ca="1" si="9"/>
        <v>1</v>
      </c>
      <c r="J127" s="2">
        <f ca="1"/>
        <v>45491</v>
      </c>
      <c r="K127">
        <f ca="1"/>
        <v>80.491036109329926</v>
      </c>
      <c r="L127">
        <f ca="1"/>
        <v>0.91501037625893744</v>
      </c>
      <c r="M127">
        <f ca="1"/>
        <v>6.1913591887332586E-3</v>
      </c>
      <c r="N127">
        <f ca="1"/>
        <v>0.60469473048323752</v>
      </c>
      <c r="O127">
        <f ca="1"/>
        <v>0</v>
      </c>
      <c r="P127">
        <f ca="1"/>
        <v>26.674742939478531</v>
      </c>
      <c r="Q127">
        <f ca="1"/>
        <v>11.688515505812385</v>
      </c>
      <c r="R127">
        <f ca="1"/>
        <v>8.4223953725993506E-2</v>
      </c>
      <c r="S127">
        <f ca="1"/>
        <v>1</v>
      </c>
      <c r="T127">
        <f ca="1"/>
        <v>0.18999999999999773</v>
      </c>
      <c r="U127">
        <f ca="1"/>
        <v>0</v>
      </c>
      <c r="V127">
        <f ca="1"/>
        <v>0.8998966682831907</v>
      </c>
      <c r="X127" s="2">
        <f t="shared" ca="1" si="10"/>
        <v>45491</v>
      </c>
      <c r="Y127">
        <f t="shared" ca="1" si="11"/>
        <v>0</v>
      </c>
      <c r="AA127" s="63">
        <f t="shared" ca="1" si="13"/>
        <v>81.490270439314855</v>
      </c>
      <c r="AB127" s="63">
        <f t="shared" ca="1" si="14"/>
        <v>81.490270439314855</v>
      </c>
      <c r="AC127" s="3">
        <f t="shared" ca="1" si="15"/>
        <v>0</v>
      </c>
    </row>
    <row r="128" spans="8:29">
      <c r="H128" t="b">
        <f t="shared" ca="1" si="12"/>
        <v>1</v>
      </c>
      <c r="I128" t="b">
        <f t="shared" ca="1" si="9"/>
        <v>1</v>
      </c>
      <c r="J128" s="2">
        <f ca="1"/>
        <v>45492</v>
      </c>
      <c r="K128">
        <f ca="1"/>
        <v>79.34930470410751</v>
      </c>
      <c r="L128">
        <f ca="1"/>
        <v>0.99815666069684639</v>
      </c>
      <c r="M128">
        <f ca="1"/>
        <v>6.3500387167607641E-3</v>
      </c>
      <c r="N128">
        <f ca="1"/>
        <v>0.6366683242592589</v>
      </c>
      <c r="O128">
        <f ca="1"/>
        <v>0</v>
      </c>
      <c r="P128">
        <f ca="1"/>
        <v>27.672899600175377</v>
      </c>
      <c r="Q128">
        <f ca="1"/>
        <v>12.125894401356224</v>
      </c>
      <c r="R128">
        <f ca="1"/>
        <v>0.78659310750158629</v>
      </c>
      <c r="S128">
        <f ca="1"/>
        <v>1</v>
      </c>
      <c r="T128">
        <f ca="1"/>
        <v>1.7999999999999972</v>
      </c>
      <c r="U128">
        <f ca="1"/>
        <v>0</v>
      </c>
      <c r="V128">
        <f ca="1"/>
        <v>0.89991579897641072</v>
      </c>
      <c r="X128" s="2">
        <f t="shared" ca="1" si="10"/>
        <v>45492</v>
      </c>
      <c r="Y128">
        <f t="shared" ca="1" si="11"/>
        <v>0</v>
      </c>
      <c r="AA128" s="63">
        <f t="shared" ca="1" si="13"/>
        <v>81.134054472305948</v>
      </c>
      <c r="AB128" s="63">
        <f t="shared" ca="1" si="14"/>
        <v>81.134054472305948</v>
      </c>
      <c r="AC128" s="3">
        <f t="shared" ca="1" si="15"/>
        <v>0</v>
      </c>
    </row>
    <row r="129" spans="8:29">
      <c r="H129" t="b">
        <f t="shared" ca="1" si="12"/>
        <v>1</v>
      </c>
      <c r="I129" t="b">
        <f t="shared" ca="1" si="9"/>
        <v>1</v>
      </c>
      <c r="J129" s="2">
        <f ca="1"/>
        <v>45493</v>
      </c>
      <c r="K129">
        <f ca="1"/>
        <v>77.852931555071279</v>
      </c>
      <c r="L129">
        <f ca="1"/>
        <v>1.0674015720927095</v>
      </c>
      <c r="M129">
        <f ca="1"/>
        <v>6.4318665391382979E-3</v>
      </c>
      <c r="N129">
        <f ca="1"/>
        <v>0.65792250835594379</v>
      </c>
      <c r="O129">
        <f ca="1"/>
        <v>0</v>
      </c>
      <c r="P129">
        <f ca="1"/>
        <v>28.740301172268087</v>
      </c>
      <c r="Q129">
        <f ca="1"/>
        <v>12.593615490726846</v>
      </c>
      <c r="R129">
        <f ca="1"/>
        <v>1.0933259518386085</v>
      </c>
      <c r="S129">
        <f ca="1"/>
        <v>1</v>
      </c>
      <c r="T129">
        <f ca="1"/>
        <v>2.5499999999999972</v>
      </c>
      <c r="U129">
        <f ca="1"/>
        <v>0</v>
      </c>
      <c r="V129">
        <f ca="1"/>
        <v>0.89993187435437771</v>
      </c>
      <c r="X129" s="2">
        <f t="shared" ca="1" si="10"/>
        <v>45493</v>
      </c>
      <c r="Y129">
        <f t="shared" ca="1" si="11"/>
        <v>0</v>
      </c>
      <c r="AA129" s="63">
        <f t="shared" ca="1" si="13"/>
        <v>80.013659079002593</v>
      </c>
      <c r="AB129" s="63">
        <f t="shared" ca="1" si="14"/>
        <v>80.013659079002593</v>
      </c>
      <c r="AC129" s="3">
        <f t="shared" ca="1" si="15"/>
        <v>0</v>
      </c>
    </row>
    <row r="130" spans="8:29">
      <c r="H130" t="b">
        <f t="shared" ca="1" si="12"/>
        <v>1</v>
      </c>
      <c r="I130" t="b">
        <f t="shared" ca="1" si="9"/>
        <v>1</v>
      </c>
      <c r="J130" s="2">
        <f ca="1"/>
        <v>45494</v>
      </c>
      <c r="K130">
        <f ca="1"/>
        <v>75.899419520027394</v>
      </c>
      <c r="L130">
        <f ca="1"/>
        <v>1.1262017131956377</v>
      </c>
      <c r="M130">
        <f ca="1"/>
        <v>6.4568039941477195E-3</v>
      </c>
      <c r="N130">
        <f ca="1"/>
        <v>0.67102136551119118</v>
      </c>
      <c r="O130">
        <f ca="1"/>
        <v>0</v>
      </c>
      <c r="P130">
        <f ca="1"/>
        <v>29.866502885463724</v>
      </c>
      <c r="Q130">
        <f ca="1"/>
        <v>13.087102015310277</v>
      </c>
      <c r="R130">
        <f ca="1"/>
        <v>1.5047884913535901</v>
      </c>
      <c r="S130">
        <f ca="1"/>
        <v>1</v>
      </c>
      <c r="T130">
        <f ca="1"/>
        <v>3.6000000000000085</v>
      </c>
      <c r="U130">
        <f ca="1"/>
        <v>0</v>
      </c>
      <c r="V130">
        <f ca="1"/>
        <v>0.89994511793946319</v>
      </c>
      <c r="X130" s="2">
        <f t="shared" ca="1" si="10"/>
        <v>45494</v>
      </c>
      <c r="Y130">
        <f t="shared" ca="1" si="11"/>
        <v>0</v>
      </c>
      <c r="AA130" s="63">
        <f t="shared" ca="1" si="13"/>
        <v>78.530409724576629</v>
      </c>
      <c r="AB130" s="63">
        <f t="shared" ca="1" si="14"/>
        <v>78.530409724576629</v>
      </c>
      <c r="AC130" s="3">
        <f t="shared" ca="1" si="15"/>
        <v>0</v>
      </c>
    </row>
    <row r="131" spans="8:29">
      <c r="H131" t="b">
        <f t="shared" ca="1" si="12"/>
        <v>1</v>
      </c>
      <c r="I131" t="b">
        <f t="shared" ca="1" si="9"/>
        <v>1</v>
      </c>
      <c r="J131" s="2">
        <f ca="1"/>
        <v>45495</v>
      </c>
      <c r="K131">
        <f ca="1"/>
        <v>73.66307643314741</v>
      </c>
      <c r="L131">
        <f ca="1"/>
        <v>1.0937563907488013</v>
      </c>
      <c r="M131">
        <f ca="1"/>
        <v>6.1345019182112992E-3</v>
      </c>
      <c r="N131">
        <f ca="1"/>
        <v>0.63221712232418492</v>
      </c>
      <c r="O131">
        <f ca="1"/>
        <v>0</v>
      </c>
      <c r="P131">
        <f ca="1"/>
        <v>30.960259276212525</v>
      </c>
      <c r="Q131">
        <f ca="1"/>
        <v>13.566371433645621</v>
      </c>
      <c r="R131">
        <f ca="1"/>
        <v>1.7809383203735669</v>
      </c>
      <c r="S131">
        <f ca="1"/>
        <v>1</v>
      </c>
      <c r="T131">
        <f ca="1"/>
        <v>4.3899999999999864</v>
      </c>
      <c r="U131">
        <f ca="1"/>
        <v>0</v>
      </c>
      <c r="V131">
        <f ca="1"/>
        <v>0.89995521165513337</v>
      </c>
      <c r="X131" s="2">
        <f t="shared" ca="1" si="10"/>
        <v>45495</v>
      </c>
      <c r="Y131">
        <f t="shared" ca="1" si="11"/>
        <v>0</v>
      </c>
      <c r="AA131" s="63">
        <f t="shared" ca="1" si="13"/>
        <v>76.537771144269783</v>
      </c>
      <c r="AB131" s="63">
        <f t="shared" ca="1" si="14"/>
        <v>76.537771144269783</v>
      </c>
      <c r="AC131" s="3">
        <f t="shared" ca="1" si="15"/>
        <v>0</v>
      </c>
    </row>
    <row r="132" spans="8:29">
      <c r="H132" t="b">
        <f t="shared" ca="1" si="12"/>
        <v>1</v>
      </c>
      <c r="I132" t="b">
        <f t="shared" ca="1" si="9"/>
        <v>1</v>
      </c>
      <c r="J132" s="2">
        <f ca="1"/>
        <v>45496</v>
      </c>
      <c r="K132">
        <f ca="1"/>
        <v>72.734160423636851</v>
      </c>
      <c r="L132">
        <f ca="1"/>
        <v>1.1246759184386264</v>
      </c>
      <c r="M132">
        <f ca="1"/>
        <v>6.0657607098733024E-3</v>
      </c>
      <c r="N132">
        <f ca="1"/>
        <v>0.63031558382804642</v>
      </c>
      <c r="O132">
        <f ca="1"/>
        <v>0</v>
      </c>
      <c r="P132">
        <f ca="1"/>
        <v>32.084935194651152</v>
      </c>
      <c r="Q132">
        <f ca="1"/>
        <v>14.059189375378356</v>
      </c>
      <c r="R132">
        <f ca="1"/>
        <v>0.44062143560985567</v>
      </c>
      <c r="S132">
        <f ca="1"/>
        <v>1</v>
      </c>
      <c r="T132">
        <f ca="1"/>
        <v>1.0999999999999943</v>
      </c>
      <c r="U132">
        <f ca="1"/>
        <v>0</v>
      </c>
      <c r="V132">
        <f ca="1"/>
        <v>0.89996342540474694</v>
      </c>
      <c r="X132" s="2">
        <f t="shared" ca="1" si="10"/>
        <v>45496</v>
      </c>
      <c r="Y132">
        <f t="shared" ca="1" si="11"/>
        <v>0</v>
      </c>
      <c r="AA132" s="63">
        <f t="shared" ca="1" si="13"/>
        <v>74.299457777685333</v>
      </c>
      <c r="AB132" s="63">
        <f t="shared" ca="1" si="14"/>
        <v>74.299457777685333</v>
      </c>
      <c r="AC132" s="3">
        <f t="shared" ca="1" si="15"/>
        <v>0</v>
      </c>
    </row>
    <row r="133" spans="8:29">
      <c r="H133" t="b">
        <f t="shared" ca="1" si="12"/>
        <v>1</v>
      </c>
      <c r="I133" t="b">
        <f t="shared" ca="1" si="9"/>
        <v>1</v>
      </c>
      <c r="J133" s="2">
        <f ca="1"/>
        <v>45497</v>
      </c>
      <c r="K133">
        <f ca="1"/>
        <v>72.240107619189146</v>
      </c>
      <c r="L133">
        <f ca="1"/>
        <v>1.1008749703860445</v>
      </c>
      <c r="M133">
        <f ca="1"/>
        <v>5.8196628962647878E-3</v>
      </c>
      <c r="N133">
        <f ca="1"/>
        <v>0.60100250304207381</v>
      </c>
      <c r="O133">
        <f ca="1"/>
        <v>0</v>
      </c>
      <c r="P133">
        <f ca="1"/>
        <v>33.185810165037196</v>
      </c>
      <c r="Q133">
        <f ca="1"/>
        <v>14.541578060079575</v>
      </c>
      <c r="R133">
        <f ca="1"/>
        <v>0</v>
      </c>
      <c r="S133">
        <f ca="1"/>
        <v>0.99855072463768124</v>
      </c>
      <c r="T133">
        <f ca="1"/>
        <v>0</v>
      </c>
      <c r="U133">
        <f ca="1"/>
        <v>0</v>
      </c>
      <c r="V133">
        <f ca="1"/>
        <v>0.89996982879590015</v>
      </c>
      <c r="X133" s="2">
        <f t="shared" ca="1" si="10"/>
        <v>45497</v>
      </c>
      <c r="Y133">
        <f t="shared" ca="1" si="11"/>
        <v>0</v>
      </c>
      <c r="AA133" s="63">
        <f t="shared" ca="1" si="13"/>
        <v>73.340982589575177</v>
      </c>
      <c r="AB133" s="63">
        <f t="shared" ca="1" si="14"/>
        <v>73.340982589575191</v>
      </c>
      <c r="AC133" s="3">
        <f t="shared" ca="1" si="15"/>
        <v>0</v>
      </c>
    </row>
    <row r="134" spans="8:29">
      <c r="H134" t="b">
        <f t="shared" ca="1" si="12"/>
        <v>1</v>
      </c>
      <c r="I134" t="b">
        <f t="shared" ca="1" si="9"/>
        <v>1</v>
      </c>
      <c r="J134" s="2">
        <f ca="1"/>
        <v>45498</v>
      </c>
      <c r="K134">
        <f ca="1"/>
        <v>71.725247560156504</v>
      </c>
      <c r="L134">
        <f ca="1"/>
        <v>1.1111831595382569</v>
      </c>
      <c r="M134">
        <f ca="1"/>
        <v>5.7029693496488676E-3</v>
      </c>
      <c r="N134">
        <f ca="1"/>
        <v>0.59062013115596423</v>
      </c>
      <c r="O134">
        <f ca="1"/>
        <v>0</v>
      </c>
      <c r="P134">
        <f ca="1"/>
        <v>34.296993324575453</v>
      </c>
      <c r="Q134">
        <f ca="1"/>
        <v>15.028483655366049</v>
      </c>
      <c r="R134">
        <f ca="1"/>
        <v>0</v>
      </c>
      <c r="S134">
        <f ca="1"/>
        <v>0.98594480220487102</v>
      </c>
      <c r="T134">
        <f ca="1"/>
        <v>0</v>
      </c>
      <c r="U134">
        <f ca="1"/>
        <v>0</v>
      </c>
      <c r="V134">
        <f ca="1"/>
        <v>0.89997501976784711</v>
      </c>
      <c r="X134" s="2">
        <f t="shared" ca="1" si="10"/>
        <v>45498</v>
      </c>
      <c r="Y134">
        <f t="shared" ca="1" si="11"/>
        <v>0</v>
      </c>
      <c r="AA134" s="63">
        <f t="shared" ca="1" si="13"/>
        <v>72.836430719694761</v>
      </c>
      <c r="AB134" s="63">
        <f t="shared" ca="1" si="14"/>
        <v>72.836430719694761</v>
      </c>
      <c r="AC134" s="3">
        <f t="shared" ca="1" si="15"/>
        <v>0</v>
      </c>
    </row>
    <row r="135" spans="8:29">
      <c r="H135" t="b">
        <f t="shared" ca="1" si="12"/>
        <v>1</v>
      </c>
      <c r="I135" t="b">
        <f t="shared" ca="1" si="9"/>
        <v>1</v>
      </c>
      <c r="J135" s="2">
        <f ca="1"/>
        <v>45499</v>
      </c>
      <c r="K135">
        <f ca="1"/>
        <v>71.138891655308498</v>
      </c>
      <c r="L135">
        <f ca="1"/>
        <v>1.21813183121251</v>
      </c>
      <c r="M135">
        <f ca="1"/>
        <v>5.8830015830082516E-3</v>
      </c>
      <c r="N135">
        <f ca="1"/>
        <v>0.62589292478149161</v>
      </c>
      <c r="O135">
        <f ca="1"/>
        <v>0</v>
      </c>
      <c r="P135">
        <f ca="1"/>
        <v>35.515125155787963</v>
      </c>
      <c r="Q135">
        <f ca="1"/>
        <v>15.56225272783867</v>
      </c>
      <c r="R135">
        <f ca="1"/>
        <v>0</v>
      </c>
      <c r="S135">
        <f ca="1"/>
        <v>0.99901109936074883</v>
      </c>
      <c r="T135">
        <f ca="1"/>
        <v>0</v>
      </c>
      <c r="U135">
        <f ca="1"/>
        <v>0</v>
      </c>
      <c r="V135">
        <f ca="1"/>
        <v>0.89997957018386565</v>
      </c>
      <c r="X135" s="2">
        <f t="shared" ca="1" si="10"/>
        <v>45499</v>
      </c>
      <c r="Y135">
        <f t="shared" ca="1" si="11"/>
        <v>0</v>
      </c>
      <c r="AA135" s="63">
        <f t="shared" ca="1" si="13"/>
        <v>72.357023486521015</v>
      </c>
      <c r="AB135" s="63">
        <f t="shared" ca="1" si="14"/>
        <v>72.357023486521001</v>
      </c>
      <c r="AC135" s="3">
        <f t="shared" ca="1" si="15"/>
        <v>0</v>
      </c>
    </row>
    <row r="136" spans="8:29">
      <c r="H136" t="b">
        <f t="shared" ca="1" si="12"/>
        <v>1</v>
      </c>
      <c r="I136" t="b">
        <f t="shared" ca="1" si="9"/>
        <v>1</v>
      </c>
      <c r="J136" s="2">
        <f ca="1"/>
        <v>45500</v>
      </c>
      <c r="K136">
        <f ca="1"/>
        <v>70.541174415411803</v>
      </c>
      <c r="L136">
        <f ca="1"/>
        <v>1.2081101991217054</v>
      </c>
      <c r="M136">
        <f ca="1"/>
        <v>5.6982287417781663E-3</v>
      </c>
      <c r="N136">
        <f ca="1"/>
        <v>0.60469473048323752</v>
      </c>
      <c r="O136">
        <f ca="1"/>
        <v>0</v>
      </c>
      <c r="P136">
        <f ca="1"/>
        <v>36.723235354909669</v>
      </c>
      <c r="Q136">
        <f ca="1"/>
        <v>16.091630455196821</v>
      </c>
      <c r="R136">
        <f ca="1"/>
        <v>0</v>
      </c>
      <c r="S136">
        <f ca="1"/>
        <v>0.99872309341370091</v>
      </c>
      <c r="T136">
        <f ca="1"/>
        <v>0</v>
      </c>
      <c r="U136">
        <f ca="1"/>
        <v>0</v>
      </c>
      <c r="V136">
        <f ca="1"/>
        <v>0.89998316881925644</v>
      </c>
      <c r="X136" s="2">
        <f t="shared" ca="1" si="10"/>
        <v>45500</v>
      </c>
      <c r="Y136">
        <f t="shared" ca="1" si="11"/>
        <v>0</v>
      </c>
      <c r="AA136" s="63">
        <f t="shared" ca="1" si="13"/>
        <v>71.749284614533508</v>
      </c>
      <c r="AB136" s="63">
        <f t="shared" ca="1" si="14"/>
        <v>71.749284614533508</v>
      </c>
      <c r="AC136" s="3">
        <f t="shared" ca="1" si="15"/>
        <v>0</v>
      </c>
    </row>
    <row r="137" spans="8:29">
      <c r="H137" t="b">
        <f t="shared" ca="1" si="12"/>
        <v>1</v>
      </c>
      <c r="I137" t="b">
        <f t="shared" ca="1" si="9"/>
        <v>1</v>
      </c>
      <c r="J137" s="2">
        <f ca="1"/>
        <v>45501</v>
      </c>
      <c r="K137">
        <f ca="1"/>
        <v>69.327937131478095</v>
      </c>
      <c r="L137">
        <f ca="1"/>
        <v>1.2493832086913486</v>
      </c>
      <c r="M137">
        <f ca="1"/>
        <v>5.6717609310155126E-3</v>
      </c>
      <c r="N137">
        <f ca="1"/>
        <v>0.60778271070876377</v>
      </c>
      <c r="O137">
        <f ca="1"/>
        <v>0</v>
      </c>
      <c r="P137">
        <f ca="1"/>
        <v>37.972618563601017</v>
      </c>
      <c r="Q137">
        <f ca="1"/>
        <v>16.639093463204947</v>
      </c>
      <c r="R137">
        <f ca="1"/>
        <v>0.57730854688215705</v>
      </c>
      <c r="S137">
        <f ca="1"/>
        <v>1</v>
      </c>
      <c r="T137">
        <f ca="1"/>
        <v>1.5120466955601728</v>
      </c>
      <c r="U137">
        <f ca="1"/>
        <v>0</v>
      </c>
      <c r="V137">
        <f ca="1"/>
        <v>0.89998614851354253</v>
      </c>
      <c r="X137" s="2">
        <f t="shared" ca="1" si="10"/>
        <v>45501</v>
      </c>
      <c r="Y137">
        <f t="shared" ca="1" si="11"/>
        <v>0</v>
      </c>
      <c r="AA137" s="63">
        <f t="shared" ca="1" si="13"/>
        <v>71.154628887051587</v>
      </c>
      <c r="AB137" s="63">
        <f t="shared" ca="1" si="14"/>
        <v>71.154628887051601</v>
      </c>
      <c r="AC137" s="3">
        <f t="shared" ca="1" si="15"/>
        <v>0</v>
      </c>
    </row>
    <row r="138" spans="8:29">
      <c r="H138" t="b">
        <f t="shared" ca="1" si="12"/>
        <v>1</v>
      </c>
      <c r="I138" t="b">
        <f t="shared" ca="1" si="9"/>
        <v>1</v>
      </c>
      <c r="J138" s="2">
        <f ca="1"/>
        <v>45502</v>
      </c>
      <c r="K138">
        <f ca="1"/>
        <v>68.660430551482449</v>
      </c>
      <c r="L138">
        <f ca="1"/>
        <v>1.1608167835888068</v>
      </c>
      <c r="M138">
        <f ca="1"/>
        <v>5.3021366733290165E-3</v>
      </c>
      <c r="N138">
        <f ca="1"/>
        <v>0.55607145024914084</v>
      </c>
      <c r="O138">
        <f ca="1"/>
        <v>0</v>
      </c>
      <c r="P138">
        <f ca="1"/>
        <v>39.133435347189824</v>
      </c>
      <c r="Q138">
        <f ca="1"/>
        <v>17.147747848560023</v>
      </c>
      <c r="R138">
        <f ca="1"/>
        <v>6.8063383329298219E-2</v>
      </c>
      <c r="S138">
        <f ca="1"/>
        <v>1</v>
      </c>
      <c r="T138">
        <f ca="1"/>
        <v>0.18000000000000682</v>
      </c>
      <c r="U138">
        <f ca="1"/>
        <v>0</v>
      </c>
      <c r="V138">
        <f ca="1"/>
        <v>0.89998838744134091</v>
      </c>
      <c r="X138" s="2">
        <f t="shared" ca="1" si="10"/>
        <v>45502</v>
      </c>
      <c r="Y138">
        <f t="shared" ca="1" si="11"/>
        <v>0</v>
      </c>
      <c r="AA138" s="63">
        <f t="shared" ca="1" si="13"/>
        <v>69.889310718400566</v>
      </c>
      <c r="AB138" s="63">
        <f t="shared" ca="1" si="14"/>
        <v>69.889310718400566</v>
      </c>
      <c r="AC138" s="3">
        <f t="shared" ca="1" si="15"/>
        <v>0</v>
      </c>
    </row>
    <row r="139" spans="8:29">
      <c r="H139" t="b">
        <f t="shared" ca="1" si="12"/>
        <v>1</v>
      </c>
      <c r="I139" t="b">
        <f t="shared" ca="1" si="9"/>
        <v>1</v>
      </c>
      <c r="J139" s="2">
        <f ca="1"/>
        <v>45503</v>
      </c>
      <c r="K139">
        <f ca="1"/>
        <v>67.406533455113916</v>
      </c>
      <c r="L139">
        <f ca="1"/>
        <v>1.2739864407376444</v>
      </c>
      <c r="M139">
        <f ca="1"/>
        <v>5.4741126828830033E-3</v>
      </c>
      <c r="N139">
        <f ca="1"/>
        <v>0.59001303175959041</v>
      </c>
      <c r="O139">
        <f ca="1"/>
        <v>0</v>
      </c>
      <c r="P139">
        <f ca="1"/>
        <v>40.407421787927468</v>
      </c>
      <c r="Q139">
        <f ca="1"/>
        <v>17.705991663712897</v>
      </c>
      <c r="R139">
        <f ca="1"/>
        <v>0.57539780007336261</v>
      </c>
      <c r="S139">
        <f ca="1"/>
        <v>1</v>
      </c>
      <c r="T139">
        <f ca="1"/>
        <v>1.5499999999999972</v>
      </c>
      <c r="U139">
        <f ca="1"/>
        <v>0</v>
      </c>
      <c r="V139">
        <f ca="1"/>
        <v>0.89999038334995451</v>
      </c>
      <c r="X139" s="2">
        <f t="shared" ca="1" si="10"/>
        <v>45503</v>
      </c>
      <c r="Y139">
        <f t="shared" ca="1" si="11"/>
        <v>0</v>
      </c>
      <c r="AA139" s="63">
        <f t="shared" ca="1" si="13"/>
        <v>69.255917695924936</v>
      </c>
      <c r="AB139" s="63">
        <f t="shared" ca="1" si="14"/>
        <v>69.255917695924921</v>
      </c>
      <c r="AC139" s="3">
        <f t="shared" ca="1" si="15"/>
        <v>0</v>
      </c>
    </row>
    <row r="140" spans="8:29">
      <c r="H140" t="b">
        <f t="shared" ca="1" si="12"/>
        <v>1</v>
      </c>
      <c r="I140" t="b">
        <f t="shared" ref="I140:I203" ca="1" si="16">AND(IF(J140&gt;($J$8-1),TRUE,FALSE),IF(J140&lt;($J$9+1),TRUE,FALSE))</f>
        <v>1</v>
      </c>
      <c r="J140" s="2">
        <f ca="1"/>
        <v>45504</v>
      </c>
      <c r="K140">
        <f ca="1"/>
        <v>65.005048209369875</v>
      </c>
      <c r="L140">
        <f ca="1"/>
        <v>1.5490637068185933</v>
      </c>
      <c r="M140">
        <f ca="1"/>
        <v>6.0627473679772947E-3</v>
      </c>
      <c r="N140">
        <f ca="1"/>
        <v>0.69165058796304768</v>
      </c>
      <c r="O140">
        <f ca="1"/>
        <v>0</v>
      </c>
      <c r="P140">
        <f ca="1"/>
        <v>41.956485494746062</v>
      </c>
      <c r="Q140">
        <f ca="1"/>
        <v>18.384770656924605</v>
      </c>
      <c r="R140">
        <f ca="1"/>
        <v>1.5501348742564807</v>
      </c>
      <c r="S140">
        <f ca="1"/>
        <v>1</v>
      </c>
      <c r="T140">
        <f ca="1"/>
        <v>4.3299999999999983</v>
      </c>
      <c r="U140">
        <f ca="1"/>
        <v>0</v>
      </c>
      <c r="V140">
        <f ca="1"/>
        <v>0.89999230450880097</v>
      </c>
      <c r="X140" s="2">
        <f t="shared" ref="X140:X203" ca="1" si="17">IFERROR(J140,$X$10)</f>
        <v>45504</v>
      </c>
      <c r="Y140">
        <f t="shared" ref="Y140:Y203" ca="1" si="18">IFERROR(O140,0)</f>
        <v>0</v>
      </c>
      <c r="AA140" s="63">
        <f t="shared" ca="1" si="13"/>
        <v>68.104246790444947</v>
      </c>
      <c r="AB140" s="63">
        <f t="shared" ca="1" si="14"/>
        <v>68.104246790444961</v>
      </c>
      <c r="AC140" s="3">
        <f t="shared" ca="1" si="15"/>
        <v>0</v>
      </c>
    </row>
    <row r="141" spans="8:29">
      <c r="H141" t="b">
        <f t="shared" ref="H141:H204" ca="1" si="19">IF(J141&lt;$J$9,TRUE,FALSE)</f>
        <v>1</v>
      </c>
      <c r="I141" t="b">
        <f t="shared" ca="1" si="16"/>
        <v>1</v>
      </c>
      <c r="J141" s="2">
        <f ca="1"/>
        <v>45505</v>
      </c>
      <c r="K141">
        <f ca="1"/>
        <v>62.925312670287902</v>
      </c>
      <c r="L141">
        <f ca="1"/>
        <v>1.6376547858485537</v>
      </c>
      <c r="M141">
        <f ca="1"/>
        <v>6.120838914121407E-3</v>
      </c>
      <c r="N141">
        <f ca="1"/>
        <v>0.70925937656447946</v>
      </c>
      <c r="O141">
        <f ca="1"/>
        <v>0</v>
      </c>
      <c r="P141">
        <f ca="1"/>
        <v>43.594140280594615</v>
      </c>
      <c r="Q141">
        <f ca="1"/>
        <v>19.102369075810547</v>
      </c>
      <c r="R141">
        <f ca="1"/>
        <v>1.1574609687120216</v>
      </c>
      <c r="S141">
        <f ca="1"/>
        <v>1</v>
      </c>
      <c r="T141">
        <f ca="1"/>
        <v>3.3400000000000034</v>
      </c>
      <c r="U141">
        <f ca="1"/>
        <v>0</v>
      </c>
      <c r="V141">
        <f ca="1"/>
        <v>0.89999387628514183</v>
      </c>
      <c r="X141" s="2">
        <f t="shared" ca="1" si="17"/>
        <v>45505</v>
      </c>
      <c r="Y141">
        <f t="shared" ca="1" si="18"/>
        <v>0</v>
      </c>
      <c r="AA141" s="63">
        <f t="shared" ca="1" si="13"/>
        <v>65.720428424848464</v>
      </c>
      <c r="AB141" s="63">
        <f t="shared" ca="1" si="14"/>
        <v>65.720428424848464</v>
      </c>
      <c r="AC141" s="3">
        <f t="shared" ca="1" si="15"/>
        <v>0</v>
      </c>
    </row>
    <row r="142" spans="8:29">
      <c r="H142" t="b">
        <f t="shared" ca="1" si="19"/>
        <v>1</v>
      </c>
      <c r="I142" t="b">
        <f t="shared" ca="1" si="16"/>
        <v>1</v>
      </c>
      <c r="J142" s="2">
        <f ca="1"/>
        <v>45506</v>
      </c>
      <c r="K142">
        <f ca="1"/>
        <v>61.764377980298981</v>
      </c>
      <c r="L142">
        <f ca="1"/>
        <v>1.6077383449467959</v>
      </c>
      <c r="M142">
        <f ca="1"/>
        <v>5.8634066239804383E-3</v>
      </c>
      <c r="N142">
        <f ca="1"/>
        <v>0.67564488465902905</v>
      </c>
      <c r="O142">
        <f ca="1"/>
        <v>0</v>
      </c>
      <c r="P142">
        <f ca="1"/>
        <v>45.201878625541411</v>
      </c>
      <c r="Q142">
        <f ca="1"/>
        <v>19.806858510510494</v>
      </c>
      <c r="R142">
        <f ca="1"/>
        <v>0.23470463632513533</v>
      </c>
      <c r="S142">
        <f ca="1"/>
        <v>1</v>
      </c>
      <c r="T142">
        <f ca="1"/>
        <v>0.68999999999999773</v>
      </c>
      <c r="U142">
        <f ca="1"/>
        <v>0</v>
      </c>
      <c r="V142">
        <f ca="1"/>
        <v>0.89999507423505132</v>
      </c>
      <c r="X142" s="2">
        <f t="shared" ca="1" si="17"/>
        <v>45506</v>
      </c>
      <c r="Y142">
        <f t="shared" ca="1" si="18"/>
        <v>0</v>
      </c>
      <c r="AA142" s="63">
        <f t="shared" ref="AA142:AA205" ca="1" si="20">K141+M142+N142+O142</f>
        <v>63.606820961570911</v>
      </c>
      <c r="AB142" s="63">
        <f t="shared" ref="AB142:AB205" ca="1" si="21">K142+L142+R142</f>
        <v>63.606820961570911</v>
      </c>
      <c r="AC142" s="3">
        <f t="shared" ref="AC142:AC205" ca="1" si="22">AB142-AA142</f>
        <v>0</v>
      </c>
    </row>
    <row r="143" spans="8:29">
      <c r="H143" t="b">
        <f t="shared" ca="1" si="19"/>
        <v>1</v>
      </c>
      <c r="I143" t="b">
        <f t="shared" ca="1" si="16"/>
        <v>1</v>
      </c>
      <c r="J143" s="2">
        <f ca="1"/>
        <v>45507</v>
      </c>
      <c r="K143">
        <f ca="1"/>
        <v>59.170426634566518</v>
      </c>
      <c r="L143">
        <f ca="1"/>
        <v>1.6677161940909002</v>
      </c>
      <c r="M143">
        <f ca="1"/>
        <v>5.8484657818738128E-3</v>
      </c>
      <c r="N143">
        <f ca="1"/>
        <v>0.68095366517974043</v>
      </c>
      <c r="O143">
        <f ca="1"/>
        <v>0</v>
      </c>
      <c r="P143">
        <f ca="1"/>
        <v>46.869594819632312</v>
      </c>
      <c r="Q143">
        <f ca="1"/>
        <v>20.537629436331724</v>
      </c>
      <c r="R143">
        <f ca="1"/>
        <v>1.6130372826031836</v>
      </c>
      <c r="S143">
        <f ca="1"/>
        <v>1</v>
      </c>
      <c r="T143">
        <f ca="1"/>
        <v>4.9500000000000028</v>
      </c>
      <c r="U143">
        <f ca="1"/>
        <v>0</v>
      </c>
      <c r="V143">
        <f ca="1"/>
        <v>0.89999604466336636</v>
      </c>
      <c r="X143" s="2">
        <f t="shared" ca="1" si="17"/>
        <v>45507</v>
      </c>
      <c r="Y143">
        <f t="shared" ca="1" si="18"/>
        <v>0</v>
      </c>
      <c r="AA143" s="63">
        <f t="shared" ca="1" si="20"/>
        <v>62.451180111260598</v>
      </c>
      <c r="AB143" s="63">
        <f t="shared" ca="1" si="21"/>
        <v>62.451180111260598</v>
      </c>
      <c r="AC143" s="3">
        <f t="shared" ca="1" si="22"/>
        <v>0</v>
      </c>
    </row>
    <row r="144" spans="8:29">
      <c r="H144" t="b">
        <f t="shared" ca="1" si="19"/>
        <v>1</v>
      </c>
      <c r="I144" t="b">
        <f t="shared" ca="1" si="16"/>
        <v>1</v>
      </c>
      <c r="J144" s="2">
        <f ca="1"/>
        <v>45508</v>
      </c>
      <c r="K144">
        <f ca="1"/>
        <v>57.663722980686018</v>
      </c>
      <c r="L144">
        <f ca="1"/>
        <v>1.6455562337171799</v>
      </c>
      <c r="M144">
        <f ca="1"/>
        <v>5.639724868707674E-3</v>
      </c>
      <c r="N144">
        <f ca="1"/>
        <v>0.65402491528048512</v>
      </c>
      <c r="O144">
        <f ca="1"/>
        <v>0</v>
      </c>
      <c r="P144">
        <f ca="1"/>
        <v>48.515151053349491</v>
      </c>
      <c r="Q144">
        <f ca="1"/>
        <v>21.25869016396944</v>
      </c>
      <c r="R144">
        <f ca="1"/>
        <v>0.52081206031251503</v>
      </c>
      <c r="S144">
        <f ca="1"/>
        <v>1</v>
      </c>
      <c r="T144">
        <f ca="1"/>
        <v>1.6400000000000006</v>
      </c>
      <c r="U144">
        <f ca="1"/>
        <v>0</v>
      </c>
      <c r="V144">
        <f ca="1"/>
        <v>0.89999679571636981</v>
      </c>
      <c r="X144" s="2">
        <f t="shared" ca="1" si="17"/>
        <v>45508</v>
      </c>
      <c r="Y144">
        <f t="shared" ca="1" si="18"/>
        <v>0</v>
      </c>
      <c r="AA144" s="63">
        <f t="shared" ca="1" si="20"/>
        <v>59.830091274715713</v>
      </c>
      <c r="AB144" s="63">
        <f t="shared" ca="1" si="21"/>
        <v>59.830091274715713</v>
      </c>
      <c r="AC144" s="3">
        <f t="shared" ca="1" si="22"/>
        <v>0</v>
      </c>
    </row>
    <row r="145" spans="8:29">
      <c r="H145" t="b">
        <f t="shared" ca="1" si="19"/>
        <v>1</v>
      </c>
      <c r="I145" t="b">
        <f t="shared" ca="1" si="16"/>
        <v>1</v>
      </c>
      <c r="J145" s="2">
        <f ca="1"/>
        <v>45509</v>
      </c>
      <c r="K145">
        <f ca="1"/>
        <v>55.565547154928154</v>
      </c>
      <c r="L145">
        <f ca="1"/>
        <v>1.7092511219262292</v>
      </c>
      <c r="M145">
        <f ca="1"/>
        <v>5.6388945121810252E-3</v>
      </c>
      <c r="N145">
        <f ca="1"/>
        <v>0.66118179759982521</v>
      </c>
      <c r="O145">
        <f ca="1"/>
        <v>0</v>
      </c>
      <c r="P145">
        <f ca="1"/>
        <v>50.224402175275721</v>
      </c>
      <c r="Q145">
        <f ca="1"/>
        <v>22.00766113952076</v>
      </c>
      <c r="R145">
        <f ca="1"/>
        <v>1.0557453959436358</v>
      </c>
      <c r="S145">
        <f ca="1"/>
        <v>1</v>
      </c>
      <c r="T145">
        <f ca="1"/>
        <v>3.4500000000000028</v>
      </c>
      <c r="U145">
        <f ca="1"/>
        <v>0</v>
      </c>
      <c r="V145">
        <f ca="1"/>
        <v>0.89999741030438796</v>
      </c>
      <c r="X145" s="2">
        <f t="shared" ca="1" si="17"/>
        <v>45509</v>
      </c>
      <c r="Y145">
        <f t="shared" ca="1" si="18"/>
        <v>0</v>
      </c>
      <c r="AA145" s="63">
        <f t="shared" ca="1" si="20"/>
        <v>58.330543672798022</v>
      </c>
      <c r="AB145" s="63">
        <f t="shared" ca="1" si="21"/>
        <v>58.330543672798022</v>
      </c>
      <c r="AC145" s="3">
        <f t="shared" ca="1" si="22"/>
        <v>0</v>
      </c>
    </row>
    <row r="146" spans="8:29">
      <c r="H146" t="b">
        <f t="shared" ca="1" si="19"/>
        <v>1</v>
      </c>
      <c r="I146" t="b">
        <f t="shared" ca="1" si="16"/>
        <v>1</v>
      </c>
      <c r="J146" s="2">
        <f ca="1"/>
        <v>45510</v>
      </c>
      <c r="K146">
        <f ca="1"/>
        <v>54.136875162530401</v>
      </c>
      <c r="L146">
        <f ca="1"/>
        <v>1.7747388745367445</v>
      </c>
      <c r="M146">
        <f ca="1"/>
        <v>5.6380794731722972E-3</v>
      </c>
      <c r="N146">
        <f ca="1"/>
        <v>0.66838842321564695</v>
      </c>
      <c r="O146">
        <f ca="1"/>
        <v>0</v>
      </c>
      <c r="P146">
        <f ca="1"/>
        <v>51.999141049812465</v>
      </c>
      <c r="Q146">
        <f ca="1"/>
        <v>22.785327972181765</v>
      </c>
      <c r="R146">
        <f ca="1"/>
        <v>0.32795962054982442</v>
      </c>
      <c r="S146">
        <f ca="1"/>
        <v>1</v>
      </c>
      <c r="T146">
        <f ca="1"/>
        <v>1.1000000000000085</v>
      </c>
      <c r="U146">
        <f ca="1"/>
        <v>0</v>
      </c>
      <c r="V146">
        <f ca="1"/>
        <v>0.89999791196981571</v>
      </c>
      <c r="X146" s="2">
        <f t="shared" ca="1" si="17"/>
        <v>45510</v>
      </c>
      <c r="Y146">
        <f t="shared" ca="1" si="18"/>
        <v>0</v>
      </c>
      <c r="AA146" s="63">
        <f t="shared" ca="1" si="20"/>
        <v>56.239573657616972</v>
      </c>
      <c r="AB146" s="63">
        <f t="shared" ca="1" si="21"/>
        <v>56.239573657616972</v>
      </c>
      <c r="AC146" s="3">
        <f t="shared" ca="1" si="22"/>
        <v>0</v>
      </c>
    </row>
    <row r="147" spans="8:29">
      <c r="H147" t="b">
        <f t="shared" ca="1" si="19"/>
        <v>1</v>
      </c>
      <c r="I147" t="b">
        <f t="shared" ca="1" si="16"/>
        <v>1</v>
      </c>
      <c r="J147" s="2">
        <f ca="1"/>
        <v>45511</v>
      </c>
      <c r="K147">
        <f ca="1"/>
        <v>52.32920001199016</v>
      </c>
      <c r="L147">
        <f ca="1"/>
        <v>1.7238346296416935</v>
      </c>
      <c r="M147">
        <f ca="1"/>
        <v>5.3935383699368344E-3</v>
      </c>
      <c r="N147">
        <f ca="1"/>
        <v>0.63412233162189835</v>
      </c>
      <c r="O147">
        <f ca="1"/>
        <v>0</v>
      </c>
      <c r="P147">
        <f ca="1"/>
        <v>53.722975679454159</v>
      </c>
      <c r="Q147">
        <f ca="1"/>
        <v>23.540689245718266</v>
      </c>
      <c r="R147">
        <f ca="1"/>
        <v>0.7233563908903814</v>
      </c>
      <c r="S147">
        <f ca="1"/>
        <v>1</v>
      </c>
      <c r="T147">
        <f ca="1"/>
        <v>2.5100000000000051</v>
      </c>
      <c r="U147">
        <f ca="1"/>
        <v>0</v>
      </c>
      <c r="V147">
        <f ca="1"/>
        <v>0.89999829711282353</v>
      </c>
      <c r="X147" s="2">
        <f t="shared" ca="1" si="17"/>
        <v>45511</v>
      </c>
      <c r="Y147">
        <f t="shared" ca="1" si="18"/>
        <v>0</v>
      </c>
      <c r="AA147" s="63">
        <f t="shared" ca="1" si="20"/>
        <v>54.776391032522234</v>
      </c>
      <c r="AB147" s="63">
        <f t="shared" ca="1" si="21"/>
        <v>54.776391032522234</v>
      </c>
      <c r="AC147" s="3">
        <f t="shared" ca="1" si="22"/>
        <v>0</v>
      </c>
    </row>
    <row r="148" spans="8:29">
      <c r="H148" t="b">
        <f t="shared" ca="1" si="19"/>
        <v>1</v>
      </c>
      <c r="I148" t="b">
        <f t="shared" ca="1" si="16"/>
        <v>1</v>
      </c>
      <c r="J148" s="2">
        <f ca="1"/>
        <v>45512</v>
      </c>
      <c r="K148">
        <f ca="1"/>
        <v>50.751927269577344</v>
      </c>
      <c r="L148">
        <f ca="1"/>
        <v>1.5716897879931082</v>
      </c>
      <c r="M148">
        <f ca="1"/>
        <v>4.9860384919142575E-3</v>
      </c>
      <c r="N148">
        <f ca="1"/>
        <v>0.57079801163728261</v>
      </c>
      <c r="O148">
        <f ca="1"/>
        <v>0</v>
      </c>
      <c r="P148">
        <f ca="1"/>
        <v>55.294665467447267</v>
      </c>
      <c r="Q148">
        <f ca="1"/>
        <v>24.229382685012702</v>
      </c>
      <c r="R148">
        <f ca="1"/>
        <v>0.581367004548901</v>
      </c>
      <c r="S148">
        <f ca="1"/>
        <v>1</v>
      </c>
      <c r="T148">
        <f ca="1"/>
        <v>2.0800000000000125</v>
      </c>
      <c r="U148">
        <f ca="1"/>
        <v>0</v>
      </c>
      <c r="V148">
        <f ca="1"/>
        <v>0.89999858003929789</v>
      </c>
      <c r="X148" s="2">
        <f t="shared" ca="1" si="17"/>
        <v>45512</v>
      </c>
      <c r="Y148">
        <f t="shared" ca="1" si="18"/>
        <v>0</v>
      </c>
      <c r="AA148" s="63">
        <f t="shared" ca="1" si="20"/>
        <v>52.904984062119354</v>
      </c>
      <c r="AB148" s="63">
        <f t="shared" ca="1" si="21"/>
        <v>52.904984062119354</v>
      </c>
      <c r="AC148" s="3">
        <f t="shared" ca="1" si="22"/>
        <v>0</v>
      </c>
    </row>
    <row r="149" spans="8:29">
      <c r="H149" t="b">
        <f t="shared" ca="1" si="19"/>
        <v>1</v>
      </c>
      <c r="I149" t="b">
        <f t="shared" ca="1" si="16"/>
        <v>1</v>
      </c>
      <c r="J149" s="2">
        <f ca="1"/>
        <v>45513</v>
      </c>
      <c r="K149">
        <f ca="1"/>
        <v>49.776663669083149</v>
      </c>
      <c r="L149">
        <f ca="1"/>
        <v>1.4917880193513824</v>
      </c>
      <c r="M149">
        <f ca="1"/>
        <v>4.7541008041775967E-3</v>
      </c>
      <c r="N149">
        <f ca="1"/>
        <v>0.53644222961072929</v>
      </c>
      <c r="O149">
        <f ca="1"/>
        <v>0</v>
      </c>
      <c r="P149">
        <f ca="1"/>
        <v>56.786453486798649</v>
      </c>
      <c r="Q149">
        <f ca="1"/>
        <v>24.883064238200884</v>
      </c>
      <c r="R149">
        <f ca="1"/>
        <v>2.4671911557716517E-2</v>
      </c>
      <c r="S149">
        <f ca="1"/>
        <v>1</v>
      </c>
      <c r="T149">
        <f ca="1"/>
        <v>8.99999999999892E-2</v>
      </c>
      <c r="U149">
        <f ca="1"/>
        <v>0</v>
      </c>
      <c r="V149">
        <f ca="1"/>
        <v>0.8999988008058879</v>
      </c>
      <c r="X149" s="2">
        <f t="shared" ca="1" si="17"/>
        <v>45513</v>
      </c>
      <c r="Y149">
        <f t="shared" ca="1" si="18"/>
        <v>0</v>
      </c>
      <c r="AA149" s="63">
        <f t="shared" ca="1" si="20"/>
        <v>51.293123599992249</v>
      </c>
      <c r="AB149" s="63">
        <f t="shared" ca="1" si="21"/>
        <v>51.293123599992249</v>
      </c>
      <c r="AC149" s="3">
        <f t="shared" ca="1" si="22"/>
        <v>0</v>
      </c>
    </row>
    <row r="150" spans="8:29">
      <c r="H150" t="b">
        <f t="shared" ca="1" si="19"/>
        <v>1</v>
      </c>
      <c r="I150" t="b">
        <f t="shared" ca="1" si="16"/>
        <v>1</v>
      </c>
      <c r="J150" s="2">
        <f ca="1"/>
        <v>45514</v>
      </c>
      <c r="K150">
        <f ca="1"/>
        <v>47.764842995002255</v>
      </c>
      <c r="L150">
        <f ca="1"/>
        <v>1.7070368543640058</v>
      </c>
      <c r="M150">
        <f ca="1"/>
        <v>5.0432959810464695E-3</v>
      </c>
      <c r="N150">
        <f ca="1"/>
        <v>0.59244384603664579</v>
      </c>
      <c r="O150">
        <f ca="1"/>
        <v>0</v>
      </c>
      <c r="P150">
        <f ca="1"/>
        <v>58.493490341162655</v>
      </c>
      <c r="Q150">
        <f ca="1"/>
        <v>25.631064951328543</v>
      </c>
      <c r="R150">
        <f ca="1"/>
        <v>0.90227096173458055</v>
      </c>
      <c r="S150">
        <f ca="1"/>
        <v>1</v>
      </c>
      <c r="T150">
        <f ca="1"/>
        <v>3.4300000000000068</v>
      </c>
      <c r="U150">
        <f ca="1"/>
        <v>0</v>
      </c>
      <c r="V150">
        <f ca="1"/>
        <v>0.8999990077751665</v>
      </c>
      <c r="X150" s="2">
        <f t="shared" ca="1" si="17"/>
        <v>45514</v>
      </c>
      <c r="Y150">
        <f t="shared" ca="1" si="18"/>
        <v>0</v>
      </c>
      <c r="AA150" s="63">
        <f t="shared" ca="1" si="20"/>
        <v>50.37415081110084</v>
      </c>
      <c r="AB150" s="63">
        <f t="shared" ca="1" si="21"/>
        <v>50.37415081110084</v>
      </c>
      <c r="AC150" s="3">
        <f t="shared" ca="1" si="22"/>
        <v>0</v>
      </c>
    </row>
    <row r="151" spans="8:29">
      <c r="H151" t="b">
        <f t="shared" ca="1" si="19"/>
        <v>1</v>
      </c>
      <c r="I151" t="b">
        <f t="shared" ca="1" si="16"/>
        <v>1</v>
      </c>
      <c r="J151" s="2">
        <f ca="1"/>
        <v>45515</v>
      </c>
      <c r="K151">
        <f ca="1"/>
        <v>45.619937166078785</v>
      </c>
      <c r="L151">
        <f ca="1"/>
        <v>1.8256392613519381</v>
      </c>
      <c r="M151">
        <f ca="1"/>
        <v>5.1519869167790944E-3</v>
      </c>
      <c r="N151">
        <f ca="1"/>
        <v>0.61773232176766324</v>
      </c>
      <c r="O151">
        <f ca="1"/>
        <v>0</v>
      </c>
      <c r="P151">
        <f ca="1"/>
        <v>60.319129602514593</v>
      </c>
      <c r="Q151">
        <f ca="1"/>
        <v>26.431035652555067</v>
      </c>
      <c r="R151">
        <f ca="1"/>
        <v>0.94215087625597493</v>
      </c>
      <c r="S151">
        <f ca="1"/>
        <v>1</v>
      </c>
      <c r="T151">
        <f ca="1"/>
        <v>3.75</v>
      </c>
      <c r="U151">
        <f ca="1"/>
        <v>0</v>
      </c>
      <c r="V151">
        <f ca="1"/>
        <v>0.89999918624654418</v>
      </c>
      <c r="X151" s="2">
        <f t="shared" ca="1" si="17"/>
        <v>45515</v>
      </c>
      <c r="Y151">
        <f t="shared" ca="1" si="18"/>
        <v>0</v>
      </c>
      <c r="AA151" s="63">
        <f t="shared" ca="1" si="20"/>
        <v>48.387727303686695</v>
      </c>
      <c r="AB151" s="63">
        <f t="shared" ca="1" si="21"/>
        <v>48.387727303686695</v>
      </c>
      <c r="AC151" s="3">
        <f t="shared" ca="1" si="22"/>
        <v>0</v>
      </c>
    </row>
    <row r="152" spans="8:29">
      <c r="H152" t="b">
        <f t="shared" ca="1" si="19"/>
        <v>1</v>
      </c>
      <c r="I152" t="b">
        <f t="shared" ca="1" si="16"/>
        <v>1</v>
      </c>
      <c r="J152" s="2">
        <f ca="1"/>
        <v>45516</v>
      </c>
      <c r="K152">
        <f ca="1"/>
        <v>43.871069581620311</v>
      </c>
      <c r="L152">
        <f ca="1"/>
        <v>1.926869272200058</v>
      </c>
      <c r="M152">
        <f ca="1"/>
        <v>5.2222383627622548E-3</v>
      </c>
      <c r="N152">
        <f ca="1"/>
        <v>0.6366683242592589</v>
      </c>
      <c r="O152">
        <f ca="1"/>
        <v>0</v>
      </c>
      <c r="P152">
        <f ca="1"/>
        <v>62.245998874714651</v>
      </c>
      <c r="Q152">
        <f ca="1"/>
        <v>27.275363990297016</v>
      </c>
      <c r="R152">
        <f ca="1"/>
        <v>0.46388887488043778</v>
      </c>
      <c r="S152">
        <f ca="1"/>
        <v>1</v>
      </c>
      <c r="T152">
        <f ca="1"/>
        <v>1.9200000000000017</v>
      </c>
      <c r="U152">
        <f ca="1"/>
        <v>0</v>
      </c>
      <c r="V152">
        <f ca="1"/>
        <v>0.89999933691773526</v>
      </c>
      <c r="X152" s="2">
        <f t="shared" ca="1" si="17"/>
        <v>45516</v>
      </c>
      <c r="Y152">
        <f t="shared" ca="1" si="18"/>
        <v>0</v>
      </c>
      <c r="AA152" s="63">
        <f t="shared" ca="1" si="20"/>
        <v>46.261827728700808</v>
      </c>
      <c r="AB152" s="63">
        <f t="shared" ca="1" si="21"/>
        <v>46.261827728700808</v>
      </c>
      <c r="AC152" s="3">
        <f t="shared" ca="1" si="22"/>
        <v>0</v>
      </c>
    </row>
    <row r="153" spans="8:29">
      <c r="H153" t="b">
        <f t="shared" ca="1" si="19"/>
        <v>1</v>
      </c>
      <c r="I153" t="b">
        <f t="shared" ca="1" si="16"/>
        <v>1</v>
      </c>
      <c r="J153" s="2">
        <f ca="1"/>
        <v>45517</v>
      </c>
      <c r="K153">
        <f ca="1"/>
        <v>41.240547170136203</v>
      </c>
      <c r="L153">
        <f ca="1"/>
        <v>2.0276838242920903</v>
      </c>
      <c r="M153">
        <f ca="1"/>
        <v>5.28543304460527E-3</v>
      </c>
      <c r="N153">
        <f ca="1"/>
        <v>0.65467348789473667</v>
      </c>
      <c r="O153">
        <f ca="1"/>
        <v>0</v>
      </c>
      <c r="P153">
        <f ca="1"/>
        <v>64.273682699006741</v>
      </c>
      <c r="Q153">
        <f ca="1"/>
        <v>28.163867916085415</v>
      </c>
      <c r="R153">
        <f ca="1"/>
        <v>1.2627975081313594</v>
      </c>
      <c r="S153">
        <f ca="1"/>
        <v>1</v>
      </c>
      <c r="T153">
        <f ca="1"/>
        <v>5.5600000000000023</v>
      </c>
      <c r="U153">
        <f ca="1"/>
        <v>0</v>
      </c>
      <c r="V153">
        <f ca="1"/>
        <v>0.8999994629422301</v>
      </c>
      <c r="X153" s="2">
        <f t="shared" ca="1" si="17"/>
        <v>45517</v>
      </c>
      <c r="Y153">
        <f t="shared" ca="1" si="18"/>
        <v>0</v>
      </c>
      <c r="AA153" s="63">
        <f t="shared" ca="1" si="20"/>
        <v>44.53102850255965</v>
      </c>
      <c r="AB153" s="63">
        <f t="shared" ca="1" si="21"/>
        <v>44.53102850255965</v>
      </c>
      <c r="AC153" s="3">
        <f t="shared" ca="1" si="22"/>
        <v>0</v>
      </c>
    </row>
    <row r="154" spans="8:29">
      <c r="H154" t="b">
        <f t="shared" ca="1" si="19"/>
        <v>1</v>
      </c>
      <c r="I154" t="b">
        <f t="shared" ca="1" si="16"/>
        <v>1</v>
      </c>
      <c r="J154" s="2">
        <f ca="1"/>
        <v>45518</v>
      </c>
      <c r="K154">
        <f ca="1"/>
        <v>39.43622653585377</v>
      </c>
      <c r="L154">
        <f ca="1"/>
        <v>1.9992395046946569</v>
      </c>
      <c r="M154">
        <f ca="1"/>
        <v>5.1245183249619686E-3</v>
      </c>
      <c r="N154">
        <f ca="1"/>
        <v>0.63285178412484966</v>
      </c>
      <c r="O154">
        <f ca="1"/>
        <v>0</v>
      </c>
      <c r="P154">
        <f ca="1"/>
        <v>66.272922203701398</v>
      </c>
      <c r="Q154">
        <f ca="1"/>
        <v>29.039907921549592</v>
      </c>
      <c r="R154">
        <f ca="1"/>
        <v>0.44305743203759024</v>
      </c>
      <c r="S154">
        <f ca="1"/>
        <v>1</v>
      </c>
      <c r="T154">
        <f ca="1"/>
        <v>2.039999999999992</v>
      </c>
      <c r="U154">
        <f ca="1"/>
        <v>0</v>
      </c>
      <c r="V154">
        <f ca="1"/>
        <v>0.89999956181532936</v>
      </c>
      <c r="X154" s="2">
        <f t="shared" ca="1" si="17"/>
        <v>45518</v>
      </c>
      <c r="Y154">
        <f t="shared" ca="1" si="18"/>
        <v>0</v>
      </c>
      <c r="AA154" s="63">
        <f t="shared" ca="1" si="20"/>
        <v>41.878523472586018</v>
      </c>
      <c r="AB154" s="63">
        <f t="shared" ca="1" si="21"/>
        <v>41.878523472586018</v>
      </c>
      <c r="AC154" s="3">
        <f t="shared" ca="1" si="22"/>
        <v>0</v>
      </c>
    </row>
    <row r="155" spans="8:29">
      <c r="H155" t="b">
        <f t="shared" ca="1" si="19"/>
        <v>1</v>
      </c>
      <c r="I155" t="b">
        <f t="shared" ca="1" si="16"/>
        <v>1</v>
      </c>
      <c r="J155" s="2">
        <f ca="1"/>
        <v>45519</v>
      </c>
      <c r="K155">
        <f ca="1"/>
        <v>37.931315341979094</v>
      </c>
      <c r="L155">
        <f ca="1"/>
        <v>2.0969181062934865</v>
      </c>
      <c r="M155">
        <f ca="1"/>
        <v>5.179649944160758E-3</v>
      </c>
      <c r="N155">
        <f ca="1"/>
        <v>0.64949639217008948</v>
      </c>
      <c r="O155">
        <f ca="1"/>
        <v>0</v>
      </c>
      <c r="P155">
        <f ca="1"/>
        <v>68.369840309994885</v>
      </c>
      <c r="Q155">
        <f ca="1"/>
        <v>29.958749383506312</v>
      </c>
      <c r="R155">
        <f ca="1"/>
        <v>6.2669129695440168E-2</v>
      </c>
      <c r="S155">
        <f ca="1"/>
        <v>1</v>
      </c>
      <c r="T155">
        <f ca="1"/>
        <v>0.29999999999998295</v>
      </c>
      <c r="U155">
        <f ca="1"/>
        <v>0</v>
      </c>
      <c r="V155">
        <f ca="1"/>
        <v>0.89999964448363434</v>
      </c>
      <c r="X155" s="2">
        <f t="shared" ca="1" si="17"/>
        <v>45519</v>
      </c>
      <c r="Y155">
        <f t="shared" ca="1" si="18"/>
        <v>0</v>
      </c>
      <c r="AA155" s="63">
        <f t="shared" ca="1" si="20"/>
        <v>40.090902577968023</v>
      </c>
      <c r="AB155" s="63">
        <f t="shared" ca="1" si="21"/>
        <v>40.090902577968023</v>
      </c>
      <c r="AC155" s="3">
        <f t="shared" ca="1" si="22"/>
        <v>0</v>
      </c>
    </row>
    <row r="156" spans="8:29">
      <c r="H156" t="b">
        <f t="shared" ca="1" si="19"/>
        <v>1</v>
      </c>
      <c r="I156" t="b">
        <f t="shared" ca="1" si="16"/>
        <v>1</v>
      </c>
      <c r="J156" s="2">
        <f ca="1"/>
        <v>45520</v>
      </c>
      <c r="K156">
        <f ca="1"/>
        <v>35.438265946326666</v>
      </c>
      <c r="L156">
        <f ca="1"/>
        <v>2.1217833712765497</v>
      </c>
      <c r="M156">
        <f ca="1"/>
        <v>5.1132290208855125E-3</v>
      </c>
      <c r="N156">
        <f ca="1"/>
        <v>0.64434552546887836</v>
      </c>
      <c r="O156">
        <f ca="1"/>
        <v>0</v>
      </c>
      <c r="P156">
        <f ca="1"/>
        <v>70.491623681271435</v>
      </c>
      <c r="Q156">
        <f ca="1"/>
        <v>30.888486471935234</v>
      </c>
      <c r="R156">
        <f ca="1"/>
        <v>1.0207247788656446</v>
      </c>
      <c r="S156">
        <f ca="1"/>
        <v>1</v>
      </c>
      <c r="T156">
        <f ca="1"/>
        <v>5.2299999999999898</v>
      </c>
      <c r="U156">
        <f ca="1"/>
        <v>0</v>
      </c>
      <c r="V156">
        <f ca="1"/>
        <v>0.89999971105788079</v>
      </c>
      <c r="X156" s="2">
        <f t="shared" ca="1" si="17"/>
        <v>45520</v>
      </c>
      <c r="Y156">
        <f t="shared" ca="1" si="18"/>
        <v>0</v>
      </c>
      <c r="AA156" s="63">
        <f t="shared" ca="1" si="20"/>
        <v>38.580774096468858</v>
      </c>
      <c r="AB156" s="63">
        <f t="shared" ca="1" si="21"/>
        <v>38.580774096468858</v>
      </c>
      <c r="AC156" s="3">
        <f t="shared" ca="1" si="22"/>
        <v>0</v>
      </c>
    </row>
    <row r="157" spans="8:29">
      <c r="H157" t="b">
        <f t="shared" ca="1" si="19"/>
        <v>1</v>
      </c>
      <c r="I157" t="b">
        <f t="shared" ca="1" si="16"/>
        <v>1</v>
      </c>
      <c r="J157" s="2">
        <f ca="1"/>
        <v>45521</v>
      </c>
      <c r="K157">
        <f ca="1"/>
        <v>33.699486837269049</v>
      </c>
      <c r="L157">
        <f ca="1"/>
        <v>1.9839869923547582</v>
      </c>
      <c r="M157">
        <f ca="1"/>
        <v>4.8063051689624103E-3</v>
      </c>
      <c r="N157">
        <f ca="1"/>
        <v>0.59488110778745396</v>
      </c>
      <c r="O157">
        <f ca="1"/>
        <v>0</v>
      </c>
      <c r="P157">
        <f ca="1"/>
        <v>72.475610673626193</v>
      </c>
      <c r="Q157">
        <f ca="1"/>
        <v>31.757843030537629</v>
      </c>
      <c r="R157">
        <f ca="1"/>
        <v>0.35447952965927293</v>
      </c>
      <c r="S157">
        <f ca="1"/>
        <v>1</v>
      </c>
      <c r="T157">
        <f ca="1"/>
        <v>1.9099999999999966</v>
      </c>
      <c r="U157">
        <f ca="1"/>
        <v>0</v>
      </c>
      <c r="V157">
        <f ca="1"/>
        <v>0.89999976113255742</v>
      </c>
      <c r="X157" s="2">
        <f t="shared" ca="1" si="17"/>
        <v>45521</v>
      </c>
      <c r="Y157">
        <f t="shared" ca="1" si="18"/>
        <v>0</v>
      </c>
      <c r="AA157" s="63">
        <f t="shared" ca="1" si="20"/>
        <v>36.03795335928308</v>
      </c>
      <c r="AB157" s="63">
        <f t="shared" ca="1" si="21"/>
        <v>36.03795335928308</v>
      </c>
      <c r="AC157" s="3">
        <f t="shared" ca="1" si="22"/>
        <v>0</v>
      </c>
    </row>
    <row r="158" spans="8:29">
      <c r="H158" t="b">
        <f t="shared" ca="1" si="19"/>
        <v>1</v>
      </c>
      <c r="I158" t="b">
        <f t="shared" ca="1" si="16"/>
        <v>1</v>
      </c>
      <c r="J158" s="2">
        <f ca="1"/>
        <v>45522</v>
      </c>
      <c r="K158">
        <f ca="1"/>
        <v>32.070956539748742</v>
      </c>
      <c r="L158">
        <f ca="1"/>
        <v>2.168242077238375</v>
      </c>
      <c r="M158">
        <f ca="1"/>
        <v>4.9921839938207313E-3</v>
      </c>
      <c r="N158">
        <f ca="1"/>
        <v>0.63539451147076209</v>
      </c>
      <c r="O158">
        <f ca="1"/>
        <v>0</v>
      </c>
      <c r="P158">
        <f ca="1"/>
        <v>74.643852750864568</v>
      </c>
      <c r="Q158">
        <f ca="1"/>
        <v>32.707937702402205</v>
      </c>
      <c r="R158">
        <f ca="1"/>
        <v>0.10067491574651691</v>
      </c>
      <c r="S158">
        <f ca="1"/>
        <v>1</v>
      </c>
      <c r="T158">
        <f ca="1"/>
        <v>0.57000000000000739</v>
      </c>
      <c r="U158">
        <f ca="1"/>
        <v>0</v>
      </c>
      <c r="V158">
        <f ca="1"/>
        <v>0.89999980527635703</v>
      </c>
      <c r="X158" s="2">
        <f t="shared" ca="1" si="17"/>
        <v>45522</v>
      </c>
      <c r="Y158">
        <f t="shared" ca="1" si="18"/>
        <v>0</v>
      </c>
      <c r="AA158" s="63">
        <f t="shared" ca="1" si="20"/>
        <v>34.339873532733634</v>
      </c>
      <c r="AB158" s="63">
        <f t="shared" ca="1" si="21"/>
        <v>34.339873532733634</v>
      </c>
      <c r="AC158" s="3">
        <f t="shared" ca="1" si="22"/>
        <v>0</v>
      </c>
    </row>
    <row r="159" spans="8:29">
      <c r="H159" t="b">
        <f t="shared" ca="1" si="19"/>
        <v>1</v>
      </c>
      <c r="I159" t="b">
        <f t="shared" ca="1" si="16"/>
        <v>1</v>
      </c>
      <c r="J159" s="2">
        <f ca="1"/>
        <v>45523</v>
      </c>
      <c r="K159">
        <f ca="1"/>
        <v>30.174648762067349</v>
      </c>
      <c r="L159">
        <f ca="1"/>
        <v>2.1554231700068129</v>
      </c>
      <c r="M159">
        <f ca="1"/>
        <v>4.8812649069986946E-3</v>
      </c>
      <c r="N159">
        <f ca="1"/>
        <v>0.62149021481529321</v>
      </c>
      <c r="O159">
        <f ca="1"/>
        <v>0</v>
      </c>
      <c r="P159">
        <f ca="1"/>
        <v>76.799275920871381</v>
      </c>
      <c r="Q159">
        <f ca="1"/>
        <v>33.65241530060711</v>
      </c>
      <c r="R159">
        <f ca="1"/>
        <v>0.36725608739687321</v>
      </c>
      <c r="S159">
        <f ca="1"/>
        <v>1</v>
      </c>
      <c r="T159">
        <f ca="1"/>
        <v>2.210000000000008</v>
      </c>
      <c r="U159">
        <f ca="1"/>
        <v>0</v>
      </c>
      <c r="V159">
        <f ca="1"/>
        <v>0.89999984050769455</v>
      </c>
      <c r="X159" s="2">
        <f t="shared" ca="1" si="17"/>
        <v>45523</v>
      </c>
      <c r="Y159">
        <f t="shared" ca="1" si="18"/>
        <v>0</v>
      </c>
      <c r="AA159" s="63">
        <f t="shared" ca="1" si="20"/>
        <v>32.697328019471037</v>
      </c>
      <c r="AB159" s="63">
        <f t="shared" ca="1" si="21"/>
        <v>32.697328019471037</v>
      </c>
      <c r="AC159" s="3">
        <f t="shared" ca="1" si="22"/>
        <v>0</v>
      </c>
    </row>
    <row r="160" spans="8:29">
      <c r="H160" t="b">
        <f t="shared" ca="1" si="19"/>
        <v>1</v>
      </c>
      <c r="I160" t="b">
        <f t="shared" ca="1" si="16"/>
        <v>1</v>
      </c>
      <c r="J160" s="2">
        <f ca="1"/>
        <v>45524</v>
      </c>
      <c r="K160">
        <f ca="1"/>
        <v>28.41540391828935</v>
      </c>
      <c r="L160">
        <f ca="1"/>
        <v>2.3134411554526366</v>
      </c>
      <c r="M160">
        <f ca="1"/>
        <v>5.0201186781606566E-3</v>
      </c>
      <c r="N160">
        <f ca="1"/>
        <v>0.65402491528048512</v>
      </c>
      <c r="O160">
        <f ca="1"/>
        <v>0</v>
      </c>
      <c r="P160">
        <f ca="1"/>
        <v>79.112717076324017</v>
      </c>
      <c r="Q160">
        <f ca="1"/>
        <v>34.666134266096094</v>
      </c>
      <c r="R160">
        <f ca="1"/>
        <v>0.10484872228400707</v>
      </c>
      <c r="S160">
        <f ca="1"/>
        <v>1</v>
      </c>
      <c r="T160">
        <f ca="1"/>
        <v>0.67000000000000171</v>
      </c>
      <c r="U160">
        <f ca="1"/>
        <v>0</v>
      </c>
      <c r="V160">
        <f ca="1"/>
        <v>0.89999987079274868</v>
      </c>
      <c r="X160" s="2">
        <f t="shared" ca="1" si="17"/>
        <v>45524</v>
      </c>
      <c r="Y160">
        <f t="shared" ca="1" si="18"/>
        <v>0</v>
      </c>
      <c r="AA160" s="63">
        <f t="shared" ca="1" si="20"/>
        <v>30.833693796025994</v>
      </c>
      <c r="AB160" s="63">
        <f t="shared" ca="1" si="21"/>
        <v>30.833693796025994</v>
      </c>
      <c r="AC160" s="3">
        <f t="shared" ca="1" si="22"/>
        <v>0</v>
      </c>
    </row>
    <row r="161" spans="8:29">
      <c r="H161" t="b">
        <f t="shared" ca="1" si="19"/>
        <v>1</v>
      </c>
      <c r="I161" t="b">
        <f t="shared" ca="1" si="16"/>
        <v>1</v>
      </c>
      <c r="J161" s="2">
        <f ca="1"/>
        <v>45525</v>
      </c>
      <c r="K161">
        <f ca="1"/>
        <v>26.36109012094192</v>
      </c>
      <c r="L161">
        <f ca="1"/>
        <v>2.2921112982364633</v>
      </c>
      <c r="M161">
        <f ca="1"/>
        <v>4.8976106952167697E-3</v>
      </c>
      <c r="N161">
        <f ca="1"/>
        <v>0.63794377057385421</v>
      </c>
      <c r="O161">
        <f ca="1"/>
        <v>0</v>
      </c>
      <c r="P161">
        <f ca="1"/>
        <v>81.404828374560481</v>
      </c>
      <c r="Q161">
        <f ca="1"/>
        <v>35.670506773500222</v>
      </c>
      <c r="R161">
        <f ca="1"/>
        <v>0.40504388038003686</v>
      </c>
      <c r="S161">
        <f ca="1"/>
        <v>1</v>
      </c>
      <c r="T161">
        <f ca="1"/>
        <v>2.789999999999992</v>
      </c>
      <c r="U161">
        <f ca="1"/>
        <v>0</v>
      </c>
      <c r="V161">
        <f ca="1"/>
        <v>0.89999989476161346</v>
      </c>
      <c r="X161" s="2">
        <f t="shared" ca="1" si="17"/>
        <v>45525</v>
      </c>
      <c r="Y161">
        <f t="shared" ca="1" si="18"/>
        <v>0</v>
      </c>
      <c r="AA161" s="63">
        <f t="shared" ca="1" si="20"/>
        <v>29.058245299558422</v>
      </c>
      <c r="AB161" s="63">
        <f t="shared" ca="1" si="21"/>
        <v>29.058245299558422</v>
      </c>
      <c r="AC161" s="3">
        <f t="shared" ca="1" si="22"/>
        <v>0</v>
      </c>
    </row>
    <row r="162" spans="8:29">
      <c r="H162" t="b">
        <f t="shared" ca="1" si="19"/>
        <v>1</v>
      </c>
      <c r="I162" t="b">
        <f t="shared" ca="1" si="16"/>
        <v>1</v>
      </c>
      <c r="J162" s="2">
        <f ca="1"/>
        <v>45526</v>
      </c>
      <c r="K162">
        <f ca="1"/>
        <v>24.659092885409478</v>
      </c>
      <c r="L162">
        <f ca="1"/>
        <v>2.3432270506164059</v>
      </c>
      <c r="M162">
        <f ca="1"/>
        <v>4.882046563551512E-3</v>
      </c>
      <c r="N162">
        <f ca="1"/>
        <v>0.64177991651835986</v>
      </c>
      <c r="O162">
        <f ca="1"/>
        <v>0</v>
      </c>
      <c r="P162">
        <f ca="1"/>
        <v>83.748055425176887</v>
      </c>
      <c r="Q162">
        <f ca="1"/>
        <v>36.69727751977922</v>
      </c>
      <c r="R162">
        <f ca="1"/>
        <v>5.4321479979461259E-3</v>
      </c>
      <c r="S162">
        <f ca="1"/>
        <v>1</v>
      </c>
      <c r="T162">
        <f ca="1"/>
        <v>4.0000000000006253E-2</v>
      </c>
      <c r="U162">
        <f ca="1"/>
        <v>0</v>
      </c>
      <c r="V162">
        <f ca="1"/>
        <v>0.89999991439486071</v>
      </c>
      <c r="X162" s="2">
        <f t="shared" ca="1" si="17"/>
        <v>45526</v>
      </c>
      <c r="Y162">
        <f t="shared" ca="1" si="18"/>
        <v>0</v>
      </c>
      <c r="AA162" s="63">
        <f t="shared" ca="1" si="20"/>
        <v>27.007752084023831</v>
      </c>
      <c r="AB162" s="63">
        <f t="shared" ca="1" si="21"/>
        <v>27.007752084023831</v>
      </c>
      <c r="AC162" s="3">
        <f t="shared" ca="1" si="22"/>
        <v>0</v>
      </c>
    </row>
    <row r="163" spans="8:29">
      <c r="H163" t="b">
        <f t="shared" ca="1" si="19"/>
        <v>1</v>
      </c>
      <c r="I163" t="b">
        <f t="shared" ca="1" si="16"/>
        <v>1</v>
      </c>
      <c r="J163" s="2">
        <f ca="1"/>
        <v>45527</v>
      </c>
      <c r="K163">
        <f ca="1"/>
        <v>47.853251595620108</v>
      </c>
      <c r="L163">
        <f ca="1"/>
        <v>2.45641510606427</v>
      </c>
      <c r="M163">
        <f ca="1"/>
        <v>4.9510482760553032E-3</v>
      </c>
      <c r="N163">
        <f ca="1"/>
        <v>0.6618348884756482</v>
      </c>
      <c r="O163">
        <f ca="1"/>
        <v>24.983787879523192</v>
      </c>
      <c r="P163">
        <f ca="1"/>
        <v>86.204470531241157</v>
      </c>
      <c r="Q163">
        <f ca="1"/>
        <v>37.773645757744525</v>
      </c>
      <c r="R163">
        <f ca="1"/>
        <v>0</v>
      </c>
      <c r="S163">
        <f ca="1"/>
        <v>0.98304347826086935</v>
      </c>
      <c r="T163">
        <f ca="1"/>
        <v>0</v>
      </c>
      <c r="U163">
        <f ca="1"/>
        <v>0</v>
      </c>
      <c r="V163">
        <f ca="1"/>
        <v>0.89999993082905438</v>
      </c>
      <c r="X163" s="2">
        <f t="shared" ca="1" si="17"/>
        <v>45527</v>
      </c>
      <c r="Y163">
        <f t="shared" ca="1" si="18"/>
        <v>24.983787879523192</v>
      </c>
      <c r="AA163" s="63">
        <f t="shared" ca="1" si="20"/>
        <v>50.309666701684378</v>
      </c>
      <c r="AB163" s="63">
        <f t="shared" ca="1" si="21"/>
        <v>50.309666701684378</v>
      </c>
      <c r="AC163" s="3">
        <f t="shared" ca="1" si="22"/>
        <v>0</v>
      </c>
    </row>
    <row r="164" spans="8:29">
      <c r="H164" t="b">
        <f t="shared" ca="1" si="19"/>
        <v>1</v>
      </c>
      <c r="I164" t="b">
        <f t="shared" ca="1" si="16"/>
        <v>1</v>
      </c>
      <c r="J164" s="2">
        <f ca="1"/>
        <v>45528</v>
      </c>
      <c r="K164">
        <f ca="1"/>
        <v>46.059045125654009</v>
      </c>
      <c r="L164">
        <f ca="1"/>
        <v>2.4498511308465254</v>
      </c>
      <c r="M164">
        <f ca="1"/>
        <v>4.8564551796204114E-3</v>
      </c>
      <c r="N164">
        <f ca="1"/>
        <v>0.65078820570080542</v>
      </c>
      <c r="O164">
        <f ca="1"/>
        <v>0</v>
      </c>
      <c r="P164">
        <f ca="1"/>
        <v>88.654321662087682</v>
      </c>
      <c r="Q164">
        <f ca="1"/>
        <v>38.847137749581172</v>
      </c>
      <c r="R164">
        <f ca="1"/>
        <v>0</v>
      </c>
      <c r="S164">
        <f ca="1"/>
        <v>0.99771703845742987</v>
      </c>
      <c r="T164">
        <f ca="1"/>
        <v>0</v>
      </c>
      <c r="U164">
        <f ca="1"/>
        <v>0</v>
      </c>
      <c r="V164">
        <f ca="1"/>
        <v>0.89999994390309701</v>
      </c>
      <c r="X164" s="2">
        <f t="shared" ca="1" si="17"/>
        <v>45528</v>
      </c>
      <c r="Y164">
        <f t="shared" ca="1" si="18"/>
        <v>0</v>
      </c>
      <c r="AA164" s="63">
        <f t="shared" ca="1" si="20"/>
        <v>48.508896256500535</v>
      </c>
      <c r="AB164" s="63">
        <f t="shared" ca="1" si="21"/>
        <v>48.508896256500535</v>
      </c>
      <c r="AC164" s="3">
        <f t="shared" ca="1" si="22"/>
        <v>0</v>
      </c>
    </row>
    <row r="165" spans="8:29">
      <c r="H165" t="b">
        <f t="shared" ca="1" si="19"/>
        <v>1</v>
      </c>
      <c r="I165" t="b">
        <f t="shared" ca="1" si="16"/>
        <v>1</v>
      </c>
      <c r="J165" s="2">
        <f ca="1"/>
        <v>45529</v>
      </c>
      <c r="K165">
        <f ca="1"/>
        <v>43.698104724374254</v>
      </c>
      <c r="L165">
        <f ca="1"/>
        <v>2.7411770121513399</v>
      </c>
      <c r="M165">
        <f ca="1"/>
        <v>5.1648281544345309E-3</v>
      </c>
      <c r="N165">
        <f ca="1"/>
        <v>0.71748127119442984</v>
      </c>
      <c r="O165">
        <f ca="1"/>
        <v>0</v>
      </c>
      <c r="P165">
        <f ca="1"/>
        <v>91.395498674239022</v>
      </c>
      <c r="Q165">
        <f ca="1"/>
        <v>40.0482848452965</v>
      </c>
      <c r="R165">
        <f ca="1"/>
        <v>0.34240948847728275</v>
      </c>
      <c r="S165">
        <f ca="1"/>
        <v>1</v>
      </c>
      <c r="T165">
        <f ca="1"/>
        <v>1.4228158149839487</v>
      </c>
      <c r="U165">
        <f ca="1"/>
        <v>0</v>
      </c>
      <c r="V165">
        <f ca="1"/>
        <v>0.89999995547607148</v>
      </c>
      <c r="X165" s="2">
        <f t="shared" ca="1" si="17"/>
        <v>45529</v>
      </c>
      <c r="Y165">
        <f t="shared" ca="1" si="18"/>
        <v>0</v>
      </c>
      <c r="AA165" s="63">
        <f t="shared" ca="1" si="20"/>
        <v>46.781691225002874</v>
      </c>
      <c r="AB165" s="63">
        <f t="shared" ca="1" si="21"/>
        <v>46.781691225002874</v>
      </c>
      <c r="AC165" s="3">
        <f t="shared" ca="1" si="22"/>
        <v>0</v>
      </c>
    </row>
    <row r="166" spans="8:29">
      <c r="H166" t="b">
        <f t="shared" ca="1" si="19"/>
        <v>1</v>
      </c>
      <c r="I166" t="b">
        <f t="shared" ca="1" si="16"/>
        <v>1</v>
      </c>
      <c r="J166" s="2">
        <f ca="1"/>
        <v>45530</v>
      </c>
      <c r="K166">
        <f ca="1"/>
        <v>41.634547063117992</v>
      </c>
      <c r="L166">
        <f ca="1"/>
        <v>2.7882378410909325</v>
      </c>
      <c r="M166">
        <f ca="1"/>
        <v>5.1340638825863039E-3</v>
      </c>
      <c r="N166">
        <f ca="1"/>
        <v>0.71954611595208495</v>
      </c>
      <c r="O166">
        <f ca="1"/>
        <v>0</v>
      </c>
      <c r="P166">
        <f ca="1"/>
        <v>94.183736515329954</v>
      </c>
      <c r="Q166">
        <f ca="1"/>
        <v>41.270053366681225</v>
      </c>
      <c r="R166">
        <f ca="1"/>
        <v>0</v>
      </c>
      <c r="S166">
        <f ca="1"/>
        <v>0.99101449275362308</v>
      </c>
      <c r="T166">
        <f ca="1"/>
        <v>0</v>
      </c>
      <c r="U166">
        <f ca="1"/>
        <v>0</v>
      </c>
      <c r="V166">
        <f ca="1"/>
        <v>0.89999996468434618</v>
      </c>
      <c r="X166" s="2">
        <f t="shared" ca="1" si="17"/>
        <v>45530</v>
      </c>
      <c r="Y166">
        <f t="shared" ca="1" si="18"/>
        <v>0</v>
      </c>
      <c r="AA166" s="63">
        <f t="shared" ca="1" si="20"/>
        <v>44.422784904208925</v>
      </c>
      <c r="AB166" s="63">
        <f t="shared" ca="1" si="21"/>
        <v>44.422784904208925</v>
      </c>
      <c r="AC166" s="3">
        <f t="shared" ca="1" si="22"/>
        <v>0</v>
      </c>
    </row>
    <row r="167" spans="8:29">
      <c r="H167" t="b">
        <f t="shared" ca="1" si="19"/>
        <v>1</v>
      </c>
      <c r="I167" t="b">
        <f t="shared" ca="1" si="16"/>
        <v>1</v>
      </c>
      <c r="J167" s="2">
        <f ca="1"/>
        <v>45531</v>
      </c>
      <c r="K167">
        <f ca="1"/>
        <v>39.469480710656789</v>
      </c>
      <c r="L167">
        <f ca="1"/>
        <v>2.9127837929405729</v>
      </c>
      <c r="M167">
        <f ca="1"/>
        <v>5.2100427800922944E-3</v>
      </c>
      <c r="N167">
        <f ca="1"/>
        <v>0.74250739769927476</v>
      </c>
      <c r="O167">
        <f ca="1"/>
        <v>0</v>
      </c>
      <c r="P167">
        <f ca="1"/>
        <v>97.096520308270527</v>
      </c>
      <c r="Q167">
        <f ca="1"/>
        <v>42.546396258011463</v>
      </c>
      <c r="R167">
        <f ca="1"/>
        <v>0</v>
      </c>
      <c r="S167">
        <f ca="1"/>
        <v>0.99480396555939521</v>
      </c>
      <c r="T167">
        <f ca="1"/>
        <v>0</v>
      </c>
      <c r="U167">
        <f ca="1"/>
        <v>0</v>
      </c>
      <c r="V167">
        <f ca="1"/>
        <v>0.89999997218673145</v>
      </c>
      <c r="X167" s="2">
        <f t="shared" ca="1" si="17"/>
        <v>45531</v>
      </c>
      <c r="Y167">
        <f t="shared" ca="1" si="18"/>
        <v>0</v>
      </c>
      <c r="AA167" s="63">
        <f t="shared" ca="1" si="20"/>
        <v>42.382264503597362</v>
      </c>
      <c r="AB167" s="63">
        <f t="shared" ca="1" si="21"/>
        <v>42.382264503597362</v>
      </c>
      <c r="AC167" s="3">
        <f t="shared" ca="1" si="22"/>
        <v>0</v>
      </c>
    </row>
    <row r="168" spans="8:29">
      <c r="H168" t="b">
        <f t="shared" ca="1" si="19"/>
        <v>1</v>
      </c>
      <c r="I168" t="b">
        <f t="shared" ca="1" si="16"/>
        <v>1</v>
      </c>
      <c r="J168" s="2">
        <f ca="1"/>
        <v>45532</v>
      </c>
      <c r="K168">
        <f ca="1"/>
        <v>37.130831279446802</v>
      </c>
      <c r="L168">
        <f ca="1"/>
        <v>2.815912246280746</v>
      </c>
      <c r="M168">
        <f ca="1"/>
        <v>4.991641180012607E-3</v>
      </c>
      <c r="N168">
        <f ca="1"/>
        <v>0.70789488667172806</v>
      </c>
      <c r="O168">
        <f ca="1"/>
        <v>0</v>
      </c>
      <c r="P168">
        <f ca="1"/>
        <v>99.912432554551273</v>
      </c>
      <c r="Q168">
        <f ca="1"/>
        <v>43.780291333526783</v>
      </c>
      <c r="R168">
        <f ca="1"/>
        <v>0.2356237127809814</v>
      </c>
      <c r="S168">
        <f ca="1"/>
        <v>1</v>
      </c>
      <c r="T168">
        <f ca="1"/>
        <v>1.1522582249725275</v>
      </c>
      <c r="U168">
        <f ca="1"/>
        <v>0</v>
      </c>
      <c r="V168">
        <f ca="1"/>
        <v>0.89999997785798691</v>
      </c>
      <c r="X168" s="2">
        <f t="shared" ca="1" si="17"/>
        <v>45532</v>
      </c>
      <c r="Y168">
        <f t="shared" ca="1" si="18"/>
        <v>0</v>
      </c>
      <c r="AA168" s="63">
        <f t="shared" ca="1" si="20"/>
        <v>40.182367238508533</v>
      </c>
      <c r="AB168" s="63">
        <f t="shared" ca="1" si="21"/>
        <v>40.182367238508533</v>
      </c>
      <c r="AC168" s="3">
        <f t="shared" ca="1" si="22"/>
        <v>0</v>
      </c>
    </row>
    <row r="169" spans="8:29">
      <c r="H169" t="b">
        <f t="shared" ca="1" si="19"/>
        <v>1</v>
      </c>
      <c r="I169" t="b">
        <f t="shared" ca="1" si="16"/>
        <v>1</v>
      </c>
      <c r="J169" s="2">
        <f ca="1"/>
        <v>45533</v>
      </c>
      <c r="K169">
        <f ca="1"/>
        <v>34.887883324603273</v>
      </c>
      <c r="L169">
        <f ca="1"/>
        <v>2.993409147398566</v>
      </c>
      <c r="M169">
        <f ca="1"/>
        <v>5.1396544615798234E-3</v>
      </c>
      <c r="N169">
        <f ca="1"/>
        <v>0.74532153809345358</v>
      </c>
      <c r="O169">
        <f ca="1"/>
        <v>0</v>
      </c>
      <c r="P169">
        <f ca="1"/>
        <v>102.90584170194984</v>
      </c>
      <c r="Q169">
        <f ca="1"/>
        <v>45.091963176587953</v>
      </c>
      <c r="R169">
        <f ca="1"/>
        <v>0</v>
      </c>
      <c r="S169">
        <f ca="1"/>
        <v>0.9969565217391303</v>
      </c>
      <c r="T169">
        <f ca="1"/>
        <v>0</v>
      </c>
      <c r="U169">
        <f ca="1"/>
        <v>0</v>
      </c>
      <c r="V169">
        <f ca="1"/>
        <v>0.89999998257681857</v>
      </c>
      <c r="X169" s="2">
        <f t="shared" ca="1" si="17"/>
        <v>45533</v>
      </c>
      <c r="Y169">
        <f t="shared" ca="1" si="18"/>
        <v>0</v>
      </c>
      <c r="AA169" s="63">
        <f t="shared" ca="1" si="20"/>
        <v>37.881292472001839</v>
      </c>
      <c r="AB169" s="63">
        <f t="shared" ca="1" si="21"/>
        <v>37.881292472001839</v>
      </c>
      <c r="AC169" s="3">
        <f t="shared" ca="1" si="22"/>
        <v>0</v>
      </c>
    </row>
    <row r="170" spans="8:29">
      <c r="H170" t="b">
        <f t="shared" ca="1" si="19"/>
        <v>1</v>
      </c>
      <c r="I170" t="b">
        <f t="shared" ca="1" si="16"/>
        <v>1</v>
      </c>
      <c r="J170" s="2">
        <f ca="1"/>
        <v>45534</v>
      </c>
      <c r="K170">
        <f ca="1"/>
        <v>32.704689361081392</v>
      </c>
      <c r="L170">
        <f ca="1"/>
        <v>2.9021829567138155</v>
      </c>
      <c r="M170">
        <f ca="1"/>
        <v>4.9407971113666349E-3</v>
      </c>
      <c r="N170">
        <f ca="1"/>
        <v>0.71404819608056869</v>
      </c>
      <c r="O170">
        <f ca="1"/>
        <v>0</v>
      </c>
      <c r="P170">
        <f ca="1"/>
        <v>105.80802465866365</v>
      </c>
      <c r="Q170">
        <f ca="1"/>
        <v>46.36366092329984</v>
      </c>
      <c r="R170">
        <f ca="1"/>
        <v>0</v>
      </c>
      <c r="S170">
        <f ca="1"/>
        <v>0.99580508506726761</v>
      </c>
      <c r="T170">
        <f ca="1"/>
        <v>0</v>
      </c>
      <c r="U170">
        <f ca="1"/>
        <v>0</v>
      </c>
      <c r="V170">
        <f ca="1"/>
        <v>0.899999986156367</v>
      </c>
      <c r="X170" s="2">
        <f t="shared" ca="1" si="17"/>
        <v>45534</v>
      </c>
      <c r="Y170">
        <f t="shared" ca="1" si="18"/>
        <v>0</v>
      </c>
      <c r="AA170" s="63">
        <f t="shared" ca="1" si="20"/>
        <v>35.606872317795208</v>
      </c>
      <c r="AB170" s="63">
        <f t="shared" ca="1" si="21"/>
        <v>35.606872317795208</v>
      </c>
      <c r="AC170" s="3">
        <f t="shared" ca="1" si="22"/>
        <v>0</v>
      </c>
    </row>
    <row r="171" spans="8:29">
      <c r="H171" t="b">
        <f t="shared" ca="1" si="19"/>
        <v>1</v>
      </c>
      <c r="I171" t="b">
        <f t="shared" ca="1" si="16"/>
        <v>1</v>
      </c>
      <c r="J171" s="2">
        <f ca="1"/>
        <v>45535</v>
      </c>
      <c r="K171">
        <f ca="1"/>
        <v>30.609177360413582</v>
      </c>
      <c r="L171">
        <f ca="1"/>
        <v>2.7771995995424561</v>
      </c>
      <c r="M171">
        <f ca="1"/>
        <v>4.7179961742145338E-3</v>
      </c>
      <c r="N171">
        <f ca="1"/>
        <v>0.67696960270042861</v>
      </c>
      <c r="O171">
        <f ca="1"/>
        <v>0</v>
      </c>
      <c r="P171">
        <f ca="1"/>
        <v>108.58522425820611</v>
      </c>
      <c r="Q171">
        <f ca="1"/>
        <v>47.580592634905777</v>
      </c>
      <c r="R171">
        <f ca="1"/>
        <v>0</v>
      </c>
      <c r="S171">
        <f ca="1"/>
        <v>0.9813232747016436</v>
      </c>
      <c r="T171">
        <f ca="1"/>
        <v>0</v>
      </c>
      <c r="U171">
        <f ca="1"/>
        <v>0</v>
      </c>
      <c r="V171">
        <f ca="1"/>
        <v>0.89999998886933752</v>
      </c>
      <c r="X171" s="2">
        <f t="shared" ca="1" si="17"/>
        <v>45535</v>
      </c>
      <c r="Y171">
        <f t="shared" ca="1" si="18"/>
        <v>0</v>
      </c>
      <c r="AA171" s="63">
        <f t="shared" ca="1" si="20"/>
        <v>33.386376959956038</v>
      </c>
      <c r="AB171" s="63">
        <f t="shared" ca="1" si="21"/>
        <v>33.386376959956038</v>
      </c>
      <c r="AC171" s="3">
        <f t="shared" ca="1" si="22"/>
        <v>0</v>
      </c>
    </row>
    <row r="172" spans="8:29">
      <c r="H172" t="b">
        <f t="shared" ca="1" si="19"/>
        <v>1</v>
      </c>
      <c r="I172" t="b">
        <f t="shared" ca="1" si="16"/>
        <v>1</v>
      </c>
      <c r="J172" s="2">
        <f ca="1"/>
        <v>45536</v>
      </c>
      <c r="K172">
        <f ca="1"/>
        <v>28.535458486972903</v>
      </c>
      <c r="L172">
        <f ca="1"/>
        <v>2.6711086675741029</v>
      </c>
      <c r="M172">
        <f ca="1"/>
        <v>4.5345436455335175E-3</v>
      </c>
      <c r="N172">
        <f ca="1"/>
        <v>0.64691768248284565</v>
      </c>
      <c r="O172">
        <f ca="1"/>
        <v>0</v>
      </c>
      <c r="P172">
        <f ca="1"/>
        <v>111.25633292578021</v>
      </c>
      <c r="Q172">
        <f ca="1"/>
        <v>48.751036719389994</v>
      </c>
      <c r="R172">
        <f ca="1"/>
        <v>5.4062431994958776E-2</v>
      </c>
      <c r="S172">
        <f ca="1"/>
        <v>1</v>
      </c>
      <c r="T172">
        <f ca="1"/>
        <v>0.34401407982643661</v>
      </c>
      <c r="U172">
        <f ca="1"/>
        <v>0</v>
      </c>
      <c r="V172">
        <f ca="1"/>
        <v>0.89999999096146976</v>
      </c>
      <c r="X172" s="2">
        <f t="shared" ca="1" si="17"/>
        <v>45536</v>
      </c>
      <c r="Y172">
        <f t="shared" ca="1" si="18"/>
        <v>0</v>
      </c>
      <c r="AA172" s="63">
        <f t="shared" ca="1" si="20"/>
        <v>31.260629586541963</v>
      </c>
      <c r="AB172" s="63">
        <f t="shared" ca="1" si="21"/>
        <v>31.260629586541963</v>
      </c>
      <c r="AC172" s="3">
        <f t="shared" ca="1" si="22"/>
        <v>0</v>
      </c>
    </row>
    <row r="173" spans="8:29">
      <c r="H173" t="b">
        <f t="shared" ca="1" si="19"/>
        <v>1</v>
      </c>
      <c r="I173" t="b">
        <f t="shared" ca="1" si="16"/>
        <v>1</v>
      </c>
      <c r="J173" s="2">
        <f ca="1"/>
        <v>45537</v>
      </c>
      <c r="K173">
        <f ca="1"/>
        <v>54.963542449636918</v>
      </c>
      <c r="L173">
        <f ca="1"/>
        <v>2.7137566788286023</v>
      </c>
      <c r="M173">
        <f ca="1"/>
        <v>4.5278913404729337E-3</v>
      </c>
      <c r="N173">
        <f ca="1"/>
        <v>0.65272900096344622</v>
      </c>
      <c r="O173">
        <f ca="1"/>
        <v>28.484583749188701</v>
      </c>
      <c r="P173">
        <f ca="1"/>
        <v>113.97008960460882</v>
      </c>
      <c r="Q173">
        <f ca="1"/>
        <v>49.940168591867938</v>
      </c>
      <c r="R173">
        <f ca="1"/>
        <v>0</v>
      </c>
      <c r="S173">
        <f ca="1"/>
        <v>0.99014492753623173</v>
      </c>
      <c r="T173">
        <f ca="1"/>
        <v>0</v>
      </c>
      <c r="U173">
        <f ca="1"/>
        <v>0</v>
      </c>
      <c r="V173">
        <f ca="1"/>
        <v>0.89999999267458619</v>
      </c>
      <c r="X173" s="2">
        <f t="shared" ca="1" si="17"/>
        <v>45537</v>
      </c>
      <c r="Y173">
        <f t="shared" ca="1" si="18"/>
        <v>28.484583749188701</v>
      </c>
      <c r="AA173" s="63">
        <f t="shared" ca="1" si="20"/>
        <v>57.677299128465521</v>
      </c>
      <c r="AB173" s="63">
        <f t="shared" ca="1" si="21"/>
        <v>57.677299128465521</v>
      </c>
      <c r="AC173" s="3">
        <f t="shared" ca="1" si="22"/>
        <v>0</v>
      </c>
    </row>
    <row r="174" spans="8:29">
      <c r="H174" t="b">
        <f t="shared" ca="1" si="19"/>
        <v>1</v>
      </c>
      <c r="I174" t="b">
        <f t="shared" ca="1" si="16"/>
        <v>1</v>
      </c>
      <c r="J174" s="2">
        <f ca="1"/>
        <v>45538</v>
      </c>
      <c r="K174">
        <f ca="1"/>
        <v>52.824755820992543</v>
      </c>
      <c r="L174">
        <f ca="1"/>
        <v>2.8163771046790629</v>
      </c>
      <c r="M174">
        <f ca="1"/>
        <v>4.5900765446020841E-3</v>
      </c>
      <c r="N174">
        <f ca="1"/>
        <v>0.67300039949008261</v>
      </c>
      <c r="O174">
        <f ca="1"/>
        <v>0</v>
      </c>
      <c r="P174">
        <f ca="1"/>
        <v>116.78646670928788</v>
      </c>
      <c r="Q174">
        <f ca="1"/>
        <v>51.174267362114605</v>
      </c>
      <c r="R174">
        <f ca="1"/>
        <v>0</v>
      </c>
      <c r="S174">
        <f ca="1"/>
        <v>0.99959092627750845</v>
      </c>
      <c r="T174">
        <f ca="1"/>
        <v>0</v>
      </c>
      <c r="U174">
        <f ca="1"/>
        <v>0</v>
      </c>
      <c r="V174">
        <f ca="1"/>
        <v>0.89999999410254372</v>
      </c>
      <c r="X174" s="2">
        <f t="shared" ca="1" si="17"/>
        <v>45538</v>
      </c>
      <c r="Y174">
        <f t="shared" ca="1" si="18"/>
        <v>0</v>
      </c>
      <c r="AA174" s="63">
        <f t="shared" ca="1" si="20"/>
        <v>55.641132925671606</v>
      </c>
      <c r="AB174" s="63">
        <f t="shared" ca="1" si="21"/>
        <v>55.641132925671606</v>
      </c>
      <c r="AC174" s="3">
        <f t="shared" ca="1" si="22"/>
        <v>0</v>
      </c>
    </row>
    <row r="175" spans="8:29">
      <c r="H175" t="b">
        <f t="shared" ca="1" si="19"/>
        <v>1</v>
      </c>
      <c r="I175" t="b">
        <f t="shared" ca="1" si="16"/>
        <v>1</v>
      </c>
      <c r="J175" s="2">
        <f ca="1"/>
        <v>45539</v>
      </c>
      <c r="K175">
        <f ca="1"/>
        <v>50.269528586001371</v>
      </c>
      <c r="L175">
        <f ca="1"/>
        <v>2.7515251536100891</v>
      </c>
      <c r="M175">
        <f ca="1"/>
        <v>4.4664745071258949E-3</v>
      </c>
      <c r="N175">
        <f ca="1"/>
        <v>0.65467348789473667</v>
      </c>
      <c r="O175">
        <f ca="1"/>
        <v>0</v>
      </c>
      <c r="P175">
        <f ca="1"/>
        <v>119.53799186289797</v>
      </c>
      <c r="Q175">
        <f ca="1"/>
        <v>52.37994887498143</v>
      </c>
      <c r="R175">
        <f ca="1"/>
        <v>0.46284204378293986</v>
      </c>
      <c r="S175">
        <f ca="1"/>
        <v>1</v>
      </c>
      <c r="T175">
        <f ca="1"/>
        <v>1.6718352742093998</v>
      </c>
      <c r="U175">
        <f ca="1"/>
        <v>0</v>
      </c>
      <c r="V175">
        <f ca="1"/>
        <v>0.89999999522340668</v>
      </c>
      <c r="X175" s="2">
        <f t="shared" ca="1" si="17"/>
        <v>45539</v>
      </c>
      <c r="Y175">
        <f t="shared" ca="1" si="18"/>
        <v>0</v>
      </c>
      <c r="AA175" s="63">
        <f t="shared" ca="1" si="20"/>
        <v>53.483895783394402</v>
      </c>
      <c r="AB175" s="63">
        <f t="shared" ca="1" si="21"/>
        <v>53.483895783394402</v>
      </c>
      <c r="AC175" s="3">
        <f t="shared" ca="1" si="22"/>
        <v>0</v>
      </c>
    </row>
    <row r="176" spans="8:29">
      <c r="H176" t="b">
        <f t="shared" ca="1" si="19"/>
        <v>1</v>
      </c>
      <c r="I176" t="b">
        <f t="shared" ca="1" si="16"/>
        <v>1</v>
      </c>
      <c r="J176" s="2">
        <f ca="1"/>
        <v>45540</v>
      </c>
      <c r="K176">
        <f ca="1"/>
        <v>46.895141655505313</v>
      </c>
      <c r="L176">
        <f ca="1"/>
        <v>2.9181155045404807</v>
      </c>
      <c r="M176">
        <f ca="1"/>
        <v>4.6030690900948912E-3</v>
      </c>
      <c r="N176">
        <f ca="1"/>
        <v>0.690978926371002</v>
      </c>
      <c r="O176">
        <f ca="1"/>
        <v>0</v>
      </c>
      <c r="P176">
        <f ca="1"/>
        <v>122.45610736743845</v>
      </c>
      <c r="Q176">
        <f ca="1"/>
        <v>53.658628051007994</v>
      </c>
      <c r="R176">
        <f ca="1"/>
        <v>1.1518534214166747</v>
      </c>
      <c r="S176">
        <f ca="1"/>
        <v>1</v>
      </c>
      <c r="T176">
        <f ca="1"/>
        <v>4.460000000000008</v>
      </c>
      <c r="U176">
        <f ca="1"/>
        <v>0</v>
      </c>
      <c r="V176">
        <f ca="1"/>
        <v>0.89999999617683124</v>
      </c>
      <c r="X176" s="2">
        <f t="shared" ca="1" si="17"/>
        <v>45540</v>
      </c>
      <c r="Y176">
        <f t="shared" ca="1" si="18"/>
        <v>0</v>
      </c>
      <c r="AA176" s="63">
        <f t="shared" ca="1" si="20"/>
        <v>50.965110581462469</v>
      </c>
      <c r="AB176" s="63">
        <f t="shared" ca="1" si="21"/>
        <v>50.965110581462469</v>
      </c>
      <c r="AC176" s="3">
        <f t="shared" ca="1" si="22"/>
        <v>0</v>
      </c>
    </row>
    <row r="177" spans="8:29">
      <c r="H177" t="b">
        <f t="shared" ca="1" si="19"/>
        <v>1</v>
      </c>
      <c r="I177" t="b">
        <f t="shared" ca="1" si="16"/>
        <v>1</v>
      </c>
      <c r="J177" s="2">
        <f ca="1"/>
        <v>45541</v>
      </c>
      <c r="K177">
        <f ca="1"/>
        <v>44.568402111054752</v>
      </c>
      <c r="L177">
        <f ca="1"/>
        <v>3.0523706279262939</v>
      </c>
      <c r="M177">
        <f ca="1"/>
        <v>4.7063201008086253E-3</v>
      </c>
      <c r="N177">
        <f ca="1"/>
        <v>0.72092476337492706</v>
      </c>
      <c r="O177">
        <f ca="1"/>
        <v>0</v>
      </c>
      <c r="P177">
        <f ca="1"/>
        <v>125.50847799536474</v>
      </c>
      <c r="Q177">
        <f ca="1"/>
        <v>54.996136026059553</v>
      </c>
      <c r="R177">
        <f ca="1"/>
        <v>0</v>
      </c>
      <c r="S177">
        <f ca="1"/>
        <v>0.99101449275362308</v>
      </c>
      <c r="T177">
        <f ca="1"/>
        <v>0</v>
      </c>
      <c r="U177">
        <f ca="1"/>
        <v>0</v>
      </c>
      <c r="V177">
        <f ca="1"/>
        <v>0.89999999696883193</v>
      </c>
      <c r="X177" s="2">
        <f t="shared" ca="1" si="17"/>
        <v>45541</v>
      </c>
      <c r="Y177">
        <f t="shared" ca="1" si="18"/>
        <v>0</v>
      </c>
      <c r="AA177" s="63">
        <f t="shared" ca="1" si="20"/>
        <v>47.620772738981046</v>
      </c>
      <c r="AB177" s="63">
        <f t="shared" ca="1" si="21"/>
        <v>47.620772738981046</v>
      </c>
      <c r="AC177" s="3">
        <f t="shared" ca="1" si="22"/>
        <v>0</v>
      </c>
    </row>
    <row r="178" spans="8:29">
      <c r="H178" t="b">
        <f t="shared" ca="1" si="19"/>
        <v>1</v>
      </c>
      <c r="I178" t="b">
        <f t="shared" ca="1" si="16"/>
        <v>1</v>
      </c>
      <c r="J178" s="2">
        <f ca="1"/>
        <v>45542</v>
      </c>
      <c r="K178">
        <f ca="1"/>
        <v>42.275585491719148</v>
      </c>
      <c r="L178">
        <f ca="1"/>
        <v>3.0053172775875936</v>
      </c>
      <c r="M178">
        <f ca="1"/>
        <v>4.6057715802589883E-3</v>
      </c>
      <c r="N178">
        <f ca="1"/>
        <v>0.70789488667172806</v>
      </c>
      <c r="O178">
        <f ca="1"/>
        <v>0</v>
      </c>
      <c r="P178">
        <f ca="1"/>
        <v>128.51379527295234</v>
      </c>
      <c r="Q178">
        <f ca="1"/>
        <v>56.313025852464577</v>
      </c>
      <c r="R178">
        <f ca="1"/>
        <v>0</v>
      </c>
      <c r="S178">
        <f ca="1"/>
        <v>0.97654622138265323</v>
      </c>
      <c r="T178">
        <f ca="1"/>
        <v>0</v>
      </c>
      <c r="U178">
        <f ca="1"/>
        <v>0</v>
      </c>
      <c r="V178">
        <f ca="1"/>
        <v>0.8999999975869013</v>
      </c>
      <c r="X178" s="2">
        <f t="shared" ca="1" si="17"/>
        <v>45542</v>
      </c>
      <c r="Y178">
        <f t="shared" ca="1" si="18"/>
        <v>0</v>
      </c>
      <c r="AA178" s="63">
        <f t="shared" ca="1" si="20"/>
        <v>45.280902769306742</v>
      </c>
      <c r="AB178" s="63">
        <f t="shared" ca="1" si="21"/>
        <v>45.280902769306742</v>
      </c>
      <c r="AC178" s="3">
        <f t="shared" ca="1" si="22"/>
        <v>0</v>
      </c>
    </row>
    <row r="179" spans="8:29">
      <c r="H179" t="b">
        <f t="shared" ca="1" si="19"/>
        <v>1</v>
      </c>
      <c r="I179" t="b">
        <f t="shared" ca="1" si="16"/>
        <v>1</v>
      </c>
      <c r="J179" s="2">
        <f ca="1"/>
        <v>45543</v>
      </c>
      <c r="K179">
        <f ca="1"/>
        <v>39.991026199231555</v>
      </c>
      <c r="L179">
        <f ca="1"/>
        <v>2.7329901397253877</v>
      </c>
      <c r="M179">
        <f ca="1"/>
        <v>4.2713872216850746E-3</v>
      </c>
      <c r="N179">
        <f ca="1"/>
        <v>0.64370350953085254</v>
      </c>
      <c r="O179">
        <f ca="1"/>
        <v>0</v>
      </c>
      <c r="P179">
        <f ca="1"/>
        <v>131.24678541267772</v>
      </c>
      <c r="Q179">
        <f ca="1"/>
        <v>57.510585570205464</v>
      </c>
      <c r="R179">
        <f ca="1"/>
        <v>0.19954404951474067</v>
      </c>
      <c r="S179">
        <f ca="1"/>
        <v>1</v>
      </c>
      <c r="T179">
        <f ca="1"/>
        <v>0.90602822453240606</v>
      </c>
      <c r="U179">
        <f ca="1"/>
        <v>0</v>
      </c>
      <c r="V179">
        <f ca="1"/>
        <v>0.89999999803835717</v>
      </c>
      <c r="X179" s="2">
        <f t="shared" ca="1" si="17"/>
        <v>45543</v>
      </c>
      <c r="Y179">
        <f t="shared" ca="1" si="18"/>
        <v>0</v>
      </c>
      <c r="AA179" s="63">
        <f t="shared" ca="1" si="20"/>
        <v>42.923560388471685</v>
      </c>
      <c r="AB179" s="63">
        <f t="shared" ca="1" si="21"/>
        <v>42.923560388471685</v>
      </c>
      <c r="AC179" s="3">
        <f t="shared" ca="1" si="22"/>
        <v>0</v>
      </c>
    </row>
    <row r="180" spans="8:29">
      <c r="H180" t="b">
        <f t="shared" ca="1" si="19"/>
        <v>1</v>
      </c>
      <c r="I180" t="b">
        <f t="shared" ca="1" si="16"/>
        <v>1</v>
      </c>
      <c r="J180" s="2">
        <f ca="1"/>
        <v>45544</v>
      </c>
      <c r="K180">
        <f ca="1"/>
        <v>37.435340508632557</v>
      </c>
      <c r="L180">
        <f ca="1"/>
        <v>2.8701362126054732</v>
      </c>
      <c r="M180">
        <f ca="1"/>
        <v>4.3805661857945211E-3</v>
      </c>
      <c r="N180">
        <f ca="1"/>
        <v>0.67498314460483333</v>
      </c>
      <c r="O180">
        <f ca="1"/>
        <v>0</v>
      </c>
      <c r="P180">
        <f ca="1"/>
        <v>134.1169216252832</v>
      </c>
      <c r="Q180">
        <f ca="1"/>
        <v>58.768240862365083</v>
      </c>
      <c r="R180">
        <f ca="1"/>
        <v>0.3649131887841478</v>
      </c>
      <c r="S180">
        <f ca="1"/>
        <v>1</v>
      </c>
      <c r="T180">
        <f ca="1"/>
        <v>1.769999999999996</v>
      </c>
      <c r="U180">
        <f ca="1"/>
        <v>0</v>
      </c>
      <c r="V180">
        <f ca="1"/>
        <v>0.89999999842176492</v>
      </c>
      <c r="X180" s="2">
        <f t="shared" ca="1" si="17"/>
        <v>45544</v>
      </c>
      <c r="Y180">
        <f t="shared" ca="1" si="18"/>
        <v>0</v>
      </c>
      <c r="AA180" s="63">
        <f t="shared" ca="1" si="20"/>
        <v>40.67038991002218</v>
      </c>
      <c r="AB180" s="63">
        <f t="shared" ca="1" si="21"/>
        <v>40.67038991002218</v>
      </c>
      <c r="AC180" s="3">
        <f t="shared" ca="1" si="22"/>
        <v>0</v>
      </c>
    </row>
    <row r="181" spans="8:29">
      <c r="H181" t="b">
        <f t="shared" ca="1" si="19"/>
        <v>1</v>
      </c>
      <c r="I181" t="b">
        <f t="shared" ca="1" si="16"/>
        <v>1</v>
      </c>
      <c r="J181" s="2">
        <f ca="1"/>
        <v>45545</v>
      </c>
      <c r="K181">
        <f ca="1"/>
        <v>34.230171803246925</v>
      </c>
      <c r="L181">
        <f ca="1"/>
        <v>3.0243483586737909</v>
      </c>
      <c r="M181">
        <f ca="1"/>
        <v>4.5128960546207963E-3</v>
      </c>
      <c r="N181">
        <f ca="1"/>
        <v>0.71199334792503333</v>
      </c>
      <c r="O181">
        <f ca="1"/>
        <v>0</v>
      </c>
      <c r="P181">
        <f ca="1"/>
        <v>137.14126998395699</v>
      </c>
      <c r="Q181">
        <f ca="1"/>
        <v>60.09346985390745</v>
      </c>
      <c r="R181">
        <f ca="1"/>
        <v>0.89732659069149168</v>
      </c>
      <c r="S181">
        <f ca="1"/>
        <v>1</v>
      </c>
      <c r="T181">
        <f ca="1"/>
        <v>4.7599999999999909</v>
      </c>
      <c r="U181">
        <f ca="1"/>
        <v>0</v>
      </c>
      <c r="V181">
        <f ca="1"/>
        <v>0.89999999874519832</v>
      </c>
      <c r="X181" s="2">
        <f t="shared" ca="1" si="17"/>
        <v>45545</v>
      </c>
      <c r="Y181">
        <f t="shared" ca="1" si="18"/>
        <v>0</v>
      </c>
      <c r="AA181" s="63">
        <f t="shared" ca="1" si="20"/>
        <v>38.151846752612208</v>
      </c>
      <c r="AB181" s="63">
        <f t="shared" ca="1" si="21"/>
        <v>38.151846752612208</v>
      </c>
      <c r="AC181" s="3">
        <f t="shared" ca="1" si="22"/>
        <v>0</v>
      </c>
    </row>
    <row r="182" spans="8:29">
      <c r="H182" t="b">
        <f t="shared" ca="1" si="19"/>
        <v>1</v>
      </c>
      <c r="I182" t="b">
        <f t="shared" ca="1" si="16"/>
        <v>1</v>
      </c>
      <c r="J182" s="2">
        <f ca="1"/>
        <v>45546</v>
      </c>
      <c r="K182">
        <f ca="1"/>
        <v>31.950967550565007</v>
      </c>
      <c r="L182">
        <f ca="1"/>
        <v>2.9650904176719735</v>
      </c>
      <c r="M182">
        <f ca="1"/>
        <v>4.4161307295738084E-3</v>
      </c>
      <c r="N182">
        <f ca="1"/>
        <v>0.69906621928832946</v>
      </c>
      <c r="O182">
        <f ca="1"/>
        <v>0</v>
      </c>
      <c r="P182">
        <f ca="1"/>
        <v>140.10636040162896</v>
      </c>
      <c r="Q182">
        <f ca="1"/>
        <v>61.392732808445665</v>
      </c>
      <c r="R182">
        <f ca="1"/>
        <v>1.7596185027846396E-2</v>
      </c>
      <c r="S182">
        <f ca="1"/>
        <v>1</v>
      </c>
      <c r="T182">
        <f ca="1"/>
        <v>9.9999999999994316E-2</v>
      </c>
      <c r="U182">
        <f ca="1"/>
        <v>0</v>
      </c>
      <c r="V182">
        <f ca="1"/>
        <v>0.89999999899825534</v>
      </c>
      <c r="X182" s="2">
        <f t="shared" ca="1" si="17"/>
        <v>45546</v>
      </c>
      <c r="Y182">
        <f t="shared" ca="1" si="18"/>
        <v>0</v>
      </c>
      <c r="AA182" s="63">
        <f t="shared" ca="1" si="20"/>
        <v>34.933654153264825</v>
      </c>
      <c r="AB182" s="63">
        <f t="shared" ca="1" si="21"/>
        <v>34.933654153264833</v>
      </c>
      <c r="AC182" s="3">
        <f t="shared" ca="1" si="22"/>
        <v>0</v>
      </c>
    </row>
    <row r="183" spans="8:29">
      <c r="H183" t="b">
        <f t="shared" ca="1" si="19"/>
        <v>1</v>
      </c>
      <c r="I183" t="b">
        <f t="shared" ca="1" si="16"/>
        <v>1</v>
      </c>
      <c r="J183" s="2">
        <f ca="1"/>
        <v>45547</v>
      </c>
      <c r="K183">
        <f ca="1"/>
        <v>64.277299003333013</v>
      </c>
      <c r="L183">
        <f ca="1"/>
        <v>3.1743536749243333</v>
      </c>
      <c r="M183">
        <f ca="1"/>
        <v>4.6177805723388587E-3</v>
      </c>
      <c r="N183">
        <f ca="1"/>
        <v>0.75238623659392923</v>
      </c>
      <c r="O183">
        <f ca="1"/>
        <v>34.743681110526069</v>
      </c>
      <c r="P183">
        <f ca="1"/>
        <v>143.28071407655329</v>
      </c>
      <c r="Q183">
        <f ca="1"/>
        <v>62.783692122822892</v>
      </c>
      <c r="R183">
        <f ca="1"/>
        <v>0</v>
      </c>
      <c r="S183">
        <f ca="1"/>
        <v>0.99449275362318845</v>
      </c>
      <c r="T183">
        <f ca="1"/>
        <v>0</v>
      </c>
      <c r="U183">
        <f ca="1"/>
        <v>0</v>
      </c>
      <c r="V183">
        <f ca="1"/>
        <v>0.89999999921344098</v>
      </c>
      <c r="X183" s="2">
        <f t="shared" ca="1" si="17"/>
        <v>45547</v>
      </c>
      <c r="Y183">
        <f t="shared" ca="1" si="18"/>
        <v>34.743681110526069</v>
      </c>
      <c r="AA183" s="63">
        <f t="shared" ca="1" si="20"/>
        <v>67.451652678257346</v>
      </c>
      <c r="AB183" s="63">
        <f t="shared" ca="1" si="21"/>
        <v>67.451652678257346</v>
      </c>
      <c r="AC183" s="3">
        <f t="shared" ca="1" si="22"/>
        <v>0</v>
      </c>
    </row>
    <row r="184" spans="8:29">
      <c r="H184" t="b">
        <f t="shared" ca="1" si="19"/>
        <v>1</v>
      </c>
      <c r="I184" t="b">
        <f t="shared" ca="1" si="16"/>
        <v>1</v>
      </c>
      <c r="J184" s="2">
        <f ca="1"/>
        <v>45548</v>
      </c>
      <c r="K184">
        <f ca="1"/>
        <v>61.765266491152445</v>
      </c>
      <c r="L184">
        <f ca="1"/>
        <v>3.1275146688996642</v>
      </c>
      <c r="M184">
        <f ca="1"/>
        <v>4.5386762558976557E-3</v>
      </c>
      <c r="N184">
        <f ca="1"/>
        <v>0.74391362987167331</v>
      </c>
      <c r="O184">
        <f ca="1"/>
        <v>0</v>
      </c>
      <c r="P184">
        <f ca="1"/>
        <v>146.40822874545296</v>
      </c>
      <c r="Q184">
        <f ca="1"/>
        <v>64.154127211364525</v>
      </c>
      <c r="R184">
        <f ca="1"/>
        <v>0.13297014940848106</v>
      </c>
      <c r="S184">
        <f ca="1"/>
        <v>1</v>
      </c>
      <c r="T184">
        <f ca="1"/>
        <v>0.39090869565781361</v>
      </c>
      <c r="U184">
        <f ca="1"/>
        <v>0</v>
      </c>
      <c r="V184">
        <f ca="1"/>
        <v>0.89999999938080288</v>
      </c>
      <c r="X184" s="2">
        <f t="shared" ca="1" si="17"/>
        <v>45548</v>
      </c>
      <c r="Y184">
        <f t="shared" ca="1" si="18"/>
        <v>0</v>
      </c>
      <c r="AA184" s="63">
        <f t="shared" ca="1" si="20"/>
        <v>65.025751309460574</v>
      </c>
      <c r="AB184" s="63">
        <f t="shared" ca="1" si="21"/>
        <v>65.025751309460588</v>
      </c>
      <c r="AC184" s="3">
        <f t="shared" ca="1" si="22"/>
        <v>0</v>
      </c>
    </row>
    <row r="185" spans="8:29">
      <c r="H185" t="b">
        <f t="shared" ca="1" si="19"/>
        <v>1</v>
      </c>
      <c r="I185" t="b">
        <f t="shared" ca="1" si="16"/>
        <v>1</v>
      </c>
      <c r="J185" s="2">
        <f ca="1"/>
        <v>45549</v>
      </c>
      <c r="K185">
        <f ca="1"/>
        <v>59.346259127646547</v>
      </c>
      <c r="L185">
        <f ca="1"/>
        <v>3.1866521099406953</v>
      </c>
      <c r="M185">
        <f ca="1"/>
        <v>4.5827459084080147E-3</v>
      </c>
      <c r="N185">
        <f ca="1"/>
        <v>0.76306200052639228</v>
      </c>
      <c r="O185">
        <f ca="1"/>
        <v>0</v>
      </c>
      <c r="P185">
        <f ca="1"/>
        <v>149.59488085539365</v>
      </c>
      <c r="Q185">
        <f ca="1"/>
        <v>65.550475535439489</v>
      </c>
      <c r="R185">
        <f ca="1"/>
        <v>0</v>
      </c>
      <c r="S185">
        <f ca="1"/>
        <v>0.99275362318840576</v>
      </c>
      <c r="T185">
        <f ca="1"/>
        <v>0</v>
      </c>
      <c r="U185">
        <f ca="1"/>
        <v>0</v>
      </c>
      <c r="V185">
        <f ca="1"/>
        <v>0.89999999951538245</v>
      </c>
      <c r="X185" s="2">
        <f t="shared" ca="1" si="17"/>
        <v>45549</v>
      </c>
      <c r="Y185">
        <f t="shared" ca="1" si="18"/>
        <v>0</v>
      </c>
      <c r="AA185" s="63">
        <f t="shared" ca="1" si="20"/>
        <v>62.532911237587243</v>
      </c>
      <c r="AB185" s="63">
        <f t="shared" ca="1" si="21"/>
        <v>62.532911237587243</v>
      </c>
      <c r="AC185" s="3">
        <f t="shared" ca="1" si="22"/>
        <v>0</v>
      </c>
    </row>
    <row r="186" spans="8:29">
      <c r="H186" t="b">
        <f t="shared" ca="1" si="19"/>
        <v>1</v>
      </c>
      <c r="I186" t="b">
        <f t="shared" ca="1" si="16"/>
        <v>1</v>
      </c>
      <c r="J186" s="2">
        <f ca="1"/>
        <v>45550</v>
      </c>
      <c r="K186">
        <f ca="1"/>
        <v>56.898208536246358</v>
      </c>
      <c r="L186">
        <f ca="1"/>
        <v>3.1436897817974909</v>
      </c>
      <c r="M186">
        <f ca="1"/>
        <v>4.5158665733495695E-3</v>
      </c>
      <c r="N186">
        <f ca="1"/>
        <v>0.75735649553547946</v>
      </c>
      <c r="O186">
        <f ca="1"/>
        <v>0</v>
      </c>
      <c r="P186">
        <f ca="1"/>
        <v>152.73857063719115</v>
      </c>
      <c r="Q186">
        <f ca="1"/>
        <v>66.927998342064981</v>
      </c>
      <c r="R186">
        <f ca="1"/>
        <v>6.6233171711527553E-2</v>
      </c>
      <c r="S186">
        <f ca="1"/>
        <v>1</v>
      </c>
      <c r="T186">
        <f ca="1"/>
        <v>0.21136956522259709</v>
      </c>
      <c r="U186">
        <f ca="1"/>
        <v>0</v>
      </c>
      <c r="V186">
        <f ca="1"/>
        <v>0.89999999962005739</v>
      </c>
      <c r="X186" s="2">
        <f t="shared" ca="1" si="17"/>
        <v>45550</v>
      </c>
      <c r="Y186">
        <f t="shared" ca="1" si="18"/>
        <v>0</v>
      </c>
      <c r="AA186" s="63">
        <f t="shared" ca="1" si="20"/>
        <v>60.10813148975538</v>
      </c>
      <c r="AB186" s="63">
        <f t="shared" ca="1" si="21"/>
        <v>60.10813148975538</v>
      </c>
      <c r="AC186" s="3">
        <f t="shared" ca="1" si="22"/>
        <v>0</v>
      </c>
    </row>
    <row r="187" spans="8:29">
      <c r="H187" t="b">
        <f t="shared" ca="1" si="19"/>
        <v>1</v>
      </c>
      <c r="I187" t="b">
        <f t="shared" ca="1" si="16"/>
        <v>1</v>
      </c>
      <c r="J187" s="2">
        <f ca="1"/>
        <v>45551</v>
      </c>
      <c r="K187">
        <f ca="1"/>
        <v>53.599118579274851</v>
      </c>
      <c r="L187">
        <f ca="1"/>
        <v>3.372788317993809</v>
      </c>
      <c r="M187">
        <f ca="1"/>
        <v>4.7678188097961538E-3</v>
      </c>
      <c r="N187">
        <f ca="1"/>
        <v>0.8246004342982739</v>
      </c>
      <c r="O187">
        <f ca="1"/>
        <v>0</v>
      </c>
      <c r="P187">
        <f ca="1"/>
        <v>156.11135895518495</v>
      </c>
      <c r="Q187">
        <f ca="1"/>
        <v>68.405909062409634</v>
      </c>
      <c r="R187">
        <f ca="1"/>
        <v>0.75566989208577284</v>
      </c>
      <c r="S187">
        <f ca="1"/>
        <v>1</v>
      </c>
      <c r="T187">
        <f ca="1"/>
        <v>2.5599999999999881</v>
      </c>
      <c r="U187">
        <f ca="1"/>
        <v>0</v>
      </c>
      <c r="V187">
        <f ca="1"/>
        <v>0.8999999997079714</v>
      </c>
      <c r="X187" s="2">
        <f t="shared" ca="1" si="17"/>
        <v>45551</v>
      </c>
      <c r="Y187">
        <f t="shared" ca="1" si="18"/>
        <v>0</v>
      </c>
      <c r="AA187" s="63">
        <f t="shared" ca="1" si="20"/>
        <v>57.72757678935443</v>
      </c>
      <c r="AB187" s="63">
        <f t="shared" ca="1" si="21"/>
        <v>57.72757678935443</v>
      </c>
      <c r="AC187" s="3">
        <f t="shared" ca="1" si="22"/>
        <v>0</v>
      </c>
    </row>
    <row r="188" spans="8:29">
      <c r="H188" t="b">
        <f t="shared" ca="1" si="19"/>
        <v>1</v>
      </c>
      <c r="I188" t="b">
        <f t="shared" ca="1" si="16"/>
        <v>1</v>
      </c>
      <c r="J188" s="2">
        <f ca="1"/>
        <v>45552</v>
      </c>
      <c r="K188">
        <f ca="1"/>
        <v>50.722506754108259</v>
      </c>
      <c r="L188">
        <f ca="1"/>
        <v>3.1063587928941843</v>
      </c>
      <c r="M188">
        <f ca="1"/>
        <v>4.449241627661138E-3</v>
      </c>
      <c r="N188">
        <f ca="1"/>
        <v>0.76163310186510647</v>
      </c>
      <c r="O188">
        <f ca="1"/>
        <v>0</v>
      </c>
      <c r="P188">
        <f ca="1"/>
        <v>159.21771774807914</v>
      </c>
      <c r="Q188">
        <f ca="1"/>
        <v>69.76707392910545</v>
      </c>
      <c r="R188">
        <f ca="1"/>
        <v>0.53633537576517987</v>
      </c>
      <c r="S188">
        <f ca="1"/>
        <v>1</v>
      </c>
      <c r="T188">
        <f ca="1"/>
        <v>1.9200000000000017</v>
      </c>
      <c r="U188">
        <f ca="1"/>
        <v>0</v>
      </c>
      <c r="V188">
        <f ca="1"/>
        <v>0.89999999977134393</v>
      </c>
      <c r="X188" s="2">
        <f t="shared" ca="1" si="17"/>
        <v>45552</v>
      </c>
      <c r="Y188">
        <f t="shared" ca="1" si="18"/>
        <v>0</v>
      </c>
      <c r="AA188" s="63">
        <f t="shared" ca="1" si="20"/>
        <v>54.36520092276762</v>
      </c>
      <c r="AB188" s="63">
        <f t="shared" ca="1" si="21"/>
        <v>54.36520092276762</v>
      </c>
      <c r="AC188" s="3">
        <f t="shared" ca="1" si="22"/>
        <v>0</v>
      </c>
    </row>
    <row r="189" spans="8:29">
      <c r="H189" t="b">
        <f t="shared" ca="1" si="19"/>
        <v>1</v>
      </c>
      <c r="I189" t="b">
        <f t="shared" ca="1" si="16"/>
        <v>1</v>
      </c>
      <c r="J189" s="2">
        <f ca="1"/>
        <v>45553</v>
      </c>
      <c r="K189">
        <f ca="1"/>
        <v>46.831861501547571</v>
      </c>
      <c r="L189">
        <f ca="1"/>
        <v>2.8460156087151063</v>
      </c>
      <c r="M189">
        <f ca="1"/>
        <v>4.1569335355049475E-3</v>
      </c>
      <c r="N189">
        <f ca="1"/>
        <v>0.70245355372461293</v>
      </c>
      <c r="O189">
        <f ca="1"/>
        <v>0</v>
      </c>
      <c r="P189">
        <f ca="1"/>
        <v>162.06373335679424</v>
      </c>
      <c r="Q189">
        <f ca="1"/>
        <v>71.014159895321725</v>
      </c>
      <c r="R189">
        <f ca="1"/>
        <v>1.7512401311056978</v>
      </c>
      <c r="S189">
        <f ca="1"/>
        <v>1</v>
      </c>
      <c r="T189">
        <f ca="1"/>
        <v>6.7900000000000063</v>
      </c>
      <c r="U189">
        <f ca="1"/>
        <v>0</v>
      </c>
      <c r="V189">
        <f ca="1"/>
        <v>0.89999999981765366</v>
      </c>
      <c r="X189" s="2">
        <f t="shared" ca="1" si="17"/>
        <v>45553</v>
      </c>
      <c r="Y189">
        <f t="shared" ca="1" si="18"/>
        <v>0</v>
      </c>
      <c r="AA189" s="63">
        <f t="shared" ca="1" si="20"/>
        <v>51.429117241368374</v>
      </c>
      <c r="AB189" s="63">
        <f t="shared" ca="1" si="21"/>
        <v>51.429117241368374</v>
      </c>
      <c r="AC189" s="3">
        <f t="shared" ca="1" si="22"/>
        <v>0</v>
      </c>
    </row>
    <row r="190" spans="8:29">
      <c r="H190" t="b">
        <f t="shared" ca="1" si="19"/>
        <v>1</v>
      </c>
      <c r="I190" t="b">
        <f t="shared" ca="1" si="16"/>
        <v>1</v>
      </c>
      <c r="J190" s="2">
        <f ca="1"/>
        <v>45554</v>
      </c>
      <c r="K190">
        <f ca="1"/>
        <v>44.313977793404938</v>
      </c>
      <c r="L190">
        <f ca="1"/>
        <v>2.7874636532799286</v>
      </c>
      <c r="M190">
        <f ca="1"/>
        <v>4.0893032265429952E-3</v>
      </c>
      <c r="N190">
        <f ca="1"/>
        <v>0.69501511072565969</v>
      </c>
      <c r="O190">
        <f ca="1"/>
        <v>0</v>
      </c>
      <c r="P190">
        <f ca="1"/>
        <v>164.85119701007417</v>
      </c>
      <c r="Q190">
        <f ca="1"/>
        <v>72.235589177964641</v>
      </c>
      <c r="R190">
        <f ca="1"/>
        <v>0.42952446881491396</v>
      </c>
      <c r="S190">
        <f ca="1"/>
        <v>1</v>
      </c>
      <c r="T190">
        <f ca="1"/>
        <v>1.7599999999999909</v>
      </c>
      <c r="U190">
        <f ca="1"/>
        <v>0</v>
      </c>
      <c r="V190">
        <f ca="1"/>
        <v>0.8999999998542394</v>
      </c>
      <c r="X190" s="2">
        <f t="shared" ca="1" si="17"/>
        <v>45554</v>
      </c>
      <c r="Y190">
        <f t="shared" ca="1" si="18"/>
        <v>0</v>
      </c>
      <c r="AA190" s="63">
        <f t="shared" ca="1" si="20"/>
        <v>47.530965915499777</v>
      </c>
      <c r="AB190" s="63">
        <f t="shared" ca="1" si="21"/>
        <v>47.530965915499777</v>
      </c>
      <c r="AC190" s="3">
        <f t="shared" ca="1" si="22"/>
        <v>0</v>
      </c>
    </row>
    <row r="191" spans="8:29">
      <c r="H191" t="b">
        <f t="shared" ca="1" si="19"/>
        <v>1</v>
      </c>
      <c r="I191" t="b">
        <f t="shared" ca="1" si="16"/>
        <v>1</v>
      </c>
      <c r="J191" s="2">
        <f ca="1"/>
        <v>45555</v>
      </c>
      <c r="K191">
        <f ca="1"/>
        <v>42.363025186082325</v>
      </c>
      <c r="L191">
        <f ca="1"/>
        <v>2.6140828522323716</v>
      </c>
      <c r="M191">
        <f ca="1"/>
        <v>3.9052536027668339E-3</v>
      </c>
      <c r="N191">
        <f ca="1"/>
        <v>0.65922499130699241</v>
      </c>
      <c r="O191">
        <f ca="1"/>
        <v>0</v>
      </c>
      <c r="P191">
        <f ca="1"/>
        <v>167.46527986230655</v>
      </c>
      <c r="Q191">
        <f ca="1"/>
        <v>73.381045313047977</v>
      </c>
      <c r="R191">
        <f ca="1"/>
        <v>0</v>
      </c>
      <c r="S191">
        <f ca="1"/>
        <v>0.99507246376811609</v>
      </c>
      <c r="T191">
        <f ca="1"/>
        <v>0</v>
      </c>
      <c r="U191">
        <f ca="1"/>
        <v>0</v>
      </c>
      <c r="V191">
        <f ca="1"/>
        <v>0.89999999988212032</v>
      </c>
      <c r="X191" s="2">
        <f t="shared" ca="1" si="17"/>
        <v>45555</v>
      </c>
      <c r="Y191">
        <f t="shared" ca="1" si="18"/>
        <v>0</v>
      </c>
      <c r="AA191" s="63">
        <f t="shared" ca="1" si="20"/>
        <v>44.977108038314697</v>
      </c>
      <c r="AB191" s="63">
        <f t="shared" ca="1" si="21"/>
        <v>44.977108038314697</v>
      </c>
      <c r="AC191" s="3">
        <f t="shared" ca="1" si="22"/>
        <v>0</v>
      </c>
    </row>
    <row r="192" spans="8:29">
      <c r="H192" t="b">
        <f t="shared" ca="1" si="19"/>
        <v>1</v>
      </c>
      <c r="I192" t="b">
        <f t="shared" ca="1" si="16"/>
        <v>1</v>
      </c>
      <c r="J192" s="2">
        <f ca="1"/>
        <v>45556</v>
      </c>
      <c r="K192">
        <f ca="1"/>
        <v>40.098435182744083</v>
      </c>
      <c r="L192">
        <f ca="1"/>
        <v>2.6652536735468857</v>
      </c>
      <c r="M192">
        <f ca="1"/>
        <v>3.955953372567933E-3</v>
      </c>
      <c r="N192">
        <f ca="1"/>
        <v>0.67962399241853055</v>
      </c>
      <c r="O192">
        <f ca="1"/>
        <v>0</v>
      </c>
      <c r="P192">
        <f ca="1"/>
        <v>170.13053353585343</v>
      </c>
      <c r="Q192">
        <f ca="1"/>
        <v>74.548923817476577</v>
      </c>
      <c r="R192">
        <f ca="1"/>
        <v>0.28291627558245186</v>
      </c>
      <c r="S192">
        <f ca="1"/>
        <v>1</v>
      </c>
      <c r="T192">
        <f ca="1"/>
        <v>1.2811382608706623</v>
      </c>
      <c r="U192">
        <f ca="1"/>
        <v>0</v>
      </c>
      <c r="V192">
        <f ca="1"/>
        <v>0.89999999990530322</v>
      </c>
      <c r="X192" s="2">
        <f t="shared" ca="1" si="17"/>
        <v>45556</v>
      </c>
      <c r="Y192">
        <f t="shared" ca="1" si="18"/>
        <v>0</v>
      </c>
      <c r="AA192" s="63">
        <f t="shared" ca="1" si="20"/>
        <v>43.04660513187342</v>
      </c>
      <c r="AB192" s="63">
        <f t="shared" ca="1" si="21"/>
        <v>43.04660513187342</v>
      </c>
      <c r="AC192" s="3">
        <f t="shared" ca="1" si="22"/>
        <v>0</v>
      </c>
    </row>
    <row r="193" spans="8:29">
      <c r="H193" t="b">
        <f t="shared" ca="1" si="19"/>
        <v>1</v>
      </c>
      <c r="I193" t="b">
        <f t="shared" ca="1" si="16"/>
        <v>1</v>
      </c>
      <c r="J193" s="2">
        <f ca="1"/>
        <v>45557</v>
      </c>
      <c r="K193">
        <f ca="1"/>
        <v>37.999206253616663</v>
      </c>
      <c r="L193">
        <f ca="1"/>
        <v>2.8374782923739872</v>
      </c>
      <c r="M193">
        <f ca="1"/>
        <v>4.1441884284694197E-3</v>
      </c>
      <c r="N193">
        <f ca="1"/>
        <v>0.73410517481809712</v>
      </c>
      <c r="O193">
        <f ca="1"/>
        <v>0</v>
      </c>
      <c r="P193">
        <f ca="1"/>
        <v>172.96801182822742</v>
      </c>
      <c r="Q193">
        <f ca="1"/>
        <v>75.792268845882987</v>
      </c>
      <c r="R193">
        <f ca="1"/>
        <v>0</v>
      </c>
      <c r="S193">
        <f ca="1"/>
        <v>0.99507246376811609</v>
      </c>
      <c r="T193">
        <f ca="1"/>
        <v>0</v>
      </c>
      <c r="U193">
        <f ca="1"/>
        <v>0</v>
      </c>
      <c r="V193">
        <f ca="1"/>
        <v>0.89999999992522728</v>
      </c>
      <c r="X193" s="2">
        <f t="shared" ca="1" si="17"/>
        <v>45557</v>
      </c>
      <c r="Y193">
        <f t="shared" ca="1" si="18"/>
        <v>0</v>
      </c>
      <c r="AA193" s="63">
        <f t="shared" ca="1" si="20"/>
        <v>40.83668454599065</v>
      </c>
      <c r="AB193" s="63">
        <f t="shared" ca="1" si="21"/>
        <v>40.83668454599065</v>
      </c>
      <c r="AC193" s="3">
        <f t="shared" ca="1" si="22"/>
        <v>0</v>
      </c>
    </row>
    <row r="194" spans="8:29">
      <c r="H194" t="b">
        <f t="shared" ca="1" si="19"/>
        <v>1</v>
      </c>
      <c r="I194" t="b">
        <f t="shared" ca="1" si="16"/>
        <v>1</v>
      </c>
      <c r="J194" s="2">
        <f ca="1"/>
        <v>45558</v>
      </c>
      <c r="K194">
        <f ca="1"/>
        <v>35.138523600093116</v>
      </c>
      <c r="L194">
        <f ca="1"/>
        <v>2.9707643026748372</v>
      </c>
      <c r="M194">
        <f ca="1"/>
        <v>4.3061823813772548E-3</v>
      </c>
      <c r="N194">
        <f ca="1"/>
        <v>0.78324343852350387</v>
      </c>
      <c r="O194">
        <f ca="1"/>
        <v>0</v>
      </c>
      <c r="P194">
        <f ca="1"/>
        <v>175.93877613090226</v>
      </c>
      <c r="Q194">
        <f ca="1"/>
        <v>77.094018020925176</v>
      </c>
      <c r="R194">
        <f ca="1"/>
        <v>0.67746797175359152</v>
      </c>
      <c r="S194">
        <f ca="1"/>
        <v>1</v>
      </c>
      <c r="T194">
        <f ca="1"/>
        <v>3.5008278260874448</v>
      </c>
      <c r="U194">
        <f ca="1"/>
        <v>0</v>
      </c>
      <c r="V194">
        <f ca="1"/>
        <v>0.899999999941831</v>
      </c>
      <c r="X194" s="2">
        <f t="shared" ca="1" si="17"/>
        <v>45558</v>
      </c>
      <c r="Y194">
        <f t="shared" ca="1" si="18"/>
        <v>0</v>
      </c>
      <c r="AA194" s="63">
        <f t="shared" ca="1" si="20"/>
        <v>38.786755874521546</v>
      </c>
      <c r="AB194" s="63">
        <f t="shared" ca="1" si="21"/>
        <v>38.786755874521546</v>
      </c>
      <c r="AC194" s="3">
        <f t="shared" ca="1" si="22"/>
        <v>0</v>
      </c>
    </row>
    <row r="195" spans="8:29">
      <c r="H195" t="b">
        <f t="shared" ca="1" si="19"/>
        <v>1</v>
      </c>
      <c r="I195" t="b">
        <f t="shared" ca="1" si="16"/>
        <v>1</v>
      </c>
      <c r="J195" s="2">
        <f ca="1"/>
        <v>45559</v>
      </c>
      <c r="K195">
        <f ca="1"/>
        <v>32.924230782800613</v>
      </c>
      <c r="L195">
        <f ca="1"/>
        <v>3.0358124062707645</v>
      </c>
      <c r="M195">
        <f ca="1"/>
        <v>4.4018509171053211E-3</v>
      </c>
      <c r="N195">
        <f ca="1"/>
        <v>0.81711773806115839</v>
      </c>
      <c r="O195">
        <f ca="1"/>
        <v>0</v>
      </c>
      <c r="P195">
        <f ca="1"/>
        <v>178.97458853717302</v>
      </c>
      <c r="Q195">
        <f ca="1"/>
        <v>78.424270404760406</v>
      </c>
      <c r="R195">
        <f ca="1"/>
        <v>0</v>
      </c>
      <c r="S195">
        <f ca="1"/>
        <v>0.99130434782608678</v>
      </c>
      <c r="T195">
        <f ca="1"/>
        <v>0</v>
      </c>
      <c r="U195">
        <f ca="1"/>
        <v>0</v>
      </c>
      <c r="V195">
        <f ca="1"/>
        <v>0.89999999995519409</v>
      </c>
      <c r="X195" s="2">
        <f t="shared" ca="1" si="17"/>
        <v>45559</v>
      </c>
      <c r="Y195">
        <f t="shared" ca="1" si="18"/>
        <v>0</v>
      </c>
      <c r="AA195" s="63">
        <f t="shared" ca="1" si="20"/>
        <v>35.960043189071378</v>
      </c>
      <c r="AB195" s="63">
        <f t="shared" ca="1" si="21"/>
        <v>35.960043189071378</v>
      </c>
      <c r="AC195" s="3">
        <f t="shared" ca="1" si="22"/>
        <v>0</v>
      </c>
    </row>
    <row r="196" spans="8:29">
      <c r="H196" t="b">
        <f t="shared" ca="1" si="19"/>
        <v>1</v>
      </c>
      <c r="I196" t="b">
        <f t="shared" ca="1" si="16"/>
        <v>1</v>
      </c>
      <c r="J196" s="2">
        <f ca="1"/>
        <v>45560</v>
      </c>
      <c r="K196">
        <f ca="1"/>
        <v>30.837082713982873</v>
      </c>
      <c r="L196">
        <f ca="1"/>
        <v>2.877534692547016</v>
      </c>
      <c r="M196">
        <f ca="1"/>
        <v>4.2331322188218223E-3</v>
      </c>
      <c r="N196">
        <f ca="1"/>
        <v>0.78615349151045522</v>
      </c>
      <c r="O196">
        <f ca="1"/>
        <v>0</v>
      </c>
      <c r="P196">
        <f ca="1"/>
        <v>181.85212322972004</v>
      </c>
      <c r="Q196">
        <f ca="1"/>
        <v>79.685167611854794</v>
      </c>
      <c r="R196">
        <f ca="1"/>
        <v>0</v>
      </c>
      <c r="S196">
        <f ca="1"/>
        <v>0.97452098298677714</v>
      </c>
      <c r="T196">
        <f ca="1"/>
        <v>0</v>
      </c>
      <c r="U196">
        <f ca="1"/>
        <v>0</v>
      </c>
      <c r="V196">
        <f ca="1"/>
        <v>0.89999999996517344</v>
      </c>
      <c r="X196" s="2">
        <f t="shared" ca="1" si="17"/>
        <v>45560</v>
      </c>
      <c r="Y196">
        <f t="shared" ca="1" si="18"/>
        <v>0</v>
      </c>
      <c r="AA196" s="63">
        <f t="shared" ca="1" si="20"/>
        <v>33.714617406529889</v>
      </c>
      <c r="AB196" s="63">
        <f t="shared" ca="1" si="21"/>
        <v>33.714617406529889</v>
      </c>
      <c r="AC196" s="3">
        <f t="shared" ca="1" si="22"/>
        <v>0</v>
      </c>
    </row>
    <row r="197" spans="8:29">
      <c r="H197" t="b">
        <f t="shared" ca="1" si="19"/>
        <v>0</v>
      </c>
      <c r="I197" t="b">
        <f t="shared" ca="1" si="16"/>
        <v>1</v>
      </c>
      <c r="J197" s="2">
        <f ca="1"/>
        <v>45561</v>
      </c>
      <c r="K197">
        <f ca="1"/>
        <v>28.738405019103737</v>
      </c>
      <c r="L197">
        <f ca="1"/>
        <v>2.9093366242945251</v>
      </c>
      <c r="M197">
        <f ca="1"/>
        <v>4.2969311022886814E-3</v>
      </c>
      <c r="N197">
        <f ca="1"/>
        <v>0.80636199831309918</v>
      </c>
      <c r="O197">
        <f ca="1"/>
        <v>0</v>
      </c>
      <c r="P197">
        <f ca="1"/>
        <v>184.76145985401456</v>
      </c>
      <c r="Q197">
        <f ca="1"/>
        <v>80.95999999999998</v>
      </c>
      <c r="R197">
        <f ca="1"/>
        <v>0</v>
      </c>
      <c r="S197">
        <f ca="1"/>
        <v>0.95432159688779039</v>
      </c>
      <c r="T197">
        <f ca="1"/>
        <v>0</v>
      </c>
      <c r="U197">
        <f ca="1"/>
        <v>0</v>
      </c>
      <c r="V197">
        <f ca="1"/>
        <v>0.89999999997313951</v>
      </c>
      <c r="X197" s="2">
        <f t="shared" ca="1" si="17"/>
        <v>45561</v>
      </c>
      <c r="Y197">
        <f t="shared" ca="1" si="18"/>
        <v>0</v>
      </c>
      <c r="AA197" s="63">
        <f t="shared" ca="1" si="20"/>
        <v>31.647741643398263</v>
      </c>
      <c r="AB197" s="63">
        <f t="shared" ca="1" si="21"/>
        <v>31.647741643398263</v>
      </c>
      <c r="AC197" s="3">
        <f t="shared" ca="1" si="22"/>
        <v>0</v>
      </c>
    </row>
    <row r="198" spans="8:29">
      <c r="H198" t="b">
        <f t="shared" ca="1" si="19"/>
        <v>0</v>
      </c>
      <c r="I198" t="b">
        <f t="shared" ca="1" si="16"/>
        <v>0</v>
      </c>
      <c r="J198" s="2">
        <f ca="1"/>
        <v>45562</v>
      </c>
      <c r="K198">
        <f ca="1"/>
        <v>32.220304336636481</v>
      </c>
      <c r="L198">
        <f ca="1"/>
        <v>0</v>
      </c>
      <c r="M198">
        <f ca="1"/>
        <v>2.6482635260386189</v>
      </c>
      <c r="N198">
        <f ca="1"/>
        <v>0.83363579149412448</v>
      </c>
      <c r="O198">
        <f ca="1"/>
        <v>0</v>
      </c>
      <c r="P198">
        <f ca="1"/>
        <v>0</v>
      </c>
      <c r="Q198">
        <f ca="1"/>
        <v>0</v>
      </c>
      <c r="R198">
        <f ca="1"/>
        <v>0</v>
      </c>
      <c r="S198">
        <f ca="1"/>
        <v>0.99949978527371797</v>
      </c>
      <c r="T198">
        <f ca="1"/>
        <v>0</v>
      </c>
      <c r="U198">
        <f ca="1"/>
        <v>0</v>
      </c>
      <c r="V198">
        <f ca="1"/>
        <v>0</v>
      </c>
      <c r="X198" s="2">
        <f t="shared" ca="1" si="17"/>
        <v>45562</v>
      </c>
      <c r="Y198">
        <f t="shared" ca="1" si="18"/>
        <v>0</v>
      </c>
      <c r="AA198" s="63">
        <f t="shared" ca="1" si="20"/>
        <v>32.220304336636481</v>
      </c>
      <c r="AB198" s="63">
        <f t="shared" ca="1" si="21"/>
        <v>32.220304336636481</v>
      </c>
      <c r="AC198" s="3">
        <f t="shared" ca="1" si="22"/>
        <v>0</v>
      </c>
    </row>
    <row r="199" spans="8:29">
      <c r="H199" t="b">
        <f t="shared" ca="1" si="19"/>
        <v>0</v>
      </c>
      <c r="I199" t="b">
        <f t="shared" ca="1" si="16"/>
        <v>0</v>
      </c>
      <c r="J199" s="2">
        <f ca="1"/>
        <v>45563</v>
      </c>
      <c r="K199">
        <f ca="1"/>
        <v>35.634119453092509</v>
      </c>
      <c r="L199">
        <f ca="1"/>
        <v>0</v>
      </c>
      <c r="M199">
        <f ca="1"/>
        <v>2.5557850942329168</v>
      </c>
      <c r="N199">
        <f ca="1"/>
        <v>0.85803002222311442</v>
      </c>
      <c r="O199">
        <f ca="1"/>
        <v>0</v>
      </c>
      <c r="P199">
        <f ca="1"/>
        <v>0</v>
      </c>
      <c r="Q199">
        <f ca="1"/>
        <v>0</v>
      </c>
      <c r="R199">
        <f ca="1"/>
        <v>0</v>
      </c>
      <c r="S199">
        <f ca="1"/>
        <v>0.99719769101310529</v>
      </c>
      <c r="T199">
        <f ca="1"/>
        <v>0</v>
      </c>
      <c r="U199">
        <f ca="1"/>
        <v>0</v>
      </c>
      <c r="V199">
        <f ca="1"/>
        <v>0</v>
      </c>
      <c r="X199" s="2">
        <f t="shared" ca="1" si="17"/>
        <v>45563</v>
      </c>
      <c r="Y199">
        <f t="shared" ca="1" si="18"/>
        <v>0</v>
      </c>
      <c r="AA199" s="63">
        <f t="shared" ca="1" si="20"/>
        <v>35.634119453092509</v>
      </c>
      <c r="AB199" s="63">
        <f t="shared" ca="1" si="21"/>
        <v>35.634119453092509</v>
      </c>
      <c r="AC199" s="3">
        <f t="shared" ca="1" si="22"/>
        <v>0</v>
      </c>
    </row>
    <row r="200" spans="8:29">
      <c r="H200" t="b">
        <f t="shared" ca="1" si="19"/>
        <v>0</v>
      </c>
      <c r="I200" t="b">
        <f t="shared" ca="1" si="16"/>
        <v>0</v>
      </c>
      <c r="J200" s="2">
        <f ca="1"/>
        <v>45564</v>
      </c>
      <c r="K200">
        <f ca="1"/>
        <v>38.242246215475532</v>
      </c>
      <c r="L200">
        <f ca="1"/>
        <v>0</v>
      </c>
      <c r="M200">
        <f ca="1"/>
        <v>2.388414270920542</v>
      </c>
      <c r="N200">
        <f ca="1"/>
        <v>0.84806718552572091</v>
      </c>
      <c r="O200">
        <f ca="1"/>
        <v>0</v>
      </c>
      <c r="P200">
        <f ca="1"/>
        <v>0</v>
      </c>
      <c r="Q200">
        <f ca="1"/>
        <v>0</v>
      </c>
      <c r="R200">
        <f ca="1"/>
        <v>0.62835469406323707</v>
      </c>
      <c r="S200">
        <f ca="1"/>
        <v>1</v>
      </c>
      <c r="T200">
        <f ca="1"/>
        <v>2.9835063369221615</v>
      </c>
      <c r="U200">
        <f ca="1"/>
        <v>0</v>
      </c>
      <c r="V200">
        <f ca="1"/>
        <v>0</v>
      </c>
      <c r="X200" s="2">
        <f t="shared" ca="1" si="17"/>
        <v>45564</v>
      </c>
      <c r="Y200">
        <f t="shared" ca="1" si="18"/>
        <v>0</v>
      </c>
      <c r="AA200" s="63">
        <f t="shared" ca="1" si="20"/>
        <v>38.870600909538773</v>
      </c>
      <c r="AB200" s="63">
        <f t="shared" ca="1" si="21"/>
        <v>38.870600909538773</v>
      </c>
      <c r="AC200" s="3">
        <f t="shared" ca="1" si="22"/>
        <v>0</v>
      </c>
    </row>
    <row r="201" spans="8:29">
      <c r="H201" t="b">
        <f t="shared" ca="1" si="19"/>
        <v>0</v>
      </c>
      <c r="I201" t="b">
        <f t="shared" ca="1" si="16"/>
        <v>0</v>
      </c>
      <c r="J201" s="2">
        <f ca="1"/>
        <v>45565</v>
      </c>
      <c r="K201">
        <f ca="1"/>
        <v>41.148888733736491</v>
      </c>
      <c r="L201">
        <f ca="1"/>
        <v>0</v>
      </c>
      <c r="M201">
        <f ca="1"/>
        <v>2.1233990797374531</v>
      </c>
      <c r="N201">
        <f ca="1"/>
        <v>0.78324343852350387</v>
      </c>
      <c r="O201">
        <f ca="1"/>
        <v>0</v>
      </c>
      <c r="P201">
        <f ca="1"/>
        <v>0</v>
      </c>
      <c r="Q201">
        <f ca="1"/>
        <v>0</v>
      </c>
      <c r="R201">
        <f ca="1"/>
        <v>0</v>
      </c>
      <c r="S201">
        <f ca="1"/>
        <v>0.99826086956521731</v>
      </c>
      <c r="T201">
        <f ca="1"/>
        <v>0</v>
      </c>
      <c r="U201">
        <f ca="1"/>
        <v>0</v>
      </c>
      <c r="V201">
        <f ca="1"/>
        <v>0</v>
      </c>
      <c r="X201" s="2">
        <f t="shared" ca="1" si="17"/>
        <v>45565</v>
      </c>
      <c r="Y201">
        <f t="shared" ca="1" si="18"/>
        <v>0</v>
      </c>
      <c r="AA201" s="63">
        <f t="shared" ca="1" si="20"/>
        <v>41.148888733736491</v>
      </c>
      <c r="AB201" s="63">
        <f t="shared" ca="1" si="21"/>
        <v>41.148888733736491</v>
      </c>
      <c r="AC201" s="3">
        <f t="shared" ca="1" si="22"/>
        <v>0</v>
      </c>
    </row>
    <row r="202" spans="8:29">
      <c r="H202" t="b">
        <f t="shared" ca="1" si="19"/>
        <v>0</v>
      </c>
      <c r="I202" t="b">
        <f t="shared" ca="1" si="16"/>
        <v>0</v>
      </c>
      <c r="J202" s="2">
        <f ca="1"/>
        <v>45566</v>
      </c>
      <c r="K202">
        <f ca="1"/>
        <v>44.007015394607336</v>
      </c>
      <c r="L202">
        <f ca="1"/>
        <v>0</v>
      </c>
      <c r="M202">
        <f ca="1"/>
        <v>2.0582949033704523</v>
      </c>
      <c r="N202">
        <f ca="1"/>
        <v>0.81041961802088636</v>
      </c>
      <c r="O202">
        <f ca="1"/>
        <v>0</v>
      </c>
      <c r="P202">
        <f ca="1"/>
        <v>0</v>
      </c>
      <c r="Q202">
        <f ca="1"/>
        <v>0</v>
      </c>
      <c r="R202">
        <f ca="1"/>
        <v>1.0587860520498173E-2</v>
      </c>
      <c r="S202">
        <f ca="1"/>
        <v>1</v>
      </c>
      <c r="T202">
        <f ca="1"/>
        <v>4.3686956521739262E-2</v>
      </c>
      <c r="U202">
        <f ca="1"/>
        <v>0</v>
      </c>
      <c r="V202">
        <f ca="1"/>
        <v>0</v>
      </c>
      <c r="X202" s="2">
        <f t="shared" ca="1" si="17"/>
        <v>45566</v>
      </c>
      <c r="Y202">
        <f t="shared" ca="1" si="18"/>
        <v>0</v>
      </c>
      <c r="AA202" s="63">
        <f t="shared" ca="1" si="20"/>
        <v>44.017603255127831</v>
      </c>
      <c r="AB202" s="63">
        <f t="shared" ca="1" si="21"/>
        <v>44.017603255127831</v>
      </c>
      <c r="AC202" s="3">
        <f t="shared" ca="1" si="22"/>
        <v>0</v>
      </c>
    </row>
    <row r="203" spans="8:29">
      <c r="H203" t="b">
        <f t="shared" ca="1" si="19"/>
        <v>0</v>
      </c>
      <c r="I203" t="b">
        <f t="shared" ca="1" si="16"/>
        <v>0</v>
      </c>
      <c r="J203" s="2">
        <f ca="1"/>
        <v>45567</v>
      </c>
      <c r="K203">
        <f ca="1"/>
        <v>46.533503686550766</v>
      </c>
      <c r="L203">
        <f ca="1"/>
        <v>0</v>
      </c>
      <c r="M203">
        <f ca="1"/>
        <v>2.0662583275133812</v>
      </c>
      <c r="N203">
        <f ca="1"/>
        <v>0.88051517453813799</v>
      </c>
      <c r="O203">
        <f ca="1"/>
        <v>0</v>
      </c>
      <c r="P203">
        <f ca="1"/>
        <v>0</v>
      </c>
      <c r="Q203">
        <f ca="1"/>
        <v>0</v>
      </c>
      <c r="R203">
        <f ca="1"/>
        <v>0.42028521010809339</v>
      </c>
      <c r="S203">
        <f ca="1"/>
        <v>1</v>
      </c>
      <c r="T203">
        <f ca="1"/>
        <v>1.6400000000000006</v>
      </c>
      <c r="U203">
        <f ca="1"/>
        <v>0</v>
      </c>
      <c r="V203">
        <f ca="1"/>
        <v>0</v>
      </c>
      <c r="X203" s="2">
        <f t="shared" ca="1" si="17"/>
        <v>45567</v>
      </c>
      <c r="Y203">
        <f t="shared" ca="1" si="18"/>
        <v>0</v>
      </c>
      <c r="AA203" s="63">
        <f t="shared" ca="1" si="20"/>
        <v>46.953788896658857</v>
      </c>
      <c r="AB203" s="63">
        <f t="shared" ca="1" si="21"/>
        <v>46.953788896658857</v>
      </c>
      <c r="AC203" s="3">
        <f t="shared" ca="1" si="22"/>
        <v>0</v>
      </c>
    </row>
    <row r="204" spans="8:29">
      <c r="H204" t="b">
        <f t="shared" ca="1" si="19"/>
        <v>0</v>
      </c>
      <c r="I204" t="b">
        <f t="shared" ref="I204:I267" ca="1" si="23">AND(IF(J204&gt;($J$8-1),TRUE,FALSE),IF(J204&lt;($J$9+1),TRUE,FALSE))</f>
        <v>0</v>
      </c>
      <c r="J204" s="2">
        <f ca="1"/>
        <v>45568</v>
      </c>
      <c r="K204">
        <f ca="1"/>
        <v>49.155069585752443</v>
      </c>
      <c r="L204">
        <f ca="1"/>
        <v>0</v>
      </c>
      <c r="M204">
        <f ca="1"/>
        <v>1.8163321754471937</v>
      </c>
      <c r="N204">
        <f ca="1"/>
        <v>0.8052337237544851</v>
      </c>
      <c r="O204">
        <f ca="1"/>
        <v>0</v>
      </c>
      <c r="P204">
        <f ca="1"/>
        <v>0</v>
      </c>
      <c r="Q204">
        <f ca="1"/>
        <v>0</v>
      </c>
      <c r="R204">
        <f ca="1"/>
        <v>0</v>
      </c>
      <c r="S204">
        <f ca="1"/>
        <v>0.98405797101449266</v>
      </c>
      <c r="T204">
        <f ca="1"/>
        <v>0</v>
      </c>
      <c r="U204">
        <f ca="1"/>
        <v>0</v>
      </c>
      <c r="V204">
        <f ca="1"/>
        <v>0</v>
      </c>
      <c r="X204" s="2">
        <f t="shared" ref="X204:X267" ca="1" si="24">IFERROR(J204,$X$10)</f>
        <v>45568</v>
      </c>
      <c r="Y204">
        <f t="shared" ref="Y204:Y267" ca="1" si="25">IFERROR(O204,0)</f>
        <v>0</v>
      </c>
      <c r="AA204" s="63">
        <f t="shared" ca="1" si="20"/>
        <v>49.155069585752443</v>
      </c>
      <c r="AB204" s="63">
        <f t="shared" ca="1" si="21"/>
        <v>49.155069585752443</v>
      </c>
      <c r="AC204" s="3">
        <f t="shared" ca="1" si="22"/>
        <v>0</v>
      </c>
    </row>
    <row r="205" spans="8:29">
      <c r="H205" t="b">
        <f t="shared" ref="H205:H268" ca="1" si="26">IF(J205&lt;$J$9,TRUE,FALSE)</f>
        <v>0</v>
      </c>
      <c r="I205" t="b">
        <f t="shared" ca="1" si="23"/>
        <v>0</v>
      </c>
      <c r="J205" s="2">
        <f ca="1"/>
        <v>45569</v>
      </c>
      <c r="K205">
        <f ca="1"/>
        <v>51.663703327405706</v>
      </c>
      <c r="L205">
        <f ca="1"/>
        <v>0</v>
      </c>
      <c r="M205">
        <f ca="1"/>
        <v>1.7070915133708056</v>
      </c>
      <c r="N205">
        <f ca="1"/>
        <v>0.80154222828245403</v>
      </c>
      <c r="O205">
        <f ca="1"/>
        <v>0</v>
      </c>
      <c r="P205">
        <f ca="1"/>
        <v>0</v>
      </c>
      <c r="Q205">
        <f ca="1"/>
        <v>0</v>
      </c>
      <c r="R205">
        <f ca="1"/>
        <v>0</v>
      </c>
      <c r="S205">
        <f ca="1"/>
        <v>0.98253959252257905</v>
      </c>
      <c r="T205">
        <f ca="1"/>
        <v>0</v>
      </c>
      <c r="U205">
        <f ca="1"/>
        <v>0</v>
      </c>
      <c r="V205">
        <f ca="1"/>
        <v>0</v>
      </c>
      <c r="X205" s="2">
        <f t="shared" ca="1" si="24"/>
        <v>45569</v>
      </c>
      <c r="Y205">
        <f t="shared" ca="1" si="25"/>
        <v>0</v>
      </c>
      <c r="AA205" s="63">
        <f t="shared" ca="1" si="20"/>
        <v>51.663703327405706</v>
      </c>
      <c r="AB205" s="63">
        <f t="shared" ca="1" si="21"/>
        <v>51.663703327405706</v>
      </c>
      <c r="AC205" s="3">
        <f t="shared" ca="1" si="22"/>
        <v>0</v>
      </c>
    </row>
    <row r="206" spans="8:29">
      <c r="H206" t="b">
        <f t="shared" ca="1" si="26"/>
        <v>0</v>
      </c>
      <c r="I206" t="b">
        <f t="shared" ca="1" si="23"/>
        <v>0</v>
      </c>
      <c r="J206" s="2">
        <f ca="1"/>
        <v>45570</v>
      </c>
      <c r="K206">
        <f ca="1"/>
        <v>54.062010873405541</v>
      </c>
      <c r="L206">
        <f ca="1"/>
        <v>0</v>
      </c>
      <c r="M206">
        <f ca="1"/>
        <v>1.6019156248445512</v>
      </c>
      <c r="N206">
        <f ca="1"/>
        <v>0.79639192115528268</v>
      </c>
      <c r="O206">
        <f ca="1"/>
        <v>0</v>
      </c>
      <c r="P206">
        <f ca="1"/>
        <v>0</v>
      </c>
      <c r="Q206">
        <f ca="1"/>
        <v>0</v>
      </c>
      <c r="R206">
        <f ca="1"/>
        <v>0</v>
      </c>
      <c r="S206">
        <f ca="1"/>
        <v>0.9673801755203052</v>
      </c>
      <c r="T206">
        <f ca="1"/>
        <v>0</v>
      </c>
      <c r="U206">
        <f ca="1"/>
        <v>0</v>
      </c>
      <c r="V206">
        <f ca="1"/>
        <v>0</v>
      </c>
      <c r="X206" s="2">
        <f t="shared" ca="1" si="24"/>
        <v>45570</v>
      </c>
      <c r="Y206">
        <f t="shared" ca="1" si="25"/>
        <v>0</v>
      </c>
      <c r="AA206" s="63">
        <f ca="1">K205+M206+N206+O206</f>
        <v>54.062010873405541</v>
      </c>
      <c r="AB206" s="63">
        <f ca="1">K206+L206+R206</f>
        <v>54.062010873405541</v>
      </c>
      <c r="AC206" s="3">
        <f ca="1">AB206-AA206</f>
        <v>0</v>
      </c>
    </row>
    <row r="207" spans="8:29">
      <c r="H207" t="b">
        <f t="shared" ca="1" si="26"/>
        <v>0</v>
      </c>
      <c r="I207" t="b">
        <f t="shared" ca="1" si="23"/>
        <v>0</v>
      </c>
      <c r="J207" s="2">
        <f ca="1"/>
        <v>45571</v>
      </c>
      <c r="K207">
        <f ca="1"/>
        <v>56.415102143281288</v>
      </c>
      <c r="L207">
        <f ca="1"/>
        <v>0</v>
      </c>
      <c r="M207">
        <f ca="1"/>
        <v>1.5409266134609254</v>
      </c>
      <c r="N207">
        <f ca="1"/>
        <v>0.81216465641481972</v>
      </c>
      <c r="O207">
        <f ca="1"/>
        <v>0</v>
      </c>
      <c r="P207">
        <f ca="1"/>
        <v>0</v>
      </c>
      <c r="Q207">
        <f ca="1"/>
        <v>0</v>
      </c>
      <c r="R207">
        <f ca="1"/>
        <v>0</v>
      </c>
      <c r="S207">
        <f ca="1"/>
        <v>0.95420949962109414</v>
      </c>
      <c r="T207">
        <f ca="1"/>
        <v>0</v>
      </c>
      <c r="U207">
        <f ca="1"/>
        <v>0</v>
      </c>
      <c r="V207">
        <f ca="1"/>
        <v>0</v>
      </c>
      <c r="X207" s="2">
        <f t="shared" ca="1" si="24"/>
        <v>45571</v>
      </c>
      <c r="Y207">
        <f t="shared" ca="1" si="25"/>
        <v>0</v>
      </c>
      <c r="AA207" s="63">
        <f ca="1">K206+M207+N207+O207</f>
        <v>56.415102143281288</v>
      </c>
      <c r="AB207" s="63">
        <f ca="1">K207+L207+R207</f>
        <v>56.415102143281288</v>
      </c>
      <c r="AC207" s="3">
        <f ca="1">AB207-AA207</f>
        <v>0</v>
      </c>
    </row>
    <row r="208" spans="8:29">
      <c r="H208" t="b">
        <f t="shared" ca="1" si="26"/>
        <v>0</v>
      </c>
      <c r="I208" t="b">
        <f t="shared" ca="1" si="23"/>
        <v>0</v>
      </c>
      <c r="J208" s="2">
        <f ca="1"/>
        <v>45572</v>
      </c>
      <c r="K208">
        <f ca="1"/>
        <v>58.639572045102433</v>
      </c>
      <c r="L208">
        <f ca="1"/>
        <v>0</v>
      </c>
      <c r="M208">
        <f ca="1"/>
        <v>1.4251374881038004</v>
      </c>
      <c r="N208">
        <f ca="1"/>
        <v>0.79933241371734298</v>
      </c>
      <c r="O208">
        <f ca="1"/>
        <v>0</v>
      </c>
      <c r="P208">
        <f ca="1"/>
        <v>0</v>
      </c>
      <c r="Q208">
        <f ca="1"/>
        <v>0</v>
      </c>
      <c r="R208">
        <f ca="1"/>
        <v>0</v>
      </c>
      <c r="S208">
        <f ca="1"/>
        <v>0.98588634231373051</v>
      </c>
      <c r="T208">
        <f ca="1"/>
        <v>0</v>
      </c>
      <c r="U208">
        <f ca="1"/>
        <v>0</v>
      </c>
      <c r="V208">
        <f ca="1"/>
        <v>0</v>
      </c>
      <c r="X208" s="2">
        <f t="shared" ca="1" si="24"/>
        <v>45572</v>
      </c>
      <c r="Y208">
        <f t="shared" ca="1" si="25"/>
        <v>0</v>
      </c>
      <c r="AA208" s="63">
        <f ca="1">K207+M208+N208+O208</f>
        <v>58.639572045102433</v>
      </c>
      <c r="AB208" s="63">
        <f ca="1">K208+L208+R208</f>
        <v>58.639572045102433</v>
      </c>
      <c r="AC208" s="3">
        <f ca="1">AB208-AA208</f>
        <v>0</v>
      </c>
    </row>
    <row r="209" spans="8:29">
      <c r="H209" t="b">
        <f t="shared" ca="1" si="26"/>
        <v>0</v>
      </c>
      <c r="I209" t="b">
        <f t="shared" ca="1" si="23"/>
        <v>0</v>
      </c>
      <c r="J209" s="2">
        <f ca="1"/>
        <v>45573</v>
      </c>
      <c r="K209">
        <f ca="1"/>
        <v>60.726026922868257</v>
      </c>
      <c r="L209">
        <f ca="1"/>
        <v>0</v>
      </c>
      <c r="M209">
        <f ca="1"/>
        <v>1.3119010839571814</v>
      </c>
      <c r="N209">
        <f ca="1"/>
        <v>0.77455379380864642</v>
      </c>
      <c r="O209">
        <f ca="1"/>
        <v>0</v>
      </c>
      <c r="P209">
        <f ca="1"/>
        <v>0</v>
      </c>
      <c r="Q209">
        <f ca="1"/>
        <v>0</v>
      </c>
      <c r="R209">
        <f ca="1"/>
        <v>0</v>
      </c>
      <c r="S209">
        <f ca="1"/>
        <v>0.9849116131228921</v>
      </c>
      <c r="T209">
        <f ca="1"/>
        <v>0</v>
      </c>
      <c r="U209">
        <f ca="1"/>
        <v>0</v>
      </c>
      <c r="V209">
        <f ca="1"/>
        <v>0</v>
      </c>
      <c r="X209" s="2">
        <f t="shared" ca="1" si="24"/>
        <v>45573</v>
      </c>
      <c r="Y209">
        <f t="shared" ca="1" si="25"/>
        <v>0</v>
      </c>
      <c r="AA209" s="63">
        <f t="shared" ref="AA209:AA272" ca="1" si="27">K208+M209+N209+O209</f>
        <v>60.726026922868257</v>
      </c>
      <c r="AB209" s="63">
        <f t="shared" ref="AB209:AB272" ca="1" si="28">K209+L209+R209</f>
        <v>60.726026922868257</v>
      </c>
      <c r="AC209" s="3">
        <f t="shared" ref="AC209:AC272" ca="1" si="29">AB209-AA209</f>
        <v>0</v>
      </c>
    </row>
    <row r="210" spans="8:29">
      <c r="H210" t="b">
        <f t="shared" ca="1" si="26"/>
        <v>0</v>
      </c>
      <c r="I210" t="b">
        <f t="shared" ca="1" si="23"/>
        <v>0</v>
      </c>
      <c r="J210" s="2">
        <f ca="1"/>
        <v>45574</v>
      </c>
      <c r="K210">
        <f ca="1"/>
        <v>62.705073007570334</v>
      </c>
      <c r="L210">
        <f ca="1"/>
        <v>0</v>
      </c>
      <c r="M210">
        <f ca="1"/>
        <v>1.2195531773785717</v>
      </c>
      <c r="N210">
        <f ca="1"/>
        <v>0.7594929073235045</v>
      </c>
      <c r="O210">
        <f ca="1"/>
        <v>0</v>
      </c>
      <c r="P210">
        <f ca="1"/>
        <v>0</v>
      </c>
      <c r="Q210">
        <f ca="1"/>
        <v>0</v>
      </c>
      <c r="R210">
        <f ca="1"/>
        <v>0</v>
      </c>
      <c r="S210">
        <f ca="1"/>
        <v>0.99141562985150322</v>
      </c>
      <c r="T210">
        <f ca="1"/>
        <v>0</v>
      </c>
      <c r="U210">
        <f ca="1"/>
        <v>0</v>
      </c>
      <c r="V210">
        <f ca="1"/>
        <v>0</v>
      </c>
      <c r="X210" s="2">
        <f t="shared" ca="1" si="24"/>
        <v>45574</v>
      </c>
      <c r="Y210">
        <f t="shared" ca="1" si="25"/>
        <v>0</v>
      </c>
      <c r="AA210" s="63">
        <f t="shared" ca="1" si="27"/>
        <v>62.705073007570334</v>
      </c>
      <c r="AB210" s="63">
        <f t="shared" ca="1" si="28"/>
        <v>62.705073007570334</v>
      </c>
      <c r="AC210" s="3">
        <f t="shared" ca="1" si="29"/>
        <v>0</v>
      </c>
    </row>
    <row r="211" spans="8:29">
      <c r="H211" t="b">
        <f t="shared" ca="1" si="26"/>
        <v>0</v>
      </c>
      <c r="I211" t="b">
        <f t="shared" ca="1" si="23"/>
        <v>0</v>
      </c>
      <c r="J211" s="2">
        <f ca="1"/>
        <v>45575</v>
      </c>
      <c r="K211">
        <f ca="1"/>
        <v>64.611240277569337</v>
      </c>
      <c r="L211">
        <f ca="1"/>
        <v>0</v>
      </c>
      <c r="M211">
        <f ca="1"/>
        <v>1.242927087502764</v>
      </c>
      <c r="N211">
        <f ca="1"/>
        <v>0.84425453070851975</v>
      </c>
      <c r="O211">
        <f ca="1"/>
        <v>0</v>
      </c>
      <c r="P211">
        <f ca="1"/>
        <v>0</v>
      </c>
      <c r="Q211">
        <f ca="1"/>
        <v>0</v>
      </c>
      <c r="R211">
        <f ca="1"/>
        <v>0.18101434821229118</v>
      </c>
      <c r="S211">
        <f ca="1"/>
        <v>1</v>
      </c>
      <c r="T211">
        <f ca="1"/>
        <v>0.50871016661754709</v>
      </c>
      <c r="U211">
        <f ca="1"/>
        <v>0</v>
      </c>
      <c r="V211">
        <f ca="1"/>
        <v>0</v>
      </c>
      <c r="X211" s="2">
        <f t="shared" ca="1" si="24"/>
        <v>45575</v>
      </c>
      <c r="Y211">
        <f t="shared" ca="1" si="25"/>
        <v>0</v>
      </c>
      <c r="AA211" s="63">
        <f t="shared" ca="1" si="27"/>
        <v>64.792254625781624</v>
      </c>
      <c r="AB211" s="63">
        <f t="shared" ca="1" si="28"/>
        <v>64.792254625781624</v>
      </c>
      <c r="AC211" s="3">
        <f t="shared" ca="1" si="29"/>
        <v>0</v>
      </c>
    </row>
    <row r="212" spans="8:29">
      <c r="H212" t="b">
        <f t="shared" ca="1" si="26"/>
        <v>0</v>
      </c>
      <c r="I212" t="b">
        <f t="shared" ca="1" si="23"/>
        <v>0</v>
      </c>
      <c r="J212" s="2">
        <f ca="1"/>
        <v>45576</v>
      </c>
      <c r="K212">
        <f ca="1"/>
        <v>66.637422147002667</v>
      </c>
      <c r="L212">
        <f ca="1"/>
        <v>0</v>
      </c>
      <c r="M212">
        <f ca="1"/>
        <v>1.1742913625822666</v>
      </c>
      <c r="N212">
        <f ca="1"/>
        <v>0.85189050685106671</v>
      </c>
      <c r="O212">
        <f ca="1"/>
        <v>0</v>
      </c>
      <c r="P212">
        <f ca="1"/>
        <v>2.8674377859788827</v>
      </c>
      <c r="Q212">
        <f ca="1"/>
        <v>2.4475201185761173</v>
      </c>
      <c r="R212">
        <f ca="1"/>
        <v>0</v>
      </c>
      <c r="S212">
        <f ca="1"/>
        <v>0.98855072463768112</v>
      </c>
      <c r="T212">
        <f ca="1"/>
        <v>0</v>
      </c>
      <c r="U212">
        <f ca="1"/>
        <v>0</v>
      </c>
      <c r="V212">
        <f ca="1"/>
        <v>7.5273031088973043E-3</v>
      </c>
      <c r="X212" s="2">
        <f t="shared" ca="1" si="24"/>
        <v>45576</v>
      </c>
      <c r="Y212">
        <f t="shared" ca="1" si="25"/>
        <v>0</v>
      </c>
      <c r="AA212" s="63">
        <f t="shared" ca="1" si="27"/>
        <v>66.637422147002667</v>
      </c>
      <c r="AB212" s="63">
        <f t="shared" ca="1" si="28"/>
        <v>66.637422147002667</v>
      </c>
      <c r="AC212" s="3">
        <f t="shared" ca="1" si="29"/>
        <v>0</v>
      </c>
    </row>
    <row r="213" spans="8:29">
      <c r="H213" t="b">
        <f t="shared" ca="1" si="26"/>
        <v>0</v>
      </c>
      <c r="I213" t="b">
        <f t="shared" ca="1" si="23"/>
        <v>0</v>
      </c>
      <c r="J213" s="2">
        <f ca="1"/>
        <v>45577</v>
      </c>
      <c r="K213">
        <f ca="1"/>
        <v>68.41738560498527</v>
      </c>
      <c r="L213">
        <f ca="1"/>
        <v>0.10775390471537483</v>
      </c>
      <c r="M213">
        <f ca="1"/>
        <v>1.069106484001324</v>
      </c>
      <c r="N213">
        <f ca="1"/>
        <v>0.81861087869665961</v>
      </c>
      <c r="O213">
        <f ca="1"/>
        <v>0</v>
      </c>
      <c r="P213">
        <f ca="1"/>
        <v>2.9751916906942575</v>
      </c>
      <c r="Q213">
        <f ca="1"/>
        <v>2.5394941627683201</v>
      </c>
      <c r="R213">
        <f ca="1"/>
        <v>0</v>
      </c>
      <c r="S213">
        <f ca="1"/>
        <v>0.99959291772365422</v>
      </c>
      <c r="T213">
        <f ca="1"/>
        <v>0</v>
      </c>
      <c r="U213">
        <f ca="1"/>
        <v>0</v>
      </c>
      <c r="V213">
        <f ca="1"/>
        <v>8.4073704210625311E-3</v>
      </c>
      <c r="X213" s="2">
        <f t="shared" ca="1" si="24"/>
        <v>45577</v>
      </c>
      <c r="Y213">
        <f t="shared" ca="1" si="25"/>
        <v>0</v>
      </c>
      <c r="AA213" s="63">
        <f t="shared" ca="1" si="27"/>
        <v>68.525139509700651</v>
      </c>
      <c r="AB213" s="63">
        <f t="shared" ca="1" si="28"/>
        <v>68.525139509700651</v>
      </c>
      <c r="AC213" s="3">
        <f t="shared" ca="1" si="29"/>
        <v>0</v>
      </c>
    </row>
    <row r="214" spans="8:29">
      <c r="H214" t="b">
        <f t="shared" ca="1" si="26"/>
        <v>0</v>
      </c>
      <c r="I214" t="b">
        <f t="shared" ca="1" si="23"/>
        <v>0</v>
      </c>
      <c r="J214" s="2">
        <f ca="1"/>
        <v>45578</v>
      </c>
      <c r="K214">
        <f ca="1"/>
        <v>69.678935440909228</v>
      </c>
      <c r="L214">
        <f ca="1"/>
        <v>0.12184682454153162</v>
      </c>
      <c r="M214">
        <f ca="1"/>
        <v>1.0475170133737635</v>
      </c>
      <c r="N214">
        <f ca="1"/>
        <v>0.86651651131153773</v>
      </c>
      <c r="O214">
        <f ca="1"/>
        <v>0</v>
      </c>
      <c r="P214">
        <f ca="1"/>
        <v>3.0970385152357891</v>
      </c>
      <c r="Q214">
        <f ca="1"/>
        <v>2.6434973100757362</v>
      </c>
      <c r="R214">
        <f ca="1"/>
        <v>0.53063686421979928</v>
      </c>
      <c r="S214">
        <f ca="1"/>
        <v>1</v>
      </c>
      <c r="T214">
        <f ca="1"/>
        <v>1.3828064770252126</v>
      </c>
      <c r="U214">
        <f ca="1"/>
        <v>0</v>
      </c>
      <c r="V214">
        <f ca="1"/>
        <v>9.4814049211180904E-3</v>
      </c>
      <c r="X214" s="2">
        <f t="shared" ca="1" si="24"/>
        <v>45578</v>
      </c>
      <c r="Y214">
        <f t="shared" ca="1" si="25"/>
        <v>0</v>
      </c>
      <c r="AA214" s="63">
        <f t="shared" ca="1" si="27"/>
        <v>70.331419129670564</v>
      </c>
      <c r="AB214" s="63">
        <f t="shared" ca="1" si="28"/>
        <v>70.331419129670564</v>
      </c>
      <c r="AC214" s="3">
        <f t="shared" ca="1" si="29"/>
        <v>0</v>
      </c>
    </row>
    <row r="215" spans="8:29">
      <c r="H215" t="b">
        <f t="shared" ca="1" si="26"/>
        <v>0</v>
      </c>
      <c r="I215" t="b">
        <f t="shared" ca="1" si="23"/>
        <v>0</v>
      </c>
      <c r="J215" s="2">
        <f ca="1"/>
        <v>45579</v>
      </c>
      <c r="K215">
        <f ca="1"/>
        <v>70.673214904787585</v>
      </c>
      <c r="L215">
        <f ca="1"/>
        <v>0.12546452757696391</v>
      </c>
      <c r="M215">
        <f ca="1"/>
        <v>0.97555984653887151</v>
      </c>
      <c r="N215">
        <f ca="1"/>
        <v>0.86033938928496634</v>
      </c>
      <c r="O215">
        <f ca="1"/>
        <v>0</v>
      </c>
      <c r="P215">
        <f ca="1"/>
        <v>3.222503042812753</v>
      </c>
      <c r="Q215">
        <f ca="1"/>
        <v>2.7505883712711361</v>
      </c>
      <c r="R215">
        <f ca="1"/>
        <v>0.71615524436850997</v>
      </c>
      <c r="S215">
        <f ca="1"/>
        <v>1</v>
      </c>
      <c r="T215">
        <f ca="1"/>
        <v>1.8399999999999892</v>
      </c>
      <c r="U215">
        <f ca="1"/>
        <v>0</v>
      </c>
      <c r="V215">
        <f ca="1"/>
        <v>1.0677947825690893E-2</v>
      </c>
      <c r="X215" s="2">
        <f t="shared" ca="1" si="24"/>
        <v>45579</v>
      </c>
      <c r="Y215">
        <f t="shared" ca="1" si="25"/>
        <v>0</v>
      </c>
      <c r="AA215" s="63">
        <f t="shared" ca="1" si="27"/>
        <v>71.514834676733059</v>
      </c>
      <c r="AB215" s="63">
        <f t="shared" ca="1" si="28"/>
        <v>71.514834676733059</v>
      </c>
      <c r="AC215" s="3">
        <f t="shared" ca="1" si="29"/>
        <v>0</v>
      </c>
    </row>
    <row r="216" spans="8:29">
      <c r="H216" t="b">
        <f t="shared" ca="1" si="26"/>
        <v>0</v>
      </c>
      <c r="I216" t="b">
        <f t="shared" ca="1" si="23"/>
        <v>0</v>
      </c>
      <c r="J216" s="2">
        <f ca="1"/>
        <v>45580</v>
      </c>
      <c r="K216">
        <f ca="1"/>
        <v>72.271152821514463</v>
      </c>
      <c r="L216">
        <f ca="1"/>
        <v>0.12392669371447296</v>
      </c>
      <c r="M216">
        <f ca="1"/>
        <v>0.89049340227182938</v>
      </c>
      <c r="N216">
        <f ca="1"/>
        <v>0.83137120816951871</v>
      </c>
      <c r="O216">
        <f ca="1"/>
        <v>0</v>
      </c>
      <c r="P216">
        <f ca="1"/>
        <v>3.346429736527226</v>
      </c>
      <c r="Q216">
        <f ca="1"/>
        <v>2.8563668043998081</v>
      </c>
      <c r="R216">
        <f ca="1"/>
        <v>0</v>
      </c>
      <c r="S216">
        <f ca="1"/>
        <v>0.98101449275362318</v>
      </c>
      <c r="T216">
        <f ca="1"/>
        <v>0</v>
      </c>
      <c r="U216">
        <f ca="1"/>
        <v>0</v>
      </c>
      <c r="V216">
        <f ca="1"/>
        <v>1.1953298774263058E-2</v>
      </c>
      <c r="X216" s="2">
        <f t="shared" ca="1" si="24"/>
        <v>45580</v>
      </c>
      <c r="Y216">
        <f t="shared" ca="1" si="25"/>
        <v>0</v>
      </c>
      <c r="AA216" s="63">
        <f t="shared" ca="1" si="27"/>
        <v>72.395079515228929</v>
      </c>
      <c r="AB216" s="63">
        <f t="shared" ca="1" si="28"/>
        <v>72.395079515228929</v>
      </c>
      <c r="AC216" s="3">
        <f t="shared" ca="1" si="29"/>
        <v>0</v>
      </c>
    </row>
    <row r="217" spans="8:29">
      <c r="H217" t="b">
        <f t="shared" ca="1" si="26"/>
        <v>0</v>
      </c>
      <c r="I217" t="b">
        <f t="shared" ca="1" si="23"/>
        <v>0</v>
      </c>
      <c r="J217" s="2">
        <f ca="1"/>
        <v>45581</v>
      </c>
      <c r="K217">
        <f ca="1"/>
        <v>73.889084048796747</v>
      </c>
      <c r="L217">
        <f ca="1"/>
        <v>0.14106300578121145</v>
      </c>
      <c r="M217">
        <f ca="1"/>
        <v>0.87456590721942007</v>
      </c>
      <c r="N217">
        <f ca="1"/>
        <v>0.88442832584407161</v>
      </c>
      <c r="O217">
        <f ca="1"/>
        <v>0</v>
      </c>
      <c r="P217">
        <f ca="1"/>
        <v>3.4874927423084374</v>
      </c>
      <c r="Q217">
        <f ca="1"/>
        <v>2.9767720478281223</v>
      </c>
      <c r="R217">
        <f ca="1"/>
        <v>0</v>
      </c>
      <c r="S217">
        <f ca="1"/>
        <v>0.98318306200894112</v>
      </c>
      <c r="T217">
        <f ca="1"/>
        <v>0</v>
      </c>
      <c r="U217">
        <f ca="1"/>
        <v>0</v>
      </c>
      <c r="V217">
        <f ca="1"/>
        <v>1.3522043909604828E-2</v>
      </c>
      <c r="X217" s="2">
        <f t="shared" ca="1" si="24"/>
        <v>45581</v>
      </c>
      <c r="Y217">
        <f t="shared" ca="1" si="25"/>
        <v>0</v>
      </c>
      <c r="AA217" s="63">
        <f t="shared" ca="1" si="27"/>
        <v>74.030147054577952</v>
      </c>
      <c r="AB217" s="63">
        <f t="shared" ca="1" si="28"/>
        <v>74.030147054577952</v>
      </c>
      <c r="AC217" s="3">
        <f t="shared" ca="1" si="29"/>
        <v>0</v>
      </c>
    </row>
    <row r="218" spans="8:29">
      <c r="H218" t="b">
        <f t="shared" ca="1" si="26"/>
        <v>0</v>
      </c>
      <c r="I218" t="b">
        <f t="shared" ca="1" si="23"/>
        <v>0</v>
      </c>
      <c r="J218" s="2">
        <f ca="1"/>
        <v>45582</v>
      </c>
      <c r="K218">
        <f ca="1"/>
        <v>75.415483184451588</v>
      </c>
      <c r="L218">
        <f ca="1"/>
        <v>0.14226655825607182</v>
      </c>
      <c r="M218">
        <f ca="1"/>
        <v>0.80369602892515957</v>
      </c>
      <c r="N218">
        <f ca="1"/>
        <v>0.86496966498575589</v>
      </c>
      <c r="O218">
        <f ca="1"/>
        <v>0</v>
      </c>
      <c r="P218">
        <f ca="1"/>
        <v>3.6297593005645092</v>
      </c>
      <c r="Q218">
        <f ca="1"/>
        <v>3.0982045912768195</v>
      </c>
      <c r="R218">
        <f ca="1"/>
        <v>0</v>
      </c>
      <c r="S218">
        <f ca="1"/>
        <v>0.99589219884888691</v>
      </c>
      <c r="T218">
        <f ca="1"/>
        <v>0</v>
      </c>
      <c r="U218">
        <f ca="1"/>
        <v>0</v>
      </c>
      <c r="V218">
        <f ca="1"/>
        <v>1.5234740589182087E-2</v>
      </c>
      <c r="X218" s="2">
        <f t="shared" ca="1" si="24"/>
        <v>45582</v>
      </c>
      <c r="Y218">
        <f t="shared" ca="1" si="25"/>
        <v>0</v>
      </c>
      <c r="AA218" s="63">
        <f t="shared" ca="1" si="27"/>
        <v>75.557749742707657</v>
      </c>
      <c r="AB218" s="63">
        <f t="shared" ca="1" si="28"/>
        <v>75.557749742707657</v>
      </c>
      <c r="AC218" s="3">
        <f t="shared" ca="1" si="29"/>
        <v>0</v>
      </c>
    </row>
    <row r="219" spans="8:29">
      <c r="H219" t="b">
        <f t="shared" ca="1" si="26"/>
        <v>0</v>
      </c>
      <c r="I219" t="b">
        <f t="shared" ca="1" si="23"/>
        <v>0</v>
      </c>
      <c r="J219" s="2">
        <f ca="1"/>
        <v>45583</v>
      </c>
      <c r="K219">
        <f ca="1"/>
        <v>76.821618337323045</v>
      </c>
      <c r="L219">
        <f ca="1"/>
        <v>0.13652597462160898</v>
      </c>
      <c r="M219">
        <f ca="1"/>
        <v>0.72255540926346384</v>
      </c>
      <c r="N219">
        <f ca="1"/>
        <v>0.82010571822960532</v>
      </c>
      <c r="O219">
        <f ca="1"/>
        <v>0</v>
      </c>
      <c r="P219">
        <f ca="1"/>
        <v>3.7662852751861182</v>
      </c>
      <c r="Q219">
        <f ca="1"/>
        <v>3.2147372223345947</v>
      </c>
      <c r="R219">
        <f ca="1"/>
        <v>0</v>
      </c>
      <c r="S219">
        <f ca="1"/>
        <v>0.9686758721182237</v>
      </c>
      <c r="T219">
        <f ca="1"/>
        <v>0</v>
      </c>
      <c r="U219">
        <f ca="1"/>
        <v>0</v>
      </c>
      <c r="V219">
        <f ca="1"/>
        <v>1.7005725712784185E-2</v>
      </c>
      <c r="X219" s="2">
        <f t="shared" ca="1" si="24"/>
        <v>45583</v>
      </c>
      <c r="Y219">
        <f t="shared" ca="1" si="25"/>
        <v>0</v>
      </c>
      <c r="AA219" s="63">
        <f t="shared" ca="1" si="27"/>
        <v>76.95814431194465</v>
      </c>
      <c r="AB219" s="63">
        <f t="shared" ca="1" si="28"/>
        <v>76.95814431194465</v>
      </c>
      <c r="AC219" s="3">
        <f t="shared" ca="1" si="29"/>
        <v>0</v>
      </c>
    </row>
    <row r="220" spans="8:29">
      <c r="H220" t="b">
        <f t="shared" ca="1" si="26"/>
        <v>0</v>
      </c>
      <c r="I220" t="b">
        <f t="shared" ca="1" si="23"/>
        <v>0</v>
      </c>
      <c r="J220" s="2">
        <f ca="1"/>
        <v>45584</v>
      </c>
      <c r="K220">
        <f ca="1"/>
        <v>78.216162179644797</v>
      </c>
      <c r="L220">
        <f ca="1"/>
        <v>0.15211438980146097</v>
      </c>
      <c r="M220">
        <f ca="1"/>
        <v>0.7015199181960412</v>
      </c>
      <c r="N220">
        <f ca="1"/>
        <v>0.84513831392717065</v>
      </c>
      <c r="O220">
        <f ca="1"/>
        <v>0</v>
      </c>
      <c r="P220">
        <f ca="1"/>
        <v>3.9183996649875792</v>
      </c>
      <c r="Q220">
        <f ca="1"/>
        <v>3.3445754462655488</v>
      </c>
      <c r="R220">
        <f ca="1"/>
        <v>0</v>
      </c>
      <c r="S220">
        <f ca="1"/>
        <v>0.94698405218659687</v>
      </c>
      <c r="T220">
        <f ca="1"/>
        <v>0</v>
      </c>
      <c r="U220">
        <f ca="1"/>
        <v>0</v>
      </c>
      <c r="V220">
        <f ca="1"/>
        <v>1.9130553750369851E-2</v>
      </c>
      <c r="X220" s="2">
        <f t="shared" ca="1" si="24"/>
        <v>45584</v>
      </c>
      <c r="Y220">
        <f t="shared" ca="1" si="25"/>
        <v>0</v>
      </c>
      <c r="AA220" s="63">
        <f t="shared" ca="1" si="27"/>
        <v>78.368276569446252</v>
      </c>
      <c r="AB220" s="63">
        <f t="shared" ca="1" si="28"/>
        <v>78.368276569446252</v>
      </c>
      <c r="AC220" s="3">
        <f t="shared" ca="1" si="29"/>
        <v>0</v>
      </c>
    </row>
    <row r="221" spans="8:29">
      <c r="H221" t="b">
        <f t="shared" ca="1" si="26"/>
        <v>0</v>
      </c>
      <c r="I221" t="b">
        <f t="shared" ca="1" si="23"/>
        <v>0</v>
      </c>
      <c r="J221" s="2">
        <f ca="1"/>
        <v>45585</v>
      </c>
      <c r="K221">
        <f ca="1"/>
        <v>79.516894802132981</v>
      </c>
      <c r="L221">
        <f ca="1"/>
        <v>0.15441265332807985</v>
      </c>
      <c r="M221">
        <f ca="1"/>
        <v>0.64817632951749715</v>
      </c>
      <c r="N221">
        <f ca="1"/>
        <v>0.8069689462987707</v>
      </c>
      <c r="O221">
        <f ca="1"/>
        <v>0</v>
      </c>
      <c r="P221">
        <f ca="1"/>
        <v>4.072812318315659</v>
      </c>
      <c r="Q221">
        <f ca="1"/>
        <v>3.4763753679347049</v>
      </c>
      <c r="R221">
        <f ca="1"/>
        <v>0</v>
      </c>
      <c r="S221">
        <f ca="1"/>
        <v>0.92305364107958943</v>
      </c>
      <c r="T221">
        <f ca="1"/>
        <v>0</v>
      </c>
      <c r="U221">
        <f ca="1"/>
        <v>0</v>
      </c>
      <c r="V221">
        <f ca="1"/>
        <v>2.1455905874155731E-2</v>
      </c>
      <c r="X221" s="2">
        <f t="shared" ca="1" si="24"/>
        <v>45585</v>
      </c>
      <c r="Y221">
        <f t="shared" ca="1" si="25"/>
        <v>0</v>
      </c>
      <c r="AA221" s="63">
        <f t="shared" ca="1" si="27"/>
        <v>79.671307455461061</v>
      </c>
      <c r="AB221" s="63">
        <f t="shared" ca="1" si="28"/>
        <v>79.671307455461061</v>
      </c>
      <c r="AC221" s="3">
        <f t="shared" ca="1" si="29"/>
        <v>0</v>
      </c>
    </row>
    <row r="222" spans="8:29">
      <c r="H222" t="b">
        <f t="shared" ca="1" si="26"/>
        <v>0</v>
      </c>
      <c r="I222" t="b">
        <f t="shared" ca="1" si="23"/>
        <v>0</v>
      </c>
      <c r="J222" s="2">
        <f ca="1"/>
        <v>45586</v>
      </c>
      <c r="K222">
        <f ca="1"/>
        <v>80.835274318278678</v>
      </c>
      <c r="L222">
        <f ca="1"/>
        <v>0.17005132806210455</v>
      </c>
      <c r="M222">
        <f ca="1"/>
        <v>0.6246729808603817</v>
      </c>
      <c r="N222">
        <f ca="1"/>
        <v>0.86375786334742333</v>
      </c>
      <c r="O222">
        <f ca="1"/>
        <v>0</v>
      </c>
      <c r="P222">
        <f ca="1"/>
        <v>4.2428636463777636</v>
      </c>
      <c r="Q222">
        <f ca="1"/>
        <v>3.6215237818454549</v>
      </c>
      <c r="R222">
        <f ca="1"/>
        <v>0</v>
      </c>
      <c r="S222">
        <f ca="1"/>
        <v>0.94586801912802021</v>
      </c>
      <c r="T222">
        <f ca="1"/>
        <v>0</v>
      </c>
      <c r="U222">
        <f ca="1"/>
        <v>0</v>
      </c>
      <c r="V222">
        <f ca="1"/>
        <v>2.4218995422875027E-2</v>
      </c>
      <c r="X222" s="2">
        <f t="shared" ca="1" si="24"/>
        <v>45586</v>
      </c>
      <c r="Y222">
        <f t="shared" ca="1" si="25"/>
        <v>0</v>
      </c>
      <c r="AA222" s="63">
        <f t="shared" ca="1" si="27"/>
        <v>81.005325646340779</v>
      </c>
      <c r="AB222" s="63">
        <f t="shared" ca="1" si="28"/>
        <v>81.005325646340779</v>
      </c>
      <c r="AC222" s="3">
        <f t="shared" ca="1" si="29"/>
        <v>0</v>
      </c>
    </row>
    <row r="223" spans="8:29">
      <c r="H223" t="b">
        <f t="shared" ca="1" si="26"/>
        <v>0</v>
      </c>
      <c r="I223" t="b">
        <f t="shared" ca="1" si="23"/>
        <v>0</v>
      </c>
      <c r="J223" s="2">
        <f ca="1"/>
        <v>45587</v>
      </c>
      <c r="K223">
        <f ca="1"/>
        <v>82.045427593848956</v>
      </c>
      <c r="L223">
        <f ca="1"/>
        <v>0.1611539133868547</v>
      </c>
      <c r="M223">
        <f ca="1"/>
        <v>0.55647645487101727</v>
      </c>
      <c r="N223">
        <f ca="1"/>
        <v>0.8148307340861175</v>
      </c>
      <c r="O223">
        <f ca="1"/>
        <v>0</v>
      </c>
      <c r="P223">
        <f ca="1"/>
        <v>4.4040175597646183</v>
      </c>
      <c r="Q223">
        <f ca="1"/>
        <v>3.7590777497572478</v>
      </c>
      <c r="R223">
        <f ca="1"/>
        <v>0</v>
      </c>
      <c r="S223">
        <f ca="1"/>
        <v>0.94953842276044698</v>
      </c>
      <c r="T223">
        <f ca="1"/>
        <v>0</v>
      </c>
      <c r="U223">
        <f ca="1"/>
        <v>0</v>
      </c>
      <c r="V223">
        <f ca="1"/>
        <v>2.7038608381970697E-2</v>
      </c>
      <c r="X223" s="2">
        <f t="shared" ca="1" si="24"/>
        <v>45587</v>
      </c>
      <c r="Y223">
        <f t="shared" ca="1" si="25"/>
        <v>0</v>
      </c>
      <c r="AA223" s="63">
        <f t="shared" ca="1" si="27"/>
        <v>82.206581507235811</v>
      </c>
      <c r="AB223" s="63">
        <f t="shared" ca="1" si="28"/>
        <v>82.206581507235811</v>
      </c>
      <c r="AC223" s="3">
        <f t="shared" ca="1" si="29"/>
        <v>0</v>
      </c>
    </row>
    <row r="224" spans="8:29">
      <c r="H224" t="b">
        <f t="shared" ca="1" si="26"/>
        <v>0</v>
      </c>
      <c r="I224" t="b">
        <f t="shared" ca="1" si="23"/>
        <v>0</v>
      </c>
      <c r="J224" s="2">
        <f ca="1"/>
        <v>45588</v>
      </c>
      <c r="K224">
        <f ca="1"/>
        <v>83.189020003699241</v>
      </c>
      <c r="L224">
        <f ca="1"/>
        <v>0.16814860571573931</v>
      </c>
      <c r="M224">
        <f ca="1"/>
        <v>0.52252530288515686</v>
      </c>
      <c r="N224">
        <f ca="1"/>
        <v>0.78921571268086876</v>
      </c>
      <c r="O224">
        <f ca="1"/>
        <v>0</v>
      </c>
      <c r="P224">
        <f ca="1"/>
        <v>4.5721661654803576</v>
      </c>
      <c r="Q224">
        <f ca="1"/>
        <v>3.9026020826694268</v>
      </c>
      <c r="R224">
        <f ca="1"/>
        <v>0</v>
      </c>
      <c r="S224">
        <f ca="1"/>
        <v>0.92119591303667703</v>
      </c>
      <c r="T224">
        <f ca="1"/>
        <v>0</v>
      </c>
      <c r="U224">
        <f ca="1"/>
        <v>0</v>
      </c>
      <c r="V224">
        <f ca="1"/>
        <v>3.0194638515424334E-2</v>
      </c>
      <c r="X224" s="2">
        <f t="shared" ca="1" si="24"/>
        <v>45588</v>
      </c>
      <c r="Y224">
        <f t="shared" ca="1" si="25"/>
        <v>0</v>
      </c>
      <c r="AA224" s="63">
        <f t="shared" ca="1" si="27"/>
        <v>83.357168609414984</v>
      </c>
      <c r="AB224" s="63">
        <f t="shared" ca="1" si="28"/>
        <v>83.357168609414984</v>
      </c>
      <c r="AC224" s="3">
        <f t="shared" ca="1" si="29"/>
        <v>0</v>
      </c>
    </row>
    <row r="225" spans="8:29">
      <c r="H225" t="b">
        <f t="shared" ca="1" si="26"/>
        <v>0</v>
      </c>
      <c r="I225" t="b">
        <f t="shared" ca="1" si="23"/>
        <v>0</v>
      </c>
      <c r="J225" s="2">
        <f ca="1"/>
        <v>45589</v>
      </c>
      <c r="K225">
        <f ca="1"/>
        <v>84.319395146314122</v>
      </c>
      <c r="L225">
        <f ca="1"/>
        <v>0.1889404247099149</v>
      </c>
      <c r="M225">
        <f ca="1"/>
        <v>0.50887726413564849</v>
      </c>
      <c r="N225">
        <f ca="1"/>
        <v>0.81043830318913856</v>
      </c>
      <c r="O225">
        <f ca="1"/>
        <v>0</v>
      </c>
      <c r="P225">
        <f ca="1"/>
        <v>4.7611065901902725</v>
      </c>
      <c r="Q225">
        <f ca="1"/>
        <v>4.0638734075264251</v>
      </c>
      <c r="R225">
        <f ca="1"/>
        <v>0</v>
      </c>
      <c r="S225">
        <f ca="1"/>
        <v>0.90023957446874658</v>
      </c>
      <c r="T225">
        <f ca="1"/>
        <v>0</v>
      </c>
      <c r="U225">
        <f ca="1"/>
        <v>0</v>
      </c>
      <c r="V225">
        <f ca="1"/>
        <v>3.4007982410498988E-2</v>
      </c>
      <c r="X225" s="2">
        <f t="shared" ca="1" si="24"/>
        <v>45589</v>
      </c>
      <c r="Y225">
        <f t="shared" ca="1" si="25"/>
        <v>0</v>
      </c>
      <c r="AA225" s="63">
        <f t="shared" ca="1" si="27"/>
        <v>84.508335571024034</v>
      </c>
      <c r="AB225" s="63">
        <f t="shared" ca="1" si="28"/>
        <v>84.508335571024034</v>
      </c>
      <c r="AC225" s="3">
        <f t="shared" ca="1" si="29"/>
        <v>0</v>
      </c>
    </row>
    <row r="226" spans="8:29">
      <c r="H226" t="b">
        <f t="shared" ca="1" si="26"/>
        <v>0</v>
      </c>
      <c r="I226" t="b">
        <f t="shared" ca="1" si="23"/>
        <v>0</v>
      </c>
      <c r="J226" s="2">
        <f ca="1"/>
        <v>45590</v>
      </c>
      <c r="K226">
        <f ca="1"/>
        <v>85.49640980994441</v>
      </c>
      <c r="L226">
        <f ca="1"/>
        <v>0.21993296071659518</v>
      </c>
      <c r="M226">
        <f ca="1"/>
        <v>0.5047809701913053</v>
      </c>
      <c r="N226">
        <f ca="1"/>
        <v>0.89216665415557683</v>
      </c>
      <c r="O226">
        <f ca="1"/>
        <v>0</v>
      </c>
      <c r="P226">
        <f ca="1"/>
        <v>4.9810395509068677</v>
      </c>
      <c r="Q226">
        <f ca="1"/>
        <v>4.2515986124895448</v>
      </c>
      <c r="R226">
        <f ca="1"/>
        <v>0</v>
      </c>
      <c r="S226">
        <f ca="1"/>
        <v>0.91312415214287213</v>
      </c>
      <c r="T226">
        <f ca="1"/>
        <v>0</v>
      </c>
      <c r="U226">
        <f ca="1"/>
        <v>0</v>
      </c>
      <c r="V226">
        <f ca="1"/>
        <v>3.8811121680470934E-2</v>
      </c>
      <c r="X226" s="2">
        <f t="shared" ca="1" si="24"/>
        <v>45590</v>
      </c>
      <c r="Y226">
        <f t="shared" ca="1" si="25"/>
        <v>0</v>
      </c>
      <c r="AA226" s="63">
        <f t="shared" ca="1" si="27"/>
        <v>85.716342770661001</v>
      </c>
      <c r="AB226" s="63">
        <f t="shared" ca="1" si="28"/>
        <v>85.716342770661001</v>
      </c>
      <c r="AC226" s="3">
        <f t="shared" ca="1" si="29"/>
        <v>0</v>
      </c>
    </row>
    <row r="227" spans="8:29">
      <c r="H227" t="b">
        <f t="shared" ca="1" si="26"/>
        <v>0</v>
      </c>
      <c r="I227" t="b">
        <f t="shared" ca="1" si="23"/>
        <v>0</v>
      </c>
      <c r="J227" s="2">
        <f ca="1"/>
        <v>45591</v>
      </c>
      <c r="K227">
        <f ca="1"/>
        <v>86.680308671271646</v>
      </c>
      <c r="L227">
        <f ca="1"/>
        <v>0.23344891713425486</v>
      </c>
      <c r="M227">
        <f ca="1"/>
        <v>0.47304310053186782</v>
      </c>
      <c r="N227">
        <f ca="1"/>
        <v>0.94430467792961992</v>
      </c>
      <c r="O227">
        <f ca="1"/>
        <v>0</v>
      </c>
      <c r="P227">
        <f ca="1"/>
        <v>5.2144884680411225</v>
      </c>
      <c r="Q227">
        <f ca="1"/>
        <v>4.450860449708741</v>
      </c>
      <c r="R227">
        <f ca="1"/>
        <v>0</v>
      </c>
      <c r="S227">
        <f ca="1"/>
        <v>0.94940540758780401</v>
      </c>
      <c r="T227">
        <f ca="1"/>
        <v>0</v>
      </c>
      <c r="U227">
        <f ca="1"/>
        <v>0</v>
      </c>
      <c r="V227">
        <f ca="1"/>
        <v>4.4347599723322986E-2</v>
      </c>
      <c r="X227" s="2">
        <f t="shared" ca="1" si="24"/>
        <v>45591</v>
      </c>
      <c r="Y227">
        <f t="shared" ca="1" si="25"/>
        <v>0</v>
      </c>
      <c r="AA227" s="63">
        <f t="shared" ca="1" si="27"/>
        <v>86.9137575884059</v>
      </c>
      <c r="AB227" s="63">
        <f t="shared" ca="1" si="28"/>
        <v>86.9137575884059</v>
      </c>
      <c r="AC227" s="3">
        <f t="shared" ca="1" si="29"/>
        <v>0</v>
      </c>
    </row>
    <row r="228" spans="8:29">
      <c r="H228" t="b">
        <f t="shared" ca="1" si="26"/>
        <v>0</v>
      </c>
      <c r="I228" t="b">
        <f t="shared" ca="1" si="23"/>
        <v>0</v>
      </c>
      <c r="J228" s="2">
        <f ca="1"/>
        <v>45592</v>
      </c>
      <c r="K228">
        <f ca="1"/>
        <v>87.794092697300187</v>
      </c>
      <c r="L228">
        <f ca="1"/>
        <v>0.23106733787862765</v>
      </c>
      <c r="M228">
        <f ca="1"/>
        <v>0.42552441862972046</v>
      </c>
      <c r="N228">
        <f ca="1"/>
        <v>0.91932694527745284</v>
      </c>
      <c r="O228">
        <f ca="1"/>
        <v>0</v>
      </c>
      <c r="P228">
        <f ca="1"/>
        <v>5.4455558059197502</v>
      </c>
      <c r="Q228">
        <f ca="1"/>
        <v>4.6480894745089083</v>
      </c>
      <c r="R228">
        <f ca="1"/>
        <v>0</v>
      </c>
      <c r="S228">
        <f ca="1"/>
        <v>0.99540498386492315</v>
      </c>
      <c r="T228">
        <f ca="1"/>
        <v>0</v>
      </c>
      <c r="U228">
        <f ca="1"/>
        <v>0</v>
      </c>
      <c r="V228">
        <f ca="1"/>
        <v>5.0280255469813712E-2</v>
      </c>
      <c r="X228" s="2">
        <f t="shared" ca="1" si="24"/>
        <v>45592</v>
      </c>
      <c r="Y228">
        <f t="shared" ca="1" si="25"/>
        <v>0</v>
      </c>
      <c r="AA228" s="63">
        <f t="shared" ca="1" si="27"/>
        <v>88.025160035178814</v>
      </c>
      <c r="AB228" s="63">
        <f t="shared" ca="1" si="28"/>
        <v>88.025160035178814</v>
      </c>
      <c r="AC228" s="3">
        <f t="shared" ca="1" si="29"/>
        <v>0</v>
      </c>
    </row>
    <row r="229" spans="8:29">
      <c r="H229" t="b">
        <f t="shared" ca="1" si="26"/>
        <v>0</v>
      </c>
      <c r="I229" t="b">
        <f t="shared" ca="1" si="23"/>
        <v>0</v>
      </c>
      <c r="J229" s="2">
        <f ca="1"/>
        <v>45593</v>
      </c>
      <c r="K229">
        <f ca="1"/>
        <v>88.633966879348549</v>
      </c>
      <c r="L229">
        <f ca="1"/>
        <v>0.25667255653077969</v>
      </c>
      <c r="M229">
        <f ca="1"/>
        <v>0.41013574873173297</v>
      </c>
      <c r="N229">
        <f ca="1"/>
        <v>0.96247131492161553</v>
      </c>
      <c r="O229">
        <f ca="1"/>
        <v>0</v>
      </c>
      <c r="P229">
        <f ca="1"/>
        <v>5.7022283624505299</v>
      </c>
      <c r="Q229">
        <f ca="1"/>
        <v>4.8671739997485695</v>
      </c>
      <c r="R229">
        <f ca="1"/>
        <v>0.27606032507420669</v>
      </c>
      <c r="S229">
        <f ca="1"/>
        <v>1</v>
      </c>
      <c r="T229">
        <f ca="1"/>
        <v>0.56554778040559484</v>
      </c>
      <c r="U229">
        <f ca="1"/>
        <v>0</v>
      </c>
      <c r="V229">
        <f ca="1"/>
        <v>5.7405930679849171E-2</v>
      </c>
      <c r="X229" s="2">
        <f t="shared" ca="1" si="24"/>
        <v>45593</v>
      </c>
      <c r="Y229">
        <f t="shared" ca="1" si="25"/>
        <v>0</v>
      </c>
      <c r="AA229" s="63">
        <f t="shared" ca="1" si="27"/>
        <v>89.166699760953534</v>
      </c>
      <c r="AB229" s="63">
        <f t="shared" ca="1" si="28"/>
        <v>89.166699760953534</v>
      </c>
      <c r="AC229" s="3">
        <f t="shared" ca="1" si="29"/>
        <v>0</v>
      </c>
    </row>
    <row r="230" spans="8:29">
      <c r="H230" t="b">
        <f t="shared" ca="1" si="26"/>
        <v>0</v>
      </c>
      <c r="I230" t="b">
        <f t="shared" ca="1" si="23"/>
        <v>0</v>
      </c>
      <c r="J230" s="2">
        <f ca="1"/>
        <v>45594</v>
      </c>
      <c r="K230">
        <f ca="1"/>
        <v>89.639280140025008</v>
      </c>
      <c r="L230">
        <f ca="1"/>
        <v>0.24075481489772521</v>
      </c>
      <c r="M230">
        <f ca="1"/>
        <v>0.35802251003988772</v>
      </c>
      <c r="N230">
        <f ca="1"/>
        <v>0.88804556553429637</v>
      </c>
      <c r="O230">
        <f ca="1"/>
        <v>0</v>
      </c>
      <c r="P230">
        <f ca="1"/>
        <v>5.9429831773482551</v>
      </c>
      <c r="Q230">
        <f ca="1"/>
        <v>5.0726718333851206</v>
      </c>
      <c r="R230">
        <f ca="1"/>
        <v>0</v>
      </c>
      <c r="S230">
        <f ca="1"/>
        <v>0.95956521739130451</v>
      </c>
      <c r="T230">
        <f ca="1"/>
        <v>0</v>
      </c>
      <c r="U230">
        <f ca="1"/>
        <v>0</v>
      </c>
      <c r="V230">
        <f ca="1"/>
        <v>6.4606804955682273E-2</v>
      </c>
      <c r="X230" s="2">
        <f t="shared" ca="1" si="24"/>
        <v>45594</v>
      </c>
      <c r="Y230">
        <f t="shared" ca="1" si="25"/>
        <v>0</v>
      </c>
      <c r="AA230" s="63">
        <f t="shared" ca="1" si="27"/>
        <v>89.880034954922735</v>
      </c>
      <c r="AB230" s="63">
        <f t="shared" ca="1" si="28"/>
        <v>89.880034954922735</v>
      </c>
      <c r="AC230" s="3">
        <f t="shared" ca="1" si="29"/>
        <v>0</v>
      </c>
    </row>
    <row r="231" spans="8:29">
      <c r="H231" t="b">
        <f t="shared" ca="1" si="26"/>
        <v>0</v>
      </c>
      <c r="I231" t="b">
        <f t="shared" ca="1" si="23"/>
        <v>0</v>
      </c>
      <c r="J231" s="2">
        <f ca="1"/>
        <v>45595</v>
      </c>
      <c r="K231">
        <f ca="1"/>
        <v>90.582043800049249</v>
      </c>
      <c r="L231">
        <f ca="1"/>
        <v>0.23711029825573782</v>
      </c>
      <c r="M231">
        <f ca="1"/>
        <v>0.32414945761249214</v>
      </c>
      <c r="N231">
        <f ca="1"/>
        <v>0.85572450066749473</v>
      </c>
      <c r="O231">
        <f ca="1"/>
        <v>0</v>
      </c>
      <c r="P231">
        <f ca="1"/>
        <v>6.1800934756039929</v>
      </c>
      <c r="Q231">
        <f ca="1"/>
        <v>5.275058866205919</v>
      </c>
      <c r="R231">
        <f ca="1"/>
        <v>0</v>
      </c>
      <c r="S231">
        <f ca="1"/>
        <v>0.96549710514017351</v>
      </c>
      <c r="T231">
        <f ca="1"/>
        <v>0</v>
      </c>
      <c r="U231">
        <f ca="1"/>
        <v>0</v>
      </c>
      <c r="V231">
        <f ca="1"/>
        <v>7.2189809476224984E-2</v>
      </c>
      <c r="X231" s="2">
        <f t="shared" ca="1" si="24"/>
        <v>45595</v>
      </c>
      <c r="Y231">
        <f t="shared" ca="1" si="25"/>
        <v>0</v>
      </c>
      <c r="AA231" s="63">
        <f t="shared" ca="1" si="27"/>
        <v>90.819154098304992</v>
      </c>
      <c r="AB231" s="63">
        <f t="shared" ca="1" si="28"/>
        <v>90.819154098304992</v>
      </c>
      <c r="AC231" s="3">
        <f t="shared" ca="1" si="29"/>
        <v>0</v>
      </c>
    </row>
    <row r="232" spans="8:29">
      <c r="H232" t="b">
        <f t="shared" ca="1" si="26"/>
        <v>0</v>
      </c>
      <c r="I232" t="b">
        <f t="shared" ca="1" si="23"/>
        <v>0</v>
      </c>
      <c r="J232" s="2">
        <f ca="1"/>
        <v>45596</v>
      </c>
      <c r="K232">
        <f ca="1"/>
        <v>91.485076877763873</v>
      </c>
      <c r="L232">
        <f ca="1"/>
        <v>0.24180722216501582</v>
      </c>
      <c r="M232">
        <f ca="1"/>
        <v>0.29982409123945786</v>
      </c>
      <c r="N232">
        <f ca="1"/>
        <v>0.84501620864018312</v>
      </c>
      <c r="O232">
        <f ca="1"/>
        <v>0</v>
      </c>
      <c r="P232">
        <f ca="1"/>
        <v>6.4219006977690087</v>
      </c>
      <c r="Q232">
        <f ca="1"/>
        <v>5.481454988890702</v>
      </c>
      <c r="R232">
        <f ca="1"/>
        <v>0</v>
      </c>
      <c r="S232">
        <f ca="1"/>
        <v>0.96083561076784152</v>
      </c>
      <c r="T232">
        <f ca="1"/>
        <v>0</v>
      </c>
      <c r="U232">
        <f ca="1"/>
        <v>0</v>
      </c>
      <c r="V232">
        <f ca="1"/>
        <v>8.0424161053573084E-2</v>
      </c>
      <c r="X232" s="2">
        <f t="shared" ca="1" si="24"/>
        <v>45596</v>
      </c>
      <c r="Y232">
        <f t="shared" ca="1" si="25"/>
        <v>0</v>
      </c>
      <c r="AA232" s="63">
        <f t="shared" ca="1" si="27"/>
        <v>91.726884099928895</v>
      </c>
      <c r="AB232" s="63">
        <f t="shared" ca="1" si="28"/>
        <v>91.726884099928895</v>
      </c>
      <c r="AC232" s="3">
        <f t="shared" ca="1" si="29"/>
        <v>0</v>
      </c>
    </row>
    <row r="233" spans="8:29">
      <c r="H233" t="b">
        <f t="shared" ca="1" si="26"/>
        <v>0</v>
      </c>
      <c r="I233" t="b">
        <f t="shared" ca="1" si="23"/>
        <v>0</v>
      </c>
      <c r="J233" s="2">
        <f ca="1"/>
        <v>45597</v>
      </c>
      <c r="K233">
        <f ca="1"/>
        <v>92.384132109874926</v>
      </c>
      <c r="L233">
        <f ca="1"/>
        <v>0.27956535232837343</v>
      </c>
      <c r="M233">
        <f ca="1"/>
        <v>0.29609677086587283</v>
      </c>
      <c r="N233">
        <f ca="1"/>
        <v>0.88252381357355525</v>
      </c>
      <c r="O233">
        <f ca="1"/>
        <v>0</v>
      </c>
      <c r="P233">
        <f ca="1"/>
        <v>6.7014660500973822</v>
      </c>
      <c r="Q233">
        <f ca="1"/>
        <v>5.7200798084513229</v>
      </c>
      <c r="R233">
        <f ca="1"/>
        <v>0</v>
      </c>
      <c r="S233">
        <f ca="1"/>
        <v>0.93626547191841714</v>
      </c>
      <c r="T233">
        <f ca="1"/>
        <v>0</v>
      </c>
      <c r="U233">
        <f ca="1"/>
        <v>0</v>
      </c>
      <c r="V233">
        <f ca="1"/>
        <v>9.057019958509481E-2</v>
      </c>
      <c r="X233" s="2">
        <f t="shared" ca="1" si="24"/>
        <v>45597</v>
      </c>
      <c r="Y233">
        <f t="shared" ca="1" si="25"/>
        <v>0</v>
      </c>
      <c r="AA233" s="63">
        <f t="shared" ca="1" si="27"/>
        <v>92.663697462203302</v>
      </c>
      <c r="AB233" s="63">
        <f t="shared" ca="1" si="28"/>
        <v>92.663697462203302</v>
      </c>
      <c r="AC233" s="3">
        <f t="shared" ca="1" si="29"/>
        <v>0</v>
      </c>
    </row>
    <row r="234" spans="8:29">
      <c r="H234" t="b">
        <f t="shared" ca="1" si="26"/>
        <v>0</v>
      </c>
      <c r="I234" t="b">
        <f t="shared" ca="1" si="23"/>
        <v>0</v>
      </c>
      <c r="J234" s="2">
        <f ca="1"/>
        <v>45598</v>
      </c>
      <c r="K234">
        <f ca="1"/>
        <v>93.345541136528411</v>
      </c>
      <c r="L234">
        <f ca="1"/>
        <v>0.32887691746422743</v>
      </c>
      <c r="M234">
        <f ca="1"/>
        <v>0.29529085421732759</v>
      </c>
      <c r="N234">
        <f ca="1"/>
        <v>0.99499508990038266</v>
      </c>
      <c r="O234">
        <f ca="1"/>
        <v>0</v>
      </c>
      <c r="P234">
        <f ca="1"/>
        <v>7.0303429675616096</v>
      </c>
      <c r="Q234">
        <f ca="1"/>
        <v>6.0007948342366886</v>
      </c>
      <c r="R234">
        <f ca="1"/>
        <v>0</v>
      </c>
      <c r="S234">
        <f ca="1"/>
        <v>0.97481223121011396</v>
      </c>
      <c r="T234">
        <f ca="1"/>
        <v>0</v>
      </c>
      <c r="U234">
        <f ca="1"/>
        <v>0</v>
      </c>
      <c r="V234">
        <f ca="1"/>
        <v>0.10335136621281954</v>
      </c>
      <c r="X234" s="2">
        <f t="shared" ca="1" si="24"/>
        <v>45598</v>
      </c>
      <c r="Y234">
        <f t="shared" ca="1" si="25"/>
        <v>0</v>
      </c>
      <c r="AA234" s="63">
        <f t="shared" ca="1" si="27"/>
        <v>93.674418053992639</v>
      </c>
      <c r="AB234" s="63">
        <f t="shared" ca="1" si="28"/>
        <v>93.674418053992639</v>
      </c>
      <c r="AC234" s="3">
        <f t="shared" ca="1" si="29"/>
        <v>0</v>
      </c>
    </row>
    <row r="235" spans="8:29">
      <c r="H235" t="b">
        <f t="shared" ca="1" si="26"/>
        <v>0</v>
      </c>
      <c r="I235" t="b">
        <f t="shared" ca="1" si="23"/>
        <v>0</v>
      </c>
      <c r="J235" s="2">
        <f ca="1"/>
        <v>45599</v>
      </c>
      <c r="K235">
        <f ca="1"/>
        <v>94.239226532423217</v>
      </c>
      <c r="L235">
        <f ca="1"/>
        <v>0.32700513232036155</v>
      </c>
      <c r="M235">
        <f ca="1"/>
        <v>0.26480932901105803</v>
      </c>
      <c r="N235">
        <f ca="1"/>
        <v>0.95588119920410863</v>
      </c>
      <c r="O235">
        <f ca="1"/>
        <v>0</v>
      </c>
      <c r="P235">
        <f ca="1"/>
        <v>7.3573480998819711</v>
      </c>
      <c r="Q235">
        <f ca="1"/>
        <v>6.2799121856733136</v>
      </c>
      <c r="R235">
        <f ca="1"/>
        <v>0</v>
      </c>
      <c r="S235">
        <f ca="1"/>
        <v>0.9630867790577714</v>
      </c>
      <c r="T235">
        <f ca="1"/>
        <v>0</v>
      </c>
      <c r="U235">
        <f ca="1"/>
        <v>0</v>
      </c>
      <c r="V235">
        <f ca="1"/>
        <v>0.11694189737639614</v>
      </c>
      <c r="X235" s="2">
        <f t="shared" ca="1" si="24"/>
        <v>45599</v>
      </c>
      <c r="Y235">
        <f t="shared" ca="1" si="25"/>
        <v>0</v>
      </c>
      <c r="AA235" s="63">
        <f t="shared" ca="1" si="27"/>
        <v>94.566231664743583</v>
      </c>
      <c r="AB235" s="63">
        <f t="shared" ca="1" si="28"/>
        <v>94.566231664743583</v>
      </c>
      <c r="AC235" s="3">
        <f t="shared" ca="1" si="29"/>
        <v>0</v>
      </c>
    </row>
    <row r="236" spans="8:29">
      <c r="H236" t="b">
        <f t="shared" ca="1" si="26"/>
        <v>0</v>
      </c>
      <c r="I236" t="b">
        <f t="shared" ca="1" si="23"/>
        <v>0</v>
      </c>
      <c r="J236" s="2">
        <f ca="1"/>
        <v>45600</v>
      </c>
      <c r="K236">
        <f ca="1"/>
        <v>95.034106368184695</v>
      </c>
      <c r="L236">
        <f ca="1"/>
        <v>0.3199100115185276</v>
      </c>
      <c r="M236">
        <f ca="1"/>
        <v>0.23662079643575851</v>
      </c>
      <c r="N236">
        <f ca="1"/>
        <v>0.87816905084424735</v>
      </c>
      <c r="O236">
        <f ca="1"/>
        <v>0</v>
      </c>
      <c r="P236">
        <f ca="1"/>
        <v>7.6772581114004987</v>
      </c>
      <c r="Q236">
        <f ca="1"/>
        <v>6.5529734507351538</v>
      </c>
      <c r="R236">
        <f ca="1"/>
        <v>0</v>
      </c>
      <c r="S236">
        <f ca="1"/>
        <v>0.93162848200963677</v>
      </c>
      <c r="T236">
        <f ca="1"/>
        <v>0</v>
      </c>
      <c r="U236">
        <f ca="1"/>
        <v>0</v>
      </c>
      <c r="V236">
        <f ca="1"/>
        <v>0.13105620543155114</v>
      </c>
      <c r="X236" s="2">
        <f t="shared" ca="1" si="24"/>
        <v>45600</v>
      </c>
      <c r="Y236">
        <f t="shared" ca="1" si="25"/>
        <v>0</v>
      </c>
      <c r="AA236" s="63">
        <f t="shared" ca="1" si="27"/>
        <v>95.354016379703225</v>
      </c>
      <c r="AB236" s="63">
        <f t="shared" ca="1" si="28"/>
        <v>95.354016379703225</v>
      </c>
      <c r="AC236" s="3">
        <f t="shared" ca="1" si="29"/>
        <v>0</v>
      </c>
    </row>
    <row r="237" spans="8:29">
      <c r="H237" t="b">
        <f t="shared" ca="1" si="26"/>
        <v>0</v>
      </c>
      <c r="I237" t="b">
        <f t="shared" ca="1" si="23"/>
        <v>0</v>
      </c>
      <c r="J237" s="2">
        <f ca="1"/>
        <v>45601</v>
      </c>
      <c r="K237">
        <f ca="1"/>
        <v>95.74948323964523</v>
      </c>
      <c r="L237">
        <f ca="1"/>
        <v>0.32658952760496529</v>
      </c>
      <c r="M237">
        <f ca="1"/>
        <v>0.21762977780103654</v>
      </c>
      <c r="N237">
        <f ca="1"/>
        <v>0.82433662126446172</v>
      </c>
      <c r="O237">
        <f ca="1"/>
        <v>0</v>
      </c>
      <c r="P237">
        <f ca="1"/>
        <v>8.003847639005464</v>
      </c>
      <c r="Q237">
        <f ca="1"/>
        <v>6.8317360600716084</v>
      </c>
      <c r="R237">
        <f ca="1"/>
        <v>0</v>
      </c>
      <c r="S237">
        <f ca="1"/>
        <v>0.89340567262305004</v>
      </c>
      <c r="T237">
        <f ca="1"/>
        <v>0</v>
      </c>
      <c r="U237">
        <f ca="1"/>
        <v>0</v>
      </c>
      <c r="V237">
        <f ca="1"/>
        <v>0.14625909989320854</v>
      </c>
      <c r="X237" s="2">
        <f t="shared" ca="1" si="24"/>
        <v>45601</v>
      </c>
      <c r="Y237">
        <f t="shared" ca="1" si="25"/>
        <v>0</v>
      </c>
      <c r="AA237" s="63">
        <f t="shared" ca="1" si="27"/>
        <v>96.076072767250196</v>
      </c>
      <c r="AB237" s="63">
        <f t="shared" ca="1" si="28"/>
        <v>96.076072767250196</v>
      </c>
      <c r="AC237" s="3">
        <f t="shared" ca="1" si="29"/>
        <v>0</v>
      </c>
    </row>
    <row r="238" spans="8:29">
      <c r="H238" t="b">
        <f t="shared" ca="1" si="26"/>
        <v>0</v>
      </c>
      <c r="I238" t="b">
        <f t="shared" ca="1" si="23"/>
        <v>0</v>
      </c>
      <c r="J238" s="2">
        <f ca="1"/>
        <v>45602</v>
      </c>
      <c r="K238">
        <f ca="1"/>
        <v>96.436213089544907</v>
      </c>
      <c r="L238">
        <f ca="1"/>
        <v>0.35170524293828365</v>
      </c>
      <c r="M238">
        <f ca="1"/>
        <v>0.20631454175676822</v>
      </c>
      <c r="N238">
        <f ca="1"/>
        <v>0.83212055108119265</v>
      </c>
      <c r="O238">
        <f ca="1"/>
        <v>0</v>
      </c>
      <c r="P238">
        <f ca="1"/>
        <v>8.3555528819437477</v>
      </c>
      <c r="Q238">
        <f ca="1"/>
        <v>7.131936351115165</v>
      </c>
      <c r="R238">
        <f ca="1"/>
        <v>0</v>
      </c>
      <c r="S238">
        <f ca="1"/>
        <v>0.88218611311322426</v>
      </c>
      <c r="T238">
        <f ca="1"/>
        <v>0</v>
      </c>
      <c r="U238">
        <f ca="1"/>
        <v>0</v>
      </c>
      <c r="V238">
        <f ca="1"/>
        <v>0.16347132890573529</v>
      </c>
      <c r="X238" s="2">
        <f t="shared" ca="1" si="24"/>
        <v>45602</v>
      </c>
      <c r="Y238">
        <f t="shared" ca="1" si="25"/>
        <v>0</v>
      </c>
      <c r="AA238" s="63">
        <f t="shared" ca="1" si="27"/>
        <v>96.787918332483187</v>
      </c>
      <c r="AB238" s="63">
        <f t="shared" ca="1" si="28"/>
        <v>96.787918332483187</v>
      </c>
      <c r="AC238" s="3">
        <f t="shared" ca="1" si="29"/>
        <v>0</v>
      </c>
    </row>
    <row r="239" spans="8:29">
      <c r="H239" t="b">
        <f t="shared" ca="1" si="26"/>
        <v>0</v>
      </c>
      <c r="I239" t="b">
        <f t="shared" ca="1" si="23"/>
        <v>0</v>
      </c>
      <c r="J239" s="2">
        <f ca="1"/>
        <v>45603</v>
      </c>
      <c r="K239">
        <f ca="1"/>
        <v>97.113345151164495</v>
      </c>
      <c r="L239">
        <f ca="1"/>
        <v>0.3868684209947908</v>
      </c>
      <c r="M239">
        <f ca="1"/>
        <v>0.19768929446762229</v>
      </c>
      <c r="N239">
        <f ca="1"/>
        <v>0.86631118814675434</v>
      </c>
      <c r="O239">
        <f ca="1"/>
        <v>0</v>
      </c>
      <c r="P239">
        <f ca="1"/>
        <v>8.7424213029385385</v>
      </c>
      <c r="Q239">
        <f ca="1"/>
        <v>7.4621504008345685</v>
      </c>
      <c r="R239">
        <f ca="1"/>
        <v>0</v>
      </c>
      <c r="S239">
        <f ca="1"/>
        <v>0.88317549871557122</v>
      </c>
      <c r="T239">
        <f ca="1"/>
        <v>0</v>
      </c>
      <c r="U239">
        <f ca="1"/>
        <v>0</v>
      </c>
      <c r="V239">
        <f ca="1"/>
        <v>0.18332753890099351</v>
      </c>
      <c r="X239" s="2">
        <f t="shared" ca="1" si="24"/>
        <v>45603</v>
      </c>
      <c r="Y239">
        <f t="shared" ca="1" si="25"/>
        <v>0</v>
      </c>
      <c r="AA239" s="63">
        <f t="shared" ca="1" si="27"/>
        <v>97.500213572159282</v>
      </c>
      <c r="AB239" s="63">
        <f t="shared" ca="1" si="28"/>
        <v>97.500213572159282</v>
      </c>
      <c r="AC239" s="3">
        <f t="shared" ca="1" si="29"/>
        <v>0</v>
      </c>
    </row>
    <row r="240" spans="8:29">
      <c r="H240" t="b">
        <f t="shared" ca="1" si="26"/>
        <v>0</v>
      </c>
      <c r="I240" t="b">
        <f t="shared" ca="1" si="23"/>
        <v>0</v>
      </c>
      <c r="J240" s="2">
        <f ca="1"/>
        <v>45604</v>
      </c>
      <c r="K240">
        <f ca="1"/>
        <v>97.774240766739553</v>
      </c>
      <c r="L240">
        <f ca="1"/>
        <v>0.4178996951090781</v>
      </c>
      <c r="M240">
        <f ca="1"/>
        <v>0.18698764560737402</v>
      </c>
      <c r="N240">
        <f ca="1"/>
        <v>0.8918076650767689</v>
      </c>
      <c r="O240">
        <f ca="1"/>
        <v>0</v>
      </c>
      <c r="P240">
        <f ca="1"/>
        <v>9.1603209980476166</v>
      </c>
      <c r="Q240">
        <f ca="1"/>
        <v>7.8188513958230699</v>
      </c>
      <c r="R240">
        <f ca="1"/>
        <v>0</v>
      </c>
      <c r="S240">
        <f ca="1"/>
        <v>0.88645379014241921</v>
      </c>
      <c r="T240">
        <f ca="1"/>
        <v>0</v>
      </c>
      <c r="U240">
        <f ca="1"/>
        <v>0</v>
      </c>
      <c r="V240">
        <f ca="1"/>
        <v>0.20574437132006154</v>
      </c>
      <c r="X240" s="2">
        <f t="shared" ca="1" si="24"/>
        <v>45604</v>
      </c>
      <c r="Y240">
        <f t="shared" ca="1" si="25"/>
        <v>0</v>
      </c>
      <c r="AA240" s="63">
        <f t="shared" ca="1" si="27"/>
        <v>98.192140461848638</v>
      </c>
      <c r="AB240" s="63">
        <f t="shared" ca="1" si="28"/>
        <v>98.192140461848624</v>
      </c>
      <c r="AC240" s="3">
        <f t="shared" ca="1" si="29"/>
        <v>0</v>
      </c>
    </row>
    <row r="241" spans="8:29">
      <c r="H241" t="b">
        <f t="shared" ca="1" si="26"/>
        <v>0</v>
      </c>
      <c r="I241" t="b">
        <f t="shared" ca="1" si="23"/>
        <v>0</v>
      </c>
      <c r="J241" s="2">
        <f ca="1"/>
        <v>45605</v>
      </c>
      <c r="K241">
        <f ca="1"/>
        <v>98.377512880908938</v>
      </c>
      <c r="L241">
        <f ca="1"/>
        <v>0.41349462227461942</v>
      </c>
      <c r="M241">
        <f ca="1"/>
        <v>0.16765396856172288</v>
      </c>
      <c r="N241">
        <f ca="1"/>
        <v>0.84911276788228196</v>
      </c>
      <c r="O241">
        <f ca="1"/>
        <v>0</v>
      </c>
      <c r="P241">
        <f ca="1"/>
        <v>9.573815620322236</v>
      </c>
      <c r="Q241">
        <f ca="1"/>
        <v>8.1717924123252548</v>
      </c>
      <c r="R241">
        <f ca="1"/>
        <v>0</v>
      </c>
      <c r="S241">
        <f ca="1"/>
        <v>0.88098908236565887</v>
      </c>
      <c r="T241">
        <f ca="1"/>
        <v>0</v>
      </c>
      <c r="U241">
        <f ca="1"/>
        <v>0</v>
      </c>
      <c r="V241">
        <f ca="1"/>
        <v>0.22877557593583117</v>
      </c>
      <c r="X241" s="2">
        <f t="shared" ca="1" si="24"/>
        <v>45605</v>
      </c>
      <c r="Y241">
        <f t="shared" ca="1" si="25"/>
        <v>0</v>
      </c>
      <c r="AA241" s="63">
        <f t="shared" ca="1" si="27"/>
        <v>98.79100750318355</v>
      </c>
      <c r="AB241" s="63">
        <f t="shared" ca="1" si="28"/>
        <v>98.79100750318355</v>
      </c>
      <c r="AC241" s="3">
        <f t="shared" ca="1" si="29"/>
        <v>0</v>
      </c>
    </row>
    <row r="242" spans="8:29">
      <c r="H242" t="b">
        <f t="shared" ca="1" si="26"/>
        <v>0</v>
      </c>
      <c r="I242" t="b">
        <f t="shared" ca="1" si="23"/>
        <v>0</v>
      </c>
      <c r="J242" s="2">
        <f ca="1"/>
        <v>45606</v>
      </c>
      <c r="K242">
        <f ca="1"/>
        <v>98.979817181145165</v>
      </c>
      <c r="L242">
        <f ca="1"/>
        <v>0.44340293389971563</v>
      </c>
      <c r="M242">
        <f ca="1"/>
        <v>0.15814162126326892</v>
      </c>
      <c r="N242">
        <f ca="1"/>
        <v>0.8875656128726811</v>
      </c>
      <c r="O242">
        <f ca="1"/>
        <v>0</v>
      </c>
      <c r="P242">
        <f ca="1"/>
        <v>10.017218554221952</v>
      </c>
      <c r="Q242">
        <f ca="1"/>
        <v>8.5502618621810793</v>
      </c>
      <c r="R242">
        <f ca="1"/>
        <v>0</v>
      </c>
      <c r="S242">
        <f ca="1"/>
        <v>0.90020081133979679</v>
      </c>
      <c r="T242">
        <f ca="1"/>
        <v>0</v>
      </c>
      <c r="U242">
        <f ca="1"/>
        <v>0</v>
      </c>
      <c r="V242">
        <f ca="1"/>
        <v>0.25424296645648076</v>
      </c>
      <c r="X242" s="2">
        <f t="shared" ca="1" si="24"/>
        <v>45606</v>
      </c>
      <c r="Y242">
        <f t="shared" ca="1" si="25"/>
        <v>0</v>
      </c>
      <c r="AA242" s="63">
        <f t="shared" ca="1" si="27"/>
        <v>99.423220115044884</v>
      </c>
      <c r="AB242" s="63">
        <f t="shared" ca="1" si="28"/>
        <v>99.423220115044884</v>
      </c>
      <c r="AC242" s="3">
        <f t="shared" ca="1" si="29"/>
        <v>0</v>
      </c>
    </row>
    <row r="243" spans="8:29">
      <c r="H243" t="b">
        <f t="shared" ca="1" si="26"/>
        <v>0</v>
      </c>
      <c r="I243" t="b">
        <f t="shared" ca="1" si="23"/>
        <v>0</v>
      </c>
      <c r="J243" s="2">
        <f ca="1"/>
        <v>45607</v>
      </c>
      <c r="K243">
        <f ca="1"/>
        <v>99.530565868193065</v>
      </c>
      <c r="L243">
        <f ca="1"/>
        <v>0.41878922600480273</v>
      </c>
      <c r="M243">
        <f ca="1"/>
        <v>0.13873247397260968</v>
      </c>
      <c r="N243">
        <f ca="1"/>
        <v>0.83080543908009585</v>
      </c>
      <c r="O243">
        <f ca="1"/>
        <v>0</v>
      </c>
      <c r="P243">
        <f ca="1"/>
        <v>10.436007780226754</v>
      </c>
      <c r="Q243">
        <f ca="1"/>
        <v>8.9077221220345528</v>
      </c>
      <c r="R243">
        <f ca="1"/>
        <v>0</v>
      </c>
      <c r="S243">
        <f ca="1"/>
        <v>0.90582385921882769</v>
      </c>
      <c r="T243">
        <f ca="1"/>
        <v>0</v>
      </c>
      <c r="U243">
        <f ca="1"/>
        <v>0</v>
      </c>
      <c r="V243">
        <f ca="1"/>
        <v>0.27886224158777728</v>
      </c>
      <c r="X243" s="2">
        <f t="shared" ca="1" si="24"/>
        <v>45607</v>
      </c>
      <c r="Y243">
        <f t="shared" ca="1" si="25"/>
        <v>0</v>
      </c>
      <c r="AA243" s="63">
        <f t="shared" ca="1" si="27"/>
        <v>99.94935509419787</v>
      </c>
      <c r="AB243" s="63">
        <f t="shared" ca="1" si="28"/>
        <v>99.94935509419787</v>
      </c>
      <c r="AC243" s="3">
        <f t="shared" ca="1" si="29"/>
        <v>0</v>
      </c>
    </row>
    <row r="244" spans="8:29">
      <c r="H244" t="b">
        <f t="shared" ca="1" si="26"/>
        <v>0</v>
      </c>
      <c r="I244" t="b">
        <f t="shared" ca="1" si="23"/>
        <v>0</v>
      </c>
      <c r="J244" s="2">
        <f ca="1"/>
        <v>45608</v>
      </c>
      <c r="K244">
        <f ca="1"/>
        <v>100.01497233069628</v>
      </c>
      <c r="L244">
        <f ca="1"/>
        <v>0.40772980185216667</v>
      </c>
      <c r="M244">
        <f ca="1"/>
        <v>0.12495937955530678</v>
      </c>
      <c r="N244">
        <f ca="1"/>
        <v>0.7671768848000855</v>
      </c>
      <c r="O244">
        <f ca="1"/>
        <v>0</v>
      </c>
      <c r="P244">
        <f ca="1"/>
        <v>10.843737582078921</v>
      </c>
      <c r="Q244">
        <f ca="1"/>
        <v>9.255742538678243</v>
      </c>
      <c r="R244">
        <f ca="1"/>
        <v>0</v>
      </c>
      <c r="S244">
        <f ca="1"/>
        <v>0.87893375118099037</v>
      </c>
      <c r="T244">
        <f ca="1"/>
        <v>0</v>
      </c>
      <c r="U244">
        <f ca="1"/>
        <v>0</v>
      </c>
      <c r="V244">
        <f ca="1"/>
        <v>0.30320383730734163</v>
      </c>
      <c r="X244" s="2">
        <f t="shared" ca="1" si="24"/>
        <v>45608</v>
      </c>
      <c r="Y244">
        <f t="shared" ca="1" si="25"/>
        <v>0</v>
      </c>
      <c r="AA244" s="63">
        <f t="shared" ca="1" si="27"/>
        <v>100.42270213254845</v>
      </c>
      <c r="AB244" s="63">
        <f t="shared" ca="1" si="28"/>
        <v>100.42270213254845</v>
      </c>
      <c r="AC244" s="3">
        <f t="shared" ca="1" si="29"/>
        <v>0</v>
      </c>
    </row>
    <row r="245" spans="8:29">
      <c r="H245" t="b">
        <f t="shared" ca="1" si="26"/>
        <v>0</v>
      </c>
      <c r="I245" t="b">
        <f t="shared" ca="1" si="23"/>
        <v>0</v>
      </c>
      <c r="J245" s="2">
        <f ca="1"/>
        <v>45609</v>
      </c>
      <c r="K245">
        <f ca="1"/>
        <v>100.45207154460378</v>
      </c>
      <c r="L245">
        <f ca="1"/>
        <v>0.42549701901675796</v>
      </c>
      <c r="M245">
        <f ca="1"/>
        <v>0.11708200838079108</v>
      </c>
      <c r="N245">
        <f ca="1"/>
        <v>0.74551422454347049</v>
      </c>
      <c r="O245">
        <f ca="1"/>
        <v>0</v>
      </c>
      <c r="P245">
        <f ca="1"/>
        <v>11.269234601095679</v>
      </c>
      <c r="Q245">
        <f ca="1"/>
        <v>9.6189282787594905</v>
      </c>
      <c r="R245">
        <f ca="1"/>
        <v>0</v>
      </c>
      <c r="S245">
        <f ca="1"/>
        <v>0.85377546563446527</v>
      </c>
      <c r="T245">
        <f ca="1"/>
        <v>0</v>
      </c>
      <c r="U245">
        <f ca="1"/>
        <v>0</v>
      </c>
      <c r="V245">
        <f ca="1"/>
        <v>0.32883969316651179</v>
      </c>
      <c r="X245" s="2">
        <f t="shared" ca="1" si="24"/>
        <v>45609</v>
      </c>
      <c r="Y245">
        <f t="shared" ca="1" si="25"/>
        <v>0</v>
      </c>
      <c r="AA245" s="63">
        <f t="shared" ca="1" si="27"/>
        <v>100.87756856362054</v>
      </c>
      <c r="AB245" s="63">
        <f t="shared" ca="1" si="28"/>
        <v>100.87756856362054</v>
      </c>
      <c r="AC245" s="3">
        <f t="shared" ca="1" si="29"/>
        <v>0</v>
      </c>
    </row>
    <row r="246" spans="8:29">
      <c r="H246" t="b">
        <f t="shared" ca="1" si="26"/>
        <v>0</v>
      </c>
      <c r="I246" t="b">
        <f t="shared" ca="1" si="23"/>
        <v>0</v>
      </c>
      <c r="J246" s="2">
        <f ca="1"/>
        <v>45610</v>
      </c>
      <c r="K246">
        <f ca="1"/>
        <v>100.86490750798238</v>
      </c>
      <c r="L246">
        <f ca="1"/>
        <v>0.49339724189133882</v>
      </c>
      <c r="M246">
        <f ca="1"/>
        <v>0.11596899686911399</v>
      </c>
      <c r="N246">
        <f ca="1"/>
        <v>0.79026420840082157</v>
      </c>
      <c r="O246">
        <f ca="1"/>
        <v>0</v>
      </c>
      <c r="P246">
        <f ca="1"/>
        <v>11.762631842987018</v>
      </c>
      <c r="Q246">
        <f ca="1"/>
        <v>10.040070694432435</v>
      </c>
      <c r="R246">
        <f ca="1"/>
        <v>0</v>
      </c>
      <c r="S246">
        <f ca="1"/>
        <v>0.83925246977830648</v>
      </c>
      <c r="T246">
        <f ca="1"/>
        <v>0</v>
      </c>
      <c r="U246">
        <f ca="1"/>
        <v>0</v>
      </c>
      <c r="V246">
        <f ca="1"/>
        <v>0.35865940166418425</v>
      </c>
      <c r="X246" s="2">
        <f t="shared" ca="1" si="24"/>
        <v>45610</v>
      </c>
      <c r="Y246">
        <f t="shared" ca="1" si="25"/>
        <v>0</v>
      </c>
      <c r="AA246" s="63">
        <f t="shared" ca="1" si="27"/>
        <v>101.35830474987372</v>
      </c>
      <c r="AB246" s="63">
        <f t="shared" ca="1" si="28"/>
        <v>101.35830474987372</v>
      </c>
      <c r="AC246" s="3">
        <f t="shared" ca="1" si="29"/>
        <v>0</v>
      </c>
    </row>
    <row r="247" spans="8:29">
      <c r="H247" t="b">
        <f t="shared" ca="1" si="26"/>
        <v>0</v>
      </c>
      <c r="I247" t="b">
        <f t="shared" ca="1" si="23"/>
        <v>0</v>
      </c>
      <c r="J247" s="2">
        <f ca="1"/>
        <v>45611</v>
      </c>
      <c r="K247">
        <f ca="1"/>
        <v>101.30638789568417</v>
      </c>
      <c r="L247">
        <f ca="1"/>
        <v>0.59465690268491045</v>
      </c>
      <c r="M247">
        <f ca="1"/>
        <v>0.11764924564596413</v>
      </c>
      <c r="N247">
        <f ca="1"/>
        <v>0.91848804474072909</v>
      </c>
      <c r="O247">
        <f ca="1"/>
        <v>0</v>
      </c>
      <c r="P247">
        <f ca="1"/>
        <v>12.357288745671928</v>
      </c>
      <c r="Q247">
        <f ca="1"/>
        <v>10.547643950280642</v>
      </c>
      <c r="R247">
        <f ca="1"/>
        <v>0</v>
      </c>
      <c r="S247">
        <f ca="1"/>
        <v>0.87055683731194888</v>
      </c>
      <c r="T247">
        <f ca="1"/>
        <v>0</v>
      </c>
      <c r="U247">
        <f ca="1"/>
        <v>0</v>
      </c>
      <c r="V247">
        <f ca="1"/>
        <v>0.39441972305052225</v>
      </c>
      <c r="X247" s="2">
        <f t="shared" ca="1" si="24"/>
        <v>45611</v>
      </c>
      <c r="Y247">
        <f t="shared" ca="1" si="25"/>
        <v>0</v>
      </c>
      <c r="AA247" s="63">
        <f t="shared" ca="1" si="27"/>
        <v>101.90104479836907</v>
      </c>
      <c r="AB247" s="63">
        <f t="shared" ca="1" si="28"/>
        <v>101.90104479836907</v>
      </c>
      <c r="AC247" s="3">
        <f t="shared" ca="1" si="29"/>
        <v>0</v>
      </c>
    </row>
    <row r="248" spans="8:29">
      <c r="H248" t="b">
        <f t="shared" ca="1" si="26"/>
        <v>0</v>
      </c>
      <c r="I248" t="b">
        <f t="shared" ca="1" si="23"/>
        <v>0</v>
      </c>
      <c r="J248" s="2">
        <f ca="1"/>
        <v>45612</v>
      </c>
      <c r="K248">
        <f ca="1"/>
        <v>101.7610542695257</v>
      </c>
      <c r="L248">
        <f ca="1"/>
        <v>0.63685298176752703</v>
      </c>
      <c r="M248">
        <f ca="1"/>
        <v>0.11027287417297771</v>
      </c>
      <c r="N248">
        <f ca="1"/>
        <v>0.98124648143608284</v>
      </c>
      <c r="O248">
        <f ca="1"/>
        <v>0</v>
      </c>
      <c r="P248">
        <f ca="1"/>
        <v>12.994141727439455</v>
      </c>
      <c r="Q248">
        <f ca="1"/>
        <v>11.091233943086397</v>
      </c>
      <c r="R248">
        <f ca="1"/>
        <v>0</v>
      </c>
      <c r="S248">
        <f ca="1"/>
        <v>0.90940082898663943</v>
      </c>
      <c r="T248">
        <f ca="1"/>
        <v>0</v>
      </c>
      <c r="U248">
        <f ca="1"/>
        <v>0</v>
      </c>
      <c r="V248">
        <f ca="1"/>
        <v>0.43211453948422701</v>
      </c>
      <c r="X248" s="2">
        <f t="shared" ca="1" si="24"/>
        <v>45612</v>
      </c>
      <c r="Y248">
        <f t="shared" ca="1" si="25"/>
        <v>0</v>
      </c>
      <c r="AA248" s="63">
        <f t="shared" ca="1" si="27"/>
        <v>102.39790725129323</v>
      </c>
      <c r="AB248" s="63">
        <f t="shared" ca="1" si="28"/>
        <v>102.39790725129323</v>
      </c>
      <c r="AC248" s="3">
        <f t="shared" ca="1" si="29"/>
        <v>0</v>
      </c>
    </row>
    <row r="249" spans="8:29">
      <c r="H249" t="b">
        <f t="shared" ca="1" si="26"/>
        <v>0</v>
      </c>
      <c r="I249" t="b">
        <f t="shared" ca="1" si="23"/>
        <v>0</v>
      </c>
      <c r="J249" s="2">
        <f ca="1"/>
        <v>45613</v>
      </c>
      <c r="K249">
        <f ca="1"/>
        <v>102.2187591489612</v>
      </c>
      <c r="L249">
        <f ca="1"/>
        <v>0.63417765567876039</v>
      </c>
      <c r="M249">
        <f ca="1"/>
        <v>9.8580601587087813E-2</v>
      </c>
      <c r="N249">
        <f ca="1"/>
        <v>0.99330193352716678</v>
      </c>
      <c r="O249">
        <f ca="1"/>
        <v>0</v>
      </c>
      <c r="P249">
        <f ca="1"/>
        <v>13.628319383118216</v>
      </c>
      <c r="Q249">
        <f ca="1"/>
        <v>11.632540393958646</v>
      </c>
      <c r="R249">
        <f ca="1"/>
        <v>0</v>
      </c>
      <c r="S249">
        <f ca="1"/>
        <v>0.95240681168156716</v>
      </c>
      <c r="T249">
        <f ca="1"/>
        <v>0</v>
      </c>
      <c r="U249">
        <f ca="1"/>
        <v>0</v>
      </c>
      <c r="V249">
        <f ca="1"/>
        <v>0.46866541681173551</v>
      </c>
      <c r="X249" s="2">
        <f t="shared" ca="1" si="24"/>
        <v>45613</v>
      </c>
      <c r="Y249">
        <f t="shared" ca="1" si="25"/>
        <v>0</v>
      </c>
      <c r="AA249" s="63">
        <f t="shared" ca="1" si="27"/>
        <v>102.85293680463995</v>
      </c>
      <c r="AB249" s="63">
        <f t="shared" ca="1" si="28"/>
        <v>102.85293680463995</v>
      </c>
      <c r="AC249" s="3">
        <f t="shared" ca="1" si="29"/>
        <v>0</v>
      </c>
    </row>
    <row r="250" spans="8:29">
      <c r="H250" t="b">
        <f t="shared" ca="1" si="26"/>
        <v>0</v>
      </c>
      <c r="I250" t="b">
        <f t="shared" ca="1" si="23"/>
        <v>0</v>
      </c>
      <c r="J250" s="2">
        <f ca="1"/>
        <v>45614</v>
      </c>
      <c r="K250">
        <f ca="1"/>
        <v>102.58793028593472</v>
      </c>
      <c r="L250">
        <f ca="1"/>
        <v>0.62740085951065794</v>
      </c>
      <c r="M250">
        <f ca="1"/>
        <v>8.8340290987687808E-2</v>
      </c>
      <c r="N250">
        <f ca="1"/>
        <v>0.90823170549649357</v>
      </c>
      <c r="O250">
        <f ca="1"/>
        <v>0</v>
      </c>
      <c r="P250">
        <f ca="1"/>
        <v>14.255720242628874</v>
      </c>
      <c r="Q250">
        <f ca="1"/>
        <v>12.168062466511676</v>
      </c>
      <c r="R250">
        <f ca="1"/>
        <v>0</v>
      </c>
      <c r="S250">
        <f ca="1"/>
        <v>0.91566851208049493</v>
      </c>
      <c r="T250">
        <f ca="1"/>
        <v>0</v>
      </c>
      <c r="U250">
        <f ca="1"/>
        <v>0</v>
      </c>
      <c r="V250">
        <f ca="1"/>
        <v>0.50356266813203765</v>
      </c>
      <c r="X250" s="2">
        <f t="shared" ca="1" si="24"/>
        <v>45614</v>
      </c>
      <c r="Y250">
        <f t="shared" ca="1" si="25"/>
        <v>0</v>
      </c>
      <c r="AA250" s="63">
        <f t="shared" ca="1" si="27"/>
        <v>103.21533114544538</v>
      </c>
      <c r="AB250" s="63">
        <f t="shared" ca="1" si="28"/>
        <v>103.21533114544538</v>
      </c>
      <c r="AC250" s="3">
        <f t="shared" ca="1" si="29"/>
        <v>0</v>
      </c>
    </row>
    <row r="251" spans="8:29">
      <c r="H251" t="b">
        <f t="shared" ca="1" si="26"/>
        <v>0</v>
      </c>
      <c r="I251" t="b">
        <f t="shared" ca="1" si="23"/>
        <v>0</v>
      </c>
      <c r="J251" s="2">
        <f ca="1"/>
        <v>45615</v>
      </c>
      <c r="K251">
        <f ca="1"/>
        <v>102.91190640290773</v>
      </c>
      <c r="L251">
        <f ca="1"/>
        <v>0.66868835254050296</v>
      </c>
      <c r="M251">
        <f ca="1"/>
        <v>8.3153854466004873E-2</v>
      </c>
      <c r="N251">
        <f ca="1"/>
        <v>0.90951061504750719</v>
      </c>
      <c r="O251">
        <f ca="1"/>
        <v>0</v>
      </c>
      <c r="P251">
        <f ca="1"/>
        <v>14.924408595169377</v>
      </c>
      <c r="Q251">
        <f ca="1"/>
        <v>12.738825746504405</v>
      </c>
      <c r="R251">
        <f ca="1"/>
        <v>0</v>
      </c>
      <c r="S251">
        <f ca="1"/>
        <v>0.90460625411617479</v>
      </c>
      <c r="T251">
        <f ca="1"/>
        <v>0</v>
      </c>
      <c r="U251">
        <f ca="1"/>
        <v>0</v>
      </c>
      <c r="V251">
        <f ca="1"/>
        <v>0.5391244703616126</v>
      </c>
      <c r="X251" s="2">
        <f t="shared" ca="1" si="24"/>
        <v>45615</v>
      </c>
      <c r="Y251">
        <f t="shared" ca="1" si="25"/>
        <v>0</v>
      </c>
      <c r="AA251" s="63">
        <f t="shared" ca="1" si="27"/>
        <v>103.58059475544823</v>
      </c>
      <c r="AB251" s="63">
        <f t="shared" ca="1" si="28"/>
        <v>103.58059475544823</v>
      </c>
      <c r="AC251" s="3">
        <f t="shared" ca="1" si="29"/>
        <v>0</v>
      </c>
    </row>
    <row r="252" spans="8:29">
      <c r="H252" t="b">
        <f t="shared" ca="1" si="26"/>
        <v>0</v>
      </c>
      <c r="I252" t="b">
        <f t="shared" ca="1" si="23"/>
        <v>0</v>
      </c>
      <c r="J252" s="2">
        <f ca="1"/>
        <v>45616</v>
      </c>
      <c r="K252">
        <f ca="1"/>
        <v>103.17252080852964</v>
      </c>
      <c r="L252">
        <f ca="1"/>
        <v>0.70508915999384136</v>
      </c>
      <c r="M252">
        <f ca="1"/>
        <v>7.7720337055978916E-2</v>
      </c>
      <c r="N252">
        <f ca="1"/>
        <v>0.88798322855977663</v>
      </c>
      <c r="O252">
        <f ca="1"/>
        <v>0</v>
      </c>
      <c r="P252">
        <f ca="1"/>
        <v>15.629497755163218</v>
      </c>
      <c r="Q252">
        <f ca="1"/>
        <v>13.340659171771115</v>
      </c>
      <c r="R252">
        <f ca="1"/>
        <v>0</v>
      </c>
      <c r="S252">
        <f ca="1"/>
        <v>0.88041306254174212</v>
      </c>
      <c r="T252">
        <f ca="1"/>
        <v>0</v>
      </c>
      <c r="U252">
        <f ca="1"/>
        <v>0</v>
      </c>
      <c r="V252">
        <f ca="1"/>
        <v>0.57459813464393139</v>
      </c>
      <c r="X252" s="2">
        <f t="shared" ca="1" si="24"/>
        <v>45616</v>
      </c>
      <c r="Y252">
        <f t="shared" ca="1" si="25"/>
        <v>0</v>
      </c>
      <c r="AA252" s="63">
        <f t="shared" ca="1" si="27"/>
        <v>103.87760996852349</v>
      </c>
      <c r="AB252" s="63">
        <f t="shared" ca="1" si="28"/>
        <v>103.87760996852349</v>
      </c>
      <c r="AC252" s="3">
        <f t="shared" ca="1" si="29"/>
        <v>0</v>
      </c>
    </row>
    <row r="253" spans="8:29">
      <c r="H253" t="b">
        <f t="shared" ca="1" si="26"/>
        <v>0</v>
      </c>
      <c r="I253" t="b">
        <f t="shared" ca="1" si="23"/>
        <v>0</v>
      </c>
      <c r="J253" s="2">
        <f ca="1"/>
        <v>45617</v>
      </c>
      <c r="K253">
        <f ca="1"/>
        <v>103.3654209360981</v>
      </c>
      <c r="L253">
        <f ca="1"/>
        <v>0.74439941879236571</v>
      </c>
      <c r="M253">
        <f ca="1"/>
        <v>7.2703188711685129E-2</v>
      </c>
      <c r="N253">
        <f ca="1"/>
        <v>0.86459635764915466</v>
      </c>
      <c r="O253">
        <f ca="1"/>
        <v>0</v>
      </c>
      <c r="P253">
        <f ca="1"/>
        <v>16.373897173955584</v>
      </c>
      <c r="Q253">
        <f ca="1"/>
        <v>13.976046123376314</v>
      </c>
      <c r="R253">
        <f ca="1"/>
        <v>0</v>
      </c>
      <c r="S253">
        <f ca="1"/>
        <v>0.85361272892734719</v>
      </c>
      <c r="T253">
        <f ca="1"/>
        <v>0</v>
      </c>
      <c r="U253">
        <f ca="1"/>
        <v>0</v>
      </c>
      <c r="V253">
        <f ca="1"/>
        <v>0.60965486075179931</v>
      </c>
      <c r="X253" s="2">
        <f t="shared" ca="1" si="24"/>
        <v>45617</v>
      </c>
      <c r="Y253">
        <f t="shared" ca="1" si="25"/>
        <v>0</v>
      </c>
      <c r="AA253" s="63">
        <f t="shared" ca="1" si="27"/>
        <v>104.10982035489047</v>
      </c>
      <c r="AB253" s="63">
        <f t="shared" ca="1" si="28"/>
        <v>104.10982035489047</v>
      </c>
      <c r="AC253" s="3">
        <f t="shared" ca="1" si="29"/>
        <v>0</v>
      </c>
    </row>
    <row r="254" spans="8:29">
      <c r="H254" t="b">
        <f t="shared" ca="1" si="26"/>
        <v>0</v>
      </c>
      <c r="I254" t="b">
        <f t="shared" ca="1" si="23"/>
        <v>0</v>
      </c>
      <c r="J254" s="2">
        <f ca="1"/>
        <v>45618</v>
      </c>
      <c r="K254">
        <f ca="1"/>
        <v>103.45823398483472</v>
      </c>
      <c r="L254">
        <f ca="1"/>
        <v>0.82806841255993646</v>
      </c>
      <c r="M254">
        <f ca="1"/>
        <v>7.0285778601899551E-2</v>
      </c>
      <c r="N254">
        <f ca="1"/>
        <v>0.85059568269465147</v>
      </c>
      <c r="O254">
        <f ca="1"/>
        <v>0</v>
      </c>
      <c r="P254">
        <f ca="1"/>
        <v>17.20196558651552</v>
      </c>
      <c r="Q254">
        <f ca="1"/>
        <v>14.682849287235005</v>
      </c>
      <c r="R254">
        <f ca="1"/>
        <v>0</v>
      </c>
      <c r="S254">
        <f ca="1"/>
        <v>0.80334837775041046</v>
      </c>
      <c r="T254">
        <f ca="1"/>
        <v>0</v>
      </c>
      <c r="U254">
        <f ca="1"/>
        <v>0</v>
      </c>
      <c r="V254">
        <f ca="1"/>
        <v>0.64569143142884378</v>
      </c>
      <c r="X254" s="2">
        <f t="shared" ca="1" si="24"/>
        <v>45618</v>
      </c>
      <c r="Y254">
        <f t="shared" ca="1" si="25"/>
        <v>0</v>
      </c>
      <c r="AA254" s="63">
        <f t="shared" ca="1" si="27"/>
        <v>104.28630239739465</v>
      </c>
      <c r="AB254" s="63">
        <f t="shared" ca="1" si="28"/>
        <v>104.28630239739465</v>
      </c>
      <c r="AC254" s="3">
        <f t="shared" ca="1" si="29"/>
        <v>0</v>
      </c>
    </row>
    <row r="255" spans="8:29">
      <c r="H255" t="b">
        <f t="shared" ca="1" si="26"/>
        <v>0</v>
      </c>
      <c r="I255" t="b">
        <f t="shared" ca="1" si="23"/>
        <v>0</v>
      </c>
      <c r="J255" s="2">
        <f ca="1"/>
        <v>45619</v>
      </c>
      <c r="K255">
        <f ca="1"/>
        <v>103.48519255712034</v>
      </c>
      <c r="L255">
        <f ca="1"/>
        <v>0.86893332977134108</v>
      </c>
      <c r="M255">
        <f ca="1"/>
        <v>6.5265594645694591E-2</v>
      </c>
      <c r="N255">
        <f ca="1"/>
        <v>0.83062630741125798</v>
      </c>
      <c r="O255">
        <f ca="1"/>
        <v>0</v>
      </c>
      <c r="P255">
        <f ca="1"/>
        <v>18.070898916286861</v>
      </c>
      <c r="Q255">
        <f ca="1"/>
        <v>15.424532966203012</v>
      </c>
      <c r="R255">
        <f ca="1"/>
        <v>0</v>
      </c>
      <c r="S255">
        <f ca="1"/>
        <v>0.78450870612230239</v>
      </c>
      <c r="T255">
        <f ca="1"/>
        <v>0</v>
      </c>
      <c r="U255">
        <f ca="1"/>
        <v>0</v>
      </c>
      <c r="V255">
        <f ca="1"/>
        <v>0.68018056217308454</v>
      </c>
      <c r="X255" s="2">
        <f t="shared" ca="1" si="24"/>
        <v>45619</v>
      </c>
      <c r="Y255">
        <f t="shared" ca="1" si="25"/>
        <v>0</v>
      </c>
      <c r="AA255" s="63">
        <f t="shared" ca="1" si="27"/>
        <v>104.35412588689168</v>
      </c>
      <c r="AB255" s="63">
        <f t="shared" ca="1" si="28"/>
        <v>104.35412588689168</v>
      </c>
      <c r="AC255" s="3">
        <f t="shared" ca="1" si="29"/>
        <v>0</v>
      </c>
    </row>
    <row r="256" spans="8:29">
      <c r="H256" t="b">
        <f t="shared" ca="1" si="26"/>
        <v>0</v>
      </c>
      <c r="I256" t="b">
        <f t="shared" ca="1" si="23"/>
        <v>0</v>
      </c>
      <c r="J256" s="2">
        <f ca="1"/>
        <v>45620</v>
      </c>
      <c r="K256">
        <f ca="1"/>
        <v>103.42974066057185</v>
      </c>
      <c r="L256">
        <f ca="1"/>
        <v>0.99865662002544298</v>
      </c>
      <c r="M256">
        <f ca="1"/>
        <v>6.4490784176626903E-2</v>
      </c>
      <c r="N256">
        <f ca="1"/>
        <v>0.8787139393003266</v>
      </c>
      <c r="O256">
        <f ca="1"/>
        <v>0</v>
      </c>
      <c r="P256">
        <f ca="1"/>
        <v>19.069555536312304</v>
      </c>
      <c r="Q256">
        <f ca="1"/>
        <v>16.27694280086908</v>
      </c>
      <c r="R256">
        <f ca="1"/>
        <v>0</v>
      </c>
      <c r="S256">
        <f ca="1"/>
        <v>0.76929541153674263</v>
      </c>
      <c r="T256">
        <f ca="1"/>
        <v>0</v>
      </c>
      <c r="U256">
        <f ca="1"/>
        <v>0</v>
      </c>
      <c r="V256">
        <f ca="1"/>
        <v>0.71577262852042967</v>
      </c>
      <c r="X256" s="2">
        <f t="shared" ca="1" si="24"/>
        <v>45620</v>
      </c>
      <c r="Y256">
        <f t="shared" ca="1" si="25"/>
        <v>0</v>
      </c>
      <c r="AA256" s="63">
        <f t="shared" ca="1" si="27"/>
        <v>104.4283972805973</v>
      </c>
      <c r="AB256" s="63">
        <f t="shared" ca="1" si="28"/>
        <v>104.4283972805973</v>
      </c>
      <c r="AC256" s="3">
        <f t="shared" ca="1" si="29"/>
        <v>0</v>
      </c>
    </row>
    <row r="257" spans="8:29">
      <c r="H257" t="b">
        <f t="shared" ca="1" si="26"/>
        <v>0</v>
      </c>
      <c r="I257" t="b">
        <f t="shared" ca="1" si="23"/>
        <v>0</v>
      </c>
      <c r="J257" s="2">
        <f ca="1"/>
        <v>45621</v>
      </c>
      <c r="K257">
        <f ca="1"/>
        <v>103.36200927534401</v>
      </c>
      <c r="L257">
        <f ca="1"/>
        <v>1.0649924986155312</v>
      </c>
      <c r="M257">
        <f ca="1"/>
        <v>6.0217441765956892E-2</v>
      </c>
      <c r="N257">
        <f ca="1"/>
        <v>0.93704367162173252</v>
      </c>
      <c r="O257">
        <f ca="1"/>
        <v>0</v>
      </c>
      <c r="P257">
        <f ca="1"/>
        <v>20.134548034927835</v>
      </c>
      <c r="Q257">
        <f ca="1"/>
        <v>17.185974054917484</v>
      </c>
      <c r="R257">
        <f ca="1"/>
        <v>0</v>
      </c>
      <c r="S257">
        <f ca="1"/>
        <v>0.80986274522524859</v>
      </c>
      <c r="T257">
        <f ca="1"/>
        <v>0</v>
      </c>
      <c r="U257">
        <f ca="1"/>
        <v>0</v>
      </c>
      <c r="V257">
        <f ca="1"/>
        <v>0.74927754434612703</v>
      </c>
      <c r="X257" s="2">
        <f t="shared" ca="1" si="24"/>
        <v>45621</v>
      </c>
      <c r="Y257">
        <f t="shared" ca="1" si="25"/>
        <v>0</v>
      </c>
      <c r="AA257" s="63">
        <f t="shared" ca="1" si="27"/>
        <v>104.42700177395955</v>
      </c>
      <c r="AB257" s="63">
        <f t="shared" ca="1" si="28"/>
        <v>104.42700177395955</v>
      </c>
      <c r="AC257" s="3">
        <f t="shared" ca="1" si="29"/>
        <v>0</v>
      </c>
    </row>
    <row r="258" spans="8:29">
      <c r="H258" t="b">
        <f t="shared" ca="1" si="26"/>
        <v>0</v>
      </c>
      <c r="I258" t="b">
        <f t="shared" ca="1" si="23"/>
        <v>0</v>
      </c>
      <c r="J258" s="2">
        <f ca="1"/>
        <v>45622</v>
      </c>
      <c r="K258">
        <f ca="1"/>
        <v>103.19686855097413</v>
      </c>
      <c r="L258">
        <f ca="1"/>
        <v>1.1559439109364611</v>
      </c>
      <c r="M258">
        <f ca="1"/>
        <v>5.6965340330933145E-2</v>
      </c>
      <c r="N258">
        <f ca="1"/>
        <v>0.93383784623564525</v>
      </c>
      <c r="O258">
        <f ca="1"/>
        <v>0</v>
      </c>
      <c r="P258">
        <f ca="1"/>
        <v>21.290491945864296</v>
      </c>
      <c r="Q258">
        <f ca="1"/>
        <v>18.17263747680467</v>
      </c>
      <c r="R258">
        <f ca="1"/>
        <v>0</v>
      </c>
      <c r="S258">
        <f ca="1"/>
        <v>0.78700584685371289</v>
      </c>
      <c r="T258">
        <f ca="1"/>
        <v>0</v>
      </c>
      <c r="U258">
        <f ca="1"/>
        <v>0</v>
      </c>
      <c r="V258">
        <f ca="1"/>
        <v>0.78093038388890079</v>
      </c>
      <c r="X258" s="2">
        <f t="shared" ca="1" si="24"/>
        <v>45622</v>
      </c>
      <c r="Y258">
        <f t="shared" ca="1" si="25"/>
        <v>0</v>
      </c>
      <c r="AA258" s="63">
        <f t="shared" ca="1" si="27"/>
        <v>104.35281246191059</v>
      </c>
      <c r="AB258" s="63">
        <f t="shared" ca="1" si="28"/>
        <v>104.35281246191059</v>
      </c>
      <c r="AC258" s="3">
        <f t="shared" ca="1" si="29"/>
        <v>0</v>
      </c>
    </row>
    <row r="259" spans="8:29">
      <c r="H259" t="b">
        <f t="shared" ca="1" si="26"/>
        <v>0</v>
      </c>
      <c r="I259" t="b">
        <f t="shared" ca="1" si="23"/>
        <v>0</v>
      </c>
      <c r="J259" s="2">
        <f ca="1"/>
        <v>45623</v>
      </c>
      <c r="K259">
        <f ca="1"/>
        <v>103.05378659164181</v>
      </c>
      <c r="L259">
        <f ca="1"/>
        <v>1.195221754846461</v>
      </c>
      <c r="M259">
        <f ca="1"/>
        <v>5.1956701393535809E-2</v>
      </c>
      <c r="N259">
        <f ca="1"/>
        <v>1.0001830941206054</v>
      </c>
      <c r="O259">
        <f ca="1"/>
        <v>0</v>
      </c>
      <c r="P259">
        <f ca="1"/>
        <v>22.485713700710757</v>
      </c>
      <c r="Q259">
        <f ca="1"/>
        <v>19.192826757092025</v>
      </c>
      <c r="R259">
        <f ca="1"/>
        <v>0</v>
      </c>
      <c r="S259">
        <f ca="1"/>
        <v>0.852837598907911</v>
      </c>
      <c r="T259">
        <f ca="1"/>
        <v>0</v>
      </c>
      <c r="U259">
        <f ca="1"/>
        <v>0</v>
      </c>
      <c r="V259">
        <f ca="1"/>
        <v>0.80909604687972048</v>
      </c>
      <c r="X259" s="2">
        <f t="shared" ca="1" si="24"/>
        <v>45623</v>
      </c>
      <c r="Y259">
        <f t="shared" ca="1" si="25"/>
        <v>0</v>
      </c>
      <c r="AA259" s="63">
        <f t="shared" ca="1" si="27"/>
        <v>104.24900834648827</v>
      </c>
      <c r="AB259" s="63">
        <f t="shared" ca="1" si="28"/>
        <v>104.24900834648827</v>
      </c>
      <c r="AC259" s="3">
        <f t="shared" ca="1" si="29"/>
        <v>0</v>
      </c>
    </row>
    <row r="260" spans="8:29">
      <c r="H260" t="b">
        <f t="shared" ca="1" si="26"/>
        <v>0</v>
      </c>
      <c r="I260" t="b">
        <f t="shared" ca="1" si="23"/>
        <v>0</v>
      </c>
      <c r="J260" s="2">
        <f ca="1"/>
        <v>45624</v>
      </c>
      <c r="K260">
        <f ca="1"/>
        <v>102.82370900273877</v>
      </c>
      <c r="L260">
        <f ca="1"/>
        <v>1.1372744048216425</v>
      </c>
      <c r="M260">
        <f ca="1"/>
        <v>4.4940100089931434E-2</v>
      </c>
      <c r="N260">
        <f ca="1"/>
        <v>0.8622567158286657</v>
      </c>
      <c r="O260">
        <f ca="1"/>
        <v>0</v>
      </c>
      <c r="P260">
        <f ca="1"/>
        <v>23.6229881055324</v>
      </c>
      <c r="Q260">
        <f ca="1"/>
        <v>20.163554700956524</v>
      </c>
      <c r="R260">
        <f ca="1"/>
        <v>0</v>
      </c>
      <c r="S260">
        <f ca="1"/>
        <v>0.8036057755998578</v>
      </c>
      <c r="T260">
        <f ca="1"/>
        <v>0</v>
      </c>
      <c r="U260">
        <f ca="1"/>
        <v>0</v>
      </c>
      <c r="V260">
        <f ca="1"/>
        <v>0.83214975537695079</v>
      </c>
      <c r="X260" s="2">
        <f t="shared" ca="1" si="24"/>
        <v>45624</v>
      </c>
      <c r="Y260">
        <f t="shared" ca="1" si="25"/>
        <v>0</v>
      </c>
      <c r="AA260" s="63">
        <f t="shared" ca="1" si="27"/>
        <v>103.96098340756041</v>
      </c>
      <c r="AB260" s="63">
        <f t="shared" ca="1" si="28"/>
        <v>103.96098340756041</v>
      </c>
      <c r="AC260" s="3">
        <f t="shared" ca="1" si="29"/>
        <v>0</v>
      </c>
    </row>
    <row r="261" spans="8:29">
      <c r="H261" t="b">
        <f t="shared" ca="1" si="26"/>
        <v>0</v>
      </c>
      <c r="I261" t="b">
        <f t="shared" ca="1" si="23"/>
        <v>0</v>
      </c>
      <c r="J261" s="2">
        <f ca="1"/>
        <v>45625</v>
      </c>
      <c r="K261">
        <f ca="1"/>
        <v>102.51531314833716</v>
      </c>
      <c r="L261">
        <f ca="1"/>
        <v>1.3239112701763354</v>
      </c>
      <c r="M261">
        <f ca="1"/>
        <v>4.5113304609188276E-2</v>
      </c>
      <c r="N261">
        <f ca="1"/>
        <v>0.97040211116553909</v>
      </c>
      <c r="O261">
        <f ca="1"/>
        <v>0</v>
      </c>
      <c r="P261">
        <f ca="1"/>
        <v>24.946899375708735</v>
      </c>
      <c r="Q261">
        <f ca="1"/>
        <v>21.293587751650971</v>
      </c>
      <c r="R261">
        <f ca="1"/>
        <v>0</v>
      </c>
      <c r="S261">
        <f ca="1"/>
        <v>0.82632058347669968</v>
      </c>
      <c r="T261">
        <f ca="1"/>
        <v>0</v>
      </c>
      <c r="U261">
        <f ca="1"/>
        <v>0</v>
      </c>
      <c r="V261">
        <f ca="1"/>
        <v>0.85505018767394136</v>
      </c>
      <c r="X261" s="2">
        <f t="shared" ca="1" si="24"/>
        <v>45625</v>
      </c>
      <c r="Y261">
        <f t="shared" ca="1" si="25"/>
        <v>0</v>
      </c>
      <c r="AA261" s="63">
        <f t="shared" ca="1" si="27"/>
        <v>103.8392244185135</v>
      </c>
      <c r="AB261" s="63">
        <f t="shared" ca="1" si="28"/>
        <v>103.8392244185135</v>
      </c>
      <c r="AC261" s="3">
        <f t="shared" ca="1" si="29"/>
        <v>0</v>
      </c>
    </row>
    <row r="262" spans="8:29">
      <c r="H262" t="b">
        <f t="shared" ca="1" si="26"/>
        <v>0</v>
      </c>
      <c r="I262" t="b">
        <f t="shared" ca="1" si="23"/>
        <v>0</v>
      </c>
      <c r="J262" s="2">
        <f ca="1"/>
        <v>45626</v>
      </c>
      <c r="K262">
        <f ca="1"/>
        <v>102.21130996428265</v>
      </c>
      <c r="L262">
        <f ca="1"/>
        <v>1.3635410142905613</v>
      </c>
      <c r="M262">
        <f ca="1"/>
        <v>4.1299224057439687E-2</v>
      </c>
      <c r="N262">
        <f ca="1"/>
        <v>1.0182386061786162</v>
      </c>
      <c r="O262">
        <f ca="1"/>
        <v>0</v>
      </c>
      <c r="P262">
        <f ca="1"/>
        <v>26.310440389999297</v>
      </c>
      <c r="Q262">
        <f ca="1"/>
        <v>22.457447027447099</v>
      </c>
      <c r="R262">
        <f ca="1"/>
        <v>0</v>
      </c>
      <c r="S262">
        <f ca="1"/>
        <v>0.87806859629502165</v>
      </c>
      <c r="T262">
        <f ca="1"/>
        <v>0</v>
      </c>
      <c r="U262">
        <f ca="1"/>
        <v>0</v>
      </c>
      <c r="V262">
        <f ca="1"/>
        <v>0.87490146035415883</v>
      </c>
      <c r="X262" s="2">
        <f t="shared" ca="1" si="24"/>
        <v>45626</v>
      </c>
      <c r="Y262">
        <f t="shared" ca="1" si="25"/>
        <v>0</v>
      </c>
      <c r="AA262" s="63">
        <f t="shared" ca="1" si="27"/>
        <v>103.57485097857321</v>
      </c>
      <c r="AB262" s="63">
        <f t="shared" ca="1" si="28"/>
        <v>103.57485097857321</v>
      </c>
      <c r="AC262" s="3">
        <f t="shared" ca="1" si="29"/>
        <v>0</v>
      </c>
    </row>
    <row r="263" spans="8:29">
      <c r="H263" t="b">
        <f t="shared" ca="1" si="26"/>
        <v>0</v>
      </c>
      <c r="I263" t="b">
        <f t="shared" ca="1" si="23"/>
        <v>0</v>
      </c>
      <c r="J263" s="2">
        <f ca="1"/>
        <v>45627</v>
      </c>
      <c r="K263">
        <f ca="1"/>
        <v>101.77086601244206</v>
      </c>
      <c r="L263">
        <f ca="1"/>
        <v>1.4678027535358105</v>
      </c>
      <c r="M263">
        <f ca="1"/>
        <v>3.917409158569285E-2</v>
      </c>
      <c r="N263">
        <f ca="1"/>
        <v>0.98818471010952669</v>
      </c>
      <c r="O263">
        <f ca="1"/>
        <v>0</v>
      </c>
      <c r="P263">
        <f ca="1"/>
        <v>27.778243143535107</v>
      </c>
      <c r="Q263">
        <f ca="1"/>
        <v>23.71029958695047</v>
      </c>
      <c r="R263">
        <f ca="1"/>
        <v>0</v>
      </c>
      <c r="S263">
        <f ca="1"/>
        <v>0.83851019418791783</v>
      </c>
      <c r="T263">
        <f ca="1"/>
        <v>0</v>
      </c>
      <c r="U263">
        <f ca="1"/>
        <v>0</v>
      </c>
      <c r="V263">
        <f ca="1"/>
        <v>0.8927659725265501</v>
      </c>
      <c r="X263" s="2">
        <f t="shared" ca="1" si="24"/>
        <v>45627</v>
      </c>
      <c r="Y263">
        <f t="shared" ca="1" si="25"/>
        <v>0</v>
      </c>
      <c r="AA263" s="63">
        <f t="shared" ca="1" si="27"/>
        <v>103.23866876597786</v>
      </c>
      <c r="AB263" s="63">
        <f t="shared" ca="1" si="28"/>
        <v>103.23866876597786</v>
      </c>
      <c r="AC263" s="3">
        <f t="shared" ca="1" si="29"/>
        <v>0</v>
      </c>
    </row>
    <row r="264" spans="8:29">
      <c r="H264" t="b">
        <f t="shared" ca="1" si="26"/>
        <v>0</v>
      </c>
      <c r="I264" t="b">
        <f t="shared" ca="1" si="23"/>
        <v>0</v>
      </c>
      <c r="J264" s="2">
        <f ca="1"/>
        <v>45628</v>
      </c>
      <c r="K264">
        <f ca="1"/>
        <v>101.23863896689082</v>
      </c>
      <c r="L264">
        <f ca="1"/>
        <v>1.530692811730141</v>
      </c>
      <c r="M264">
        <f ca="1"/>
        <v>3.6313796356367334E-2</v>
      </c>
      <c r="N264">
        <f ca="1"/>
        <v>0.96215196982253204</v>
      </c>
      <c r="O264">
        <f ca="1"/>
        <v>0</v>
      </c>
      <c r="P264">
        <f ca="1"/>
        <v>29.308935955265248</v>
      </c>
      <c r="Q264">
        <f ca="1"/>
        <v>25.016832363490003</v>
      </c>
      <c r="R264">
        <f ca="1"/>
        <v>0</v>
      </c>
      <c r="S264">
        <f ca="1"/>
        <v>0.82343476291964779</v>
      </c>
      <c r="T264">
        <f ca="1"/>
        <v>0</v>
      </c>
      <c r="U264">
        <f ca="1"/>
        <v>0</v>
      </c>
      <c r="V264">
        <f ca="1"/>
        <v>0.90822942308265275</v>
      </c>
      <c r="X264" s="2">
        <f t="shared" ca="1" si="24"/>
        <v>45628</v>
      </c>
      <c r="Y264">
        <f t="shared" ca="1" si="25"/>
        <v>0</v>
      </c>
      <c r="AA264" s="63">
        <f t="shared" ca="1" si="27"/>
        <v>102.76933177862095</v>
      </c>
      <c r="AB264" s="63">
        <f t="shared" ca="1" si="28"/>
        <v>102.76933177862097</v>
      </c>
      <c r="AC264" s="3">
        <f t="shared" ca="1" si="29"/>
        <v>0</v>
      </c>
    </row>
    <row r="265" spans="8:29">
      <c r="H265" t="b">
        <f t="shared" ca="1" si="26"/>
        <v>0</v>
      </c>
      <c r="I265" t="b">
        <f t="shared" ca="1" si="23"/>
        <v>0</v>
      </c>
      <c r="J265" s="2">
        <f ca="1"/>
        <v>45629</v>
      </c>
      <c r="K265">
        <f ca="1"/>
        <v>100.57597359285656</v>
      </c>
      <c r="L265">
        <f ca="1"/>
        <v>1.687322163611455</v>
      </c>
      <c r="M265">
        <f ca="1"/>
        <v>3.5167711669203072E-2</v>
      </c>
      <c r="N265">
        <f ca="1"/>
        <v>0.98948907790799501</v>
      </c>
      <c r="O265">
        <f ca="1"/>
        <v>0</v>
      </c>
      <c r="P265">
        <f ca="1"/>
        <v>30.996258118876703</v>
      </c>
      <c r="Q265">
        <f ca="1"/>
        <v>26.457057139124885</v>
      </c>
      <c r="R265">
        <f ca="1"/>
        <v>0</v>
      </c>
      <c r="S265">
        <f ca="1"/>
        <v>0.81260251341746059</v>
      </c>
      <c r="T265">
        <f ca="1"/>
        <v>0</v>
      </c>
      <c r="U265">
        <f ca="1"/>
        <v>0</v>
      </c>
      <c r="V265">
        <f ca="1"/>
        <v>0.92225481092277839</v>
      </c>
      <c r="X265" s="2">
        <f t="shared" ca="1" si="24"/>
        <v>45629</v>
      </c>
      <c r="Y265">
        <f t="shared" ca="1" si="25"/>
        <v>0</v>
      </c>
      <c r="AA265" s="63">
        <f t="shared" ca="1" si="27"/>
        <v>102.26329575646801</v>
      </c>
      <c r="AB265" s="63">
        <f t="shared" ca="1" si="28"/>
        <v>102.26329575646801</v>
      </c>
      <c r="AC265" s="3">
        <f t="shared" ca="1" si="29"/>
        <v>0</v>
      </c>
    </row>
    <row r="266" spans="8:29">
      <c r="H266" t="b">
        <f t="shared" ca="1" si="26"/>
        <v>0</v>
      </c>
      <c r="I266" t="b">
        <f t="shared" ca="1" si="23"/>
        <v>0</v>
      </c>
      <c r="J266" s="2">
        <f ca="1"/>
        <v>45630</v>
      </c>
      <c r="K266">
        <f ca="1"/>
        <v>99.792902788069114</v>
      </c>
      <c r="L266">
        <f ca="1"/>
        <v>1.7525722787909572</v>
      </c>
      <c r="M266">
        <f ca="1"/>
        <v>3.2523452964156263E-2</v>
      </c>
      <c r="N266">
        <f ca="1"/>
        <v>0.93697802103935424</v>
      </c>
      <c r="O266">
        <f ca="1"/>
        <v>0</v>
      </c>
      <c r="P266">
        <f ca="1"/>
        <v>32.74883039766766</v>
      </c>
      <c r="Q266">
        <f ca="1"/>
        <v>27.952976573741434</v>
      </c>
      <c r="R266">
        <f ca="1"/>
        <v>0</v>
      </c>
      <c r="S266">
        <f ca="1"/>
        <v>0.77987368878789365</v>
      </c>
      <c r="T266">
        <f ca="1"/>
        <v>0</v>
      </c>
      <c r="U266">
        <f ca="1"/>
        <v>0</v>
      </c>
      <c r="V266">
        <f ca="1"/>
        <v>0.93414766376609171</v>
      </c>
      <c r="X266" s="2">
        <f t="shared" ca="1" si="24"/>
        <v>45630</v>
      </c>
      <c r="Y266">
        <f t="shared" ca="1" si="25"/>
        <v>0</v>
      </c>
      <c r="AA266" s="63">
        <f t="shared" ca="1" si="27"/>
        <v>101.54547506686006</v>
      </c>
      <c r="AB266" s="63">
        <f t="shared" ca="1" si="28"/>
        <v>101.54547506686006</v>
      </c>
      <c r="AC266" s="3">
        <f t="shared" ca="1" si="29"/>
        <v>0</v>
      </c>
    </row>
    <row r="267" spans="8:29">
      <c r="H267" t="b">
        <f t="shared" ca="1" si="26"/>
        <v>0</v>
      </c>
      <c r="I267" t="b">
        <f t="shared" ca="1" si="23"/>
        <v>0</v>
      </c>
      <c r="J267" s="2">
        <f ca="1"/>
        <v>45631</v>
      </c>
      <c r="K267">
        <f ca="1"/>
        <v>98.912797755605339</v>
      </c>
      <c r="L267">
        <f ca="1"/>
        <v>1.8443190491750769</v>
      </c>
      <c r="M267">
        <f ca="1"/>
        <v>3.0485742269263483E-2</v>
      </c>
      <c r="N267">
        <f ca="1"/>
        <v>0.933728274442026</v>
      </c>
      <c r="O267">
        <f ca="1"/>
        <v>0</v>
      </c>
      <c r="P267">
        <f ca="1"/>
        <v>34.593149446842737</v>
      </c>
      <c r="Q267">
        <f ca="1"/>
        <v>29.527207059229784</v>
      </c>
      <c r="R267">
        <f ca="1"/>
        <v>0</v>
      </c>
      <c r="S267">
        <f ca="1"/>
        <v>0.77661697697332432</v>
      </c>
      <c r="T267">
        <f ca="1"/>
        <v>0</v>
      </c>
      <c r="U267">
        <f ca="1"/>
        <v>0</v>
      </c>
      <c r="V267">
        <f ca="1"/>
        <v>0.94433927281906427</v>
      </c>
      <c r="X267" s="2">
        <f t="shared" ca="1" si="24"/>
        <v>45631</v>
      </c>
      <c r="Y267">
        <f t="shared" ca="1" si="25"/>
        <v>0</v>
      </c>
      <c r="AA267" s="63">
        <f t="shared" ca="1" si="27"/>
        <v>100.75711680478041</v>
      </c>
      <c r="AB267" s="63">
        <f t="shared" ca="1" si="28"/>
        <v>100.75711680478042</v>
      </c>
      <c r="AC267" s="3">
        <f t="shared" ca="1" si="29"/>
        <v>0</v>
      </c>
    </row>
    <row r="268" spans="8:29">
      <c r="H268" t="b">
        <f t="shared" ca="1" si="26"/>
        <v>0</v>
      </c>
      <c r="I268" t="b">
        <f t="shared" ref="I268:I331" ca="1" si="30">AND(IF(J268&gt;($J$8-1),TRUE,FALSE),IF(J268&lt;($J$9+1),TRUE,FALSE))</f>
        <v>0</v>
      </c>
      <c r="J268" s="2">
        <f ca="1"/>
        <v>45632</v>
      </c>
      <c r="K268">
        <f ca="1"/>
        <v>97.988332305232177</v>
      </c>
      <c r="L268">
        <f ca="1"/>
        <v>1.8394184903236237</v>
      </c>
      <c r="M268">
        <f ca="1"/>
        <v>2.7539500218978219E-2</v>
      </c>
      <c r="N268">
        <f ca="1"/>
        <v>0.88741353973148129</v>
      </c>
      <c r="O268">
        <f ca="1"/>
        <v>0</v>
      </c>
      <c r="P268">
        <f ca="1"/>
        <v>36.432567937166361</v>
      </c>
      <c r="Q268">
        <f ca="1"/>
        <v>31.097254640928607</v>
      </c>
      <c r="R268">
        <f ca="1"/>
        <v>0</v>
      </c>
      <c r="S268">
        <f ca="1"/>
        <v>0.77250375090206314</v>
      </c>
      <c r="T268">
        <f ca="1"/>
        <v>0</v>
      </c>
      <c r="U268">
        <f ca="1"/>
        <v>0</v>
      </c>
      <c r="V268">
        <f ca="1"/>
        <v>0.95263242799561176</v>
      </c>
      <c r="X268" s="2">
        <f t="shared" ref="X268:X331" ca="1" si="31">IFERROR(J268,$X$10)</f>
        <v>45632</v>
      </c>
      <c r="Y268">
        <f t="shared" ref="Y268:Y331" ca="1" si="32">IFERROR(O268,0)</f>
        <v>0</v>
      </c>
      <c r="AA268" s="63">
        <f t="shared" ca="1" si="27"/>
        <v>99.827750795555801</v>
      </c>
      <c r="AB268" s="63">
        <f t="shared" ca="1" si="28"/>
        <v>99.827750795555801</v>
      </c>
      <c r="AC268" s="3">
        <f t="shared" ca="1" si="29"/>
        <v>0</v>
      </c>
    </row>
    <row r="269" spans="8:29">
      <c r="H269" t="b">
        <f t="shared" ref="H269:H332" ca="1" si="33">IF(J269&lt;$J$9,TRUE,FALSE)</f>
        <v>0</v>
      </c>
      <c r="I269" t="b">
        <f t="shared" ca="1" si="30"/>
        <v>0</v>
      </c>
      <c r="J269" s="2">
        <f ca="1"/>
        <v>45633</v>
      </c>
      <c r="K269">
        <f ca="1"/>
        <v>97.095040129396352</v>
      </c>
      <c r="L269">
        <f ca="1"/>
        <v>1.8150417499707103</v>
      </c>
      <c r="M269">
        <f ca="1"/>
        <v>2.4902784282545554E-2</v>
      </c>
      <c r="N269">
        <f ca="1"/>
        <v>0.89684678985234867</v>
      </c>
      <c r="O269">
        <f ca="1"/>
        <v>0</v>
      </c>
      <c r="P269">
        <f ca="1"/>
        <v>38.247609687137071</v>
      </c>
      <c r="Q269">
        <f ca="1"/>
        <v>32.646495297807377</v>
      </c>
      <c r="R269">
        <f ca="1"/>
        <v>0</v>
      </c>
      <c r="S269">
        <f ca="1"/>
        <v>0.81927041704152792</v>
      </c>
      <c r="T269">
        <f ca="1"/>
        <v>0</v>
      </c>
      <c r="U269">
        <f ca="1"/>
        <v>0</v>
      </c>
      <c r="V269">
        <f ca="1"/>
        <v>0.95936647839124067</v>
      </c>
      <c r="X269" s="2">
        <f t="shared" ca="1" si="31"/>
        <v>45633</v>
      </c>
      <c r="Y269">
        <f t="shared" ca="1" si="32"/>
        <v>0</v>
      </c>
      <c r="AA269" s="63">
        <f t="shared" ca="1" si="27"/>
        <v>98.91008187936707</v>
      </c>
      <c r="AB269" s="63">
        <f t="shared" ca="1" si="28"/>
        <v>98.910081879367056</v>
      </c>
      <c r="AC269" s="3">
        <f t="shared" ca="1" si="29"/>
        <v>0</v>
      </c>
    </row>
    <row r="270" spans="8:29">
      <c r="H270" t="b">
        <f t="shared" ca="1" si="33"/>
        <v>0</v>
      </c>
      <c r="I270" t="b">
        <f t="shared" ca="1" si="30"/>
        <v>0</v>
      </c>
      <c r="J270" s="2">
        <f ca="1"/>
        <v>45634</v>
      </c>
      <c r="K270">
        <f ca="1"/>
        <v>96.013102615066586</v>
      </c>
      <c r="L270">
        <f ca="1"/>
        <v>2.0186850120894491</v>
      </c>
      <c r="M270">
        <f ca="1"/>
        <v>2.4638270909264293E-2</v>
      </c>
      <c r="N270">
        <f ca="1"/>
        <v>0.91210922685041373</v>
      </c>
      <c r="O270">
        <f ca="1"/>
        <v>0</v>
      </c>
      <c r="P270">
        <f ca="1"/>
        <v>40.26629469922652</v>
      </c>
      <c r="Q270">
        <f ca="1"/>
        <v>34.369556981766571</v>
      </c>
      <c r="R270">
        <f ca="1"/>
        <v>0</v>
      </c>
      <c r="S270">
        <f ca="1"/>
        <v>0.79163448035273132</v>
      </c>
      <c r="T270">
        <f ca="1"/>
        <v>0</v>
      </c>
      <c r="U270">
        <f ca="1"/>
        <v>0</v>
      </c>
      <c r="V270">
        <f ca="1"/>
        <v>0.96551806767446891</v>
      </c>
      <c r="X270" s="2">
        <f t="shared" ca="1" si="31"/>
        <v>45634</v>
      </c>
      <c r="Y270">
        <f t="shared" ca="1" si="32"/>
        <v>0</v>
      </c>
      <c r="AA270" s="63">
        <f t="shared" ca="1" si="27"/>
        <v>98.031787627156035</v>
      </c>
      <c r="AB270" s="63">
        <f t="shared" ca="1" si="28"/>
        <v>98.031787627156035</v>
      </c>
      <c r="AC270" s="3">
        <f t="shared" ca="1" si="29"/>
        <v>0</v>
      </c>
    </row>
    <row r="271" spans="8:29">
      <c r="H271" t="b">
        <f t="shared" ca="1" si="33"/>
        <v>0</v>
      </c>
      <c r="I271" t="b">
        <f t="shared" ca="1" si="30"/>
        <v>0</v>
      </c>
      <c r="J271" s="2">
        <f ca="1"/>
        <v>45635</v>
      </c>
      <c r="K271">
        <f ca="1"/>
        <v>94.801766693781403</v>
      </c>
      <c r="L271">
        <f ca="1"/>
        <v>2.2738896909176844</v>
      </c>
      <c r="M271">
        <f ca="1"/>
        <v>2.4629954335267712E-2</v>
      </c>
      <c r="N271">
        <f ca="1"/>
        <v>1.0379238152972319</v>
      </c>
      <c r="O271">
        <f ca="1"/>
        <v>0</v>
      </c>
      <c r="P271">
        <f ca="1"/>
        <v>42.540184390144205</v>
      </c>
      <c r="Q271">
        <f ca="1"/>
        <v>36.310450274432711</v>
      </c>
      <c r="R271">
        <f ca="1"/>
        <v>0</v>
      </c>
      <c r="S271">
        <f ca="1"/>
        <v>0.84162279215836056</v>
      </c>
      <c r="T271">
        <f ca="1"/>
        <v>0</v>
      </c>
      <c r="U271">
        <f ca="1"/>
        <v>0</v>
      </c>
      <c r="V271">
        <f ca="1"/>
        <v>0.97112393766861049</v>
      </c>
      <c r="X271" s="2">
        <f t="shared" ca="1" si="31"/>
        <v>45635</v>
      </c>
      <c r="Y271">
        <f t="shared" ca="1" si="32"/>
        <v>0</v>
      </c>
      <c r="AA271" s="63">
        <f t="shared" ca="1" si="27"/>
        <v>97.075656384699087</v>
      </c>
      <c r="AB271" s="63">
        <f t="shared" ca="1" si="28"/>
        <v>97.075656384699087</v>
      </c>
      <c r="AC271" s="3">
        <f t="shared" ca="1" si="29"/>
        <v>0</v>
      </c>
    </row>
    <row r="272" spans="8:29">
      <c r="H272" t="b">
        <f t="shared" ca="1" si="33"/>
        <v>0</v>
      </c>
      <c r="I272" t="b">
        <f t="shared" ca="1" si="30"/>
        <v>0</v>
      </c>
      <c r="J272" s="2">
        <f ca="1"/>
        <v>45636</v>
      </c>
      <c r="K272">
        <f ca="1"/>
        <v>93.354347271534351</v>
      </c>
      <c r="L272">
        <f ca="1"/>
        <v>2.5560039458088966</v>
      </c>
      <c r="M272">
        <f ca="1"/>
        <v>2.4600962614215405E-2</v>
      </c>
      <c r="N272">
        <f ca="1"/>
        <v>1.0839835609476347</v>
      </c>
      <c r="O272">
        <f ca="1"/>
        <v>0</v>
      </c>
      <c r="P272">
        <f ca="1"/>
        <v>45.096188335953102</v>
      </c>
      <c r="Q272">
        <f ca="1"/>
        <v>38.49214401897251</v>
      </c>
      <c r="R272">
        <f ca="1"/>
        <v>0</v>
      </c>
      <c r="S272">
        <f ca="1"/>
        <v>0.82671847551983324</v>
      </c>
      <c r="T272">
        <f ca="1"/>
        <v>0</v>
      </c>
      <c r="U272">
        <f ca="1"/>
        <v>0</v>
      </c>
      <c r="V272">
        <f ca="1"/>
        <v>0.97613796430466082</v>
      </c>
      <c r="X272" s="2">
        <f t="shared" ca="1" si="31"/>
        <v>45636</v>
      </c>
      <c r="Y272">
        <f t="shared" ca="1" si="32"/>
        <v>0</v>
      </c>
      <c r="AA272" s="63">
        <f t="shared" ca="1" si="27"/>
        <v>95.910351217343248</v>
      </c>
      <c r="AB272" s="63">
        <f t="shared" ca="1" si="28"/>
        <v>95.910351217343248</v>
      </c>
      <c r="AC272" s="3">
        <f t="shared" ca="1" si="29"/>
        <v>0</v>
      </c>
    </row>
    <row r="273" spans="8:29">
      <c r="H273" t="b">
        <f t="shared" ca="1" si="33"/>
        <v>0</v>
      </c>
      <c r="I273" t="b">
        <f t="shared" ca="1" si="30"/>
        <v>0</v>
      </c>
      <c r="J273" s="2">
        <f ca="1"/>
        <v>45637</v>
      </c>
      <c r="K273">
        <f ca="1"/>
        <v>91.822577043793785</v>
      </c>
      <c r="L273">
        <f ca="1"/>
        <v>2.5731749634813923</v>
      </c>
      <c r="M273">
        <f ca="1"/>
        <v>2.2436199063832873E-2</v>
      </c>
      <c r="N273">
        <f ca="1"/>
        <v>1.0189685366769945</v>
      </c>
      <c r="O273">
        <f ca="1"/>
        <v>0</v>
      </c>
      <c r="P273">
        <f ca="1"/>
        <v>47.669363299434494</v>
      </c>
      <c r="Q273">
        <f ca="1"/>
        <v>40.688494197006847</v>
      </c>
      <c r="R273">
        <f ca="1"/>
        <v>0</v>
      </c>
      <c r="S273">
        <f ca="1"/>
        <v>0.81052122844649788</v>
      </c>
      <c r="T273">
        <f ca="1"/>
        <v>0</v>
      </c>
      <c r="U273">
        <f ca="1"/>
        <v>0</v>
      </c>
      <c r="V273">
        <f ca="1"/>
        <v>0.98013837120285485</v>
      </c>
      <c r="X273" s="2">
        <f t="shared" ca="1" si="31"/>
        <v>45637</v>
      </c>
      <c r="Y273">
        <f t="shared" ca="1" si="32"/>
        <v>0</v>
      </c>
      <c r="AA273" s="63">
        <f t="shared" ref="AA273:AA336" ca="1" si="34">K272+M273+N273+O273</f>
        <v>94.395752007275178</v>
      </c>
      <c r="AB273" s="63">
        <f t="shared" ref="AB273:AB336" ca="1" si="35">K273+L273+R273</f>
        <v>94.395752007275178</v>
      </c>
      <c r="AC273" s="3">
        <f t="shared" ref="AC273:AC336" ca="1" si="36">AB273-AA273</f>
        <v>0</v>
      </c>
    </row>
    <row r="274" spans="8:29">
      <c r="H274" t="b">
        <f t="shared" ca="1" si="33"/>
        <v>0</v>
      </c>
      <c r="I274" t="b">
        <f t="shared" ca="1" si="30"/>
        <v>0</v>
      </c>
      <c r="J274" s="2">
        <f ca="1"/>
        <v>45638</v>
      </c>
      <c r="K274">
        <f ca="1"/>
        <v>90.136243134076722</v>
      </c>
      <c r="L274">
        <f ca="1"/>
        <v>2.6722033482743868</v>
      </c>
      <c r="M274">
        <f ca="1"/>
        <v>2.1130268867608493E-2</v>
      </c>
      <c r="N274">
        <f ca="1"/>
        <v>0.9647391696897254</v>
      </c>
      <c r="O274">
        <f ca="1"/>
        <v>0</v>
      </c>
      <c r="P274">
        <f ca="1"/>
        <v>50.341566647708881</v>
      </c>
      <c r="Q274">
        <f ca="1"/>
        <v>42.969370695115522</v>
      </c>
      <c r="R274">
        <f ca="1"/>
        <v>0</v>
      </c>
      <c r="S274">
        <f ca="1"/>
        <v>0.7757818564057003</v>
      </c>
      <c r="T274">
        <f ca="1"/>
        <v>0</v>
      </c>
      <c r="U274">
        <f ca="1"/>
        <v>0</v>
      </c>
      <c r="V274">
        <f ca="1"/>
        <v>0.98344896462158338</v>
      </c>
      <c r="X274" s="2">
        <f t="shared" ca="1" si="31"/>
        <v>45638</v>
      </c>
      <c r="Y274">
        <f t="shared" ca="1" si="32"/>
        <v>0</v>
      </c>
      <c r="AA274" s="63">
        <f t="shared" ca="1" si="34"/>
        <v>92.808446482351115</v>
      </c>
      <c r="AB274" s="63">
        <f t="shared" ca="1" si="35"/>
        <v>92.808446482351115</v>
      </c>
      <c r="AC274" s="3">
        <f t="shared" ca="1" si="36"/>
        <v>0</v>
      </c>
    </row>
    <row r="275" spans="8:29">
      <c r="H275" t="b">
        <f t="shared" ca="1" si="33"/>
        <v>0</v>
      </c>
      <c r="I275" t="b">
        <f t="shared" ca="1" si="30"/>
        <v>0</v>
      </c>
      <c r="J275" s="2">
        <f ca="1"/>
        <v>45639</v>
      </c>
      <c r="K275">
        <f ca="1"/>
        <v>88.396506551353781</v>
      </c>
      <c r="L275">
        <f ca="1"/>
        <v>2.6339479889710233</v>
      </c>
      <c r="M275">
        <f ca="1"/>
        <v>1.9200819066412578E-2</v>
      </c>
      <c r="N275">
        <f ca="1"/>
        <v>0.87501058718166957</v>
      </c>
      <c r="O275">
        <f ca="1"/>
        <v>0</v>
      </c>
      <c r="P275">
        <f ca="1"/>
        <v>52.975514636679904</v>
      </c>
      <c r="Q275">
        <f ca="1"/>
        <v>45.217594083191216</v>
      </c>
      <c r="R275">
        <f ca="1"/>
        <v>0</v>
      </c>
      <c r="S275">
        <f ca="1"/>
        <v>0.74291086547912855</v>
      </c>
      <c r="T275">
        <f ca="1"/>
        <v>0</v>
      </c>
      <c r="U275">
        <f ca="1"/>
        <v>0</v>
      </c>
      <c r="V275">
        <f ca="1"/>
        <v>0.98606809279972429</v>
      </c>
      <c r="X275" s="2">
        <f t="shared" ca="1" si="31"/>
        <v>45639</v>
      </c>
      <c r="Y275">
        <f t="shared" ca="1" si="32"/>
        <v>0</v>
      </c>
      <c r="AA275" s="63">
        <f t="shared" ca="1" si="34"/>
        <v>91.030454540324797</v>
      </c>
      <c r="AB275" s="63">
        <f t="shared" ca="1" si="35"/>
        <v>91.030454540324797</v>
      </c>
      <c r="AC275" s="3">
        <f t="shared" ca="1" si="36"/>
        <v>0</v>
      </c>
    </row>
    <row r="276" spans="8:29">
      <c r="H276" t="b">
        <f t="shared" ca="1" si="33"/>
        <v>0</v>
      </c>
      <c r="I276" t="b">
        <f t="shared" ca="1" si="30"/>
        <v>0</v>
      </c>
      <c r="J276" s="2">
        <f ca="1"/>
        <v>45640</v>
      </c>
      <c r="K276">
        <f ca="1"/>
        <v>86.630406533692394</v>
      </c>
      <c r="L276">
        <f ca="1"/>
        <v>2.640132598006943</v>
      </c>
      <c r="M276">
        <f ca="1"/>
        <v>1.7823516035235798E-2</v>
      </c>
      <c r="N276">
        <f ca="1"/>
        <v>0.85620906431032362</v>
      </c>
      <c r="O276">
        <f ca="1"/>
        <v>0</v>
      </c>
      <c r="P276">
        <f ca="1"/>
        <v>55.615647234686847</v>
      </c>
      <c r="Q276">
        <f ca="1"/>
        <v>47.4710963844189</v>
      </c>
      <c r="R276">
        <f ca="1"/>
        <v>0</v>
      </c>
      <c r="S276">
        <f ca="1"/>
        <v>0.75324136487699489</v>
      </c>
      <c r="T276">
        <f ca="1"/>
        <v>0</v>
      </c>
      <c r="U276">
        <f ca="1"/>
        <v>0</v>
      </c>
      <c r="V276">
        <f ca="1"/>
        <v>0.98819774368721769</v>
      </c>
      <c r="X276" s="2">
        <f t="shared" ca="1" si="31"/>
        <v>45640</v>
      </c>
      <c r="Y276">
        <f t="shared" ca="1" si="32"/>
        <v>0</v>
      </c>
      <c r="AA276" s="63">
        <f t="shared" ca="1" si="34"/>
        <v>89.270539131699337</v>
      </c>
      <c r="AB276" s="63">
        <f t="shared" ca="1" si="35"/>
        <v>89.270539131699337</v>
      </c>
      <c r="AC276" s="3">
        <f t="shared" ca="1" si="36"/>
        <v>0</v>
      </c>
    </row>
    <row r="277" spans="8:29">
      <c r="H277" t="b">
        <f t="shared" ca="1" si="33"/>
        <v>0</v>
      </c>
      <c r="I277" t="b">
        <f t="shared" ca="1" si="30"/>
        <v>0</v>
      </c>
      <c r="J277" s="2">
        <f ca="1"/>
        <v>45641</v>
      </c>
      <c r="K277">
        <f ca="1"/>
        <v>84.517702323542537</v>
      </c>
      <c r="L277">
        <f ca="1"/>
        <v>3.0170907869742223</v>
      </c>
      <c r="M277">
        <f ca="1"/>
        <v>1.832970808590062E-2</v>
      </c>
      <c r="N277">
        <f ca="1"/>
        <v>0.8860568687384619</v>
      </c>
      <c r="O277">
        <f ca="1"/>
        <v>0</v>
      </c>
      <c r="P277">
        <f ca="1"/>
        <v>58.632738021661069</v>
      </c>
      <c r="Q277">
        <f ca="1"/>
        <v>50.046353792547521</v>
      </c>
      <c r="R277">
        <f ca="1"/>
        <v>0</v>
      </c>
      <c r="S277">
        <f ca="1"/>
        <v>0.71773203735696478</v>
      </c>
      <c r="T277">
        <f ca="1"/>
        <v>0</v>
      </c>
      <c r="U277">
        <f ca="1"/>
        <v>0</v>
      </c>
      <c r="V277">
        <f ca="1"/>
        <v>0.99016170192705211</v>
      </c>
      <c r="X277" s="2">
        <f t="shared" ca="1" si="31"/>
        <v>45641</v>
      </c>
      <c r="Y277">
        <f t="shared" ca="1" si="32"/>
        <v>0</v>
      </c>
      <c r="AA277" s="63">
        <f t="shared" ca="1" si="34"/>
        <v>87.534793110516759</v>
      </c>
      <c r="AB277" s="63">
        <f t="shared" ca="1" si="35"/>
        <v>87.534793110516759</v>
      </c>
      <c r="AC277" s="3">
        <f t="shared" ca="1" si="36"/>
        <v>0</v>
      </c>
    </row>
    <row r="278" spans="8:29">
      <c r="H278" t="b">
        <f t="shared" ca="1" si="33"/>
        <v>0</v>
      </c>
      <c r="I278" t="b">
        <f t="shared" ca="1" si="30"/>
        <v>0</v>
      </c>
      <c r="J278" s="2">
        <f ca="1"/>
        <v>45642</v>
      </c>
      <c r="K278">
        <f ca="1"/>
        <v>82.276439308373682</v>
      </c>
      <c r="L278">
        <f ca="1"/>
        <v>3.1523870570598262</v>
      </c>
      <c r="M278">
        <f ca="1"/>
        <v>1.7575390578343786E-2</v>
      </c>
      <c r="N278">
        <f ca="1"/>
        <v>0.89354865131262762</v>
      </c>
      <c r="O278">
        <f ca="1"/>
        <v>0</v>
      </c>
      <c r="P278">
        <f ca="1"/>
        <v>61.785125078720895</v>
      </c>
      <c r="Q278">
        <f ca="1"/>
        <v>52.737094209452145</v>
      </c>
      <c r="R278">
        <f ca="1"/>
        <v>0</v>
      </c>
      <c r="S278">
        <f ca="1"/>
        <v>0.7240943862306789</v>
      </c>
      <c r="T278">
        <f ca="1"/>
        <v>0</v>
      </c>
      <c r="U278">
        <f ca="1"/>
        <v>0</v>
      </c>
      <c r="V278">
        <f ca="1"/>
        <v>0.99180155842553774</v>
      </c>
      <c r="X278" s="2">
        <f t="shared" ca="1" si="31"/>
        <v>45642</v>
      </c>
      <c r="Y278">
        <f t="shared" ca="1" si="32"/>
        <v>0</v>
      </c>
      <c r="AA278" s="63">
        <f t="shared" ca="1" si="34"/>
        <v>85.428826365433508</v>
      </c>
      <c r="AB278" s="63">
        <f t="shared" ca="1" si="35"/>
        <v>85.428826365433508</v>
      </c>
      <c r="AC278" s="3">
        <f t="shared" ca="1" si="36"/>
        <v>0</v>
      </c>
    </row>
    <row r="279" spans="8:29">
      <c r="H279" t="b">
        <f t="shared" ca="1" si="33"/>
        <v>0</v>
      </c>
      <c r="I279" t="b">
        <f t="shared" ca="1" si="30"/>
        <v>0</v>
      </c>
      <c r="J279" s="2">
        <f ca="1"/>
        <v>45643</v>
      </c>
      <c r="K279">
        <f ca="1"/>
        <v>79.766721379077268</v>
      </c>
      <c r="L279">
        <f ca="1"/>
        <v>3.4106734805931609</v>
      </c>
      <c r="M279">
        <f ca="1"/>
        <v>1.7378021188250159E-2</v>
      </c>
      <c r="N279">
        <f ca="1"/>
        <v>0.88357753010849949</v>
      </c>
      <c r="O279">
        <f ca="1"/>
        <v>0</v>
      </c>
      <c r="P279">
        <f ca="1"/>
        <v>65.195798559314056</v>
      </c>
      <c r="Q279">
        <f ca="1"/>
        <v>55.648296678242964</v>
      </c>
      <c r="R279">
        <f ca="1"/>
        <v>0</v>
      </c>
      <c r="S279">
        <f ca="1"/>
        <v>0.69100203222684475</v>
      </c>
      <c r="T279">
        <f ca="1"/>
        <v>0</v>
      </c>
      <c r="U279">
        <f ca="1"/>
        <v>0</v>
      </c>
      <c r="V279">
        <f ca="1"/>
        <v>0.99321436071964442</v>
      </c>
      <c r="X279" s="2">
        <f t="shared" ca="1" si="31"/>
        <v>45643</v>
      </c>
      <c r="Y279">
        <f t="shared" ca="1" si="32"/>
        <v>0</v>
      </c>
      <c r="AA279" s="63">
        <f t="shared" ca="1" si="34"/>
        <v>83.177394859670429</v>
      </c>
      <c r="AB279" s="63">
        <f t="shared" ca="1" si="35"/>
        <v>83.177394859670429</v>
      </c>
      <c r="AC279" s="3">
        <f t="shared" ca="1" si="36"/>
        <v>0</v>
      </c>
    </row>
    <row r="280" spans="8:29">
      <c r="H280" t="b">
        <f t="shared" ca="1" si="33"/>
        <v>0</v>
      </c>
      <c r="I280" t="b">
        <f t="shared" ca="1" si="30"/>
        <v>0</v>
      </c>
      <c r="J280" s="2">
        <f ca="1"/>
        <v>45644</v>
      </c>
      <c r="K280">
        <f ca="1"/>
        <v>77.273626202713814</v>
      </c>
      <c r="L280">
        <f ca="1"/>
        <v>3.424788796003071</v>
      </c>
      <c r="M280">
        <f ca="1"/>
        <v>1.6201709039904699E-2</v>
      </c>
      <c r="N280">
        <f ca="1"/>
        <v>0.91549191059971291</v>
      </c>
      <c r="O280">
        <f ca="1"/>
        <v>0</v>
      </c>
      <c r="P280">
        <f ca="1"/>
        <v>68.620587355317127</v>
      </c>
      <c r="Q280">
        <f ca="1"/>
        <v>58.571547366044747</v>
      </c>
      <c r="R280">
        <f ca="1"/>
        <v>0</v>
      </c>
      <c r="S280">
        <f ca="1"/>
        <v>0.7448390331346143</v>
      </c>
      <c r="T280">
        <f ca="1"/>
        <v>0</v>
      </c>
      <c r="U280">
        <f ca="1"/>
        <v>0</v>
      </c>
      <c r="V280">
        <f ca="1"/>
        <v>0.99434478643610891</v>
      </c>
      <c r="X280" s="2">
        <f t="shared" ca="1" si="31"/>
        <v>45644</v>
      </c>
      <c r="Y280">
        <f t="shared" ca="1" si="32"/>
        <v>0</v>
      </c>
      <c r="AA280" s="63">
        <f t="shared" ca="1" si="34"/>
        <v>80.698414998716885</v>
      </c>
      <c r="AB280" s="63">
        <f t="shared" ca="1" si="35"/>
        <v>80.698414998716885</v>
      </c>
      <c r="AC280" s="3">
        <f t="shared" ca="1" si="36"/>
        <v>0</v>
      </c>
    </row>
    <row r="281" spans="8:29">
      <c r="H281" t="b">
        <f t="shared" ca="1" si="33"/>
        <v>0</v>
      </c>
      <c r="I281" t="b">
        <f t="shared" ca="1" si="30"/>
        <v>0</v>
      </c>
      <c r="J281" s="2">
        <f ca="1"/>
        <v>45645</v>
      </c>
      <c r="K281">
        <f ca="1"/>
        <v>74.831030092241818</v>
      </c>
      <c r="L281">
        <f ca="1"/>
        <v>3.3286677817853132</v>
      </c>
      <c r="M281">
        <f ca="1"/>
        <v>1.4836236945569681E-2</v>
      </c>
      <c r="N281">
        <f ca="1"/>
        <v>0.87123543436774042</v>
      </c>
      <c r="O281">
        <f ca="1"/>
        <v>0</v>
      </c>
      <c r="P281">
        <f ca="1"/>
        <v>71.94925513710244</v>
      </c>
      <c r="Q281">
        <f ca="1"/>
        <v>61.412753338782004</v>
      </c>
      <c r="R281">
        <f ca="1"/>
        <v>0</v>
      </c>
      <c r="S281">
        <f ca="1"/>
        <v>0.75360046649399604</v>
      </c>
      <c r="T281">
        <f ca="1"/>
        <v>0</v>
      </c>
      <c r="U281">
        <f ca="1"/>
        <v>0</v>
      </c>
      <c r="V281">
        <f ca="1"/>
        <v>0.99523099568250006</v>
      </c>
      <c r="X281" s="2">
        <f t="shared" ca="1" si="31"/>
        <v>45645</v>
      </c>
      <c r="Y281">
        <f t="shared" ca="1" si="32"/>
        <v>0</v>
      </c>
      <c r="AA281" s="63">
        <f t="shared" ca="1" si="34"/>
        <v>78.159697874027131</v>
      </c>
      <c r="AB281" s="63">
        <f t="shared" ca="1" si="35"/>
        <v>78.159697874027131</v>
      </c>
      <c r="AC281" s="3">
        <f t="shared" ca="1" si="36"/>
        <v>0</v>
      </c>
    </row>
    <row r="282" spans="8:29">
      <c r="H282" t="b">
        <f t="shared" ca="1" si="33"/>
        <v>0</v>
      </c>
      <c r="I282" t="b">
        <f t="shared" ca="1" si="30"/>
        <v>0</v>
      </c>
      <c r="J282" s="2">
        <f ca="1"/>
        <v>45646</v>
      </c>
      <c r="K282">
        <f ca="1"/>
        <v>72.186287900491692</v>
      </c>
      <c r="L282">
        <f ca="1"/>
        <v>3.4932031923996902</v>
      </c>
      <c r="M282">
        <f ca="1"/>
        <v>1.4487464911439929E-2</v>
      </c>
      <c r="N282">
        <f ca="1"/>
        <v>0.83397353573813127</v>
      </c>
      <c r="O282">
        <f ca="1"/>
        <v>0</v>
      </c>
      <c r="P282">
        <f ca="1"/>
        <v>75.442458329502131</v>
      </c>
      <c r="Q282">
        <f ca="1"/>
        <v>64.394399578319806</v>
      </c>
      <c r="R282">
        <f ca="1"/>
        <v>0</v>
      </c>
      <c r="S282">
        <f ca="1"/>
        <v>0.71321857119930065</v>
      </c>
      <c r="T282">
        <f ca="1"/>
        <v>0</v>
      </c>
      <c r="U282">
        <f ca="1"/>
        <v>0</v>
      </c>
      <c r="V282">
        <f ca="1"/>
        <v>0.99598639753932661</v>
      </c>
      <c r="X282" s="2">
        <f t="shared" ca="1" si="31"/>
        <v>45646</v>
      </c>
      <c r="Y282">
        <f t="shared" ca="1" si="32"/>
        <v>0</v>
      </c>
      <c r="AA282" s="63">
        <f t="shared" ca="1" si="34"/>
        <v>75.679491092891382</v>
      </c>
      <c r="AB282" s="63">
        <f t="shared" ca="1" si="35"/>
        <v>75.679491092891382</v>
      </c>
      <c r="AC282" s="3">
        <f t="shared" ca="1" si="36"/>
        <v>0</v>
      </c>
    </row>
    <row r="283" spans="8:29">
      <c r="H283" t="b">
        <f t="shared" ca="1" si="33"/>
        <v>0</v>
      </c>
      <c r="I283" t="b">
        <f t="shared" ca="1" si="30"/>
        <v>0</v>
      </c>
      <c r="J283" s="2">
        <f ca="1"/>
        <v>45647</v>
      </c>
      <c r="K283">
        <f ca="1"/>
        <v>69.347210937376019</v>
      </c>
      <c r="L283">
        <f ca="1"/>
        <v>3.6466721562663054</v>
      </c>
      <c r="M283">
        <f ca="1"/>
        <v>1.4118644950485759E-2</v>
      </c>
      <c r="N283">
        <f ca="1"/>
        <v>0.79347654820014812</v>
      </c>
      <c r="O283">
        <f ca="1"/>
        <v>0</v>
      </c>
      <c r="P283">
        <f ca="1"/>
        <v>79.089130485768436</v>
      </c>
      <c r="Q283">
        <f ca="1"/>
        <v>67.507040247266787</v>
      </c>
      <c r="R283">
        <f ca="1"/>
        <v>0</v>
      </c>
      <c r="S283">
        <f ca="1"/>
        <v>0.67153076212612373</v>
      </c>
      <c r="T283">
        <f ca="1"/>
        <v>0</v>
      </c>
      <c r="U283">
        <f ca="1"/>
        <v>0</v>
      </c>
      <c r="V283">
        <f ca="1"/>
        <v>0.99662623249216897</v>
      </c>
      <c r="X283" s="2">
        <f t="shared" ca="1" si="31"/>
        <v>45647</v>
      </c>
      <c r="Y283">
        <f t="shared" ca="1" si="32"/>
        <v>0</v>
      </c>
      <c r="AA283" s="63">
        <f t="shared" ca="1" si="34"/>
        <v>72.993883093642324</v>
      </c>
      <c r="AB283" s="63">
        <f t="shared" ca="1" si="35"/>
        <v>72.993883093642324</v>
      </c>
      <c r="AC283" s="3">
        <f t="shared" ca="1" si="36"/>
        <v>0</v>
      </c>
    </row>
    <row r="284" spans="8:29">
      <c r="H284" t="b">
        <f t="shared" ca="1" si="33"/>
        <v>0</v>
      </c>
      <c r="I284" t="b">
        <f t="shared" ca="1" si="30"/>
        <v>0</v>
      </c>
      <c r="J284" s="2">
        <f ca="1"/>
        <v>45648</v>
      </c>
      <c r="K284">
        <f ca="1"/>
        <v>66.138388118168052</v>
      </c>
      <c r="L284">
        <f ca="1"/>
        <v>4.0108960475644295</v>
      </c>
      <c r="M284">
        <f ca="1"/>
        <v>1.4355941852556953E-2</v>
      </c>
      <c r="N284">
        <f ca="1"/>
        <v>0.78771728650390294</v>
      </c>
      <c r="O284">
        <f ca="1"/>
        <v>0</v>
      </c>
      <c r="P284">
        <f ca="1"/>
        <v>83.100026533332866</v>
      </c>
      <c r="Q284">
        <f ca="1"/>
        <v>70.930566580752753</v>
      </c>
      <c r="R284">
        <f ca="1"/>
        <v>0</v>
      </c>
      <c r="S284">
        <f ca="1"/>
        <v>0.62637067925480439</v>
      </c>
      <c r="T284">
        <f ca="1"/>
        <v>0</v>
      </c>
      <c r="U284">
        <f ca="1"/>
        <v>0</v>
      </c>
      <c r="V284">
        <f ca="1"/>
        <v>0.99719381932476414</v>
      </c>
      <c r="X284" s="2">
        <f t="shared" ca="1" si="31"/>
        <v>45648</v>
      </c>
      <c r="Y284">
        <f t="shared" ca="1" si="32"/>
        <v>0</v>
      </c>
      <c r="AA284" s="63">
        <f t="shared" ca="1" si="34"/>
        <v>70.149284165732482</v>
      </c>
      <c r="AB284" s="63">
        <f t="shared" ca="1" si="35"/>
        <v>70.149284165732482</v>
      </c>
      <c r="AC284" s="3">
        <f t="shared" ca="1" si="36"/>
        <v>0</v>
      </c>
    </row>
    <row r="285" spans="8:29">
      <c r="H285" t="b">
        <f t="shared" ca="1" si="33"/>
        <v>0</v>
      </c>
      <c r="I285" t="b">
        <f t="shared" ca="1" si="30"/>
        <v>0</v>
      </c>
      <c r="J285" s="2">
        <f ca="1"/>
        <v>45649</v>
      </c>
      <c r="K285">
        <f ca="1"/>
        <v>62.769676331148872</v>
      </c>
      <c r="L285">
        <f ca="1"/>
        <v>4.1824879466774405</v>
      </c>
      <c r="M285">
        <f ca="1"/>
        <v>1.4005285362188147E-2</v>
      </c>
      <c r="N285">
        <f ca="1"/>
        <v>0.79977087429607097</v>
      </c>
      <c r="O285">
        <f ca="1"/>
        <v>0</v>
      </c>
      <c r="P285">
        <f ca="1"/>
        <v>87.282514480010306</v>
      </c>
      <c r="Q285">
        <f ca="1"/>
        <v>74.5005562925611</v>
      </c>
      <c r="R285">
        <f ca="1"/>
        <v>0</v>
      </c>
      <c r="S285">
        <f ca="1"/>
        <v>0.6342423454605326</v>
      </c>
      <c r="T285">
        <f ca="1"/>
        <v>0</v>
      </c>
      <c r="U285">
        <f ca="1"/>
        <v>0</v>
      </c>
      <c r="V285">
        <f ca="1"/>
        <v>0.99766832452063803</v>
      </c>
      <c r="X285" s="2">
        <f t="shared" ca="1" si="31"/>
        <v>45649</v>
      </c>
      <c r="Y285">
        <f t="shared" ca="1" si="32"/>
        <v>0</v>
      </c>
      <c r="AA285" s="63">
        <f t="shared" ca="1" si="34"/>
        <v>66.952164277826313</v>
      </c>
      <c r="AB285" s="63">
        <f t="shared" ca="1" si="35"/>
        <v>66.952164277826313</v>
      </c>
      <c r="AC285" s="3">
        <f t="shared" ca="1" si="36"/>
        <v>0</v>
      </c>
    </row>
    <row r="286" spans="8:29">
      <c r="H286" t="b">
        <f t="shared" ca="1" si="33"/>
        <v>0</v>
      </c>
      <c r="I286" t="b">
        <f t="shared" ca="1" si="30"/>
        <v>0</v>
      </c>
      <c r="J286" s="2">
        <f ca="1"/>
        <v>45650</v>
      </c>
      <c r="K286">
        <f ca="1"/>
        <v>59.104003079783944</v>
      </c>
      <c r="L286">
        <f ca="1"/>
        <v>4.5275382076037118</v>
      </c>
      <c r="M286">
        <f ca="1"/>
        <v>1.4120383342586251E-2</v>
      </c>
      <c r="N286">
        <f ca="1"/>
        <v>0.84774457289619509</v>
      </c>
      <c r="O286">
        <f ca="1"/>
        <v>0</v>
      </c>
      <c r="P286">
        <f ca="1"/>
        <v>91.810052687614018</v>
      </c>
      <c r="Q286">
        <f ca="1"/>
        <v>78.365065892356725</v>
      </c>
      <c r="R286">
        <f ca="1"/>
        <v>0</v>
      </c>
      <c r="S286">
        <f ca="1"/>
        <v>0.64776226733833842</v>
      </c>
      <c r="T286">
        <f ca="1"/>
        <v>0</v>
      </c>
      <c r="U286">
        <f ca="1"/>
        <v>0</v>
      </c>
      <c r="V286">
        <f ca="1"/>
        <v>0.99807840378292012</v>
      </c>
      <c r="X286" s="2">
        <f t="shared" ca="1" si="31"/>
        <v>45650</v>
      </c>
      <c r="Y286">
        <f t="shared" ca="1" si="32"/>
        <v>0</v>
      </c>
      <c r="AA286" s="63">
        <f t="shared" ca="1" si="34"/>
        <v>63.631541287387655</v>
      </c>
      <c r="AB286" s="63">
        <f t="shared" ca="1" si="35"/>
        <v>63.631541287387655</v>
      </c>
      <c r="AC286" s="3">
        <f t="shared" ca="1" si="36"/>
        <v>0</v>
      </c>
    </row>
    <row r="287" spans="8:29">
      <c r="H287" t="b">
        <f t="shared" ca="1" si="33"/>
        <v>0</v>
      </c>
      <c r="I287" t="b">
        <f t="shared" ca="1" si="30"/>
        <v>0</v>
      </c>
      <c r="J287" s="2">
        <f ca="1"/>
        <v>45651</v>
      </c>
      <c r="K287">
        <f ca="1"/>
        <v>55.048772185233766</v>
      </c>
      <c r="L287">
        <f ca="1"/>
        <v>4.8929676342309136</v>
      </c>
      <c r="M287">
        <f ca="1"/>
        <v>1.4244691819584432E-2</v>
      </c>
      <c r="N287">
        <f ca="1"/>
        <v>0.82349204786115238</v>
      </c>
      <c r="O287">
        <f ca="1"/>
        <v>0</v>
      </c>
      <c r="P287">
        <f ca="1"/>
        <v>96.703020321844932</v>
      </c>
      <c r="Q287">
        <f ca="1"/>
        <v>82.541490149189812</v>
      </c>
      <c r="R287">
        <f ca="1"/>
        <v>0</v>
      </c>
      <c r="S287">
        <f ca="1"/>
        <v>0.59634602771491285</v>
      </c>
      <c r="T287">
        <f ca="1"/>
        <v>0</v>
      </c>
      <c r="U287">
        <f ca="1"/>
        <v>0</v>
      </c>
      <c r="V287">
        <f ca="1"/>
        <v>0.9984292754826426</v>
      </c>
      <c r="X287" s="2">
        <f t="shared" ca="1" si="31"/>
        <v>45651</v>
      </c>
      <c r="Y287">
        <f t="shared" ca="1" si="32"/>
        <v>0</v>
      </c>
      <c r="AA287" s="63">
        <f t="shared" ca="1" si="34"/>
        <v>59.941739819464679</v>
      </c>
      <c r="AB287" s="63">
        <f t="shared" ca="1" si="35"/>
        <v>59.941739819464679</v>
      </c>
      <c r="AC287" s="3">
        <f t="shared" ca="1" si="36"/>
        <v>0</v>
      </c>
    </row>
    <row r="288" spans="8:29">
      <c r="H288" t="b">
        <f t="shared" ca="1" si="33"/>
        <v>0</v>
      </c>
      <c r="I288" t="b">
        <f t="shared" ca="1" si="30"/>
        <v>0</v>
      </c>
      <c r="J288" s="2">
        <f ca="1"/>
        <v>45652</v>
      </c>
      <c r="K288">
        <f ca="1"/>
        <v>50.900530894956567</v>
      </c>
      <c r="L288">
        <f ca="1"/>
        <v>4.919179719456622</v>
      </c>
      <c r="M288">
        <f ca="1"/>
        <v>1.3519674650808611E-2</v>
      </c>
      <c r="N288">
        <f ca="1"/>
        <v>0.75741875452861451</v>
      </c>
      <c r="O288">
        <f ca="1"/>
        <v>0</v>
      </c>
      <c r="P288">
        <f ca="1"/>
        <v>101.62220004130155</v>
      </c>
      <c r="Q288">
        <f ca="1"/>
        <v>86.740287901361995</v>
      </c>
      <c r="R288">
        <f ca="1"/>
        <v>0</v>
      </c>
      <c r="S288">
        <f ca="1"/>
        <v>0.55521337233976664</v>
      </c>
      <c r="T288">
        <f ca="1"/>
        <v>0</v>
      </c>
      <c r="U288">
        <f ca="1"/>
        <v>0</v>
      </c>
      <c r="V288">
        <f ca="1"/>
        <v>0.99870852335276383</v>
      </c>
      <c r="X288" s="2">
        <f t="shared" ca="1" si="31"/>
        <v>45652</v>
      </c>
      <c r="Y288">
        <f t="shared" ca="1" si="32"/>
        <v>0</v>
      </c>
      <c r="AA288" s="63">
        <f t="shared" ca="1" si="34"/>
        <v>55.819710614413189</v>
      </c>
      <c r="AB288" s="63">
        <f t="shared" ca="1" si="35"/>
        <v>55.819710614413189</v>
      </c>
      <c r="AC288" s="3">
        <f t="shared" ca="1" si="36"/>
        <v>0</v>
      </c>
    </row>
    <row r="289" spans="8:29">
      <c r="H289" t="b">
        <f t="shared" ca="1" si="33"/>
        <v>0</v>
      </c>
      <c r="I289" t="b">
        <f t="shared" ca="1" si="30"/>
        <v>0</v>
      </c>
      <c r="J289" s="2">
        <f ca="1"/>
        <v>45653</v>
      </c>
      <c r="K289">
        <f ca="1"/>
        <v>46.743066843973551</v>
      </c>
      <c r="L289">
        <f ca="1"/>
        <v>4.8664990965307027</v>
      </c>
      <c r="M289">
        <f ca="1"/>
        <v>1.2726072319026116E-2</v>
      </c>
      <c r="N289">
        <f ca="1"/>
        <v>0.69630897322866259</v>
      </c>
      <c r="O289">
        <f ca="1"/>
        <v>0</v>
      </c>
      <c r="P289">
        <f ca="1"/>
        <v>106.48869913783226</v>
      </c>
      <c r="Q289">
        <f ca="1"/>
        <v>90.894119766183195</v>
      </c>
      <c r="R289">
        <f ca="1"/>
        <v>0</v>
      </c>
      <c r="S289">
        <f ca="1"/>
        <v>0.52255724567195339</v>
      </c>
      <c r="T289">
        <f ca="1"/>
        <v>0</v>
      </c>
      <c r="U289">
        <f ca="1"/>
        <v>0</v>
      </c>
      <c r="V289">
        <f ca="1"/>
        <v>0.99892935407601768</v>
      </c>
      <c r="X289" s="2">
        <f t="shared" ca="1" si="31"/>
        <v>45653</v>
      </c>
      <c r="Y289">
        <f t="shared" ca="1" si="32"/>
        <v>0</v>
      </c>
      <c r="AA289" s="63">
        <f t="shared" ca="1" si="34"/>
        <v>51.609565940504254</v>
      </c>
      <c r="AB289" s="63">
        <f t="shared" ca="1" si="35"/>
        <v>51.609565940504254</v>
      </c>
      <c r="AC289" s="3">
        <f t="shared" ca="1" si="36"/>
        <v>0</v>
      </c>
    </row>
    <row r="290" spans="8:29">
      <c r="H290" t="b">
        <f t="shared" ca="1" si="33"/>
        <v>0</v>
      </c>
      <c r="I290" t="b">
        <f t="shared" ca="1" si="30"/>
        <v>0</v>
      </c>
      <c r="J290" s="2">
        <f ca="1"/>
        <v>45654</v>
      </c>
      <c r="K290">
        <f ca="1"/>
        <v>42.411923414628227</v>
      </c>
      <c r="L290">
        <f ca="1"/>
        <v>5.053959241311901</v>
      </c>
      <c r="M290">
        <f ca="1"/>
        <v>1.2524522944275418E-2</v>
      </c>
      <c r="N290">
        <f ca="1"/>
        <v>0.7102912890223011</v>
      </c>
      <c r="O290">
        <f ca="1"/>
        <v>0</v>
      </c>
      <c r="P290">
        <f ca="1"/>
        <v>111.54265837914416</v>
      </c>
      <c r="Q290">
        <f ca="1"/>
        <v>95.207959453328058</v>
      </c>
      <c r="R290">
        <f ca="1"/>
        <v>0</v>
      </c>
      <c r="S290">
        <f ca="1"/>
        <v>0.53230600718473098</v>
      </c>
      <c r="T290">
        <f ca="1"/>
        <v>0</v>
      </c>
      <c r="U290">
        <f ca="1"/>
        <v>0</v>
      </c>
      <c r="V290">
        <f ca="1"/>
        <v>0.99911370503063301</v>
      </c>
      <c r="X290" s="2">
        <f t="shared" ca="1" si="31"/>
        <v>45654</v>
      </c>
      <c r="Y290">
        <f t="shared" ca="1" si="32"/>
        <v>0</v>
      </c>
      <c r="AA290" s="63">
        <f t="shared" ca="1" si="34"/>
        <v>47.465882655940128</v>
      </c>
      <c r="AB290" s="63">
        <f t="shared" ca="1" si="35"/>
        <v>47.465882655940128</v>
      </c>
      <c r="AC290" s="3">
        <f t="shared" ca="1" si="36"/>
        <v>0</v>
      </c>
    </row>
    <row r="291" spans="8:29">
      <c r="H291" t="b">
        <f t="shared" ca="1" si="33"/>
        <v>0</v>
      </c>
      <c r="I291" t="b">
        <f t="shared" ca="1" si="30"/>
        <v>0</v>
      </c>
      <c r="J291" s="2">
        <f ca="1"/>
        <v>45655</v>
      </c>
      <c r="K291">
        <f ca="1"/>
        <v>37.95639049254099</v>
      </c>
      <c r="L291">
        <f ca="1"/>
        <v>5.1803583232684502</v>
      </c>
      <c r="M291">
        <f ca="1"/>
        <v>1.2219896849018141E-2</v>
      </c>
      <c r="N291">
        <f ca="1"/>
        <v>0.71260550433219405</v>
      </c>
      <c r="O291">
        <f ca="1"/>
        <v>0</v>
      </c>
      <c r="P291">
        <f ca="1"/>
        <v>116.72301670241261</v>
      </c>
      <c r="Q291">
        <f ca="1"/>
        <v>99.629687896619956</v>
      </c>
      <c r="R291">
        <f ca="1"/>
        <v>0</v>
      </c>
      <c r="S291">
        <f ca="1"/>
        <v>0.53768479918086043</v>
      </c>
      <c r="T291">
        <f ca="1"/>
        <v>0</v>
      </c>
      <c r="U291">
        <f ca="1"/>
        <v>0</v>
      </c>
      <c r="V291">
        <f ca="1"/>
        <v>0.99926576327277894</v>
      </c>
      <c r="X291" s="2">
        <f t="shared" ca="1" si="31"/>
        <v>45655</v>
      </c>
      <c r="Y291">
        <f t="shared" ca="1" si="32"/>
        <v>0</v>
      </c>
      <c r="AA291" s="63">
        <f t="shared" ca="1" si="34"/>
        <v>43.13674881580944</v>
      </c>
      <c r="AB291" s="63">
        <f t="shared" ca="1" si="35"/>
        <v>43.13674881580944</v>
      </c>
      <c r="AC291" s="3">
        <f t="shared" ca="1" si="36"/>
        <v>0</v>
      </c>
    </row>
    <row r="292" spans="8:29">
      <c r="H292" t="b">
        <f t="shared" ca="1" si="33"/>
        <v>0</v>
      </c>
      <c r="I292" t="b">
        <f t="shared" ca="1" si="30"/>
        <v>0</v>
      </c>
      <c r="J292" s="2">
        <f ca="1"/>
        <v>45656</v>
      </c>
      <c r="K292">
        <f ca="1"/>
        <v>33.511855879101113</v>
      </c>
      <c r="L292">
        <f ca="1"/>
        <v>5.1621528712100684</v>
      </c>
      <c r="M292">
        <f ca="1"/>
        <v>1.1683905546831852E-2</v>
      </c>
      <c r="N292">
        <f ca="1"/>
        <v>0.70593435222335943</v>
      </c>
      <c r="O292">
        <f ca="1"/>
        <v>0</v>
      </c>
      <c r="P292">
        <f ca="1"/>
        <v>121.88516957362268</v>
      </c>
      <c r="Q292">
        <f ca="1"/>
        <v>104.0358769582386</v>
      </c>
      <c r="R292">
        <f ca="1"/>
        <v>0</v>
      </c>
      <c r="S292">
        <f ca="1"/>
        <v>0.55175797525579418</v>
      </c>
      <c r="T292">
        <f ca="1"/>
        <v>0</v>
      </c>
      <c r="U292">
        <f ca="1"/>
        <v>0</v>
      </c>
      <c r="V292">
        <f ca="1"/>
        <v>0.99938831876324752</v>
      </c>
      <c r="X292" s="2">
        <f t="shared" ca="1" si="31"/>
        <v>45656</v>
      </c>
      <c r="Y292">
        <f t="shared" ca="1" si="32"/>
        <v>0</v>
      </c>
      <c r="AA292" s="63">
        <f t="shared" ca="1" si="34"/>
        <v>38.674008750311181</v>
      </c>
      <c r="AB292" s="63">
        <f t="shared" ca="1" si="35"/>
        <v>38.674008750311181</v>
      </c>
      <c r="AC292" s="3">
        <f t="shared" ca="1" si="36"/>
        <v>0</v>
      </c>
    </row>
    <row r="293" spans="8:29">
      <c r="H293" t="b">
        <f t="shared" ca="1" si="33"/>
        <v>0</v>
      </c>
      <c r="I293" t="b">
        <f t="shared" ca="1" si="30"/>
        <v>0</v>
      </c>
      <c r="J293" s="2">
        <f ca="1"/>
        <v>45657</v>
      </c>
      <c r="K293">
        <f ca="1"/>
        <v>29.379576151355828</v>
      </c>
      <c r="L293">
        <f ca="1"/>
        <v>4.7384586652710539</v>
      </c>
      <c r="M293">
        <f ca="1"/>
        <v>1.0479634418615547E-2</v>
      </c>
      <c r="N293">
        <f ca="1"/>
        <v>0.59569930310715347</v>
      </c>
      <c r="O293">
        <f ca="1"/>
        <v>0</v>
      </c>
      <c r="P293">
        <f ca="1"/>
        <v>126.62362823889373</v>
      </c>
      <c r="Q293">
        <f ca="1"/>
        <v>108.08041908257039</v>
      </c>
      <c r="R293">
        <f ca="1"/>
        <v>0</v>
      </c>
      <c r="S293">
        <f ca="1"/>
        <v>0.49656045986734859</v>
      </c>
      <c r="T293">
        <f ca="1"/>
        <v>0</v>
      </c>
      <c r="U293">
        <f ca="1"/>
        <v>0</v>
      </c>
      <c r="V293">
        <f ca="1"/>
        <v>0.99948070293371349</v>
      </c>
      <c r="X293" s="2">
        <f t="shared" ca="1" si="31"/>
        <v>45657</v>
      </c>
      <c r="Y293">
        <f t="shared" ca="1" si="32"/>
        <v>0</v>
      </c>
      <c r="AA293" s="63">
        <f t="shared" ca="1" si="34"/>
        <v>34.118034816626881</v>
      </c>
      <c r="AB293" s="63">
        <f t="shared" ca="1" si="35"/>
        <v>34.118034816626881</v>
      </c>
      <c r="AC293" s="3">
        <f t="shared" ca="1" si="36"/>
        <v>0</v>
      </c>
    </row>
    <row r="294" spans="8:29">
      <c r="H294" t="b">
        <f t="shared" ca="1" si="33"/>
        <v>0</v>
      </c>
      <c r="I294" t="b">
        <f t="shared" ca="1" si="30"/>
        <v>0</v>
      </c>
      <c r="J294" s="2">
        <f ca="1"/>
        <v>45658</v>
      </c>
      <c r="K294">
        <f ca="1"/>
        <v>24.12518593925591</v>
      </c>
      <c r="L294">
        <f ca="1"/>
        <v>5.9752043841709508</v>
      </c>
      <c r="M294">
        <f ca="1"/>
        <v>1.1872063451889403E-2</v>
      </c>
      <c r="N294">
        <f ca="1"/>
        <v>0.7089421086191442</v>
      </c>
      <c r="O294">
        <f ca="1"/>
        <v>0</v>
      </c>
      <c r="P294">
        <f ca="1"/>
        <v>132.59883262306468</v>
      </c>
      <c r="Q294">
        <f ca="1"/>
        <v>113.18059353600501</v>
      </c>
      <c r="R294">
        <f ca="1"/>
        <v>0</v>
      </c>
      <c r="S294">
        <f ca="1"/>
        <v>0.483849786871067</v>
      </c>
      <c r="T294">
        <f ca="1"/>
        <v>0</v>
      </c>
      <c r="U294">
        <f ca="1"/>
        <v>0</v>
      </c>
      <c r="V294">
        <f ca="1"/>
        <v>0.99957556595055963</v>
      </c>
      <c r="X294" s="2">
        <f t="shared" ca="1" si="31"/>
        <v>45658</v>
      </c>
      <c r="Y294">
        <f t="shared" ca="1" si="32"/>
        <v>0</v>
      </c>
      <c r="AA294" s="63">
        <f t="shared" ca="1" si="34"/>
        <v>30.100390323426861</v>
      </c>
      <c r="AB294" s="63">
        <f t="shared" ca="1" si="35"/>
        <v>30.100390323426861</v>
      </c>
      <c r="AC294" s="3">
        <f t="shared" ca="1" si="36"/>
        <v>0</v>
      </c>
    </row>
    <row r="295" spans="8:29">
      <c r="H295" t="b">
        <f t="shared" ca="1" si="33"/>
        <v>0</v>
      </c>
      <c r="I295" t="b">
        <f t="shared" ca="1" si="30"/>
        <v>0</v>
      </c>
      <c r="J295" s="2">
        <f ca="1"/>
        <v>45659</v>
      </c>
      <c r="K295">
        <f ca="1"/>
        <v>18.48611255428402</v>
      </c>
      <c r="L295">
        <f ca="1"/>
        <v>6.3791129980135111</v>
      </c>
      <c r="M295">
        <f ca="1"/>
        <v>1.1839157125677957E-2</v>
      </c>
      <c r="N295">
        <f ca="1"/>
        <v>0.72820045591594385</v>
      </c>
      <c r="O295">
        <f ca="1"/>
        <v>0</v>
      </c>
      <c r="P295">
        <f ca="1"/>
        <v>138.97794562107819</v>
      </c>
      <c r="Q295">
        <f ca="1"/>
        <v>118.62552680627596</v>
      </c>
      <c r="R295">
        <f ca="1"/>
        <v>0</v>
      </c>
      <c r="S295">
        <f ca="1"/>
        <v>0.47342282653248685</v>
      </c>
      <c r="T295">
        <f ca="1"/>
        <v>0</v>
      </c>
      <c r="U295">
        <f ca="1"/>
        <v>0</v>
      </c>
      <c r="V295">
        <f ca="1"/>
        <v>0.9996560207819648</v>
      </c>
      <c r="X295" s="2">
        <f t="shared" ca="1" si="31"/>
        <v>45659</v>
      </c>
      <c r="Y295">
        <f t="shared" ca="1" si="32"/>
        <v>0</v>
      </c>
      <c r="AA295" s="63">
        <f t="shared" ca="1" si="34"/>
        <v>24.865225552297531</v>
      </c>
      <c r="AB295" s="63">
        <f t="shared" ca="1" si="35"/>
        <v>24.865225552297531</v>
      </c>
      <c r="AC295" s="3">
        <f t="shared" ca="1" si="36"/>
        <v>0</v>
      </c>
    </row>
    <row r="296" spans="8:29">
      <c r="H296" t="b">
        <f t="shared" ca="1" si="33"/>
        <v>0</v>
      </c>
      <c r="I296" t="b">
        <f t="shared" ca="1" si="30"/>
        <v>0</v>
      </c>
      <c r="J296" s="2">
        <f ca="1"/>
        <v>45660</v>
      </c>
      <c r="K296">
        <f ca="1"/>
        <v>12.731303985199052</v>
      </c>
      <c r="L296">
        <f ca="1"/>
        <v>6.545784312382068</v>
      </c>
      <c r="M296">
        <f ca="1"/>
        <v>1.2310295377048419E-2</v>
      </c>
      <c r="N296">
        <f ca="1"/>
        <v>0.77866544792005188</v>
      </c>
      <c r="O296">
        <f ca="1"/>
        <v>0</v>
      </c>
      <c r="P296">
        <f ca="1"/>
        <v>145.52372993346026</v>
      </c>
      <c r="Q296">
        <f ca="1"/>
        <v>124.21272345784892</v>
      </c>
      <c r="R296">
        <f ca="1"/>
        <v>0</v>
      </c>
      <c r="S296">
        <f ca="1"/>
        <v>0.52216073366167859</v>
      </c>
      <c r="T296">
        <f ca="1"/>
        <v>0</v>
      </c>
      <c r="U296">
        <f ca="1"/>
        <v>0</v>
      </c>
      <c r="V296">
        <f ca="1"/>
        <v>0.99972140322839154</v>
      </c>
      <c r="X296" s="2">
        <f t="shared" ca="1" si="31"/>
        <v>45660</v>
      </c>
      <c r="Y296">
        <f t="shared" ca="1" si="32"/>
        <v>0</v>
      </c>
      <c r="AA296" s="63">
        <f t="shared" ca="1" si="34"/>
        <v>19.27708829758112</v>
      </c>
      <c r="AB296" s="63">
        <f t="shared" ca="1" si="35"/>
        <v>19.27708829758112</v>
      </c>
      <c r="AC296" s="3">
        <f t="shared" ca="1" si="36"/>
        <v>0</v>
      </c>
    </row>
    <row r="297" spans="8:29">
      <c r="H297" t="b">
        <f t="shared" ca="1" si="33"/>
        <v>0</v>
      </c>
      <c r="I297" t="b">
        <f t="shared" ca="1" si="30"/>
        <v>0</v>
      </c>
      <c r="J297" s="2">
        <f ca="1"/>
        <v>45661</v>
      </c>
      <c r="K297">
        <f ca="1"/>
        <v>7.4778766902520406</v>
      </c>
      <c r="L297">
        <f ca="1"/>
        <v>5.9378140786187998</v>
      </c>
      <c r="M297">
        <f ca="1"/>
        <v>1.0866270459345628E-2</v>
      </c>
      <c r="N297">
        <f ca="1"/>
        <v>0.67352051321244311</v>
      </c>
      <c r="O297">
        <f ca="1"/>
        <v>0</v>
      </c>
      <c r="P297">
        <f ca="1"/>
        <v>151.46154401207906</v>
      </c>
      <c r="Q297">
        <f ca="1"/>
        <v>129.28098317349009</v>
      </c>
      <c r="R297">
        <f ca="1"/>
        <v>0</v>
      </c>
      <c r="S297">
        <f ca="1"/>
        <v>0.4979074777696908</v>
      </c>
      <c r="T297">
        <f ca="1"/>
        <v>0</v>
      </c>
      <c r="U297">
        <f ca="1"/>
        <v>0</v>
      </c>
      <c r="V297">
        <f ca="1"/>
        <v>0.9997690446870654</v>
      </c>
      <c r="X297" s="2">
        <f t="shared" ca="1" si="31"/>
        <v>45661</v>
      </c>
      <c r="Y297">
        <f t="shared" ca="1" si="32"/>
        <v>0</v>
      </c>
      <c r="AA297" s="63">
        <f t="shared" ca="1" si="34"/>
        <v>13.41569076887084</v>
      </c>
      <c r="AB297" s="63">
        <f t="shared" ca="1" si="35"/>
        <v>13.41569076887084</v>
      </c>
      <c r="AC297" s="3">
        <f t="shared" ca="1" si="36"/>
        <v>0</v>
      </c>
    </row>
    <row r="298" spans="8:29">
      <c r="H298" t="b">
        <f t="shared" ca="1" si="33"/>
        <v>0</v>
      </c>
      <c r="I298" t="b">
        <f t="shared" ca="1" si="30"/>
        <v>0</v>
      </c>
      <c r="J298" s="2">
        <f ca="1"/>
        <v>45662</v>
      </c>
      <c r="K298">
        <f ca="1"/>
        <v>2.3830706111567768</v>
      </c>
      <c r="L298">
        <f ca="1"/>
        <v>5.7429621796406707</v>
      </c>
      <c r="M298">
        <f ca="1"/>
        <v>1.0141754063482722E-2</v>
      </c>
      <c r="N298">
        <f ca="1"/>
        <v>0.63801434648192379</v>
      </c>
      <c r="O298">
        <f ca="1"/>
        <v>0</v>
      </c>
      <c r="P298">
        <f ca="1"/>
        <v>157.20450619171973</v>
      </c>
      <c r="Q298">
        <f ca="1"/>
        <v>134.18292578707459</v>
      </c>
      <c r="R298">
        <f ca="1"/>
        <v>0</v>
      </c>
      <c r="S298">
        <f ca="1"/>
        <v>0.49129941973200764</v>
      </c>
      <c r="T298">
        <f ca="1"/>
        <v>0</v>
      </c>
      <c r="U298">
        <f ca="1"/>
        <v>0</v>
      </c>
      <c r="V298">
        <f ca="1"/>
        <v>0.99980679729699184</v>
      </c>
      <c r="X298" s="2">
        <f t="shared" ca="1" si="31"/>
        <v>45662</v>
      </c>
      <c r="Y298">
        <f t="shared" ca="1" si="32"/>
        <v>0</v>
      </c>
      <c r="AA298" s="63">
        <f t="shared" ca="1" si="34"/>
        <v>8.1260327907974474</v>
      </c>
      <c r="AB298" s="63">
        <f t="shared" ca="1" si="35"/>
        <v>8.1260327907974474</v>
      </c>
      <c r="AC298" s="3">
        <f t="shared" ca="1" si="36"/>
        <v>0</v>
      </c>
    </row>
    <row r="299" spans="8:29">
      <c r="H299" t="b">
        <f t="shared" ca="1" si="33"/>
        <v>0</v>
      </c>
      <c r="I299" t="b">
        <f t="shared" ca="1" si="30"/>
        <v>0</v>
      </c>
      <c r="J299" s="2">
        <f ca="1"/>
        <v>45663</v>
      </c>
      <c r="K299">
        <f ca="1"/>
        <v>-3.3902290375747697</v>
      </c>
      <c r="L299">
        <f ca="1"/>
        <v>6.4459895556626918</v>
      </c>
      <c r="M299">
        <f ca="1"/>
        <v>9.9204088758142461E-3</v>
      </c>
      <c r="N299">
        <f ca="1"/>
        <v>0.66276949805533114</v>
      </c>
      <c r="O299">
        <f ca="1"/>
        <v>0</v>
      </c>
      <c r="P299">
        <f ca="1"/>
        <v>163.65049574738242</v>
      </c>
      <c r="Q299">
        <f ca="1"/>
        <v>139.68494197684524</v>
      </c>
      <c r="R299">
        <f ca="1"/>
        <v>0</v>
      </c>
      <c r="S299">
        <f ca="1"/>
        <v>0.44839675458963041</v>
      </c>
      <c r="T299">
        <f ca="1"/>
        <v>0</v>
      </c>
      <c r="U299">
        <f ca="1"/>
        <v>0</v>
      </c>
      <c r="V299">
        <f ca="1"/>
        <v>0.99984140762570661</v>
      </c>
      <c r="X299" s="2">
        <f t="shared" ca="1" si="31"/>
        <v>45663</v>
      </c>
      <c r="Y299">
        <f t="shared" ca="1" si="32"/>
        <v>0</v>
      </c>
      <c r="AA299" s="63">
        <f t="shared" ca="1" si="34"/>
        <v>3.0557605180879222</v>
      </c>
      <c r="AB299" s="63">
        <f t="shared" ca="1" si="35"/>
        <v>3.0557605180879222</v>
      </c>
      <c r="AC299" s="3">
        <f t="shared" ca="1" si="36"/>
        <v>0</v>
      </c>
    </row>
    <row r="300" spans="8:29">
      <c r="H300" t="b">
        <f t="shared" ca="1" si="33"/>
        <v>0</v>
      </c>
      <c r="I300" t="b">
        <f t="shared" ca="1" si="30"/>
        <v>0</v>
      </c>
      <c r="J300" s="2">
        <f ca="1"/>
        <v>45664</v>
      </c>
      <c r="K300">
        <f ca="1"/>
        <v>-8.9591831565077307</v>
      </c>
      <c r="L300">
        <f ca="1"/>
        <v>6.2059427901742481</v>
      </c>
      <c r="M300">
        <f ca="1"/>
        <v>9.2713452544899155E-3</v>
      </c>
      <c r="N300">
        <f ca="1"/>
        <v>0.62771732598679764</v>
      </c>
      <c r="O300">
        <f ca="1"/>
        <v>0</v>
      </c>
      <c r="P300">
        <f ca="1"/>
        <v>169.85643853755667</v>
      </c>
      <c r="Q300">
        <f ca="1"/>
        <v>144.98206469314459</v>
      </c>
      <c r="R300">
        <f ca="1"/>
        <v>0</v>
      </c>
      <c r="S300">
        <f ca="1"/>
        <v>0.44384386706678475</v>
      </c>
      <c r="T300">
        <f ca="1"/>
        <v>0</v>
      </c>
      <c r="U300">
        <f ca="1"/>
        <v>0</v>
      </c>
      <c r="V300">
        <f ca="1"/>
        <v>0.99986853042346047</v>
      </c>
      <c r="X300" s="2">
        <f t="shared" ca="1" si="31"/>
        <v>45664</v>
      </c>
      <c r="Y300">
        <f t="shared" ca="1" si="32"/>
        <v>0</v>
      </c>
      <c r="AA300" s="63">
        <f t="shared" ca="1" si="34"/>
        <v>-2.7532403663334821</v>
      </c>
      <c r="AB300" s="63">
        <f t="shared" ca="1" si="35"/>
        <v>-2.7532403663334826</v>
      </c>
      <c r="AC300" s="3">
        <f t="shared" ca="1" si="36"/>
        <v>0</v>
      </c>
    </row>
    <row r="301" spans="8:29">
      <c r="H301" t="b">
        <f t="shared" ca="1" si="33"/>
        <v>0</v>
      </c>
      <c r="I301" t="b">
        <f t="shared" ca="1" si="30"/>
        <v>0</v>
      </c>
      <c r="J301" s="2">
        <f ca="1"/>
        <v>45665</v>
      </c>
      <c r="K301">
        <f ca="1"/>
        <v>-14.809597293850924</v>
      </c>
      <c r="L301">
        <f ca="1"/>
        <v>6.5003205394207839</v>
      </c>
      <c r="M301">
        <f ca="1"/>
        <v>9.2165905176955221E-3</v>
      </c>
      <c r="N301">
        <f ca="1"/>
        <v>0.64068981155989491</v>
      </c>
      <c r="O301">
        <f ca="1"/>
        <v>0</v>
      </c>
      <c r="P301">
        <f ca="1"/>
        <v>176.35675907697745</v>
      </c>
      <c r="Q301">
        <f ca="1"/>
        <v>150.53045544645775</v>
      </c>
      <c r="R301">
        <f ca="1"/>
        <v>0</v>
      </c>
      <c r="S301">
        <f ca="1"/>
        <v>0.43394926752694829</v>
      </c>
      <c r="T301">
        <f ca="1"/>
        <v>0</v>
      </c>
      <c r="U301">
        <f ca="1"/>
        <v>0</v>
      </c>
      <c r="V301">
        <f ca="1"/>
        <v>0.99989174518302049</v>
      </c>
      <c r="X301" s="2">
        <f t="shared" ca="1" si="31"/>
        <v>45665</v>
      </c>
      <c r="Y301">
        <f t="shared" ca="1" si="32"/>
        <v>0</v>
      </c>
      <c r="AA301" s="63">
        <f t="shared" ca="1" si="34"/>
        <v>-8.3092767544301402</v>
      </c>
      <c r="AB301" s="63">
        <f t="shared" ca="1" si="35"/>
        <v>-8.3092767544301402</v>
      </c>
      <c r="AC301" s="3">
        <f t="shared" ca="1" si="36"/>
        <v>0</v>
      </c>
    </row>
    <row r="302" spans="8:29">
      <c r="H302" t="b">
        <f t="shared" ca="1" si="33"/>
        <v>0</v>
      </c>
      <c r="I302" t="b">
        <f t="shared" ca="1" si="30"/>
        <v>0</v>
      </c>
      <c r="J302" s="2">
        <f ca="1"/>
        <v>45666</v>
      </c>
      <c r="K302">
        <f ca="1"/>
        <v>-20.554723513873469</v>
      </c>
      <c r="L302">
        <f ca="1"/>
        <v>6.3438925202804057</v>
      </c>
      <c r="M302">
        <f ca="1"/>
        <v>8.0530179756408415E-3</v>
      </c>
      <c r="N302">
        <f ca="1"/>
        <v>0.59071328228222175</v>
      </c>
      <c r="O302">
        <f ca="1"/>
        <v>0</v>
      </c>
      <c r="P302">
        <f ca="1"/>
        <v>182.70065159725786</v>
      </c>
      <c r="Q302">
        <f ca="1"/>
        <v>155.94532604954227</v>
      </c>
      <c r="R302">
        <f ca="1"/>
        <v>0</v>
      </c>
      <c r="S302">
        <f ca="1"/>
        <v>0.39489982539092683</v>
      </c>
      <c r="T302">
        <f ca="1"/>
        <v>0</v>
      </c>
      <c r="U302">
        <f ca="1"/>
        <v>0</v>
      </c>
      <c r="V302">
        <f ca="1"/>
        <v>0.99991028796985792</v>
      </c>
      <c r="X302" s="2">
        <f t="shared" ca="1" si="31"/>
        <v>45666</v>
      </c>
      <c r="Y302">
        <f t="shared" ca="1" si="32"/>
        <v>0</v>
      </c>
      <c r="AA302" s="63">
        <f t="shared" ca="1" si="34"/>
        <v>-14.210830993593062</v>
      </c>
      <c r="AB302" s="63">
        <f t="shared" ca="1" si="35"/>
        <v>-14.210830993593063</v>
      </c>
      <c r="AC302" s="3">
        <f t="shared" ca="1" si="36"/>
        <v>0</v>
      </c>
    </row>
    <row r="303" spans="8:29">
      <c r="H303" t="b">
        <f t="shared" ca="1" si="33"/>
        <v>0</v>
      </c>
      <c r="I303" t="b">
        <f t="shared" ca="1" si="30"/>
        <v>0</v>
      </c>
      <c r="J303" s="2">
        <f ca="1"/>
        <v>45667</v>
      </c>
      <c r="K303">
        <f ca="1"/>
        <v>-26.647701297195081</v>
      </c>
      <c r="L303">
        <f ca="1"/>
        <v>6.6981715594526463</v>
      </c>
      <c r="M303">
        <f ca="1"/>
        <v>7.7291032535811155E-3</v>
      </c>
      <c r="N303">
        <f ca="1"/>
        <v>0.59746467287745231</v>
      </c>
      <c r="O303">
        <f ca="1"/>
        <v>0</v>
      </c>
      <c r="P303">
        <f ca="1"/>
        <v>189.39882315671051</v>
      </c>
      <c r="Q303">
        <f ca="1"/>
        <v>161.66259382413784</v>
      </c>
      <c r="R303">
        <f ca="1"/>
        <v>0</v>
      </c>
      <c r="S303">
        <f ca="1"/>
        <v>0.36816199869439536</v>
      </c>
      <c r="T303">
        <f ca="1"/>
        <v>0</v>
      </c>
      <c r="U303">
        <f ca="1"/>
        <v>0</v>
      </c>
      <c r="V303">
        <f ca="1"/>
        <v>0.99992632580629848</v>
      </c>
      <c r="X303" s="2">
        <f t="shared" ca="1" si="31"/>
        <v>45667</v>
      </c>
      <c r="Y303">
        <f t="shared" ca="1" si="32"/>
        <v>0</v>
      </c>
      <c r="AA303" s="63">
        <f t="shared" ca="1" si="34"/>
        <v>-19.949529737742434</v>
      </c>
      <c r="AB303" s="63">
        <f t="shared" ca="1" si="35"/>
        <v>-19.949529737742434</v>
      </c>
      <c r="AC303" s="3">
        <f t="shared" ca="1" si="36"/>
        <v>0</v>
      </c>
    </row>
    <row r="304" spans="8:29">
      <c r="H304" t="b">
        <f t="shared" ca="1" si="33"/>
        <v>0</v>
      </c>
      <c r="I304" t="b">
        <f t="shared" ca="1" si="30"/>
        <v>0</v>
      </c>
      <c r="J304" s="2">
        <f ca="1"/>
        <v>45668</v>
      </c>
      <c r="K304">
        <f ca="1"/>
        <v>-32.824296707454792</v>
      </c>
      <c r="L304">
        <f ca="1"/>
        <v>6.7604394876596245</v>
      </c>
      <c r="M304">
        <f ca="1"/>
        <v>7.007905490866051E-3</v>
      </c>
      <c r="N304">
        <f ca="1"/>
        <v>0.57683617190905123</v>
      </c>
      <c r="O304">
        <f ca="1"/>
        <v>0</v>
      </c>
      <c r="P304">
        <f ca="1"/>
        <v>196.15926264437013</v>
      </c>
      <c r="Q304">
        <f ca="1"/>
        <v>167.43301079268414</v>
      </c>
      <c r="R304">
        <f ca="1"/>
        <v>0</v>
      </c>
      <c r="S304">
        <f ca="1"/>
        <v>0.33612708496742411</v>
      </c>
      <c r="T304">
        <f ca="1"/>
        <v>0</v>
      </c>
      <c r="U304">
        <f ca="1"/>
        <v>0</v>
      </c>
      <c r="V304">
        <f ca="1"/>
        <v>0.99993954399845042</v>
      </c>
      <c r="X304" s="2">
        <f t="shared" ca="1" si="31"/>
        <v>45668</v>
      </c>
      <c r="Y304">
        <f t="shared" ca="1" si="32"/>
        <v>0</v>
      </c>
      <c r="AA304" s="63">
        <f t="shared" ca="1" si="34"/>
        <v>-26.063857219795164</v>
      </c>
      <c r="AB304" s="63">
        <f t="shared" ca="1" si="35"/>
        <v>-26.063857219795167</v>
      </c>
      <c r="AC304" s="3">
        <f t="shared" ca="1" si="36"/>
        <v>0</v>
      </c>
    </row>
    <row r="305" spans="8:29">
      <c r="H305" t="b">
        <f t="shared" ca="1" si="33"/>
        <v>0</v>
      </c>
      <c r="I305" t="b">
        <f t="shared" ca="1" si="30"/>
        <v>0</v>
      </c>
      <c r="J305" s="2">
        <f ca="1"/>
        <v>45669</v>
      </c>
      <c r="K305">
        <f ca="1"/>
        <v>-39.297020357445362</v>
      </c>
      <c r="L305">
        <f ca="1"/>
        <v>7.0661076484410899</v>
      </c>
      <c r="M305">
        <f ca="1"/>
        <v>6.781010914039598E-3</v>
      </c>
      <c r="N305">
        <f ca="1"/>
        <v>0.5866029875364781</v>
      </c>
      <c r="O305">
        <f ca="1"/>
        <v>0</v>
      </c>
      <c r="P305">
        <f ca="1"/>
        <v>203.22537029281122</v>
      </c>
      <c r="Q305">
        <f ca="1"/>
        <v>173.46433280223215</v>
      </c>
      <c r="R305">
        <f ca="1"/>
        <v>0</v>
      </c>
      <c r="S305">
        <f ca="1"/>
        <v>0.31657143912513797</v>
      </c>
      <c r="T305">
        <f ca="1"/>
        <v>0</v>
      </c>
      <c r="U305">
        <f ca="1"/>
        <v>0</v>
      </c>
      <c r="V305">
        <f ca="1"/>
        <v>0.99995080008066495</v>
      </c>
      <c r="X305" s="2">
        <f t="shared" ca="1" si="31"/>
        <v>45669</v>
      </c>
      <c r="Y305">
        <f t="shared" ca="1" si="32"/>
        <v>0</v>
      </c>
      <c r="AA305" s="63">
        <f t="shared" ca="1" si="34"/>
        <v>-32.230912709004272</v>
      </c>
      <c r="AB305" s="63">
        <f t="shared" ca="1" si="35"/>
        <v>-32.230912709004272</v>
      </c>
      <c r="AC305" s="3">
        <f t="shared" ca="1" si="36"/>
        <v>0</v>
      </c>
    </row>
    <row r="306" spans="8:29">
      <c r="H306" t="b">
        <f t="shared" ca="1" si="33"/>
        <v>0</v>
      </c>
      <c r="I306" t="b">
        <f t="shared" ca="1" si="30"/>
        <v>0</v>
      </c>
      <c r="J306" s="2">
        <f ca="1"/>
        <v>45670</v>
      </c>
      <c r="K306">
        <f ca="1"/>
        <v>-45.619975429384752</v>
      </c>
      <c r="L306">
        <f ca="1"/>
        <v>6.9116777577921198</v>
      </c>
      <c r="M306">
        <f ca="1"/>
        <v>6.8327435404142989E-3</v>
      </c>
      <c r="N306">
        <f ca="1"/>
        <v>0.58188994231231395</v>
      </c>
      <c r="O306">
        <f ca="1"/>
        <v>0</v>
      </c>
      <c r="P306">
        <f ca="1"/>
        <v>210.13704805060334</v>
      </c>
      <c r="Q306">
        <f ca="1"/>
        <v>179.36384017708403</v>
      </c>
      <c r="R306">
        <f ca="1"/>
        <v>0</v>
      </c>
      <c r="S306">
        <f ca="1"/>
        <v>0.32882660227927796</v>
      </c>
      <c r="T306">
        <f ca="1"/>
        <v>0</v>
      </c>
      <c r="U306">
        <f ca="1"/>
        <v>0</v>
      </c>
      <c r="V306">
        <f ca="1"/>
        <v>0.99995977231047561</v>
      </c>
      <c r="X306" s="2">
        <f t="shared" ca="1" si="31"/>
        <v>45670</v>
      </c>
      <c r="Y306">
        <f t="shared" ca="1" si="32"/>
        <v>0</v>
      </c>
      <c r="AA306" s="63">
        <f t="shared" ca="1" si="34"/>
        <v>-38.708297671592632</v>
      </c>
      <c r="AB306" s="63">
        <f t="shared" ca="1" si="35"/>
        <v>-38.708297671592632</v>
      </c>
      <c r="AC306" s="3">
        <f t="shared" ca="1" si="36"/>
        <v>0</v>
      </c>
    </row>
    <row r="307" spans="8:29">
      <c r="H307" t="b">
        <f t="shared" ca="1" si="33"/>
        <v>0</v>
      </c>
      <c r="I307" t="b">
        <f t="shared" ca="1" si="30"/>
        <v>0</v>
      </c>
      <c r="J307" s="2">
        <f ca="1"/>
        <v>45671</v>
      </c>
      <c r="K307">
        <f ca="1"/>
        <v>-51.632770431132855</v>
      </c>
      <c r="L307">
        <f ca="1"/>
        <v>6.5812345660465326</v>
      </c>
      <c r="M307">
        <f ca="1"/>
        <v>6.6671715280790522E-3</v>
      </c>
      <c r="N307">
        <f ca="1"/>
        <v>0.5617723927703504</v>
      </c>
      <c r="O307">
        <f ca="1"/>
        <v>0</v>
      </c>
      <c r="P307">
        <f ca="1"/>
        <v>216.71828261664987</v>
      </c>
      <c r="Q307">
        <f ca="1"/>
        <v>184.98129562257978</v>
      </c>
      <c r="R307">
        <f ca="1"/>
        <v>0</v>
      </c>
      <c r="S307">
        <f ca="1"/>
        <v>0.33768237787656902</v>
      </c>
      <c r="T307">
        <f ca="1"/>
        <v>0</v>
      </c>
      <c r="U307">
        <f ca="1"/>
        <v>0</v>
      </c>
      <c r="V307">
        <f ca="1"/>
        <v>0.99996679844808056</v>
      </c>
      <c r="X307" s="2">
        <f t="shared" ca="1" si="31"/>
        <v>45671</v>
      </c>
      <c r="Y307">
        <f t="shared" ca="1" si="32"/>
        <v>0</v>
      </c>
      <c r="AA307" s="63">
        <f t="shared" ca="1" si="34"/>
        <v>-45.051535865086322</v>
      </c>
      <c r="AB307" s="63">
        <f t="shared" ca="1" si="35"/>
        <v>-45.051535865086322</v>
      </c>
      <c r="AC307" s="3">
        <f t="shared" ca="1" si="36"/>
        <v>0</v>
      </c>
    </row>
    <row r="308" spans="8:29">
      <c r="H308" t="b">
        <f t="shared" ca="1" si="33"/>
        <v>0</v>
      </c>
      <c r="I308" t="b">
        <f t="shared" ca="1" si="30"/>
        <v>0</v>
      </c>
      <c r="J308" s="2">
        <f ca="1"/>
        <v>45672</v>
      </c>
      <c r="K308">
        <f ca="1"/>
        <v>-57.738500521929183</v>
      </c>
      <c r="L308">
        <f ca="1"/>
        <v>6.6872263854867526</v>
      </c>
      <c r="M308">
        <f ca="1"/>
        <v>6.7869224315728616E-3</v>
      </c>
      <c r="N308">
        <f ca="1"/>
        <v>0.57470937225885088</v>
      </c>
      <c r="O308">
        <f ca="1"/>
        <v>0</v>
      </c>
      <c r="P308">
        <f ca="1"/>
        <v>223.40550900213663</v>
      </c>
      <c r="Q308">
        <f ca="1"/>
        <v>190.68922107295344</v>
      </c>
      <c r="R308">
        <f ca="1"/>
        <v>0</v>
      </c>
      <c r="S308">
        <f ca="1"/>
        <v>0.34130488196174857</v>
      </c>
      <c r="T308">
        <f ca="1"/>
        <v>0</v>
      </c>
      <c r="U308">
        <f ca="1"/>
        <v>0</v>
      </c>
      <c r="V308">
        <f ca="1"/>
        <v>0.99997270005237204</v>
      </c>
      <c r="X308" s="2">
        <f t="shared" ca="1" si="31"/>
        <v>45672</v>
      </c>
      <c r="Y308">
        <f t="shared" ca="1" si="32"/>
        <v>0</v>
      </c>
      <c r="AA308" s="63">
        <f t="shared" ca="1" si="34"/>
        <v>-51.05127413644243</v>
      </c>
      <c r="AB308" s="63">
        <f t="shared" ca="1" si="35"/>
        <v>-51.05127413644243</v>
      </c>
      <c r="AC308" s="3">
        <f t="shared" ca="1" si="36"/>
        <v>0</v>
      </c>
    </row>
    <row r="309" spans="8:29">
      <c r="H309" t="b">
        <f t="shared" ca="1" si="33"/>
        <v>0</v>
      </c>
      <c r="I309" t="b">
        <f t="shared" ca="1" si="30"/>
        <v>0</v>
      </c>
      <c r="J309" s="2">
        <f ca="1"/>
        <v>45673</v>
      </c>
      <c r="K309">
        <f ca="1"/>
        <v>-64.047077063014058</v>
      </c>
      <c r="L309">
        <f ca="1"/>
        <v>6.8886228070091988</v>
      </c>
      <c r="M309">
        <f ca="1"/>
        <v>6.3230320313607535E-3</v>
      </c>
      <c r="N309">
        <f ca="1"/>
        <v>0.57372323389297231</v>
      </c>
      <c r="O309">
        <f ca="1"/>
        <v>0</v>
      </c>
      <c r="P309">
        <f ca="1"/>
        <v>230.29413180914582</v>
      </c>
      <c r="Q309">
        <f ca="1"/>
        <v>196.56904974504499</v>
      </c>
      <c r="R309">
        <f ca="1"/>
        <v>0</v>
      </c>
      <c r="S309">
        <f ca="1"/>
        <v>0.31108699291117975</v>
      </c>
      <c r="T309">
        <f ca="1"/>
        <v>0</v>
      </c>
      <c r="U309">
        <f ca="1"/>
        <v>0</v>
      </c>
      <c r="V309">
        <f ca="1"/>
        <v>0.99997771001502556</v>
      </c>
      <c r="X309" s="2">
        <f t="shared" ca="1" si="31"/>
        <v>45673</v>
      </c>
      <c r="Y309">
        <f t="shared" ca="1" si="32"/>
        <v>0</v>
      </c>
      <c r="AA309" s="63">
        <f t="shared" ca="1" si="34"/>
        <v>-57.158454256004852</v>
      </c>
      <c r="AB309" s="63">
        <f t="shared" ca="1" si="35"/>
        <v>-57.158454256004859</v>
      </c>
      <c r="AC309" s="3">
        <f t="shared" ca="1" si="36"/>
        <v>0</v>
      </c>
    </row>
    <row r="310" spans="8:29">
      <c r="H310" t="b">
        <f t="shared" ca="1" si="33"/>
        <v>0</v>
      </c>
      <c r="I310" t="b">
        <f t="shared" ca="1" si="30"/>
        <v>0</v>
      </c>
      <c r="J310" s="2">
        <f ca="1"/>
        <v>45674</v>
      </c>
      <c r="K310">
        <f ca="1"/>
        <v>-70.448452175649379</v>
      </c>
      <c r="L310">
        <f ca="1"/>
        <v>6.991227354995317</v>
      </c>
      <c r="M310">
        <f ca="1"/>
        <v>6.3008771138868269E-3</v>
      </c>
      <c r="N310">
        <f ca="1"/>
        <v>0.58355136524610496</v>
      </c>
      <c r="O310">
        <f ca="1"/>
        <v>0</v>
      </c>
      <c r="P310">
        <f ca="1"/>
        <v>237.28535916414114</v>
      </c>
      <c r="Q310">
        <f ca="1"/>
        <v>202.53645719449705</v>
      </c>
      <c r="R310">
        <f ca="1"/>
        <v>0</v>
      </c>
      <c r="S310">
        <f ca="1"/>
        <v>0.30635475322397154</v>
      </c>
      <c r="T310">
        <f ca="1"/>
        <v>0</v>
      </c>
      <c r="U310">
        <f ca="1"/>
        <v>0</v>
      </c>
      <c r="V310">
        <f ca="1"/>
        <v>0.99998188573759084</v>
      </c>
      <c r="X310" s="2">
        <f t="shared" ca="1" si="31"/>
        <v>45674</v>
      </c>
      <c r="Y310">
        <f t="shared" ca="1" si="32"/>
        <v>0</v>
      </c>
      <c r="AA310" s="63">
        <f t="shared" ca="1" si="34"/>
        <v>-63.457224820654069</v>
      </c>
      <c r="AB310" s="63">
        <f t="shared" ca="1" si="35"/>
        <v>-63.457224820654062</v>
      </c>
      <c r="AC310" s="3">
        <f t="shared" ca="1" si="36"/>
        <v>0</v>
      </c>
    </row>
    <row r="311" spans="8:29">
      <c r="H311" t="b">
        <f t="shared" ca="1" si="33"/>
        <v>0</v>
      </c>
      <c r="I311" t="b">
        <f t="shared" ca="1" si="30"/>
        <v>0</v>
      </c>
      <c r="J311" s="2">
        <f ca="1"/>
        <v>45675</v>
      </c>
      <c r="K311">
        <f ca="1"/>
        <v>-76.60418282897794</v>
      </c>
      <c r="L311">
        <f ca="1"/>
        <v>6.7523347064451116</v>
      </c>
      <c r="M311">
        <f ca="1"/>
        <v>6.6938537299279233E-3</v>
      </c>
      <c r="N311">
        <f ca="1"/>
        <v>0.58991019938662936</v>
      </c>
      <c r="O311">
        <f ca="1"/>
        <v>0</v>
      </c>
      <c r="P311">
        <f ca="1"/>
        <v>244.03769387058625</v>
      </c>
      <c r="Q311">
        <f ca="1"/>
        <v>208.29995627447533</v>
      </c>
      <c r="R311">
        <f ca="1"/>
        <v>0</v>
      </c>
      <c r="S311">
        <f ca="1"/>
        <v>0.33586394925864288</v>
      </c>
      <c r="T311">
        <f ca="1"/>
        <v>0</v>
      </c>
      <c r="U311">
        <f ca="1"/>
        <v>0</v>
      </c>
      <c r="V311">
        <f ca="1"/>
        <v>0.99998520538514157</v>
      </c>
      <c r="X311" s="2">
        <f t="shared" ca="1" si="31"/>
        <v>45675</v>
      </c>
      <c r="Y311">
        <f t="shared" ca="1" si="32"/>
        <v>0</v>
      </c>
      <c r="AA311" s="63">
        <f t="shared" ca="1" si="34"/>
        <v>-69.851848122532829</v>
      </c>
      <c r="AB311" s="63">
        <f t="shared" ca="1" si="35"/>
        <v>-69.851848122532829</v>
      </c>
      <c r="AC311" s="3">
        <f t="shared" ca="1" si="36"/>
        <v>0</v>
      </c>
    </row>
    <row r="312" spans="8:29">
      <c r="H312" t="b">
        <f t="shared" ca="1" si="33"/>
        <v>0</v>
      </c>
      <c r="I312" t="b">
        <f t="shared" ca="1" si="30"/>
        <v>0</v>
      </c>
      <c r="J312" s="2">
        <f ca="1"/>
        <v>45676</v>
      </c>
      <c r="K312">
        <f ca="1"/>
        <v>-82.90703961413567</v>
      </c>
      <c r="L312">
        <f ca="1"/>
        <v>6.9243360854614764</v>
      </c>
      <c r="M312">
        <f ca="1"/>
        <v>6.9224579308269085E-3</v>
      </c>
      <c r="N312">
        <f ca="1"/>
        <v>0.61455684237292496</v>
      </c>
      <c r="O312">
        <f ca="1"/>
        <v>0</v>
      </c>
      <c r="P312">
        <f ca="1"/>
        <v>250.96202995604773</v>
      </c>
      <c r="Q312">
        <f ca="1"/>
        <v>214.21026824700306</v>
      </c>
      <c r="R312">
        <f ca="1"/>
        <v>0</v>
      </c>
      <c r="S312">
        <f ca="1"/>
        <v>0.33879905477579725</v>
      </c>
      <c r="T312">
        <f ca="1"/>
        <v>0</v>
      </c>
      <c r="U312">
        <f ca="1"/>
        <v>0</v>
      </c>
      <c r="V312">
        <f ca="1"/>
        <v>0.99998801075278065</v>
      </c>
      <c r="X312" s="2">
        <f t="shared" ca="1" si="31"/>
        <v>45676</v>
      </c>
      <c r="Y312">
        <f t="shared" ca="1" si="32"/>
        <v>0</v>
      </c>
      <c r="AA312" s="63">
        <f t="shared" ca="1" si="34"/>
        <v>-75.982703528674193</v>
      </c>
      <c r="AB312" s="63">
        <f t="shared" ca="1" si="35"/>
        <v>-75.982703528674193</v>
      </c>
      <c r="AC312" s="3">
        <f t="shared" ca="1" si="36"/>
        <v>0</v>
      </c>
    </row>
    <row r="313" spans="8:29">
      <c r="H313" t="b">
        <f t="shared" ca="1" si="33"/>
        <v>0</v>
      </c>
      <c r="I313" t="b">
        <f t="shared" ca="1" si="30"/>
        <v>0</v>
      </c>
      <c r="J313" s="2">
        <f ca="1"/>
        <v>45677</v>
      </c>
      <c r="K313">
        <f ca="1"/>
        <v>-88.947776900144163</v>
      </c>
      <c r="L313">
        <f ca="1"/>
        <v>6.6583108711611771</v>
      </c>
      <c r="M313">
        <f ca="1"/>
        <v>6.9873962543312018E-3</v>
      </c>
      <c r="N313">
        <f ca="1"/>
        <v>0.61058618889835903</v>
      </c>
      <c r="O313">
        <f ca="1"/>
        <v>0</v>
      </c>
      <c r="P313">
        <f ca="1"/>
        <v>257.62034082720891</v>
      </c>
      <c r="Q313">
        <f ca="1"/>
        <v>219.89351267259673</v>
      </c>
      <c r="R313">
        <f ca="1"/>
        <v>0</v>
      </c>
      <c r="S313">
        <f ca="1"/>
        <v>0.35317980502765506</v>
      </c>
      <c r="T313">
        <f ca="1"/>
        <v>0</v>
      </c>
      <c r="U313">
        <f ca="1"/>
        <v>0</v>
      </c>
      <c r="V313">
        <f ca="1"/>
        <v>0.99999023544588217</v>
      </c>
      <c r="X313" s="2">
        <f t="shared" ca="1" si="31"/>
        <v>45677</v>
      </c>
      <c r="Y313">
        <f t="shared" ca="1" si="32"/>
        <v>0</v>
      </c>
      <c r="AA313" s="63">
        <f t="shared" ca="1" si="34"/>
        <v>-82.289466028982986</v>
      </c>
      <c r="AB313" s="63">
        <f t="shared" ca="1" si="35"/>
        <v>-82.289466028982986</v>
      </c>
      <c r="AC313" s="3">
        <f t="shared" ca="1" si="36"/>
        <v>0</v>
      </c>
    </row>
    <row r="314" spans="8:29">
      <c r="H314" t="b">
        <f t="shared" ca="1" si="33"/>
        <v>0</v>
      </c>
      <c r="I314" t="b">
        <f t="shared" ca="1" si="30"/>
        <v>0</v>
      </c>
      <c r="J314" s="2">
        <f ca="1"/>
        <v>45678</v>
      </c>
      <c r="K314">
        <f ca="1"/>
        <v>-94.674100821600561</v>
      </c>
      <c r="L314">
        <f ca="1"/>
        <v>6.3228223489481934</v>
      </c>
      <c r="M314">
        <f ca="1"/>
        <v>6.6955212976864686E-3</v>
      </c>
      <c r="N314">
        <f ca="1"/>
        <v>0.58980290619410547</v>
      </c>
      <c r="O314">
        <f ca="1"/>
        <v>0</v>
      </c>
      <c r="P314">
        <f ca="1"/>
        <v>263.9431631761571</v>
      </c>
      <c r="Q314">
        <f ca="1"/>
        <v>225.29039869429309</v>
      </c>
      <c r="R314">
        <f ca="1"/>
        <v>0</v>
      </c>
      <c r="S314">
        <f ca="1"/>
        <v>0.35264427334605108</v>
      </c>
      <c r="T314">
        <f ca="1"/>
        <v>0</v>
      </c>
      <c r="U314">
        <f ca="1"/>
        <v>0</v>
      </c>
      <c r="V314">
        <f ca="1"/>
        <v>0.99999199119360782</v>
      </c>
      <c r="X314" s="2">
        <f t="shared" ca="1" si="31"/>
        <v>45678</v>
      </c>
      <c r="Y314">
        <f t="shared" ca="1" si="32"/>
        <v>0</v>
      </c>
      <c r="AA314" s="63">
        <f t="shared" ca="1" si="34"/>
        <v>-88.351278472652368</v>
      </c>
      <c r="AB314" s="63">
        <f t="shared" ca="1" si="35"/>
        <v>-88.351278472652368</v>
      </c>
      <c r="AC314" s="3">
        <f t="shared" ca="1" si="36"/>
        <v>0</v>
      </c>
    </row>
    <row r="315" spans="8:29">
      <c r="H315" t="b">
        <f t="shared" ca="1" si="33"/>
        <v>0</v>
      </c>
      <c r="I315" t="b">
        <f t="shared" ca="1" si="30"/>
        <v>0</v>
      </c>
      <c r="J315" s="2">
        <f ca="1"/>
        <v>45679</v>
      </c>
      <c r="K315">
        <f ca="1"/>
        <v>-100.13689609846067</v>
      </c>
      <c r="L315">
        <f ca="1"/>
        <v>6.0464405518023909</v>
      </c>
      <c r="M315">
        <f ca="1"/>
        <v>6.5332988231574518E-3</v>
      </c>
      <c r="N315">
        <f ca="1"/>
        <v>0.57711197611912035</v>
      </c>
      <c r="O315">
        <f ca="1"/>
        <v>0</v>
      </c>
      <c r="P315">
        <f ca="1"/>
        <v>269.98960372795949</v>
      </c>
      <c r="Q315">
        <f ca="1"/>
        <v>230.4513772406014</v>
      </c>
      <c r="R315">
        <f ca="1"/>
        <v>0</v>
      </c>
      <c r="S315">
        <f ca="1"/>
        <v>0.35549567668148879</v>
      </c>
      <c r="T315">
        <f ca="1"/>
        <v>0</v>
      </c>
      <c r="U315">
        <f ca="1"/>
        <v>0</v>
      </c>
      <c r="V315">
        <f ca="1"/>
        <v>0.99999339727189274</v>
      </c>
      <c r="X315" s="2">
        <f t="shared" ca="1" si="31"/>
        <v>45679</v>
      </c>
      <c r="Y315">
        <f t="shared" ca="1" si="32"/>
        <v>0</v>
      </c>
      <c r="AA315" s="63">
        <f t="shared" ca="1" si="34"/>
        <v>-94.090455546658276</v>
      </c>
      <c r="AB315" s="63">
        <f t="shared" ca="1" si="35"/>
        <v>-94.090455546658276</v>
      </c>
      <c r="AC315" s="3">
        <f t="shared" ca="1" si="36"/>
        <v>0</v>
      </c>
    </row>
    <row r="316" spans="8:29">
      <c r="H316" t="b">
        <f t="shared" ca="1" si="33"/>
        <v>0</v>
      </c>
      <c r="I316" t="b">
        <f t="shared" ca="1" si="30"/>
        <v>0</v>
      </c>
      <c r="J316" s="2">
        <f ca="1"/>
        <v>45680</v>
      </c>
      <c r="K316">
        <f ca="1"/>
        <v>-105.51066255147047</v>
      </c>
      <c r="L316">
        <f ca="1"/>
        <v>5.997990314070023</v>
      </c>
      <c r="M316">
        <f ca="1"/>
        <v>7.3510756507886299E-3</v>
      </c>
      <c r="N316">
        <f ca="1"/>
        <v>0.61687278540942259</v>
      </c>
      <c r="O316">
        <f ca="1"/>
        <v>0</v>
      </c>
      <c r="P316">
        <f ca="1"/>
        <v>275.98759404202951</v>
      </c>
      <c r="Q316">
        <f ca="1"/>
        <v>235.57100077227622</v>
      </c>
      <c r="R316">
        <f ca="1"/>
        <v>0</v>
      </c>
      <c r="S316">
        <f ca="1"/>
        <v>0.39994601192316609</v>
      </c>
      <c r="T316">
        <f ca="1"/>
        <v>0</v>
      </c>
      <c r="U316">
        <f ca="1"/>
        <v>0</v>
      </c>
      <c r="V316">
        <f ca="1"/>
        <v>0.99999456924049612</v>
      </c>
      <c r="X316" s="2">
        <f t="shared" ca="1" si="31"/>
        <v>45680</v>
      </c>
      <c r="Y316">
        <f t="shared" ca="1" si="32"/>
        <v>0</v>
      </c>
      <c r="AA316" s="63">
        <f t="shared" ca="1" si="34"/>
        <v>-99.512672237400452</v>
      </c>
      <c r="AB316" s="63">
        <f t="shared" ca="1" si="35"/>
        <v>-99.512672237400452</v>
      </c>
      <c r="AC316" s="3">
        <f t="shared" ca="1" si="36"/>
        <v>0</v>
      </c>
    </row>
    <row r="317" spans="8:29">
      <c r="H317" t="b">
        <f t="shared" ca="1" si="33"/>
        <v>0</v>
      </c>
      <c r="I317" t="b">
        <f t="shared" ca="1" si="30"/>
        <v>0</v>
      </c>
      <c r="J317" s="2">
        <f ca="1"/>
        <v>45681</v>
      </c>
      <c r="K317">
        <f ca="1"/>
        <v>-110.85642967511484</v>
      </c>
      <c r="L317">
        <f ca="1"/>
        <v>5.964117501467058</v>
      </c>
      <c r="M317">
        <f ca="1"/>
        <v>7.0103069260341044E-3</v>
      </c>
      <c r="N317">
        <f ca="1"/>
        <v>0.61134007089666442</v>
      </c>
      <c r="O317">
        <f ca="1"/>
        <v>0</v>
      </c>
      <c r="P317">
        <f ca="1"/>
        <v>281.95171154349657</v>
      </c>
      <c r="Q317">
        <f ca="1"/>
        <v>240.66171194507658</v>
      </c>
      <c r="R317">
        <f ca="1"/>
        <v>0</v>
      </c>
      <c r="S317">
        <f ca="1"/>
        <v>0.37995130698988711</v>
      </c>
      <c r="T317">
        <f ca="1"/>
        <v>0</v>
      </c>
      <c r="U317">
        <f ca="1"/>
        <v>0</v>
      </c>
      <c r="V317">
        <f ca="1"/>
        <v>0.99999554782794298</v>
      </c>
      <c r="X317" s="2">
        <f t="shared" ca="1" si="31"/>
        <v>45681</v>
      </c>
      <c r="Y317">
        <f t="shared" ca="1" si="32"/>
        <v>0</v>
      </c>
      <c r="AA317" s="63">
        <f t="shared" ca="1" si="34"/>
        <v>-104.89231217364778</v>
      </c>
      <c r="AB317" s="63">
        <f t="shared" ca="1" si="35"/>
        <v>-104.89231217364778</v>
      </c>
      <c r="AC317" s="3">
        <f t="shared" ca="1" si="36"/>
        <v>0</v>
      </c>
    </row>
    <row r="318" spans="8:29">
      <c r="H318" t="b">
        <f t="shared" ca="1" si="33"/>
        <v>0</v>
      </c>
      <c r="I318" t="b">
        <f t="shared" ca="1" si="30"/>
        <v>0</v>
      </c>
      <c r="J318" s="2">
        <f ca="1"/>
        <v>45682</v>
      </c>
      <c r="K318">
        <f ca="1"/>
        <v>-116.13888469463446</v>
      </c>
      <c r="L318">
        <f ca="1"/>
        <v>5.8835373236377109</v>
      </c>
      <c r="M318">
        <f ca="1"/>
        <v>6.4320653411584772E-3</v>
      </c>
      <c r="N318">
        <f ca="1"/>
        <v>0.59465023877693135</v>
      </c>
      <c r="O318">
        <f ca="1"/>
        <v>0</v>
      </c>
      <c r="P318">
        <f ca="1"/>
        <v>287.83524886713428</v>
      </c>
      <c r="Q318">
        <f ca="1"/>
        <v>245.68364338449953</v>
      </c>
      <c r="R318">
        <f ca="1"/>
        <v>0</v>
      </c>
      <c r="S318">
        <f ca="1"/>
        <v>0.34876768726766427</v>
      </c>
      <c r="T318">
        <f ca="1"/>
        <v>0</v>
      </c>
      <c r="U318">
        <f ca="1"/>
        <v>0</v>
      </c>
      <c r="V318">
        <f ca="1"/>
        <v>0.99999635806017617</v>
      </c>
      <c r="X318" s="2">
        <f t="shared" ca="1" si="31"/>
        <v>45682</v>
      </c>
      <c r="Y318">
        <f t="shared" ca="1" si="32"/>
        <v>0</v>
      </c>
      <c r="AA318" s="63">
        <f t="shared" ca="1" si="34"/>
        <v>-110.25534737099674</v>
      </c>
      <c r="AB318" s="63">
        <f t="shared" ca="1" si="35"/>
        <v>-110.25534737099674</v>
      </c>
      <c r="AC318" s="3">
        <f t="shared" ca="1" si="36"/>
        <v>0</v>
      </c>
    </row>
    <row r="319" spans="8:29">
      <c r="H319" t="b">
        <f t="shared" ca="1" si="33"/>
        <v>0</v>
      </c>
      <c r="I319" t="b">
        <f t="shared" ca="1" si="30"/>
        <v>0</v>
      </c>
      <c r="J319" s="2">
        <f ca="1"/>
        <v>45683</v>
      </c>
      <c r="K319">
        <f ca="1"/>
        <v>-121.69799011631115</v>
      </c>
      <c r="L319">
        <f ca="1"/>
        <v>6.2033815338764953</v>
      </c>
      <c r="M319">
        <f ca="1"/>
        <v>6.6899789250385311E-3</v>
      </c>
      <c r="N319">
        <f ca="1"/>
        <v>0.63758613327477276</v>
      </c>
      <c r="O319">
        <f ca="1"/>
        <v>0</v>
      </c>
      <c r="P319">
        <f ca="1"/>
        <v>294.03863040101078</v>
      </c>
      <c r="Q319">
        <f ca="1"/>
        <v>250.97857992387529</v>
      </c>
      <c r="R319">
        <f ca="1"/>
        <v>0</v>
      </c>
      <c r="S319">
        <f ca="1"/>
        <v>0.33997781435653274</v>
      </c>
      <c r="T319">
        <f ca="1"/>
        <v>0</v>
      </c>
      <c r="U319">
        <f ca="1"/>
        <v>0</v>
      </c>
      <c r="V319">
        <f ca="1"/>
        <v>0.99999707071683486</v>
      </c>
      <c r="X319" s="2">
        <f t="shared" ca="1" si="31"/>
        <v>45683</v>
      </c>
      <c r="Y319">
        <f t="shared" ca="1" si="32"/>
        <v>0</v>
      </c>
      <c r="AA319" s="63">
        <f t="shared" ca="1" si="34"/>
        <v>-115.49460858243465</v>
      </c>
      <c r="AB319" s="63">
        <f t="shared" ca="1" si="35"/>
        <v>-115.49460858243465</v>
      </c>
      <c r="AC319" s="3">
        <f t="shared" ca="1" si="36"/>
        <v>0</v>
      </c>
    </row>
    <row r="320" spans="8:29">
      <c r="H320" t="b">
        <f t="shared" ca="1" si="33"/>
        <v>0</v>
      </c>
      <c r="I320" t="b">
        <f t="shared" ca="1" si="30"/>
        <v>0</v>
      </c>
      <c r="J320" s="2">
        <f ca="1"/>
        <v>45684</v>
      </c>
      <c r="K320">
        <f ca="1"/>
        <v>-126.89507597011422</v>
      </c>
      <c r="L320">
        <f ca="1"/>
        <v>5.8439396381763231</v>
      </c>
      <c r="M320">
        <f ca="1"/>
        <v>6.9532548519504189E-3</v>
      </c>
      <c r="N320">
        <f ca="1"/>
        <v>0.63990052952130227</v>
      </c>
      <c r="O320">
        <f ca="1"/>
        <v>0</v>
      </c>
      <c r="P320">
        <f ca="1"/>
        <v>299.8825700391871</v>
      </c>
      <c r="Q320">
        <f ca="1"/>
        <v>255.96671250206765</v>
      </c>
      <c r="R320">
        <f ca="1"/>
        <v>0</v>
      </c>
      <c r="S320">
        <f ca="1"/>
        <v>0.367139414777858</v>
      </c>
      <c r="T320">
        <f ca="1"/>
        <v>0</v>
      </c>
      <c r="U320">
        <f ca="1"/>
        <v>0</v>
      </c>
      <c r="V320">
        <f ca="1"/>
        <v>0.99999762914220292</v>
      </c>
      <c r="X320" s="2">
        <f t="shared" ca="1" si="31"/>
        <v>45684</v>
      </c>
      <c r="Y320">
        <f t="shared" ca="1" si="32"/>
        <v>0</v>
      </c>
      <c r="AA320" s="63">
        <f t="shared" ca="1" si="34"/>
        <v>-121.0511363319379</v>
      </c>
      <c r="AB320" s="63">
        <f t="shared" ca="1" si="35"/>
        <v>-121.0511363319379</v>
      </c>
      <c r="AC320" s="3">
        <f t="shared" ca="1" si="36"/>
        <v>0</v>
      </c>
    </row>
    <row r="321" spans="8:29">
      <c r="H321" t="b">
        <f t="shared" ca="1" si="33"/>
        <v>0</v>
      </c>
      <c r="I321" t="b">
        <f t="shared" ca="1" si="30"/>
        <v>0</v>
      </c>
      <c r="J321" s="2">
        <f ca="1"/>
        <v>45685</v>
      </c>
      <c r="K321">
        <f ca="1"/>
        <v>-131.83404527403329</v>
      </c>
      <c r="L321">
        <f ca="1"/>
        <v>5.5563145185407734</v>
      </c>
      <c r="M321">
        <f ca="1"/>
        <v>6.3457999614939808E-3</v>
      </c>
      <c r="N321">
        <f ca="1"/>
        <v>0.61099941466021335</v>
      </c>
      <c r="O321">
        <f ca="1"/>
        <v>0</v>
      </c>
      <c r="P321">
        <f ca="1"/>
        <v>305.43888455772787</v>
      </c>
      <c r="Q321">
        <f ca="1"/>
        <v>260.7093407940439</v>
      </c>
      <c r="R321">
        <f ca="1"/>
        <v>0</v>
      </c>
      <c r="S321">
        <f ca="1"/>
        <v>0.3444834057741275</v>
      </c>
      <c r="T321">
        <f ca="1"/>
        <v>0</v>
      </c>
      <c r="U321">
        <f ca="1"/>
        <v>0</v>
      </c>
      <c r="V321">
        <f ca="1"/>
        <v>0.99999807359820658</v>
      </c>
      <c r="X321" s="2">
        <f t="shared" ca="1" si="31"/>
        <v>45685</v>
      </c>
      <c r="Y321">
        <f t="shared" ca="1" si="32"/>
        <v>0</v>
      </c>
      <c r="AA321" s="63">
        <f t="shared" ca="1" si="34"/>
        <v>-126.27773075549251</v>
      </c>
      <c r="AB321" s="63">
        <f t="shared" ca="1" si="35"/>
        <v>-126.27773075549251</v>
      </c>
      <c r="AC321" s="3">
        <f t="shared" ca="1" si="36"/>
        <v>0</v>
      </c>
    </row>
    <row r="322" spans="8:29">
      <c r="H322" t="b">
        <f t="shared" ca="1" si="33"/>
        <v>0</v>
      </c>
      <c r="I322" t="b">
        <f t="shared" ca="1" si="30"/>
        <v>0</v>
      </c>
      <c r="J322" s="2">
        <f ca="1"/>
        <v>45686</v>
      </c>
      <c r="K322">
        <f ca="1"/>
        <v>-136.84941405843153</v>
      </c>
      <c r="L322">
        <f ca="1"/>
        <v>5.6400141218596218</v>
      </c>
      <c r="M322">
        <f ca="1"/>
        <v>5.9883287244701933E-3</v>
      </c>
      <c r="N322">
        <f ca="1"/>
        <v>0.61865700873689766</v>
      </c>
      <c r="O322">
        <f ca="1"/>
        <v>0</v>
      </c>
      <c r="P322">
        <f ca="1"/>
        <v>311.0788986795875</v>
      </c>
      <c r="Q322">
        <f ca="1"/>
        <v>265.52341142525461</v>
      </c>
      <c r="R322">
        <f ca="1"/>
        <v>0</v>
      </c>
      <c r="S322">
        <f ca="1"/>
        <v>0.31336836388535116</v>
      </c>
      <c r="T322">
        <f ca="1"/>
        <v>0</v>
      </c>
      <c r="U322">
        <f ca="1"/>
        <v>0</v>
      </c>
      <c r="V322">
        <f ca="1"/>
        <v>0.99999845104237461</v>
      </c>
      <c r="X322" s="2">
        <f t="shared" ca="1" si="31"/>
        <v>45686</v>
      </c>
      <c r="Y322">
        <f t="shared" ca="1" si="32"/>
        <v>0</v>
      </c>
      <c r="AA322" s="63">
        <f t="shared" ca="1" si="34"/>
        <v>-131.20939993657191</v>
      </c>
      <c r="AB322" s="63">
        <f t="shared" ca="1" si="35"/>
        <v>-131.20939993657191</v>
      </c>
      <c r="AC322" s="3">
        <f t="shared" ca="1" si="36"/>
        <v>0</v>
      </c>
    </row>
    <row r="323" spans="8:29">
      <c r="H323" t="b">
        <f t="shared" ca="1" si="33"/>
        <v>0</v>
      </c>
      <c r="I323" t="b">
        <f t="shared" ca="1" si="30"/>
        <v>0</v>
      </c>
      <c r="J323" s="2">
        <f ca="1"/>
        <v>45687</v>
      </c>
      <c r="K323">
        <f ca="1"/>
        <v>-141.70758748301887</v>
      </c>
      <c r="L323">
        <f ca="1"/>
        <v>5.4805961851356528</v>
      </c>
      <c r="M323">
        <f ca="1"/>
        <v>5.7846838618900165E-3</v>
      </c>
      <c r="N323">
        <f ca="1"/>
        <v>0.61663807668644022</v>
      </c>
      <c r="O323">
        <f ca="1"/>
        <v>0</v>
      </c>
      <c r="P323">
        <f ca="1"/>
        <v>316.55949486472315</v>
      </c>
      <c r="Q323">
        <f ca="1"/>
        <v>270.20140984269261</v>
      </c>
      <c r="R323">
        <f ca="1"/>
        <v>0</v>
      </c>
      <c r="S323">
        <f ca="1"/>
        <v>0.30304599682047434</v>
      </c>
      <c r="T323">
        <f ca="1"/>
        <v>0</v>
      </c>
      <c r="U323">
        <f ca="1"/>
        <v>0</v>
      </c>
      <c r="V323">
        <f ca="1"/>
        <v>0.99999875686732786</v>
      </c>
      <c r="X323" s="2">
        <f t="shared" ca="1" si="31"/>
        <v>45687</v>
      </c>
      <c r="Y323">
        <f t="shared" ca="1" si="32"/>
        <v>0</v>
      </c>
      <c r="AA323" s="63">
        <f t="shared" ca="1" si="34"/>
        <v>-136.22699129788322</v>
      </c>
      <c r="AB323" s="63">
        <f t="shared" ca="1" si="35"/>
        <v>-136.22699129788322</v>
      </c>
      <c r="AC323" s="3">
        <f t="shared" ca="1" si="36"/>
        <v>0</v>
      </c>
    </row>
    <row r="324" spans="8:29">
      <c r="H324" t="b">
        <f t="shared" ca="1" si="33"/>
        <v>0</v>
      </c>
      <c r="I324" t="b">
        <f t="shared" ca="1" si="30"/>
        <v>0</v>
      </c>
      <c r="J324" s="2">
        <f ca="1"/>
        <v>45688</v>
      </c>
      <c r="K324">
        <f ca="1"/>
        <v>-146.26234367843551</v>
      </c>
      <c r="L324">
        <f ca="1"/>
        <v>5.1406621061574924</v>
      </c>
      <c r="M324">
        <f ca="1"/>
        <v>5.0424534151716216E-3</v>
      </c>
      <c r="N324">
        <f ca="1"/>
        <v>0.58086345732566624</v>
      </c>
      <c r="O324">
        <f ca="1"/>
        <v>0</v>
      </c>
      <c r="P324">
        <f ca="1"/>
        <v>321.70015697088064</v>
      </c>
      <c r="Q324">
        <f ca="1"/>
        <v>274.58925532242529</v>
      </c>
      <c r="R324">
        <f ca="1"/>
        <v>0</v>
      </c>
      <c r="S324">
        <f ca="1"/>
        <v>0.27303123502802329</v>
      </c>
      <c r="T324">
        <f ca="1"/>
        <v>0</v>
      </c>
      <c r="U324">
        <f ca="1"/>
        <v>0</v>
      </c>
      <c r="V324">
        <f ca="1"/>
        <v>0.99999899683685145</v>
      </c>
      <c r="X324" s="2">
        <f t="shared" ca="1" si="31"/>
        <v>45688</v>
      </c>
      <c r="Y324">
        <f t="shared" ca="1" si="32"/>
        <v>0</v>
      </c>
      <c r="AA324" s="63">
        <f t="shared" ca="1" si="34"/>
        <v>-141.12168157227802</v>
      </c>
      <c r="AB324" s="63">
        <f t="shared" ca="1" si="35"/>
        <v>-141.12168157227802</v>
      </c>
      <c r="AC324" s="3">
        <f t="shared" ca="1" si="36"/>
        <v>0</v>
      </c>
    </row>
    <row r="325" spans="8:29">
      <c r="H325" t="b">
        <f t="shared" ca="1" si="33"/>
        <v>0</v>
      </c>
      <c r="I325" t="b">
        <f t="shared" ca="1" si="30"/>
        <v>0</v>
      </c>
      <c r="J325" s="2">
        <f ca="1"/>
        <v>45689</v>
      </c>
      <c r="K325">
        <f ca="1"/>
        <v>-150.58171904019864</v>
      </c>
      <c r="L325">
        <f ca="1"/>
        <v>4.9383564401836111</v>
      </c>
      <c r="M325">
        <f ca="1"/>
        <v>5.8587598327619617E-3</v>
      </c>
      <c r="N325">
        <f ca="1"/>
        <v>0.61312231858771726</v>
      </c>
      <c r="O325">
        <f ca="1"/>
        <v>0</v>
      </c>
      <c r="P325">
        <f ca="1"/>
        <v>326.63851341106425</v>
      </c>
      <c r="Q325">
        <f ca="1"/>
        <v>278.8044214889419</v>
      </c>
      <c r="R325">
        <f ca="1"/>
        <v>0</v>
      </c>
      <c r="S325">
        <f ca="1"/>
        <v>0.32007592691337061</v>
      </c>
      <c r="T325">
        <f ca="1"/>
        <v>0</v>
      </c>
      <c r="U325">
        <f ca="1"/>
        <v>0</v>
      </c>
      <c r="V325">
        <f ca="1"/>
        <v>0.99999919048362373</v>
      </c>
      <c r="X325" s="2">
        <f t="shared" ca="1" si="31"/>
        <v>45689</v>
      </c>
      <c r="Y325">
        <f t="shared" ca="1" si="32"/>
        <v>0</v>
      </c>
      <c r="AA325" s="63">
        <f t="shared" ca="1" si="34"/>
        <v>-145.64336260001502</v>
      </c>
      <c r="AB325" s="63">
        <f t="shared" ca="1" si="35"/>
        <v>-145.64336260001502</v>
      </c>
      <c r="AC325" s="3">
        <f t="shared" ca="1" si="36"/>
        <v>0</v>
      </c>
    </row>
    <row r="326" spans="8:29">
      <c r="H326" t="b">
        <f t="shared" ca="1" si="33"/>
        <v>0</v>
      </c>
      <c r="I326" t="b">
        <f t="shared" ca="1" si="30"/>
        <v>0</v>
      </c>
      <c r="J326" s="2">
        <f ca="1"/>
        <v>45690</v>
      </c>
      <c r="K326">
        <f ca="1"/>
        <v>-154.61897288760093</v>
      </c>
      <c r="L326">
        <f ca="1"/>
        <v>4.6818237331577279</v>
      </c>
      <c r="M326">
        <f ca="1"/>
        <v>6.5040863062222343E-3</v>
      </c>
      <c r="N326">
        <f ca="1"/>
        <v>0.63806579944920006</v>
      </c>
      <c r="O326">
        <f ca="1"/>
        <v>0</v>
      </c>
      <c r="P326">
        <f ca="1"/>
        <v>331.32033714422198</v>
      </c>
      <c r="Q326">
        <f ca="1"/>
        <v>282.80062249967062</v>
      </c>
      <c r="R326">
        <f ca="1"/>
        <v>0</v>
      </c>
      <c r="S326">
        <f ca="1"/>
        <v>0.36299586021627972</v>
      </c>
      <c r="T326">
        <f ca="1"/>
        <v>0</v>
      </c>
      <c r="U326">
        <f ca="1"/>
        <v>0</v>
      </c>
      <c r="V326">
        <f ca="1"/>
        <v>0.99999934511364497</v>
      </c>
      <c r="X326" s="2">
        <f t="shared" ca="1" si="31"/>
        <v>45690</v>
      </c>
      <c r="Y326">
        <f t="shared" ca="1" si="32"/>
        <v>0</v>
      </c>
      <c r="AA326" s="63">
        <f t="shared" ca="1" si="34"/>
        <v>-149.9371491544432</v>
      </c>
      <c r="AB326" s="63">
        <f t="shared" ca="1" si="35"/>
        <v>-149.9371491544432</v>
      </c>
      <c r="AC326" s="3">
        <f t="shared" ca="1" si="36"/>
        <v>0</v>
      </c>
    </row>
    <row r="327" spans="8:29">
      <c r="H327" t="b">
        <f t="shared" ca="1" si="33"/>
        <v>0</v>
      </c>
      <c r="I327" t="b">
        <f t="shared" ca="1" si="30"/>
        <v>0</v>
      </c>
      <c r="J327" s="2">
        <f ca="1"/>
        <v>45691</v>
      </c>
      <c r="K327">
        <f ca="1"/>
        <v>-158.5597297874383</v>
      </c>
      <c r="L327">
        <f ca="1"/>
        <v>4.5753984132115306</v>
      </c>
      <c r="M327">
        <f ca="1"/>
        <v>6.0316166643445968E-3</v>
      </c>
      <c r="N327">
        <f ca="1"/>
        <v>0.62860989670981005</v>
      </c>
      <c r="O327">
        <f ca="1"/>
        <v>0</v>
      </c>
      <c r="P327">
        <f ca="1"/>
        <v>335.89573555743351</v>
      </c>
      <c r="Q327">
        <f ca="1"/>
        <v>286.7059834883533</v>
      </c>
      <c r="R327">
        <f ca="1"/>
        <v>0</v>
      </c>
      <c r="S327">
        <f ca="1"/>
        <v>0.33365278333543047</v>
      </c>
      <c r="T327">
        <f ca="1"/>
        <v>0</v>
      </c>
      <c r="U327">
        <f ca="1"/>
        <v>0</v>
      </c>
      <c r="V327">
        <f ca="1"/>
        <v>0.99999947252085475</v>
      </c>
      <c r="X327" s="2">
        <f t="shared" ca="1" si="31"/>
        <v>45691</v>
      </c>
      <c r="Y327">
        <f t="shared" ca="1" si="32"/>
        <v>0</v>
      </c>
      <c r="AA327" s="63">
        <f t="shared" ca="1" si="34"/>
        <v>-153.98433137422677</v>
      </c>
      <c r="AB327" s="63">
        <f t="shared" ca="1" si="35"/>
        <v>-153.98433137422677</v>
      </c>
      <c r="AC327" s="3">
        <f t="shared" ca="1" si="36"/>
        <v>0</v>
      </c>
    </row>
    <row r="328" spans="8:29">
      <c r="H328" t="b">
        <f t="shared" ca="1" si="33"/>
        <v>0</v>
      </c>
      <c r="I328" t="b">
        <f t="shared" ca="1" si="30"/>
        <v>0</v>
      </c>
      <c r="J328" s="2">
        <f ca="1"/>
        <v>45692</v>
      </c>
      <c r="K328">
        <f ca="1"/>
        <v>-162.16400790902446</v>
      </c>
      <c r="L328">
        <f ca="1"/>
        <v>4.2484851705285678</v>
      </c>
      <c r="M328">
        <f ca="1"/>
        <v>6.4344487518752658E-3</v>
      </c>
      <c r="N328">
        <f ca="1"/>
        <v>0.63777260019053705</v>
      </c>
      <c r="O328">
        <f ca="1"/>
        <v>0</v>
      </c>
      <c r="P328">
        <f ca="1"/>
        <v>340.14422072796208</v>
      </c>
      <c r="Q328">
        <f ca="1"/>
        <v>290.33230555859518</v>
      </c>
      <c r="R328">
        <f ca="1"/>
        <v>0</v>
      </c>
      <c r="S328">
        <f ca="1"/>
        <v>0.36985271513692841</v>
      </c>
      <c r="T328">
        <f ca="1"/>
        <v>0</v>
      </c>
      <c r="U328">
        <f ca="1"/>
        <v>0</v>
      </c>
      <c r="V328">
        <f ca="1"/>
        <v>0.99999957247623494</v>
      </c>
      <c r="X328" s="2">
        <f t="shared" ca="1" si="31"/>
        <v>45692</v>
      </c>
      <c r="Y328">
        <f t="shared" ca="1" si="32"/>
        <v>0</v>
      </c>
      <c r="AA328" s="63">
        <f t="shared" ca="1" si="34"/>
        <v>-157.91552273849589</v>
      </c>
      <c r="AB328" s="63">
        <f t="shared" ca="1" si="35"/>
        <v>-157.91552273849589</v>
      </c>
      <c r="AC328" s="3">
        <f t="shared" ca="1" si="36"/>
        <v>0</v>
      </c>
    </row>
    <row r="329" spans="8:29">
      <c r="H329" t="b">
        <f t="shared" ca="1" si="33"/>
        <v>0</v>
      </c>
      <c r="I329" t="b">
        <f t="shared" ca="1" si="30"/>
        <v>0</v>
      </c>
      <c r="J329" s="2">
        <f ca="1"/>
        <v>45693</v>
      </c>
      <c r="K329">
        <f ca="1"/>
        <v>-165.4708524893687</v>
      </c>
      <c r="L329">
        <f ca="1"/>
        <v>3.9232698357785125</v>
      </c>
      <c r="M329">
        <f ca="1"/>
        <v>6.0371446351723534E-3</v>
      </c>
      <c r="N329">
        <f ca="1"/>
        <v>0.61038811079910182</v>
      </c>
      <c r="O329">
        <f ca="1"/>
        <v>0</v>
      </c>
      <c r="P329">
        <f ca="1"/>
        <v>344.06749056374059</v>
      </c>
      <c r="Q329">
        <f ca="1"/>
        <v>293.68103797072422</v>
      </c>
      <c r="R329">
        <f ca="1"/>
        <v>0</v>
      </c>
      <c r="S329">
        <f ca="1"/>
        <v>0.36214279885189843</v>
      </c>
      <c r="T329">
        <f ca="1"/>
        <v>0</v>
      </c>
      <c r="U329">
        <f ca="1"/>
        <v>0</v>
      </c>
      <c r="V329">
        <f ca="1"/>
        <v>0.99999965098974297</v>
      </c>
      <c r="X329" s="2">
        <f t="shared" ca="1" si="31"/>
        <v>45693</v>
      </c>
      <c r="Y329">
        <f t="shared" ca="1" si="32"/>
        <v>0</v>
      </c>
      <c r="AA329" s="63">
        <f t="shared" ca="1" si="34"/>
        <v>-161.54758265359018</v>
      </c>
      <c r="AB329" s="63">
        <f t="shared" ca="1" si="35"/>
        <v>-161.54758265359018</v>
      </c>
      <c r="AC329" s="3">
        <f t="shared" ca="1" si="36"/>
        <v>0</v>
      </c>
    </row>
    <row r="330" spans="8:29">
      <c r="H330" t="b">
        <f t="shared" ca="1" si="33"/>
        <v>0</v>
      </c>
      <c r="I330" t="b">
        <f t="shared" ca="1" si="30"/>
        <v>0</v>
      </c>
      <c r="J330" s="2">
        <f ca="1"/>
        <v>45694</v>
      </c>
      <c r="K330">
        <f ca="1"/>
        <v>-168.4858633810245</v>
      </c>
      <c r="L330">
        <f ca="1"/>
        <v>3.5798709309989931</v>
      </c>
      <c r="M330">
        <f ca="1"/>
        <v>5.1954362131994003E-3</v>
      </c>
      <c r="N330">
        <f ca="1"/>
        <v>0.55966460312997957</v>
      </c>
      <c r="O330">
        <f ca="1"/>
        <v>0</v>
      </c>
      <c r="P330">
        <f ca="1"/>
        <v>347.64736149473958</v>
      </c>
      <c r="Q330">
        <f ca="1"/>
        <v>296.73666002061452</v>
      </c>
      <c r="R330">
        <f ca="1"/>
        <v>0</v>
      </c>
      <c r="S330">
        <f ca="1"/>
        <v>0.3281024264704851</v>
      </c>
      <c r="T330">
        <f ca="1"/>
        <v>0</v>
      </c>
      <c r="U330">
        <f ca="1"/>
        <v>0</v>
      </c>
      <c r="V330">
        <f ca="1"/>
        <v>0.99999971239955532</v>
      </c>
      <c r="X330" s="2">
        <f t="shared" ca="1" si="31"/>
        <v>45694</v>
      </c>
      <c r="Y330">
        <f t="shared" ca="1" si="32"/>
        <v>0</v>
      </c>
      <c r="AA330" s="63">
        <f t="shared" ca="1" si="34"/>
        <v>-164.90599245002551</v>
      </c>
      <c r="AB330" s="63">
        <f t="shared" ca="1" si="35"/>
        <v>-164.90599245002551</v>
      </c>
      <c r="AC330" s="3">
        <f t="shared" ca="1" si="36"/>
        <v>0</v>
      </c>
    </row>
    <row r="331" spans="8:29">
      <c r="H331" t="b">
        <f t="shared" ca="1" si="33"/>
        <v>0</v>
      </c>
      <c r="I331" t="b">
        <f t="shared" ca="1" si="30"/>
        <v>0</v>
      </c>
      <c r="J331" s="2">
        <f ca="1"/>
        <v>45695</v>
      </c>
      <c r="K331">
        <f ca="1"/>
        <v>-171.26085447920161</v>
      </c>
      <c r="L331">
        <f ca="1"/>
        <v>3.3325466727200705</v>
      </c>
      <c r="M331">
        <f ca="1"/>
        <v>5.1957001167721728E-3</v>
      </c>
      <c r="N331">
        <f ca="1"/>
        <v>0.55235987442621326</v>
      </c>
      <c r="O331">
        <f ca="1"/>
        <v>0</v>
      </c>
      <c r="P331">
        <f ca="1"/>
        <v>350.97990816745966</v>
      </c>
      <c r="Q331">
        <f ca="1"/>
        <v>299.58117684586517</v>
      </c>
      <c r="R331">
        <f ca="1"/>
        <v>0</v>
      </c>
      <c r="S331">
        <f ca="1"/>
        <v>0.33906029536963173</v>
      </c>
      <c r="T331">
        <f ca="1"/>
        <v>0</v>
      </c>
      <c r="U331">
        <f ca="1"/>
        <v>0</v>
      </c>
      <c r="V331">
        <f ca="1"/>
        <v>0.99999976174106597</v>
      </c>
      <c r="X331" s="2">
        <f t="shared" ca="1" si="31"/>
        <v>45695</v>
      </c>
      <c r="Y331">
        <f t="shared" ca="1" si="32"/>
        <v>0</v>
      </c>
      <c r="AA331" s="63">
        <f t="shared" ca="1" si="34"/>
        <v>-167.92830780648154</v>
      </c>
      <c r="AB331" s="63">
        <f t="shared" ca="1" si="35"/>
        <v>-167.92830780648154</v>
      </c>
      <c r="AC331" s="3">
        <f t="shared" ca="1" si="36"/>
        <v>0</v>
      </c>
    </row>
    <row r="332" spans="8:29">
      <c r="H332" t="b">
        <f t="shared" ca="1" si="33"/>
        <v>0</v>
      </c>
      <c r="I332" t="b">
        <f t="shared" ref="I332:I395" ca="1" si="37">AND(IF(J332&gt;($J$8-1),TRUE,FALSE),IF(J332&lt;($J$9+1),TRUE,FALSE))</f>
        <v>0</v>
      </c>
      <c r="J332" s="2">
        <f ca="1"/>
        <v>45696</v>
      </c>
      <c r="K332">
        <f ca="1"/>
        <v>-173.98289490149355</v>
      </c>
      <c r="L332">
        <f ca="1"/>
        <v>3.3024447737167861</v>
      </c>
      <c r="M332">
        <f ca="1"/>
        <v>5.3875577637825245E-3</v>
      </c>
      <c r="N332">
        <f ca="1"/>
        <v>0.57501679366105918</v>
      </c>
      <c r="O332">
        <f ca="1"/>
        <v>0</v>
      </c>
      <c r="P332">
        <f ca="1"/>
        <v>354.28235294117644</v>
      </c>
      <c r="Q332">
        <f ca="1"/>
        <v>302.40000000000003</v>
      </c>
      <c r="R332">
        <f ca="1"/>
        <v>0</v>
      </c>
      <c r="S332">
        <f ca="1"/>
        <v>0.34428470061527722</v>
      </c>
      <c r="T332">
        <f ca="1"/>
        <v>0</v>
      </c>
      <c r="U332">
        <f ca="1"/>
        <v>0</v>
      </c>
      <c r="V332">
        <f ca="1"/>
        <v>1</v>
      </c>
      <c r="X332" s="2">
        <f t="shared" ref="X332:X395" ca="1" si="38">IFERROR(J332,$X$10)</f>
        <v>45696</v>
      </c>
      <c r="Y332">
        <f t="shared" ref="Y332:Y395" ca="1" si="39">IFERROR(O332,0)</f>
        <v>0</v>
      </c>
      <c r="AA332" s="63">
        <f t="shared" ca="1" si="34"/>
        <v>-170.68045012777677</v>
      </c>
      <c r="AB332" s="63">
        <f t="shared" ca="1" si="35"/>
        <v>-170.68045012777677</v>
      </c>
      <c r="AC332" s="3">
        <f t="shared" ca="1" si="36"/>
        <v>0</v>
      </c>
    </row>
    <row r="333" spans="8:29">
      <c r="H333" t="e">
        <f t="shared" ref="H333:H396" ca="1" si="40">IF(J333&lt;$J$9,TRUE,FALSE)</f>
        <v>#N/A</v>
      </c>
      <c r="I333" t="e">
        <f t="shared" ca="1" si="37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8"/>
        <v>0</v>
      </c>
      <c r="Y333">
        <f t="shared" ca="1" si="39"/>
        <v>0</v>
      </c>
      <c r="AA333" s="63" t="e">
        <f t="shared" ca="1" si="34"/>
        <v>#N/A</v>
      </c>
      <c r="AB333" s="63" t="e">
        <f t="shared" ca="1" si="35"/>
        <v>#N/A</v>
      </c>
      <c r="AC333" s="3" t="e">
        <f t="shared" ca="1" si="36"/>
        <v>#N/A</v>
      </c>
    </row>
    <row r="334" spans="8:29">
      <c r="H334" t="e">
        <f t="shared" ca="1" si="40"/>
        <v>#N/A</v>
      </c>
      <c r="I334" t="e">
        <f t="shared" ca="1" si="37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8"/>
        <v>0</v>
      </c>
      <c r="Y334">
        <f t="shared" ca="1" si="39"/>
        <v>0</v>
      </c>
      <c r="AA334" s="63" t="e">
        <f t="shared" ca="1" si="34"/>
        <v>#N/A</v>
      </c>
      <c r="AB334" s="63" t="e">
        <f t="shared" ca="1" si="35"/>
        <v>#N/A</v>
      </c>
      <c r="AC334" s="3" t="e">
        <f t="shared" ca="1" si="36"/>
        <v>#N/A</v>
      </c>
    </row>
    <row r="335" spans="8:29">
      <c r="H335" t="e">
        <f t="shared" ca="1" si="40"/>
        <v>#N/A</v>
      </c>
      <c r="I335" t="e">
        <f t="shared" ca="1" si="37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8"/>
        <v>0</v>
      </c>
      <c r="Y335">
        <f t="shared" ca="1" si="39"/>
        <v>0</v>
      </c>
      <c r="AA335" s="63" t="e">
        <f t="shared" ca="1" si="34"/>
        <v>#N/A</v>
      </c>
      <c r="AB335" s="63" t="e">
        <f t="shared" ca="1" si="35"/>
        <v>#N/A</v>
      </c>
      <c r="AC335" s="3" t="e">
        <f t="shared" ca="1" si="36"/>
        <v>#N/A</v>
      </c>
    </row>
    <row r="336" spans="8:29">
      <c r="H336" t="e">
        <f t="shared" ca="1" si="40"/>
        <v>#N/A</v>
      </c>
      <c r="I336" t="e">
        <f t="shared" ca="1" si="37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8"/>
        <v>0</v>
      </c>
      <c r="Y336">
        <f t="shared" ca="1" si="39"/>
        <v>0</v>
      </c>
      <c r="AA336" s="63" t="e">
        <f t="shared" ca="1" si="34"/>
        <v>#N/A</v>
      </c>
      <c r="AB336" s="63" t="e">
        <f t="shared" ca="1" si="35"/>
        <v>#N/A</v>
      </c>
      <c r="AC336" s="3" t="e">
        <f t="shared" ca="1" si="36"/>
        <v>#N/A</v>
      </c>
    </row>
    <row r="337" spans="8:29">
      <c r="H337" t="e">
        <f t="shared" ca="1" si="40"/>
        <v>#N/A</v>
      </c>
      <c r="I337" t="e">
        <f t="shared" ca="1" si="37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8"/>
        <v>0</v>
      </c>
      <c r="Y337">
        <f t="shared" ca="1" si="39"/>
        <v>0</v>
      </c>
      <c r="AA337" s="63" t="e">
        <f t="shared" ref="AA337:AA400" ca="1" si="41">K336+M337+N337+O337</f>
        <v>#N/A</v>
      </c>
      <c r="AB337" s="63" t="e">
        <f t="shared" ref="AB337:AB400" ca="1" si="42">K337+L337+R337</f>
        <v>#N/A</v>
      </c>
      <c r="AC337" s="3" t="e">
        <f t="shared" ref="AC337:AC400" ca="1" si="43">AB337-AA337</f>
        <v>#N/A</v>
      </c>
    </row>
    <row r="338" spans="8:29">
      <c r="H338" t="e">
        <f t="shared" ca="1" si="40"/>
        <v>#N/A</v>
      </c>
      <c r="I338" t="e">
        <f t="shared" ca="1" si="37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8"/>
        <v>0</v>
      </c>
      <c r="Y338">
        <f t="shared" ca="1" si="39"/>
        <v>0</v>
      </c>
      <c r="AA338" s="63" t="e">
        <f t="shared" ca="1" si="41"/>
        <v>#N/A</v>
      </c>
      <c r="AB338" s="63" t="e">
        <f t="shared" ca="1" si="42"/>
        <v>#N/A</v>
      </c>
      <c r="AC338" s="3" t="e">
        <f t="shared" ca="1" si="43"/>
        <v>#N/A</v>
      </c>
    </row>
    <row r="339" spans="8:29">
      <c r="H339" t="e">
        <f t="shared" ca="1" si="40"/>
        <v>#N/A</v>
      </c>
      <c r="I339" t="e">
        <f t="shared" ca="1" si="37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8"/>
        <v>0</v>
      </c>
      <c r="Y339">
        <f t="shared" ca="1" si="39"/>
        <v>0</v>
      </c>
      <c r="AA339" s="63" t="e">
        <f t="shared" ca="1" si="41"/>
        <v>#N/A</v>
      </c>
      <c r="AB339" s="63" t="e">
        <f t="shared" ca="1" si="42"/>
        <v>#N/A</v>
      </c>
      <c r="AC339" s="3" t="e">
        <f t="shared" ca="1" si="43"/>
        <v>#N/A</v>
      </c>
    </row>
    <row r="340" spans="8:29">
      <c r="H340" t="e">
        <f t="shared" ca="1" si="40"/>
        <v>#N/A</v>
      </c>
      <c r="I340" t="e">
        <f t="shared" ca="1" si="37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8"/>
        <v>0</v>
      </c>
      <c r="Y340">
        <f t="shared" ca="1" si="39"/>
        <v>0</v>
      </c>
      <c r="AA340" s="63" t="e">
        <f t="shared" ca="1" si="41"/>
        <v>#N/A</v>
      </c>
      <c r="AB340" s="63" t="e">
        <f t="shared" ca="1" si="42"/>
        <v>#N/A</v>
      </c>
      <c r="AC340" s="3" t="e">
        <f t="shared" ca="1" si="43"/>
        <v>#N/A</v>
      </c>
    </row>
    <row r="341" spans="8:29">
      <c r="H341" t="e">
        <f t="shared" ca="1" si="40"/>
        <v>#N/A</v>
      </c>
      <c r="I341" t="e">
        <f t="shared" ca="1" si="37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8"/>
        <v>0</v>
      </c>
      <c r="Y341">
        <f t="shared" ca="1" si="39"/>
        <v>0</v>
      </c>
      <c r="AA341" s="63" t="e">
        <f t="shared" ca="1" si="41"/>
        <v>#N/A</v>
      </c>
      <c r="AB341" s="63" t="e">
        <f t="shared" ca="1" si="42"/>
        <v>#N/A</v>
      </c>
      <c r="AC341" s="3" t="e">
        <f t="shared" ca="1" si="43"/>
        <v>#N/A</v>
      </c>
    </row>
    <row r="342" spans="8:29">
      <c r="H342" t="e">
        <f t="shared" ca="1" si="40"/>
        <v>#N/A</v>
      </c>
      <c r="I342" t="e">
        <f t="shared" ca="1" si="37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8"/>
        <v>0</v>
      </c>
      <c r="Y342">
        <f t="shared" ca="1" si="39"/>
        <v>0</v>
      </c>
      <c r="AA342" s="63" t="e">
        <f t="shared" ca="1" si="41"/>
        <v>#N/A</v>
      </c>
      <c r="AB342" s="63" t="e">
        <f t="shared" ca="1" si="42"/>
        <v>#N/A</v>
      </c>
      <c r="AC342" s="3" t="e">
        <f t="shared" ca="1" si="43"/>
        <v>#N/A</v>
      </c>
    </row>
    <row r="343" spans="8:29">
      <c r="H343" t="e">
        <f t="shared" ca="1" si="40"/>
        <v>#N/A</v>
      </c>
      <c r="I343" t="e">
        <f t="shared" ca="1" si="37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8"/>
        <v>0</v>
      </c>
      <c r="Y343">
        <f t="shared" ca="1" si="39"/>
        <v>0</v>
      </c>
      <c r="AA343" s="63" t="e">
        <f t="shared" ca="1" si="41"/>
        <v>#N/A</v>
      </c>
      <c r="AB343" s="63" t="e">
        <f t="shared" ca="1" si="42"/>
        <v>#N/A</v>
      </c>
      <c r="AC343" s="3" t="e">
        <f t="shared" ca="1" si="43"/>
        <v>#N/A</v>
      </c>
    </row>
    <row r="344" spans="8:29">
      <c r="H344" t="e">
        <f t="shared" ca="1" si="40"/>
        <v>#N/A</v>
      </c>
      <c r="I344" t="e">
        <f t="shared" ca="1" si="37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8"/>
        <v>0</v>
      </c>
      <c r="Y344">
        <f t="shared" ca="1" si="39"/>
        <v>0</v>
      </c>
      <c r="AA344" s="63" t="e">
        <f t="shared" ca="1" si="41"/>
        <v>#N/A</v>
      </c>
      <c r="AB344" s="63" t="e">
        <f t="shared" ca="1" si="42"/>
        <v>#N/A</v>
      </c>
      <c r="AC344" s="3" t="e">
        <f t="shared" ca="1" si="43"/>
        <v>#N/A</v>
      </c>
    </row>
    <row r="345" spans="8:29">
      <c r="H345" t="e">
        <f t="shared" ca="1" si="40"/>
        <v>#N/A</v>
      </c>
      <c r="I345" t="e">
        <f t="shared" ca="1" si="37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8"/>
        <v>0</v>
      </c>
      <c r="Y345">
        <f t="shared" ca="1" si="39"/>
        <v>0</v>
      </c>
      <c r="AA345" s="63" t="e">
        <f t="shared" ca="1" si="41"/>
        <v>#N/A</v>
      </c>
      <c r="AB345" s="63" t="e">
        <f t="shared" ca="1" si="42"/>
        <v>#N/A</v>
      </c>
      <c r="AC345" s="3" t="e">
        <f t="shared" ca="1" si="43"/>
        <v>#N/A</v>
      </c>
    </row>
    <row r="346" spans="8:29">
      <c r="H346" t="e">
        <f t="shared" ca="1" si="40"/>
        <v>#N/A</v>
      </c>
      <c r="I346" t="e">
        <f t="shared" ca="1" si="37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8"/>
        <v>0</v>
      </c>
      <c r="Y346">
        <f t="shared" ca="1" si="39"/>
        <v>0</v>
      </c>
      <c r="AA346" s="63" t="e">
        <f t="shared" ca="1" si="41"/>
        <v>#N/A</v>
      </c>
      <c r="AB346" s="63" t="e">
        <f t="shared" ca="1" si="42"/>
        <v>#N/A</v>
      </c>
      <c r="AC346" s="3" t="e">
        <f t="shared" ca="1" si="43"/>
        <v>#N/A</v>
      </c>
    </row>
    <row r="347" spans="8:29">
      <c r="H347" t="e">
        <f t="shared" ca="1" si="40"/>
        <v>#N/A</v>
      </c>
      <c r="I347" t="e">
        <f t="shared" ca="1" si="37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8"/>
        <v>0</v>
      </c>
      <c r="Y347">
        <f t="shared" ca="1" si="39"/>
        <v>0</v>
      </c>
      <c r="AA347" s="63" t="e">
        <f t="shared" ca="1" si="41"/>
        <v>#N/A</v>
      </c>
      <c r="AB347" s="63" t="e">
        <f t="shared" ca="1" si="42"/>
        <v>#N/A</v>
      </c>
      <c r="AC347" s="3" t="e">
        <f t="shared" ca="1" si="43"/>
        <v>#N/A</v>
      </c>
    </row>
    <row r="348" spans="8:29">
      <c r="H348" t="e">
        <f t="shared" ca="1" si="40"/>
        <v>#N/A</v>
      </c>
      <c r="I348" t="e">
        <f t="shared" ca="1" si="37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8"/>
        <v>0</v>
      </c>
      <c r="Y348">
        <f t="shared" ca="1" si="39"/>
        <v>0</v>
      </c>
      <c r="AA348" s="63" t="e">
        <f t="shared" ca="1" si="41"/>
        <v>#N/A</v>
      </c>
      <c r="AB348" s="63" t="e">
        <f t="shared" ca="1" si="42"/>
        <v>#N/A</v>
      </c>
      <c r="AC348" s="3" t="e">
        <f t="shared" ca="1" si="43"/>
        <v>#N/A</v>
      </c>
    </row>
    <row r="349" spans="8:29">
      <c r="H349" t="e">
        <f t="shared" ca="1" si="40"/>
        <v>#N/A</v>
      </c>
      <c r="I349" t="e">
        <f t="shared" ca="1" si="37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8"/>
        <v>0</v>
      </c>
      <c r="Y349">
        <f t="shared" ca="1" si="39"/>
        <v>0</v>
      </c>
      <c r="AA349" s="63" t="e">
        <f t="shared" ca="1" si="41"/>
        <v>#N/A</v>
      </c>
      <c r="AB349" s="63" t="e">
        <f t="shared" ca="1" si="42"/>
        <v>#N/A</v>
      </c>
      <c r="AC349" s="3" t="e">
        <f t="shared" ca="1" si="43"/>
        <v>#N/A</v>
      </c>
    </row>
    <row r="350" spans="8:29">
      <c r="H350" t="e">
        <f t="shared" ca="1" si="40"/>
        <v>#N/A</v>
      </c>
      <c r="I350" t="e">
        <f t="shared" ca="1" si="37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8"/>
        <v>0</v>
      </c>
      <c r="Y350">
        <f t="shared" ca="1" si="39"/>
        <v>0</v>
      </c>
      <c r="AA350" s="63" t="e">
        <f t="shared" ca="1" si="41"/>
        <v>#N/A</v>
      </c>
      <c r="AB350" s="63" t="e">
        <f t="shared" ca="1" si="42"/>
        <v>#N/A</v>
      </c>
      <c r="AC350" s="3" t="e">
        <f t="shared" ca="1" si="43"/>
        <v>#N/A</v>
      </c>
    </row>
    <row r="351" spans="8:29">
      <c r="H351" t="e">
        <f t="shared" ca="1" si="40"/>
        <v>#N/A</v>
      </c>
      <c r="I351" t="e">
        <f t="shared" ca="1" si="37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8"/>
        <v>0</v>
      </c>
      <c r="Y351">
        <f t="shared" ca="1" si="39"/>
        <v>0</v>
      </c>
      <c r="AA351" s="63" t="e">
        <f t="shared" ca="1" si="41"/>
        <v>#N/A</v>
      </c>
      <c r="AB351" s="63" t="e">
        <f t="shared" ca="1" si="42"/>
        <v>#N/A</v>
      </c>
      <c r="AC351" s="3" t="e">
        <f t="shared" ca="1" si="43"/>
        <v>#N/A</v>
      </c>
    </row>
    <row r="352" spans="8:29">
      <c r="H352" t="e">
        <f t="shared" ca="1" si="40"/>
        <v>#N/A</v>
      </c>
      <c r="I352" t="e">
        <f t="shared" ca="1" si="37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8"/>
        <v>0</v>
      </c>
      <c r="Y352">
        <f t="shared" ca="1" si="39"/>
        <v>0</v>
      </c>
      <c r="AA352" s="63" t="e">
        <f t="shared" ca="1" si="41"/>
        <v>#N/A</v>
      </c>
      <c r="AB352" s="63" t="e">
        <f t="shared" ca="1" si="42"/>
        <v>#N/A</v>
      </c>
      <c r="AC352" s="3" t="e">
        <f t="shared" ca="1" si="43"/>
        <v>#N/A</v>
      </c>
    </row>
    <row r="353" spans="8:29">
      <c r="H353" t="e">
        <f t="shared" ca="1" si="40"/>
        <v>#N/A</v>
      </c>
      <c r="I353" t="e">
        <f t="shared" ca="1" si="37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8"/>
        <v>0</v>
      </c>
      <c r="Y353">
        <f t="shared" ca="1" si="39"/>
        <v>0</v>
      </c>
      <c r="AA353" s="63" t="e">
        <f t="shared" ca="1" si="41"/>
        <v>#N/A</v>
      </c>
      <c r="AB353" s="63" t="e">
        <f t="shared" ca="1" si="42"/>
        <v>#N/A</v>
      </c>
      <c r="AC353" s="3" t="e">
        <f t="shared" ca="1" si="43"/>
        <v>#N/A</v>
      </c>
    </row>
    <row r="354" spans="8:29">
      <c r="H354" t="e">
        <f t="shared" ca="1" si="40"/>
        <v>#N/A</v>
      </c>
      <c r="I354" t="e">
        <f t="shared" ca="1" si="37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8"/>
        <v>0</v>
      </c>
      <c r="Y354">
        <f t="shared" ca="1" si="39"/>
        <v>0</v>
      </c>
      <c r="AA354" s="63" t="e">
        <f t="shared" ca="1" si="41"/>
        <v>#N/A</v>
      </c>
      <c r="AB354" s="63" t="e">
        <f t="shared" ca="1" si="42"/>
        <v>#N/A</v>
      </c>
      <c r="AC354" s="3" t="e">
        <f t="shared" ca="1" si="43"/>
        <v>#N/A</v>
      </c>
    </row>
    <row r="355" spans="8:29">
      <c r="H355" t="e">
        <f t="shared" ca="1" si="40"/>
        <v>#N/A</v>
      </c>
      <c r="I355" t="e">
        <f t="shared" ca="1" si="37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8"/>
        <v>0</v>
      </c>
      <c r="Y355">
        <f t="shared" ca="1" si="39"/>
        <v>0</v>
      </c>
      <c r="AA355" s="63" t="e">
        <f t="shared" ca="1" si="41"/>
        <v>#N/A</v>
      </c>
      <c r="AB355" s="63" t="e">
        <f t="shared" ca="1" si="42"/>
        <v>#N/A</v>
      </c>
      <c r="AC355" s="3" t="e">
        <f t="shared" ca="1" si="43"/>
        <v>#N/A</v>
      </c>
    </row>
    <row r="356" spans="8:29">
      <c r="H356" t="e">
        <f t="shared" ca="1" si="40"/>
        <v>#N/A</v>
      </c>
      <c r="I356" t="e">
        <f t="shared" ca="1" si="37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8"/>
        <v>0</v>
      </c>
      <c r="Y356">
        <f t="shared" ca="1" si="39"/>
        <v>0</v>
      </c>
      <c r="AA356" s="63" t="e">
        <f t="shared" ca="1" si="41"/>
        <v>#N/A</v>
      </c>
      <c r="AB356" s="63" t="e">
        <f t="shared" ca="1" si="42"/>
        <v>#N/A</v>
      </c>
      <c r="AC356" s="3" t="e">
        <f t="shared" ca="1" si="43"/>
        <v>#N/A</v>
      </c>
    </row>
    <row r="357" spans="8:29">
      <c r="H357" t="e">
        <f t="shared" ca="1" si="40"/>
        <v>#N/A</v>
      </c>
      <c r="I357" t="e">
        <f t="shared" ca="1" si="37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8"/>
        <v>0</v>
      </c>
      <c r="Y357">
        <f t="shared" ca="1" si="39"/>
        <v>0</v>
      </c>
      <c r="AA357" s="63" t="e">
        <f t="shared" ca="1" si="41"/>
        <v>#N/A</v>
      </c>
      <c r="AB357" s="63" t="e">
        <f t="shared" ca="1" si="42"/>
        <v>#N/A</v>
      </c>
      <c r="AC357" s="3" t="e">
        <f t="shared" ca="1" si="43"/>
        <v>#N/A</v>
      </c>
    </row>
    <row r="358" spans="8:29">
      <c r="H358" t="e">
        <f t="shared" ca="1" si="40"/>
        <v>#N/A</v>
      </c>
      <c r="I358" t="e">
        <f t="shared" ca="1" si="37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8"/>
        <v>0</v>
      </c>
      <c r="Y358">
        <f t="shared" ca="1" si="39"/>
        <v>0</v>
      </c>
      <c r="AA358" s="63" t="e">
        <f t="shared" ca="1" si="41"/>
        <v>#N/A</v>
      </c>
      <c r="AB358" s="63" t="e">
        <f t="shared" ca="1" si="42"/>
        <v>#N/A</v>
      </c>
      <c r="AC358" s="3" t="e">
        <f t="shared" ca="1" si="43"/>
        <v>#N/A</v>
      </c>
    </row>
    <row r="359" spans="8:29">
      <c r="H359" t="e">
        <f t="shared" ca="1" si="40"/>
        <v>#N/A</v>
      </c>
      <c r="I359" t="e">
        <f t="shared" ca="1" si="37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8"/>
        <v>0</v>
      </c>
      <c r="Y359">
        <f t="shared" ca="1" si="39"/>
        <v>0</v>
      </c>
      <c r="AA359" s="63" t="e">
        <f t="shared" ca="1" si="41"/>
        <v>#N/A</v>
      </c>
      <c r="AB359" s="63" t="e">
        <f t="shared" ca="1" si="42"/>
        <v>#N/A</v>
      </c>
      <c r="AC359" s="3" t="e">
        <f t="shared" ca="1" si="43"/>
        <v>#N/A</v>
      </c>
    </row>
    <row r="360" spans="8:29">
      <c r="H360" t="e">
        <f t="shared" ca="1" si="40"/>
        <v>#N/A</v>
      </c>
      <c r="I360" t="e">
        <f t="shared" ca="1" si="37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8"/>
        <v>0</v>
      </c>
      <c r="Y360">
        <f t="shared" ca="1" si="39"/>
        <v>0</v>
      </c>
      <c r="AA360" s="63" t="e">
        <f t="shared" ca="1" si="41"/>
        <v>#N/A</v>
      </c>
      <c r="AB360" s="63" t="e">
        <f t="shared" ca="1" si="42"/>
        <v>#N/A</v>
      </c>
      <c r="AC360" s="3" t="e">
        <f t="shared" ca="1" si="43"/>
        <v>#N/A</v>
      </c>
    </row>
    <row r="361" spans="8:29">
      <c r="H361" t="e">
        <f t="shared" ca="1" si="40"/>
        <v>#N/A</v>
      </c>
      <c r="I361" t="e">
        <f t="shared" ca="1" si="37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8"/>
        <v>0</v>
      </c>
      <c r="Y361">
        <f t="shared" ca="1" si="39"/>
        <v>0</v>
      </c>
      <c r="AA361" s="63" t="e">
        <f t="shared" ca="1" si="41"/>
        <v>#N/A</v>
      </c>
      <c r="AB361" s="63" t="e">
        <f t="shared" ca="1" si="42"/>
        <v>#N/A</v>
      </c>
      <c r="AC361" s="3" t="e">
        <f t="shared" ca="1" si="43"/>
        <v>#N/A</v>
      </c>
    </row>
    <row r="362" spans="8:29">
      <c r="H362" t="e">
        <f t="shared" ca="1" si="40"/>
        <v>#N/A</v>
      </c>
      <c r="I362" t="e">
        <f t="shared" ca="1" si="37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8"/>
        <v>0</v>
      </c>
      <c r="Y362">
        <f t="shared" ca="1" si="39"/>
        <v>0</v>
      </c>
      <c r="AA362" s="63" t="e">
        <f t="shared" ca="1" si="41"/>
        <v>#N/A</v>
      </c>
      <c r="AB362" s="63" t="e">
        <f t="shared" ca="1" si="42"/>
        <v>#N/A</v>
      </c>
      <c r="AC362" s="3" t="e">
        <f t="shared" ca="1" si="43"/>
        <v>#N/A</v>
      </c>
    </row>
    <row r="363" spans="8:29">
      <c r="H363" t="e">
        <f t="shared" ca="1" si="40"/>
        <v>#N/A</v>
      </c>
      <c r="I363" t="e">
        <f t="shared" ca="1" si="37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8"/>
        <v>0</v>
      </c>
      <c r="Y363">
        <f t="shared" ca="1" si="39"/>
        <v>0</v>
      </c>
      <c r="AA363" s="63" t="e">
        <f t="shared" ca="1" si="41"/>
        <v>#N/A</v>
      </c>
      <c r="AB363" s="63" t="e">
        <f t="shared" ca="1" si="42"/>
        <v>#N/A</v>
      </c>
      <c r="AC363" s="3" t="e">
        <f t="shared" ca="1" si="43"/>
        <v>#N/A</v>
      </c>
    </row>
    <row r="364" spans="8:29">
      <c r="H364" t="e">
        <f t="shared" ca="1" si="40"/>
        <v>#N/A</v>
      </c>
      <c r="I364" t="e">
        <f t="shared" ca="1" si="37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8"/>
        <v>0</v>
      </c>
      <c r="Y364">
        <f t="shared" ca="1" si="39"/>
        <v>0</v>
      </c>
      <c r="AA364" s="63" t="e">
        <f t="shared" ca="1" si="41"/>
        <v>#N/A</v>
      </c>
      <c r="AB364" s="63" t="e">
        <f t="shared" ca="1" si="42"/>
        <v>#N/A</v>
      </c>
      <c r="AC364" s="3" t="e">
        <f t="shared" ca="1" si="43"/>
        <v>#N/A</v>
      </c>
    </row>
    <row r="365" spans="8:29">
      <c r="H365" t="e">
        <f t="shared" ca="1" si="40"/>
        <v>#N/A</v>
      </c>
      <c r="I365" t="e">
        <f t="shared" ca="1" si="37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8"/>
        <v>0</v>
      </c>
      <c r="Y365">
        <f t="shared" ca="1" si="39"/>
        <v>0</v>
      </c>
      <c r="AA365" s="63" t="e">
        <f t="shared" ca="1" si="41"/>
        <v>#N/A</v>
      </c>
      <c r="AB365" s="63" t="e">
        <f t="shared" ca="1" si="42"/>
        <v>#N/A</v>
      </c>
      <c r="AC365" s="3" t="e">
        <f t="shared" ca="1" si="43"/>
        <v>#N/A</v>
      </c>
    </row>
    <row r="366" spans="8:29">
      <c r="H366" t="e">
        <f t="shared" ca="1" si="40"/>
        <v>#N/A</v>
      </c>
      <c r="I366" t="e">
        <f t="shared" ca="1" si="37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8"/>
        <v>0</v>
      </c>
      <c r="Y366">
        <f t="shared" ca="1" si="39"/>
        <v>0</v>
      </c>
      <c r="AA366" s="63" t="e">
        <f t="shared" ca="1" si="41"/>
        <v>#N/A</v>
      </c>
      <c r="AB366" s="63" t="e">
        <f t="shared" ca="1" si="42"/>
        <v>#N/A</v>
      </c>
      <c r="AC366" s="3" t="e">
        <f t="shared" ca="1" si="43"/>
        <v>#N/A</v>
      </c>
    </row>
    <row r="367" spans="8:29">
      <c r="H367" t="e">
        <f t="shared" ca="1" si="40"/>
        <v>#N/A</v>
      </c>
      <c r="I367" t="e">
        <f t="shared" ca="1" si="37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8"/>
        <v>0</v>
      </c>
      <c r="Y367">
        <f t="shared" ca="1" si="39"/>
        <v>0</v>
      </c>
      <c r="AA367" s="63" t="e">
        <f t="shared" ca="1" si="41"/>
        <v>#N/A</v>
      </c>
      <c r="AB367" s="63" t="e">
        <f t="shared" ca="1" si="42"/>
        <v>#N/A</v>
      </c>
      <c r="AC367" s="3" t="e">
        <f t="shared" ca="1" si="43"/>
        <v>#N/A</v>
      </c>
    </row>
    <row r="368" spans="8:29">
      <c r="H368" t="e">
        <f t="shared" ca="1" si="40"/>
        <v>#N/A</v>
      </c>
      <c r="I368" t="e">
        <f t="shared" ca="1" si="37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8"/>
        <v>0</v>
      </c>
      <c r="Y368">
        <f t="shared" ca="1" si="39"/>
        <v>0</v>
      </c>
      <c r="AA368" s="63" t="e">
        <f t="shared" ca="1" si="41"/>
        <v>#N/A</v>
      </c>
      <c r="AB368" s="63" t="e">
        <f t="shared" ca="1" si="42"/>
        <v>#N/A</v>
      </c>
      <c r="AC368" s="3" t="e">
        <f t="shared" ca="1" si="43"/>
        <v>#N/A</v>
      </c>
    </row>
    <row r="369" spans="8:29">
      <c r="H369" t="e">
        <f t="shared" ca="1" si="40"/>
        <v>#N/A</v>
      </c>
      <c r="I369" t="e">
        <f t="shared" ca="1" si="37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8"/>
        <v>0</v>
      </c>
      <c r="Y369">
        <f t="shared" ca="1" si="39"/>
        <v>0</v>
      </c>
      <c r="AA369" s="63" t="e">
        <f t="shared" ca="1" si="41"/>
        <v>#N/A</v>
      </c>
      <c r="AB369" s="63" t="e">
        <f t="shared" ca="1" si="42"/>
        <v>#N/A</v>
      </c>
      <c r="AC369" s="3" t="e">
        <f t="shared" ca="1" si="43"/>
        <v>#N/A</v>
      </c>
    </row>
    <row r="370" spans="8:29">
      <c r="H370" t="e">
        <f t="shared" ca="1" si="40"/>
        <v>#N/A</v>
      </c>
      <c r="I370" t="e">
        <f t="shared" ca="1" si="37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8"/>
        <v>0</v>
      </c>
      <c r="Y370">
        <f t="shared" ca="1" si="39"/>
        <v>0</v>
      </c>
      <c r="AA370" s="63" t="e">
        <f t="shared" ca="1" si="41"/>
        <v>#N/A</v>
      </c>
      <c r="AB370" s="63" t="e">
        <f t="shared" ca="1" si="42"/>
        <v>#N/A</v>
      </c>
      <c r="AC370" s="3" t="e">
        <f t="shared" ca="1" si="43"/>
        <v>#N/A</v>
      </c>
    </row>
    <row r="371" spans="8:29">
      <c r="H371" t="e">
        <f t="shared" ca="1" si="40"/>
        <v>#N/A</v>
      </c>
      <c r="I371" t="e">
        <f t="shared" ca="1" si="37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8"/>
        <v>0</v>
      </c>
      <c r="Y371">
        <f t="shared" ca="1" si="39"/>
        <v>0</v>
      </c>
      <c r="AA371" s="63" t="e">
        <f t="shared" ca="1" si="41"/>
        <v>#N/A</v>
      </c>
      <c r="AB371" s="63" t="e">
        <f t="shared" ca="1" si="42"/>
        <v>#N/A</v>
      </c>
      <c r="AC371" s="3" t="e">
        <f t="shared" ca="1" si="43"/>
        <v>#N/A</v>
      </c>
    </row>
    <row r="372" spans="8:29">
      <c r="H372" t="e">
        <f t="shared" ca="1" si="40"/>
        <v>#N/A</v>
      </c>
      <c r="I372" t="e">
        <f t="shared" ca="1" si="37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8"/>
        <v>0</v>
      </c>
      <c r="Y372">
        <f t="shared" ca="1" si="39"/>
        <v>0</v>
      </c>
      <c r="AA372" s="63" t="e">
        <f t="shared" ca="1" si="41"/>
        <v>#N/A</v>
      </c>
      <c r="AB372" s="63" t="e">
        <f t="shared" ca="1" si="42"/>
        <v>#N/A</v>
      </c>
      <c r="AC372" s="3" t="e">
        <f t="shared" ca="1" si="43"/>
        <v>#N/A</v>
      </c>
    </row>
    <row r="373" spans="8:29">
      <c r="H373" t="e">
        <f t="shared" ca="1" si="40"/>
        <v>#N/A</v>
      </c>
      <c r="I373" t="e">
        <f t="shared" ca="1" si="37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8"/>
        <v>0</v>
      </c>
      <c r="Y373">
        <f t="shared" ca="1" si="39"/>
        <v>0</v>
      </c>
      <c r="AA373" s="63" t="e">
        <f t="shared" ca="1" si="41"/>
        <v>#N/A</v>
      </c>
      <c r="AB373" s="63" t="e">
        <f t="shared" ca="1" si="42"/>
        <v>#N/A</v>
      </c>
      <c r="AC373" s="3" t="e">
        <f t="shared" ca="1" si="43"/>
        <v>#N/A</v>
      </c>
    </row>
    <row r="374" spans="8:29">
      <c r="H374" t="e">
        <f t="shared" ca="1" si="40"/>
        <v>#N/A</v>
      </c>
      <c r="I374" t="e">
        <f t="shared" ca="1" si="37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8"/>
        <v>0</v>
      </c>
      <c r="Y374">
        <f t="shared" ca="1" si="39"/>
        <v>0</v>
      </c>
      <c r="AA374" s="63" t="e">
        <f t="shared" ca="1" si="41"/>
        <v>#N/A</v>
      </c>
      <c r="AB374" s="63" t="e">
        <f t="shared" ca="1" si="42"/>
        <v>#N/A</v>
      </c>
      <c r="AC374" s="3" t="e">
        <f t="shared" ca="1" si="43"/>
        <v>#N/A</v>
      </c>
    </row>
    <row r="375" spans="8:29">
      <c r="H375" t="e">
        <f t="shared" ca="1" si="40"/>
        <v>#N/A</v>
      </c>
      <c r="I375" t="e">
        <f t="shared" ca="1" si="37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8"/>
        <v>0</v>
      </c>
      <c r="Y375">
        <f t="shared" ca="1" si="39"/>
        <v>0</v>
      </c>
      <c r="AA375" s="63" t="e">
        <f t="shared" ca="1" si="41"/>
        <v>#N/A</v>
      </c>
      <c r="AB375" s="63" t="e">
        <f t="shared" ca="1" si="42"/>
        <v>#N/A</v>
      </c>
      <c r="AC375" s="3" t="e">
        <f t="shared" ca="1" si="43"/>
        <v>#N/A</v>
      </c>
    </row>
    <row r="376" spans="8:29">
      <c r="H376" t="e">
        <f t="shared" ca="1" si="40"/>
        <v>#N/A</v>
      </c>
      <c r="I376" t="e">
        <f t="shared" ca="1" si="37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8"/>
        <v>0</v>
      </c>
      <c r="Y376">
        <f t="shared" ca="1" si="39"/>
        <v>0</v>
      </c>
      <c r="AA376" s="63" t="e">
        <f t="shared" ca="1" si="41"/>
        <v>#N/A</v>
      </c>
      <c r="AB376" s="63" t="e">
        <f t="shared" ca="1" si="42"/>
        <v>#N/A</v>
      </c>
      <c r="AC376" s="3" t="e">
        <f t="shared" ca="1" si="43"/>
        <v>#N/A</v>
      </c>
    </row>
    <row r="377" spans="8:29">
      <c r="H377" t="e">
        <f t="shared" ca="1" si="40"/>
        <v>#N/A</v>
      </c>
      <c r="I377" t="e">
        <f t="shared" ca="1" si="37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8"/>
        <v>0</v>
      </c>
      <c r="Y377">
        <f t="shared" ca="1" si="39"/>
        <v>0</v>
      </c>
      <c r="AA377" s="63" t="e">
        <f t="shared" ca="1" si="41"/>
        <v>#N/A</v>
      </c>
      <c r="AB377" s="63" t="e">
        <f t="shared" ca="1" si="42"/>
        <v>#N/A</v>
      </c>
      <c r="AC377" s="3" t="e">
        <f t="shared" ca="1" si="43"/>
        <v>#N/A</v>
      </c>
    </row>
    <row r="378" spans="8:29">
      <c r="H378" t="e">
        <f t="shared" ca="1" si="40"/>
        <v>#N/A</v>
      </c>
      <c r="I378" t="e">
        <f t="shared" ca="1" si="37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8"/>
        <v>0</v>
      </c>
      <c r="Y378">
        <f t="shared" ca="1" si="39"/>
        <v>0</v>
      </c>
      <c r="AA378" s="63" t="e">
        <f t="shared" ca="1" si="41"/>
        <v>#N/A</v>
      </c>
      <c r="AB378" s="63" t="e">
        <f t="shared" ca="1" si="42"/>
        <v>#N/A</v>
      </c>
      <c r="AC378" s="3" t="e">
        <f t="shared" ca="1" si="43"/>
        <v>#N/A</v>
      </c>
    </row>
    <row r="379" spans="8:29">
      <c r="H379" t="e">
        <f t="shared" ca="1" si="40"/>
        <v>#N/A</v>
      </c>
      <c r="I379" t="e">
        <f t="shared" ca="1" si="37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8"/>
        <v>0</v>
      </c>
      <c r="Y379">
        <f t="shared" ca="1" si="39"/>
        <v>0</v>
      </c>
      <c r="AA379" s="63" t="e">
        <f t="shared" ca="1" si="41"/>
        <v>#N/A</v>
      </c>
      <c r="AB379" s="63" t="e">
        <f t="shared" ca="1" si="42"/>
        <v>#N/A</v>
      </c>
      <c r="AC379" s="3" t="e">
        <f t="shared" ca="1" si="43"/>
        <v>#N/A</v>
      </c>
    </row>
    <row r="380" spans="8:29">
      <c r="H380" t="e">
        <f t="shared" ca="1" si="40"/>
        <v>#N/A</v>
      </c>
      <c r="I380" t="e">
        <f t="shared" ca="1" si="37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8"/>
        <v>0</v>
      </c>
      <c r="Y380">
        <f t="shared" ca="1" si="39"/>
        <v>0</v>
      </c>
      <c r="AA380" s="63" t="e">
        <f t="shared" ca="1" si="41"/>
        <v>#N/A</v>
      </c>
      <c r="AB380" s="63" t="e">
        <f t="shared" ca="1" si="42"/>
        <v>#N/A</v>
      </c>
      <c r="AC380" s="3" t="e">
        <f t="shared" ca="1" si="43"/>
        <v>#N/A</v>
      </c>
    </row>
    <row r="381" spans="8:29">
      <c r="H381" t="e">
        <f t="shared" ca="1" si="40"/>
        <v>#N/A</v>
      </c>
      <c r="I381" t="e">
        <f t="shared" ca="1" si="37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8"/>
        <v>0</v>
      </c>
      <c r="Y381">
        <f t="shared" ca="1" si="39"/>
        <v>0</v>
      </c>
      <c r="AA381" s="63" t="e">
        <f t="shared" ca="1" si="41"/>
        <v>#N/A</v>
      </c>
      <c r="AB381" s="63" t="e">
        <f t="shared" ca="1" si="42"/>
        <v>#N/A</v>
      </c>
      <c r="AC381" s="3" t="e">
        <f t="shared" ca="1" si="43"/>
        <v>#N/A</v>
      </c>
    </row>
    <row r="382" spans="8:29">
      <c r="H382" t="e">
        <f t="shared" ca="1" si="40"/>
        <v>#N/A</v>
      </c>
      <c r="I382" t="e">
        <f t="shared" ca="1" si="37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8"/>
        <v>0</v>
      </c>
      <c r="Y382">
        <f t="shared" ca="1" si="39"/>
        <v>0</v>
      </c>
      <c r="AA382" s="63" t="e">
        <f t="shared" ca="1" si="41"/>
        <v>#N/A</v>
      </c>
      <c r="AB382" s="63" t="e">
        <f t="shared" ca="1" si="42"/>
        <v>#N/A</v>
      </c>
      <c r="AC382" s="3" t="e">
        <f t="shared" ca="1" si="43"/>
        <v>#N/A</v>
      </c>
    </row>
    <row r="383" spans="8:29">
      <c r="H383" t="e">
        <f t="shared" ca="1" si="40"/>
        <v>#N/A</v>
      </c>
      <c r="I383" t="e">
        <f t="shared" ca="1" si="37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8"/>
        <v>0</v>
      </c>
      <c r="Y383">
        <f t="shared" ca="1" si="39"/>
        <v>0</v>
      </c>
      <c r="AA383" s="63" t="e">
        <f t="shared" ca="1" si="41"/>
        <v>#N/A</v>
      </c>
      <c r="AB383" s="63" t="e">
        <f t="shared" ca="1" si="42"/>
        <v>#N/A</v>
      </c>
      <c r="AC383" s="3" t="e">
        <f t="shared" ca="1" si="43"/>
        <v>#N/A</v>
      </c>
    </row>
    <row r="384" spans="8:29">
      <c r="H384" t="e">
        <f t="shared" ca="1" si="40"/>
        <v>#N/A</v>
      </c>
      <c r="I384" t="e">
        <f t="shared" ca="1" si="37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8"/>
        <v>0</v>
      </c>
      <c r="Y384">
        <f t="shared" ca="1" si="39"/>
        <v>0</v>
      </c>
      <c r="AA384" s="63" t="e">
        <f t="shared" ca="1" si="41"/>
        <v>#N/A</v>
      </c>
      <c r="AB384" s="63" t="e">
        <f t="shared" ca="1" si="42"/>
        <v>#N/A</v>
      </c>
      <c r="AC384" s="3" t="e">
        <f t="shared" ca="1" si="43"/>
        <v>#N/A</v>
      </c>
    </row>
    <row r="385" spans="8:29">
      <c r="H385" t="e">
        <f t="shared" ca="1" si="40"/>
        <v>#N/A</v>
      </c>
      <c r="I385" t="e">
        <f t="shared" ca="1" si="37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8"/>
        <v>0</v>
      </c>
      <c r="Y385">
        <f t="shared" ca="1" si="39"/>
        <v>0</v>
      </c>
      <c r="AA385" s="63" t="e">
        <f t="shared" ca="1" si="41"/>
        <v>#N/A</v>
      </c>
      <c r="AB385" s="63" t="e">
        <f t="shared" ca="1" si="42"/>
        <v>#N/A</v>
      </c>
      <c r="AC385" s="3" t="e">
        <f t="shared" ca="1" si="43"/>
        <v>#N/A</v>
      </c>
    </row>
    <row r="386" spans="8:29">
      <c r="H386" t="e">
        <f t="shared" ca="1" si="40"/>
        <v>#N/A</v>
      </c>
      <c r="I386" t="e">
        <f t="shared" ca="1" si="37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8"/>
        <v>0</v>
      </c>
      <c r="Y386">
        <f t="shared" ca="1" si="39"/>
        <v>0</v>
      </c>
      <c r="AA386" s="63" t="e">
        <f t="shared" ca="1" si="41"/>
        <v>#N/A</v>
      </c>
      <c r="AB386" s="63" t="e">
        <f t="shared" ca="1" si="42"/>
        <v>#N/A</v>
      </c>
      <c r="AC386" s="3" t="e">
        <f t="shared" ca="1" si="43"/>
        <v>#N/A</v>
      </c>
    </row>
    <row r="387" spans="8:29">
      <c r="H387" t="e">
        <f t="shared" ca="1" si="40"/>
        <v>#N/A</v>
      </c>
      <c r="I387" t="e">
        <f t="shared" ca="1" si="37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8"/>
        <v>0</v>
      </c>
      <c r="Y387">
        <f t="shared" ca="1" si="39"/>
        <v>0</v>
      </c>
      <c r="AA387" s="63" t="e">
        <f t="shared" ca="1" si="41"/>
        <v>#N/A</v>
      </c>
      <c r="AB387" s="63" t="e">
        <f t="shared" ca="1" si="42"/>
        <v>#N/A</v>
      </c>
      <c r="AC387" s="3" t="e">
        <f t="shared" ca="1" si="43"/>
        <v>#N/A</v>
      </c>
    </row>
    <row r="388" spans="8:29">
      <c r="H388" t="e">
        <f t="shared" ca="1" si="40"/>
        <v>#N/A</v>
      </c>
      <c r="I388" t="e">
        <f t="shared" ca="1" si="37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8"/>
        <v>0</v>
      </c>
      <c r="Y388">
        <f t="shared" ca="1" si="39"/>
        <v>0</v>
      </c>
      <c r="AA388" s="63" t="e">
        <f t="shared" ca="1" si="41"/>
        <v>#N/A</v>
      </c>
      <c r="AB388" s="63" t="e">
        <f t="shared" ca="1" si="42"/>
        <v>#N/A</v>
      </c>
      <c r="AC388" s="3" t="e">
        <f t="shared" ca="1" si="43"/>
        <v>#N/A</v>
      </c>
    </row>
    <row r="389" spans="8:29">
      <c r="H389" t="e">
        <f t="shared" ca="1" si="40"/>
        <v>#N/A</v>
      </c>
      <c r="I389" t="e">
        <f t="shared" ca="1" si="37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8"/>
        <v>0</v>
      </c>
      <c r="Y389">
        <f t="shared" ca="1" si="39"/>
        <v>0</v>
      </c>
      <c r="AA389" s="63" t="e">
        <f t="shared" ca="1" si="41"/>
        <v>#N/A</v>
      </c>
      <c r="AB389" s="63" t="e">
        <f t="shared" ca="1" si="42"/>
        <v>#N/A</v>
      </c>
      <c r="AC389" s="3" t="e">
        <f t="shared" ca="1" si="43"/>
        <v>#N/A</v>
      </c>
    </row>
    <row r="390" spans="8:29">
      <c r="H390" t="e">
        <f t="shared" ca="1" si="40"/>
        <v>#N/A</v>
      </c>
      <c r="I390" t="e">
        <f t="shared" ca="1" si="37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8"/>
        <v>0</v>
      </c>
      <c r="Y390">
        <f t="shared" ca="1" si="39"/>
        <v>0</v>
      </c>
      <c r="AA390" s="63" t="e">
        <f t="shared" ca="1" si="41"/>
        <v>#N/A</v>
      </c>
      <c r="AB390" s="63" t="e">
        <f t="shared" ca="1" si="42"/>
        <v>#N/A</v>
      </c>
      <c r="AC390" s="3" t="e">
        <f t="shared" ca="1" si="43"/>
        <v>#N/A</v>
      </c>
    </row>
    <row r="391" spans="8:29">
      <c r="H391" t="e">
        <f t="shared" ca="1" si="40"/>
        <v>#N/A</v>
      </c>
      <c r="I391" t="e">
        <f t="shared" ca="1" si="37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ca="1" si="38"/>
        <v>0</v>
      </c>
      <c r="Y391">
        <f t="shared" ca="1" si="39"/>
        <v>0</v>
      </c>
      <c r="AA391" s="63" t="e">
        <f t="shared" ca="1" si="41"/>
        <v>#N/A</v>
      </c>
      <c r="AB391" s="63" t="e">
        <f t="shared" ca="1" si="42"/>
        <v>#N/A</v>
      </c>
      <c r="AC391" s="3" t="e">
        <f t="shared" ca="1" si="43"/>
        <v>#N/A</v>
      </c>
    </row>
    <row r="392" spans="8:29">
      <c r="H392" t="e">
        <f t="shared" ca="1" si="40"/>
        <v>#N/A</v>
      </c>
      <c r="I392" t="e">
        <f t="shared" ca="1" si="37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38"/>
        <v>0</v>
      </c>
      <c r="Y392">
        <f t="shared" ca="1" si="39"/>
        <v>0</v>
      </c>
      <c r="AA392" s="63" t="e">
        <f t="shared" ca="1" si="41"/>
        <v>#N/A</v>
      </c>
      <c r="AB392" s="63" t="e">
        <f t="shared" ca="1" si="42"/>
        <v>#N/A</v>
      </c>
      <c r="AC392" s="3" t="e">
        <f t="shared" ca="1" si="43"/>
        <v>#N/A</v>
      </c>
    </row>
    <row r="393" spans="8:29">
      <c r="H393" t="e">
        <f t="shared" ca="1" si="40"/>
        <v>#N/A</v>
      </c>
      <c r="I393" t="e">
        <f t="shared" ca="1" si="37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8"/>
        <v>0</v>
      </c>
      <c r="Y393">
        <f t="shared" ca="1" si="39"/>
        <v>0</v>
      </c>
      <c r="AA393" s="63" t="e">
        <f t="shared" ca="1" si="41"/>
        <v>#N/A</v>
      </c>
      <c r="AB393" s="63" t="e">
        <f t="shared" ca="1" si="42"/>
        <v>#N/A</v>
      </c>
      <c r="AC393" s="3" t="e">
        <f t="shared" ca="1" si="43"/>
        <v>#N/A</v>
      </c>
    </row>
    <row r="394" spans="8:29">
      <c r="H394" t="e">
        <f t="shared" ca="1" si="40"/>
        <v>#N/A</v>
      </c>
      <c r="I394" t="e">
        <f t="shared" ca="1" si="37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8"/>
        <v>0</v>
      </c>
      <c r="Y394">
        <f t="shared" ca="1" si="39"/>
        <v>0</v>
      </c>
      <c r="AA394" s="63" t="e">
        <f t="shared" ca="1" si="41"/>
        <v>#N/A</v>
      </c>
      <c r="AB394" s="63" t="e">
        <f t="shared" ca="1" si="42"/>
        <v>#N/A</v>
      </c>
      <c r="AC394" s="3" t="e">
        <f t="shared" ca="1" si="43"/>
        <v>#N/A</v>
      </c>
    </row>
    <row r="395" spans="8:29">
      <c r="H395" t="e">
        <f t="shared" ca="1" si="40"/>
        <v>#N/A</v>
      </c>
      <c r="I395" t="e">
        <f t="shared" ca="1" si="37"/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ca="1" si="38"/>
        <v>0</v>
      </c>
      <c r="Y395">
        <f t="shared" ca="1" si="39"/>
        <v>0</v>
      </c>
      <c r="AA395" s="63" t="e">
        <f t="shared" ca="1" si="41"/>
        <v>#N/A</v>
      </c>
      <c r="AB395" s="63" t="e">
        <f t="shared" ca="1" si="42"/>
        <v>#N/A</v>
      </c>
      <c r="AC395" s="3" t="e">
        <f t="shared" ca="1" si="43"/>
        <v>#N/A</v>
      </c>
    </row>
    <row r="396" spans="8:29">
      <c r="H396" t="e">
        <f t="shared" ca="1" si="40"/>
        <v>#N/A</v>
      </c>
      <c r="I396" t="e">
        <f t="shared" ref="I396:I459" ca="1" si="44">AND(IF(J396&gt;($J$8-1),TRUE,FALSE),IF(J396&lt;($J$9+1),TRUE,FALSE))</f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ref="X396:X459" ca="1" si="45">IFERROR(J396,$X$10)</f>
        <v>0</v>
      </c>
      <c r="Y396">
        <f t="shared" ref="Y396:Y459" ca="1" si="46">IFERROR(O396,0)</f>
        <v>0</v>
      </c>
      <c r="AA396" s="63" t="e">
        <f t="shared" ca="1" si="41"/>
        <v>#N/A</v>
      </c>
      <c r="AB396" s="63" t="e">
        <f t="shared" ca="1" si="42"/>
        <v>#N/A</v>
      </c>
      <c r="AC396" s="3" t="e">
        <f t="shared" ca="1" si="43"/>
        <v>#N/A</v>
      </c>
    </row>
    <row r="397" spans="8:29">
      <c r="H397" t="e">
        <f t="shared" ref="H397:H460" ca="1" si="47">IF(J397&lt;$J$9,TRUE,FALSE)</f>
        <v>#N/A</v>
      </c>
      <c r="I397" t="e">
        <f t="shared" ca="1" si="44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5"/>
        <v>0</v>
      </c>
      <c r="Y397">
        <f t="shared" ca="1" si="46"/>
        <v>0</v>
      </c>
      <c r="AA397" s="63" t="e">
        <f t="shared" ca="1" si="41"/>
        <v>#N/A</v>
      </c>
      <c r="AB397" s="63" t="e">
        <f t="shared" ca="1" si="42"/>
        <v>#N/A</v>
      </c>
      <c r="AC397" s="3" t="e">
        <f t="shared" ca="1" si="43"/>
        <v>#N/A</v>
      </c>
    </row>
    <row r="398" spans="8:29">
      <c r="H398" t="e">
        <f t="shared" ca="1" si="47"/>
        <v>#N/A</v>
      </c>
      <c r="I398" t="e">
        <f t="shared" ca="1" si="44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5"/>
        <v>0</v>
      </c>
      <c r="Y398">
        <f t="shared" ca="1" si="46"/>
        <v>0</v>
      </c>
      <c r="AA398" s="63" t="e">
        <f t="shared" ca="1" si="41"/>
        <v>#N/A</v>
      </c>
      <c r="AB398" s="63" t="e">
        <f t="shared" ca="1" si="42"/>
        <v>#N/A</v>
      </c>
      <c r="AC398" s="3" t="e">
        <f t="shared" ca="1" si="43"/>
        <v>#N/A</v>
      </c>
    </row>
    <row r="399" spans="8:29">
      <c r="H399" t="e">
        <f t="shared" ca="1" si="47"/>
        <v>#N/A</v>
      </c>
      <c r="I399" t="e">
        <f t="shared" ca="1" si="44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5"/>
        <v>0</v>
      </c>
      <c r="Y399">
        <f t="shared" ca="1" si="46"/>
        <v>0</v>
      </c>
      <c r="AA399" s="63" t="e">
        <f t="shared" ca="1" si="41"/>
        <v>#N/A</v>
      </c>
      <c r="AB399" s="63" t="e">
        <f t="shared" ca="1" si="42"/>
        <v>#N/A</v>
      </c>
      <c r="AC399" s="3" t="e">
        <f t="shared" ca="1" si="43"/>
        <v>#N/A</v>
      </c>
    </row>
    <row r="400" spans="8:29">
      <c r="H400" t="e">
        <f t="shared" ca="1" si="47"/>
        <v>#N/A</v>
      </c>
      <c r="I400" t="e">
        <f t="shared" ca="1" si="44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5"/>
        <v>0</v>
      </c>
      <c r="Y400">
        <f t="shared" ca="1" si="46"/>
        <v>0</v>
      </c>
      <c r="AA400" s="63" t="e">
        <f t="shared" ca="1" si="41"/>
        <v>#N/A</v>
      </c>
      <c r="AB400" s="63" t="e">
        <f t="shared" ca="1" si="42"/>
        <v>#N/A</v>
      </c>
      <c r="AC400" s="3" t="e">
        <f t="shared" ca="1" si="43"/>
        <v>#N/A</v>
      </c>
    </row>
    <row r="401" spans="8:29">
      <c r="H401" t="e">
        <f t="shared" ca="1" si="47"/>
        <v>#N/A</v>
      </c>
      <c r="I401" t="e">
        <f t="shared" ca="1" si="44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5"/>
        <v>0</v>
      </c>
      <c r="Y401">
        <f t="shared" ca="1" si="46"/>
        <v>0</v>
      </c>
      <c r="AA401" s="63" t="e">
        <f t="shared" ref="AA401:AA464" ca="1" si="48">K400+M401+N401+O401</f>
        <v>#N/A</v>
      </c>
      <c r="AB401" s="63" t="e">
        <f t="shared" ref="AB401:AB464" ca="1" si="49">K401+L401+R401</f>
        <v>#N/A</v>
      </c>
      <c r="AC401" s="3" t="e">
        <f t="shared" ref="AC401:AC464" ca="1" si="50">AB401-AA401</f>
        <v>#N/A</v>
      </c>
    </row>
    <row r="402" spans="8:29">
      <c r="H402" t="e">
        <f t="shared" ca="1" si="47"/>
        <v>#N/A</v>
      </c>
      <c r="I402" t="e">
        <f t="shared" ca="1" si="44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5"/>
        <v>0</v>
      </c>
      <c r="Y402">
        <f t="shared" ca="1" si="46"/>
        <v>0</v>
      </c>
      <c r="AA402" s="63" t="e">
        <f t="shared" ca="1" si="48"/>
        <v>#N/A</v>
      </c>
      <c r="AB402" s="63" t="e">
        <f t="shared" ca="1" si="49"/>
        <v>#N/A</v>
      </c>
      <c r="AC402" s="3" t="e">
        <f t="shared" ca="1" si="50"/>
        <v>#N/A</v>
      </c>
    </row>
    <row r="403" spans="8:29">
      <c r="H403" t="e">
        <f t="shared" ca="1" si="47"/>
        <v>#N/A</v>
      </c>
      <c r="I403" t="e">
        <f t="shared" ca="1" si="44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5"/>
        <v>0</v>
      </c>
      <c r="Y403">
        <f t="shared" ca="1" si="46"/>
        <v>0</v>
      </c>
      <c r="AA403" s="63" t="e">
        <f t="shared" ca="1" si="48"/>
        <v>#N/A</v>
      </c>
      <c r="AB403" s="63" t="e">
        <f t="shared" ca="1" si="49"/>
        <v>#N/A</v>
      </c>
      <c r="AC403" s="3" t="e">
        <f t="shared" ca="1" si="50"/>
        <v>#N/A</v>
      </c>
    </row>
    <row r="404" spans="8:29">
      <c r="H404" t="e">
        <f t="shared" ca="1" si="47"/>
        <v>#N/A</v>
      </c>
      <c r="I404" t="e">
        <f t="shared" ca="1" si="44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5"/>
        <v>0</v>
      </c>
      <c r="Y404">
        <f t="shared" ca="1" si="46"/>
        <v>0</v>
      </c>
      <c r="AA404" s="63" t="e">
        <f t="shared" ca="1" si="48"/>
        <v>#N/A</v>
      </c>
      <c r="AB404" s="63" t="e">
        <f t="shared" ca="1" si="49"/>
        <v>#N/A</v>
      </c>
      <c r="AC404" s="3" t="e">
        <f t="shared" ca="1" si="50"/>
        <v>#N/A</v>
      </c>
    </row>
    <row r="405" spans="8:29">
      <c r="H405" t="e">
        <f t="shared" ca="1" si="47"/>
        <v>#N/A</v>
      </c>
      <c r="I405" t="e">
        <f t="shared" ca="1" si="44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5"/>
        <v>0</v>
      </c>
      <c r="Y405">
        <f t="shared" ca="1" si="46"/>
        <v>0</v>
      </c>
      <c r="AA405" s="63" t="e">
        <f t="shared" ca="1" si="48"/>
        <v>#N/A</v>
      </c>
      <c r="AB405" s="63" t="e">
        <f t="shared" ca="1" si="49"/>
        <v>#N/A</v>
      </c>
      <c r="AC405" s="3" t="e">
        <f t="shared" ca="1" si="50"/>
        <v>#N/A</v>
      </c>
    </row>
    <row r="406" spans="8:29">
      <c r="H406" t="e">
        <f t="shared" ca="1" si="47"/>
        <v>#N/A</v>
      </c>
      <c r="I406" t="e">
        <f t="shared" ca="1" si="44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5"/>
        <v>0</v>
      </c>
      <c r="Y406">
        <f t="shared" ca="1" si="46"/>
        <v>0</v>
      </c>
      <c r="AA406" s="63" t="e">
        <f t="shared" ca="1" si="48"/>
        <v>#N/A</v>
      </c>
      <c r="AB406" s="63" t="e">
        <f t="shared" ca="1" si="49"/>
        <v>#N/A</v>
      </c>
      <c r="AC406" s="3" t="e">
        <f t="shared" ca="1" si="50"/>
        <v>#N/A</v>
      </c>
    </row>
    <row r="407" spans="8:29">
      <c r="H407" t="e">
        <f t="shared" ca="1" si="47"/>
        <v>#N/A</v>
      </c>
      <c r="I407" t="e">
        <f t="shared" ca="1" si="44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5"/>
        <v>0</v>
      </c>
      <c r="Y407">
        <f t="shared" ca="1" si="46"/>
        <v>0</v>
      </c>
      <c r="AA407" s="63" t="e">
        <f t="shared" ca="1" si="48"/>
        <v>#N/A</v>
      </c>
      <c r="AB407" s="63" t="e">
        <f t="shared" ca="1" si="49"/>
        <v>#N/A</v>
      </c>
      <c r="AC407" s="3" t="e">
        <f t="shared" ca="1" si="50"/>
        <v>#N/A</v>
      </c>
    </row>
    <row r="408" spans="8:29">
      <c r="H408" t="e">
        <f t="shared" ca="1" si="47"/>
        <v>#N/A</v>
      </c>
      <c r="I408" t="e">
        <f t="shared" ca="1" si="44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5"/>
        <v>0</v>
      </c>
      <c r="Y408">
        <f t="shared" ca="1" si="46"/>
        <v>0</v>
      </c>
      <c r="AA408" s="63" t="e">
        <f t="shared" ca="1" si="48"/>
        <v>#N/A</v>
      </c>
      <c r="AB408" s="63" t="e">
        <f t="shared" ca="1" si="49"/>
        <v>#N/A</v>
      </c>
      <c r="AC408" s="3" t="e">
        <f t="shared" ca="1" si="50"/>
        <v>#N/A</v>
      </c>
    </row>
    <row r="409" spans="8:29">
      <c r="H409" t="e">
        <f t="shared" ca="1" si="47"/>
        <v>#N/A</v>
      </c>
      <c r="I409" t="e">
        <f t="shared" ca="1" si="44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5"/>
        <v>0</v>
      </c>
      <c r="Y409">
        <f t="shared" ca="1" si="46"/>
        <v>0</v>
      </c>
      <c r="AA409" s="63" t="e">
        <f t="shared" ca="1" si="48"/>
        <v>#N/A</v>
      </c>
      <c r="AB409" s="63" t="e">
        <f t="shared" ca="1" si="49"/>
        <v>#N/A</v>
      </c>
      <c r="AC409" s="3" t="e">
        <f t="shared" ca="1" si="50"/>
        <v>#N/A</v>
      </c>
    </row>
    <row r="410" spans="8:29">
      <c r="H410" t="e">
        <f t="shared" ca="1" si="47"/>
        <v>#N/A</v>
      </c>
      <c r="I410" t="e">
        <f t="shared" ca="1" si="44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5"/>
        <v>0</v>
      </c>
      <c r="Y410">
        <f t="shared" ca="1" si="46"/>
        <v>0</v>
      </c>
      <c r="AA410" s="63" t="e">
        <f t="shared" ca="1" si="48"/>
        <v>#N/A</v>
      </c>
      <c r="AB410" s="63" t="e">
        <f t="shared" ca="1" si="49"/>
        <v>#N/A</v>
      </c>
      <c r="AC410" s="3" t="e">
        <f t="shared" ca="1" si="50"/>
        <v>#N/A</v>
      </c>
    </row>
    <row r="411" spans="8:29">
      <c r="H411" t="e">
        <f t="shared" ca="1" si="47"/>
        <v>#N/A</v>
      </c>
      <c r="I411" t="e">
        <f t="shared" ca="1" si="44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5"/>
        <v>0</v>
      </c>
      <c r="Y411">
        <f t="shared" ca="1" si="46"/>
        <v>0</v>
      </c>
      <c r="AA411" s="63" t="e">
        <f t="shared" ca="1" si="48"/>
        <v>#N/A</v>
      </c>
      <c r="AB411" s="63" t="e">
        <f t="shared" ca="1" si="49"/>
        <v>#N/A</v>
      </c>
      <c r="AC411" s="3" t="e">
        <f t="shared" ca="1" si="50"/>
        <v>#N/A</v>
      </c>
    </row>
    <row r="412" spans="8:29">
      <c r="H412" t="e">
        <f t="shared" ca="1" si="47"/>
        <v>#N/A</v>
      </c>
      <c r="I412" t="e">
        <f t="shared" ca="1" si="44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5"/>
        <v>0</v>
      </c>
      <c r="Y412">
        <f t="shared" ca="1" si="46"/>
        <v>0</v>
      </c>
      <c r="AA412" s="63" t="e">
        <f t="shared" ca="1" si="48"/>
        <v>#N/A</v>
      </c>
      <c r="AB412" s="63" t="e">
        <f t="shared" ca="1" si="49"/>
        <v>#N/A</v>
      </c>
      <c r="AC412" s="3" t="e">
        <f t="shared" ca="1" si="50"/>
        <v>#N/A</v>
      </c>
    </row>
    <row r="413" spans="8:29">
      <c r="H413" t="e">
        <f t="shared" ca="1" si="47"/>
        <v>#N/A</v>
      </c>
      <c r="I413" t="e">
        <f t="shared" ca="1" si="44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5"/>
        <v>0</v>
      </c>
      <c r="Y413">
        <f t="shared" ca="1" si="46"/>
        <v>0</v>
      </c>
      <c r="AA413" s="63" t="e">
        <f t="shared" ca="1" si="48"/>
        <v>#N/A</v>
      </c>
      <c r="AB413" s="63" t="e">
        <f t="shared" ca="1" si="49"/>
        <v>#N/A</v>
      </c>
      <c r="AC413" s="3" t="e">
        <f t="shared" ca="1" si="50"/>
        <v>#N/A</v>
      </c>
    </row>
    <row r="414" spans="8:29">
      <c r="H414" t="e">
        <f t="shared" ca="1" si="47"/>
        <v>#N/A</v>
      </c>
      <c r="I414" t="e">
        <f t="shared" ca="1" si="44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5"/>
        <v>0</v>
      </c>
      <c r="Y414">
        <f t="shared" ca="1" si="46"/>
        <v>0</v>
      </c>
      <c r="AA414" s="63" t="e">
        <f t="shared" ca="1" si="48"/>
        <v>#N/A</v>
      </c>
      <c r="AB414" s="63" t="e">
        <f t="shared" ca="1" si="49"/>
        <v>#N/A</v>
      </c>
      <c r="AC414" s="3" t="e">
        <f t="shared" ca="1" si="50"/>
        <v>#N/A</v>
      </c>
    </row>
    <row r="415" spans="8:29">
      <c r="H415" t="e">
        <f t="shared" ca="1" si="47"/>
        <v>#N/A</v>
      </c>
      <c r="I415" t="e">
        <f t="shared" ca="1" si="44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5"/>
        <v>0</v>
      </c>
      <c r="Y415">
        <f t="shared" ca="1" si="46"/>
        <v>0</v>
      </c>
      <c r="AA415" s="63" t="e">
        <f t="shared" ca="1" si="48"/>
        <v>#N/A</v>
      </c>
      <c r="AB415" s="63" t="e">
        <f t="shared" ca="1" si="49"/>
        <v>#N/A</v>
      </c>
      <c r="AC415" s="3" t="e">
        <f t="shared" ca="1" si="50"/>
        <v>#N/A</v>
      </c>
    </row>
    <row r="416" spans="8:29">
      <c r="H416" t="e">
        <f t="shared" ca="1" si="47"/>
        <v>#N/A</v>
      </c>
      <c r="I416" t="e">
        <f t="shared" ca="1" si="44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5"/>
        <v>0</v>
      </c>
      <c r="Y416">
        <f t="shared" ca="1" si="46"/>
        <v>0</v>
      </c>
      <c r="AA416" s="63" t="e">
        <f t="shared" ca="1" si="48"/>
        <v>#N/A</v>
      </c>
      <c r="AB416" s="63" t="e">
        <f t="shared" ca="1" si="49"/>
        <v>#N/A</v>
      </c>
      <c r="AC416" s="3" t="e">
        <f t="shared" ca="1" si="50"/>
        <v>#N/A</v>
      </c>
    </row>
    <row r="417" spans="8:29">
      <c r="H417" t="e">
        <f t="shared" ca="1" si="47"/>
        <v>#N/A</v>
      </c>
      <c r="I417" t="e">
        <f t="shared" ca="1" si="44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5"/>
        <v>0</v>
      </c>
      <c r="Y417">
        <f t="shared" ca="1" si="46"/>
        <v>0</v>
      </c>
      <c r="AA417" s="63" t="e">
        <f t="shared" ca="1" si="48"/>
        <v>#N/A</v>
      </c>
      <c r="AB417" s="63" t="e">
        <f t="shared" ca="1" si="49"/>
        <v>#N/A</v>
      </c>
      <c r="AC417" s="3" t="e">
        <f t="shared" ca="1" si="50"/>
        <v>#N/A</v>
      </c>
    </row>
    <row r="418" spans="8:29">
      <c r="H418" t="e">
        <f t="shared" ca="1" si="47"/>
        <v>#N/A</v>
      </c>
      <c r="I418" t="e">
        <f t="shared" ca="1" si="44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5"/>
        <v>0</v>
      </c>
      <c r="Y418">
        <f t="shared" ca="1" si="46"/>
        <v>0</v>
      </c>
      <c r="AA418" s="63" t="e">
        <f t="shared" ca="1" si="48"/>
        <v>#N/A</v>
      </c>
      <c r="AB418" s="63" t="e">
        <f t="shared" ca="1" si="49"/>
        <v>#N/A</v>
      </c>
      <c r="AC418" s="3" t="e">
        <f t="shared" ca="1" si="50"/>
        <v>#N/A</v>
      </c>
    </row>
    <row r="419" spans="8:29">
      <c r="H419" t="e">
        <f t="shared" ca="1" si="47"/>
        <v>#N/A</v>
      </c>
      <c r="I419" t="e">
        <f t="shared" ca="1" si="44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5"/>
        <v>0</v>
      </c>
      <c r="Y419">
        <f t="shared" ca="1" si="46"/>
        <v>0</v>
      </c>
      <c r="AA419" s="63" t="e">
        <f t="shared" ca="1" si="48"/>
        <v>#N/A</v>
      </c>
      <c r="AB419" s="63" t="e">
        <f t="shared" ca="1" si="49"/>
        <v>#N/A</v>
      </c>
      <c r="AC419" s="3" t="e">
        <f t="shared" ca="1" si="50"/>
        <v>#N/A</v>
      </c>
    </row>
    <row r="420" spans="8:29">
      <c r="H420" t="e">
        <f t="shared" ca="1" si="47"/>
        <v>#N/A</v>
      </c>
      <c r="I420" t="e">
        <f t="shared" ca="1" si="44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5"/>
        <v>0</v>
      </c>
      <c r="Y420">
        <f t="shared" ca="1" si="46"/>
        <v>0</v>
      </c>
      <c r="AA420" s="63" t="e">
        <f t="shared" ca="1" si="48"/>
        <v>#N/A</v>
      </c>
      <c r="AB420" s="63" t="e">
        <f t="shared" ca="1" si="49"/>
        <v>#N/A</v>
      </c>
      <c r="AC420" s="3" t="e">
        <f t="shared" ca="1" si="50"/>
        <v>#N/A</v>
      </c>
    </row>
    <row r="421" spans="8:29">
      <c r="H421" t="e">
        <f t="shared" ca="1" si="47"/>
        <v>#N/A</v>
      </c>
      <c r="I421" t="e">
        <f t="shared" ca="1" si="44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5"/>
        <v>0</v>
      </c>
      <c r="Y421">
        <f t="shared" ca="1" si="46"/>
        <v>0</v>
      </c>
      <c r="AA421" s="63" t="e">
        <f t="shared" ca="1" si="48"/>
        <v>#N/A</v>
      </c>
      <c r="AB421" s="63" t="e">
        <f t="shared" ca="1" si="49"/>
        <v>#N/A</v>
      </c>
      <c r="AC421" s="3" t="e">
        <f t="shared" ca="1" si="50"/>
        <v>#N/A</v>
      </c>
    </row>
    <row r="422" spans="8:29">
      <c r="H422" t="e">
        <f t="shared" ca="1" si="47"/>
        <v>#N/A</v>
      </c>
      <c r="I422" t="e">
        <f t="shared" ca="1" si="44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5"/>
        <v>0</v>
      </c>
      <c r="Y422">
        <f t="shared" ca="1" si="46"/>
        <v>0</v>
      </c>
      <c r="AA422" s="63" t="e">
        <f t="shared" ca="1" si="48"/>
        <v>#N/A</v>
      </c>
      <c r="AB422" s="63" t="e">
        <f t="shared" ca="1" si="49"/>
        <v>#N/A</v>
      </c>
      <c r="AC422" s="3" t="e">
        <f t="shared" ca="1" si="50"/>
        <v>#N/A</v>
      </c>
    </row>
    <row r="423" spans="8:29">
      <c r="H423" t="e">
        <f t="shared" ca="1" si="47"/>
        <v>#N/A</v>
      </c>
      <c r="I423" t="e">
        <f t="shared" ca="1" si="44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5"/>
        <v>0</v>
      </c>
      <c r="Y423">
        <f t="shared" ca="1" si="46"/>
        <v>0</v>
      </c>
      <c r="AA423" s="63" t="e">
        <f t="shared" ca="1" si="48"/>
        <v>#N/A</v>
      </c>
      <c r="AB423" s="63" t="e">
        <f t="shared" ca="1" si="49"/>
        <v>#N/A</v>
      </c>
      <c r="AC423" s="3" t="e">
        <f t="shared" ca="1" si="50"/>
        <v>#N/A</v>
      </c>
    </row>
    <row r="424" spans="8:29">
      <c r="H424" t="e">
        <f t="shared" ca="1" si="47"/>
        <v>#N/A</v>
      </c>
      <c r="I424" t="e">
        <f t="shared" ca="1" si="44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5"/>
        <v>0</v>
      </c>
      <c r="Y424">
        <f t="shared" ca="1" si="46"/>
        <v>0</v>
      </c>
      <c r="AA424" s="63" t="e">
        <f t="shared" ca="1" si="48"/>
        <v>#N/A</v>
      </c>
      <c r="AB424" s="63" t="e">
        <f t="shared" ca="1" si="49"/>
        <v>#N/A</v>
      </c>
      <c r="AC424" s="3" t="e">
        <f t="shared" ca="1" si="50"/>
        <v>#N/A</v>
      </c>
    </row>
    <row r="425" spans="8:29">
      <c r="H425" t="e">
        <f t="shared" ca="1" si="47"/>
        <v>#N/A</v>
      </c>
      <c r="I425" t="e">
        <f t="shared" ca="1" si="44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5"/>
        <v>0</v>
      </c>
      <c r="Y425">
        <f t="shared" ca="1" si="46"/>
        <v>0</v>
      </c>
      <c r="AA425" s="63" t="e">
        <f t="shared" ca="1" si="48"/>
        <v>#N/A</v>
      </c>
      <c r="AB425" s="63" t="e">
        <f t="shared" ca="1" si="49"/>
        <v>#N/A</v>
      </c>
      <c r="AC425" s="3" t="e">
        <f t="shared" ca="1" si="50"/>
        <v>#N/A</v>
      </c>
    </row>
    <row r="426" spans="8:29">
      <c r="H426" t="e">
        <f t="shared" ca="1" si="47"/>
        <v>#N/A</v>
      </c>
      <c r="I426" t="e">
        <f t="shared" ca="1" si="44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5"/>
        <v>0</v>
      </c>
      <c r="Y426">
        <f t="shared" ca="1" si="46"/>
        <v>0</v>
      </c>
      <c r="AA426" s="63" t="e">
        <f t="shared" ca="1" si="48"/>
        <v>#N/A</v>
      </c>
      <c r="AB426" s="63" t="e">
        <f t="shared" ca="1" si="49"/>
        <v>#N/A</v>
      </c>
      <c r="AC426" s="3" t="e">
        <f t="shared" ca="1" si="50"/>
        <v>#N/A</v>
      </c>
    </row>
    <row r="427" spans="8:29">
      <c r="H427" t="e">
        <f t="shared" ca="1" si="47"/>
        <v>#N/A</v>
      </c>
      <c r="I427" t="e">
        <f t="shared" ca="1" si="44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5"/>
        <v>0</v>
      </c>
      <c r="Y427">
        <f t="shared" ca="1" si="46"/>
        <v>0</v>
      </c>
      <c r="AA427" s="63" t="e">
        <f t="shared" ca="1" si="48"/>
        <v>#N/A</v>
      </c>
      <c r="AB427" s="63" t="e">
        <f t="shared" ca="1" si="49"/>
        <v>#N/A</v>
      </c>
      <c r="AC427" s="3" t="e">
        <f t="shared" ca="1" si="50"/>
        <v>#N/A</v>
      </c>
    </row>
    <row r="428" spans="8:29">
      <c r="H428" t="e">
        <f t="shared" ca="1" si="47"/>
        <v>#N/A</v>
      </c>
      <c r="I428" t="e">
        <f t="shared" ca="1" si="44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5"/>
        <v>0</v>
      </c>
      <c r="Y428">
        <f t="shared" ca="1" si="46"/>
        <v>0</v>
      </c>
      <c r="AA428" s="63" t="e">
        <f t="shared" ca="1" si="48"/>
        <v>#N/A</v>
      </c>
      <c r="AB428" s="63" t="e">
        <f t="shared" ca="1" si="49"/>
        <v>#N/A</v>
      </c>
      <c r="AC428" s="3" t="e">
        <f t="shared" ca="1" si="50"/>
        <v>#N/A</v>
      </c>
    </row>
    <row r="429" spans="8:29">
      <c r="H429" t="e">
        <f t="shared" ca="1" si="47"/>
        <v>#N/A</v>
      </c>
      <c r="I429" t="e">
        <f t="shared" ca="1" si="44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5"/>
        <v>0</v>
      </c>
      <c r="Y429">
        <f t="shared" ca="1" si="46"/>
        <v>0</v>
      </c>
      <c r="AA429" s="63" t="e">
        <f t="shared" ca="1" si="48"/>
        <v>#N/A</v>
      </c>
      <c r="AB429" s="63" t="e">
        <f t="shared" ca="1" si="49"/>
        <v>#N/A</v>
      </c>
      <c r="AC429" s="3" t="e">
        <f t="shared" ca="1" si="50"/>
        <v>#N/A</v>
      </c>
    </row>
    <row r="430" spans="8:29">
      <c r="H430" t="e">
        <f t="shared" ca="1" si="47"/>
        <v>#N/A</v>
      </c>
      <c r="I430" t="e">
        <f t="shared" ca="1" si="44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5"/>
        <v>0</v>
      </c>
      <c r="Y430">
        <f t="shared" ca="1" si="46"/>
        <v>0</v>
      </c>
      <c r="AA430" s="63" t="e">
        <f t="shared" ca="1" si="48"/>
        <v>#N/A</v>
      </c>
      <c r="AB430" s="63" t="e">
        <f t="shared" ca="1" si="49"/>
        <v>#N/A</v>
      </c>
      <c r="AC430" s="3" t="e">
        <f t="shared" ca="1" si="50"/>
        <v>#N/A</v>
      </c>
    </row>
    <row r="431" spans="8:29">
      <c r="H431" t="e">
        <f t="shared" ca="1" si="47"/>
        <v>#N/A</v>
      </c>
      <c r="I431" t="e">
        <f t="shared" ca="1" si="44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5"/>
        <v>0</v>
      </c>
      <c r="Y431">
        <f t="shared" ca="1" si="46"/>
        <v>0</v>
      </c>
      <c r="AA431" s="63" t="e">
        <f t="shared" ca="1" si="48"/>
        <v>#N/A</v>
      </c>
      <c r="AB431" s="63" t="e">
        <f t="shared" ca="1" si="49"/>
        <v>#N/A</v>
      </c>
      <c r="AC431" s="3" t="e">
        <f t="shared" ca="1" si="50"/>
        <v>#N/A</v>
      </c>
    </row>
    <row r="432" spans="8:29">
      <c r="H432" t="e">
        <f t="shared" ca="1" si="47"/>
        <v>#N/A</v>
      </c>
      <c r="I432" t="e">
        <f t="shared" ca="1" si="44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5"/>
        <v>0</v>
      </c>
      <c r="Y432">
        <f t="shared" ca="1" si="46"/>
        <v>0</v>
      </c>
      <c r="AA432" s="63" t="e">
        <f t="shared" ca="1" si="48"/>
        <v>#N/A</v>
      </c>
      <c r="AB432" s="63" t="e">
        <f t="shared" ca="1" si="49"/>
        <v>#N/A</v>
      </c>
      <c r="AC432" s="3" t="e">
        <f t="shared" ca="1" si="50"/>
        <v>#N/A</v>
      </c>
    </row>
    <row r="433" spans="8:29">
      <c r="H433" t="e">
        <f t="shared" ca="1" si="47"/>
        <v>#N/A</v>
      </c>
      <c r="I433" t="e">
        <f t="shared" ca="1" si="44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5"/>
        <v>0</v>
      </c>
      <c r="Y433">
        <f t="shared" ca="1" si="46"/>
        <v>0</v>
      </c>
      <c r="AA433" s="63" t="e">
        <f t="shared" ca="1" si="48"/>
        <v>#N/A</v>
      </c>
      <c r="AB433" s="63" t="e">
        <f t="shared" ca="1" si="49"/>
        <v>#N/A</v>
      </c>
      <c r="AC433" s="3" t="e">
        <f t="shared" ca="1" si="50"/>
        <v>#N/A</v>
      </c>
    </row>
    <row r="434" spans="8:29">
      <c r="H434" t="e">
        <f t="shared" ca="1" si="47"/>
        <v>#N/A</v>
      </c>
      <c r="I434" t="e">
        <f t="shared" ca="1" si="44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5"/>
        <v>0</v>
      </c>
      <c r="Y434">
        <f t="shared" ca="1" si="46"/>
        <v>0</v>
      </c>
      <c r="AA434" s="63" t="e">
        <f t="shared" ca="1" si="48"/>
        <v>#N/A</v>
      </c>
      <c r="AB434" s="63" t="e">
        <f t="shared" ca="1" si="49"/>
        <v>#N/A</v>
      </c>
      <c r="AC434" s="3" t="e">
        <f t="shared" ca="1" si="50"/>
        <v>#N/A</v>
      </c>
    </row>
    <row r="435" spans="8:29">
      <c r="H435" t="e">
        <f t="shared" ca="1" si="47"/>
        <v>#N/A</v>
      </c>
      <c r="I435" t="e">
        <f t="shared" ca="1" si="44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5"/>
        <v>0</v>
      </c>
      <c r="Y435">
        <f t="shared" ca="1" si="46"/>
        <v>0</v>
      </c>
      <c r="AA435" s="63" t="e">
        <f t="shared" ca="1" si="48"/>
        <v>#N/A</v>
      </c>
      <c r="AB435" s="63" t="e">
        <f t="shared" ca="1" si="49"/>
        <v>#N/A</v>
      </c>
      <c r="AC435" s="3" t="e">
        <f t="shared" ca="1" si="50"/>
        <v>#N/A</v>
      </c>
    </row>
    <row r="436" spans="8:29">
      <c r="H436" t="e">
        <f t="shared" ca="1" si="47"/>
        <v>#N/A</v>
      </c>
      <c r="I436" t="e">
        <f t="shared" ca="1" si="44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5"/>
        <v>0</v>
      </c>
      <c r="Y436">
        <f t="shared" ca="1" si="46"/>
        <v>0</v>
      </c>
      <c r="AA436" s="63" t="e">
        <f t="shared" ca="1" si="48"/>
        <v>#N/A</v>
      </c>
      <c r="AB436" s="63" t="e">
        <f t="shared" ca="1" si="49"/>
        <v>#N/A</v>
      </c>
      <c r="AC436" s="3" t="e">
        <f t="shared" ca="1" si="50"/>
        <v>#N/A</v>
      </c>
    </row>
    <row r="437" spans="8:29">
      <c r="H437" t="e">
        <f t="shared" ca="1" si="47"/>
        <v>#N/A</v>
      </c>
      <c r="I437" t="e">
        <f t="shared" ca="1" si="44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5"/>
        <v>0</v>
      </c>
      <c r="Y437">
        <f t="shared" ca="1" si="46"/>
        <v>0</v>
      </c>
      <c r="AA437" s="63" t="e">
        <f t="shared" ca="1" si="48"/>
        <v>#N/A</v>
      </c>
      <c r="AB437" s="63" t="e">
        <f t="shared" ca="1" si="49"/>
        <v>#N/A</v>
      </c>
      <c r="AC437" s="3" t="e">
        <f t="shared" ca="1" si="50"/>
        <v>#N/A</v>
      </c>
    </row>
    <row r="438" spans="8:29">
      <c r="H438" t="e">
        <f t="shared" ca="1" si="47"/>
        <v>#N/A</v>
      </c>
      <c r="I438" t="e">
        <f t="shared" ca="1" si="44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5"/>
        <v>0</v>
      </c>
      <c r="Y438">
        <f t="shared" ca="1" si="46"/>
        <v>0</v>
      </c>
      <c r="AA438" s="63" t="e">
        <f t="shared" ca="1" si="48"/>
        <v>#N/A</v>
      </c>
      <c r="AB438" s="63" t="e">
        <f t="shared" ca="1" si="49"/>
        <v>#N/A</v>
      </c>
      <c r="AC438" s="3" t="e">
        <f t="shared" ca="1" si="50"/>
        <v>#N/A</v>
      </c>
    </row>
    <row r="439" spans="8:29">
      <c r="H439" t="e">
        <f t="shared" ca="1" si="47"/>
        <v>#N/A</v>
      </c>
      <c r="I439" t="e">
        <f t="shared" ca="1" si="44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5"/>
        <v>0</v>
      </c>
      <c r="Y439">
        <f t="shared" ca="1" si="46"/>
        <v>0</v>
      </c>
      <c r="AA439" s="63" t="e">
        <f t="shared" ca="1" si="48"/>
        <v>#N/A</v>
      </c>
      <c r="AB439" s="63" t="e">
        <f t="shared" ca="1" si="49"/>
        <v>#N/A</v>
      </c>
      <c r="AC439" s="3" t="e">
        <f t="shared" ca="1" si="50"/>
        <v>#N/A</v>
      </c>
    </row>
    <row r="440" spans="8:29">
      <c r="H440" t="e">
        <f t="shared" ca="1" si="47"/>
        <v>#N/A</v>
      </c>
      <c r="I440" t="e">
        <f t="shared" ca="1" si="44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5"/>
        <v>0</v>
      </c>
      <c r="Y440">
        <f t="shared" ca="1" si="46"/>
        <v>0</v>
      </c>
      <c r="AA440" s="63" t="e">
        <f t="shared" ca="1" si="48"/>
        <v>#N/A</v>
      </c>
      <c r="AB440" s="63" t="e">
        <f t="shared" ca="1" si="49"/>
        <v>#N/A</v>
      </c>
      <c r="AC440" s="3" t="e">
        <f t="shared" ca="1" si="50"/>
        <v>#N/A</v>
      </c>
    </row>
    <row r="441" spans="8:29">
      <c r="H441" t="e">
        <f t="shared" ca="1" si="47"/>
        <v>#N/A</v>
      </c>
      <c r="I441" t="e">
        <f t="shared" ca="1" si="44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5"/>
        <v>0</v>
      </c>
      <c r="Y441">
        <f t="shared" ca="1" si="46"/>
        <v>0</v>
      </c>
      <c r="AA441" s="63" t="e">
        <f t="shared" ca="1" si="48"/>
        <v>#N/A</v>
      </c>
      <c r="AB441" s="63" t="e">
        <f t="shared" ca="1" si="49"/>
        <v>#N/A</v>
      </c>
      <c r="AC441" s="3" t="e">
        <f t="shared" ca="1" si="50"/>
        <v>#N/A</v>
      </c>
    </row>
    <row r="442" spans="8:29">
      <c r="H442" t="e">
        <f t="shared" ca="1" si="47"/>
        <v>#N/A</v>
      </c>
      <c r="I442" t="e">
        <f t="shared" ca="1" si="44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5"/>
        <v>0</v>
      </c>
      <c r="Y442">
        <f t="shared" ca="1" si="46"/>
        <v>0</v>
      </c>
      <c r="AA442" s="63" t="e">
        <f t="shared" ca="1" si="48"/>
        <v>#N/A</v>
      </c>
      <c r="AB442" s="63" t="e">
        <f t="shared" ca="1" si="49"/>
        <v>#N/A</v>
      </c>
      <c r="AC442" s="3" t="e">
        <f t="shared" ca="1" si="50"/>
        <v>#N/A</v>
      </c>
    </row>
    <row r="443" spans="8:29">
      <c r="H443" t="e">
        <f t="shared" ca="1" si="47"/>
        <v>#N/A</v>
      </c>
      <c r="I443" t="e">
        <f t="shared" ca="1" si="44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5"/>
        <v>0</v>
      </c>
      <c r="Y443">
        <f t="shared" ca="1" si="46"/>
        <v>0</v>
      </c>
      <c r="AA443" s="63" t="e">
        <f t="shared" ca="1" si="48"/>
        <v>#N/A</v>
      </c>
      <c r="AB443" s="63" t="e">
        <f t="shared" ca="1" si="49"/>
        <v>#N/A</v>
      </c>
      <c r="AC443" s="3" t="e">
        <f t="shared" ca="1" si="50"/>
        <v>#N/A</v>
      </c>
    </row>
    <row r="444" spans="8:29">
      <c r="H444" t="e">
        <f t="shared" ca="1" si="47"/>
        <v>#N/A</v>
      </c>
      <c r="I444" t="e">
        <f t="shared" ca="1" si="44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5"/>
        <v>0</v>
      </c>
      <c r="Y444">
        <f t="shared" ca="1" si="46"/>
        <v>0</v>
      </c>
      <c r="AA444" s="63" t="e">
        <f t="shared" ca="1" si="48"/>
        <v>#N/A</v>
      </c>
      <c r="AB444" s="63" t="e">
        <f t="shared" ca="1" si="49"/>
        <v>#N/A</v>
      </c>
      <c r="AC444" s="3" t="e">
        <f t="shared" ca="1" si="50"/>
        <v>#N/A</v>
      </c>
    </row>
    <row r="445" spans="8:29">
      <c r="H445" t="e">
        <f t="shared" ca="1" si="47"/>
        <v>#N/A</v>
      </c>
      <c r="I445" t="e">
        <f t="shared" ca="1" si="44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5"/>
        <v>0</v>
      </c>
      <c r="Y445">
        <f t="shared" ca="1" si="46"/>
        <v>0</v>
      </c>
      <c r="AA445" s="63" t="e">
        <f t="shared" ca="1" si="48"/>
        <v>#N/A</v>
      </c>
      <c r="AB445" s="63" t="e">
        <f t="shared" ca="1" si="49"/>
        <v>#N/A</v>
      </c>
      <c r="AC445" s="3" t="e">
        <f t="shared" ca="1" si="50"/>
        <v>#N/A</v>
      </c>
    </row>
    <row r="446" spans="8:29">
      <c r="H446" t="e">
        <f t="shared" ca="1" si="47"/>
        <v>#N/A</v>
      </c>
      <c r="I446" t="e">
        <f t="shared" ca="1" si="44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5"/>
        <v>0</v>
      </c>
      <c r="Y446">
        <f t="shared" ca="1" si="46"/>
        <v>0</v>
      </c>
      <c r="AA446" s="63" t="e">
        <f t="shared" ca="1" si="48"/>
        <v>#N/A</v>
      </c>
      <c r="AB446" s="63" t="e">
        <f t="shared" ca="1" si="49"/>
        <v>#N/A</v>
      </c>
      <c r="AC446" s="3" t="e">
        <f t="shared" ca="1" si="50"/>
        <v>#N/A</v>
      </c>
    </row>
    <row r="447" spans="8:29">
      <c r="H447" t="e">
        <f t="shared" ca="1" si="47"/>
        <v>#N/A</v>
      </c>
      <c r="I447" t="e">
        <f t="shared" ca="1" si="44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5"/>
        <v>0</v>
      </c>
      <c r="Y447">
        <f t="shared" ca="1" si="46"/>
        <v>0</v>
      </c>
      <c r="AA447" s="63" t="e">
        <f t="shared" ca="1" si="48"/>
        <v>#N/A</v>
      </c>
      <c r="AB447" s="63" t="e">
        <f t="shared" ca="1" si="49"/>
        <v>#N/A</v>
      </c>
      <c r="AC447" s="3" t="e">
        <f t="shared" ca="1" si="50"/>
        <v>#N/A</v>
      </c>
    </row>
    <row r="448" spans="8:29">
      <c r="H448" t="e">
        <f t="shared" ca="1" si="47"/>
        <v>#N/A</v>
      </c>
      <c r="I448" t="e">
        <f t="shared" ca="1" si="44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5"/>
        <v>0</v>
      </c>
      <c r="Y448">
        <f t="shared" ca="1" si="46"/>
        <v>0</v>
      </c>
      <c r="AA448" s="63" t="e">
        <f t="shared" ca="1" si="48"/>
        <v>#N/A</v>
      </c>
      <c r="AB448" s="63" t="e">
        <f t="shared" ca="1" si="49"/>
        <v>#N/A</v>
      </c>
      <c r="AC448" s="3" t="e">
        <f t="shared" ca="1" si="50"/>
        <v>#N/A</v>
      </c>
    </row>
    <row r="449" spans="8:29">
      <c r="H449" t="e">
        <f t="shared" ca="1" si="47"/>
        <v>#N/A</v>
      </c>
      <c r="I449" t="e">
        <f t="shared" ca="1" si="44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5"/>
        <v>0</v>
      </c>
      <c r="Y449">
        <f t="shared" ca="1" si="46"/>
        <v>0</v>
      </c>
      <c r="AA449" s="63" t="e">
        <f t="shared" ca="1" si="48"/>
        <v>#N/A</v>
      </c>
      <c r="AB449" s="63" t="e">
        <f t="shared" ca="1" si="49"/>
        <v>#N/A</v>
      </c>
      <c r="AC449" s="3" t="e">
        <f t="shared" ca="1" si="50"/>
        <v>#N/A</v>
      </c>
    </row>
    <row r="450" spans="8:29">
      <c r="H450" t="e">
        <f t="shared" ca="1" si="47"/>
        <v>#N/A</v>
      </c>
      <c r="I450" t="e">
        <f t="shared" ca="1" si="44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5"/>
        <v>0</v>
      </c>
      <c r="Y450">
        <f t="shared" ca="1" si="46"/>
        <v>0</v>
      </c>
      <c r="AA450" s="63" t="e">
        <f t="shared" ca="1" si="48"/>
        <v>#N/A</v>
      </c>
      <c r="AB450" s="63" t="e">
        <f t="shared" ca="1" si="49"/>
        <v>#N/A</v>
      </c>
      <c r="AC450" s="3" t="e">
        <f t="shared" ca="1" si="50"/>
        <v>#N/A</v>
      </c>
    </row>
    <row r="451" spans="8:29">
      <c r="H451" t="e">
        <f t="shared" ca="1" si="47"/>
        <v>#N/A</v>
      </c>
      <c r="I451" t="e">
        <f t="shared" ca="1" si="44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5"/>
        <v>0</v>
      </c>
      <c r="Y451">
        <f t="shared" ca="1" si="46"/>
        <v>0</v>
      </c>
      <c r="AA451" s="63" t="e">
        <f t="shared" ca="1" si="48"/>
        <v>#N/A</v>
      </c>
      <c r="AB451" s="63" t="e">
        <f t="shared" ca="1" si="49"/>
        <v>#N/A</v>
      </c>
      <c r="AC451" s="3" t="e">
        <f t="shared" ca="1" si="50"/>
        <v>#N/A</v>
      </c>
    </row>
    <row r="452" spans="8:29">
      <c r="H452" t="e">
        <f t="shared" ca="1" si="47"/>
        <v>#N/A</v>
      </c>
      <c r="I452" t="e">
        <f t="shared" ca="1" si="44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5"/>
        <v>0</v>
      </c>
      <c r="Y452">
        <f t="shared" ca="1" si="46"/>
        <v>0</v>
      </c>
      <c r="AA452" s="63" t="e">
        <f t="shared" ca="1" si="48"/>
        <v>#N/A</v>
      </c>
      <c r="AB452" s="63" t="e">
        <f t="shared" ca="1" si="49"/>
        <v>#N/A</v>
      </c>
      <c r="AC452" s="3" t="e">
        <f t="shared" ca="1" si="50"/>
        <v>#N/A</v>
      </c>
    </row>
    <row r="453" spans="8:29">
      <c r="H453" t="e">
        <f t="shared" ca="1" si="47"/>
        <v>#N/A</v>
      </c>
      <c r="I453" t="e">
        <f t="shared" ca="1" si="44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5"/>
        <v>0</v>
      </c>
      <c r="Y453">
        <f t="shared" ca="1" si="46"/>
        <v>0</v>
      </c>
      <c r="AA453" s="63" t="e">
        <f t="shared" ca="1" si="48"/>
        <v>#N/A</v>
      </c>
      <c r="AB453" s="63" t="e">
        <f t="shared" ca="1" si="49"/>
        <v>#N/A</v>
      </c>
      <c r="AC453" s="3" t="e">
        <f t="shared" ca="1" si="50"/>
        <v>#N/A</v>
      </c>
    </row>
    <row r="454" spans="8:29">
      <c r="H454" t="e">
        <f t="shared" ca="1" si="47"/>
        <v>#N/A</v>
      </c>
      <c r="I454" t="e">
        <f t="shared" ca="1" si="44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5"/>
        <v>0</v>
      </c>
      <c r="Y454">
        <f t="shared" ca="1" si="46"/>
        <v>0</v>
      </c>
      <c r="AA454" s="63" t="e">
        <f t="shared" ca="1" si="48"/>
        <v>#N/A</v>
      </c>
      <c r="AB454" s="63" t="e">
        <f t="shared" ca="1" si="49"/>
        <v>#N/A</v>
      </c>
      <c r="AC454" s="3" t="e">
        <f t="shared" ca="1" si="50"/>
        <v>#N/A</v>
      </c>
    </row>
    <row r="455" spans="8:29">
      <c r="H455" t="e">
        <f t="shared" ca="1" si="47"/>
        <v>#N/A</v>
      </c>
      <c r="I455" t="e">
        <f t="shared" ca="1" si="44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5"/>
        <v>0</v>
      </c>
      <c r="Y455">
        <f t="shared" ca="1" si="46"/>
        <v>0</v>
      </c>
      <c r="AA455" s="63" t="e">
        <f t="shared" ca="1" si="48"/>
        <v>#N/A</v>
      </c>
      <c r="AB455" s="63" t="e">
        <f t="shared" ca="1" si="49"/>
        <v>#N/A</v>
      </c>
      <c r="AC455" s="3" t="e">
        <f t="shared" ca="1" si="50"/>
        <v>#N/A</v>
      </c>
    </row>
    <row r="456" spans="8:29">
      <c r="H456" t="e">
        <f t="shared" ca="1" si="47"/>
        <v>#N/A</v>
      </c>
      <c r="I456" t="e">
        <f t="shared" ca="1" si="44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5"/>
        <v>0</v>
      </c>
      <c r="Y456">
        <f t="shared" ca="1" si="46"/>
        <v>0</v>
      </c>
      <c r="AA456" s="63" t="e">
        <f t="shared" ca="1" si="48"/>
        <v>#N/A</v>
      </c>
      <c r="AB456" s="63" t="e">
        <f t="shared" ca="1" si="49"/>
        <v>#N/A</v>
      </c>
      <c r="AC456" s="3" t="e">
        <f t="shared" ca="1" si="50"/>
        <v>#N/A</v>
      </c>
    </row>
    <row r="457" spans="8:29">
      <c r="H457" t="e">
        <f t="shared" ca="1" si="47"/>
        <v>#N/A</v>
      </c>
      <c r="I457" t="e">
        <f t="shared" ca="1" si="44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5"/>
        <v>0</v>
      </c>
      <c r="Y457">
        <f t="shared" ca="1" si="46"/>
        <v>0</v>
      </c>
      <c r="AA457" s="63" t="e">
        <f t="shared" ca="1" si="48"/>
        <v>#N/A</v>
      </c>
      <c r="AB457" s="63" t="e">
        <f t="shared" ca="1" si="49"/>
        <v>#N/A</v>
      </c>
      <c r="AC457" s="3" t="e">
        <f t="shared" ca="1" si="50"/>
        <v>#N/A</v>
      </c>
    </row>
    <row r="458" spans="8:29">
      <c r="H458" t="e">
        <f t="shared" ca="1" si="47"/>
        <v>#N/A</v>
      </c>
      <c r="I458" t="e">
        <f t="shared" ca="1" si="44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5"/>
        <v>0</v>
      </c>
      <c r="Y458">
        <f t="shared" ca="1" si="46"/>
        <v>0</v>
      </c>
      <c r="AA458" s="63" t="e">
        <f t="shared" ca="1" si="48"/>
        <v>#N/A</v>
      </c>
      <c r="AB458" s="63" t="e">
        <f t="shared" ca="1" si="49"/>
        <v>#N/A</v>
      </c>
      <c r="AC458" s="3" t="e">
        <f t="shared" ca="1" si="50"/>
        <v>#N/A</v>
      </c>
    </row>
    <row r="459" spans="8:29">
      <c r="H459" t="e">
        <f t="shared" ca="1" si="47"/>
        <v>#N/A</v>
      </c>
      <c r="I459" t="e">
        <f t="shared" ca="1" si="44"/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ca="1" si="45"/>
        <v>0</v>
      </c>
      <c r="Y459">
        <f t="shared" ca="1" si="46"/>
        <v>0</v>
      </c>
      <c r="AA459" s="63" t="e">
        <f t="shared" ca="1" si="48"/>
        <v>#N/A</v>
      </c>
      <c r="AB459" s="63" t="e">
        <f t="shared" ca="1" si="49"/>
        <v>#N/A</v>
      </c>
      <c r="AC459" s="3" t="e">
        <f t="shared" ca="1" si="50"/>
        <v>#N/A</v>
      </c>
    </row>
    <row r="460" spans="8:29">
      <c r="H460" t="e">
        <f t="shared" ca="1" si="47"/>
        <v>#N/A</v>
      </c>
      <c r="I460" t="e">
        <f t="shared" ref="I460:I501" ca="1" si="51">AND(IF(J460&gt;($J$8-1),TRUE,FALSE),IF(J460&lt;($J$9+1),TRUE,FALSE))</f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ref="X460:X501" ca="1" si="52">IFERROR(J460,$X$10)</f>
        <v>0</v>
      </c>
      <c r="Y460">
        <f t="shared" ref="Y460:Y501" ca="1" si="53">IFERROR(O460,0)</f>
        <v>0</v>
      </c>
      <c r="AA460" s="63" t="e">
        <f t="shared" ca="1" si="48"/>
        <v>#N/A</v>
      </c>
      <c r="AB460" s="63" t="e">
        <f t="shared" ca="1" si="49"/>
        <v>#N/A</v>
      </c>
      <c r="AC460" s="3" t="e">
        <f t="shared" ca="1" si="50"/>
        <v>#N/A</v>
      </c>
    </row>
    <row r="461" spans="8:29">
      <c r="H461" t="e">
        <f t="shared" ref="H461:H501" ca="1" si="54">IF(J461&lt;$J$9,TRUE,FALSE)</f>
        <v>#N/A</v>
      </c>
      <c r="I461" t="e">
        <f t="shared" ca="1" si="51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2"/>
        <v>0</v>
      </c>
      <c r="Y461">
        <f t="shared" ca="1" si="53"/>
        <v>0</v>
      </c>
      <c r="AA461" s="63" t="e">
        <f t="shared" ca="1" si="48"/>
        <v>#N/A</v>
      </c>
      <c r="AB461" s="63" t="e">
        <f t="shared" ca="1" si="49"/>
        <v>#N/A</v>
      </c>
      <c r="AC461" s="3" t="e">
        <f t="shared" ca="1" si="50"/>
        <v>#N/A</v>
      </c>
    </row>
    <row r="462" spans="8:29">
      <c r="H462" t="e">
        <f t="shared" ca="1" si="54"/>
        <v>#N/A</v>
      </c>
      <c r="I462" t="e">
        <f t="shared" ca="1" si="51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2"/>
        <v>0</v>
      </c>
      <c r="Y462">
        <f t="shared" ca="1" si="53"/>
        <v>0</v>
      </c>
      <c r="AA462" s="63" t="e">
        <f t="shared" ca="1" si="48"/>
        <v>#N/A</v>
      </c>
      <c r="AB462" s="63" t="e">
        <f t="shared" ca="1" si="49"/>
        <v>#N/A</v>
      </c>
      <c r="AC462" s="3" t="e">
        <f t="shared" ca="1" si="50"/>
        <v>#N/A</v>
      </c>
    </row>
    <row r="463" spans="8:29">
      <c r="H463" t="e">
        <f t="shared" ca="1" si="54"/>
        <v>#N/A</v>
      </c>
      <c r="I463" t="e">
        <f t="shared" ca="1" si="51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2"/>
        <v>0</v>
      </c>
      <c r="Y463">
        <f t="shared" ca="1" si="53"/>
        <v>0</v>
      </c>
      <c r="AA463" s="63" t="e">
        <f t="shared" ca="1" si="48"/>
        <v>#N/A</v>
      </c>
      <c r="AB463" s="63" t="e">
        <f t="shared" ca="1" si="49"/>
        <v>#N/A</v>
      </c>
      <c r="AC463" s="3" t="e">
        <f t="shared" ca="1" si="50"/>
        <v>#N/A</v>
      </c>
    </row>
    <row r="464" spans="8:29">
      <c r="H464" t="e">
        <f t="shared" ca="1" si="54"/>
        <v>#N/A</v>
      </c>
      <c r="I464" t="e">
        <f t="shared" ca="1" si="51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2"/>
        <v>0</v>
      </c>
      <c r="Y464">
        <f t="shared" ca="1" si="53"/>
        <v>0</v>
      </c>
      <c r="AA464" s="63" t="e">
        <f t="shared" ca="1" si="48"/>
        <v>#N/A</v>
      </c>
      <c r="AB464" s="63" t="e">
        <f t="shared" ca="1" si="49"/>
        <v>#N/A</v>
      </c>
      <c r="AC464" s="3" t="e">
        <f t="shared" ca="1" si="50"/>
        <v>#N/A</v>
      </c>
    </row>
    <row r="465" spans="8:29">
      <c r="H465" t="e">
        <f t="shared" ca="1" si="54"/>
        <v>#N/A</v>
      </c>
      <c r="I465" t="e">
        <f t="shared" ca="1" si="51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2"/>
        <v>0</v>
      </c>
      <c r="Y465">
        <f t="shared" ca="1" si="53"/>
        <v>0</v>
      </c>
      <c r="AA465" s="63" t="e">
        <f t="shared" ref="AA465:AA501" ca="1" si="55">K464+M465+N465+O465</f>
        <v>#N/A</v>
      </c>
      <c r="AB465" s="63" t="e">
        <f t="shared" ref="AB465:AB501" ca="1" si="56">K465+L465+R465</f>
        <v>#N/A</v>
      </c>
      <c r="AC465" s="3" t="e">
        <f t="shared" ref="AC465:AC501" ca="1" si="57">AB465-AA465</f>
        <v>#N/A</v>
      </c>
    </row>
    <row r="466" spans="8:29">
      <c r="H466" t="e">
        <f t="shared" ca="1" si="54"/>
        <v>#N/A</v>
      </c>
      <c r="I466" t="e">
        <f t="shared" ca="1" si="51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2"/>
        <v>0</v>
      </c>
      <c r="Y466">
        <f t="shared" ca="1" si="53"/>
        <v>0</v>
      </c>
      <c r="AA466" s="63" t="e">
        <f t="shared" ca="1" si="55"/>
        <v>#N/A</v>
      </c>
      <c r="AB466" s="63" t="e">
        <f t="shared" ca="1" si="56"/>
        <v>#N/A</v>
      </c>
      <c r="AC466" s="3" t="e">
        <f t="shared" ca="1" si="57"/>
        <v>#N/A</v>
      </c>
    </row>
    <row r="467" spans="8:29">
      <c r="H467" t="e">
        <f t="shared" ca="1" si="54"/>
        <v>#N/A</v>
      </c>
      <c r="I467" t="e">
        <f t="shared" ca="1" si="51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2"/>
        <v>0</v>
      </c>
      <c r="Y467">
        <f t="shared" ca="1" si="53"/>
        <v>0</v>
      </c>
      <c r="AA467" s="63" t="e">
        <f t="shared" ca="1" si="55"/>
        <v>#N/A</v>
      </c>
      <c r="AB467" s="63" t="e">
        <f t="shared" ca="1" si="56"/>
        <v>#N/A</v>
      </c>
      <c r="AC467" s="3" t="e">
        <f t="shared" ca="1" si="57"/>
        <v>#N/A</v>
      </c>
    </row>
    <row r="468" spans="8:29">
      <c r="H468" t="e">
        <f t="shared" ca="1" si="54"/>
        <v>#N/A</v>
      </c>
      <c r="I468" t="e">
        <f t="shared" ca="1" si="51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2"/>
        <v>0</v>
      </c>
      <c r="Y468">
        <f t="shared" ca="1" si="53"/>
        <v>0</v>
      </c>
      <c r="AA468" s="63" t="e">
        <f t="shared" ca="1" si="55"/>
        <v>#N/A</v>
      </c>
      <c r="AB468" s="63" t="e">
        <f t="shared" ca="1" si="56"/>
        <v>#N/A</v>
      </c>
      <c r="AC468" s="3" t="e">
        <f t="shared" ca="1" si="57"/>
        <v>#N/A</v>
      </c>
    </row>
    <row r="469" spans="8:29">
      <c r="H469" t="e">
        <f t="shared" ca="1" si="54"/>
        <v>#N/A</v>
      </c>
      <c r="I469" t="e">
        <f t="shared" ca="1" si="51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2"/>
        <v>0</v>
      </c>
      <c r="Y469">
        <f t="shared" ca="1" si="53"/>
        <v>0</v>
      </c>
      <c r="AA469" s="63" t="e">
        <f t="shared" ca="1" si="55"/>
        <v>#N/A</v>
      </c>
      <c r="AB469" s="63" t="e">
        <f t="shared" ca="1" si="56"/>
        <v>#N/A</v>
      </c>
      <c r="AC469" s="3" t="e">
        <f t="shared" ca="1" si="57"/>
        <v>#N/A</v>
      </c>
    </row>
    <row r="470" spans="8:29">
      <c r="H470" t="e">
        <f t="shared" ca="1" si="54"/>
        <v>#N/A</v>
      </c>
      <c r="I470" t="e">
        <f t="shared" ca="1" si="51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2"/>
        <v>0</v>
      </c>
      <c r="Y470">
        <f t="shared" ca="1" si="53"/>
        <v>0</v>
      </c>
      <c r="AA470" s="63" t="e">
        <f t="shared" ca="1" si="55"/>
        <v>#N/A</v>
      </c>
      <c r="AB470" s="63" t="e">
        <f t="shared" ca="1" si="56"/>
        <v>#N/A</v>
      </c>
      <c r="AC470" s="3" t="e">
        <f t="shared" ca="1" si="57"/>
        <v>#N/A</v>
      </c>
    </row>
    <row r="471" spans="8:29">
      <c r="H471" t="e">
        <f t="shared" ca="1" si="54"/>
        <v>#N/A</v>
      </c>
      <c r="I471" t="e">
        <f t="shared" ca="1" si="51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2"/>
        <v>0</v>
      </c>
      <c r="Y471">
        <f t="shared" ca="1" si="53"/>
        <v>0</v>
      </c>
      <c r="AA471" s="63" t="e">
        <f t="shared" ca="1" si="55"/>
        <v>#N/A</v>
      </c>
      <c r="AB471" s="63" t="e">
        <f t="shared" ca="1" si="56"/>
        <v>#N/A</v>
      </c>
      <c r="AC471" s="3" t="e">
        <f t="shared" ca="1" si="57"/>
        <v>#N/A</v>
      </c>
    </row>
    <row r="472" spans="8:29">
      <c r="H472" t="e">
        <f t="shared" ca="1" si="54"/>
        <v>#N/A</v>
      </c>
      <c r="I472" t="e">
        <f t="shared" ca="1" si="51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2"/>
        <v>0</v>
      </c>
      <c r="Y472">
        <f t="shared" ca="1" si="53"/>
        <v>0</v>
      </c>
      <c r="AA472" s="63" t="e">
        <f t="shared" ca="1" si="55"/>
        <v>#N/A</v>
      </c>
      <c r="AB472" s="63" t="e">
        <f t="shared" ca="1" si="56"/>
        <v>#N/A</v>
      </c>
      <c r="AC472" s="3" t="e">
        <f t="shared" ca="1" si="57"/>
        <v>#N/A</v>
      </c>
    </row>
    <row r="473" spans="8:29">
      <c r="H473" t="e">
        <f t="shared" ca="1" si="54"/>
        <v>#N/A</v>
      </c>
      <c r="I473" t="e">
        <f t="shared" ca="1" si="51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2"/>
        <v>0</v>
      </c>
      <c r="Y473">
        <f t="shared" ca="1" si="53"/>
        <v>0</v>
      </c>
      <c r="AA473" s="63" t="e">
        <f t="shared" ca="1" si="55"/>
        <v>#N/A</v>
      </c>
      <c r="AB473" s="63" t="e">
        <f t="shared" ca="1" si="56"/>
        <v>#N/A</v>
      </c>
      <c r="AC473" s="3" t="e">
        <f t="shared" ca="1" si="57"/>
        <v>#N/A</v>
      </c>
    </row>
    <row r="474" spans="8:29">
      <c r="H474" t="e">
        <f t="shared" ca="1" si="54"/>
        <v>#N/A</v>
      </c>
      <c r="I474" t="e">
        <f t="shared" ca="1" si="51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2"/>
        <v>0</v>
      </c>
      <c r="Y474">
        <f t="shared" ca="1" si="53"/>
        <v>0</v>
      </c>
      <c r="AA474" s="63" t="e">
        <f t="shared" ca="1" si="55"/>
        <v>#N/A</v>
      </c>
      <c r="AB474" s="63" t="e">
        <f t="shared" ca="1" si="56"/>
        <v>#N/A</v>
      </c>
      <c r="AC474" s="3" t="e">
        <f t="shared" ca="1" si="57"/>
        <v>#N/A</v>
      </c>
    </row>
    <row r="475" spans="8:29">
      <c r="H475" t="e">
        <f t="shared" ca="1" si="54"/>
        <v>#N/A</v>
      </c>
      <c r="I475" t="e">
        <f t="shared" ca="1" si="51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2"/>
        <v>0</v>
      </c>
      <c r="Y475">
        <f t="shared" ca="1" si="53"/>
        <v>0</v>
      </c>
      <c r="AA475" s="63" t="e">
        <f t="shared" ca="1" si="55"/>
        <v>#N/A</v>
      </c>
      <c r="AB475" s="63" t="e">
        <f t="shared" ca="1" si="56"/>
        <v>#N/A</v>
      </c>
      <c r="AC475" s="3" t="e">
        <f t="shared" ca="1" si="57"/>
        <v>#N/A</v>
      </c>
    </row>
    <row r="476" spans="8:29">
      <c r="H476" t="e">
        <f t="shared" ca="1" si="54"/>
        <v>#N/A</v>
      </c>
      <c r="I476" t="e">
        <f t="shared" ca="1" si="51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2"/>
        <v>0</v>
      </c>
      <c r="Y476">
        <f t="shared" ca="1" si="53"/>
        <v>0</v>
      </c>
      <c r="AA476" s="63" t="e">
        <f t="shared" ca="1" si="55"/>
        <v>#N/A</v>
      </c>
      <c r="AB476" s="63" t="e">
        <f t="shared" ca="1" si="56"/>
        <v>#N/A</v>
      </c>
      <c r="AC476" s="3" t="e">
        <f t="shared" ca="1" si="57"/>
        <v>#N/A</v>
      </c>
    </row>
    <row r="477" spans="8:29">
      <c r="H477" t="e">
        <f t="shared" ca="1" si="54"/>
        <v>#N/A</v>
      </c>
      <c r="I477" t="e">
        <f t="shared" ca="1" si="51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2"/>
        <v>0</v>
      </c>
      <c r="Y477">
        <f t="shared" ca="1" si="53"/>
        <v>0</v>
      </c>
      <c r="AA477" s="63" t="e">
        <f t="shared" ca="1" si="55"/>
        <v>#N/A</v>
      </c>
      <c r="AB477" s="63" t="e">
        <f t="shared" ca="1" si="56"/>
        <v>#N/A</v>
      </c>
      <c r="AC477" s="3" t="e">
        <f t="shared" ca="1" si="57"/>
        <v>#N/A</v>
      </c>
    </row>
    <row r="478" spans="8:29">
      <c r="H478" t="e">
        <f t="shared" ca="1" si="54"/>
        <v>#N/A</v>
      </c>
      <c r="I478" t="e">
        <f t="shared" ca="1" si="51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2"/>
        <v>0</v>
      </c>
      <c r="Y478">
        <f t="shared" ca="1" si="53"/>
        <v>0</v>
      </c>
      <c r="AA478" s="63" t="e">
        <f t="shared" ca="1" si="55"/>
        <v>#N/A</v>
      </c>
      <c r="AB478" s="63" t="e">
        <f t="shared" ca="1" si="56"/>
        <v>#N/A</v>
      </c>
      <c r="AC478" s="3" t="e">
        <f t="shared" ca="1" si="57"/>
        <v>#N/A</v>
      </c>
    </row>
    <row r="479" spans="8:29">
      <c r="H479" t="e">
        <f t="shared" ca="1" si="54"/>
        <v>#N/A</v>
      </c>
      <c r="I479" t="e">
        <f t="shared" ca="1" si="51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2"/>
        <v>0</v>
      </c>
      <c r="Y479">
        <f t="shared" ca="1" si="53"/>
        <v>0</v>
      </c>
      <c r="AA479" s="63" t="e">
        <f t="shared" ca="1" si="55"/>
        <v>#N/A</v>
      </c>
      <c r="AB479" s="63" t="e">
        <f t="shared" ca="1" si="56"/>
        <v>#N/A</v>
      </c>
      <c r="AC479" s="3" t="e">
        <f t="shared" ca="1" si="57"/>
        <v>#N/A</v>
      </c>
    </row>
    <row r="480" spans="8:29">
      <c r="H480" t="e">
        <f t="shared" ca="1" si="54"/>
        <v>#N/A</v>
      </c>
      <c r="I480" t="e">
        <f t="shared" ca="1" si="51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2"/>
        <v>0</v>
      </c>
      <c r="Y480">
        <f t="shared" ca="1" si="53"/>
        <v>0</v>
      </c>
      <c r="AA480" s="63" t="e">
        <f t="shared" ca="1" si="55"/>
        <v>#N/A</v>
      </c>
      <c r="AB480" s="63" t="e">
        <f t="shared" ca="1" si="56"/>
        <v>#N/A</v>
      </c>
      <c r="AC480" s="3" t="e">
        <f t="shared" ca="1" si="57"/>
        <v>#N/A</v>
      </c>
    </row>
    <row r="481" spans="8:29">
      <c r="H481" t="e">
        <f t="shared" ca="1" si="54"/>
        <v>#N/A</v>
      </c>
      <c r="I481" t="e">
        <f t="shared" ca="1" si="51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2"/>
        <v>0</v>
      </c>
      <c r="Y481">
        <f t="shared" ca="1" si="53"/>
        <v>0</v>
      </c>
      <c r="AA481" s="63" t="e">
        <f t="shared" ca="1" si="55"/>
        <v>#N/A</v>
      </c>
      <c r="AB481" s="63" t="e">
        <f t="shared" ca="1" si="56"/>
        <v>#N/A</v>
      </c>
      <c r="AC481" s="3" t="e">
        <f t="shared" ca="1" si="57"/>
        <v>#N/A</v>
      </c>
    </row>
    <row r="482" spans="8:29">
      <c r="H482" t="e">
        <f t="shared" ca="1" si="54"/>
        <v>#N/A</v>
      </c>
      <c r="I482" t="e">
        <f t="shared" ca="1" si="51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2"/>
        <v>0</v>
      </c>
      <c r="Y482">
        <f t="shared" ca="1" si="53"/>
        <v>0</v>
      </c>
      <c r="AA482" s="63" t="e">
        <f t="shared" ca="1" si="55"/>
        <v>#N/A</v>
      </c>
      <c r="AB482" s="63" t="e">
        <f t="shared" ca="1" si="56"/>
        <v>#N/A</v>
      </c>
      <c r="AC482" s="3" t="e">
        <f t="shared" ca="1" si="57"/>
        <v>#N/A</v>
      </c>
    </row>
    <row r="483" spans="8:29">
      <c r="H483" t="e">
        <f t="shared" ca="1" si="54"/>
        <v>#N/A</v>
      </c>
      <c r="I483" t="e">
        <f t="shared" ca="1" si="51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2"/>
        <v>0</v>
      </c>
      <c r="Y483">
        <f t="shared" ca="1" si="53"/>
        <v>0</v>
      </c>
      <c r="AA483" s="63" t="e">
        <f t="shared" ca="1" si="55"/>
        <v>#N/A</v>
      </c>
      <c r="AB483" s="63" t="e">
        <f t="shared" ca="1" si="56"/>
        <v>#N/A</v>
      </c>
      <c r="AC483" s="3" t="e">
        <f t="shared" ca="1" si="57"/>
        <v>#N/A</v>
      </c>
    </row>
    <row r="484" spans="8:29">
      <c r="H484" t="e">
        <f t="shared" ca="1" si="54"/>
        <v>#N/A</v>
      </c>
      <c r="I484" t="e">
        <f t="shared" ca="1" si="51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2"/>
        <v>0</v>
      </c>
      <c r="Y484">
        <f t="shared" ca="1" si="53"/>
        <v>0</v>
      </c>
      <c r="AA484" s="63" t="e">
        <f t="shared" ca="1" si="55"/>
        <v>#N/A</v>
      </c>
      <c r="AB484" s="63" t="e">
        <f t="shared" ca="1" si="56"/>
        <v>#N/A</v>
      </c>
      <c r="AC484" s="3" t="e">
        <f t="shared" ca="1" si="57"/>
        <v>#N/A</v>
      </c>
    </row>
    <row r="485" spans="8:29">
      <c r="H485" t="e">
        <f t="shared" ca="1" si="54"/>
        <v>#N/A</v>
      </c>
      <c r="I485" t="e">
        <f t="shared" ca="1" si="51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2"/>
        <v>0</v>
      </c>
      <c r="Y485">
        <f t="shared" ca="1" si="53"/>
        <v>0</v>
      </c>
      <c r="AA485" s="63" t="e">
        <f t="shared" ca="1" si="55"/>
        <v>#N/A</v>
      </c>
      <c r="AB485" s="63" t="e">
        <f t="shared" ca="1" si="56"/>
        <v>#N/A</v>
      </c>
      <c r="AC485" s="3" t="e">
        <f t="shared" ca="1" si="57"/>
        <v>#N/A</v>
      </c>
    </row>
    <row r="486" spans="8:29">
      <c r="H486" t="e">
        <f t="shared" ca="1" si="54"/>
        <v>#N/A</v>
      </c>
      <c r="I486" t="e">
        <f t="shared" ca="1" si="51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2"/>
        <v>0</v>
      </c>
      <c r="Y486">
        <f t="shared" ca="1" si="53"/>
        <v>0</v>
      </c>
      <c r="AA486" s="63" t="e">
        <f t="shared" ca="1" si="55"/>
        <v>#N/A</v>
      </c>
      <c r="AB486" s="63" t="e">
        <f t="shared" ca="1" si="56"/>
        <v>#N/A</v>
      </c>
      <c r="AC486" s="3" t="e">
        <f t="shared" ca="1" si="57"/>
        <v>#N/A</v>
      </c>
    </row>
    <row r="487" spans="8:29">
      <c r="H487" t="e">
        <f t="shared" ca="1" si="54"/>
        <v>#N/A</v>
      </c>
      <c r="I487" t="e">
        <f t="shared" ca="1" si="51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2"/>
        <v>0</v>
      </c>
      <c r="Y487">
        <f t="shared" ca="1" si="53"/>
        <v>0</v>
      </c>
      <c r="AA487" s="63" t="e">
        <f t="shared" ca="1" si="55"/>
        <v>#N/A</v>
      </c>
      <c r="AB487" s="63" t="e">
        <f t="shared" ca="1" si="56"/>
        <v>#N/A</v>
      </c>
      <c r="AC487" s="3" t="e">
        <f t="shared" ca="1" si="57"/>
        <v>#N/A</v>
      </c>
    </row>
    <row r="488" spans="8:29">
      <c r="H488" t="e">
        <f t="shared" ca="1" si="54"/>
        <v>#N/A</v>
      </c>
      <c r="I488" t="e">
        <f t="shared" ca="1" si="51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2"/>
        <v>0</v>
      </c>
      <c r="Y488">
        <f t="shared" ca="1" si="53"/>
        <v>0</v>
      </c>
      <c r="AA488" s="63" t="e">
        <f t="shared" ca="1" si="55"/>
        <v>#N/A</v>
      </c>
      <c r="AB488" s="63" t="e">
        <f t="shared" ca="1" si="56"/>
        <v>#N/A</v>
      </c>
      <c r="AC488" s="3" t="e">
        <f t="shared" ca="1" si="57"/>
        <v>#N/A</v>
      </c>
    </row>
    <row r="489" spans="8:29">
      <c r="H489" t="e">
        <f t="shared" ca="1" si="54"/>
        <v>#N/A</v>
      </c>
      <c r="I489" t="e">
        <f t="shared" ca="1" si="51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2"/>
        <v>0</v>
      </c>
      <c r="Y489">
        <f t="shared" ca="1" si="53"/>
        <v>0</v>
      </c>
      <c r="AA489" s="63" t="e">
        <f t="shared" ca="1" si="55"/>
        <v>#N/A</v>
      </c>
      <c r="AB489" s="63" t="e">
        <f t="shared" ca="1" si="56"/>
        <v>#N/A</v>
      </c>
      <c r="AC489" s="3" t="e">
        <f t="shared" ca="1" si="57"/>
        <v>#N/A</v>
      </c>
    </row>
    <row r="490" spans="8:29">
      <c r="H490" t="e">
        <f t="shared" ca="1" si="54"/>
        <v>#N/A</v>
      </c>
      <c r="I490" t="e">
        <f t="shared" ca="1" si="51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2"/>
        <v>0</v>
      </c>
      <c r="Y490">
        <f t="shared" ca="1" si="53"/>
        <v>0</v>
      </c>
      <c r="AA490" s="63" t="e">
        <f t="shared" ca="1" si="55"/>
        <v>#N/A</v>
      </c>
      <c r="AB490" s="63" t="e">
        <f t="shared" ca="1" si="56"/>
        <v>#N/A</v>
      </c>
      <c r="AC490" s="3" t="e">
        <f t="shared" ca="1" si="57"/>
        <v>#N/A</v>
      </c>
    </row>
    <row r="491" spans="8:29">
      <c r="H491" t="e">
        <f t="shared" ca="1" si="54"/>
        <v>#N/A</v>
      </c>
      <c r="I491" t="e">
        <f t="shared" ca="1" si="51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2"/>
        <v>0</v>
      </c>
      <c r="Y491">
        <f t="shared" ca="1" si="53"/>
        <v>0</v>
      </c>
      <c r="AA491" s="63" t="e">
        <f t="shared" ca="1" si="55"/>
        <v>#N/A</v>
      </c>
      <c r="AB491" s="63" t="e">
        <f t="shared" ca="1" si="56"/>
        <v>#N/A</v>
      </c>
      <c r="AC491" s="3" t="e">
        <f t="shared" ca="1" si="57"/>
        <v>#N/A</v>
      </c>
    </row>
    <row r="492" spans="8:29">
      <c r="H492" t="e">
        <f t="shared" ca="1" si="54"/>
        <v>#N/A</v>
      </c>
      <c r="I492" t="e">
        <f t="shared" ca="1" si="51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2"/>
        <v>0</v>
      </c>
      <c r="Y492">
        <f t="shared" ca="1" si="53"/>
        <v>0</v>
      </c>
      <c r="AA492" s="63" t="e">
        <f t="shared" ca="1" si="55"/>
        <v>#N/A</v>
      </c>
      <c r="AB492" s="63" t="e">
        <f t="shared" ca="1" si="56"/>
        <v>#N/A</v>
      </c>
      <c r="AC492" s="3" t="e">
        <f t="shared" ca="1" si="57"/>
        <v>#N/A</v>
      </c>
    </row>
    <row r="493" spans="8:29">
      <c r="H493" t="e">
        <f t="shared" ca="1" si="54"/>
        <v>#N/A</v>
      </c>
      <c r="I493" t="e">
        <f t="shared" ca="1" si="51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2"/>
        <v>0</v>
      </c>
      <c r="Y493">
        <f t="shared" ca="1" si="53"/>
        <v>0</v>
      </c>
      <c r="AA493" s="63" t="e">
        <f t="shared" ca="1" si="55"/>
        <v>#N/A</v>
      </c>
      <c r="AB493" s="63" t="e">
        <f t="shared" ca="1" si="56"/>
        <v>#N/A</v>
      </c>
      <c r="AC493" s="3" t="e">
        <f t="shared" ca="1" si="57"/>
        <v>#N/A</v>
      </c>
    </row>
    <row r="494" spans="8:29">
      <c r="H494" t="e">
        <f t="shared" ca="1" si="54"/>
        <v>#N/A</v>
      </c>
      <c r="I494" t="e">
        <f t="shared" ca="1" si="51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2"/>
        <v>0</v>
      </c>
      <c r="Y494">
        <f t="shared" ca="1" si="53"/>
        <v>0</v>
      </c>
      <c r="AA494" s="63" t="e">
        <f t="shared" ca="1" si="55"/>
        <v>#N/A</v>
      </c>
      <c r="AB494" s="63" t="e">
        <f t="shared" ca="1" si="56"/>
        <v>#N/A</v>
      </c>
      <c r="AC494" s="3" t="e">
        <f t="shared" ca="1" si="57"/>
        <v>#N/A</v>
      </c>
    </row>
    <row r="495" spans="8:29">
      <c r="H495" t="e">
        <f t="shared" ca="1" si="54"/>
        <v>#N/A</v>
      </c>
      <c r="I495" t="e">
        <f t="shared" ca="1" si="51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2"/>
        <v>0</v>
      </c>
      <c r="Y495">
        <f t="shared" ca="1" si="53"/>
        <v>0</v>
      </c>
      <c r="AA495" s="63" t="e">
        <f t="shared" ca="1" si="55"/>
        <v>#N/A</v>
      </c>
      <c r="AB495" s="63" t="e">
        <f t="shared" ca="1" si="56"/>
        <v>#N/A</v>
      </c>
      <c r="AC495" s="3" t="e">
        <f t="shared" ca="1" si="57"/>
        <v>#N/A</v>
      </c>
    </row>
    <row r="496" spans="8:29">
      <c r="H496" t="e">
        <f t="shared" ca="1" si="54"/>
        <v>#N/A</v>
      </c>
      <c r="I496" t="e">
        <f t="shared" ca="1" si="51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2"/>
        <v>0</v>
      </c>
      <c r="Y496">
        <f t="shared" ca="1" si="53"/>
        <v>0</v>
      </c>
      <c r="AA496" s="63" t="e">
        <f t="shared" ca="1" si="55"/>
        <v>#N/A</v>
      </c>
      <c r="AB496" s="63" t="e">
        <f t="shared" ca="1" si="56"/>
        <v>#N/A</v>
      </c>
      <c r="AC496" s="3" t="e">
        <f t="shared" ca="1" si="57"/>
        <v>#N/A</v>
      </c>
    </row>
    <row r="497" spans="8:29">
      <c r="H497" t="e">
        <f t="shared" ca="1" si="54"/>
        <v>#N/A</v>
      </c>
      <c r="I497" t="e">
        <f t="shared" ca="1" si="51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2"/>
        <v>0</v>
      </c>
      <c r="Y497">
        <f t="shared" ca="1" si="53"/>
        <v>0</v>
      </c>
      <c r="AA497" s="63" t="e">
        <f t="shared" ca="1" si="55"/>
        <v>#N/A</v>
      </c>
      <c r="AB497" s="63" t="e">
        <f t="shared" ca="1" si="56"/>
        <v>#N/A</v>
      </c>
      <c r="AC497" s="3" t="e">
        <f t="shared" ca="1" si="57"/>
        <v>#N/A</v>
      </c>
    </row>
    <row r="498" spans="8:29">
      <c r="H498" t="e">
        <f t="shared" ca="1" si="54"/>
        <v>#N/A</v>
      </c>
      <c r="I498" t="e">
        <f t="shared" ca="1" si="51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2"/>
        <v>0</v>
      </c>
      <c r="Y498">
        <f t="shared" ca="1" si="53"/>
        <v>0</v>
      </c>
      <c r="AA498" s="63" t="e">
        <f t="shared" ca="1" si="55"/>
        <v>#N/A</v>
      </c>
      <c r="AB498" s="63" t="e">
        <f t="shared" ca="1" si="56"/>
        <v>#N/A</v>
      </c>
      <c r="AC498" s="3" t="e">
        <f t="shared" ca="1" si="57"/>
        <v>#N/A</v>
      </c>
    </row>
    <row r="499" spans="8:29">
      <c r="H499" t="e">
        <f t="shared" ca="1" si="54"/>
        <v>#N/A</v>
      </c>
      <c r="I499" t="e">
        <f t="shared" ca="1" si="51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2"/>
        <v>0</v>
      </c>
      <c r="Y499">
        <f t="shared" ca="1" si="53"/>
        <v>0</v>
      </c>
      <c r="AA499" s="63" t="e">
        <f t="shared" ca="1" si="55"/>
        <v>#N/A</v>
      </c>
      <c r="AB499" s="63" t="e">
        <f t="shared" ca="1" si="56"/>
        <v>#N/A</v>
      </c>
      <c r="AC499" s="3" t="e">
        <f t="shared" ca="1" si="57"/>
        <v>#N/A</v>
      </c>
    </row>
    <row r="500" spans="8:29">
      <c r="H500" t="e">
        <f t="shared" ca="1" si="54"/>
        <v>#N/A</v>
      </c>
      <c r="I500" t="e">
        <f t="shared" ca="1" si="51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2"/>
        <v>0</v>
      </c>
      <c r="Y500">
        <f t="shared" ca="1" si="53"/>
        <v>0</v>
      </c>
      <c r="AA500" s="63" t="e">
        <f t="shared" ca="1" si="55"/>
        <v>#N/A</v>
      </c>
      <c r="AB500" s="63" t="e">
        <f t="shared" ca="1" si="56"/>
        <v>#N/A</v>
      </c>
      <c r="AC500" s="3" t="e">
        <f t="shared" ca="1" si="57"/>
        <v>#N/A</v>
      </c>
    </row>
    <row r="501" spans="8:29">
      <c r="H501" t="e">
        <f t="shared" ca="1" si="54"/>
        <v>#N/A</v>
      </c>
      <c r="I501" t="e">
        <f t="shared" ca="1" si="51"/>
        <v>#N/A</v>
      </c>
      <c r="J501" s="2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ca="1" si="52"/>
        <v>0</v>
      </c>
      <c r="Y501">
        <f t="shared" ca="1" si="53"/>
        <v>0</v>
      </c>
      <c r="AA501" s="63" t="e">
        <f t="shared" ca="1" si="55"/>
        <v>#N/A</v>
      </c>
      <c r="AB501" s="63" t="e">
        <f t="shared" ca="1" si="56"/>
        <v>#N/A</v>
      </c>
      <c r="AC501" s="3" t="e">
        <f t="shared" ca="1" si="57"/>
        <v>#N/A</v>
      </c>
    </row>
    <row r="502" spans="8:29">
      <c r="H502" t="e">
        <f t="shared" ref="H502:H565" ca="1" si="58">IF(J502&lt;$J$9,TRUE,FALSE)</f>
        <v>#N/A</v>
      </c>
      <c r="I502" t="e">
        <f t="shared" ref="I502:I565" ca="1" si="59">AND(IF(J502&gt;($J$8-1),TRUE,FALSE),IF(J502&lt;($J$9+1),TRUE,FALSE))</f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ref="X502:X565" ca="1" si="60">IFERROR(J502,$X$10)</f>
        <v>0</v>
      </c>
      <c r="Y502">
        <f t="shared" ref="Y502:Y565" ca="1" si="61">IFERROR(O502,0)</f>
        <v>0</v>
      </c>
      <c r="AA502" s="63" t="e">
        <f t="shared" ref="AA502:AA565" ca="1" si="62">K501+M502+N502+O502</f>
        <v>#N/A</v>
      </c>
      <c r="AB502" s="63" t="e">
        <f t="shared" ref="AB502:AB565" ca="1" si="63">K502+L502+R502</f>
        <v>#N/A</v>
      </c>
      <c r="AC502" s="3" t="e">
        <f t="shared" ref="AC502:AC565" ca="1" si="64">AB502-AA502</f>
        <v>#N/A</v>
      </c>
    </row>
    <row r="503" spans="8:29">
      <c r="H503" t="e">
        <f t="shared" ca="1" si="58"/>
        <v>#N/A</v>
      </c>
      <c r="I503" t="e">
        <f t="shared" ca="1" si="59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60"/>
        <v>0</v>
      </c>
      <c r="Y503">
        <f t="shared" ca="1" si="61"/>
        <v>0</v>
      </c>
      <c r="AA503" s="63" t="e">
        <f t="shared" ca="1" si="62"/>
        <v>#N/A</v>
      </c>
      <c r="AB503" s="63" t="e">
        <f t="shared" ca="1" si="63"/>
        <v>#N/A</v>
      </c>
      <c r="AC503" s="3" t="e">
        <f t="shared" ca="1" si="64"/>
        <v>#N/A</v>
      </c>
    </row>
    <row r="504" spans="8:29">
      <c r="H504" t="e">
        <f t="shared" ca="1" si="58"/>
        <v>#N/A</v>
      </c>
      <c r="I504" t="e">
        <f t="shared" ca="1" si="59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60"/>
        <v>0</v>
      </c>
      <c r="Y504">
        <f t="shared" ca="1" si="61"/>
        <v>0</v>
      </c>
      <c r="AA504" s="63" t="e">
        <f t="shared" ca="1" si="62"/>
        <v>#N/A</v>
      </c>
      <c r="AB504" s="63" t="e">
        <f t="shared" ca="1" si="63"/>
        <v>#N/A</v>
      </c>
      <c r="AC504" s="3" t="e">
        <f t="shared" ca="1" si="64"/>
        <v>#N/A</v>
      </c>
    </row>
    <row r="505" spans="8:29">
      <c r="H505" t="e">
        <f t="shared" ca="1" si="58"/>
        <v>#N/A</v>
      </c>
      <c r="I505" t="e">
        <f t="shared" ca="1" si="59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60"/>
        <v>0</v>
      </c>
      <c r="Y505">
        <f t="shared" ca="1" si="61"/>
        <v>0</v>
      </c>
      <c r="AA505" s="63" t="e">
        <f t="shared" ca="1" si="62"/>
        <v>#N/A</v>
      </c>
      <c r="AB505" s="63" t="e">
        <f t="shared" ca="1" si="63"/>
        <v>#N/A</v>
      </c>
      <c r="AC505" s="3" t="e">
        <f t="shared" ca="1" si="64"/>
        <v>#N/A</v>
      </c>
    </row>
    <row r="506" spans="8:29">
      <c r="H506" t="e">
        <f t="shared" ca="1" si="58"/>
        <v>#N/A</v>
      </c>
      <c r="I506" t="e">
        <f t="shared" ca="1" si="59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60"/>
        <v>0</v>
      </c>
      <c r="Y506">
        <f t="shared" ca="1" si="61"/>
        <v>0</v>
      </c>
      <c r="AA506" s="63" t="e">
        <f t="shared" ca="1" si="62"/>
        <v>#N/A</v>
      </c>
      <c r="AB506" s="63" t="e">
        <f t="shared" ca="1" si="63"/>
        <v>#N/A</v>
      </c>
      <c r="AC506" s="3" t="e">
        <f t="shared" ca="1" si="64"/>
        <v>#N/A</v>
      </c>
    </row>
    <row r="507" spans="8:29">
      <c r="H507" t="e">
        <f t="shared" ca="1" si="58"/>
        <v>#N/A</v>
      </c>
      <c r="I507" t="e">
        <f t="shared" ca="1" si="59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60"/>
        <v>0</v>
      </c>
      <c r="Y507">
        <f t="shared" ca="1" si="61"/>
        <v>0</v>
      </c>
      <c r="AA507" s="63" t="e">
        <f t="shared" ca="1" si="62"/>
        <v>#N/A</v>
      </c>
      <c r="AB507" s="63" t="e">
        <f t="shared" ca="1" si="63"/>
        <v>#N/A</v>
      </c>
      <c r="AC507" s="3" t="e">
        <f t="shared" ca="1" si="64"/>
        <v>#N/A</v>
      </c>
    </row>
    <row r="508" spans="8:29">
      <c r="H508" t="e">
        <f t="shared" ca="1" si="58"/>
        <v>#N/A</v>
      </c>
      <c r="I508" t="e">
        <f t="shared" ca="1" si="59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60"/>
        <v>0</v>
      </c>
      <c r="Y508">
        <f t="shared" ca="1" si="61"/>
        <v>0</v>
      </c>
      <c r="AA508" s="63" t="e">
        <f t="shared" ca="1" si="62"/>
        <v>#N/A</v>
      </c>
      <c r="AB508" s="63" t="e">
        <f t="shared" ca="1" si="63"/>
        <v>#N/A</v>
      </c>
      <c r="AC508" s="3" t="e">
        <f t="shared" ca="1" si="64"/>
        <v>#N/A</v>
      </c>
    </row>
    <row r="509" spans="8:29">
      <c r="H509" t="e">
        <f t="shared" ca="1" si="58"/>
        <v>#N/A</v>
      </c>
      <c r="I509" t="e">
        <f t="shared" ca="1" si="59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60"/>
        <v>0</v>
      </c>
      <c r="Y509">
        <f t="shared" ca="1" si="61"/>
        <v>0</v>
      </c>
      <c r="AA509" s="63" t="e">
        <f t="shared" ca="1" si="62"/>
        <v>#N/A</v>
      </c>
      <c r="AB509" s="63" t="e">
        <f t="shared" ca="1" si="63"/>
        <v>#N/A</v>
      </c>
      <c r="AC509" s="3" t="e">
        <f t="shared" ca="1" si="64"/>
        <v>#N/A</v>
      </c>
    </row>
    <row r="510" spans="8:29">
      <c r="H510" t="e">
        <f t="shared" ca="1" si="58"/>
        <v>#N/A</v>
      </c>
      <c r="I510" t="e">
        <f t="shared" ca="1" si="59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60"/>
        <v>0</v>
      </c>
      <c r="Y510">
        <f t="shared" ca="1" si="61"/>
        <v>0</v>
      </c>
      <c r="AA510" s="63" t="e">
        <f t="shared" ca="1" si="62"/>
        <v>#N/A</v>
      </c>
      <c r="AB510" s="63" t="e">
        <f t="shared" ca="1" si="63"/>
        <v>#N/A</v>
      </c>
      <c r="AC510" s="3" t="e">
        <f t="shared" ca="1" si="64"/>
        <v>#N/A</v>
      </c>
    </row>
    <row r="511" spans="8:29">
      <c r="H511" t="e">
        <f t="shared" ca="1" si="58"/>
        <v>#N/A</v>
      </c>
      <c r="I511" t="e">
        <f t="shared" ca="1" si="59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60"/>
        <v>0</v>
      </c>
      <c r="Y511">
        <f t="shared" ca="1" si="61"/>
        <v>0</v>
      </c>
      <c r="AA511" s="63" t="e">
        <f t="shared" ca="1" si="62"/>
        <v>#N/A</v>
      </c>
      <c r="AB511" s="63" t="e">
        <f t="shared" ca="1" si="63"/>
        <v>#N/A</v>
      </c>
      <c r="AC511" s="3" t="e">
        <f t="shared" ca="1" si="64"/>
        <v>#N/A</v>
      </c>
    </row>
    <row r="512" spans="8:29">
      <c r="H512" t="e">
        <f t="shared" ca="1" si="58"/>
        <v>#N/A</v>
      </c>
      <c r="I512" t="e">
        <f t="shared" ca="1" si="59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60"/>
        <v>0</v>
      </c>
      <c r="Y512">
        <f t="shared" ca="1" si="61"/>
        <v>0</v>
      </c>
      <c r="AA512" s="63" t="e">
        <f t="shared" ca="1" si="62"/>
        <v>#N/A</v>
      </c>
      <c r="AB512" s="63" t="e">
        <f t="shared" ca="1" si="63"/>
        <v>#N/A</v>
      </c>
      <c r="AC512" s="3" t="e">
        <f t="shared" ca="1" si="64"/>
        <v>#N/A</v>
      </c>
    </row>
    <row r="513" spans="8:29">
      <c r="H513" t="e">
        <f t="shared" ca="1" si="58"/>
        <v>#N/A</v>
      </c>
      <c r="I513" t="e">
        <f t="shared" ca="1" si="59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60"/>
        <v>0</v>
      </c>
      <c r="Y513">
        <f t="shared" ca="1" si="61"/>
        <v>0</v>
      </c>
      <c r="AA513" s="63" t="e">
        <f t="shared" ca="1" si="62"/>
        <v>#N/A</v>
      </c>
      <c r="AB513" s="63" t="e">
        <f t="shared" ca="1" si="63"/>
        <v>#N/A</v>
      </c>
      <c r="AC513" s="3" t="e">
        <f t="shared" ca="1" si="64"/>
        <v>#N/A</v>
      </c>
    </row>
    <row r="514" spans="8:29">
      <c r="H514" t="e">
        <f t="shared" ca="1" si="58"/>
        <v>#N/A</v>
      </c>
      <c r="I514" t="e">
        <f t="shared" ca="1" si="59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60"/>
        <v>0</v>
      </c>
      <c r="Y514">
        <f t="shared" ca="1" si="61"/>
        <v>0</v>
      </c>
      <c r="AA514" s="63" t="e">
        <f t="shared" ca="1" si="62"/>
        <v>#N/A</v>
      </c>
      <c r="AB514" s="63" t="e">
        <f t="shared" ca="1" si="63"/>
        <v>#N/A</v>
      </c>
      <c r="AC514" s="3" t="e">
        <f t="shared" ca="1" si="64"/>
        <v>#N/A</v>
      </c>
    </row>
    <row r="515" spans="8:29">
      <c r="H515" t="e">
        <f t="shared" ca="1" si="58"/>
        <v>#N/A</v>
      </c>
      <c r="I515" t="e">
        <f t="shared" ca="1" si="59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60"/>
        <v>0</v>
      </c>
      <c r="Y515">
        <f t="shared" ca="1" si="61"/>
        <v>0</v>
      </c>
      <c r="AA515" s="63" t="e">
        <f t="shared" ca="1" si="62"/>
        <v>#N/A</v>
      </c>
      <c r="AB515" s="63" t="e">
        <f t="shared" ca="1" si="63"/>
        <v>#N/A</v>
      </c>
      <c r="AC515" s="3" t="e">
        <f t="shared" ca="1" si="64"/>
        <v>#N/A</v>
      </c>
    </row>
    <row r="516" spans="8:29">
      <c r="H516" t="e">
        <f t="shared" ca="1" si="58"/>
        <v>#N/A</v>
      </c>
      <c r="I516" t="e">
        <f t="shared" ca="1" si="59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60"/>
        <v>0</v>
      </c>
      <c r="Y516">
        <f t="shared" ca="1" si="61"/>
        <v>0</v>
      </c>
      <c r="AA516" s="63" t="e">
        <f t="shared" ca="1" si="62"/>
        <v>#N/A</v>
      </c>
      <c r="AB516" s="63" t="e">
        <f t="shared" ca="1" si="63"/>
        <v>#N/A</v>
      </c>
      <c r="AC516" s="3" t="e">
        <f t="shared" ca="1" si="64"/>
        <v>#N/A</v>
      </c>
    </row>
    <row r="517" spans="8:29">
      <c r="H517" t="e">
        <f t="shared" ca="1" si="58"/>
        <v>#N/A</v>
      </c>
      <c r="I517" t="e">
        <f t="shared" ca="1" si="59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60"/>
        <v>0</v>
      </c>
      <c r="Y517">
        <f t="shared" ca="1" si="61"/>
        <v>0</v>
      </c>
      <c r="AA517" s="63" t="e">
        <f t="shared" ca="1" si="62"/>
        <v>#N/A</v>
      </c>
      <c r="AB517" s="63" t="e">
        <f t="shared" ca="1" si="63"/>
        <v>#N/A</v>
      </c>
      <c r="AC517" s="3" t="e">
        <f t="shared" ca="1" si="64"/>
        <v>#N/A</v>
      </c>
    </row>
    <row r="518" spans="8:29">
      <c r="H518" t="e">
        <f t="shared" ca="1" si="58"/>
        <v>#N/A</v>
      </c>
      <c r="I518" t="e">
        <f t="shared" ca="1" si="59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60"/>
        <v>0</v>
      </c>
      <c r="Y518">
        <f t="shared" ca="1" si="61"/>
        <v>0</v>
      </c>
      <c r="AA518" s="63" t="e">
        <f t="shared" ca="1" si="62"/>
        <v>#N/A</v>
      </c>
      <c r="AB518" s="63" t="e">
        <f t="shared" ca="1" si="63"/>
        <v>#N/A</v>
      </c>
      <c r="AC518" s="3" t="e">
        <f t="shared" ca="1" si="64"/>
        <v>#N/A</v>
      </c>
    </row>
    <row r="519" spans="8:29">
      <c r="H519" t="e">
        <f t="shared" ca="1" si="58"/>
        <v>#N/A</v>
      </c>
      <c r="I519" t="e">
        <f t="shared" ca="1" si="59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60"/>
        <v>0</v>
      </c>
      <c r="Y519">
        <f t="shared" ca="1" si="61"/>
        <v>0</v>
      </c>
      <c r="AA519" s="63" t="e">
        <f t="shared" ca="1" si="62"/>
        <v>#N/A</v>
      </c>
      <c r="AB519" s="63" t="e">
        <f t="shared" ca="1" si="63"/>
        <v>#N/A</v>
      </c>
      <c r="AC519" s="3" t="e">
        <f t="shared" ca="1" si="64"/>
        <v>#N/A</v>
      </c>
    </row>
    <row r="520" spans="8:29">
      <c r="H520" t="e">
        <f t="shared" ca="1" si="58"/>
        <v>#N/A</v>
      </c>
      <c r="I520" t="e">
        <f t="shared" ca="1" si="59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60"/>
        <v>0</v>
      </c>
      <c r="Y520">
        <f t="shared" ca="1" si="61"/>
        <v>0</v>
      </c>
      <c r="AA520" s="63" t="e">
        <f t="shared" ca="1" si="62"/>
        <v>#N/A</v>
      </c>
      <c r="AB520" s="63" t="e">
        <f t="shared" ca="1" si="63"/>
        <v>#N/A</v>
      </c>
      <c r="AC520" s="3" t="e">
        <f t="shared" ca="1" si="64"/>
        <v>#N/A</v>
      </c>
    </row>
    <row r="521" spans="8:29">
      <c r="H521" t="e">
        <f t="shared" ca="1" si="58"/>
        <v>#N/A</v>
      </c>
      <c r="I521" t="e">
        <f t="shared" ca="1" si="59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60"/>
        <v>0</v>
      </c>
      <c r="Y521">
        <f t="shared" ca="1" si="61"/>
        <v>0</v>
      </c>
      <c r="AA521" s="63" t="e">
        <f t="shared" ca="1" si="62"/>
        <v>#N/A</v>
      </c>
      <c r="AB521" s="63" t="e">
        <f t="shared" ca="1" si="63"/>
        <v>#N/A</v>
      </c>
      <c r="AC521" s="3" t="e">
        <f t="shared" ca="1" si="64"/>
        <v>#N/A</v>
      </c>
    </row>
    <row r="522" spans="8:29">
      <c r="H522" t="e">
        <f t="shared" ca="1" si="58"/>
        <v>#N/A</v>
      </c>
      <c r="I522" t="e">
        <f t="shared" ca="1" si="59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60"/>
        <v>0</v>
      </c>
      <c r="Y522">
        <f t="shared" ca="1" si="61"/>
        <v>0</v>
      </c>
      <c r="AA522" s="63" t="e">
        <f t="shared" ca="1" si="62"/>
        <v>#N/A</v>
      </c>
      <c r="AB522" s="63" t="e">
        <f t="shared" ca="1" si="63"/>
        <v>#N/A</v>
      </c>
      <c r="AC522" s="3" t="e">
        <f t="shared" ca="1" si="64"/>
        <v>#N/A</v>
      </c>
    </row>
    <row r="523" spans="8:29">
      <c r="H523" t="e">
        <f t="shared" ca="1" si="58"/>
        <v>#N/A</v>
      </c>
      <c r="I523" t="e">
        <f t="shared" ca="1" si="59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60"/>
        <v>0</v>
      </c>
      <c r="Y523">
        <f t="shared" ca="1" si="61"/>
        <v>0</v>
      </c>
      <c r="AA523" s="63" t="e">
        <f t="shared" ca="1" si="62"/>
        <v>#N/A</v>
      </c>
      <c r="AB523" s="63" t="e">
        <f t="shared" ca="1" si="63"/>
        <v>#N/A</v>
      </c>
      <c r="AC523" s="3" t="e">
        <f t="shared" ca="1" si="64"/>
        <v>#N/A</v>
      </c>
    </row>
    <row r="524" spans="8:29">
      <c r="H524" t="e">
        <f t="shared" ca="1" si="58"/>
        <v>#N/A</v>
      </c>
      <c r="I524" t="e">
        <f t="shared" ca="1" si="59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60"/>
        <v>0</v>
      </c>
      <c r="Y524">
        <f t="shared" ca="1" si="61"/>
        <v>0</v>
      </c>
      <c r="AA524" s="63" t="e">
        <f t="shared" ca="1" si="62"/>
        <v>#N/A</v>
      </c>
      <c r="AB524" s="63" t="e">
        <f t="shared" ca="1" si="63"/>
        <v>#N/A</v>
      </c>
      <c r="AC524" s="3" t="e">
        <f t="shared" ca="1" si="64"/>
        <v>#N/A</v>
      </c>
    </row>
    <row r="525" spans="8:29">
      <c r="H525" t="e">
        <f t="shared" ca="1" si="58"/>
        <v>#N/A</v>
      </c>
      <c r="I525" t="e">
        <f t="shared" ca="1" si="59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60"/>
        <v>0</v>
      </c>
      <c r="Y525">
        <f t="shared" ca="1" si="61"/>
        <v>0</v>
      </c>
      <c r="AA525" s="63" t="e">
        <f t="shared" ca="1" si="62"/>
        <v>#N/A</v>
      </c>
      <c r="AB525" s="63" t="e">
        <f t="shared" ca="1" si="63"/>
        <v>#N/A</v>
      </c>
      <c r="AC525" s="3" t="e">
        <f t="shared" ca="1" si="64"/>
        <v>#N/A</v>
      </c>
    </row>
    <row r="526" spans="8:29">
      <c r="H526" t="e">
        <f t="shared" ca="1" si="58"/>
        <v>#N/A</v>
      </c>
      <c r="I526" t="e">
        <f t="shared" ca="1" si="59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60"/>
        <v>0</v>
      </c>
      <c r="Y526">
        <f t="shared" ca="1" si="61"/>
        <v>0</v>
      </c>
      <c r="AA526" s="63" t="e">
        <f t="shared" ca="1" si="62"/>
        <v>#N/A</v>
      </c>
      <c r="AB526" s="63" t="e">
        <f t="shared" ca="1" si="63"/>
        <v>#N/A</v>
      </c>
      <c r="AC526" s="3" t="e">
        <f t="shared" ca="1" si="64"/>
        <v>#N/A</v>
      </c>
    </row>
    <row r="527" spans="8:29">
      <c r="H527" t="e">
        <f t="shared" ca="1" si="58"/>
        <v>#N/A</v>
      </c>
      <c r="I527" t="e">
        <f t="shared" ca="1" si="59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60"/>
        <v>0</v>
      </c>
      <c r="Y527">
        <f t="shared" ca="1" si="61"/>
        <v>0</v>
      </c>
      <c r="AA527" s="63" t="e">
        <f t="shared" ca="1" si="62"/>
        <v>#N/A</v>
      </c>
      <c r="AB527" s="63" t="e">
        <f t="shared" ca="1" si="63"/>
        <v>#N/A</v>
      </c>
      <c r="AC527" s="3" t="e">
        <f t="shared" ca="1" si="64"/>
        <v>#N/A</v>
      </c>
    </row>
    <row r="528" spans="8:29">
      <c r="H528" t="e">
        <f t="shared" ca="1" si="58"/>
        <v>#N/A</v>
      </c>
      <c r="I528" t="e">
        <f t="shared" ca="1" si="59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60"/>
        <v>0</v>
      </c>
      <c r="Y528">
        <f t="shared" ca="1" si="61"/>
        <v>0</v>
      </c>
      <c r="AA528" s="63" t="e">
        <f t="shared" ca="1" si="62"/>
        <v>#N/A</v>
      </c>
      <c r="AB528" s="63" t="e">
        <f t="shared" ca="1" si="63"/>
        <v>#N/A</v>
      </c>
      <c r="AC528" s="3" t="e">
        <f t="shared" ca="1" si="64"/>
        <v>#N/A</v>
      </c>
    </row>
    <row r="529" spans="8:29">
      <c r="H529" t="e">
        <f t="shared" ca="1" si="58"/>
        <v>#N/A</v>
      </c>
      <c r="I529" t="e">
        <f t="shared" ca="1" si="59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60"/>
        <v>0</v>
      </c>
      <c r="Y529">
        <f t="shared" ca="1" si="61"/>
        <v>0</v>
      </c>
      <c r="AA529" s="63" t="e">
        <f t="shared" ca="1" si="62"/>
        <v>#N/A</v>
      </c>
      <c r="AB529" s="63" t="e">
        <f t="shared" ca="1" si="63"/>
        <v>#N/A</v>
      </c>
      <c r="AC529" s="3" t="e">
        <f t="shared" ca="1" si="64"/>
        <v>#N/A</v>
      </c>
    </row>
    <row r="530" spans="8:29">
      <c r="H530" t="e">
        <f t="shared" ca="1" si="58"/>
        <v>#N/A</v>
      </c>
      <c r="I530" t="e">
        <f t="shared" ca="1" si="59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60"/>
        <v>0</v>
      </c>
      <c r="Y530">
        <f t="shared" ca="1" si="61"/>
        <v>0</v>
      </c>
      <c r="AA530" s="63" t="e">
        <f t="shared" ca="1" si="62"/>
        <v>#N/A</v>
      </c>
      <c r="AB530" s="63" t="e">
        <f t="shared" ca="1" si="63"/>
        <v>#N/A</v>
      </c>
      <c r="AC530" s="3" t="e">
        <f t="shared" ca="1" si="64"/>
        <v>#N/A</v>
      </c>
    </row>
    <row r="531" spans="8:29">
      <c r="H531" t="e">
        <f t="shared" ca="1" si="58"/>
        <v>#N/A</v>
      </c>
      <c r="I531" t="e">
        <f t="shared" ca="1" si="59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60"/>
        <v>0</v>
      </c>
      <c r="Y531">
        <f t="shared" ca="1" si="61"/>
        <v>0</v>
      </c>
      <c r="AA531" s="63" t="e">
        <f t="shared" ca="1" si="62"/>
        <v>#N/A</v>
      </c>
      <c r="AB531" s="63" t="e">
        <f t="shared" ca="1" si="63"/>
        <v>#N/A</v>
      </c>
      <c r="AC531" s="3" t="e">
        <f t="shared" ca="1" si="64"/>
        <v>#N/A</v>
      </c>
    </row>
    <row r="532" spans="8:29">
      <c r="H532" t="e">
        <f t="shared" ca="1" si="58"/>
        <v>#N/A</v>
      </c>
      <c r="I532" t="e">
        <f t="shared" ca="1" si="59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60"/>
        <v>0</v>
      </c>
      <c r="Y532">
        <f t="shared" ca="1" si="61"/>
        <v>0</v>
      </c>
      <c r="AA532" s="63" t="e">
        <f t="shared" ca="1" si="62"/>
        <v>#N/A</v>
      </c>
      <c r="AB532" s="63" t="e">
        <f t="shared" ca="1" si="63"/>
        <v>#N/A</v>
      </c>
      <c r="AC532" s="3" t="e">
        <f t="shared" ca="1" si="64"/>
        <v>#N/A</v>
      </c>
    </row>
    <row r="533" spans="8:29">
      <c r="H533" t="e">
        <f t="shared" ca="1" si="58"/>
        <v>#N/A</v>
      </c>
      <c r="I533" t="e">
        <f t="shared" ca="1" si="59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60"/>
        <v>0</v>
      </c>
      <c r="Y533">
        <f t="shared" ca="1" si="61"/>
        <v>0</v>
      </c>
      <c r="AA533" s="63" t="e">
        <f t="shared" ca="1" si="62"/>
        <v>#N/A</v>
      </c>
      <c r="AB533" s="63" t="e">
        <f t="shared" ca="1" si="63"/>
        <v>#N/A</v>
      </c>
      <c r="AC533" s="3" t="e">
        <f t="shared" ca="1" si="64"/>
        <v>#N/A</v>
      </c>
    </row>
    <row r="534" spans="8:29">
      <c r="H534" t="e">
        <f t="shared" ca="1" si="58"/>
        <v>#N/A</v>
      </c>
      <c r="I534" t="e">
        <f t="shared" ca="1" si="59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60"/>
        <v>0</v>
      </c>
      <c r="Y534">
        <f t="shared" ca="1" si="61"/>
        <v>0</v>
      </c>
      <c r="AA534" s="63" t="e">
        <f t="shared" ca="1" si="62"/>
        <v>#N/A</v>
      </c>
      <c r="AB534" s="63" t="e">
        <f t="shared" ca="1" si="63"/>
        <v>#N/A</v>
      </c>
      <c r="AC534" s="3" t="e">
        <f t="shared" ca="1" si="64"/>
        <v>#N/A</v>
      </c>
    </row>
    <row r="535" spans="8:29">
      <c r="H535" t="e">
        <f t="shared" ca="1" si="58"/>
        <v>#N/A</v>
      </c>
      <c r="I535" t="e">
        <f t="shared" ca="1" si="59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60"/>
        <v>0</v>
      </c>
      <c r="Y535">
        <f t="shared" ca="1" si="61"/>
        <v>0</v>
      </c>
      <c r="AA535" s="63" t="e">
        <f t="shared" ca="1" si="62"/>
        <v>#N/A</v>
      </c>
      <c r="AB535" s="63" t="e">
        <f t="shared" ca="1" si="63"/>
        <v>#N/A</v>
      </c>
      <c r="AC535" s="3" t="e">
        <f t="shared" ca="1" si="64"/>
        <v>#N/A</v>
      </c>
    </row>
    <row r="536" spans="8:29">
      <c r="H536" t="e">
        <f t="shared" ca="1" si="58"/>
        <v>#N/A</v>
      </c>
      <c r="I536" t="e">
        <f t="shared" ca="1" si="59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60"/>
        <v>0</v>
      </c>
      <c r="Y536">
        <f t="shared" ca="1" si="61"/>
        <v>0</v>
      </c>
      <c r="AA536" s="63" t="e">
        <f t="shared" ca="1" si="62"/>
        <v>#N/A</v>
      </c>
      <c r="AB536" s="63" t="e">
        <f t="shared" ca="1" si="63"/>
        <v>#N/A</v>
      </c>
      <c r="AC536" s="3" t="e">
        <f t="shared" ca="1" si="64"/>
        <v>#N/A</v>
      </c>
    </row>
    <row r="537" spans="8:29">
      <c r="H537" t="e">
        <f t="shared" ca="1" si="58"/>
        <v>#N/A</v>
      </c>
      <c r="I537" t="e">
        <f t="shared" ca="1" si="59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60"/>
        <v>0</v>
      </c>
      <c r="Y537">
        <f t="shared" ca="1" si="61"/>
        <v>0</v>
      </c>
      <c r="AA537" s="63" t="e">
        <f t="shared" ca="1" si="62"/>
        <v>#N/A</v>
      </c>
      <c r="AB537" s="63" t="e">
        <f t="shared" ca="1" si="63"/>
        <v>#N/A</v>
      </c>
      <c r="AC537" s="3" t="e">
        <f t="shared" ca="1" si="64"/>
        <v>#N/A</v>
      </c>
    </row>
    <row r="538" spans="8:29">
      <c r="H538" t="e">
        <f t="shared" ca="1" si="58"/>
        <v>#N/A</v>
      </c>
      <c r="I538" t="e">
        <f t="shared" ca="1" si="59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60"/>
        <v>0</v>
      </c>
      <c r="Y538">
        <f t="shared" ca="1" si="61"/>
        <v>0</v>
      </c>
      <c r="AA538" s="63" t="e">
        <f t="shared" ca="1" si="62"/>
        <v>#N/A</v>
      </c>
      <c r="AB538" s="63" t="e">
        <f t="shared" ca="1" si="63"/>
        <v>#N/A</v>
      </c>
      <c r="AC538" s="3" t="e">
        <f t="shared" ca="1" si="64"/>
        <v>#N/A</v>
      </c>
    </row>
    <row r="539" spans="8:29">
      <c r="H539" t="e">
        <f t="shared" ca="1" si="58"/>
        <v>#N/A</v>
      </c>
      <c r="I539" t="e">
        <f t="shared" ca="1" si="59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60"/>
        <v>0</v>
      </c>
      <c r="Y539">
        <f t="shared" ca="1" si="61"/>
        <v>0</v>
      </c>
      <c r="AA539" s="63" t="e">
        <f t="shared" ca="1" si="62"/>
        <v>#N/A</v>
      </c>
      <c r="AB539" s="63" t="e">
        <f t="shared" ca="1" si="63"/>
        <v>#N/A</v>
      </c>
      <c r="AC539" s="3" t="e">
        <f t="shared" ca="1" si="64"/>
        <v>#N/A</v>
      </c>
    </row>
    <row r="540" spans="8:29">
      <c r="H540" t="e">
        <f t="shared" ca="1" si="58"/>
        <v>#N/A</v>
      </c>
      <c r="I540" t="e">
        <f t="shared" ca="1" si="59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60"/>
        <v>0</v>
      </c>
      <c r="Y540">
        <f t="shared" ca="1" si="61"/>
        <v>0</v>
      </c>
      <c r="AA540" s="63" t="e">
        <f t="shared" ca="1" si="62"/>
        <v>#N/A</v>
      </c>
      <c r="AB540" s="63" t="e">
        <f t="shared" ca="1" si="63"/>
        <v>#N/A</v>
      </c>
      <c r="AC540" s="3" t="e">
        <f t="shared" ca="1" si="64"/>
        <v>#N/A</v>
      </c>
    </row>
    <row r="541" spans="8:29">
      <c r="H541" t="e">
        <f t="shared" ca="1" si="58"/>
        <v>#N/A</v>
      </c>
      <c r="I541" t="e">
        <f t="shared" ca="1" si="59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60"/>
        <v>0</v>
      </c>
      <c r="Y541">
        <f t="shared" ca="1" si="61"/>
        <v>0</v>
      </c>
      <c r="AA541" s="63" t="e">
        <f t="shared" ca="1" si="62"/>
        <v>#N/A</v>
      </c>
      <c r="AB541" s="63" t="e">
        <f t="shared" ca="1" si="63"/>
        <v>#N/A</v>
      </c>
      <c r="AC541" s="3" t="e">
        <f t="shared" ca="1" si="64"/>
        <v>#N/A</v>
      </c>
    </row>
    <row r="542" spans="8:29">
      <c r="H542" t="e">
        <f t="shared" ca="1" si="58"/>
        <v>#N/A</v>
      </c>
      <c r="I542" t="e">
        <f t="shared" ca="1" si="59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60"/>
        <v>0</v>
      </c>
      <c r="Y542">
        <f t="shared" ca="1" si="61"/>
        <v>0</v>
      </c>
      <c r="AA542" s="63" t="e">
        <f t="shared" ca="1" si="62"/>
        <v>#N/A</v>
      </c>
      <c r="AB542" s="63" t="e">
        <f t="shared" ca="1" si="63"/>
        <v>#N/A</v>
      </c>
      <c r="AC542" s="3" t="e">
        <f t="shared" ca="1" si="64"/>
        <v>#N/A</v>
      </c>
    </row>
    <row r="543" spans="8:29">
      <c r="H543" t="e">
        <f t="shared" ca="1" si="58"/>
        <v>#N/A</v>
      </c>
      <c r="I543" t="e">
        <f t="shared" ca="1" si="59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60"/>
        <v>0</v>
      </c>
      <c r="Y543">
        <f t="shared" ca="1" si="61"/>
        <v>0</v>
      </c>
      <c r="AA543" s="63" t="e">
        <f t="shared" ca="1" si="62"/>
        <v>#N/A</v>
      </c>
      <c r="AB543" s="63" t="e">
        <f t="shared" ca="1" si="63"/>
        <v>#N/A</v>
      </c>
      <c r="AC543" s="3" t="e">
        <f t="shared" ca="1" si="64"/>
        <v>#N/A</v>
      </c>
    </row>
    <row r="544" spans="8:29">
      <c r="H544" t="e">
        <f t="shared" ca="1" si="58"/>
        <v>#N/A</v>
      </c>
      <c r="I544" t="e">
        <f t="shared" ca="1" si="59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60"/>
        <v>0</v>
      </c>
      <c r="Y544">
        <f t="shared" ca="1" si="61"/>
        <v>0</v>
      </c>
      <c r="AA544" s="63" t="e">
        <f t="shared" ca="1" si="62"/>
        <v>#N/A</v>
      </c>
      <c r="AB544" s="63" t="e">
        <f t="shared" ca="1" si="63"/>
        <v>#N/A</v>
      </c>
      <c r="AC544" s="3" t="e">
        <f t="shared" ca="1" si="64"/>
        <v>#N/A</v>
      </c>
    </row>
    <row r="545" spans="8:29">
      <c r="H545" t="e">
        <f t="shared" ca="1" si="58"/>
        <v>#N/A</v>
      </c>
      <c r="I545" t="e">
        <f t="shared" ca="1" si="59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60"/>
        <v>0</v>
      </c>
      <c r="Y545">
        <f t="shared" ca="1" si="61"/>
        <v>0</v>
      </c>
      <c r="AA545" s="63" t="e">
        <f t="shared" ca="1" si="62"/>
        <v>#N/A</v>
      </c>
      <c r="AB545" s="63" t="e">
        <f t="shared" ca="1" si="63"/>
        <v>#N/A</v>
      </c>
      <c r="AC545" s="3" t="e">
        <f t="shared" ca="1" si="64"/>
        <v>#N/A</v>
      </c>
    </row>
    <row r="546" spans="8:29">
      <c r="H546" t="e">
        <f t="shared" ca="1" si="58"/>
        <v>#N/A</v>
      </c>
      <c r="I546" t="e">
        <f t="shared" ca="1" si="59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60"/>
        <v>0</v>
      </c>
      <c r="Y546">
        <f t="shared" ca="1" si="61"/>
        <v>0</v>
      </c>
      <c r="AA546" s="63" t="e">
        <f t="shared" ca="1" si="62"/>
        <v>#N/A</v>
      </c>
      <c r="AB546" s="63" t="e">
        <f t="shared" ca="1" si="63"/>
        <v>#N/A</v>
      </c>
      <c r="AC546" s="3" t="e">
        <f t="shared" ca="1" si="64"/>
        <v>#N/A</v>
      </c>
    </row>
    <row r="547" spans="8:29">
      <c r="H547" t="e">
        <f t="shared" ca="1" si="58"/>
        <v>#N/A</v>
      </c>
      <c r="I547" t="e">
        <f t="shared" ca="1" si="59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60"/>
        <v>0</v>
      </c>
      <c r="Y547">
        <f t="shared" ca="1" si="61"/>
        <v>0</v>
      </c>
      <c r="AA547" s="63" t="e">
        <f t="shared" ca="1" si="62"/>
        <v>#N/A</v>
      </c>
      <c r="AB547" s="63" t="e">
        <f t="shared" ca="1" si="63"/>
        <v>#N/A</v>
      </c>
      <c r="AC547" s="3" t="e">
        <f t="shared" ca="1" si="64"/>
        <v>#N/A</v>
      </c>
    </row>
    <row r="548" spans="8:29">
      <c r="H548" t="e">
        <f t="shared" ca="1" si="58"/>
        <v>#N/A</v>
      </c>
      <c r="I548" t="e">
        <f t="shared" ca="1" si="59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60"/>
        <v>0</v>
      </c>
      <c r="Y548">
        <f t="shared" ca="1" si="61"/>
        <v>0</v>
      </c>
      <c r="AA548" s="63" t="e">
        <f t="shared" ca="1" si="62"/>
        <v>#N/A</v>
      </c>
      <c r="AB548" s="63" t="e">
        <f t="shared" ca="1" si="63"/>
        <v>#N/A</v>
      </c>
      <c r="AC548" s="3" t="e">
        <f t="shared" ca="1" si="64"/>
        <v>#N/A</v>
      </c>
    </row>
    <row r="549" spans="8:29">
      <c r="H549" t="e">
        <f t="shared" ca="1" si="58"/>
        <v>#N/A</v>
      </c>
      <c r="I549" t="e">
        <f t="shared" ca="1" si="59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60"/>
        <v>0</v>
      </c>
      <c r="Y549">
        <f t="shared" ca="1" si="61"/>
        <v>0</v>
      </c>
      <c r="AA549" s="63" t="e">
        <f t="shared" ca="1" si="62"/>
        <v>#N/A</v>
      </c>
      <c r="AB549" s="63" t="e">
        <f t="shared" ca="1" si="63"/>
        <v>#N/A</v>
      </c>
      <c r="AC549" s="3" t="e">
        <f t="shared" ca="1" si="64"/>
        <v>#N/A</v>
      </c>
    </row>
    <row r="550" spans="8:29">
      <c r="H550" t="e">
        <f t="shared" ca="1" si="58"/>
        <v>#N/A</v>
      </c>
      <c r="I550" t="e">
        <f t="shared" ca="1" si="59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60"/>
        <v>0</v>
      </c>
      <c r="Y550">
        <f t="shared" ca="1" si="61"/>
        <v>0</v>
      </c>
      <c r="AA550" s="63" t="e">
        <f t="shared" ca="1" si="62"/>
        <v>#N/A</v>
      </c>
      <c r="AB550" s="63" t="e">
        <f t="shared" ca="1" si="63"/>
        <v>#N/A</v>
      </c>
      <c r="AC550" s="3" t="e">
        <f t="shared" ca="1" si="64"/>
        <v>#N/A</v>
      </c>
    </row>
    <row r="551" spans="8:29">
      <c r="H551" t="e">
        <f t="shared" ca="1" si="58"/>
        <v>#N/A</v>
      </c>
      <c r="I551" t="e">
        <f t="shared" ca="1" si="59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60"/>
        <v>0</v>
      </c>
      <c r="Y551">
        <f t="shared" ca="1" si="61"/>
        <v>0</v>
      </c>
      <c r="AA551" s="63" t="e">
        <f t="shared" ca="1" si="62"/>
        <v>#N/A</v>
      </c>
      <c r="AB551" s="63" t="e">
        <f t="shared" ca="1" si="63"/>
        <v>#N/A</v>
      </c>
      <c r="AC551" s="3" t="e">
        <f t="shared" ca="1" si="64"/>
        <v>#N/A</v>
      </c>
    </row>
    <row r="552" spans="8:29">
      <c r="H552" t="e">
        <f t="shared" ca="1" si="58"/>
        <v>#N/A</v>
      </c>
      <c r="I552" t="e">
        <f t="shared" ca="1" si="59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60"/>
        <v>0</v>
      </c>
      <c r="Y552">
        <f t="shared" ca="1" si="61"/>
        <v>0</v>
      </c>
      <c r="AA552" s="63" t="e">
        <f t="shared" ca="1" si="62"/>
        <v>#N/A</v>
      </c>
      <c r="AB552" s="63" t="e">
        <f t="shared" ca="1" si="63"/>
        <v>#N/A</v>
      </c>
      <c r="AC552" s="3" t="e">
        <f t="shared" ca="1" si="64"/>
        <v>#N/A</v>
      </c>
    </row>
    <row r="553" spans="8:29">
      <c r="H553" t="e">
        <f t="shared" ca="1" si="58"/>
        <v>#N/A</v>
      </c>
      <c r="I553" t="e">
        <f t="shared" ca="1" si="59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60"/>
        <v>0</v>
      </c>
      <c r="Y553">
        <f t="shared" ca="1" si="61"/>
        <v>0</v>
      </c>
      <c r="AA553" s="63" t="e">
        <f t="shared" ca="1" si="62"/>
        <v>#N/A</v>
      </c>
      <c r="AB553" s="63" t="e">
        <f t="shared" ca="1" si="63"/>
        <v>#N/A</v>
      </c>
      <c r="AC553" s="3" t="e">
        <f t="shared" ca="1" si="64"/>
        <v>#N/A</v>
      </c>
    </row>
    <row r="554" spans="8:29">
      <c r="H554" t="e">
        <f t="shared" ca="1" si="58"/>
        <v>#N/A</v>
      </c>
      <c r="I554" t="e">
        <f t="shared" ca="1" si="59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60"/>
        <v>0</v>
      </c>
      <c r="Y554">
        <f t="shared" ca="1" si="61"/>
        <v>0</v>
      </c>
      <c r="AA554" s="63" t="e">
        <f t="shared" ca="1" si="62"/>
        <v>#N/A</v>
      </c>
      <c r="AB554" s="63" t="e">
        <f t="shared" ca="1" si="63"/>
        <v>#N/A</v>
      </c>
      <c r="AC554" s="3" t="e">
        <f t="shared" ca="1" si="64"/>
        <v>#N/A</v>
      </c>
    </row>
    <row r="555" spans="8:29">
      <c r="H555" t="e">
        <f t="shared" ca="1" si="58"/>
        <v>#N/A</v>
      </c>
      <c r="I555" t="e">
        <f t="shared" ca="1" si="59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60"/>
        <v>0</v>
      </c>
      <c r="Y555">
        <f t="shared" ca="1" si="61"/>
        <v>0</v>
      </c>
      <c r="AA555" s="63" t="e">
        <f t="shared" ca="1" si="62"/>
        <v>#N/A</v>
      </c>
      <c r="AB555" s="63" t="e">
        <f t="shared" ca="1" si="63"/>
        <v>#N/A</v>
      </c>
      <c r="AC555" s="3" t="e">
        <f t="shared" ca="1" si="64"/>
        <v>#N/A</v>
      </c>
    </row>
    <row r="556" spans="8:29">
      <c r="H556" t="e">
        <f t="shared" ca="1" si="58"/>
        <v>#N/A</v>
      </c>
      <c r="I556" t="e">
        <f t="shared" ca="1" si="59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60"/>
        <v>0</v>
      </c>
      <c r="Y556">
        <f t="shared" ca="1" si="61"/>
        <v>0</v>
      </c>
      <c r="AA556" s="63" t="e">
        <f t="shared" ca="1" si="62"/>
        <v>#N/A</v>
      </c>
      <c r="AB556" s="63" t="e">
        <f t="shared" ca="1" si="63"/>
        <v>#N/A</v>
      </c>
      <c r="AC556" s="3" t="e">
        <f t="shared" ca="1" si="64"/>
        <v>#N/A</v>
      </c>
    </row>
    <row r="557" spans="8:29">
      <c r="H557" t="e">
        <f t="shared" ca="1" si="58"/>
        <v>#N/A</v>
      </c>
      <c r="I557" t="e">
        <f t="shared" ca="1" si="59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60"/>
        <v>0</v>
      </c>
      <c r="Y557">
        <f t="shared" ca="1" si="61"/>
        <v>0</v>
      </c>
      <c r="AA557" s="63" t="e">
        <f t="shared" ca="1" si="62"/>
        <v>#N/A</v>
      </c>
      <c r="AB557" s="63" t="e">
        <f t="shared" ca="1" si="63"/>
        <v>#N/A</v>
      </c>
      <c r="AC557" s="3" t="e">
        <f t="shared" ca="1" si="64"/>
        <v>#N/A</v>
      </c>
    </row>
    <row r="558" spans="8:29">
      <c r="H558" t="e">
        <f t="shared" ca="1" si="58"/>
        <v>#N/A</v>
      </c>
      <c r="I558" t="e">
        <f t="shared" ca="1" si="59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60"/>
        <v>0</v>
      </c>
      <c r="Y558">
        <f t="shared" ca="1" si="61"/>
        <v>0</v>
      </c>
      <c r="AA558" s="63" t="e">
        <f t="shared" ca="1" si="62"/>
        <v>#N/A</v>
      </c>
      <c r="AB558" s="63" t="e">
        <f t="shared" ca="1" si="63"/>
        <v>#N/A</v>
      </c>
      <c r="AC558" s="3" t="e">
        <f t="shared" ca="1" si="64"/>
        <v>#N/A</v>
      </c>
    </row>
    <row r="559" spans="8:29">
      <c r="H559" t="e">
        <f t="shared" ca="1" si="58"/>
        <v>#N/A</v>
      </c>
      <c r="I559" t="e">
        <f t="shared" ca="1" si="59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60"/>
        <v>0</v>
      </c>
      <c r="Y559">
        <f t="shared" ca="1" si="61"/>
        <v>0</v>
      </c>
      <c r="AA559" s="63" t="e">
        <f t="shared" ca="1" si="62"/>
        <v>#N/A</v>
      </c>
      <c r="AB559" s="63" t="e">
        <f t="shared" ca="1" si="63"/>
        <v>#N/A</v>
      </c>
      <c r="AC559" s="3" t="e">
        <f t="shared" ca="1" si="64"/>
        <v>#N/A</v>
      </c>
    </row>
    <row r="560" spans="8:29">
      <c r="H560" t="e">
        <f t="shared" ca="1" si="58"/>
        <v>#N/A</v>
      </c>
      <c r="I560" t="e">
        <f t="shared" ca="1" si="59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60"/>
        <v>0</v>
      </c>
      <c r="Y560">
        <f t="shared" ca="1" si="61"/>
        <v>0</v>
      </c>
      <c r="AA560" s="63" t="e">
        <f t="shared" ca="1" si="62"/>
        <v>#N/A</v>
      </c>
      <c r="AB560" s="63" t="e">
        <f t="shared" ca="1" si="63"/>
        <v>#N/A</v>
      </c>
      <c r="AC560" s="3" t="e">
        <f t="shared" ca="1" si="64"/>
        <v>#N/A</v>
      </c>
    </row>
    <row r="561" spans="8:29">
      <c r="H561" t="e">
        <f t="shared" ca="1" si="58"/>
        <v>#N/A</v>
      </c>
      <c r="I561" t="e">
        <f t="shared" ca="1" si="59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60"/>
        <v>0</v>
      </c>
      <c r="Y561">
        <f t="shared" ca="1" si="61"/>
        <v>0</v>
      </c>
      <c r="AA561" s="63" t="e">
        <f t="shared" ca="1" si="62"/>
        <v>#N/A</v>
      </c>
      <c r="AB561" s="63" t="e">
        <f t="shared" ca="1" si="63"/>
        <v>#N/A</v>
      </c>
      <c r="AC561" s="3" t="e">
        <f t="shared" ca="1" si="64"/>
        <v>#N/A</v>
      </c>
    </row>
    <row r="562" spans="8:29">
      <c r="H562" t="e">
        <f t="shared" ca="1" si="58"/>
        <v>#N/A</v>
      </c>
      <c r="I562" t="e">
        <f t="shared" ca="1" si="59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60"/>
        <v>0</v>
      </c>
      <c r="Y562">
        <f t="shared" ca="1" si="61"/>
        <v>0</v>
      </c>
      <c r="AA562" s="63" t="e">
        <f t="shared" ca="1" si="62"/>
        <v>#N/A</v>
      </c>
      <c r="AB562" s="63" t="e">
        <f t="shared" ca="1" si="63"/>
        <v>#N/A</v>
      </c>
      <c r="AC562" s="3" t="e">
        <f t="shared" ca="1" si="64"/>
        <v>#N/A</v>
      </c>
    </row>
    <row r="563" spans="8:29">
      <c r="H563" t="e">
        <f t="shared" ca="1" si="58"/>
        <v>#N/A</v>
      </c>
      <c r="I563" t="e">
        <f t="shared" ca="1" si="59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60"/>
        <v>0</v>
      </c>
      <c r="Y563">
        <f t="shared" ca="1" si="61"/>
        <v>0</v>
      </c>
      <c r="AA563" s="63" t="e">
        <f t="shared" ca="1" si="62"/>
        <v>#N/A</v>
      </c>
      <c r="AB563" s="63" t="e">
        <f t="shared" ca="1" si="63"/>
        <v>#N/A</v>
      </c>
      <c r="AC563" s="3" t="e">
        <f t="shared" ca="1" si="64"/>
        <v>#N/A</v>
      </c>
    </row>
    <row r="564" spans="8:29">
      <c r="H564" t="e">
        <f t="shared" ca="1" si="58"/>
        <v>#N/A</v>
      </c>
      <c r="I564" t="e">
        <f t="shared" ca="1" si="59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60"/>
        <v>0</v>
      </c>
      <c r="Y564">
        <f t="shared" ca="1" si="61"/>
        <v>0</v>
      </c>
      <c r="AA564" s="63" t="e">
        <f t="shared" ca="1" si="62"/>
        <v>#N/A</v>
      </c>
      <c r="AB564" s="63" t="e">
        <f t="shared" ca="1" si="63"/>
        <v>#N/A</v>
      </c>
      <c r="AC564" s="3" t="e">
        <f t="shared" ca="1" si="64"/>
        <v>#N/A</v>
      </c>
    </row>
    <row r="565" spans="8:29">
      <c r="H565" t="e">
        <f t="shared" ca="1" si="58"/>
        <v>#N/A</v>
      </c>
      <c r="I565" t="e">
        <f t="shared" ca="1" si="59"/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ca="1" si="60"/>
        <v>0</v>
      </c>
      <c r="Y565">
        <f t="shared" ca="1" si="61"/>
        <v>0</v>
      </c>
      <c r="AA565" s="63" t="e">
        <f t="shared" ca="1" si="62"/>
        <v>#N/A</v>
      </c>
      <c r="AB565" s="63" t="e">
        <f t="shared" ca="1" si="63"/>
        <v>#N/A</v>
      </c>
      <c r="AC565" s="3" t="e">
        <f t="shared" ca="1" si="64"/>
        <v>#N/A</v>
      </c>
    </row>
    <row r="566" spans="8:29">
      <c r="H566" t="e">
        <f t="shared" ref="H566:H629" ca="1" si="65">IF(J566&lt;$J$9,TRUE,FALSE)</f>
        <v>#N/A</v>
      </c>
      <c r="I566" t="e">
        <f t="shared" ref="I566:I629" ca="1" si="66">AND(IF(J566&gt;($J$8-1),TRUE,FALSE),IF(J566&lt;($J$9+1),TRUE,FALSE))</f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ref="X566:X629" ca="1" si="67">IFERROR(J566,$X$10)</f>
        <v>0</v>
      </c>
      <c r="Y566">
        <f t="shared" ref="Y566:Y629" ca="1" si="68">IFERROR(O566,0)</f>
        <v>0</v>
      </c>
      <c r="AA566" s="63" t="e">
        <f t="shared" ref="AA566:AA629" ca="1" si="69">K565+M566+N566+O566</f>
        <v>#N/A</v>
      </c>
      <c r="AB566" s="63" t="e">
        <f t="shared" ref="AB566:AB629" ca="1" si="70">K566+L566+R566</f>
        <v>#N/A</v>
      </c>
      <c r="AC566" s="3" t="e">
        <f t="shared" ref="AC566:AC629" ca="1" si="71">AB566-AA566</f>
        <v>#N/A</v>
      </c>
    </row>
    <row r="567" spans="8:29">
      <c r="H567" t="e">
        <f t="shared" ca="1" si="65"/>
        <v>#N/A</v>
      </c>
      <c r="I567" t="e">
        <f t="shared" ca="1" si="66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7"/>
        <v>0</v>
      </c>
      <c r="Y567">
        <f t="shared" ca="1" si="68"/>
        <v>0</v>
      </c>
      <c r="AA567" s="63" t="e">
        <f t="shared" ca="1" si="69"/>
        <v>#N/A</v>
      </c>
      <c r="AB567" s="63" t="e">
        <f t="shared" ca="1" si="70"/>
        <v>#N/A</v>
      </c>
      <c r="AC567" s="3" t="e">
        <f t="shared" ca="1" si="71"/>
        <v>#N/A</v>
      </c>
    </row>
    <row r="568" spans="8:29">
      <c r="H568" t="e">
        <f t="shared" ca="1" si="65"/>
        <v>#N/A</v>
      </c>
      <c r="I568" t="e">
        <f t="shared" ca="1" si="66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7"/>
        <v>0</v>
      </c>
      <c r="Y568">
        <f t="shared" ca="1" si="68"/>
        <v>0</v>
      </c>
      <c r="AA568" s="63" t="e">
        <f t="shared" ca="1" si="69"/>
        <v>#N/A</v>
      </c>
      <c r="AB568" s="63" t="e">
        <f t="shared" ca="1" si="70"/>
        <v>#N/A</v>
      </c>
      <c r="AC568" s="3" t="e">
        <f t="shared" ca="1" si="71"/>
        <v>#N/A</v>
      </c>
    </row>
    <row r="569" spans="8:29">
      <c r="H569" t="e">
        <f t="shared" ca="1" si="65"/>
        <v>#N/A</v>
      </c>
      <c r="I569" t="e">
        <f t="shared" ca="1" si="66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7"/>
        <v>0</v>
      </c>
      <c r="Y569">
        <f t="shared" ca="1" si="68"/>
        <v>0</v>
      </c>
      <c r="AA569" s="63" t="e">
        <f t="shared" ca="1" si="69"/>
        <v>#N/A</v>
      </c>
      <c r="AB569" s="63" t="e">
        <f t="shared" ca="1" si="70"/>
        <v>#N/A</v>
      </c>
      <c r="AC569" s="3" t="e">
        <f t="shared" ca="1" si="71"/>
        <v>#N/A</v>
      </c>
    </row>
    <row r="570" spans="8:29">
      <c r="H570" t="e">
        <f t="shared" ca="1" si="65"/>
        <v>#N/A</v>
      </c>
      <c r="I570" t="e">
        <f t="shared" ca="1" si="66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7"/>
        <v>0</v>
      </c>
      <c r="Y570">
        <f t="shared" ca="1" si="68"/>
        <v>0</v>
      </c>
      <c r="AA570" s="63" t="e">
        <f t="shared" ca="1" si="69"/>
        <v>#N/A</v>
      </c>
      <c r="AB570" s="63" t="e">
        <f t="shared" ca="1" si="70"/>
        <v>#N/A</v>
      </c>
      <c r="AC570" s="3" t="e">
        <f t="shared" ca="1" si="71"/>
        <v>#N/A</v>
      </c>
    </row>
    <row r="571" spans="8:29">
      <c r="H571" t="e">
        <f t="shared" ca="1" si="65"/>
        <v>#N/A</v>
      </c>
      <c r="I571" t="e">
        <f t="shared" ca="1" si="66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7"/>
        <v>0</v>
      </c>
      <c r="Y571">
        <f t="shared" ca="1" si="68"/>
        <v>0</v>
      </c>
      <c r="AA571" s="63" t="e">
        <f t="shared" ca="1" si="69"/>
        <v>#N/A</v>
      </c>
      <c r="AB571" s="63" t="e">
        <f t="shared" ca="1" si="70"/>
        <v>#N/A</v>
      </c>
      <c r="AC571" s="3" t="e">
        <f t="shared" ca="1" si="71"/>
        <v>#N/A</v>
      </c>
    </row>
    <row r="572" spans="8:29">
      <c r="H572" t="e">
        <f t="shared" ca="1" si="65"/>
        <v>#N/A</v>
      </c>
      <c r="I572" t="e">
        <f t="shared" ca="1" si="66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7"/>
        <v>0</v>
      </c>
      <c r="Y572">
        <f t="shared" ca="1" si="68"/>
        <v>0</v>
      </c>
      <c r="AA572" s="63" t="e">
        <f t="shared" ca="1" si="69"/>
        <v>#N/A</v>
      </c>
      <c r="AB572" s="63" t="e">
        <f t="shared" ca="1" si="70"/>
        <v>#N/A</v>
      </c>
      <c r="AC572" s="3" t="e">
        <f t="shared" ca="1" si="71"/>
        <v>#N/A</v>
      </c>
    </row>
    <row r="573" spans="8:29">
      <c r="H573" t="e">
        <f t="shared" ca="1" si="65"/>
        <v>#N/A</v>
      </c>
      <c r="I573" t="e">
        <f t="shared" ca="1" si="66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7"/>
        <v>0</v>
      </c>
      <c r="Y573">
        <f t="shared" ca="1" si="68"/>
        <v>0</v>
      </c>
      <c r="AA573" s="63" t="e">
        <f t="shared" ca="1" si="69"/>
        <v>#N/A</v>
      </c>
      <c r="AB573" s="63" t="e">
        <f t="shared" ca="1" si="70"/>
        <v>#N/A</v>
      </c>
      <c r="AC573" s="3" t="e">
        <f t="shared" ca="1" si="71"/>
        <v>#N/A</v>
      </c>
    </row>
    <row r="574" spans="8:29">
      <c r="H574" t="e">
        <f t="shared" ca="1" si="65"/>
        <v>#N/A</v>
      </c>
      <c r="I574" t="e">
        <f t="shared" ca="1" si="66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7"/>
        <v>0</v>
      </c>
      <c r="Y574">
        <f t="shared" ca="1" si="68"/>
        <v>0</v>
      </c>
      <c r="AA574" s="63" t="e">
        <f t="shared" ca="1" si="69"/>
        <v>#N/A</v>
      </c>
      <c r="AB574" s="63" t="e">
        <f t="shared" ca="1" si="70"/>
        <v>#N/A</v>
      </c>
      <c r="AC574" s="3" t="e">
        <f t="shared" ca="1" si="71"/>
        <v>#N/A</v>
      </c>
    </row>
    <row r="575" spans="8:29">
      <c r="H575" t="e">
        <f t="shared" ca="1" si="65"/>
        <v>#N/A</v>
      </c>
      <c r="I575" t="e">
        <f t="shared" ca="1" si="66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7"/>
        <v>0</v>
      </c>
      <c r="Y575">
        <f t="shared" ca="1" si="68"/>
        <v>0</v>
      </c>
      <c r="AA575" s="63" t="e">
        <f t="shared" ca="1" si="69"/>
        <v>#N/A</v>
      </c>
      <c r="AB575" s="63" t="e">
        <f t="shared" ca="1" si="70"/>
        <v>#N/A</v>
      </c>
      <c r="AC575" s="3" t="e">
        <f t="shared" ca="1" si="71"/>
        <v>#N/A</v>
      </c>
    </row>
    <row r="576" spans="8:29">
      <c r="H576" t="e">
        <f t="shared" ca="1" si="65"/>
        <v>#N/A</v>
      </c>
      <c r="I576" t="e">
        <f t="shared" ca="1" si="66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7"/>
        <v>0</v>
      </c>
      <c r="Y576">
        <f t="shared" ca="1" si="68"/>
        <v>0</v>
      </c>
      <c r="AA576" s="63" t="e">
        <f t="shared" ca="1" si="69"/>
        <v>#N/A</v>
      </c>
      <c r="AB576" s="63" t="e">
        <f t="shared" ca="1" si="70"/>
        <v>#N/A</v>
      </c>
      <c r="AC576" s="3" t="e">
        <f t="shared" ca="1" si="71"/>
        <v>#N/A</v>
      </c>
    </row>
    <row r="577" spans="8:29">
      <c r="H577" t="e">
        <f t="shared" ca="1" si="65"/>
        <v>#N/A</v>
      </c>
      <c r="I577" t="e">
        <f t="shared" ca="1" si="66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7"/>
        <v>0</v>
      </c>
      <c r="Y577">
        <f t="shared" ca="1" si="68"/>
        <v>0</v>
      </c>
      <c r="AA577" s="63" t="e">
        <f t="shared" ca="1" si="69"/>
        <v>#N/A</v>
      </c>
      <c r="AB577" s="63" t="e">
        <f t="shared" ca="1" si="70"/>
        <v>#N/A</v>
      </c>
      <c r="AC577" s="3" t="e">
        <f t="shared" ca="1" si="71"/>
        <v>#N/A</v>
      </c>
    </row>
    <row r="578" spans="8:29">
      <c r="H578" t="e">
        <f t="shared" ca="1" si="65"/>
        <v>#N/A</v>
      </c>
      <c r="I578" t="e">
        <f t="shared" ca="1" si="66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7"/>
        <v>0</v>
      </c>
      <c r="Y578">
        <f t="shared" ca="1" si="68"/>
        <v>0</v>
      </c>
      <c r="AA578" s="63" t="e">
        <f t="shared" ca="1" si="69"/>
        <v>#N/A</v>
      </c>
      <c r="AB578" s="63" t="e">
        <f t="shared" ca="1" si="70"/>
        <v>#N/A</v>
      </c>
      <c r="AC578" s="3" t="e">
        <f t="shared" ca="1" si="71"/>
        <v>#N/A</v>
      </c>
    </row>
    <row r="579" spans="8:29">
      <c r="H579" t="e">
        <f t="shared" ca="1" si="65"/>
        <v>#N/A</v>
      </c>
      <c r="I579" t="e">
        <f t="shared" ca="1" si="66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7"/>
        <v>0</v>
      </c>
      <c r="Y579">
        <f t="shared" ca="1" si="68"/>
        <v>0</v>
      </c>
      <c r="AA579" s="63" t="e">
        <f t="shared" ca="1" si="69"/>
        <v>#N/A</v>
      </c>
      <c r="AB579" s="63" t="e">
        <f t="shared" ca="1" si="70"/>
        <v>#N/A</v>
      </c>
      <c r="AC579" s="3" t="e">
        <f t="shared" ca="1" si="71"/>
        <v>#N/A</v>
      </c>
    </row>
    <row r="580" spans="8:29">
      <c r="H580" t="e">
        <f t="shared" ca="1" si="65"/>
        <v>#N/A</v>
      </c>
      <c r="I580" t="e">
        <f t="shared" ca="1" si="66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7"/>
        <v>0</v>
      </c>
      <c r="Y580">
        <f t="shared" ca="1" si="68"/>
        <v>0</v>
      </c>
      <c r="AA580" s="63" t="e">
        <f t="shared" ca="1" si="69"/>
        <v>#N/A</v>
      </c>
      <c r="AB580" s="63" t="e">
        <f t="shared" ca="1" si="70"/>
        <v>#N/A</v>
      </c>
      <c r="AC580" s="3" t="e">
        <f t="shared" ca="1" si="71"/>
        <v>#N/A</v>
      </c>
    </row>
    <row r="581" spans="8:29">
      <c r="H581" t="e">
        <f t="shared" ca="1" si="65"/>
        <v>#N/A</v>
      </c>
      <c r="I581" t="e">
        <f t="shared" ca="1" si="66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7"/>
        <v>0</v>
      </c>
      <c r="Y581">
        <f t="shared" ca="1" si="68"/>
        <v>0</v>
      </c>
      <c r="AA581" s="63" t="e">
        <f t="shared" ca="1" si="69"/>
        <v>#N/A</v>
      </c>
      <c r="AB581" s="63" t="e">
        <f t="shared" ca="1" si="70"/>
        <v>#N/A</v>
      </c>
      <c r="AC581" s="3" t="e">
        <f t="shared" ca="1" si="71"/>
        <v>#N/A</v>
      </c>
    </row>
    <row r="582" spans="8:29">
      <c r="H582" t="e">
        <f t="shared" ca="1" si="65"/>
        <v>#N/A</v>
      </c>
      <c r="I582" t="e">
        <f t="shared" ca="1" si="66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7"/>
        <v>0</v>
      </c>
      <c r="Y582">
        <f t="shared" ca="1" si="68"/>
        <v>0</v>
      </c>
      <c r="AA582" s="63" t="e">
        <f t="shared" ca="1" si="69"/>
        <v>#N/A</v>
      </c>
      <c r="AB582" s="63" t="e">
        <f t="shared" ca="1" si="70"/>
        <v>#N/A</v>
      </c>
      <c r="AC582" s="3" t="e">
        <f t="shared" ca="1" si="71"/>
        <v>#N/A</v>
      </c>
    </row>
    <row r="583" spans="8:29">
      <c r="H583" t="e">
        <f t="shared" ca="1" si="65"/>
        <v>#N/A</v>
      </c>
      <c r="I583" t="e">
        <f t="shared" ca="1" si="66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7"/>
        <v>0</v>
      </c>
      <c r="Y583">
        <f t="shared" ca="1" si="68"/>
        <v>0</v>
      </c>
      <c r="AA583" s="63" t="e">
        <f t="shared" ca="1" si="69"/>
        <v>#N/A</v>
      </c>
      <c r="AB583" s="63" t="e">
        <f t="shared" ca="1" si="70"/>
        <v>#N/A</v>
      </c>
      <c r="AC583" s="3" t="e">
        <f t="shared" ca="1" si="71"/>
        <v>#N/A</v>
      </c>
    </row>
    <row r="584" spans="8:29">
      <c r="H584" t="e">
        <f t="shared" ca="1" si="65"/>
        <v>#N/A</v>
      </c>
      <c r="I584" t="e">
        <f t="shared" ca="1" si="66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7"/>
        <v>0</v>
      </c>
      <c r="Y584">
        <f t="shared" ca="1" si="68"/>
        <v>0</v>
      </c>
      <c r="AA584" s="63" t="e">
        <f t="shared" ca="1" si="69"/>
        <v>#N/A</v>
      </c>
      <c r="AB584" s="63" t="e">
        <f t="shared" ca="1" si="70"/>
        <v>#N/A</v>
      </c>
      <c r="AC584" s="3" t="e">
        <f t="shared" ca="1" si="71"/>
        <v>#N/A</v>
      </c>
    </row>
    <row r="585" spans="8:29">
      <c r="H585" t="e">
        <f t="shared" ca="1" si="65"/>
        <v>#N/A</v>
      </c>
      <c r="I585" t="e">
        <f t="shared" ca="1" si="66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7"/>
        <v>0</v>
      </c>
      <c r="Y585">
        <f t="shared" ca="1" si="68"/>
        <v>0</v>
      </c>
      <c r="AA585" s="63" t="e">
        <f t="shared" ca="1" si="69"/>
        <v>#N/A</v>
      </c>
      <c r="AB585" s="63" t="e">
        <f t="shared" ca="1" si="70"/>
        <v>#N/A</v>
      </c>
      <c r="AC585" s="3" t="e">
        <f t="shared" ca="1" si="71"/>
        <v>#N/A</v>
      </c>
    </row>
    <row r="586" spans="8:29">
      <c r="H586" t="e">
        <f t="shared" ca="1" si="65"/>
        <v>#N/A</v>
      </c>
      <c r="I586" t="e">
        <f t="shared" ca="1" si="66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7"/>
        <v>0</v>
      </c>
      <c r="Y586">
        <f t="shared" ca="1" si="68"/>
        <v>0</v>
      </c>
      <c r="AA586" s="63" t="e">
        <f t="shared" ca="1" si="69"/>
        <v>#N/A</v>
      </c>
      <c r="AB586" s="63" t="e">
        <f t="shared" ca="1" si="70"/>
        <v>#N/A</v>
      </c>
      <c r="AC586" s="3" t="e">
        <f t="shared" ca="1" si="71"/>
        <v>#N/A</v>
      </c>
    </row>
    <row r="587" spans="8:29">
      <c r="H587" t="e">
        <f t="shared" ca="1" si="65"/>
        <v>#N/A</v>
      </c>
      <c r="I587" t="e">
        <f t="shared" ca="1" si="66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7"/>
        <v>0</v>
      </c>
      <c r="Y587">
        <f t="shared" ca="1" si="68"/>
        <v>0</v>
      </c>
      <c r="AA587" s="63" t="e">
        <f t="shared" ca="1" si="69"/>
        <v>#N/A</v>
      </c>
      <c r="AB587" s="63" t="e">
        <f t="shared" ca="1" si="70"/>
        <v>#N/A</v>
      </c>
      <c r="AC587" s="3" t="e">
        <f t="shared" ca="1" si="71"/>
        <v>#N/A</v>
      </c>
    </row>
    <row r="588" spans="8:29">
      <c r="H588" t="e">
        <f t="shared" ca="1" si="65"/>
        <v>#N/A</v>
      </c>
      <c r="I588" t="e">
        <f t="shared" ca="1" si="66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7"/>
        <v>0</v>
      </c>
      <c r="Y588">
        <f t="shared" ca="1" si="68"/>
        <v>0</v>
      </c>
      <c r="AA588" s="63" t="e">
        <f t="shared" ca="1" si="69"/>
        <v>#N/A</v>
      </c>
      <c r="AB588" s="63" t="e">
        <f t="shared" ca="1" si="70"/>
        <v>#N/A</v>
      </c>
      <c r="AC588" s="3" t="e">
        <f t="shared" ca="1" si="71"/>
        <v>#N/A</v>
      </c>
    </row>
    <row r="589" spans="8:29">
      <c r="H589" t="e">
        <f t="shared" ca="1" si="65"/>
        <v>#N/A</v>
      </c>
      <c r="I589" t="e">
        <f t="shared" ca="1" si="66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7"/>
        <v>0</v>
      </c>
      <c r="Y589">
        <f t="shared" ca="1" si="68"/>
        <v>0</v>
      </c>
      <c r="AA589" s="63" t="e">
        <f t="shared" ca="1" si="69"/>
        <v>#N/A</v>
      </c>
      <c r="AB589" s="63" t="e">
        <f t="shared" ca="1" si="70"/>
        <v>#N/A</v>
      </c>
      <c r="AC589" s="3" t="e">
        <f t="shared" ca="1" si="71"/>
        <v>#N/A</v>
      </c>
    </row>
    <row r="590" spans="8:29">
      <c r="H590" t="e">
        <f t="shared" ca="1" si="65"/>
        <v>#N/A</v>
      </c>
      <c r="I590" t="e">
        <f t="shared" ca="1" si="66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7"/>
        <v>0</v>
      </c>
      <c r="Y590">
        <f t="shared" ca="1" si="68"/>
        <v>0</v>
      </c>
      <c r="AA590" s="63" t="e">
        <f t="shared" ca="1" si="69"/>
        <v>#N/A</v>
      </c>
      <c r="AB590" s="63" t="e">
        <f t="shared" ca="1" si="70"/>
        <v>#N/A</v>
      </c>
      <c r="AC590" s="3" t="e">
        <f t="shared" ca="1" si="71"/>
        <v>#N/A</v>
      </c>
    </row>
    <row r="591" spans="8:29">
      <c r="H591" t="e">
        <f t="shared" ca="1" si="65"/>
        <v>#N/A</v>
      </c>
      <c r="I591" t="e">
        <f t="shared" ca="1" si="66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7"/>
        <v>0</v>
      </c>
      <c r="Y591">
        <f t="shared" ca="1" si="68"/>
        <v>0</v>
      </c>
      <c r="AA591" s="63" t="e">
        <f t="shared" ca="1" si="69"/>
        <v>#N/A</v>
      </c>
      <c r="AB591" s="63" t="e">
        <f t="shared" ca="1" si="70"/>
        <v>#N/A</v>
      </c>
      <c r="AC591" s="3" t="e">
        <f t="shared" ca="1" si="71"/>
        <v>#N/A</v>
      </c>
    </row>
    <row r="592" spans="8:29">
      <c r="H592" t="e">
        <f t="shared" ca="1" si="65"/>
        <v>#N/A</v>
      </c>
      <c r="I592" t="e">
        <f t="shared" ca="1" si="66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7"/>
        <v>0</v>
      </c>
      <c r="Y592">
        <f t="shared" ca="1" si="68"/>
        <v>0</v>
      </c>
      <c r="AA592" s="63" t="e">
        <f t="shared" ca="1" si="69"/>
        <v>#N/A</v>
      </c>
      <c r="AB592" s="63" t="e">
        <f t="shared" ca="1" si="70"/>
        <v>#N/A</v>
      </c>
      <c r="AC592" s="3" t="e">
        <f t="shared" ca="1" si="71"/>
        <v>#N/A</v>
      </c>
    </row>
    <row r="593" spans="8:29">
      <c r="H593" t="e">
        <f t="shared" ca="1" si="65"/>
        <v>#N/A</v>
      </c>
      <c r="I593" t="e">
        <f t="shared" ca="1" si="66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7"/>
        <v>0</v>
      </c>
      <c r="Y593">
        <f t="shared" ca="1" si="68"/>
        <v>0</v>
      </c>
      <c r="AA593" s="63" t="e">
        <f t="shared" ca="1" si="69"/>
        <v>#N/A</v>
      </c>
      <c r="AB593" s="63" t="e">
        <f t="shared" ca="1" si="70"/>
        <v>#N/A</v>
      </c>
      <c r="AC593" s="3" t="e">
        <f t="shared" ca="1" si="71"/>
        <v>#N/A</v>
      </c>
    </row>
    <row r="594" spans="8:29">
      <c r="H594" t="e">
        <f t="shared" ca="1" si="65"/>
        <v>#N/A</v>
      </c>
      <c r="I594" t="e">
        <f t="shared" ca="1" si="66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7"/>
        <v>0</v>
      </c>
      <c r="Y594">
        <f t="shared" ca="1" si="68"/>
        <v>0</v>
      </c>
      <c r="AA594" s="63" t="e">
        <f t="shared" ca="1" si="69"/>
        <v>#N/A</v>
      </c>
      <c r="AB594" s="63" t="e">
        <f t="shared" ca="1" si="70"/>
        <v>#N/A</v>
      </c>
      <c r="AC594" s="3" t="e">
        <f t="shared" ca="1" si="71"/>
        <v>#N/A</v>
      </c>
    </row>
    <row r="595" spans="8:29">
      <c r="H595" t="e">
        <f t="shared" ca="1" si="65"/>
        <v>#N/A</v>
      </c>
      <c r="I595" t="e">
        <f t="shared" ca="1" si="66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7"/>
        <v>0</v>
      </c>
      <c r="Y595">
        <f t="shared" ca="1" si="68"/>
        <v>0</v>
      </c>
      <c r="AA595" s="63" t="e">
        <f t="shared" ca="1" si="69"/>
        <v>#N/A</v>
      </c>
      <c r="AB595" s="63" t="e">
        <f t="shared" ca="1" si="70"/>
        <v>#N/A</v>
      </c>
      <c r="AC595" s="3" t="e">
        <f t="shared" ca="1" si="71"/>
        <v>#N/A</v>
      </c>
    </row>
    <row r="596" spans="8:29">
      <c r="H596" t="e">
        <f t="shared" ca="1" si="65"/>
        <v>#N/A</v>
      </c>
      <c r="I596" t="e">
        <f t="shared" ca="1" si="66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7"/>
        <v>0</v>
      </c>
      <c r="Y596">
        <f t="shared" ca="1" si="68"/>
        <v>0</v>
      </c>
      <c r="AA596" s="63" t="e">
        <f t="shared" ca="1" si="69"/>
        <v>#N/A</v>
      </c>
      <c r="AB596" s="63" t="e">
        <f t="shared" ca="1" si="70"/>
        <v>#N/A</v>
      </c>
      <c r="AC596" s="3" t="e">
        <f t="shared" ca="1" si="71"/>
        <v>#N/A</v>
      </c>
    </row>
    <row r="597" spans="8:29">
      <c r="H597" t="e">
        <f t="shared" ca="1" si="65"/>
        <v>#N/A</v>
      </c>
      <c r="I597" t="e">
        <f t="shared" ca="1" si="66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7"/>
        <v>0</v>
      </c>
      <c r="Y597">
        <f t="shared" ca="1" si="68"/>
        <v>0</v>
      </c>
      <c r="AA597" s="63" t="e">
        <f t="shared" ca="1" si="69"/>
        <v>#N/A</v>
      </c>
      <c r="AB597" s="63" t="e">
        <f t="shared" ca="1" si="70"/>
        <v>#N/A</v>
      </c>
      <c r="AC597" s="3" t="e">
        <f t="shared" ca="1" si="71"/>
        <v>#N/A</v>
      </c>
    </row>
    <row r="598" spans="8:29">
      <c r="H598" t="e">
        <f t="shared" ca="1" si="65"/>
        <v>#N/A</v>
      </c>
      <c r="I598" t="e">
        <f t="shared" ca="1" si="66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7"/>
        <v>0</v>
      </c>
      <c r="Y598">
        <f t="shared" ca="1" si="68"/>
        <v>0</v>
      </c>
      <c r="AA598" s="63" t="e">
        <f t="shared" ca="1" si="69"/>
        <v>#N/A</v>
      </c>
      <c r="AB598" s="63" t="e">
        <f t="shared" ca="1" si="70"/>
        <v>#N/A</v>
      </c>
      <c r="AC598" s="3" t="e">
        <f t="shared" ca="1" si="71"/>
        <v>#N/A</v>
      </c>
    </row>
    <row r="599" spans="8:29">
      <c r="H599" t="e">
        <f t="shared" ca="1" si="65"/>
        <v>#N/A</v>
      </c>
      <c r="I599" t="e">
        <f t="shared" ca="1" si="66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7"/>
        <v>0</v>
      </c>
      <c r="Y599">
        <f t="shared" ca="1" si="68"/>
        <v>0</v>
      </c>
      <c r="AA599" s="63" t="e">
        <f t="shared" ca="1" si="69"/>
        <v>#N/A</v>
      </c>
      <c r="AB599" s="63" t="e">
        <f t="shared" ca="1" si="70"/>
        <v>#N/A</v>
      </c>
      <c r="AC599" s="3" t="e">
        <f t="shared" ca="1" si="71"/>
        <v>#N/A</v>
      </c>
    </row>
    <row r="600" spans="8:29">
      <c r="H600" t="e">
        <f t="shared" ca="1" si="65"/>
        <v>#N/A</v>
      </c>
      <c r="I600" t="e">
        <f t="shared" ca="1" si="66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7"/>
        <v>0</v>
      </c>
      <c r="Y600">
        <f t="shared" ca="1" si="68"/>
        <v>0</v>
      </c>
      <c r="AA600" s="63" t="e">
        <f t="shared" ca="1" si="69"/>
        <v>#N/A</v>
      </c>
      <c r="AB600" s="63" t="e">
        <f t="shared" ca="1" si="70"/>
        <v>#N/A</v>
      </c>
      <c r="AC600" s="3" t="e">
        <f t="shared" ca="1" si="71"/>
        <v>#N/A</v>
      </c>
    </row>
    <row r="601" spans="8:29">
      <c r="H601" t="e">
        <f t="shared" ca="1" si="65"/>
        <v>#N/A</v>
      </c>
      <c r="I601" t="e">
        <f t="shared" ca="1" si="66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7"/>
        <v>0</v>
      </c>
      <c r="Y601">
        <f t="shared" ca="1" si="68"/>
        <v>0</v>
      </c>
      <c r="AA601" s="63" t="e">
        <f t="shared" ca="1" si="69"/>
        <v>#N/A</v>
      </c>
      <c r="AB601" s="63" t="e">
        <f t="shared" ca="1" si="70"/>
        <v>#N/A</v>
      </c>
      <c r="AC601" s="3" t="e">
        <f t="shared" ca="1" si="71"/>
        <v>#N/A</v>
      </c>
    </row>
    <row r="602" spans="8:29">
      <c r="H602" t="e">
        <f t="shared" ca="1" si="65"/>
        <v>#N/A</v>
      </c>
      <c r="I602" t="e">
        <f t="shared" ca="1" si="66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7"/>
        <v>0</v>
      </c>
      <c r="Y602">
        <f t="shared" ca="1" si="68"/>
        <v>0</v>
      </c>
      <c r="AA602" s="63" t="e">
        <f t="shared" ca="1" si="69"/>
        <v>#N/A</v>
      </c>
      <c r="AB602" s="63" t="e">
        <f t="shared" ca="1" si="70"/>
        <v>#N/A</v>
      </c>
      <c r="AC602" s="3" t="e">
        <f t="shared" ca="1" si="71"/>
        <v>#N/A</v>
      </c>
    </row>
    <row r="603" spans="8:29">
      <c r="H603" t="e">
        <f t="shared" ca="1" si="65"/>
        <v>#N/A</v>
      </c>
      <c r="I603" t="e">
        <f t="shared" ca="1" si="66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7"/>
        <v>0</v>
      </c>
      <c r="Y603">
        <f t="shared" ca="1" si="68"/>
        <v>0</v>
      </c>
      <c r="AA603" s="63" t="e">
        <f t="shared" ca="1" si="69"/>
        <v>#N/A</v>
      </c>
      <c r="AB603" s="63" t="e">
        <f t="shared" ca="1" si="70"/>
        <v>#N/A</v>
      </c>
      <c r="AC603" s="3" t="e">
        <f t="shared" ca="1" si="71"/>
        <v>#N/A</v>
      </c>
    </row>
    <row r="604" spans="8:29">
      <c r="H604" t="e">
        <f t="shared" ca="1" si="65"/>
        <v>#N/A</v>
      </c>
      <c r="I604" t="e">
        <f t="shared" ca="1" si="66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7"/>
        <v>0</v>
      </c>
      <c r="Y604">
        <f t="shared" ca="1" si="68"/>
        <v>0</v>
      </c>
      <c r="AA604" s="63" t="e">
        <f t="shared" ca="1" si="69"/>
        <v>#N/A</v>
      </c>
      <c r="AB604" s="63" t="e">
        <f t="shared" ca="1" si="70"/>
        <v>#N/A</v>
      </c>
      <c r="AC604" s="3" t="e">
        <f t="shared" ca="1" si="71"/>
        <v>#N/A</v>
      </c>
    </row>
    <row r="605" spans="8:29">
      <c r="H605" t="e">
        <f t="shared" ca="1" si="65"/>
        <v>#N/A</v>
      </c>
      <c r="I605" t="e">
        <f t="shared" ca="1" si="66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7"/>
        <v>0</v>
      </c>
      <c r="Y605">
        <f t="shared" ca="1" si="68"/>
        <v>0</v>
      </c>
      <c r="AA605" s="63" t="e">
        <f t="shared" ca="1" si="69"/>
        <v>#N/A</v>
      </c>
      <c r="AB605" s="63" t="e">
        <f t="shared" ca="1" si="70"/>
        <v>#N/A</v>
      </c>
      <c r="AC605" s="3" t="e">
        <f t="shared" ca="1" si="71"/>
        <v>#N/A</v>
      </c>
    </row>
    <row r="606" spans="8:29">
      <c r="H606" t="e">
        <f t="shared" ca="1" si="65"/>
        <v>#N/A</v>
      </c>
      <c r="I606" t="e">
        <f t="shared" ca="1" si="66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7"/>
        <v>0</v>
      </c>
      <c r="Y606">
        <f t="shared" ca="1" si="68"/>
        <v>0</v>
      </c>
      <c r="AA606" s="63" t="e">
        <f t="shared" ca="1" si="69"/>
        <v>#N/A</v>
      </c>
      <c r="AB606" s="63" t="e">
        <f t="shared" ca="1" si="70"/>
        <v>#N/A</v>
      </c>
      <c r="AC606" s="3" t="e">
        <f t="shared" ca="1" si="71"/>
        <v>#N/A</v>
      </c>
    </row>
    <row r="607" spans="8:29">
      <c r="H607" t="e">
        <f t="shared" ca="1" si="65"/>
        <v>#N/A</v>
      </c>
      <c r="I607" t="e">
        <f t="shared" ca="1" si="66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7"/>
        <v>0</v>
      </c>
      <c r="Y607">
        <f t="shared" ca="1" si="68"/>
        <v>0</v>
      </c>
      <c r="AA607" s="63" t="e">
        <f t="shared" ca="1" si="69"/>
        <v>#N/A</v>
      </c>
      <c r="AB607" s="63" t="e">
        <f t="shared" ca="1" si="70"/>
        <v>#N/A</v>
      </c>
      <c r="AC607" s="3" t="e">
        <f t="shared" ca="1" si="71"/>
        <v>#N/A</v>
      </c>
    </row>
    <row r="608" spans="8:29">
      <c r="H608" t="e">
        <f t="shared" ca="1" si="65"/>
        <v>#N/A</v>
      </c>
      <c r="I608" t="e">
        <f t="shared" ca="1" si="66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7"/>
        <v>0</v>
      </c>
      <c r="Y608">
        <f t="shared" ca="1" si="68"/>
        <v>0</v>
      </c>
      <c r="AA608" s="63" t="e">
        <f t="shared" ca="1" si="69"/>
        <v>#N/A</v>
      </c>
      <c r="AB608" s="63" t="e">
        <f t="shared" ca="1" si="70"/>
        <v>#N/A</v>
      </c>
      <c r="AC608" s="3" t="e">
        <f t="shared" ca="1" si="71"/>
        <v>#N/A</v>
      </c>
    </row>
    <row r="609" spans="8:29">
      <c r="H609" t="e">
        <f t="shared" ca="1" si="65"/>
        <v>#N/A</v>
      </c>
      <c r="I609" t="e">
        <f t="shared" ca="1" si="66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7"/>
        <v>0</v>
      </c>
      <c r="Y609">
        <f t="shared" ca="1" si="68"/>
        <v>0</v>
      </c>
      <c r="AA609" s="63" t="e">
        <f t="shared" ca="1" si="69"/>
        <v>#N/A</v>
      </c>
      <c r="AB609" s="63" t="e">
        <f t="shared" ca="1" si="70"/>
        <v>#N/A</v>
      </c>
      <c r="AC609" s="3" t="e">
        <f t="shared" ca="1" si="71"/>
        <v>#N/A</v>
      </c>
    </row>
    <row r="610" spans="8:29">
      <c r="H610" t="e">
        <f t="shared" ca="1" si="65"/>
        <v>#N/A</v>
      </c>
      <c r="I610" t="e">
        <f t="shared" ca="1" si="66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7"/>
        <v>0</v>
      </c>
      <c r="Y610">
        <f t="shared" ca="1" si="68"/>
        <v>0</v>
      </c>
      <c r="AA610" s="63" t="e">
        <f t="shared" ca="1" si="69"/>
        <v>#N/A</v>
      </c>
      <c r="AB610" s="63" t="e">
        <f t="shared" ca="1" si="70"/>
        <v>#N/A</v>
      </c>
      <c r="AC610" s="3" t="e">
        <f t="shared" ca="1" si="71"/>
        <v>#N/A</v>
      </c>
    </row>
    <row r="611" spans="8:29">
      <c r="H611" t="e">
        <f t="shared" ca="1" si="65"/>
        <v>#N/A</v>
      </c>
      <c r="I611" t="e">
        <f t="shared" ca="1" si="66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7"/>
        <v>0</v>
      </c>
      <c r="Y611">
        <f t="shared" ca="1" si="68"/>
        <v>0</v>
      </c>
      <c r="AA611" s="63" t="e">
        <f t="shared" ca="1" si="69"/>
        <v>#N/A</v>
      </c>
      <c r="AB611" s="63" t="e">
        <f t="shared" ca="1" si="70"/>
        <v>#N/A</v>
      </c>
      <c r="AC611" s="3" t="e">
        <f t="shared" ca="1" si="71"/>
        <v>#N/A</v>
      </c>
    </row>
    <row r="612" spans="8:29">
      <c r="H612" t="e">
        <f t="shared" ca="1" si="65"/>
        <v>#N/A</v>
      </c>
      <c r="I612" t="e">
        <f t="shared" ca="1" si="66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7"/>
        <v>0</v>
      </c>
      <c r="Y612">
        <f t="shared" ca="1" si="68"/>
        <v>0</v>
      </c>
      <c r="AA612" s="63" t="e">
        <f t="shared" ca="1" si="69"/>
        <v>#N/A</v>
      </c>
      <c r="AB612" s="63" t="e">
        <f t="shared" ca="1" si="70"/>
        <v>#N/A</v>
      </c>
      <c r="AC612" s="3" t="e">
        <f t="shared" ca="1" si="71"/>
        <v>#N/A</v>
      </c>
    </row>
    <row r="613" spans="8:29">
      <c r="H613" t="e">
        <f t="shared" ca="1" si="65"/>
        <v>#N/A</v>
      </c>
      <c r="I613" t="e">
        <f t="shared" ca="1" si="66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7"/>
        <v>0</v>
      </c>
      <c r="Y613">
        <f t="shared" ca="1" si="68"/>
        <v>0</v>
      </c>
      <c r="AA613" s="63" t="e">
        <f t="shared" ca="1" si="69"/>
        <v>#N/A</v>
      </c>
      <c r="AB613" s="63" t="e">
        <f t="shared" ca="1" si="70"/>
        <v>#N/A</v>
      </c>
      <c r="AC613" s="3" t="e">
        <f t="shared" ca="1" si="71"/>
        <v>#N/A</v>
      </c>
    </row>
    <row r="614" spans="8:29">
      <c r="H614" t="e">
        <f t="shared" ca="1" si="65"/>
        <v>#N/A</v>
      </c>
      <c r="I614" t="e">
        <f t="shared" ca="1" si="66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7"/>
        <v>0</v>
      </c>
      <c r="Y614">
        <f t="shared" ca="1" si="68"/>
        <v>0</v>
      </c>
      <c r="AA614" s="63" t="e">
        <f t="shared" ca="1" si="69"/>
        <v>#N/A</v>
      </c>
      <c r="AB614" s="63" t="e">
        <f t="shared" ca="1" si="70"/>
        <v>#N/A</v>
      </c>
      <c r="AC614" s="3" t="e">
        <f t="shared" ca="1" si="71"/>
        <v>#N/A</v>
      </c>
    </row>
    <row r="615" spans="8:29">
      <c r="H615" t="e">
        <f t="shared" ca="1" si="65"/>
        <v>#N/A</v>
      </c>
      <c r="I615" t="e">
        <f t="shared" ca="1" si="66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7"/>
        <v>0</v>
      </c>
      <c r="Y615">
        <f t="shared" ca="1" si="68"/>
        <v>0</v>
      </c>
      <c r="AA615" s="63" t="e">
        <f t="shared" ca="1" si="69"/>
        <v>#N/A</v>
      </c>
      <c r="AB615" s="63" t="e">
        <f t="shared" ca="1" si="70"/>
        <v>#N/A</v>
      </c>
      <c r="AC615" s="3" t="e">
        <f t="shared" ca="1" si="71"/>
        <v>#N/A</v>
      </c>
    </row>
    <row r="616" spans="8:29">
      <c r="H616" t="e">
        <f t="shared" ca="1" si="65"/>
        <v>#N/A</v>
      </c>
      <c r="I616" t="e">
        <f t="shared" ca="1" si="66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7"/>
        <v>0</v>
      </c>
      <c r="Y616">
        <f t="shared" ca="1" si="68"/>
        <v>0</v>
      </c>
      <c r="AA616" s="63" t="e">
        <f t="shared" ca="1" si="69"/>
        <v>#N/A</v>
      </c>
      <c r="AB616" s="63" t="e">
        <f t="shared" ca="1" si="70"/>
        <v>#N/A</v>
      </c>
      <c r="AC616" s="3" t="e">
        <f t="shared" ca="1" si="71"/>
        <v>#N/A</v>
      </c>
    </row>
    <row r="617" spans="8:29">
      <c r="H617" t="e">
        <f t="shared" ca="1" si="65"/>
        <v>#N/A</v>
      </c>
      <c r="I617" t="e">
        <f t="shared" ca="1" si="66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7"/>
        <v>0</v>
      </c>
      <c r="Y617">
        <f t="shared" ca="1" si="68"/>
        <v>0</v>
      </c>
      <c r="AA617" s="63" t="e">
        <f t="shared" ca="1" si="69"/>
        <v>#N/A</v>
      </c>
      <c r="AB617" s="63" t="e">
        <f t="shared" ca="1" si="70"/>
        <v>#N/A</v>
      </c>
      <c r="AC617" s="3" t="e">
        <f t="shared" ca="1" si="71"/>
        <v>#N/A</v>
      </c>
    </row>
    <row r="618" spans="8:29">
      <c r="H618" t="e">
        <f t="shared" ca="1" si="65"/>
        <v>#N/A</v>
      </c>
      <c r="I618" t="e">
        <f t="shared" ca="1" si="66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7"/>
        <v>0</v>
      </c>
      <c r="Y618">
        <f t="shared" ca="1" si="68"/>
        <v>0</v>
      </c>
      <c r="AA618" s="63" t="e">
        <f t="shared" ca="1" si="69"/>
        <v>#N/A</v>
      </c>
      <c r="AB618" s="63" t="e">
        <f t="shared" ca="1" si="70"/>
        <v>#N/A</v>
      </c>
      <c r="AC618" s="3" t="e">
        <f t="shared" ca="1" si="71"/>
        <v>#N/A</v>
      </c>
    </row>
    <row r="619" spans="8:29">
      <c r="H619" t="e">
        <f t="shared" ca="1" si="65"/>
        <v>#N/A</v>
      </c>
      <c r="I619" t="e">
        <f t="shared" ca="1" si="66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7"/>
        <v>0</v>
      </c>
      <c r="Y619">
        <f t="shared" ca="1" si="68"/>
        <v>0</v>
      </c>
      <c r="AA619" s="63" t="e">
        <f t="shared" ca="1" si="69"/>
        <v>#N/A</v>
      </c>
      <c r="AB619" s="63" t="e">
        <f t="shared" ca="1" si="70"/>
        <v>#N/A</v>
      </c>
      <c r="AC619" s="3" t="e">
        <f t="shared" ca="1" si="71"/>
        <v>#N/A</v>
      </c>
    </row>
    <row r="620" spans="8:29">
      <c r="H620" t="e">
        <f t="shared" ca="1" si="65"/>
        <v>#N/A</v>
      </c>
      <c r="I620" t="e">
        <f t="shared" ca="1" si="66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7"/>
        <v>0</v>
      </c>
      <c r="Y620">
        <f t="shared" ca="1" si="68"/>
        <v>0</v>
      </c>
      <c r="AA620" s="63" t="e">
        <f t="shared" ca="1" si="69"/>
        <v>#N/A</v>
      </c>
      <c r="AB620" s="63" t="e">
        <f t="shared" ca="1" si="70"/>
        <v>#N/A</v>
      </c>
      <c r="AC620" s="3" t="e">
        <f t="shared" ca="1" si="71"/>
        <v>#N/A</v>
      </c>
    </row>
    <row r="621" spans="8:29">
      <c r="H621" t="e">
        <f t="shared" ca="1" si="65"/>
        <v>#N/A</v>
      </c>
      <c r="I621" t="e">
        <f t="shared" ca="1" si="66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7"/>
        <v>0</v>
      </c>
      <c r="Y621">
        <f t="shared" ca="1" si="68"/>
        <v>0</v>
      </c>
      <c r="AA621" s="63" t="e">
        <f t="shared" ca="1" si="69"/>
        <v>#N/A</v>
      </c>
      <c r="AB621" s="63" t="e">
        <f t="shared" ca="1" si="70"/>
        <v>#N/A</v>
      </c>
      <c r="AC621" s="3" t="e">
        <f t="shared" ca="1" si="71"/>
        <v>#N/A</v>
      </c>
    </row>
    <row r="622" spans="8:29">
      <c r="H622" t="e">
        <f t="shared" ca="1" si="65"/>
        <v>#N/A</v>
      </c>
      <c r="I622" t="e">
        <f t="shared" ca="1" si="66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7"/>
        <v>0</v>
      </c>
      <c r="Y622">
        <f t="shared" ca="1" si="68"/>
        <v>0</v>
      </c>
      <c r="AA622" s="63" t="e">
        <f t="shared" ca="1" si="69"/>
        <v>#N/A</v>
      </c>
      <c r="AB622" s="63" t="e">
        <f t="shared" ca="1" si="70"/>
        <v>#N/A</v>
      </c>
      <c r="AC622" s="3" t="e">
        <f t="shared" ca="1" si="71"/>
        <v>#N/A</v>
      </c>
    </row>
    <row r="623" spans="8:29">
      <c r="H623" t="e">
        <f t="shared" ca="1" si="65"/>
        <v>#N/A</v>
      </c>
      <c r="I623" t="e">
        <f t="shared" ca="1" si="66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7"/>
        <v>0</v>
      </c>
      <c r="Y623">
        <f t="shared" ca="1" si="68"/>
        <v>0</v>
      </c>
      <c r="AA623" s="63" t="e">
        <f t="shared" ca="1" si="69"/>
        <v>#N/A</v>
      </c>
      <c r="AB623" s="63" t="e">
        <f t="shared" ca="1" si="70"/>
        <v>#N/A</v>
      </c>
      <c r="AC623" s="3" t="e">
        <f t="shared" ca="1" si="71"/>
        <v>#N/A</v>
      </c>
    </row>
    <row r="624" spans="8:29">
      <c r="H624" t="e">
        <f t="shared" ca="1" si="65"/>
        <v>#N/A</v>
      </c>
      <c r="I624" t="e">
        <f t="shared" ca="1" si="66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7"/>
        <v>0</v>
      </c>
      <c r="Y624">
        <f t="shared" ca="1" si="68"/>
        <v>0</v>
      </c>
      <c r="AA624" s="63" t="e">
        <f t="shared" ca="1" si="69"/>
        <v>#N/A</v>
      </c>
      <c r="AB624" s="63" t="e">
        <f t="shared" ca="1" si="70"/>
        <v>#N/A</v>
      </c>
      <c r="AC624" s="3" t="e">
        <f t="shared" ca="1" si="71"/>
        <v>#N/A</v>
      </c>
    </row>
    <row r="625" spans="8:29">
      <c r="H625" t="e">
        <f t="shared" ca="1" si="65"/>
        <v>#N/A</v>
      </c>
      <c r="I625" t="e">
        <f t="shared" ca="1" si="66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7"/>
        <v>0</v>
      </c>
      <c r="Y625">
        <f t="shared" ca="1" si="68"/>
        <v>0</v>
      </c>
      <c r="AA625" s="63" t="e">
        <f t="shared" ca="1" si="69"/>
        <v>#N/A</v>
      </c>
      <c r="AB625" s="63" t="e">
        <f t="shared" ca="1" si="70"/>
        <v>#N/A</v>
      </c>
      <c r="AC625" s="3" t="e">
        <f t="shared" ca="1" si="71"/>
        <v>#N/A</v>
      </c>
    </row>
    <row r="626" spans="8:29">
      <c r="H626" t="e">
        <f t="shared" ca="1" si="65"/>
        <v>#N/A</v>
      </c>
      <c r="I626" t="e">
        <f t="shared" ca="1" si="66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7"/>
        <v>0</v>
      </c>
      <c r="Y626">
        <f t="shared" ca="1" si="68"/>
        <v>0</v>
      </c>
      <c r="AA626" s="63" t="e">
        <f t="shared" ca="1" si="69"/>
        <v>#N/A</v>
      </c>
      <c r="AB626" s="63" t="e">
        <f t="shared" ca="1" si="70"/>
        <v>#N/A</v>
      </c>
      <c r="AC626" s="3" t="e">
        <f t="shared" ca="1" si="71"/>
        <v>#N/A</v>
      </c>
    </row>
    <row r="627" spans="8:29">
      <c r="H627" t="e">
        <f t="shared" ca="1" si="65"/>
        <v>#N/A</v>
      </c>
      <c r="I627" t="e">
        <f t="shared" ca="1" si="66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7"/>
        <v>0</v>
      </c>
      <c r="Y627">
        <f t="shared" ca="1" si="68"/>
        <v>0</v>
      </c>
      <c r="AA627" s="63" t="e">
        <f t="shared" ca="1" si="69"/>
        <v>#N/A</v>
      </c>
      <c r="AB627" s="63" t="e">
        <f t="shared" ca="1" si="70"/>
        <v>#N/A</v>
      </c>
      <c r="AC627" s="3" t="e">
        <f t="shared" ca="1" si="71"/>
        <v>#N/A</v>
      </c>
    </row>
    <row r="628" spans="8:29">
      <c r="H628" t="e">
        <f t="shared" ca="1" si="65"/>
        <v>#N/A</v>
      </c>
      <c r="I628" t="e">
        <f t="shared" ca="1" si="66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7"/>
        <v>0</v>
      </c>
      <c r="Y628">
        <f t="shared" ca="1" si="68"/>
        <v>0</v>
      </c>
      <c r="AA628" s="63" t="e">
        <f t="shared" ca="1" si="69"/>
        <v>#N/A</v>
      </c>
      <c r="AB628" s="63" t="e">
        <f t="shared" ca="1" si="70"/>
        <v>#N/A</v>
      </c>
      <c r="AC628" s="3" t="e">
        <f t="shared" ca="1" si="71"/>
        <v>#N/A</v>
      </c>
    </row>
    <row r="629" spans="8:29">
      <c r="H629" t="e">
        <f t="shared" ca="1" si="65"/>
        <v>#N/A</v>
      </c>
      <c r="I629" t="e">
        <f t="shared" ca="1" si="66"/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ca="1" si="67"/>
        <v>0</v>
      </c>
      <c r="Y629">
        <f t="shared" ca="1" si="68"/>
        <v>0</v>
      </c>
      <c r="AA629" s="63" t="e">
        <f t="shared" ca="1" si="69"/>
        <v>#N/A</v>
      </c>
      <c r="AB629" s="63" t="e">
        <f t="shared" ca="1" si="70"/>
        <v>#N/A</v>
      </c>
      <c r="AC629" s="3" t="e">
        <f t="shared" ca="1" si="71"/>
        <v>#N/A</v>
      </c>
    </row>
    <row r="630" spans="8:29">
      <c r="H630" t="e">
        <f t="shared" ref="H630:H693" ca="1" si="72">IF(J630&lt;$J$9,TRUE,FALSE)</f>
        <v>#N/A</v>
      </c>
      <c r="I630" t="e">
        <f t="shared" ref="I630:I693" ca="1" si="73">AND(IF(J630&gt;($J$8-1),TRUE,FALSE),IF(J630&lt;($J$9+1),TRUE,FALSE))</f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ref="X630:X693" ca="1" si="74">IFERROR(J630,$X$10)</f>
        <v>0</v>
      </c>
      <c r="Y630">
        <f t="shared" ref="Y630:Y693" ca="1" si="75">IFERROR(O630,0)</f>
        <v>0</v>
      </c>
      <c r="AA630" s="63" t="e">
        <f t="shared" ref="AA630:AA693" ca="1" si="76">K629+M630+N630+O630</f>
        <v>#N/A</v>
      </c>
      <c r="AB630" s="63" t="e">
        <f t="shared" ref="AB630:AB693" ca="1" si="77">K630+L630+R630</f>
        <v>#N/A</v>
      </c>
      <c r="AC630" s="3" t="e">
        <f t="shared" ref="AC630:AC693" ca="1" si="78">AB630-AA630</f>
        <v>#N/A</v>
      </c>
    </row>
    <row r="631" spans="8:29">
      <c r="H631" t="e">
        <f t="shared" ca="1" si="72"/>
        <v>#N/A</v>
      </c>
      <c r="I631" t="e">
        <f t="shared" ca="1" si="73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4"/>
        <v>0</v>
      </c>
      <c r="Y631">
        <f t="shared" ca="1" si="75"/>
        <v>0</v>
      </c>
      <c r="AA631" s="63" t="e">
        <f t="shared" ca="1" si="76"/>
        <v>#N/A</v>
      </c>
      <c r="AB631" s="63" t="e">
        <f t="shared" ca="1" si="77"/>
        <v>#N/A</v>
      </c>
      <c r="AC631" s="3" t="e">
        <f t="shared" ca="1" si="78"/>
        <v>#N/A</v>
      </c>
    </row>
    <row r="632" spans="8:29">
      <c r="H632" t="e">
        <f t="shared" ca="1" si="72"/>
        <v>#N/A</v>
      </c>
      <c r="I632" t="e">
        <f t="shared" ca="1" si="73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4"/>
        <v>0</v>
      </c>
      <c r="Y632">
        <f t="shared" ca="1" si="75"/>
        <v>0</v>
      </c>
      <c r="AA632" s="63" t="e">
        <f t="shared" ca="1" si="76"/>
        <v>#N/A</v>
      </c>
      <c r="AB632" s="63" t="e">
        <f t="shared" ca="1" si="77"/>
        <v>#N/A</v>
      </c>
      <c r="AC632" s="3" t="e">
        <f t="shared" ca="1" si="78"/>
        <v>#N/A</v>
      </c>
    </row>
    <row r="633" spans="8:29">
      <c r="H633" t="e">
        <f t="shared" ca="1" si="72"/>
        <v>#N/A</v>
      </c>
      <c r="I633" t="e">
        <f t="shared" ca="1" si="73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4"/>
        <v>0</v>
      </c>
      <c r="Y633">
        <f t="shared" ca="1" si="75"/>
        <v>0</v>
      </c>
      <c r="AA633" s="63" t="e">
        <f t="shared" ca="1" si="76"/>
        <v>#N/A</v>
      </c>
      <c r="AB633" s="63" t="e">
        <f t="shared" ca="1" si="77"/>
        <v>#N/A</v>
      </c>
      <c r="AC633" s="3" t="e">
        <f t="shared" ca="1" si="78"/>
        <v>#N/A</v>
      </c>
    </row>
    <row r="634" spans="8:29">
      <c r="H634" t="e">
        <f t="shared" ca="1" si="72"/>
        <v>#N/A</v>
      </c>
      <c r="I634" t="e">
        <f t="shared" ca="1" si="73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4"/>
        <v>0</v>
      </c>
      <c r="Y634">
        <f t="shared" ca="1" si="75"/>
        <v>0</v>
      </c>
      <c r="AA634" s="63" t="e">
        <f t="shared" ca="1" si="76"/>
        <v>#N/A</v>
      </c>
      <c r="AB634" s="63" t="e">
        <f t="shared" ca="1" si="77"/>
        <v>#N/A</v>
      </c>
      <c r="AC634" s="3" t="e">
        <f t="shared" ca="1" si="78"/>
        <v>#N/A</v>
      </c>
    </row>
    <row r="635" spans="8:29">
      <c r="H635" t="e">
        <f t="shared" ca="1" si="72"/>
        <v>#N/A</v>
      </c>
      <c r="I635" t="e">
        <f t="shared" ca="1" si="73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4"/>
        <v>0</v>
      </c>
      <c r="Y635">
        <f t="shared" ca="1" si="75"/>
        <v>0</v>
      </c>
      <c r="AA635" s="63" t="e">
        <f t="shared" ca="1" si="76"/>
        <v>#N/A</v>
      </c>
      <c r="AB635" s="63" t="e">
        <f t="shared" ca="1" si="77"/>
        <v>#N/A</v>
      </c>
      <c r="AC635" s="3" t="e">
        <f t="shared" ca="1" si="78"/>
        <v>#N/A</v>
      </c>
    </row>
    <row r="636" spans="8:29">
      <c r="H636" t="e">
        <f t="shared" ca="1" si="72"/>
        <v>#N/A</v>
      </c>
      <c r="I636" t="e">
        <f t="shared" ca="1" si="73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4"/>
        <v>0</v>
      </c>
      <c r="Y636">
        <f t="shared" ca="1" si="75"/>
        <v>0</v>
      </c>
      <c r="AA636" s="63" t="e">
        <f t="shared" ca="1" si="76"/>
        <v>#N/A</v>
      </c>
      <c r="AB636" s="63" t="e">
        <f t="shared" ca="1" si="77"/>
        <v>#N/A</v>
      </c>
      <c r="AC636" s="3" t="e">
        <f t="shared" ca="1" si="78"/>
        <v>#N/A</v>
      </c>
    </row>
    <row r="637" spans="8:29">
      <c r="H637" t="e">
        <f t="shared" ca="1" si="72"/>
        <v>#N/A</v>
      </c>
      <c r="I637" t="e">
        <f t="shared" ca="1" si="73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4"/>
        <v>0</v>
      </c>
      <c r="Y637">
        <f t="shared" ca="1" si="75"/>
        <v>0</v>
      </c>
      <c r="AA637" s="63" t="e">
        <f t="shared" ca="1" si="76"/>
        <v>#N/A</v>
      </c>
      <c r="AB637" s="63" t="e">
        <f t="shared" ca="1" si="77"/>
        <v>#N/A</v>
      </c>
      <c r="AC637" s="3" t="e">
        <f t="shared" ca="1" si="78"/>
        <v>#N/A</v>
      </c>
    </row>
    <row r="638" spans="8:29">
      <c r="H638" t="e">
        <f t="shared" ca="1" si="72"/>
        <v>#N/A</v>
      </c>
      <c r="I638" t="e">
        <f t="shared" ca="1" si="73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4"/>
        <v>0</v>
      </c>
      <c r="Y638">
        <f t="shared" ca="1" si="75"/>
        <v>0</v>
      </c>
      <c r="AA638" s="63" t="e">
        <f t="shared" ca="1" si="76"/>
        <v>#N/A</v>
      </c>
      <c r="AB638" s="63" t="e">
        <f t="shared" ca="1" si="77"/>
        <v>#N/A</v>
      </c>
      <c r="AC638" s="3" t="e">
        <f t="shared" ca="1" si="78"/>
        <v>#N/A</v>
      </c>
    </row>
    <row r="639" spans="8:29">
      <c r="H639" t="e">
        <f t="shared" ca="1" si="72"/>
        <v>#N/A</v>
      </c>
      <c r="I639" t="e">
        <f t="shared" ca="1" si="73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4"/>
        <v>0</v>
      </c>
      <c r="Y639">
        <f t="shared" ca="1" si="75"/>
        <v>0</v>
      </c>
      <c r="AA639" s="63" t="e">
        <f t="shared" ca="1" si="76"/>
        <v>#N/A</v>
      </c>
      <c r="AB639" s="63" t="e">
        <f t="shared" ca="1" si="77"/>
        <v>#N/A</v>
      </c>
      <c r="AC639" s="3" t="e">
        <f t="shared" ca="1" si="78"/>
        <v>#N/A</v>
      </c>
    </row>
    <row r="640" spans="8:29">
      <c r="H640" t="e">
        <f t="shared" ca="1" si="72"/>
        <v>#N/A</v>
      </c>
      <c r="I640" t="e">
        <f t="shared" ca="1" si="73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4"/>
        <v>0</v>
      </c>
      <c r="Y640">
        <f t="shared" ca="1" si="75"/>
        <v>0</v>
      </c>
      <c r="AA640" s="63" t="e">
        <f t="shared" ca="1" si="76"/>
        <v>#N/A</v>
      </c>
      <c r="AB640" s="63" t="e">
        <f t="shared" ca="1" si="77"/>
        <v>#N/A</v>
      </c>
      <c r="AC640" s="3" t="e">
        <f t="shared" ca="1" si="78"/>
        <v>#N/A</v>
      </c>
    </row>
    <row r="641" spans="8:29">
      <c r="H641" t="e">
        <f t="shared" ca="1" si="72"/>
        <v>#N/A</v>
      </c>
      <c r="I641" t="e">
        <f t="shared" ca="1" si="73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4"/>
        <v>0</v>
      </c>
      <c r="Y641">
        <f t="shared" ca="1" si="75"/>
        <v>0</v>
      </c>
      <c r="AA641" s="63" t="e">
        <f t="shared" ca="1" si="76"/>
        <v>#N/A</v>
      </c>
      <c r="AB641" s="63" t="e">
        <f t="shared" ca="1" si="77"/>
        <v>#N/A</v>
      </c>
      <c r="AC641" s="3" t="e">
        <f t="shared" ca="1" si="78"/>
        <v>#N/A</v>
      </c>
    </row>
    <row r="642" spans="8:29">
      <c r="H642" t="e">
        <f t="shared" ca="1" si="72"/>
        <v>#N/A</v>
      </c>
      <c r="I642" t="e">
        <f t="shared" ca="1" si="73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4"/>
        <v>0</v>
      </c>
      <c r="Y642">
        <f t="shared" ca="1" si="75"/>
        <v>0</v>
      </c>
      <c r="AA642" s="63" t="e">
        <f t="shared" ca="1" si="76"/>
        <v>#N/A</v>
      </c>
      <c r="AB642" s="63" t="e">
        <f t="shared" ca="1" si="77"/>
        <v>#N/A</v>
      </c>
      <c r="AC642" s="3" t="e">
        <f t="shared" ca="1" si="78"/>
        <v>#N/A</v>
      </c>
    </row>
    <row r="643" spans="8:29">
      <c r="H643" t="e">
        <f t="shared" ca="1" si="72"/>
        <v>#N/A</v>
      </c>
      <c r="I643" t="e">
        <f t="shared" ca="1" si="73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4"/>
        <v>0</v>
      </c>
      <c r="Y643">
        <f t="shared" ca="1" si="75"/>
        <v>0</v>
      </c>
      <c r="AA643" s="63" t="e">
        <f t="shared" ca="1" si="76"/>
        <v>#N/A</v>
      </c>
      <c r="AB643" s="63" t="e">
        <f t="shared" ca="1" si="77"/>
        <v>#N/A</v>
      </c>
      <c r="AC643" s="3" t="e">
        <f t="shared" ca="1" si="78"/>
        <v>#N/A</v>
      </c>
    </row>
    <row r="644" spans="8:29">
      <c r="H644" t="e">
        <f t="shared" ca="1" si="72"/>
        <v>#N/A</v>
      </c>
      <c r="I644" t="e">
        <f t="shared" ca="1" si="73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4"/>
        <v>0</v>
      </c>
      <c r="Y644">
        <f t="shared" ca="1" si="75"/>
        <v>0</v>
      </c>
      <c r="AA644" s="63" t="e">
        <f t="shared" ca="1" si="76"/>
        <v>#N/A</v>
      </c>
      <c r="AB644" s="63" t="e">
        <f t="shared" ca="1" si="77"/>
        <v>#N/A</v>
      </c>
      <c r="AC644" s="3" t="e">
        <f t="shared" ca="1" si="78"/>
        <v>#N/A</v>
      </c>
    </row>
    <row r="645" spans="8:29">
      <c r="H645" t="e">
        <f t="shared" ca="1" si="72"/>
        <v>#N/A</v>
      </c>
      <c r="I645" t="e">
        <f t="shared" ca="1" si="73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4"/>
        <v>0</v>
      </c>
      <c r="Y645">
        <f t="shared" ca="1" si="75"/>
        <v>0</v>
      </c>
      <c r="AA645" s="63" t="e">
        <f t="shared" ca="1" si="76"/>
        <v>#N/A</v>
      </c>
      <c r="AB645" s="63" t="e">
        <f t="shared" ca="1" si="77"/>
        <v>#N/A</v>
      </c>
      <c r="AC645" s="3" t="e">
        <f t="shared" ca="1" si="78"/>
        <v>#N/A</v>
      </c>
    </row>
    <row r="646" spans="8:29">
      <c r="H646" t="e">
        <f t="shared" ca="1" si="72"/>
        <v>#N/A</v>
      </c>
      <c r="I646" t="e">
        <f t="shared" ca="1" si="73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4"/>
        <v>0</v>
      </c>
      <c r="Y646">
        <f t="shared" ca="1" si="75"/>
        <v>0</v>
      </c>
      <c r="AA646" s="63" t="e">
        <f t="shared" ca="1" si="76"/>
        <v>#N/A</v>
      </c>
      <c r="AB646" s="63" t="e">
        <f t="shared" ca="1" si="77"/>
        <v>#N/A</v>
      </c>
      <c r="AC646" s="3" t="e">
        <f t="shared" ca="1" si="78"/>
        <v>#N/A</v>
      </c>
    </row>
    <row r="647" spans="8:29">
      <c r="H647" t="e">
        <f t="shared" ca="1" si="72"/>
        <v>#N/A</v>
      </c>
      <c r="I647" t="e">
        <f t="shared" ca="1" si="73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4"/>
        <v>0</v>
      </c>
      <c r="Y647">
        <f t="shared" ca="1" si="75"/>
        <v>0</v>
      </c>
      <c r="AA647" s="63" t="e">
        <f t="shared" ca="1" si="76"/>
        <v>#N/A</v>
      </c>
      <c r="AB647" s="63" t="e">
        <f t="shared" ca="1" si="77"/>
        <v>#N/A</v>
      </c>
      <c r="AC647" s="3" t="e">
        <f t="shared" ca="1" si="78"/>
        <v>#N/A</v>
      </c>
    </row>
    <row r="648" spans="8:29">
      <c r="H648" t="e">
        <f t="shared" ca="1" si="72"/>
        <v>#N/A</v>
      </c>
      <c r="I648" t="e">
        <f t="shared" ca="1" si="73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4"/>
        <v>0</v>
      </c>
      <c r="Y648">
        <f t="shared" ca="1" si="75"/>
        <v>0</v>
      </c>
      <c r="AA648" s="63" t="e">
        <f t="shared" ca="1" si="76"/>
        <v>#N/A</v>
      </c>
      <c r="AB648" s="63" t="e">
        <f t="shared" ca="1" si="77"/>
        <v>#N/A</v>
      </c>
      <c r="AC648" s="3" t="e">
        <f t="shared" ca="1" si="78"/>
        <v>#N/A</v>
      </c>
    </row>
    <row r="649" spans="8:29">
      <c r="H649" t="e">
        <f t="shared" ca="1" si="72"/>
        <v>#N/A</v>
      </c>
      <c r="I649" t="e">
        <f t="shared" ca="1" si="73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4"/>
        <v>0</v>
      </c>
      <c r="Y649">
        <f t="shared" ca="1" si="75"/>
        <v>0</v>
      </c>
      <c r="AA649" s="63" t="e">
        <f t="shared" ca="1" si="76"/>
        <v>#N/A</v>
      </c>
      <c r="AB649" s="63" t="e">
        <f t="shared" ca="1" si="77"/>
        <v>#N/A</v>
      </c>
      <c r="AC649" s="3" t="e">
        <f t="shared" ca="1" si="78"/>
        <v>#N/A</v>
      </c>
    </row>
    <row r="650" spans="8:29">
      <c r="H650" t="e">
        <f t="shared" ca="1" si="72"/>
        <v>#N/A</v>
      </c>
      <c r="I650" t="e">
        <f t="shared" ca="1" si="73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4"/>
        <v>0</v>
      </c>
      <c r="Y650">
        <f t="shared" ca="1" si="75"/>
        <v>0</v>
      </c>
      <c r="AA650" s="63" t="e">
        <f t="shared" ca="1" si="76"/>
        <v>#N/A</v>
      </c>
      <c r="AB650" s="63" t="e">
        <f t="shared" ca="1" si="77"/>
        <v>#N/A</v>
      </c>
      <c r="AC650" s="3" t="e">
        <f t="shared" ca="1" si="78"/>
        <v>#N/A</v>
      </c>
    </row>
    <row r="651" spans="8:29">
      <c r="H651" t="e">
        <f t="shared" ca="1" si="72"/>
        <v>#N/A</v>
      </c>
      <c r="I651" t="e">
        <f t="shared" ca="1" si="73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4"/>
        <v>0</v>
      </c>
      <c r="Y651">
        <f t="shared" ca="1" si="75"/>
        <v>0</v>
      </c>
      <c r="AA651" s="63" t="e">
        <f t="shared" ca="1" si="76"/>
        <v>#N/A</v>
      </c>
      <c r="AB651" s="63" t="e">
        <f t="shared" ca="1" si="77"/>
        <v>#N/A</v>
      </c>
      <c r="AC651" s="3" t="e">
        <f t="shared" ca="1" si="78"/>
        <v>#N/A</v>
      </c>
    </row>
    <row r="652" spans="8:29">
      <c r="H652" t="e">
        <f t="shared" ca="1" si="72"/>
        <v>#N/A</v>
      </c>
      <c r="I652" t="e">
        <f t="shared" ca="1" si="73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4"/>
        <v>0</v>
      </c>
      <c r="Y652">
        <f t="shared" ca="1" si="75"/>
        <v>0</v>
      </c>
      <c r="AA652" s="63" t="e">
        <f t="shared" ca="1" si="76"/>
        <v>#N/A</v>
      </c>
      <c r="AB652" s="63" t="e">
        <f t="shared" ca="1" si="77"/>
        <v>#N/A</v>
      </c>
      <c r="AC652" s="3" t="e">
        <f t="shared" ca="1" si="78"/>
        <v>#N/A</v>
      </c>
    </row>
    <row r="653" spans="8:29">
      <c r="H653" t="e">
        <f t="shared" ca="1" si="72"/>
        <v>#N/A</v>
      </c>
      <c r="I653" t="e">
        <f t="shared" ca="1" si="73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4"/>
        <v>0</v>
      </c>
      <c r="Y653">
        <f t="shared" ca="1" si="75"/>
        <v>0</v>
      </c>
      <c r="AA653" s="63" t="e">
        <f t="shared" ca="1" si="76"/>
        <v>#N/A</v>
      </c>
      <c r="AB653" s="63" t="e">
        <f t="shared" ca="1" si="77"/>
        <v>#N/A</v>
      </c>
      <c r="AC653" s="3" t="e">
        <f t="shared" ca="1" si="78"/>
        <v>#N/A</v>
      </c>
    </row>
    <row r="654" spans="8:29">
      <c r="H654" t="e">
        <f t="shared" ca="1" si="72"/>
        <v>#N/A</v>
      </c>
      <c r="I654" t="e">
        <f t="shared" ca="1" si="73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4"/>
        <v>0</v>
      </c>
      <c r="Y654">
        <f t="shared" ca="1" si="75"/>
        <v>0</v>
      </c>
      <c r="AA654" s="63" t="e">
        <f t="shared" ca="1" si="76"/>
        <v>#N/A</v>
      </c>
      <c r="AB654" s="63" t="e">
        <f t="shared" ca="1" si="77"/>
        <v>#N/A</v>
      </c>
      <c r="AC654" s="3" t="e">
        <f t="shared" ca="1" si="78"/>
        <v>#N/A</v>
      </c>
    </row>
    <row r="655" spans="8:29">
      <c r="H655" t="e">
        <f t="shared" ca="1" si="72"/>
        <v>#N/A</v>
      </c>
      <c r="I655" t="e">
        <f t="shared" ca="1" si="73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4"/>
        <v>0</v>
      </c>
      <c r="Y655">
        <f t="shared" ca="1" si="75"/>
        <v>0</v>
      </c>
      <c r="AA655" s="63" t="e">
        <f t="shared" ca="1" si="76"/>
        <v>#N/A</v>
      </c>
      <c r="AB655" s="63" t="e">
        <f t="shared" ca="1" si="77"/>
        <v>#N/A</v>
      </c>
      <c r="AC655" s="3" t="e">
        <f t="shared" ca="1" si="78"/>
        <v>#N/A</v>
      </c>
    </row>
    <row r="656" spans="8:29">
      <c r="H656" t="e">
        <f t="shared" ca="1" si="72"/>
        <v>#N/A</v>
      </c>
      <c r="I656" t="e">
        <f t="shared" ca="1" si="73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4"/>
        <v>0</v>
      </c>
      <c r="Y656">
        <f t="shared" ca="1" si="75"/>
        <v>0</v>
      </c>
      <c r="AA656" s="63" t="e">
        <f t="shared" ca="1" si="76"/>
        <v>#N/A</v>
      </c>
      <c r="AB656" s="63" t="e">
        <f t="shared" ca="1" si="77"/>
        <v>#N/A</v>
      </c>
      <c r="AC656" s="3" t="e">
        <f t="shared" ca="1" si="78"/>
        <v>#N/A</v>
      </c>
    </row>
    <row r="657" spans="8:29">
      <c r="H657" t="e">
        <f t="shared" ca="1" si="72"/>
        <v>#N/A</v>
      </c>
      <c r="I657" t="e">
        <f t="shared" ca="1" si="73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4"/>
        <v>0</v>
      </c>
      <c r="Y657">
        <f t="shared" ca="1" si="75"/>
        <v>0</v>
      </c>
      <c r="AA657" s="63" t="e">
        <f t="shared" ca="1" si="76"/>
        <v>#N/A</v>
      </c>
      <c r="AB657" s="63" t="e">
        <f t="shared" ca="1" si="77"/>
        <v>#N/A</v>
      </c>
      <c r="AC657" s="3" t="e">
        <f t="shared" ca="1" si="78"/>
        <v>#N/A</v>
      </c>
    </row>
    <row r="658" spans="8:29">
      <c r="H658" t="e">
        <f t="shared" ca="1" si="72"/>
        <v>#N/A</v>
      </c>
      <c r="I658" t="e">
        <f t="shared" ca="1" si="73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4"/>
        <v>0</v>
      </c>
      <c r="Y658">
        <f t="shared" ca="1" si="75"/>
        <v>0</v>
      </c>
      <c r="AA658" s="63" t="e">
        <f t="shared" ca="1" si="76"/>
        <v>#N/A</v>
      </c>
      <c r="AB658" s="63" t="e">
        <f t="shared" ca="1" si="77"/>
        <v>#N/A</v>
      </c>
      <c r="AC658" s="3" t="e">
        <f t="shared" ca="1" si="78"/>
        <v>#N/A</v>
      </c>
    </row>
    <row r="659" spans="8:29">
      <c r="H659" t="e">
        <f t="shared" ca="1" si="72"/>
        <v>#N/A</v>
      </c>
      <c r="I659" t="e">
        <f t="shared" ca="1" si="73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4"/>
        <v>0</v>
      </c>
      <c r="Y659">
        <f t="shared" ca="1" si="75"/>
        <v>0</v>
      </c>
      <c r="AA659" s="63" t="e">
        <f t="shared" ca="1" si="76"/>
        <v>#N/A</v>
      </c>
      <c r="AB659" s="63" t="e">
        <f t="shared" ca="1" si="77"/>
        <v>#N/A</v>
      </c>
      <c r="AC659" s="3" t="e">
        <f t="shared" ca="1" si="78"/>
        <v>#N/A</v>
      </c>
    </row>
    <row r="660" spans="8:29">
      <c r="H660" t="e">
        <f t="shared" ca="1" si="72"/>
        <v>#N/A</v>
      </c>
      <c r="I660" t="e">
        <f t="shared" ca="1" si="73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4"/>
        <v>0</v>
      </c>
      <c r="Y660">
        <f t="shared" ca="1" si="75"/>
        <v>0</v>
      </c>
      <c r="AA660" s="63" t="e">
        <f t="shared" ca="1" si="76"/>
        <v>#N/A</v>
      </c>
      <c r="AB660" s="63" t="e">
        <f t="shared" ca="1" si="77"/>
        <v>#N/A</v>
      </c>
      <c r="AC660" s="3" t="e">
        <f t="shared" ca="1" si="78"/>
        <v>#N/A</v>
      </c>
    </row>
    <row r="661" spans="8:29">
      <c r="H661" t="e">
        <f t="shared" ca="1" si="72"/>
        <v>#N/A</v>
      </c>
      <c r="I661" t="e">
        <f t="shared" ca="1" si="73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4"/>
        <v>0</v>
      </c>
      <c r="Y661">
        <f t="shared" ca="1" si="75"/>
        <v>0</v>
      </c>
      <c r="AA661" s="63" t="e">
        <f t="shared" ca="1" si="76"/>
        <v>#N/A</v>
      </c>
      <c r="AB661" s="63" t="e">
        <f t="shared" ca="1" si="77"/>
        <v>#N/A</v>
      </c>
      <c r="AC661" s="3" t="e">
        <f t="shared" ca="1" si="78"/>
        <v>#N/A</v>
      </c>
    </row>
    <row r="662" spans="8:29">
      <c r="H662" t="e">
        <f t="shared" ca="1" si="72"/>
        <v>#N/A</v>
      </c>
      <c r="I662" t="e">
        <f t="shared" ca="1" si="73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4"/>
        <v>0</v>
      </c>
      <c r="Y662">
        <f t="shared" ca="1" si="75"/>
        <v>0</v>
      </c>
      <c r="AA662" s="63" t="e">
        <f t="shared" ca="1" si="76"/>
        <v>#N/A</v>
      </c>
      <c r="AB662" s="63" t="e">
        <f t="shared" ca="1" si="77"/>
        <v>#N/A</v>
      </c>
      <c r="AC662" s="3" t="e">
        <f t="shared" ca="1" si="78"/>
        <v>#N/A</v>
      </c>
    </row>
    <row r="663" spans="8:29">
      <c r="H663" t="e">
        <f t="shared" ca="1" si="72"/>
        <v>#N/A</v>
      </c>
      <c r="I663" t="e">
        <f t="shared" ca="1" si="73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4"/>
        <v>0</v>
      </c>
      <c r="Y663">
        <f t="shared" ca="1" si="75"/>
        <v>0</v>
      </c>
      <c r="AA663" s="63" t="e">
        <f t="shared" ca="1" si="76"/>
        <v>#N/A</v>
      </c>
      <c r="AB663" s="63" t="e">
        <f t="shared" ca="1" si="77"/>
        <v>#N/A</v>
      </c>
      <c r="AC663" s="3" t="e">
        <f t="shared" ca="1" si="78"/>
        <v>#N/A</v>
      </c>
    </row>
    <row r="664" spans="8:29">
      <c r="H664" t="e">
        <f t="shared" ca="1" si="72"/>
        <v>#N/A</v>
      </c>
      <c r="I664" t="e">
        <f t="shared" ca="1" si="73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4"/>
        <v>0</v>
      </c>
      <c r="Y664">
        <f t="shared" ca="1" si="75"/>
        <v>0</v>
      </c>
      <c r="AA664" s="63" t="e">
        <f t="shared" ca="1" si="76"/>
        <v>#N/A</v>
      </c>
      <c r="AB664" s="63" t="e">
        <f t="shared" ca="1" si="77"/>
        <v>#N/A</v>
      </c>
      <c r="AC664" s="3" t="e">
        <f t="shared" ca="1" si="78"/>
        <v>#N/A</v>
      </c>
    </row>
    <row r="665" spans="8:29">
      <c r="H665" t="e">
        <f t="shared" ca="1" si="72"/>
        <v>#N/A</v>
      </c>
      <c r="I665" t="e">
        <f t="shared" ca="1" si="73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4"/>
        <v>0</v>
      </c>
      <c r="Y665">
        <f t="shared" ca="1" si="75"/>
        <v>0</v>
      </c>
      <c r="AA665" s="63" t="e">
        <f t="shared" ca="1" si="76"/>
        <v>#N/A</v>
      </c>
      <c r="AB665" s="63" t="e">
        <f t="shared" ca="1" si="77"/>
        <v>#N/A</v>
      </c>
      <c r="AC665" s="3" t="e">
        <f t="shared" ca="1" si="78"/>
        <v>#N/A</v>
      </c>
    </row>
    <row r="666" spans="8:29">
      <c r="H666" t="e">
        <f t="shared" ca="1" si="72"/>
        <v>#N/A</v>
      </c>
      <c r="I666" t="e">
        <f t="shared" ca="1" si="73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4"/>
        <v>0</v>
      </c>
      <c r="Y666">
        <f t="shared" ca="1" si="75"/>
        <v>0</v>
      </c>
      <c r="AA666" s="63" t="e">
        <f t="shared" ca="1" si="76"/>
        <v>#N/A</v>
      </c>
      <c r="AB666" s="63" t="e">
        <f t="shared" ca="1" si="77"/>
        <v>#N/A</v>
      </c>
      <c r="AC666" s="3" t="e">
        <f t="shared" ca="1" si="78"/>
        <v>#N/A</v>
      </c>
    </row>
    <row r="667" spans="8:29">
      <c r="H667" t="e">
        <f t="shared" ca="1" si="72"/>
        <v>#N/A</v>
      </c>
      <c r="I667" t="e">
        <f t="shared" ca="1" si="73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4"/>
        <v>0</v>
      </c>
      <c r="Y667">
        <f t="shared" ca="1" si="75"/>
        <v>0</v>
      </c>
      <c r="AA667" s="63" t="e">
        <f t="shared" ca="1" si="76"/>
        <v>#N/A</v>
      </c>
      <c r="AB667" s="63" t="e">
        <f t="shared" ca="1" si="77"/>
        <v>#N/A</v>
      </c>
      <c r="AC667" s="3" t="e">
        <f t="shared" ca="1" si="78"/>
        <v>#N/A</v>
      </c>
    </row>
    <row r="668" spans="8:29">
      <c r="H668" t="e">
        <f t="shared" ca="1" si="72"/>
        <v>#N/A</v>
      </c>
      <c r="I668" t="e">
        <f t="shared" ca="1" si="73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4"/>
        <v>0</v>
      </c>
      <c r="Y668">
        <f t="shared" ca="1" si="75"/>
        <v>0</v>
      </c>
      <c r="AA668" s="63" t="e">
        <f t="shared" ca="1" si="76"/>
        <v>#N/A</v>
      </c>
      <c r="AB668" s="63" t="e">
        <f t="shared" ca="1" si="77"/>
        <v>#N/A</v>
      </c>
      <c r="AC668" s="3" t="e">
        <f t="shared" ca="1" si="78"/>
        <v>#N/A</v>
      </c>
    </row>
    <row r="669" spans="8:29">
      <c r="H669" t="e">
        <f t="shared" ca="1" si="72"/>
        <v>#N/A</v>
      </c>
      <c r="I669" t="e">
        <f t="shared" ca="1" si="73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4"/>
        <v>0</v>
      </c>
      <c r="Y669">
        <f t="shared" ca="1" si="75"/>
        <v>0</v>
      </c>
      <c r="AA669" s="63" t="e">
        <f t="shared" ca="1" si="76"/>
        <v>#N/A</v>
      </c>
      <c r="AB669" s="63" t="e">
        <f t="shared" ca="1" si="77"/>
        <v>#N/A</v>
      </c>
      <c r="AC669" s="3" t="e">
        <f t="shared" ca="1" si="78"/>
        <v>#N/A</v>
      </c>
    </row>
    <row r="670" spans="8:29">
      <c r="H670" t="e">
        <f t="shared" ca="1" si="72"/>
        <v>#N/A</v>
      </c>
      <c r="I670" t="e">
        <f t="shared" ca="1" si="73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4"/>
        <v>0</v>
      </c>
      <c r="Y670">
        <f t="shared" ca="1" si="75"/>
        <v>0</v>
      </c>
      <c r="AA670" s="63" t="e">
        <f t="shared" ca="1" si="76"/>
        <v>#N/A</v>
      </c>
      <c r="AB670" s="63" t="e">
        <f t="shared" ca="1" si="77"/>
        <v>#N/A</v>
      </c>
      <c r="AC670" s="3" t="e">
        <f t="shared" ca="1" si="78"/>
        <v>#N/A</v>
      </c>
    </row>
    <row r="671" spans="8:29">
      <c r="H671" t="e">
        <f t="shared" ca="1" si="72"/>
        <v>#N/A</v>
      </c>
      <c r="I671" t="e">
        <f t="shared" ca="1" si="73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4"/>
        <v>0</v>
      </c>
      <c r="Y671">
        <f t="shared" ca="1" si="75"/>
        <v>0</v>
      </c>
      <c r="AA671" s="63" t="e">
        <f t="shared" ca="1" si="76"/>
        <v>#N/A</v>
      </c>
      <c r="AB671" s="63" t="e">
        <f t="shared" ca="1" si="77"/>
        <v>#N/A</v>
      </c>
      <c r="AC671" s="3" t="e">
        <f t="shared" ca="1" si="78"/>
        <v>#N/A</v>
      </c>
    </row>
    <row r="672" spans="8:29">
      <c r="H672" t="e">
        <f t="shared" ca="1" si="72"/>
        <v>#N/A</v>
      </c>
      <c r="I672" t="e">
        <f t="shared" ca="1" si="73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4"/>
        <v>0</v>
      </c>
      <c r="Y672">
        <f t="shared" ca="1" si="75"/>
        <v>0</v>
      </c>
      <c r="AA672" s="63" t="e">
        <f t="shared" ca="1" si="76"/>
        <v>#N/A</v>
      </c>
      <c r="AB672" s="63" t="e">
        <f t="shared" ca="1" si="77"/>
        <v>#N/A</v>
      </c>
      <c r="AC672" s="3" t="e">
        <f t="shared" ca="1" si="78"/>
        <v>#N/A</v>
      </c>
    </row>
    <row r="673" spans="8:29">
      <c r="H673" t="e">
        <f t="shared" ca="1" si="72"/>
        <v>#N/A</v>
      </c>
      <c r="I673" t="e">
        <f t="shared" ca="1" si="73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4"/>
        <v>0</v>
      </c>
      <c r="Y673">
        <f t="shared" ca="1" si="75"/>
        <v>0</v>
      </c>
      <c r="AA673" s="63" t="e">
        <f t="shared" ca="1" si="76"/>
        <v>#N/A</v>
      </c>
      <c r="AB673" s="63" t="e">
        <f t="shared" ca="1" si="77"/>
        <v>#N/A</v>
      </c>
      <c r="AC673" s="3" t="e">
        <f t="shared" ca="1" si="78"/>
        <v>#N/A</v>
      </c>
    </row>
    <row r="674" spans="8:29">
      <c r="H674" t="e">
        <f t="shared" ca="1" si="72"/>
        <v>#N/A</v>
      </c>
      <c r="I674" t="e">
        <f t="shared" ca="1" si="73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4"/>
        <v>0</v>
      </c>
      <c r="Y674">
        <f t="shared" ca="1" si="75"/>
        <v>0</v>
      </c>
      <c r="AA674" s="63" t="e">
        <f t="shared" ca="1" si="76"/>
        <v>#N/A</v>
      </c>
      <c r="AB674" s="63" t="e">
        <f t="shared" ca="1" si="77"/>
        <v>#N/A</v>
      </c>
      <c r="AC674" s="3" t="e">
        <f t="shared" ca="1" si="78"/>
        <v>#N/A</v>
      </c>
    </row>
    <row r="675" spans="8:29">
      <c r="H675" t="e">
        <f t="shared" ca="1" si="72"/>
        <v>#N/A</v>
      </c>
      <c r="I675" t="e">
        <f t="shared" ca="1" si="73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4"/>
        <v>0</v>
      </c>
      <c r="Y675">
        <f t="shared" ca="1" si="75"/>
        <v>0</v>
      </c>
      <c r="AA675" s="63" t="e">
        <f t="shared" ca="1" si="76"/>
        <v>#N/A</v>
      </c>
      <c r="AB675" s="63" t="e">
        <f t="shared" ca="1" si="77"/>
        <v>#N/A</v>
      </c>
      <c r="AC675" s="3" t="e">
        <f t="shared" ca="1" si="78"/>
        <v>#N/A</v>
      </c>
    </row>
    <row r="676" spans="8:29">
      <c r="H676" t="e">
        <f t="shared" ca="1" si="72"/>
        <v>#N/A</v>
      </c>
      <c r="I676" t="e">
        <f t="shared" ca="1" si="73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4"/>
        <v>0</v>
      </c>
      <c r="Y676">
        <f t="shared" ca="1" si="75"/>
        <v>0</v>
      </c>
      <c r="AA676" s="63" t="e">
        <f t="shared" ca="1" si="76"/>
        <v>#N/A</v>
      </c>
      <c r="AB676" s="63" t="e">
        <f t="shared" ca="1" si="77"/>
        <v>#N/A</v>
      </c>
      <c r="AC676" s="3" t="e">
        <f t="shared" ca="1" si="78"/>
        <v>#N/A</v>
      </c>
    </row>
    <row r="677" spans="8:29">
      <c r="H677" t="e">
        <f t="shared" ca="1" si="72"/>
        <v>#N/A</v>
      </c>
      <c r="I677" t="e">
        <f t="shared" ca="1" si="73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4"/>
        <v>0</v>
      </c>
      <c r="Y677">
        <f t="shared" ca="1" si="75"/>
        <v>0</v>
      </c>
      <c r="AA677" s="63" t="e">
        <f t="shared" ca="1" si="76"/>
        <v>#N/A</v>
      </c>
      <c r="AB677" s="63" t="e">
        <f t="shared" ca="1" si="77"/>
        <v>#N/A</v>
      </c>
      <c r="AC677" s="3" t="e">
        <f t="shared" ca="1" si="78"/>
        <v>#N/A</v>
      </c>
    </row>
    <row r="678" spans="8:29">
      <c r="H678" t="e">
        <f t="shared" ca="1" si="72"/>
        <v>#N/A</v>
      </c>
      <c r="I678" t="e">
        <f t="shared" ca="1" si="73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4"/>
        <v>0</v>
      </c>
      <c r="Y678">
        <f t="shared" ca="1" si="75"/>
        <v>0</v>
      </c>
      <c r="AA678" s="63" t="e">
        <f t="shared" ca="1" si="76"/>
        <v>#N/A</v>
      </c>
      <c r="AB678" s="63" t="e">
        <f t="shared" ca="1" si="77"/>
        <v>#N/A</v>
      </c>
      <c r="AC678" s="3" t="e">
        <f t="shared" ca="1" si="78"/>
        <v>#N/A</v>
      </c>
    </row>
    <row r="679" spans="8:29">
      <c r="H679" t="e">
        <f t="shared" ca="1" si="72"/>
        <v>#N/A</v>
      </c>
      <c r="I679" t="e">
        <f t="shared" ca="1" si="73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4"/>
        <v>0</v>
      </c>
      <c r="Y679">
        <f t="shared" ca="1" si="75"/>
        <v>0</v>
      </c>
      <c r="AA679" s="63" t="e">
        <f t="shared" ca="1" si="76"/>
        <v>#N/A</v>
      </c>
      <c r="AB679" s="63" t="e">
        <f t="shared" ca="1" si="77"/>
        <v>#N/A</v>
      </c>
      <c r="AC679" s="3" t="e">
        <f t="shared" ca="1" si="78"/>
        <v>#N/A</v>
      </c>
    </row>
    <row r="680" spans="8:29">
      <c r="H680" t="e">
        <f t="shared" ca="1" si="72"/>
        <v>#N/A</v>
      </c>
      <c r="I680" t="e">
        <f t="shared" ca="1" si="73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4"/>
        <v>0</v>
      </c>
      <c r="Y680">
        <f t="shared" ca="1" si="75"/>
        <v>0</v>
      </c>
      <c r="AA680" s="63" t="e">
        <f t="shared" ca="1" si="76"/>
        <v>#N/A</v>
      </c>
      <c r="AB680" s="63" t="e">
        <f t="shared" ca="1" si="77"/>
        <v>#N/A</v>
      </c>
      <c r="AC680" s="3" t="e">
        <f t="shared" ca="1" si="78"/>
        <v>#N/A</v>
      </c>
    </row>
    <row r="681" spans="8:29">
      <c r="H681" t="e">
        <f t="shared" ca="1" si="72"/>
        <v>#N/A</v>
      </c>
      <c r="I681" t="e">
        <f t="shared" ca="1" si="73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4"/>
        <v>0</v>
      </c>
      <c r="Y681">
        <f t="shared" ca="1" si="75"/>
        <v>0</v>
      </c>
      <c r="AA681" s="63" t="e">
        <f t="shared" ca="1" si="76"/>
        <v>#N/A</v>
      </c>
      <c r="AB681" s="63" t="e">
        <f t="shared" ca="1" si="77"/>
        <v>#N/A</v>
      </c>
      <c r="AC681" s="3" t="e">
        <f t="shared" ca="1" si="78"/>
        <v>#N/A</v>
      </c>
    </row>
    <row r="682" spans="8:29">
      <c r="H682" t="e">
        <f t="shared" ca="1" si="72"/>
        <v>#N/A</v>
      </c>
      <c r="I682" t="e">
        <f t="shared" ca="1" si="73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4"/>
        <v>0</v>
      </c>
      <c r="Y682">
        <f t="shared" ca="1" si="75"/>
        <v>0</v>
      </c>
      <c r="AA682" s="63" t="e">
        <f t="shared" ca="1" si="76"/>
        <v>#N/A</v>
      </c>
      <c r="AB682" s="63" t="e">
        <f t="shared" ca="1" si="77"/>
        <v>#N/A</v>
      </c>
      <c r="AC682" s="3" t="e">
        <f t="shared" ca="1" si="78"/>
        <v>#N/A</v>
      </c>
    </row>
    <row r="683" spans="8:29">
      <c r="H683" t="e">
        <f t="shared" ca="1" si="72"/>
        <v>#N/A</v>
      </c>
      <c r="I683" t="e">
        <f t="shared" ca="1" si="73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4"/>
        <v>0</v>
      </c>
      <c r="Y683">
        <f t="shared" ca="1" si="75"/>
        <v>0</v>
      </c>
      <c r="AA683" s="63" t="e">
        <f t="shared" ca="1" si="76"/>
        <v>#N/A</v>
      </c>
      <c r="AB683" s="63" t="e">
        <f t="shared" ca="1" si="77"/>
        <v>#N/A</v>
      </c>
      <c r="AC683" s="3" t="e">
        <f t="shared" ca="1" si="78"/>
        <v>#N/A</v>
      </c>
    </row>
    <row r="684" spans="8:29">
      <c r="H684" t="e">
        <f t="shared" ca="1" si="72"/>
        <v>#N/A</v>
      </c>
      <c r="I684" t="e">
        <f t="shared" ca="1" si="73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4"/>
        <v>0</v>
      </c>
      <c r="Y684">
        <f t="shared" ca="1" si="75"/>
        <v>0</v>
      </c>
      <c r="AA684" s="63" t="e">
        <f t="shared" ca="1" si="76"/>
        <v>#N/A</v>
      </c>
      <c r="AB684" s="63" t="e">
        <f t="shared" ca="1" si="77"/>
        <v>#N/A</v>
      </c>
      <c r="AC684" s="3" t="e">
        <f t="shared" ca="1" si="78"/>
        <v>#N/A</v>
      </c>
    </row>
    <row r="685" spans="8:29">
      <c r="H685" t="e">
        <f t="shared" ca="1" si="72"/>
        <v>#N/A</v>
      </c>
      <c r="I685" t="e">
        <f t="shared" ca="1" si="73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4"/>
        <v>0</v>
      </c>
      <c r="Y685">
        <f t="shared" ca="1" si="75"/>
        <v>0</v>
      </c>
      <c r="AA685" s="63" t="e">
        <f t="shared" ca="1" si="76"/>
        <v>#N/A</v>
      </c>
      <c r="AB685" s="63" t="e">
        <f t="shared" ca="1" si="77"/>
        <v>#N/A</v>
      </c>
      <c r="AC685" s="3" t="e">
        <f t="shared" ca="1" si="78"/>
        <v>#N/A</v>
      </c>
    </row>
    <row r="686" spans="8:29">
      <c r="H686" t="e">
        <f t="shared" ca="1" si="72"/>
        <v>#N/A</v>
      </c>
      <c r="I686" t="e">
        <f t="shared" ca="1" si="73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4"/>
        <v>0</v>
      </c>
      <c r="Y686">
        <f t="shared" ca="1" si="75"/>
        <v>0</v>
      </c>
      <c r="AA686" s="63" t="e">
        <f t="shared" ca="1" si="76"/>
        <v>#N/A</v>
      </c>
      <c r="AB686" s="63" t="e">
        <f t="shared" ca="1" si="77"/>
        <v>#N/A</v>
      </c>
      <c r="AC686" s="3" t="e">
        <f t="shared" ca="1" si="78"/>
        <v>#N/A</v>
      </c>
    </row>
    <row r="687" spans="8:29">
      <c r="H687" t="e">
        <f t="shared" ca="1" si="72"/>
        <v>#N/A</v>
      </c>
      <c r="I687" t="e">
        <f t="shared" ca="1" si="73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4"/>
        <v>0</v>
      </c>
      <c r="Y687">
        <f t="shared" ca="1" si="75"/>
        <v>0</v>
      </c>
      <c r="AA687" s="63" t="e">
        <f t="shared" ca="1" si="76"/>
        <v>#N/A</v>
      </c>
      <c r="AB687" s="63" t="e">
        <f t="shared" ca="1" si="77"/>
        <v>#N/A</v>
      </c>
      <c r="AC687" s="3" t="e">
        <f t="shared" ca="1" si="78"/>
        <v>#N/A</v>
      </c>
    </row>
    <row r="688" spans="8:29">
      <c r="H688" t="e">
        <f t="shared" ca="1" si="72"/>
        <v>#N/A</v>
      </c>
      <c r="I688" t="e">
        <f t="shared" ca="1" si="73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4"/>
        <v>0</v>
      </c>
      <c r="Y688">
        <f t="shared" ca="1" si="75"/>
        <v>0</v>
      </c>
      <c r="AA688" s="63" t="e">
        <f t="shared" ca="1" si="76"/>
        <v>#N/A</v>
      </c>
      <c r="AB688" s="63" t="e">
        <f t="shared" ca="1" si="77"/>
        <v>#N/A</v>
      </c>
      <c r="AC688" s="3" t="e">
        <f t="shared" ca="1" si="78"/>
        <v>#N/A</v>
      </c>
    </row>
    <row r="689" spans="8:29">
      <c r="H689" t="e">
        <f t="shared" ca="1" si="72"/>
        <v>#N/A</v>
      </c>
      <c r="I689" t="e">
        <f t="shared" ca="1" si="73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4"/>
        <v>0</v>
      </c>
      <c r="Y689">
        <f t="shared" ca="1" si="75"/>
        <v>0</v>
      </c>
      <c r="AA689" s="63" t="e">
        <f t="shared" ca="1" si="76"/>
        <v>#N/A</v>
      </c>
      <c r="AB689" s="63" t="e">
        <f t="shared" ca="1" si="77"/>
        <v>#N/A</v>
      </c>
      <c r="AC689" s="3" t="e">
        <f t="shared" ca="1" si="78"/>
        <v>#N/A</v>
      </c>
    </row>
    <row r="690" spans="8:29">
      <c r="H690" t="e">
        <f t="shared" ca="1" si="72"/>
        <v>#N/A</v>
      </c>
      <c r="I690" t="e">
        <f t="shared" ca="1" si="73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4"/>
        <v>0</v>
      </c>
      <c r="Y690">
        <f t="shared" ca="1" si="75"/>
        <v>0</v>
      </c>
      <c r="AA690" s="63" t="e">
        <f t="shared" ca="1" si="76"/>
        <v>#N/A</v>
      </c>
      <c r="AB690" s="63" t="e">
        <f t="shared" ca="1" si="77"/>
        <v>#N/A</v>
      </c>
      <c r="AC690" s="3" t="e">
        <f t="shared" ca="1" si="78"/>
        <v>#N/A</v>
      </c>
    </row>
    <row r="691" spans="8:29">
      <c r="H691" t="e">
        <f t="shared" ca="1" si="72"/>
        <v>#N/A</v>
      </c>
      <c r="I691" t="e">
        <f t="shared" ca="1" si="73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4"/>
        <v>0</v>
      </c>
      <c r="Y691">
        <f t="shared" ca="1" si="75"/>
        <v>0</v>
      </c>
      <c r="AA691" s="63" t="e">
        <f t="shared" ca="1" si="76"/>
        <v>#N/A</v>
      </c>
      <c r="AB691" s="63" t="e">
        <f t="shared" ca="1" si="77"/>
        <v>#N/A</v>
      </c>
      <c r="AC691" s="3" t="e">
        <f t="shared" ca="1" si="78"/>
        <v>#N/A</v>
      </c>
    </row>
    <row r="692" spans="8:29">
      <c r="H692" t="e">
        <f t="shared" ca="1" si="72"/>
        <v>#N/A</v>
      </c>
      <c r="I692" t="e">
        <f t="shared" ca="1" si="73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4"/>
        <v>0</v>
      </c>
      <c r="Y692">
        <f t="shared" ca="1" si="75"/>
        <v>0</v>
      </c>
      <c r="AA692" s="63" t="e">
        <f t="shared" ca="1" si="76"/>
        <v>#N/A</v>
      </c>
      <c r="AB692" s="63" t="e">
        <f t="shared" ca="1" si="77"/>
        <v>#N/A</v>
      </c>
      <c r="AC692" s="3" t="e">
        <f t="shared" ca="1" si="78"/>
        <v>#N/A</v>
      </c>
    </row>
    <row r="693" spans="8:29">
      <c r="H693" t="e">
        <f t="shared" ca="1" si="72"/>
        <v>#N/A</v>
      </c>
      <c r="I693" t="e">
        <f t="shared" ca="1" si="73"/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ca="1" si="74"/>
        <v>0</v>
      </c>
      <c r="Y693">
        <f t="shared" ca="1" si="75"/>
        <v>0</v>
      </c>
      <c r="AA693" s="63" t="e">
        <f t="shared" ca="1" si="76"/>
        <v>#N/A</v>
      </c>
      <c r="AB693" s="63" t="e">
        <f t="shared" ca="1" si="77"/>
        <v>#N/A</v>
      </c>
      <c r="AC693" s="3" t="e">
        <f t="shared" ca="1" si="78"/>
        <v>#N/A</v>
      </c>
    </row>
    <row r="694" spans="8:29">
      <c r="H694" t="e">
        <f t="shared" ref="H694:H757" ca="1" si="79">IF(J694&lt;$J$9,TRUE,FALSE)</f>
        <v>#N/A</v>
      </c>
      <c r="I694" t="e">
        <f t="shared" ref="I694:I757" ca="1" si="80">AND(IF(J694&gt;($J$8-1),TRUE,FALSE),IF(J694&lt;($J$9+1),TRUE,FALSE))</f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ref="X694:X757" ca="1" si="81">IFERROR(J694,$X$10)</f>
        <v>0</v>
      </c>
      <c r="Y694">
        <f t="shared" ref="Y694:Y757" ca="1" si="82">IFERROR(O694,0)</f>
        <v>0</v>
      </c>
      <c r="AA694" s="63" t="e">
        <f t="shared" ref="AA694:AA757" ca="1" si="83">K693+M694+N694+O694</f>
        <v>#N/A</v>
      </c>
      <c r="AB694" s="63" t="e">
        <f t="shared" ref="AB694:AB757" ca="1" si="84">K694+L694+R694</f>
        <v>#N/A</v>
      </c>
      <c r="AC694" s="3" t="e">
        <f t="shared" ref="AC694:AC757" ca="1" si="85">AB694-AA694</f>
        <v>#N/A</v>
      </c>
    </row>
    <row r="695" spans="8:29">
      <c r="H695" t="e">
        <f t="shared" ca="1" si="79"/>
        <v>#N/A</v>
      </c>
      <c r="I695" t="e">
        <f t="shared" ca="1" si="80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81"/>
        <v>0</v>
      </c>
      <c r="Y695">
        <f t="shared" ca="1" si="82"/>
        <v>0</v>
      </c>
      <c r="AA695" s="63" t="e">
        <f t="shared" ca="1" si="83"/>
        <v>#N/A</v>
      </c>
      <c r="AB695" s="63" t="e">
        <f t="shared" ca="1" si="84"/>
        <v>#N/A</v>
      </c>
      <c r="AC695" s="3" t="e">
        <f t="shared" ca="1" si="85"/>
        <v>#N/A</v>
      </c>
    </row>
    <row r="696" spans="8:29">
      <c r="H696" t="e">
        <f t="shared" ca="1" si="79"/>
        <v>#N/A</v>
      </c>
      <c r="I696" t="e">
        <f t="shared" ca="1" si="80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81"/>
        <v>0</v>
      </c>
      <c r="Y696">
        <f t="shared" ca="1" si="82"/>
        <v>0</v>
      </c>
      <c r="AA696" s="63" t="e">
        <f t="shared" ca="1" si="83"/>
        <v>#N/A</v>
      </c>
      <c r="AB696" s="63" t="e">
        <f t="shared" ca="1" si="84"/>
        <v>#N/A</v>
      </c>
      <c r="AC696" s="3" t="e">
        <f t="shared" ca="1" si="85"/>
        <v>#N/A</v>
      </c>
    </row>
    <row r="697" spans="8:29">
      <c r="H697" t="e">
        <f t="shared" ca="1" si="79"/>
        <v>#N/A</v>
      </c>
      <c r="I697" t="e">
        <f t="shared" ca="1" si="80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81"/>
        <v>0</v>
      </c>
      <c r="Y697">
        <f t="shared" ca="1" si="82"/>
        <v>0</v>
      </c>
      <c r="AA697" s="63" t="e">
        <f t="shared" ca="1" si="83"/>
        <v>#N/A</v>
      </c>
      <c r="AB697" s="63" t="e">
        <f t="shared" ca="1" si="84"/>
        <v>#N/A</v>
      </c>
      <c r="AC697" s="3" t="e">
        <f t="shared" ca="1" si="85"/>
        <v>#N/A</v>
      </c>
    </row>
    <row r="698" spans="8:29">
      <c r="H698" t="e">
        <f t="shared" ca="1" si="79"/>
        <v>#N/A</v>
      </c>
      <c r="I698" t="e">
        <f t="shared" ca="1" si="80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81"/>
        <v>0</v>
      </c>
      <c r="Y698">
        <f t="shared" ca="1" si="82"/>
        <v>0</v>
      </c>
      <c r="AA698" s="63" t="e">
        <f t="shared" ca="1" si="83"/>
        <v>#N/A</v>
      </c>
      <c r="AB698" s="63" t="e">
        <f t="shared" ca="1" si="84"/>
        <v>#N/A</v>
      </c>
      <c r="AC698" s="3" t="e">
        <f t="shared" ca="1" si="85"/>
        <v>#N/A</v>
      </c>
    </row>
    <row r="699" spans="8:29">
      <c r="H699" t="e">
        <f t="shared" ca="1" si="79"/>
        <v>#N/A</v>
      </c>
      <c r="I699" t="e">
        <f t="shared" ca="1" si="80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81"/>
        <v>0</v>
      </c>
      <c r="Y699">
        <f t="shared" ca="1" si="82"/>
        <v>0</v>
      </c>
      <c r="AA699" s="63" t="e">
        <f t="shared" ca="1" si="83"/>
        <v>#N/A</v>
      </c>
      <c r="AB699" s="63" t="e">
        <f t="shared" ca="1" si="84"/>
        <v>#N/A</v>
      </c>
      <c r="AC699" s="3" t="e">
        <f t="shared" ca="1" si="85"/>
        <v>#N/A</v>
      </c>
    </row>
    <row r="700" spans="8:29">
      <c r="H700" t="e">
        <f t="shared" ca="1" si="79"/>
        <v>#N/A</v>
      </c>
      <c r="I700" t="e">
        <f t="shared" ca="1" si="80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81"/>
        <v>0</v>
      </c>
      <c r="Y700">
        <f t="shared" ca="1" si="82"/>
        <v>0</v>
      </c>
      <c r="AA700" s="63" t="e">
        <f t="shared" ca="1" si="83"/>
        <v>#N/A</v>
      </c>
      <c r="AB700" s="63" t="e">
        <f t="shared" ca="1" si="84"/>
        <v>#N/A</v>
      </c>
      <c r="AC700" s="3" t="e">
        <f t="shared" ca="1" si="85"/>
        <v>#N/A</v>
      </c>
    </row>
    <row r="701" spans="8:29">
      <c r="H701" t="e">
        <f t="shared" ca="1" si="79"/>
        <v>#N/A</v>
      </c>
      <c r="I701" t="e">
        <f t="shared" ca="1" si="80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81"/>
        <v>0</v>
      </c>
      <c r="Y701">
        <f t="shared" ca="1" si="82"/>
        <v>0</v>
      </c>
      <c r="AA701" s="63" t="e">
        <f t="shared" ca="1" si="83"/>
        <v>#N/A</v>
      </c>
      <c r="AB701" s="63" t="e">
        <f t="shared" ca="1" si="84"/>
        <v>#N/A</v>
      </c>
      <c r="AC701" s="3" t="e">
        <f t="shared" ca="1" si="85"/>
        <v>#N/A</v>
      </c>
    </row>
    <row r="702" spans="8:29">
      <c r="H702" t="e">
        <f t="shared" ca="1" si="79"/>
        <v>#N/A</v>
      </c>
      <c r="I702" t="e">
        <f t="shared" ca="1" si="80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81"/>
        <v>0</v>
      </c>
      <c r="Y702">
        <f t="shared" ca="1" si="82"/>
        <v>0</v>
      </c>
      <c r="AA702" s="63" t="e">
        <f t="shared" ca="1" si="83"/>
        <v>#N/A</v>
      </c>
      <c r="AB702" s="63" t="e">
        <f t="shared" ca="1" si="84"/>
        <v>#N/A</v>
      </c>
      <c r="AC702" s="3" t="e">
        <f t="shared" ca="1" si="85"/>
        <v>#N/A</v>
      </c>
    </row>
    <row r="703" spans="8:29">
      <c r="H703" t="e">
        <f t="shared" ca="1" si="79"/>
        <v>#N/A</v>
      </c>
      <c r="I703" t="e">
        <f t="shared" ca="1" si="80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81"/>
        <v>0</v>
      </c>
      <c r="Y703">
        <f t="shared" ca="1" si="82"/>
        <v>0</v>
      </c>
      <c r="AA703" s="63" t="e">
        <f t="shared" ca="1" si="83"/>
        <v>#N/A</v>
      </c>
      <c r="AB703" s="63" t="e">
        <f t="shared" ca="1" si="84"/>
        <v>#N/A</v>
      </c>
      <c r="AC703" s="3" t="e">
        <f t="shared" ca="1" si="85"/>
        <v>#N/A</v>
      </c>
    </row>
    <row r="704" spans="8:29">
      <c r="H704" t="e">
        <f t="shared" ca="1" si="79"/>
        <v>#N/A</v>
      </c>
      <c r="I704" t="e">
        <f t="shared" ca="1" si="80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81"/>
        <v>0</v>
      </c>
      <c r="Y704">
        <f t="shared" ca="1" si="82"/>
        <v>0</v>
      </c>
      <c r="AA704" s="63" t="e">
        <f t="shared" ca="1" si="83"/>
        <v>#N/A</v>
      </c>
      <c r="AB704" s="63" t="e">
        <f t="shared" ca="1" si="84"/>
        <v>#N/A</v>
      </c>
      <c r="AC704" s="3" t="e">
        <f t="shared" ca="1" si="85"/>
        <v>#N/A</v>
      </c>
    </row>
    <row r="705" spans="8:29">
      <c r="H705" t="e">
        <f t="shared" ca="1" si="79"/>
        <v>#N/A</v>
      </c>
      <c r="I705" t="e">
        <f t="shared" ca="1" si="80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81"/>
        <v>0</v>
      </c>
      <c r="Y705">
        <f t="shared" ca="1" si="82"/>
        <v>0</v>
      </c>
      <c r="AA705" s="63" t="e">
        <f t="shared" ca="1" si="83"/>
        <v>#N/A</v>
      </c>
      <c r="AB705" s="63" t="e">
        <f t="shared" ca="1" si="84"/>
        <v>#N/A</v>
      </c>
      <c r="AC705" s="3" t="e">
        <f t="shared" ca="1" si="85"/>
        <v>#N/A</v>
      </c>
    </row>
    <row r="706" spans="8:29">
      <c r="H706" t="e">
        <f t="shared" ca="1" si="79"/>
        <v>#N/A</v>
      </c>
      <c r="I706" t="e">
        <f t="shared" ca="1" si="80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81"/>
        <v>0</v>
      </c>
      <c r="Y706">
        <f t="shared" ca="1" si="82"/>
        <v>0</v>
      </c>
      <c r="AA706" s="63" t="e">
        <f t="shared" ca="1" si="83"/>
        <v>#N/A</v>
      </c>
      <c r="AB706" s="63" t="e">
        <f t="shared" ca="1" si="84"/>
        <v>#N/A</v>
      </c>
      <c r="AC706" s="3" t="e">
        <f t="shared" ca="1" si="85"/>
        <v>#N/A</v>
      </c>
    </row>
    <row r="707" spans="8:29">
      <c r="H707" t="e">
        <f t="shared" ca="1" si="79"/>
        <v>#N/A</v>
      </c>
      <c r="I707" t="e">
        <f t="shared" ca="1" si="80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81"/>
        <v>0</v>
      </c>
      <c r="Y707">
        <f t="shared" ca="1" si="82"/>
        <v>0</v>
      </c>
      <c r="AA707" s="63" t="e">
        <f t="shared" ca="1" si="83"/>
        <v>#N/A</v>
      </c>
      <c r="AB707" s="63" t="e">
        <f t="shared" ca="1" si="84"/>
        <v>#N/A</v>
      </c>
      <c r="AC707" s="3" t="e">
        <f t="shared" ca="1" si="85"/>
        <v>#N/A</v>
      </c>
    </row>
    <row r="708" spans="8:29">
      <c r="H708" t="e">
        <f t="shared" ca="1" si="79"/>
        <v>#N/A</v>
      </c>
      <c r="I708" t="e">
        <f t="shared" ca="1" si="80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81"/>
        <v>0</v>
      </c>
      <c r="Y708">
        <f t="shared" ca="1" si="82"/>
        <v>0</v>
      </c>
      <c r="AA708" s="63" t="e">
        <f t="shared" ca="1" si="83"/>
        <v>#N/A</v>
      </c>
      <c r="AB708" s="63" t="e">
        <f t="shared" ca="1" si="84"/>
        <v>#N/A</v>
      </c>
      <c r="AC708" s="3" t="e">
        <f t="shared" ca="1" si="85"/>
        <v>#N/A</v>
      </c>
    </row>
    <row r="709" spans="8:29">
      <c r="H709" t="e">
        <f t="shared" ca="1" si="79"/>
        <v>#N/A</v>
      </c>
      <c r="I709" t="e">
        <f t="shared" ca="1" si="80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81"/>
        <v>0</v>
      </c>
      <c r="Y709">
        <f t="shared" ca="1" si="82"/>
        <v>0</v>
      </c>
      <c r="AA709" s="63" t="e">
        <f t="shared" ca="1" si="83"/>
        <v>#N/A</v>
      </c>
      <c r="AB709" s="63" t="e">
        <f t="shared" ca="1" si="84"/>
        <v>#N/A</v>
      </c>
      <c r="AC709" s="3" t="e">
        <f t="shared" ca="1" si="85"/>
        <v>#N/A</v>
      </c>
    </row>
    <row r="710" spans="8:29">
      <c r="H710" t="e">
        <f t="shared" ca="1" si="79"/>
        <v>#N/A</v>
      </c>
      <c r="I710" t="e">
        <f t="shared" ca="1" si="80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81"/>
        <v>0</v>
      </c>
      <c r="Y710">
        <f t="shared" ca="1" si="82"/>
        <v>0</v>
      </c>
      <c r="AA710" s="63" t="e">
        <f t="shared" ca="1" si="83"/>
        <v>#N/A</v>
      </c>
      <c r="AB710" s="63" t="e">
        <f t="shared" ca="1" si="84"/>
        <v>#N/A</v>
      </c>
      <c r="AC710" s="3" t="e">
        <f t="shared" ca="1" si="85"/>
        <v>#N/A</v>
      </c>
    </row>
    <row r="711" spans="8:29">
      <c r="H711" t="e">
        <f t="shared" ca="1" si="79"/>
        <v>#N/A</v>
      </c>
      <c r="I711" t="e">
        <f t="shared" ca="1" si="80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81"/>
        <v>0</v>
      </c>
      <c r="Y711">
        <f t="shared" ca="1" si="82"/>
        <v>0</v>
      </c>
      <c r="AA711" s="63" t="e">
        <f t="shared" ca="1" si="83"/>
        <v>#N/A</v>
      </c>
      <c r="AB711" s="63" t="e">
        <f t="shared" ca="1" si="84"/>
        <v>#N/A</v>
      </c>
      <c r="AC711" s="3" t="e">
        <f t="shared" ca="1" si="85"/>
        <v>#N/A</v>
      </c>
    </row>
    <row r="712" spans="8:29">
      <c r="H712" t="e">
        <f t="shared" ca="1" si="79"/>
        <v>#N/A</v>
      </c>
      <c r="I712" t="e">
        <f t="shared" ca="1" si="80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81"/>
        <v>0</v>
      </c>
      <c r="Y712">
        <f t="shared" ca="1" si="82"/>
        <v>0</v>
      </c>
      <c r="AA712" s="63" t="e">
        <f t="shared" ca="1" si="83"/>
        <v>#N/A</v>
      </c>
      <c r="AB712" s="63" t="e">
        <f t="shared" ca="1" si="84"/>
        <v>#N/A</v>
      </c>
      <c r="AC712" s="3" t="e">
        <f t="shared" ca="1" si="85"/>
        <v>#N/A</v>
      </c>
    </row>
    <row r="713" spans="8:29">
      <c r="H713" t="e">
        <f t="shared" ca="1" si="79"/>
        <v>#N/A</v>
      </c>
      <c r="I713" t="e">
        <f t="shared" ca="1" si="80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81"/>
        <v>0</v>
      </c>
      <c r="Y713">
        <f t="shared" ca="1" si="82"/>
        <v>0</v>
      </c>
      <c r="AA713" s="63" t="e">
        <f t="shared" ca="1" si="83"/>
        <v>#N/A</v>
      </c>
      <c r="AB713" s="63" t="e">
        <f t="shared" ca="1" si="84"/>
        <v>#N/A</v>
      </c>
      <c r="AC713" s="3" t="e">
        <f t="shared" ca="1" si="85"/>
        <v>#N/A</v>
      </c>
    </row>
    <row r="714" spans="8:29">
      <c r="H714" t="e">
        <f t="shared" ca="1" si="79"/>
        <v>#N/A</v>
      </c>
      <c r="I714" t="e">
        <f t="shared" ca="1" si="80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81"/>
        <v>0</v>
      </c>
      <c r="Y714">
        <f t="shared" ca="1" si="82"/>
        <v>0</v>
      </c>
      <c r="AA714" s="63" t="e">
        <f t="shared" ca="1" si="83"/>
        <v>#N/A</v>
      </c>
      <c r="AB714" s="63" t="e">
        <f t="shared" ca="1" si="84"/>
        <v>#N/A</v>
      </c>
      <c r="AC714" s="3" t="e">
        <f t="shared" ca="1" si="85"/>
        <v>#N/A</v>
      </c>
    </row>
    <row r="715" spans="8:29">
      <c r="H715" t="e">
        <f t="shared" ca="1" si="79"/>
        <v>#N/A</v>
      </c>
      <c r="I715" t="e">
        <f t="shared" ca="1" si="80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81"/>
        <v>0</v>
      </c>
      <c r="Y715">
        <f t="shared" ca="1" si="82"/>
        <v>0</v>
      </c>
      <c r="AA715" s="63" t="e">
        <f t="shared" ca="1" si="83"/>
        <v>#N/A</v>
      </c>
      <c r="AB715" s="63" t="e">
        <f t="shared" ca="1" si="84"/>
        <v>#N/A</v>
      </c>
      <c r="AC715" s="3" t="e">
        <f t="shared" ca="1" si="85"/>
        <v>#N/A</v>
      </c>
    </row>
    <row r="716" spans="8:29">
      <c r="H716" t="e">
        <f t="shared" ca="1" si="79"/>
        <v>#N/A</v>
      </c>
      <c r="I716" t="e">
        <f t="shared" ca="1" si="80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81"/>
        <v>0</v>
      </c>
      <c r="Y716">
        <f t="shared" ca="1" si="82"/>
        <v>0</v>
      </c>
      <c r="AA716" s="63" t="e">
        <f t="shared" ca="1" si="83"/>
        <v>#N/A</v>
      </c>
      <c r="AB716" s="63" t="e">
        <f t="shared" ca="1" si="84"/>
        <v>#N/A</v>
      </c>
      <c r="AC716" s="3" t="e">
        <f t="shared" ca="1" si="85"/>
        <v>#N/A</v>
      </c>
    </row>
    <row r="717" spans="8:29">
      <c r="H717" t="e">
        <f t="shared" ca="1" si="79"/>
        <v>#N/A</v>
      </c>
      <c r="I717" t="e">
        <f t="shared" ca="1" si="80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81"/>
        <v>0</v>
      </c>
      <c r="Y717">
        <f t="shared" ca="1" si="82"/>
        <v>0</v>
      </c>
      <c r="AA717" s="63" t="e">
        <f t="shared" ca="1" si="83"/>
        <v>#N/A</v>
      </c>
      <c r="AB717" s="63" t="e">
        <f t="shared" ca="1" si="84"/>
        <v>#N/A</v>
      </c>
      <c r="AC717" s="3" t="e">
        <f t="shared" ca="1" si="85"/>
        <v>#N/A</v>
      </c>
    </row>
    <row r="718" spans="8:29">
      <c r="H718" t="e">
        <f t="shared" ca="1" si="79"/>
        <v>#N/A</v>
      </c>
      <c r="I718" t="e">
        <f t="shared" ca="1" si="80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81"/>
        <v>0</v>
      </c>
      <c r="Y718">
        <f t="shared" ca="1" si="82"/>
        <v>0</v>
      </c>
      <c r="AA718" s="63" t="e">
        <f t="shared" ca="1" si="83"/>
        <v>#N/A</v>
      </c>
      <c r="AB718" s="63" t="e">
        <f t="shared" ca="1" si="84"/>
        <v>#N/A</v>
      </c>
      <c r="AC718" s="3" t="e">
        <f t="shared" ca="1" si="85"/>
        <v>#N/A</v>
      </c>
    </row>
    <row r="719" spans="8:29">
      <c r="H719" t="e">
        <f t="shared" ca="1" si="79"/>
        <v>#N/A</v>
      </c>
      <c r="I719" t="e">
        <f t="shared" ca="1" si="80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81"/>
        <v>0</v>
      </c>
      <c r="Y719">
        <f t="shared" ca="1" si="82"/>
        <v>0</v>
      </c>
      <c r="AA719" s="63" t="e">
        <f t="shared" ca="1" si="83"/>
        <v>#N/A</v>
      </c>
      <c r="AB719" s="63" t="e">
        <f t="shared" ca="1" si="84"/>
        <v>#N/A</v>
      </c>
      <c r="AC719" s="3" t="e">
        <f t="shared" ca="1" si="85"/>
        <v>#N/A</v>
      </c>
    </row>
    <row r="720" spans="8:29">
      <c r="H720" t="e">
        <f t="shared" ca="1" si="79"/>
        <v>#N/A</v>
      </c>
      <c r="I720" t="e">
        <f t="shared" ca="1" si="80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81"/>
        <v>0</v>
      </c>
      <c r="Y720">
        <f t="shared" ca="1" si="82"/>
        <v>0</v>
      </c>
      <c r="AA720" s="63" t="e">
        <f t="shared" ca="1" si="83"/>
        <v>#N/A</v>
      </c>
      <c r="AB720" s="63" t="e">
        <f t="shared" ca="1" si="84"/>
        <v>#N/A</v>
      </c>
      <c r="AC720" s="3" t="e">
        <f t="shared" ca="1" si="85"/>
        <v>#N/A</v>
      </c>
    </row>
    <row r="721" spans="8:29">
      <c r="H721" t="e">
        <f t="shared" ca="1" si="79"/>
        <v>#N/A</v>
      </c>
      <c r="I721" t="e">
        <f t="shared" ca="1" si="80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81"/>
        <v>0</v>
      </c>
      <c r="Y721">
        <f t="shared" ca="1" si="82"/>
        <v>0</v>
      </c>
      <c r="AA721" s="63" t="e">
        <f t="shared" ca="1" si="83"/>
        <v>#N/A</v>
      </c>
      <c r="AB721" s="63" t="e">
        <f t="shared" ca="1" si="84"/>
        <v>#N/A</v>
      </c>
      <c r="AC721" s="3" t="e">
        <f t="shared" ca="1" si="85"/>
        <v>#N/A</v>
      </c>
    </row>
    <row r="722" spans="8:29">
      <c r="H722" t="e">
        <f t="shared" ca="1" si="79"/>
        <v>#N/A</v>
      </c>
      <c r="I722" t="e">
        <f t="shared" ca="1" si="80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81"/>
        <v>0</v>
      </c>
      <c r="Y722">
        <f t="shared" ca="1" si="82"/>
        <v>0</v>
      </c>
      <c r="AA722" s="63" t="e">
        <f t="shared" ca="1" si="83"/>
        <v>#N/A</v>
      </c>
      <c r="AB722" s="63" t="e">
        <f t="shared" ca="1" si="84"/>
        <v>#N/A</v>
      </c>
      <c r="AC722" s="3" t="e">
        <f t="shared" ca="1" si="85"/>
        <v>#N/A</v>
      </c>
    </row>
    <row r="723" spans="8:29">
      <c r="H723" t="e">
        <f t="shared" ca="1" si="79"/>
        <v>#N/A</v>
      </c>
      <c r="I723" t="e">
        <f t="shared" ca="1" si="80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81"/>
        <v>0</v>
      </c>
      <c r="Y723">
        <f t="shared" ca="1" si="82"/>
        <v>0</v>
      </c>
      <c r="AA723" s="63" t="e">
        <f t="shared" ca="1" si="83"/>
        <v>#N/A</v>
      </c>
      <c r="AB723" s="63" t="e">
        <f t="shared" ca="1" si="84"/>
        <v>#N/A</v>
      </c>
      <c r="AC723" s="3" t="e">
        <f t="shared" ca="1" si="85"/>
        <v>#N/A</v>
      </c>
    </row>
    <row r="724" spans="8:29">
      <c r="H724" t="e">
        <f t="shared" ca="1" si="79"/>
        <v>#N/A</v>
      </c>
      <c r="I724" t="e">
        <f t="shared" ca="1" si="80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81"/>
        <v>0</v>
      </c>
      <c r="Y724">
        <f t="shared" ca="1" si="82"/>
        <v>0</v>
      </c>
      <c r="AA724" s="63" t="e">
        <f t="shared" ca="1" si="83"/>
        <v>#N/A</v>
      </c>
      <c r="AB724" s="63" t="e">
        <f t="shared" ca="1" si="84"/>
        <v>#N/A</v>
      </c>
      <c r="AC724" s="3" t="e">
        <f t="shared" ca="1" si="85"/>
        <v>#N/A</v>
      </c>
    </row>
    <row r="725" spans="8:29">
      <c r="H725" t="e">
        <f t="shared" ca="1" si="79"/>
        <v>#N/A</v>
      </c>
      <c r="I725" t="e">
        <f t="shared" ca="1" si="80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81"/>
        <v>0</v>
      </c>
      <c r="Y725">
        <f t="shared" ca="1" si="82"/>
        <v>0</v>
      </c>
      <c r="AA725" s="63" t="e">
        <f t="shared" ca="1" si="83"/>
        <v>#N/A</v>
      </c>
      <c r="AB725" s="63" t="e">
        <f t="shared" ca="1" si="84"/>
        <v>#N/A</v>
      </c>
      <c r="AC725" s="3" t="e">
        <f t="shared" ca="1" si="85"/>
        <v>#N/A</v>
      </c>
    </row>
    <row r="726" spans="8:29">
      <c r="H726" t="e">
        <f t="shared" ca="1" si="79"/>
        <v>#N/A</v>
      </c>
      <c r="I726" t="e">
        <f t="shared" ca="1" si="80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81"/>
        <v>0</v>
      </c>
      <c r="Y726">
        <f t="shared" ca="1" si="82"/>
        <v>0</v>
      </c>
      <c r="AA726" s="63" t="e">
        <f t="shared" ca="1" si="83"/>
        <v>#N/A</v>
      </c>
      <c r="AB726" s="63" t="e">
        <f t="shared" ca="1" si="84"/>
        <v>#N/A</v>
      </c>
      <c r="AC726" s="3" t="e">
        <f t="shared" ca="1" si="85"/>
        <v>#N/A</v>
      </c>
    </row>
    <row r="727" spans="8:29">
      <c r="H727" t="e">
        <f t="shared" ca="1" si="79"/>
        <v>#N/A</v>
      </c>
      <c r="I727" t="e">
        <f t="shared" ca="1" si="80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81"/>
        <v>0</v>
      </c>
      <c r="Y727">
        <f t="shared" ca="1" si="82"/>
        <v>0</v>
      </c>
      <c r="AA727" s="63" t="e">
        <f t="shared" ca="1" si="83"/>
        <v>#N/A</v>
      </c>
      <c r="AB727" s="63" t="e">
        <f t="shared" ca="1" si="84"/>
        <v>#N/A</v>
      </c>
      <c r="AC727" s="3" t="e">
        <f t="shared" ca="1" si="85"/>
        <v>#N/A</v>
      </c>
    </row>
    <row r="728" spans="8:29">
      <c r="H728" t="e">
        <f t="shared" ca="1" si="79"/>
        <v>#N/A</v>
      </c>
      <c r="I728" t="e">
        <f t="shared" ca="1" si="80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81"/>
        <v>0</v>
      </c>
      <c r="Y728">
        <f t="shared" ca="1" si="82"/>
        <v>0</v>
      </c>
      <c r="AA728" s="63" t="e">
        <f t="shared" ca="1" si="83"/>
        <v>#N/A</v>
      </c>
      <c r="AB728" s="63" t="e">
        <f t="shared" ca="1" si="84"/>
        <v>#N/A</v>
      </c>
      <c r="AC728" s="3" t="e">
        <f t="shared" ca="1" si="85"/>
        <v>#N/A</v>
      </c>
    </row>
    <row r="729" spans="8:29">
      <c r="H729" t="e">
        <f t="shared" ca="1" si="79"/>
        <v>#N/A</v>
      </c>
      <c r="I729" t="e">
        <f t="shared" ca="1" si="80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81"/>
        <v>0</v>
      </c>
      <c r="Y729">
        <f t="shared" ca="1" si="82"/>
        <v>0</v>
      </c>
      <c r="AA729" s="63" t="e">
        <f t="shared" ca="1" si="83"/>
        <v>#N/A</v>
      </c>
      <c r="AB729" s="63" t="e">
        <f t="shared" ca="1" si="84"/>
        <v>#N/A</v>
      </c>
      <c r="AC729" s="3" t="e">
        <f t="shared" ca="1" si="85"/>
        <v>#N/A</v>
      </c>
    </row>
    <row r="730" spans="8:29">
      <c r="H730" t="e">
        <f t="shared" ca="1" si="79"/>
        <v>#N/A</v>
      </c>
      <c r="I730" t="e">
        <f t="shared" ca="1" si="80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81"/>
        <v>0</v>
      </c>
      <c r="Y730">
        <f t="shared" ca="1" si="82"/>
        <v>0</v>
      </c>
      <c r="AA730" s="63" t="e">
        <f t="shared" ca="1" si="83"/>
        <v>#N/A</v>
      </c>
      <c r="AB730" s="63" t="e">
        <f t="shared" ca="1" si="84"/>
        <v>#N/A</v>
      </c>
      <c r="AC730" s="3" t="e">
        <f t="shared" ca="1" si="85"/>
        <v>#N/A</v>
      </c>
    </row>
    <row r="731" spans="8:29">
      <c r="H731" t="e">
        <f t="shared" ca="1" si="79"/>
        <v>#N/A</v>
      </c>
      <c r="I731" t="e">
        <f t="shared" ca="1" si="80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81"/>
        <v>0</v>
      </c>
      <c r="Y731">
        <f t="shared" ca="1" si="82"/>
        <v>0</v>
      </c>
      <c r="AA731" s="63" t="e">
        <f t="shared" ca="1" si="83"/>
        <v>#N/A</v>
      </c>
      <c r="AB731" s="63" t="e">
        <f t="shared" ca="1" si="84"/>
        <v>#N/A</v>
      </c>
      <c r="AC731" s="3" t="e">
        <f t="shared" ca="1" si="85"/>
        <v>#N/A</v>
      </c>
    </row>
    <row r="732" spans="8:29">
      <c r="H732" t="e">
        <f t="shared" ca="1" si="79"/>
        <v>#N/A</v>
      </c>
      <c r="I732" t="e">
        <f t="shared" ca="1" si="80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81"/>
        <v>0</v>
      </c>
      <c r="Y732">
        <f t="shared" ca="1" si="82"/>
        <v>0</v>
      </c>
      <c r="AA732" s="63" t="e">
        <f t="shared" ca="1" si="83"/>
        <v>#N/A</v>
      </c>
      <c r="AB732" s="63" t="e">
        <f t="shared" ca="1" si="84"/>
        <v>#N/A</v>
      </c>
      <c r="AC732" s="3" t="e">
        <f t="shared" ca="1" si="85"/>
        <v>#N/A</v>
      </c>
    </row>
    <row r="733" spans="8:29">
      <c r="H733" t="e">
        <f t="shared" ca="1" si="79"/>
        <v>#N/A</v>
      </c>
      <c r="I733" t="e">
        <f t="shared" ca="1" si="80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81"/>
        <v>0</v>
      </c>
      <c r="Y733">
        <f t="shared" ca="1" si="82"/>
        <v>0</v>
      </c>
      <c r="AA733" s="63" t="e">
        <f t="shared" ca="1" si="83"/>
        <v>#N/A</v>
      </c>
      <c r="AB733" s="63" t="e">
        <f t="shared" ca="1" si="84"/>
        <v>#N/A</v>
      </c>
      <c r="AC733" s="3" t="e">
        <f t="shared" ca="1" si="85"/>
        <v>#N/A</v>
      </c>
    </row>
    <row r="734" spans="8:29">
      <c r="H734" t="e">
        <f t="shared" ca="1" si="79"/>
        <v>#N/A</v>
      </c>
      <c r="I734" t="e">
        <f t="shared" ca="1" si="80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81"/>
        <v>0</v>
      </c>
      <c r="Y734">
        <f t="shared" ca="1" si="82"/>
        <v>0</v>
      </c>
      <c r="AA734" s="63" t="e">
        <f t="shared" ca="1" si="83"/>
        <v>#N/A</v>
      </c>
      <c r="AB734" s="63" t="e">
        <f t="shared" ca="1" si="84"/>
        <v>#N/A</v>
      </c>
      <c r="AC734" s="3" t="e">
        <f t="shared" ca="1" si="85"/>
        <v>#N/A</v>
      </c>
    </row>
    <row r="735" spans="8:29">
      <c r="H735" t="e">
        <f t="shared" ca="1" si="79"/>
        <v>#N/A</v>
      </c>
      <c r="I735" t="e">
        <f t="shared" ca="1" si="80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81"/>
        <v>0</v>
      </c>
      <c r="Y735">
        <f t="shared" ca="1" si="82"/>
        <v>0</v>
      </c>
      <c r="AA735" s="63" t="e">
        <f t="shared" ca="1" si="83"/>
        <v>#N/A</v>
      </c>
      <c r="AB735" s="63" t="e">
        <f t="shared" ca="1" si="84"/>
        <v>#N/A</v>
      </c>
      <c r="AC735" s="3" t="e">
        <f t="shared" ca="1" si="85"/>
        <v>#N/A</v>
      </c>
    </row>
    <row r="736" spans="8:29">
      <c r="H736" t="e">
        <f t="shared" ca="1" si="79"/>
        <v>#N/A</v>
      </c>
      <c r="I736" t="e">
        <f t="shared" ca="1" si="80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81"/>
        <v>0</v>
      </c>
      <c r="Y736">
        <f t="shared" ca="1" si="82"/>
        <v>0</v>
      </c>
      <c r="AA736" s="63" t="e">
        <f t="shared" ca="1" si="83"/>
        <v>#N/A</v>
      </c>
      <c r="AB736" s="63" t="e">
        <f t="shared" ca="1" si="84"/>
        <v>#N/A</v>
      </c>
      <c r="AC736" s="3" t="e">
        <f t="shared" ca="1" si="85"/>
        <v>#N/A</v>
      </c>
    </row>
    <row r="737" spans="8:29">
      <c r="H737" t="e">
        <f t="shared" ca="1" si="79"/>
        <v>#N/A</v>
      </c>
      <c r="I737" t="e">
        <f t="shared" ca="1" si="80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81"/>
        <v>0</v>
      </c>
      <c r="Y737">
        <f t="shared" ca="1" si="82"/>
        <v>0</v>
      </c>
      <c r="AA737" s="63" t="e">
        <f t="shared" ca="1" si="83"/>
        <v>#N/A</v>
      </c>
      <c r="AB737" s="63" t="e">
        <f t="shared" ca="1" si="84"/>
        <v>#N/A</v>
      </c>
      <c r="AC737" s="3" t="e">
        <f t="shared" ca="1" si="85"/>
        <v>#N/A</v>
      </c>
    </row>
    <row r="738" spans="8:29">
      <c r="H738" t="e">
        <f t="shared" ca="1" si="79"/>
        <v>#N/A</v>
      </c>
      <c r="I738" t="e">
        <f t="shared" ca="1" si="80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81"/>
        <v>0</v>
      </c>
      <c r="Y738">
        <f t="shared" ca="1" si="82"/>
        <v>0</v>
      </c>
      <c r="AA738" s="63" t="e">
        <f t="shared" ca="1" si="83"/>
        <v>#N/A</v>
      </c>
      <c r="AB738" s="63" t="e">
        <f t="shared" ca="1" si="84"/>
        <v>#N/A</v>
      </c>
      <c r="AC738" s="3" t="e">
        <f t="shared" ca="1" si="85"/>
        <v>#N/A</v>
      </c>
    </row>
    <row r="739" spans="8:29">
      <c r="H739" t="e">
        <f t="shared" ca="1" si="79"/>
        <v>#N/A</v>
      </c>
      <c r="I739" t="e">
        <f t="shared" ca="1" si="80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81"/>
        <v>0</v>
      </c>
      <c r="Y739">
        <f t="shared" ca="1" si="82"/>
        <v>0</v>
      </c>
      <c r="AA739" s="63" t="e">
        <f t="shared" ca="1" si="83"/>
        <v>#N/A</v>
      </c>
      <c r="AB739" s="63" t="e">
        <f t="shared" ca="1" si="84"/>
        <v>#N/A</v>
      </c>
      <c r="AC739" s="3" t="e">
        <f t="shared" ca="1" si="85"/>
        <v>#N/A</v>
      </c>
    </row>
    <row r="740" spans="8:29">
      <c r="H740" t="e">
        <f t="shared" ca="1" si="79"/>
        <v>#N/A</v>
      </c>
      <c r="I740" t="e">
        <f t="shared" ca="1" si="80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81"/>
        <v>0</v>
      </c>
      <c r="Y740">
        <f t="shared" ca="1" si="82"/>
        <v>0</v>
      </c>
      <c r="AA740" s="63" t="e">
        <f t="shared" ca="1" si="83"/>
        <v>#N/A</v>
      </c>
      <c r="AB740" s="63" t="e">
        <f t="shared" ca="1" si="84"/>
        <v>#N/A</v>
      </c>
      <c r="AC740" s="3" t="e">
        <f t="shared" ca="1" si="85"/>
        <v>#N/A</v>
      </c>
    </row>
    <row r="741" spans="8:29">
      <c r="H741" t="e">
        <f t="shared" ca="1" si="79"/>
        <v>#N/A</v>
      </c>
      <c r="I741" t="e">
        <f t="shared" ca="1" si="80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81"/>
        <v>0</v>
      </c>
      <c r="Y741">
        <f t="shared" ca="1" si="82"/>
        <v>0</v>
      </c>
      <c r="AA741" s="63" t="e">
        <f t="shared" ca="1" si="83"/>
        <v>#N/A</v>
      </c>
      <c r="AB741" s="63" t="e">
        <f t="shared" ca="1" si="84"/>
        <v>#N/A</v>
      </c>
      <c r="AC741" s="3" t="e">
        <f t="shared" ca="1" si="85"/>
        <v>#N/A</v>
      </c>
    </row>
    <row r="742" spans="8:29">
      <c r="H742" t="e">
        <f t="shared" ca="1" si="79"/>
        <v>#N/A</v>
      </c>
      <c r="I742" t="e">
        <f t="shared" ca="1" si="80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81"/>
        <v>0</v>
      </c>
      <c r="Y742">
        <f t="shared" ca="1" si="82"/>
        <v>0</v>
      </c>
      <c r="AA742" s="63" t="e">
        <f t="shared" ca="1" si="83"/>
        <v>#N/A</v>
      </c>
      <c r="AB742" s="63" t="e">
        <f t="shared" ca="1" si="84"/>
        <v>#N/A</v>
      </c>
      <c r="AC742" s="3" t="e">
        <f t="shared" ca="1" si="85"/>
        <v>#N/A</v>
      </c>
    </row>
    <row r="743" spans="8:29">
      <c r="H743" t="e">
        <f t="shared" ca="1" si="79"/>
        <v>#N/A</v>
      </c>
      <c r="I743" t="e">
        <f t="shared" ca="1" si="80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81"/>
        <v>0</v>
      </c>
      <c r="Y743">
        <f t="shared" ca="1" si="82"/>
        <v>0</v>
      </c>
      <c r="AA743" s="63" t="e">
        <f t="shared" ca="1" si="83"/>
        <v>#N/A</v>
      </c>
      <c r="AB743" s="63" t="e">
        <f t="shared" ca="1" si="84"/>
        <v>#N/A</v>
      </c>
      <c r="AC743" s="3" t="e">
        <f t="shared" ca="1" si="85"/>
        <v>#N/A</v>
      </c>
    </row>
    <row r="744" spans="8:29">
      <c r="H744" t="e">
        <f t="shared" ca="1" si="79"/>
        <v>#N/A</v>
      </c>
      <c r="I744" t="e">
        <f t="shared" ca="1" si="80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81"/>
        <v>0</v>
      </c>
      <c r="Y744">
        <f t="shared" ca="1" si="82"/>
        <v>0</v>
      </c>
      <c r="AA744" s="63" t="e">
        <f t="shared" ca="1" si="83"/>
        <v>#N/A</v>
      </c>
      <c r="AB744" s="63" t="e">
        <f t="shared" ca="1" si="84"/>
        <v>#N/A</v>
      </c>
      <c r="AC744" s="3" t="e">
        <f t="shared" ca="1" si="85"/>
        <v>#N/A</v>
      </c>
    </row>
    <row r="745" spans="8:29">
      <c r="H745" t="e">
        <f t="shared" ca="1" si="79"/>
        <v>#N/A</v>
      </c>
      <c r="I745" t="e">
        <f t="shared" ca="1" si="80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81"/>
        <v>0</v>
      </c>
      <c r="Y745">
        <f t="shared" ca="1" si="82"/>
        <v>0</v>
      </c>
      <c r="AA745" s="63" t="e">
        <f t="shared" ca="1" si="83"/>
        <v>#N/A</v>
      </c>
      <c r="AB745" s="63" t="e">
        <f t="shared" ca="1" si="84"/>
        <v>#N/A</v>
      </c>
      <c r="AC745" s="3" t="e">
        <f t="shared" ca="1" si="85"/>
        <v>#N/A</v>
      </c>
    </row>
    <row r="746" spans="8:29">
      <c r="H746" t="e">
        <f t="shared" ca="1" si="79"/>
        <v>#N/A</v>
      </c>
      <c r="I746" t="e">
        <f t="shared" ca="1" si="80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81"/>
        <v>0</v>
      </c>
      <c r="Y746">
        <f t="shared" ca="1" si="82"/>
        <v>0</v>
      </c>
      <c r="AA746" s="63" t="e">
        <f t="shared" ca="1" si="83"/>
        <v>#N/A</v>
      </c>
      <c r="AB746" s="63" t="e">
        <f t="shared" ca="1" si="84"/>
        <v>#N/A</v>
      </c>
      <c r="AC746" s="3" t="e">
        <f t="shared" ca="1" si="85"/>
        <v>#N/A</v>
      </c>
    </row>
    <row r="747" spans="8:29">
      <c r="H747" t="e">
        <f t="shared" ca="1" si="79"/>
        <v>#N/A</v>
      </c>
      <c r="I747" t="e">
        <f t="shared" ca="1" si="80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81"/>
        <v>0</v>
      </c>
      <c r="Y747">
        <f t="shared" ca="1" si="82"/>
        <v>0</v>
      </c>
      <c r="AA747" s="63" t="e">
        <f t="shared" ca="1" si="83"/>
        <v>#N/A</v>
      </c>
      <c r="AB747" s="63" t="e">
        <f t="shared" ca="1" si="84"/>
        <v>#N/A</v>
      </c>
      <c r="AC747" s="3" t="e">
        <f t="shared" ca="1" si="85"/>
        <v>#N/A</v>
      </c>
    </row>
    <row r="748" spans="8:29">
      <c r="H748" t="e">
        <f t="shared" ca="1" si="79"/>
        <v>#N/A</v>
      </c>
      <c r="I748" t="e">
        <f t="shared" ca="1" si="80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81"/>
        <v>0</v>
      </c>
      <c r="Y748">
        <f t="shared" ca="1" si="82"/>
        <v>0</v>
      </c>
      <c r="AA748" s="63" t="e">
        <f t="shared" ca="1" si="83"/>
        <v>#N/A</v>
      </c>
      <c r="AB748" s="63" t="e">
        <f t="shared" ca="1" si="84"/>
        <v>#N/A</v>
      </c>
      <c r="AC748" s="3" t="e">
        <f t="shared" ca="1" si="85"/>
        <v>#N/A</v>
      </c>
    </row>
    <row r="749" spans="8:29">
      <c r="H749" t="e">
        <f t="shared" ca="1" si="79"/>
        <v>#N/A</v>
      </c>
      <c r="I749" t="e">
        <f t="shared" ca="1" si="80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81"/>
        <v>0</v>
      </c>
      <c r="Y749">
        <f t="shared" ca="1" si="82"/>
        <v>0</v>
      </c>
      <c r="AA749" s="63" t="e">
        <f t="shared" ca="1" si="83"/>
        <v>#N/A</v>
      </c>
      <c r="AB749" s="63" t="e">
        <f t="shared" ca="1" si="84"/>
        <v>#N/A</v>
      </c>
      <c r="AC749" s="3" t="e">
        <f t="shared" ca="1" si="85"/>
        <v>#N/A</v>
      </c>
    </row>
    <row r="750" spans="8:29">
      <c r="H750" t="e">
        <f t="shared" ca="1" si="79"/>
        <v>#N/A</v>
      </c>
      <c r="I750" t="e">
        <f t="shared" ca="1" si="80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81"/>
        <v>0</v>
      </c>
      <c r="Y750">
        <f t="shared" ca="1" si="82"/>
        <v>0</v>
      </c>
      <c r="AA750" s="63" t="e">
        <f t="shared" ca="1" si="83"/>
        <v>#N/A</v>
      </c>
      <c r="AB750" s="63" t="e">
        <f t="shared" ca="1" si="84"/>
        <v>#N/A</v>
      </c>
      <c r="AC750" s="3" t="e">
        <f t="shared" ca="1" si="85"/>
        <v>#N/A</v>
      </c>
    </row>
    <row r="751" spans="8:29">
      <c r="H751" t="e">
        <f t="shared" ca="1" si="79"/>
        <v>#N/A</v>
      </c>
      <c r="I751" t="e">
        <f t="shared" ca="1" si="80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81"/>
        <v>0</v>
      </c>
      <c r="Y751">
        <f t="shared" ca="1" si="82"/>
        <v>0</v>
      </c>
      <c r="AA751" s="63" t="e">
        <f t="shared" ca="1" si="83"/>
        <v>#N/A</v>
      </c>
      <c r="AB751" s="63" t="e">
        <f t="shared" ca="1" si="84"/>
        <v>#N/A</v>
      </c>
      <c r="AC751" s="3" t="e">
        <f t="shared" ca="1" si="85"/>
        <v>#N/A</v>
      </c>
    </row>
    <row r="752" spans="8:29">
      <c r="H752" t="e">
        <f t="shared" ca="1" si="79"/>
        <v>#N/A</v>
      </c>
      <c r="I752" t="e">
        <f t="shared" ca="1" si="80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81"/>
        <v>0</v>
      </c>
      <c r="Y752">
        <f t="shared" ca="1" si="82"/>
        <v>0</v>
      </c>
      <c r="AA752" s="63" t="e">
        <f t="shared" ca="1" si="83"/>
        <v>#N/A</v>
      </c>
      <c r="AB752" s="63" t="e">
        <f t="shared" ca="1" si="84"/>
        <v>#N/A</v>
      </c>
      <c r="AC752" s="3" t="e">
        <f t="shared" ca="1" si="85"/>
        <v>#N/A</v>
      </c>
    </row>
    <row r="753" spans="8:29">
      <c r="H753" t="e">
        <f t="shared" ca="1" si="79"/>
        <v>#N/A</v>
      </c>
      <c r="I753" t="e">
        <f t="shared" ca="1" si="80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81"/>
        <v>0</v>
      </c>
      <c r="Y753">
        <f t="shared" ca="1" si="82"/>
        <v>0</v>
      </c>
      <c r="AA753" s="63" t="e">
        <f t="shared" ca="1" si="83"/>
        <v>#N/A</v>
      </c>
      <c r="AB753" s="63" t="e">
        <f t="shared" ca="1" si="84"/>
        <v>#N/A</v>
      </c>
      <c r="AC753" s="3" t="e">
        <f t="shared" ca="1" si="85"/>
        <v>#N/A</v>
      </c>
    </row>
    <row r="754" spans="8:29">
      <c r="H754" t="e">
        <f t="shared" ca="1" si="79"/>
        <v>#N/A</v>
      </c>
      <c r="I754" t="e">
        <f t="shared" ca="1" si="80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81"/>
        <v>0</v>
      </c>
      <c r="Y754">
        <f t="shared" ca="1" si="82"/>
        <v>0</v>
      </c>
      <c r="AA754" s="63" t="e">
        <f t="shared" ca="1" si="83"/>
        <v>#N/A</v>
      </c>
      <c r="AB754" s="63" t="e">
        <f t="shared" ca="1" si="84"/>
        <v>#N/A</v>
      </c>
      <c r="AC754" s="3" t="e">
        <f t="shared" ca="1" si="85"/>
        <v>#N/A</v>
      </c>
    </row>
    <row r="755" spans="8:29">
      <c r="H755" t="e">
        <f t="shared" ca="1" si="79"/>
        <v>#N/A</v>
      </c>
      <c r="I755" t="e">
        <f t="shared" ca="1" si="80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81"/>
        <v>0</v>
      </c>
      <c r="Y755">
        <f t="shared" ca="1" si="82"/>
        <v>0</v>
      </c>
      <c r="AA755" s="63" t="e">
        <f t="shared" ca="1" si="83"/>
        <v>#N/A</v>
      </c>
      <c r="AB755" s="63" t="e">
        <f t="shared" ca="1" si="84"/>
        <v>#N/A</v>
      </c>
      <c r="AC755" s="3" t="e">
        <f t="shared" ca="1" si="85"/>
        <v>#N/A</v>
      </c>
    </row>
    <row r="756" spans="8:29">
      <c r="H756" t="e">
        <f t="shared" ca="1" si="79"/>
        <v>#N/A</v>
      </c>
      <c r="I756" t="e">
        <f t="shared" ca="1" si="80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81"/>
        <v>0</v>
      </c>
      <c r="Y756">
        <f t="shared" ca="1" si="82"/>
        <v>0</v>
      </c>
      <c r="AA756" s="63" t="e">
        <f t="shared" ca="1" si="83"/>
        <v>#N/A</v>
      </c>
      <c r="AB756" s="63" t="e">
        <f t="shared" ca="1" si="84"/>
        <v>#N/A</v>
      </c>
      <c r="AC756" s="3" t="e">
        <f t="shared" ca="1" si="85"/>
        <v>#N/A</v>
      </c>
    </row>
    <row r="757" spans="8:29">
      <c r="H757" t="e">
        <f t="shared" ca="1" si="79"/>
        <v>#N/A</v>
      </c>
      <c r="I757" t="e">
        <f t="shared" ca="1" si="80"/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ca="1" si="81"/>
        <v>0</v>
      </c>
      <c r="Y757">
        <f t="shared" ca="1" si="82"/>
        <v>0</v>
      </c>
      <c r="AA757" s="63" t="e">
        <f t="shared" ca="1" si="83"/>
        <v>#N/A</v>
      </c>
      <c r="AB757" s="63" t="e">
        <f t="shared" ca="1" si="84"/>
        <v>#N/A</v>
      </c>
      <c r="AC757" s="3" t="e">
        <f t="shared" ca="1" si="85"/>
        <v>#N/A</v>
      </c>
    </row>
    <row r="758" spans="8:29">
      <c r="H758" t="e">
        <f t="shared" ref="H758:H821" ca="1" si="86">IF(J758&lt;$J$9,TRUE,FALSE)</f>
        <v>#N/A</v>
      </c>
      <c r="I758" t="e">
        <f t="shared" ref="I758:I821" ca="1" si="87">AND(IF(J758&gt;($J$8-1),TRUE,FALSE),IF(J758&lt;($J$9+1),TRUE,FALSE))</f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ref="X758:X821" ca="1" si="88">IFERROR(J758,$X$10)</f>
        <v>0</v>
      </c>
      <c r="Y758">
        <f t="shared" ref="Y758:Y821" ca="1" si="89">IFERROR(O758,0)</f>
        <v>0</v>
      </c>
      <c r="AA758" s="63" t="e">
        <f t="shared" ref="AA758:AA821" ca="1" si="90">K757+M758+N758+O758</f>
        <v>#N/A</v>
      </c>
      <c r="AB758" s="63" t="e">
        <f t="shared" ref="AB758:AB821" ca="1" si="91">K758+L758+R758</f>
        <v>#N/A</v>
      </c>
      <c r="AC758" s="3" t="e">
        <f t="shared" ref="AC758:AC821" ca="1" si="92">AB758-AA758</f>
        <v>#N/A</v>
      </c>
    </row>
    <row r="759" spans="8:29">
      <c r="H759" t="e">
        <f t="shared" ca="1" si="86"/>
        <v>#N/A</v>
      </c>
      <c r="I759" t="e">
        <f t="shared" ca="1" si="87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8"/>
        <v>0</v>
      </c>
      <c r="Y759">
        <f t="shared" ca="1" si="89"/>
        <v>0</v>
      </c>
      <c r="AA759" s="63" t="e">
        <f t="shared" ca="1" si="90"/>
        <v>#N/A</v>
      </c>
      <c r="AB759" s="63" t="e">
        <f t="shared" ca="1" si="91"/>
        <v>#N/A</v>
      </c>
      <c r="AC759" s="3" t="e">
        <f t="shared" ca="1" si="92"/>
        <v>#N/A</v>
      </c>
    </row>
    <row r="760" spans="8:29">
      <c r="H760" t="e">
        <f t="shared" ca="1" si="86"/>
        <v>#N/A</v>
      </c>
      <c r="I760" t="e">
        <f t="shared" ca="1" si="87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8"/>
        <v>0</v>
      </c>
      <c r="Y760">
        <f t="shared" ca="1" si="89"/>
        <v>0</v>
      </c>
      <c r="AA760" s="63" t="e">
        <f t="shared" ca="1" si="90"/>
        <v>#N/A</v>
      </c>
      <c r="AB760" s="63" t="e">
        <f t="shared" ca="1" si="91"/>
        <v>#N/A</v>
      </c>
      <c r="AC760" s="3" t="e">
        <f t="shared" ca="1" si="92"/>
        <v>#N/A</v>
      </c>
    </row>
    <row r="761" spans="8:29">
      <c r="H761" t="e">
        <f t="shared" ca="1" si="86"/>
        <v>#N/A</v>
      </c>
      <c r="I761" t="e">
        <f t="shared" ca="1" si="87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8"/>
        <v>0</v>
      </c>
      <c r="Y761">
        <f t="shared" ca="1" si="89"/>
        <v>0</v>
      </c>
      <c r="AA761" s="63" t="e">
        <f t="shared" ca="1" si="90"/>
        <v>#N/A</v>
      </c>
      <c r="AB761" s="63" t="e">
        <f t="shared" ca="1" si="91"/>
        <v>#N/A</v>
      </c>
      <c r="AC761" s="3" t="e">
        <f t="shared" ca="1" si="92"/>
        <v>#N/A</v>
      </c>
    </row>
    <row r="762" spans="8:29">
      <c r="H762" t="e">
        <f t="shared" ca="1" si="86"/>
        <v>#N/A</v>
      </c>
      <c r="I762" t="e">
        <f t="shared" ca="1" si="87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8"/>
        <v>0</v>
      </c>
      <c r="Y762">
        <f t="shared" ca="1" si="89"/>
        <v>0</v>
      </c>
      <c r="AA762" s="63" t="e">
        <f t="shared" ca="1" si="90"/>
        <v>#N/A</v>
      </c>
      <c r="AB762" s="63" t="e">
        <f t="shared" ca="1" si="91"/>
        <v>#N/A</v>
      </c>
      <c r="AC762" s="3" t="e">
        <f t="shared" ca="1" si="92"/>
        <v>#N/A</v>
      </c>
    </row>
    <row r="763" spans="8:29">
      <c r="H763" t="e">
        <f t="shared" ca="1" si="86"/>
        <v>#N/A</v>
      </c>
      <c r="I763" t="e">
        <f t="shared" ca="1" si="87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8"/>
        <v>0</v>
      </c>
      <c r="Y763">
        <f t="shared" ca="1" si="89"/>
        <v>0</v>
      </c>
      <c r="AA763" s="63" t="e">
        <f t="shared" ca="1" si="90"/>
        <v>#N/A</v>
      </c>
      <c r="AB763" s="63" t="e">
        <f t="shared" ca="1" si="91"/>
        <v>#N/A</v>
      </c>
      <c r="AC763" s="3" t="e">
        <f t="shared" ca="1" si="92"/>
        <v>#N/A</v>
      </c>
    </row>
    <row r="764" spans="8:29">
      <c r="H764" t="e">
        <f t="shared" ca="1" si="86"/>
        <v>#N/A</v>
      </c>
      <c r="I764" t="e">
        <f t="shared" ca="1" si="87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8"/>
        <v>0</v>
      </c>
      <c r="Y764">
        <f t="shared" ca="1" si="89"/>
        <v>0</v>
      </c>
      <c r="AA764" s="63" t="e">
        <f t="shared" ca="1" si="90"/>
        <v>#N/A</v>
      </c>
      <c r="AB764" s="63" t="e">
        <f t="shared" ca="1" si="91"/>
        <v>#N/A</v>
      </c>
      <c r="AC764" s="3" t="e">
        <f t="shared" ca="1" si="92"/>
        <v>#N/A</v>
      </c>
    </row>
    <row r="765" spans="8:29">
      <c r="H765" t="e">
        <f t="shared" ca="1" si="86"/>
        <v>#N/A</v>
      </c>
      <c r="I765" t="e">
        <f t="shared" ca="1" si="87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8"/>
        <v>0</v>
      </c>
      <c r="Y765">
        <f t="shared" ca="1" si="89"/>
        <v>0</v>
      </c>
      <c r="AA765" s="63" t="e">
        <f t="shared" ca="1" si="90"/>
        <v>#N/A</v>
      </c>
      <c r="AB765" s="63" t="e">
        <f t="shared" ca="1" si="91"/>
        <v>#N/A</v>
      </c>
      <c r="AC765" s="3" t="e">
        <f t="shared" ca="1" si="92"/>
        <v>#N/A</v>
      </c>
    </row>
    <row r="766" spans="8:29">
      <c r="H766" t="e">
        <f t="shared" ca="1" si="86"/>
        <v>#N/A</v>
      </c>
      <c r="I766" t="e">
        <f t="shared" ca="1" si="87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8"/>
        <v>0</v>
      </c>
      <c r="Y766">
        <f t="shared" ca="1" si="89"/>
        <v>0</v>
      </c>
      <c r="AA766" s="63" t="e">
        <f t="shared" ca="1" si="90"/>
        <v>#N/A</v>
      </c>
      <c r="AB766" s="63" t="e">
        <f t="shared" ca="1" si="91"/>
        <v>#N/A</v>
      </c>
      <c r="AC766" s="3" t="e">
        <f t="shared" ca="1" si="92"/>
        <v>#N/A</v>
      </c>
    </row>
    <row r="767" spans="8:29">
      <c r="H767" t="e">
        <f t="shared" ca="1" si="86"/>
        <v>#N/A</v>
      </c>
      <c r="I767" t="e">
        <f t="shared" ca="1" si="87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8"/>
        <v>0</v>
      </c>
      <c r="Y767">
        <f t="shared" ca="1" si="89"/>
        <v>0</v>
      </c>
      <c r="AA767" s="63" t="e">
        <f t="shared" ca="1" si="90"/>
        <v>#N/A</v>
      </c>
      <c r="AB767" s="63" t="e">
        <f t="shared" ca="1" si="91"/>
        <v>#N/A</v>
      </c>
      <c r="AC767" s="3" t="e">
        <f t="shared" ca="1" si="92"/>
        <v>#N/A</v>
      </c>
    </row>
    <row r="768" spans="8:29">
      <c r="H768" t="e">
        <f t="shared" ca="1" si="86"/>
        <v>#N/A</v>
      </c>
      <c r="I768" t="e">
        <f t="shared" ca="1" si="87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8"/>
        <v>0</v>
      </c>
      <c r="Y768">
        <f t="shared" ca="1" si="89"/>
        <v>0</v>
      </c>
      <c r="AA768" s="63" t="e">
        <f t="shared" ca="1" si="90"/>
        <v>#N/A</v>
      </c>
      <c r="AB768" s="63" t="e">
        <f t="shared" ca="1" si="91"/>
        <v>#N/A</v>
      </c>
      <c r="AC768" s="3" t="e">
        <f t="shared" ca="1" si="92"/>
        <v>#N/A</v>
      </c>
    </row>
    <row r="769" spans="8:29">
      <c r="H769" t="e">
        <f t="shared" ca="1" si="86"/>
        <v>#N/A</v>
      </c>
      <c r="I769" t="e">
        <f t="shared" ca="1" si="87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8"/>
        <v>0</v>
      </c>
      <c r="Y769">
        <f t="shared" ca="1" si="89"/>
        <v>0</v>
      </c>
      <c r="AA769" s="63" t="e">
        <f t="shared" ca="1" si="90"/>
        <v>#N/A</v>
      </c>
      <c r="AB769" s="63" t="e">
        <f t="shared" ca="1" si="91"/>
        <v>#N/A</v>
      </c>
      <c r="AC769" s="3" t="e">
        <f t="shared" ca="1" si="92"/>
        <v>#N/A</v>
      </c>
    </row>
    <row r="770" spans="8:29">
      <c r="H770" t="e">
        <f t="shared" ca="1" si="86"/>
        <v>#N/A</v>
      </c>
      <c r="I770" t="e">
        <f t="shared" ca="1" si="87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8"/>
        <v>0</v>
      </c>
      <c r="Y770">
        <f t="shared" ca="1" si="89"/>
        <v>0</v>
      </c>
      <c r="AA770" s="63" t="e">
        <f t="shared" ca="1" si="90"/>
        <v>#N/A</v>
      </c>
      <c r="AB770" s="63" t="e">
        <f t="shared" ca="1" si="91"/>
        <v>#N/A</v>
      </c>
      <c r="AC770" s="3" t="e">
        <f t="shared" ca="1" si="92"/>
        <v>#N/A</v>
      </c>
    </row>
    <row r="771" spans="8:29">
      <c r="H771" t="e">
        <f t="shared" ca="1" si="86"/>
        <v>#N/A</v>
      </c>
      <c r="I771" t="e">
        <f t="shared" ca="1" si="87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8"/>
        <v>0</v>
      </c>
      <c r="Y771">
        <f t="shared" ca="1" si="89"/>
        <v>0</v>
      </c>
      <c r="AA771" s="63" t="e">
        <f t="shared" ca="1" si="90"/>
        <v>#N/A</v>
      </c>
      <c r="AB771" s="63" t="e">
        <f t="shared" ca="1" si="91"/>
        <v>#N/A</v>
      </c>
      <c r="AC771" s="3" t="e">
        <f t="shared" ca="1" si="92"/>
        <v>#N/A</v>
      </c>
    </row>
    <row r="772" spans="8:29">
      <c r="H772" t="e">
        <f t="shared" ca="1" si="86"/>
        <v>#N/A</v>
      </c>
      <c r="I772" t="e">
        <f t="shared" ca="1" si="87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8"/>
        <v>0</v>
      </c>
      <c r="Y772">
        <f t="shared" ca="1" si="89"/>
        <v>0</v>
      </c>
      <c r="AA772" s="63" t="e">
        <f t="shared" ca="1" si="90"/>
        <v>#N/A</v>
      </c>
      <c r="AB772" s="63" t="e">
        <f t="shared" ca="1" si="91"/>
        <v>#N/A</v>
      </c>
      <c r="AC772" s="3" t="e">
        <f t="shared" ca="1" si="92"/>
        <v>#N/A</v>
      </c>
    </row>
    <row r="773" spans="8:29">
      <c r="H773" t="e">
        <f t="shared" ca="1" si="86"/>
        <v>#N/A</v>
      </c>
      <c r="I773" t="e">
        <f t="shared" ca="1" si="87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8"/>
        <v>0</v>
      </c>
      <c r="Y773">
        <f t="shared" ca="1" si="89"/>
        <v>0</v>
      </c>
      <c r="AA773" s="63" t="e">
        <f t="shared" ca="1" si="90"/>
        <v>#N/A</v>
      </c>
      <c r="AB773" s="63" t="e">
        <f t="shared" ca="1" si="91"/>
        <v>#N/A</v>
      </c>
      <c r="AC773" s="3" t="e">
        <f t="shared" ca="1" si="92"/>
        <v>#N/A</v>
      </c>
    </row>
    <row r="774" spans="8:29">
      <c r="H774" t="e">
        <f t="shared" ca="1" si="86"/>
        <v>#N/A</v>
      </c>
      <c r="I774" t="e">
        <f t="shared" ca="1" si="87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8"/>
        <v>0</v>
      </c>
      <c r="Y774">
        <f t="shared" ca="1" si="89"/>
        <v>0</v>
      </c>
      <c r="AA774" s="63" t="e">
        <f t="shared" ca="1" si="90"/>
        <v>#N/A</v>
      </c>
      <c r="AB774" s="63" t="e">
        <f t="shared" ca="1" si="91"/>
        <v>#N/A</v>
      </c>
      <c r="AC774" s="3" t="e">
        <f t="shared" ca="1" si="92"/>
        <v>#N/A</v>
      </c>
    </row>
    <row r="775" spans="8:29">
      <c r="H775" t="e">
        <f t="shared" ca="1" si="86"/>
        <v>#N/A</v>
      </c>
      <c r="I775" t="e">
        <f t="shared" ca="1" si="87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8"/>
        <v>0</v>
      </c>
      <c r="Y775">
        <f t="shared" ca="1" si="89"/>
        <v>0</v>
      </c>
      <c r="AA775" s="63" t="e">
        <f t="shared" ca="1" si="90"/>
        <v>#N/A</v>
      </c>
      <c r="AB775" s="63" t="e">
        <f t="shared" ca="1" si="91"/>
        <v>#N/A</v>
      </c>
      <c r="AC775" s="3" t="e">
        <f t="shared" ca="1" si="92"/>
        <v>#N/A</v>
      </c>
    </row>
    <row r="776" spans="8:29">
      <c r="H776" t="e">
        <f t="shared" ca="1" si="86"/>
        <v>#N/A</v>
      </c>
      <c r="I776" t="e">
        <f t="shared" ca="1" si="87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8"/>
        <v>0</v>
      </c>
      <c r="Y776">
        <f t="shared" ca="1" si="89"/>
        <v>0</v>
      </c>
      <c r="AA776" s="63" t="e">
        <f t="shared" ca="1" si="90"/>
        <v>#N/A</v>
      </c>
      <c r="AB776" s="63" t="e">
        <f t="shared" ca="1" si="91"/>
        <v>#N/A</v>
      </c>
      <c r="AC776" s="3" t="e">
        <f t="shared" ca="1" si="92"/>
        <v>#N/A</v>
      </c>
    </row>
    <row r="777" spans="8:29">
      <c r="H777" t="e">
        <f t="shared" ca="1" si="86"/>
        <v>#N/A</v>
      </c>
      <c r="I777" t="e">
        <f t="shared" ca="1" si="87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8"/>
        <v>0</v>
      </c>
      <c r="Y777">
        <f t="shared" ca="1" si="89"/>
        <v>0</v>
      </c>
      <c r="AA777" s="63" t="e">
        <f t="shared" ca="1" si="90"/>
        <v>#N/A</v>
      </c>
      <c r="AB777" s="63" t="e">
        <f t="shared" ca="1" si="91"/>
        <v>#N/A</v>
      </c>
      <c r="AC777" s="3" t="e">
        <f t="shared" ca="1" si="92"/>
        <v>#N/A</v>
      </c>
    </row>
    <row r="778" spans="8:29">
      <c r="H778" t="e">
        <f t="shared" ca="1" si="86"/>
        <v>#N/A</v>
      </c>
      <c r="I778" t="e">
        <f t="shared" ca="1" si="87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8"/>
        <v>0</v>
      </c>
      <c r="Y778">
        <f t="shared" ca="1" si="89"/>
        <v>0</v>
      </c>
      <c r="AA778" s="63" t="e">
        <f t="shared" ca="1" si="90"/>
        <v>#N/A</v>
      </c>
      <c r="AB778" s="63" t="e">
        <f t="shared" ca="1" si="91"/>
        <v>#N/A</v>
      </c>
      <c r="AC778" s="3" t="e">
        <f t="shared" ca="1" si="92"/>
        <v>#N/A</v>
      </c>
    </row>
    <row r="779" spans="8:29">
      <c r="H779" t="e">
        <f t="shared" ca="1" si="86"/>
        <v>#N/A</v>
      </c>
      <c r="I779" t="e">
        <f t="shared" ca="1" si="87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8"/>
        <v>0</v>
      </c>
      <c r="Y779">
        <f t="shared" ca="1" si="89"/>
        <v>0</v>
      </c>
      <c r="AA779" s="63" t="e">
        <f t="shared" ca="1" si="90"/>
        <v>#N/A</v>
      </c>
      <c r="AB779" s="63" t="e">
        <f t="shared" ca="1" si="91"/>
        <v>#N/A</v>
      </c>
      <c r="AC779" s="3" t="e">
        <f t="shared" ca="1" si="92"/>
        <v>#N/A</v>
      </c>
    </row>
    <row r="780" spans="8:29">
      <c r="H780" t="e">
        <f t="shared" ca="1" si="86"/>
        <v>#N/A</v>
      </c>
      <c r="I780" t="e">
        <f t="shared" ca="1" si="87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8"/>
        <v>0</v>
      </c>
      <c r="Y780">
        <f t="shared" ca="1" si="89"/>
        <v>0</v>
      </c>
      <c r="AA780" s="63" t="e">
        <f t="shared" ca="1" si="90"/>
        <v>#N/A</v>
      </c>
      <c r="AB780" s="63" t="e">
        <f t="shared" ca="1" si="91"/>
        <v>#N/A</v>
      </c>
      <c r="AC780" s="3" t="e">
        <f t="shared" ca="1" si="92"/>
        <v>#N/A</v>
      </c>
    </row>
    <row r="781" spans="8:29">
      <c r="H781" t="e">
        <f t="shared" ca="1" si="86"/>
        <v>#N/A</v>
      </c>
      <c r="I781" t="e">
        <f t="shared" ca="1" si="87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8"/>
        <v>0</v>
      </c>
      <c r="Y781">
        <f t="shared" ca="1" si="89"/>
        <v>0</v>
      </c>
      <c r="AA781" s="63" t="e">
        <f t="shared" ca="1" si="90"/>
        <v>#N/A</v>
      </c>
      <c r="AB781" s="63" t="e">
        <f t="shared" ca="1" si="91"/>
        <v>#N/A</v>
      </c>
      <c r="AC781" s="3" t="e">
        <f t="shared" ca="1" si="92"/>
        <v>#N/A</v>
      </c>
    </row>
    <row r="782" spans="8:29">
      <c r="H782" t="e">
        <f t="shared" ca="1" si="86"/>
        <v>#N/A</v>
      </c>
      <c r="I782" t="e">
        <f t="shared" ca="1" si="87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8"/>
        <v>0</v>
      </c>
      <c r="Y782">
        <f t="shared" ca="1" si="89"/>
        <v>0</v>
      </c>
      <c r="AA782" s="63" t="e">
        <f t="shared" ca="1" si="90"/>
        <v>#N/A</v>
      </c>
      <c r="AB782" s="63" t="e">
        <f t="shared" ca="1" si="91"/>
        <v>#N/A</v>
      </c>
      <c r="AC782" s="3" t="e">
        <f t="shared" ca="1" si="92"/>
        <v>#N/A</v>
      </c>
    </row>
    <row r="783" spans="8:29">
      <c r="H783" t="e">
        <f t="shared" ca="1" si="86"/>
        <v>#N/A</v>
      </c>
      <c r="I783" t="e">
        <f t="shared" ca="1" si="87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8"/>
        <v>0</v>
      </c>
      <c r="Y783">
        <f t="shared" ca="1" si="89"/>
        <v>0</v>
      </c>
      <c r="AA783" s="63" t="e">
        <f t="shared" ca="1" si="90"/>
        <v>#N/A</v>
      </c>
      <c r="AB783" s="63" t="e">
        <f t="shared" ca="1" si="91"/>
        <v>#N/A</v>
      </c>
      <c r="AC783" s="3" t="e">
        <f t="shared" ca="1" si="92"/>
        <v>#N/A</v>
      </c>
    </row>
    <row r="784" spans="8:29">
      <c r="H784" t="e">
        <f t="shared" ca="1" si="86"/>
        <v>#N/A</v>
      </c>
      <c r="I784" t="e">
        <f t="shared" ca="1" si="87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8"/>
        <v>0</v>
      </c>
      <c r="Y784">
        <f t="shared" ca="1" si="89"/>
        <v>0</v>
      </c>
      <c r="AA784" s="63" t="e">
        <f t="shared" ca="1" si="90"/>
        <v>#N/A</v>
      </c>
      <c r="AB784" s="63" t="e">
        <f t="shared" ca="1" si="91"/>
        <v>#N/A</v>
      </c>
      <c r="AC784" s="3" t="e">
        <f t="shared" ca="1" si="92"/>
        <v>#N/A</v>
      </c>
    </row>
    <row r="785" spans="8:29">
      <c r="H785" t="e">
        <f t="shared" ca="1" si="86"/>
        <v>#N/A</v>
      </c>
      <c r="I785" t="e">
        <f t="shared" ca="1" si="87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8"/>
        <v>0</v>
      </c>
      <c r="Y785">
        <f t="shared" ca="1" si="89"/>
        <v>0</v>
      </c>
      <c r="AA785" s="63" t="e">
        <f t="shared" ca="1" si="90"/>
        <v>#N/A</v>
      </c>
      <c r="AB785" s="63" t="e">
        <f t="shared" ca="1" si="91"/>
        <v>#N/A</v>
      </c>
      <c r="AC785" s="3" t="e">
        <f t="shared" ca="1" si="92"/>
        <v>#N/A</v>
      </c>
    </row>
    <row r="786" spans="8:29">
      <c r="H786" t="e">
        <f t="shared" ca="1" si="86"/>
        <v>#N/A</v>
      </c>
      <c r="I786" t="e">
        <f t="shared" ca="1" si="87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8"/>
        <v>0</v>
      </c>
      <c r="Y786">
        <f t="shared" ca="1" si="89"/>
        <v>0</v>
      </c>
      <c r="AA786" s="63" t="e">
        <f t="shared" ca="1" si="90"/>
        <v>#N/A</v>
      </c>
      <c r="AB786" s="63" t="e">
        <f t="shared" ca="1" si="91"/>
        <v>#N/A</v>
      </c>
      <c r="AC786" s="3" t="e">
        <f t="shared" ca="1" si="92"/>
        <v>#N/A</v>
      </c>
    </row>
    <row r="787" spans="8:29">
      <c r="H787" t="e">
        <f t="shared" ca="1" si="86"/>
        <v>#N/A</v>
      </c>
      <c r="I787" t="e">
        <f t="shared" ca="1" si="87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8"/>
        <v>0</v>
      </c>
      <c r="Y787">
        <f t="shared" ca="1" si="89"/>
        <v>0</v>
      </c>
      <c r="AA787" s="63" t="e">
        <f t="shared" ca="1" si="90"/>
        <v>#N/A</v>
      </c>
      <c r="AB787" s="63" t="e">
        <f t="shared" ca="1" si="91"/>
        <v>#N/A</v>
      </c>
      <c r="AC787" s="3" t="e">
        <f t="shared" ca="1" si="92"/>
        <v>#N/A</v>
      </c>
    </row>
    <row r="788" spans="8:29">
      <c r="H788" t="e">
        <f t="shared" ca="1" si="86"/>
        <v>#N/A</v>
      </c>
      <c r="I788" t="e">
        <f t="shared" ca="1" si="87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8"/>
        <v>0</v>
      </c>
      <c r="Y788">
        <f t="shared" ca="1" si="89"/>
        <v>0</v>
      </c>
      <c r="AA788" s="63" t="e">
        <f t="shared" ca="1" si="90"/>
        <v>#N/A</v>
      </c>
      <c r="AB788" s="63" t="e">
        <f t="shared" ca="1" si="91"/>
        <v>#N/A</v>
      </c>
      <c r="AC788" s="3" t="e">
        <f t="shared" ca="1" si="92"/>
        <v>#N/A</v>
      </c>
    </row>
    <row r="789" spans="8:29">
      <c r="H789" t="e">
        <f t="shared" ca="1" si="86"/>
        <v>#N/A</v>
      </c>
      <c r="I789" t="e">
        <f t="shared" ca="1" si="87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8"/>
        <v>0</v>
      </c>
      <c r="Y789">
        <f t="shared" ca="1" si="89"/>
        <v>0</v>
      </c>
      <c r="AA789" s="63" t="e">
        <f t="shared" ca="1" si="90"/>
        <v>#N/A</v>
      </c>
      <c r="AB789" s="63" t="e">
        <f t="shared" ca="1" si="91"/>
        <v>#N/A</v>
      </c>
      <c r="AC789" s="3" t="e">
        <f t="shared" ca="1" si="92"/>
        <v>#N/A</v>
      </c>
    </row>
    <row r="790" spans="8:29">
      <c r="H790" t="e">
        <f t="shared" ca="1" si="86"/>
        <v>#N/A</v>
      </c>
      <c r="I790" t="e">
        <f t="shared" ca="1" si="87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8"/>
        <v>0</v>
      </c>
      <c r="Y790">
        <f t="shared" ca="1" si="89"/>
        <v>0</v>
      </c>
      <c r="AA790" s="63" t="e">
        <f t="shared" ca="1" si="90"/>
        <v>#N/A</v>
      </c>
      <c r="AB790" s="63" t="e">
        <f t="shared" ca="1" si="91"/>
        <v>#N/A</v>
      </c>
      <c r="AC790" s="3" t="e">
        <f t="shared" ca="1" si="92"/>
        <v>#N/A</v>
      </c>
    </row>
    <row r="791" spans="8:29">
      <c r="H791" t="e">
        <f t="shared" ca="1" si="86"/>
        <v>#N/A</v>
      </c>
      <c r="I791" t="e">
        <f t="shared" ca="1" si="87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8"/>
        <v>0</v>
      </c>
      <c r="Y791">
        <f t="shared" ca="1" si="89"/>
        <v>0</v>
      </c>
      <c r="AA791" s="63" t="e">
        <f t="shared" ca="1" si="90"/>
        <v>#N/A</v>
      </c>
      <c r="AB791" s="63" t="e">
        <f t="shared" ca="1" si="91"/>
        <v>#N/A</v>
      </c>
      <c r="AC791" s="3" t="e">
        <f t="shared" ca="1" si="92"/>
        <v>#N/A</v>
      </c>
    </row>
    <row r="792" spans="8:29">
      <c r="H792" t="e">
        <f t="shared" ca="1" si="86"/>
        <v>#N/A</v>
      </c>
      <c r="I792" t="e">
        <f t="shared" ca="1" si="87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8"/>
        <v>0</v>
      </c>
      <c r="Y792">
        <f t="shared" ca="1" si="89"/>
        <v>0</v>
      </c>
      <c r="AA792" s="63" t="e">
        <f t="shared" ca="1" si="90"/>
        <v>#N/A</v>
      </c>
      <c r="AB792" s="63" t="e">
        <f t="shared" ca="1" si="91"/>
        <v>#N/A</v>
      </c>
      <c r="AC792" s="3" t="e">
        <f t="shared" ca="1" si="92"/>
        <v>#N/A</v>
      </c>
    </row>
    <row r="793" spans="8:29">
      <c r="H793" t="e">
        <f t="shared" ca="1" si="86"/>
        <v>#N/A</v>
      </c>
      <c r="I793" t="e">
        <f t="shared" ca="1" si="87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8"/>
        <v>0</v>
      </c>
      <c r="Y793">
        <f t="shared" ca="1" si="89"/>
        <v>0</v>
      </c>
      <c r="AA793" s="63" t="e">
        <f t="shared" ca="1" si="90"/>
        <v>#N/A</v>
      </c>
      <c r="AB793" s="63" t="e">
        <f t="shared" ca="1" si="91"/>
        <v>#N/A</v>
      </c>
      <c r="AC793" s="3" t="e">
        <f t="shared" ca="1" si="92"/>
        <v>#N/A</v>
      </c>
    </row>
    <row r="794" spans="8:29">
      <c r="H794" t="e">
        <f t="shared" ca="1" si="86"/>
        <v>#N/A</v>
      </c>
      <c r="I794" t="e">
        <f t="shared" ca="1" si="87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8"/>
        <v>0</v>
      </c>
      <c r="Y794">
        <f t="shared" ca="1" si="89"/>
        <v>0</v>
      </c>
      <c r="AA794" s="63" t="e">
        <f t="shared" ca="1" si="90"/>
        <v>#N/A</v>
      </c>
      <c r="AB794" s="63" t="e">
        <f t="shared" ca="1" si="91"/>
        <v>#N/A</v>
      </c>
      <c r="AC794" s="3" t="e">
        <f t="shared" ca="1" si="92"/>
        <v>#N/A</v>
      </c>
    </row>
    <row r="795" spans="8:29">
      <c r="H795" t="e">
        <f t="shared" ca="1" si="86"/>
        <v>#N/A</v>
      </c>
      <c r="I795" t="e">
        <f t="shared" ca="1" si="87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8"/>
        <v>0</v>
      </c>
      <c r="Y795">
        <f t="shared" ca="1" si="89"/>
        <v>0</v>
      </c>
      <c r="AA795" s="63" t="e">
        <f t="shared" ca="1" si="90"/>
        <v>#N/A</v>
      </c>
      <c r="AB795" s="63" t="e">
        <f t="shared" ca="1" si="91"/>
        <v>#N/A</v>
      </c>
      <c r="AC795" s="3" t="e">
        <f t="shared" ca="1" si="92"/>
        <v>#N/A</v>
      </c>
    </row>
    <row r="796" spans="8:29">
      <c r="H796" t="e">
        <f t="shared" ca="1" si="86"/>
        <v>#N/A</v>
      </c>
      <c r="I796" t="e">
        <f t="shared" ca="1" si="87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8"/>
        <v>0</v>
      </c>
      <c r="Y796">
        <f t="shared" ca="1" si="89"/>
        <v>0</v>
      </c>
      <c r="AA796" s="63" t="e">
        <f t="shared" ca="1" si="90"/>
        <v>#N/A</v>
      </c>
      <c r="AB796" s="63" t="e">
        <f t="shared" ca="1" si="91"/>
        <v>#N/A</v>
      </c>
      <c r="AC796" s="3" t="e">
        <f t="shared" ca="1" si="92"/>
        <v>#N/A</v>
      </c>
    </row>
    <row r="797" spans="8:29">
      <c r="H797" t="e">
        <f t="shared" ca="1" si="86"/>
        <v>#N/A</v>
      </c>
      <c r="I797" t="e">
        <f t="shared" ca="1" si="87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8"/>
        <v>0</v>
      </c>
      <c r="Y797">
        <f t="shared" ca="1" si="89"/>
        <v>0</v>
      </c>
      <c r="AA797" s="63" t="e">
        <f t="shared" ca="1" si="90"/>
        <v>#N/A</v>
      </c>
      <c r="AB797" s="63" t="e">
        <f t="shared" ca="1" si="91"/>
        <v>#N/A</v>
      </c>
      <c r="AC797" s="3" t="e">
        <f t="shared" ca="1" si="92"/>
        <v>#N/A</v>
      </c>
    </row>
    <row r="798" spans="8:29">
      <c r="H798" t="e">
        <f t="shared" ca="1" si="86"/>
        <v>#N/A</v>
      </c>
      <c r="I798" t="e">
        <f t="shared" ca="1" si="87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8"/>
        <v>0</v>
      </c>
      <c r="Y798">
        <f t="shared" ca="1" si="89"/>
        <v>0</v>
      </c>
      <c r="AA798" s="63" t="e">
        <f t="shared" ca="1" si="90"/>
        <v>#N/A</v>
      </c>
      <c r="AB798" s="63" t="e">
        <f t="shared" ca="1" si="91"/>
        <v>#N/A</v>
      </c>
      <c r="AC798" s="3" t="e">
        <f t="shared" ca="1" si="92"/>
        <v>#N/A</v>
      </c>
    </row>
    <row r="799" spans="8:29">
      <c r="H799" t="e">
        <f t="shared" ca="1" si="86"/>
        <v>#N/A</v>
      </c>
      <c r="I799" t="e">
        <f t="shared" ca="1" si="87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8"/>
        <v>0</v>
      </c>
      <c r="Y799">
        <f t="shared" ca="1" si="89"/>
        <v>0</v>
      </c>
      <c r="AA799" s="63" t="e">
        <f t="shared" ca="1" si="90"/>
        <v>#N/A</v>
      </c>
      <c r="AB799" s="63" t="e">
        <f t="shared" ca="1" si="91"/>
        <v>#N/A</v>
      </c>
      <c r="AC799" s="3" t="e">
        <f t="shared" ca="1" si="92"/>
        <v>#N/A</v>
      </c>
    </row>
    <row r="800" spans="8:29">
      <c r="H800" t="e">
        <f t="shared" ca="1" si="86"/>
        <v>#N/A</v>
      </c>
      <c r="I800" t="e">
        <f t="shared" ca="1" si="87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8"/>
        <v>0</v>
      </c>
      <c r="Y800">
        <f t="shared" ca="1" si="89"/>
        <v>0</v>
      </c>
      <c r="AA800" s="63" t="e">
        <f t="shared" ca="1" si="90"/>
        <v>#N/A</v>
      </c>
      <c r="AB800" s="63" t="e">
        <f t="shared" ca="1" si="91"/>
        <v>#N/A</v>
      </c>
      <c r="AC800" s="3" t="e">
        <f t="shared" ca="1" si="92"/>
        <v>#N/A</v>
      </c>
    </row>
    <row r="801" spans="8:29">
      <c r="H801" t="e">
        <f t="shared" ca="1" si="86"/>
        <v>#N/A</v>
      </c>
      <c r="I801" t="e">
        <f t="shared" ca="1" si="87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8"/>
        <v>0</v>
      </c>
      <c r="Y801">
        <f t="shared" ca="1" si="89"/>
        <v>0</v>
      </c>
      <c r="AA801" s="63" t="e">
        <f t="shared" ca="1" si="90"/>
        <v>#N/A</v>
      </c>
      <c r="AB801" s="63" t="e">
        <f t="shared" ca="1" si="91"/>
        <v>#N/A</v>
      </c>
      <c r="AC801" s="3" t="e">
        <f t="shared" ca="1" si="92"/>
        <v>#N/A</v>
      </c>
    </row>
    <row r="802" spans="8:29">
      <c r="H802" t="e">
        <f t="shared" ca="1" si="86"/>
        <v>#N/A</v>
      </c>
      <c r="I802" t="e">
        <f t="shared" ca="1" si="87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8"/>
        <v>0</v>
      </c>
      <c r="Y802">
        <f t="shared" ca="1" si="89"/>
        <v>0</v>
      </c>
      <c r="AA802" s="63" t="e">
        <f t="shared" ca="1" si="90"/>
        <v>#N/A</v>
      </c>
      <c r="AB802" s="63" t="e">
        <f t="shared" ca="1" si="91"/>
        <v>#N/A</v>
      </c>
      <c r="AC802" s="3" t="e">
        <f t="shared" ca="1" si="92"/>
        <v>#N/A</v>
      </c>
    </row>
    <row r="803" spans="8:29">
      <c r="H803" t="e">
        <f t="shared" ca="1" si="86"/>
        <v>#N/A</v>
      </c>
      <c r="I803" t="e">
        <f t="shared" ca="1" si="87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8"/>
        <v>0</v>
      </c>
      <c r="Y803">
        <f t="shared" ca="1" si="89"/>
        <v>0</v>
      </c>
      <c r="AA803" s="63" t="e">
        <f t="shared" ca="1" si="90"/>
        <v>#N/A</v>
      </c>
      <c r="AB803" s="63" t="e">
        <f t="shared" ca="1" si="91"/>
        <v>#N/A</v>
      </c>
      <c r="AC803" s="3" t="e">
        <f t="shared" ca="1" si="92"/>
        <v>#N/A</v>
      </c>
    </row>
    <row r="804" spans="8:29">
      <c r="H804" t="e">
        <f t="shared" ca="1" si="86"/>
        <v>#N/A</v>
      </c>
      <c r="I804" t="e">
        <f t="shared" ca="1" si="87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8"/>
        <v>0</v>
      </c>
      <c r="Y804">
        <f t="shared" ca="1" si="89"/>
        <v>0</v>
      </c>
      <c r="AA804" s="63" t="e">
        <f t="shared" ca="1" si="90"/>
        <v>#N/A</v>
      </c>
      <c r="AB804" s="63" t="e">
        <f t="shared" ca="1" si="91"/>
        <v>#N/A</v>
      </c>
      <c r="AC804" s="3" t="e">
        <f t="shared" ca="1" si="92"/>
        <v>#N/A</v>
      </c>
    </row>
    <row r="805" spans="8:29">
      <c r="H805" t="e">
        <f t="shared" ca="1" si="86"/>
        <v>#N/A</v>
      </c>
      <c r="I805" t="e">
        <f t="shared" ca="1" si="87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8"/>
        <v>0</v>
      </c>
      <c r="Y805">
        <f t="shared" ca="1" si="89"/>
        <v>0</v>
      </c>
      <c r="AA805" s="63" t="e">
        <f t="shared" ca="1" si="90"/>
        <v>#N/A</v>
      </c>
      <c r="AB805" s="63" t="e">
        <f t="shared" ca="1" si="91"/>
        <v>#N/A</v>
      </c>
      <c r="AC805" s="3" t="e">
        <f t="shared" ca="1" si="92"/>
        <v>#N/A</v>
      </c>
    </row>
    <row r="806" spans="8:29">
      <c r="H806" t="e">
        <f t="shared" ca="1" si="86"/>
        <v>#N/A</v>
      </c>
      <c r="I806" t="e">
        <f t="shared" ca="1" si="87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8"/>
        <v>0</v>
      </c>
      <c r="Y806">
        <f t="shared" ca="1" si="89"/>
        <v>0</v>
      </c>
      <c r="AA806" s="63" t="e">
        <f t="shared" ca="1" si="90"/>
        <v>#N/A</v>
      </c>
      <c r="AB806" s="63" t="e">
        <f t="shared" ca="1" si="91"/>
        <v>#N/A</v>
      </c>
      <c r="AC806" s="3" t="e">
        <f t="shared" ca="1" si="92"/>
        <v>#N/A</v>
      </c>
    </row>
    <row r="807" spans="8:29">
      <c r="H807" t="e">
        <f t="shared" ca="1" si="86"/>
        <v>#N/A</v>
      </c>
      <c r="I807" t="e">
        <f t="shared" ca="1" si="87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8"/>
        <v>0</v>
      </c>
      <c r="Y807">
        <f t="shared" ca="1" si="89"/>
        <v>0</v>
      </c>
      <c r="AA807" s="63" t="e">
        <f t="shared" ca="1" si="90"/>
        <v>#N/A</v>
      </c>
      <c r="AB807" s="63" t="e">
        <f t="shared" ca="1" si="91"/>
        <v>#N/A</v>
      </c>
      <c r="AC807" s="3" t="e">
        <f t="shared" ca="1" si="92"/>
        <v>#N/A</v>
      </c>
    </row>
    <row r="808" spans="8:29">
      <c r="H808" t="e">
        <f t="shared" ca="1" si="86"/>
        <v>#N/A</v>
      </c>
      <c r="I808" t="e">
        <f t="shared" ca="1" si="87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8"/>
        <v>0</v>
      </c>
      <c r="Y808">
        <f t="shared" ca="1" si="89"/>
        <v>0</v>
      </c>
      <c r="AA808" s="63" t="e">
        <f t="shared" ca="1" si="90"/>
        <v>#N/A</v>
      </c>
      <c r="AB808" s="63" t="e">
        <f t="shared" ca="1" si="91"/>
        <v>#N/A</v>
      </c>
      <c r="AC808" s="3" t="e">
        <f t="shared" ca="1" si="92"/>
        <v>#N/A</v>
      </c>
    </row>
    <row r="809" spans="8:29">
      <c r="H809" t="e">
        <f t="shared" ca="1" si="86"/>
        <v>#N/A</v>
      </c>
      <c r="I809" t="e">
        <f t="shared" ca="1" si="87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8"/>
        <v>0</v>
      </c>
      <c r="Y809">
        <f t="shared" ca="1" si="89"/>
        <v>0</v>
      </c>
      <c r="AA809" s="63" t="e">
        <f t="shared" ca="1" si="90"/>
        <v>#N/A</v>
      </c>
      <c r="AB809" s="63" t="e">
        <f t="shared" ca="1" si="91"/>
        <v>#N/A</v>
      </c>
      <c r="AC809" s="3" t="e">
        <f t="shared" ca="1" si="92"/>
        <v>#N/A</v>
      </c>
    </row>
    <row r="810" spans="8:29">
      <c r="H810" t="e">
        <f t="shared" ca="1" si="86"/>
        <v>#N/A</v>
      </c>
      <c r="I810" t="e">
        <f t="shared" ca="1" si="87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8"/>
        <v>0</v>
      </c>
      <c r="Y810">
        <f t="shared" ca="1" si="89"/>
        <v>0</v>
      </c>
      <c r="AA810" s="63" t="e">
        <f t="shared" ca="1" si="90"/>
        <v>#N/A</v>
      </c>
      <c r="AB810" s="63" t="e">
        <f t="shared" ca="1" si="91"/>
        <v>#N/A</v>
      </c>
      <c r="AC810" s="3" t="e">
        <f t="shared" ca="1" si="92"/>
        <v>#N/A</v>
      </c>
    </row>
    <row r="811" spans="8:29">
      <c r="H811" t="e">
        <f t="shared" ca="1" si="86"/>
        <v>#N/A</v>
      </c>
      <c r="I811" t="e">
        <f t="shared" ca="1" si="87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8"/>
        <v>0</v>
      </c>
      <c r="Y811">
        <f t="shared" ca="1" si="89"/>
        <v>0</v>
      </c>
      <c r="AA811" s="63" t="e">
        <f t="shared" ca="1" si="90"/>
        <v>#N/A</v>
      </c>
      <c r="AB811" s="63" t="e">
        <f t="shared" ca="1" si="91"/>
        <v>#N/A</v>
      </c>
      <c r="AC811" s="3" t="e">
        <f t="shared" ca="1" si="92"/>
        <v>#N/A</v>
      </c>
    </row>
    <row r="812" spans="8:29">
      <c r="H812" t="e">
        <f t="shared" ca="1" si="86"/>
        <v>#N/A</v>
      </c>
      <c r="I812" t="e">
        <f t="shared" ca="1" si="87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8"/>
        <v>0</v>
      </c>
      <c r="Y812">
        <f t="shared" ca="1" si="89"/>
        <v>0</v>
      </c>
      <c r="AA812" s="63" t="e">
        <f t="shared" ca="1" si="90"/>
        <v>#N/A</v>
      </c>
      <c r="AB812" s="63" t="e">
        <f t="shared" ca="1" si="91"/>
        <v>#N/A</v>
      </c>
      <c r="AC812" s="3" t="e">
        <f t="shared" ca="1" si="92"/>
        <v>#N/A</v>
      </c>
    </row>
    <row r="813" spans="8:29">
      <c r="H813" t="e">
        <f t="shared" ca="1" si="86"/>
        <v>#N/A</v>
      </c>
      <c r="I813" t="e">
        <f t="shared" ca="1" si="87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8"/>
        <v>0</v>
      </c>
      <c r="Y813">
        <f t="shared" ca="1" si="89"/>
        <v>0</v>
      </c>
      <c r="AA813" s="63" t="e">
        <f t="shared" ca="1" si="90"/>
        <v>#N/A</v>
      </c>
      <c r="AB813" s="63" t="e">
        <f t="shared" ca="1" si="91"/>
        <v>#N/A</v>
      </c>
      <c r="AC813" s="3" t="e">
        <f t="shared" ca="1" si="92"/>
        <v>#N/A</v>
      </c>
    </row>
    <row r="814" spans="8:29">
      <c r="H814" t="e">
        <f t="shared" ca="1" si="86"/>
        <v>#N/A</v>
      </c>
      <c r="I814" t="e">
        <f t="shared" ca="1" si="87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8"/>
        <v>0</v>
      </c>
      <c r="Y814">
        <f t="shared" ca="1" si="89"/>
        <v>0</v>
      </c>
      <c r="AA814" s="63" t="e">
        <f t="shared" ca="1" si="90"/>
        <v>#N/A</v>
      </c>
      <c r="AB814" s="63" t="e">
        <f t="shared" ca="1" si="91"/>
        <v>#N/A</v>
      </c>
      <c r="AC814" s="3" t="e">
        <f t="shared" ca="1" si="92"/>
        <v>#N/A</v>
      </c>
    </row>
    <row r="815" spans="8:29">
      <c r="H815" t="e">
        <f t="shared" ca="1" si="86"/>
        <v>#N/A</v>
      </c>
      <c r="I815" t="e">
        <f t="shared" ca="1" si="87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8"/>
        <v>0</v>
      </c>
      <c r="Y815">
        <f t="shared" ca="1" si="89"/>
        <v>0</v>
      </c>
      <c r="AA815" s="63" t="e">
        <f t="shared" ca="1" si="90"/>
        <v>#N/A</v>
      </c>
      <c r="AB815" s="63" t="e">
        <f t="shared" ca="1" si="91"/>
        <v>#N/A</v>
      </c>
      <c r="AC815" s="3" t="e">
        <f t="shared" ca="1" si="92"/>
        <v>#N/A</v>
      </c>
    </row>
    <row r="816" spans="8:29">
      <c r="H816" t="e">
        <f t="shared" ca="1" si="86"/>
        <v>#N/A</v>
      </c>
      <c r="I816" t="e">
        <f t="shared" ca="1" si="87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8"/>
        <v>0</v>
      </c>
      <c r="Y816">
        <f t="shared" ca="1" si="89"/>
        <v>0</v>
      </c>
      <c r="AA816" s="63" t="e">
        <f t="shared" ca="1" si="90"/>
        <v>#N/A</v>
      </c>
      <c r="AB816" s="63" t="e">
        <f t="shared" ca="1" si="91"/>
        <v>#N/A</v>
      </c>
      <c r="AC816" s="3" t="e">
        <f t="shared" ca="1" si="92"/>
        <v>#N/A</v>
      </c>
    </row>
    <row r="817" spans="8:29">
      <c r="H817" t="e">
        <f t="shared" ca="1" si="86"/>
        <v>#N/A</v>
      </c>
      <c r="I817" t="e">
        <f t="shared" ca="1" si="87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8"/>
        <v>0</v>
      </c>
      <c r="Y817">
        <f t="shared" ca="1" si="89"/>
        <v>0</v>
      </c>
      <c r="AA817" s="63" t="e">
        <f t="shared" ca="1" si="90"/>
        <v>#N/A</v>
      </c>
      <c r="AB817" s="63" t="e">
        <f t="shared" ca="1" si="91"/>
        <v>#N/A</v>
      </c>
      <c r="AC817" s="3" t="e">
        <f t="shared" ca="1" si="92"/>
        <v>#N/A</v>
      </c>
    </row>
    <row r="818" spans="8:29">
      <c r="H818" t="e">
        <f t="shared" ca="1" si="86"/>
        <v>#N/A</v>
      </c>
      <c r="I818" t="e">
        <f t="shared" ca="1" si="87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8"/>
        <v>0</v>
      </c>
      <c r="Y818">
        <f t="shared" ca="1" si="89"/>
        <v>0</v>
      </c>
      <c r="AA818" s="63" t="e">
        <f t="shared" ca="1" si="90"/>
        <v>#N/A</v>
      </c>
      <c r="AB818" s="63" t="e">
        <f t="shared" ca="1" si="91"/>
        <v>#N/A</v>
      </c>
      <c r="AC818" s="3" t="e">
        <f t="shared" ca="1" si="92"/>
        <v>#N/A</v>
      </c>
    </row>
    <row r="819" spans="8:29">
      <c r="H819" t="e">
        <f t="shared" ca="1" si="86"/>
        <v>#N/A</v>
      </c>
      <c r="I819" t="e">
        <f t="shared" ca="1" si="87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8"/>
        <v>0</v>
      </c>
      <c r="Y819">
        <f t="shared" ca="1" si="89"/>
        <v>0</v>
      </c>
      <c r="AA819" s="63" t="e">
        <f t="shared" ca="1" si="90"/>
        <v>#N/A</v>
      </c>
      <c r="AB819" s="63" t="e">
        <f t="shared" ca="1" si="91"/>
        <v>#N/A</v>
      </c>
      <c r="AC819" s="3" t="e">
        <f t="shared" ca="1" si="92"/>
        <v>#N/A</v>
      </c>
    </row>
    <row r="820" spans="8:29">
      <c r="H820" t="e">
        <f t="shared" ca="1" si="86"/>
        <v>#N/A</v>
      </c>
      <c r="I820" t="e">
        <f t="shared" ca="1" si="87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8"/>
        <v>0</v>
      </c>
      <c r="Y820">
        <f t="shared" ca="1" si="89"/>
        <v>0</v>
      </c>
      <c r="AA820" s="63" t="e">
        <f t="shared" ca="1" si="90"/>
        <v>#N/A</v>
      </c>
      <c r="AB820" s="63" t="e">
        <f t="shared" ca="1" si="91"/>
        <v>#N/A</v>
      </c>
      <c r="AC820" s="3" t="e">
        <f t="shared" ca="1" si="92"/>
        <v>#N/A</v>
      </c>
    </row>
    <row r="821" spans="8:29">
      <c r="H821" t="e">
        <f t="shared" ca="1" si="86"/>
        <v>#N/A</v>
      </c>
      <c r="I821" t="e">
        <f t="shared" ca="1" si="87"/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ca="1" si="88"/>
        <v>0</v>
      </c>
      <c r="Y821">
        <f t="shared" ca="1" si="89"/>
        <v>0</v>
      </c>
      <c r="AA821" s="63" t="e">
        <f t="shared" ca="1" si="90"/>
        <v>#N/A</v>
      </c>
      <c r="AB821" s="63" t="e">
        <f t="shared" ca="1" si="91"/>
        <v>#N/A</v>
      </c>
      <c r="AC821" s="3" t="e">
        <f t="shared" ca="1" si="92"/>
        <v>#N/A</v>
      </c>
    </row>
    <row r="822" spans="8:29">
      <c r="H822" t="e">
        <f t="shared" ref="H822:H885" ca="1" si="93">IF(J822&lt;$J$9,TRUE,FALSE)</f>
        <v>#N/A</v>
      </c>
      <c r="I822" t="e">
        <f t="shared" ref="I822:I885" ca="1" si="94">AND(IF(J822&gt;($J$8-1),TRUE,FALSE),IF(J822&lt;($J$9+1),TRUE,FALSE))</f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ref="X822:X885" ca="1" si="95">IFERROR(J822,$X$10)</f>
        <v>0</v>
      </c>
      <c r="Y822">
        <f t="shared" ref="Y822:Y885" ca="1" si="96">IFERROR(O822,0)</f>
        <v>0</v>
      </c>
      <c r="AA822" s="63" t="e">
        <f t="shared" ref="AA822:AA885" ca="1" si="97">K821+M822+N822+O822</f>
        <v>#N/A</v>
      </c>
      <c r="AB822" s="63" t="e">
        <f t="shared" ref="AB822:AB885" ca="1" si="98">K822+L822+R822</f>
        <v>#N/A</v>
      </c>
      <c r="AC822" s="3" t="e">
        <f t="shared" ref="AC822:AC885" ca="1" si="99">AB822-AA822</f>
        <v>#N/A</v>
      </c>
    </row>
    <row r="823" spans="8:29">
      <c r="H823" t="e">
        <f t="shared" ca="1" si="93"/>
        <v>#N/A</v>
      </c>
      <c r="I823" t="e">
        <f t="shared" ca="1" si="94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5"/>
        <v>0</v>
      </c>
      <c r="Y823">
        <f t="shared" ca="1" si="96"/>
        <v>0</v>
      </c>
      <c r="AA823" s="63" t="e">
        <f t="shared" ca="1" si="97"/>
        <v>#N/A</v>
      </c>
      <c r="AB823" s="63" t="e">
        <f t="shared" ca="1" si="98"/>
        <v>#N/A</v>
      </c>
      <c r="AC823" s="3" t="e">
        <f t="shared" ca="1" si="99"/>
        <v>#N/A</v>
      </c>
    </row>
    <row r="824" spans="8:29">
      <c r="H824" t="e">
        <f t="shared" ca="1" si="93"/>
        <v>#N/A</v>
      </c>
      <c r="I824" t="e">
        <f t="shared" ca="1" si="94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5"/>
        <v>0</v>
      </c>
      <c r="Y824">
        <f t="shared" ca="1" si="96"/>
        <v>0</v>
      </c>
      <c r="AA824" s="63" t="e">
        <f t="shared" ca="1" si="97"/>
        <v>#N/A</v>
      </c>
      <c r="AB824" s="63" t="e">
        <f t="shared" ca="1" si="98"/>
        <v>#N/A</v>
      </c>
      <c r="AC824" s="3" t="e">
        <f t="shared" ca="1" si="99"/>
        <v>#N/A</v>
      </c>
    </row>
    <row r="825" spans="8:29">
      <c r="H825" t="e">
        <f t="shared" ca="1" si="93"/>
        <v>#N/A</v>
      </c>
      <c r="I825" t="e">
        <f t="shared" ca="1" si="94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5"/>
        <v>0</v>
      </c>
      <c r="Y825">
        <f t="shared" ca="1" si="96"/>
        <v>0</v>
      </c>
      <c r="AA825" s="63" t="e">
        <f t="shared" ca="1" si="97"/>
        <v>#N/A</v>
      </c>
      <c r="AB825" s="63" t="e">
        <f t="shared" ca="1" si="98"/>
        <v>#N/A</v>
      </c>
      <c r="AC825" s="3" t="e">
        <f t="shared" ca="1" si="99"/>
        <v>#N/A</v>
      </c>
    </row>
    <row r="826" spans="8:29">
      <c r="H826" t="e">
        <f t="shared" ca="1" si="93"/>
        <v>#N/A</v>
      </c>
      <c r="I826" t="e">
        <f t="shared" ca="1" si="94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5"/>
        <v>0</v>
      </c>
      <c r="Y826">
        <f t="shared" ca="1" si="96"/>
        <v>0</v>
      </c>
      <c r="AA826" s="63" t="e">
        <f t="shared" ca="1" si="97"/>
        <v>#N/A</v>
      </c>
      <c r="AB826" s="63" t="e">
        <f t="shared" ca="1" si="98"/>
        <v>#N/A</v>
      </c>
      <c r="AC826" s="3" t="e">
        <f t="shared" ca="1" si="99"/>
        <v>#N/A</v>
      </c>
    </row>
    <row r="827" spans="8:29">
      <c r="H827" t="e">
        <f t="shared" ca="1" si="93"/>
        <v>#N/A</v>
      </c>
      <c r="I827" t="e">
        <f t="shared" ca="1" si="94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5"/>
        <v>0</v>
      </c>
      <c r="Y827">
        <f t="shared" ca="1" si="96"/>
        <v>0</v>
      </c>
      <c r="AA827" s="63" t="e">
        <f t="shared" ca="1" si="97"/>
        <v>#N/A</v>
      </c>
      <c r="AB827" s="63" t="e">
        <f t="shared" ca="1" si="98"/>
        <v>#N/A</v>
      </c>
      <c r="AC827" s="3" t="e">
        <f t="shared" ca="1" si="99"/>
        <v>#N/A</v>
      </c>
    </row>
    <row r="828" spans="8:29">
      <c r="H828" t="e">
        <f t="shared" ca="1" si="93"/>
        <v>#N/A</v>
      </c>
      <c r="I828" t="e">
        <f t="shared" ca="1" si="94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5"/>
        <v>0</v>
      </c>
      <c r="Y828">
        <f t="shared" ca="1" si="96"/>
        <v>0</v>
      </c>
      <c r="AA828" s="63" t="e">
        <f t="shared" ca="1" si="97"/>
        <v>#N/A</v>
      </c>
      <c r="AB828" s="63" t="e">
        <f t="shared" ca="1" si="98"/>
        <v>#N/A</v>
      </c>
      <c r="AC828" s="3" t="e">
        <f t="shared" ca="1" si="99"/>
        <v>#N/A</v>
      </c>
    </row>
    <row r="829" spans="8:29">
      <c r="H829" t="e">
        <f t="shared" ca="1" si="93"/>
        <v>#N/A</v>
      </c>
      <c r="I829" t="e">
        <f t="shared" ca="1" si="94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5"/>
        <v>0</v>
      </c>
      <c r="Y829">
        <f t="shared" ca="1" si="96"/>
        <v>0</v>
      </c>
      <c r="AA829" s="63" t="e">
        <f t="shared" ca="1" si="97"/>
        <v>#N/A</v>
      </c>
      <c r="AB829" s="63" t="e">
        <f t="shared" ca="1" si="98"/>
        <v>#N/A</v>
      </c>
      <c r="AC829" s="3" t="e">
        <f t="shared" ca="1" si="99"/>
        <v>#N/A</v>
      </c>
    </row>
    <row r="830" spans="8:29">
      <c r="H830" t="e">
        <f t="shared" ca="1" si="93"/>
        <v>#N/A</v>
      </c>
      <c r="I830" t="e">
        <f t="shared" ca="1" si="94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5"/>
        <v>0</v>
      </c>
      <c r="Y830">
        <f t="shared" ca="1" si="96"/>
        <v>0</v>
      </c>
      <c r="AA830" s="63" t="e">
        <f t="shared" ca="1" si="97"/>
        <v>#N/A</v>
      </c>
      <c r="AB830" s="63" t="e">
        <f t="shared" ca="1" si="98"/>
        <v>#N/A</v>
      </c>
      <c r="AC830" s="3" t="e">
        <f t="shared" ca="1" si="99"/>
        <v>#N/A</v>
      </c>
    </row>
    <row r="831" spans="8:29">
      <c r="H831" t="e">
        <f t="shared" ca="1" si="93"/>
        <v>#N/A</v>
      </c>
      <c r="I831" t="e">
        <f t="shared" ca="1" si="94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5"/>
        <v>0</v>
      </c>
      <c r="Y831">
        <f t="shared" ca="1" si="96"/>
        <v>0</v>
      </c>
      <c r="AA831" s="63" t="e">
        <f t="shared" ca="1" si="97"/>
        <v>#N/A</v>
      </c>
      <c r="AB831" s="63" t="e">
        <f t="shared" ca="1" si="98"/>
        <v>#N/A</v>
      </c>
      <c r="AC831" s="3" t="e">
        <f t="shared" ca="1" si="99"/>
        <v>#N/A</v>
      </c>
    </row>
    <row r="832" spans="8:29">
      <c r="H832" t="e">
        <f t="shared" ca="1" si="93"/>
        <v>#N/A</v>
      </c>
      <c r="I832" t="e">
        <f t="shared" ca="1" si="94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5"/>
        <v>0</v>
      </c>
      <c r="Y832">
        <f t="shared" ca="1" si="96"/>
        <v>0</v>
      </c>
      <c r="AA832" s="63" t="e">
        <f t="shared" ca="1" si="97"/>
        <v>#N/A</v>
      </c>
      <c r="AB832" s="63" t="e">
        <f t="shared" ca="1" si="98"/>
        <v>#N/A</v>
      </c>
      <c r="AC832" s="3" t="e">
        <f t="shared" ca="1" si="99"/>
        <v>#N/A</v>
      </c>
    </row>
    <row r="833" spans="8:29">
      <c r="H833" t="e">
        <f t="shared" ca="1" si="93"/>
        <v>#N/A</v>
      </c>
      <c r="I833" t="e">
        <f t="shared" ca="1" si="94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5"/>
        <v>0</v>
      </c>
      <c r="Y833">
        <f t="shared" ca="1" si="96"/>
        <v>0</v>
      </c>
      <c r="AA833" s="63" t="e">
        <f t="shared" ca="1" si="97"/>
        <v>#N/A</v>
      </c>
      <c r="AB833" s="63" t="e">
        <f t="shared" ca="1" si="98"/>
        <v>#N/A</v>
      </c>
      <c r="AC833" s="3" t="e">
        <f t="shared" ca="1" si="99"/>
        <v>#N/A</v>
      </c>
    </row>
    <row r="834" spans="8:29">
      <c r="H834" t="e">
        <f t="shared" ca="1" si="93"/>
        <v>#N/A</v>
      </c>
      <c r="I834" t="e">
        <f t="shared" ca="1" si="94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5"/>
        <v>0</v>
      </c>
      <c r="Y834">
        <f t="shared" ca="1" si="96"/>
        <v>0</v>
      </c>
      <c r="AA834" s="63" t="e">
        <f t="shared" ca="1" si="97"/>
        <v>#N/A</v>
      </c>
      <c r="AB834" s="63" t="e">
        <f t="shared" ca="1" si="98"/>
        <v>#N/A</v>
      </c>
      <c r="AC834" s="3" t="e">
        <f t="shared" ca="1" si="99"/>
        <v>#N/A</v>
      </c>
    </row>
    <row r="835" spans="8:29">
      <c r="H835" t="e">
        <f t="shared" ca="1" si="93"/>
        <v>#N/A</v>
      </c>
      <c r="I835" t="e">
        <f t="shared" ca="1" si="94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5"/>
        <v>0</v>
      </c>
      <c r="Y835">
        <f t="shared" ca="1" si="96"/>
        <v>0</v>
      </c>
      <c r="AA835" s="63" t="e">
        <f t="shared" ca="1" si="97"/>
        <v>#N/A</v>
      </c>
      <c r="AB835" s="63" t="e">
        <f t="shared" ca="1" si="98"/>
        <v>#N/A</v>
      </c>
      <c r="AC835" s="3" t="e">
        <f t="shared" ca="1" si="99"/>
        <v>#N/A</v>
      </c>
    </row>
    <row r="836" spans="8:29">
      <c r="H836" t="e">
        <f t="shared" ca="1" si="93"/>
        <v>#N/A</v>
      </c>
      <c r="I836" t="e">
        <f t="shared" ca="1" si="94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5"/>
        <v>0</v>
      </c>
      <c r="Y836">
        <f t="shared" ca="1" si="96"/>
        <v>0</v>
      </c>
      <c r="AA836" s="63" t="e">
        <f t="shared" ca="1" si="97"/>
        <v>#N/A</v>
      </c>
      <c r="AB836" s="63" t="e">
        <f t="shared" ca="1" si="98"/>
        <v>#N/A</v>
      </c>
      <c r="AC836" s="3" t="e">
        <f t="shared" ca="1" si="99"/>
        <v>#N/A</v>
      </c>
    </row>
    <row r="837" spans="8:29">
      <c r="H837" t="e">
        <f t="shared" ca="1" si="93"/>
        <v>#N/A</v>
      </c>
      <c r="I837" t="e">
        <f t="shared" ca="1" si="94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5"/>
        <v>0</v>
      </c>
      <c r="Y837">
        <f t="shared" ca="1" si="96"/>
        <v>0</v>
      </c>
      <c r="AA837" s="63" t="e">
        <f t="shared" ca="1" si="97"/>
        <v>#N/A</v>
      </c>
      <c r="AB837" s="63" t="e">
        <f t="shared" ca="1" si="98"/>
        <v>#N/A</v>
      </c>
      <c r="AC837" s="3" t="e">
        <f t="shared" ca="1" si="99"/>
        <v>#N/A</v>
      </c>
    </row>
    <row r="838" spans="8:29">
      <c r="H838" t="e">
        <f t="shared" ca="1" si="93"/>
        <v>#N/A</v>
      </c>
      <c r="I838" t="e">
        <f t="shared" ca="1" si="94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5"/>
        <v>0</v>
      </c>
      <c r="Y838">
        <f t="shared" ca="1" si="96"/>
        <v>0</v>
      </c>
      <c r="AA838" s="63" t="e">
        <f t="shared" ca="1" si="97"/>
        <v>#N/A</v>
      </c>
      <c r="AB838" s="63" t="e">
        <f t="shared" ca="1" si="98"/>
        <v>#N/A</v>
      </c>
      <c r="AC838" s="3" t="e">
        <f t="shared" ca="1" si="99"/>
        <v>#N/A</v>
      </c>
    </row>
    <row r="839" spans="8:29">
      <c r="H839" t="e">
        <f t="shared" ca="1" si="93"/>
        <v>#N/A</v>
      </c>
      <c r="I839" t="e">
        <f t="shared" ca="1" si="94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5"/>
        <v>0</v>
      </c>
      <c r="Y839">
        <f t="shared" ca="1" si="96"/>
        <v>0</v>
      </c>
      <c r="AA839" s="63" t="e">
        <f t="shared" ca="1" si="97"/>
        <v>#N/A</v>
      </c>
      <c r="AB839" s="63" t="e">
        <f t="shared" ca="1" si="98"/>
        <v>#N/A</v>
      </c>
      <c r="AC839" s="3" t="e">
        <f t="shared" ca="1" si="99"/>
        <v>#N/A</v>
      </c>
    </row>
    <row r="840" spans="8:29">
      <c r="H840" t="e">
        <f t="shared" ca="1" si="93"/>
        <v>#N/A</v>
      </c>
      <c r="I840" t="e">
        <f t="shared" ca="1" si="94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5"/>
        <v>0</v>
      </c>
      <c r="Y840">
        <f t="shared" ca="1" si="96"/>
        <v>0</v>
      </c>
      <c r="AA840" s="63" t="e">
        <f t="shared" ca="1" si="97"/>
        <v>#N/A</v>
      </c>
      <c r="AB840" s="63" t="e">
        <f t="shared" ca="1" si="98"/>
        <v>#N/A</v>
      </c>
      <c r="AC840" s="3" t="e">
        <f t="shared" ca="1" si="99"/>
        <v>#N/A</v>
      </c>
    </row>
    <row r="841" spans="8:29">
      <c r="H841" t="e">
        <f t="shared" ca="1" si="93"/>
        <v>#N/A</v>
      </c>
      <c r="I841" t="e">
        <f t="shared" ca="1" si="94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5"/>
        <v>0</v>
      </c>
      <c r="Y841">
        <f t="shared" ca="1" si="96"/>
        <v>0</v>
      </c>
      <c r="AA841" s="63" t="e">
        <f t="shared" ca="1" si="97"/>
        <v>#N/A</v>
      </c>
      <c r="AB841" s="63" t="e">
        <f t="shared" ca="1" si="98"/>
        <v>#N/A</v>
      </c>
      <c r="AC841" s="3" t="e">
        <f t="shared" ca="1" si="99"/>
        <v>#N/A</v>
      </c>
    </row>
    <row r="842" spans="8:29">
      <c r="H842" t="e">
        <f t="shared" ca="1" si="93"/>
        <v>#N/A</v>
      </c>
      <c r="I842" t="e">
        <f t="shared" ca="1" si="94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5"/>
        <v>0</v>
      </c>
      <c r="Y842">
        <f t="shared" ca="1" si="96"/>
        <v>0</v>
      </c>
      <c r="AA842" s="63" t="e">
        <f t="shared" ca="1" si="97"/>
        <v>#N/A</v>
      </c>
      <c r="AB842" s="63" t="e">
        <f t="shared" ca="1" si="98"/>
        <v>#N/A</v>
      </c>
      <c r="AC842" s="3" t="e">
        <f t="shared" ca="1" si="99"/>
        <v>#N/A</v>
      </c>
    </row>
    <row r="843" spans="8:29">
      <c r="H843" t="e">
        <f t="shared" ca="1" si="93"/>
        <v>#N/A</v>
      </c>
      <c r="I843" t="e">
        <f t="shared" ca="1" si="94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5"/>
        <v>0</v>
      </c>
      <c r="Y843">
        <f t="shared" ca="1" si="96"/>
        <v>0</v>
      </c>
      <c r="AA843" s="63" t="e">
        <f t="shared" ca="1" si="97"/>
        <v>#N/A</v>
      </c>
      <c r="AB843" s="63" t="e">
        <f t="shared" ca="1" si="98"/>
        <v>#N/A</v>
      </c>
      <c r="AC843" s="3" t="e">
        <f t="shared" ca="1" si="99"/>
        <v>#N/A</v>
      </c>
    </row>
    <row r="844" spans="8:29">
      <c r="H844" t="e">
        <f t="shared" ca="1" si="93"/>
        <v>#N/A</v>
      </c>
      <c r="I844" t="e">
        <f t="shared" ca="1" si="94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5"/>
        <v>0</v>
      </c>
      <c r="Y844">
        <f t="shared" ca="1" si="96"/>
        <v>0</v>
      </c>
      <c r="AA844" s="63" t="e">
        <f t="shared" ca="1" si="97"/>
        <v>#N/A</v>
      </c>
      <c r="AB844" s="63" t="e">
        <f t="shared" ca="1" si="98"/>
        <v>#N/A</v>
      </c>
      <c r="AC844" s="3" t="e">
        <f t="shared" ca="1" si="99"/>
        <v>#N/A</v>
      </c>
    </row>
    <row r="845" spans="8:29">
      <c r="H845" t="e">
        <f t="shared" ca="1" si="93"/>
        <v>#N/A</v>
      </c>
      <c r="I845" t="e">
        <f t="shared" ca="1" si="94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5"/>
        <v>0</v>
      </c>
      <c r="Y845">
        <f t="shared" ca="1" si="96"/>
        <v>0</v>
      </c>
      <c r="AA845" s="63" t="e">
        <f t="shared" ca="1" si="97"/>
        <v>#N/A</v>
      </c>
      <c r="AB845" s="63" t="e">
        <f t="shared" ca="1" si="98"/>
        <v>#N/A</v>
      </c>
      <c r="AC845" s="3" t="e">
        <f t="shared" ca="1" si="99"/>
        <v>#N/A</v>
      </c>
    </row>
    <row r="846" spans="8:29">
      <c r="H846" t="e">
        <f t="shared" ca="1" si="93"/>
        <v>#N/A</v>
      </c>
      <c r="I846" t="e">
        <f t="shared" ca="1" si="94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5"/>
        <v>0</v>
      </c>
      <c r="Y846">
        <f t="shared" ca="1" si="96"/>
        <v>0</v>
      </c>
      <c r="AA846" s="63" t="e">
        <f t="shared" ca="1" si="97"/>
        <v>#N/A</v>
      </c>
      <c r="AB846" s="63" t="e">
        <f t="shared" ca="1" si="98"/>
        <v>#N/A</v>
      </c>
      <c r="AC846" s="3" t="e">
        <f t="shared" ca="1" si="99"/>
        <v>#N/A</v>
      </c>
    </row>
    <row r="847" spans="8:29">
      <c r="H847" t="e">
        <f t="shared" ca="1" si="93"/>
        <v>#N/A</v>
      </c>
      <c r="I847" t="e">
        <f t="shared" ca="1" si="94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5"/>
        <v>0</v>
      </c>
      <c r="Y847">
        <f t="shared" ca="1" si="96"/>
        <v>0</v>
      </c>
      <c r="AA847" s="63" t="e">
        <f t="shared" ca="1" si="97"/>
        <v>#N/A</v>
      </c>
      <c r="AB847" s="63" t="e">
        <f t="shared" ca="1" si="98"/>
        <v>#N/A</v>
      </c>
      <c r="AC847" s="3" t="e">
        <f t="shared" ca="1" si="99"/>
        <v>#N/A</v>
      </c>
    </row>
    <row r="848" spans="8:29">
      <c r="H848" t="e">
        <f t="shared" ca="1" si="93"/>
        <v>#N/A</v>
      </c>
      <c r="I848" t="e">
        <f t="shared" ca="1" si="94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5"/>
        <v>0</v>
      </c>
      <c r="Y848">
        <f t="shared" ca="1" si="96"/>
        <v>0</v>
      </c>
      <c r="AA848" s="63" t="e">
        <f t="shared" ca="1" si="97"/>
        <v>#N/A</v>
      </c>
      <c r="AB848" s="63" t="e">
        <f t="shared" ca="1" si="98"/>
        <v>#N/A</v>
      </c>
      <c r="AC848" s="3" t="e">
        <f t="shared" ca="1" si="99"/>
        <v>#N/A</v>
      </c>
    </row>
    <row r="849" spans="8:29">
      <c r="H849" t="e">
        <f t="shared" ca="1" si="93"/>
        <v>#N/A</v>
      </c>
      <c r="I849" t="e">
        <f t="shared" ca="1" si="94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5"/>
        <v>0</v>
      </c>
      <c r="Y849">
        <f t="shared" ca="1" si="96"/>
        <v>0</v>
      </c>
      <c r="AA849" s="63" t="e">
        <f t="shared" ca="1" si="97"/>
        <v>#N/A</v>
      </c>
      <c r="AB849" s="63" t="e">
        <f t="shared" ca="1" si="98"/>
        <v>#N/A</v>
      </c>
      <c r="AC849" s="3" t="e">
        <f t="shared" ca="1" si="99"/>
        <v>#N/A</v>
      </c>
    </row>
    <row r="850" spans="8:29">
      <c r="H850" t="e">
        <f t="shared" ca="1" si="93"/>
        <v>#N/A</v>
      </c>
      <c r="I850" t="e">
        <f t="shared" ca="1" si="94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5"/>
        <v>0</v>
      </c>
      <c r="Y850">
        <f t="shared" ca="1" si="96"/>
        <v>0</v>
      </c>
      <c r="AA850" s="63" t="e">
        <f t="shared" ca="1" si="97"/>
        <v>#N/A</v>
      </c>
      <c r="AB850" s="63" t="e">
        <f t="shared" ca="1" si="98"/>
        <v>#N/A</v>
      </c>
      <c r="AC850" s="3" t="e">
        <f t="shared" ca="1" si="99"/>
        <v>#N/A</v>
      </c>
    </row>
    <row r="851" spans="8:29">
      <c r="H851" t="e">
        <f t="shared" ca="1" si="93"/>
        <v>#N/A</v>
      </c>
      <c r="I851" t="e">
        <f t="shared" ca="1" si="94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5"/>
        <v>0</v>
      </c>
      <c r="Y851">
        <f t="shared" ca="1" si="96"/>
        <v>0</v>
      </c>
      <c r="AA851" s="63" t="e">
        <f t="shared" ca="1" si="97"/>
        <v>#N/A</v>
      </c>
      <c r="AB851" s="63" t="e">
        <f t="shared" ca="1" si="98"/>
        <v>#N/A</v>
      </c>
      <c r="AC851" s="3" t="e">
        <f t="shared" ca="1" si="99"/>
        <v>#N/A</v>
      </c>
    </row>
    <row r="852" spans="8:29">
      <c r="H852" t="e">
        <f t="shared" ca="1" si="93"/>
        <v>#N/A</v>
      </c>
      <c r="I852" t="e">
        <f t="shared" ca="1" si="94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5"/>
        <v>0</v>
      </c>
      <c r="Y852">
        <f t="shared" ca="1" si="96"/>
        <v>0</v>
      </c>
      <c r="AA852" s="63" t="e">
        <f t="shared" ca="1" si="97"/>
        <v>#N/A</v>
      </c>
      <c r="AB852" s="63" t="e">
        <f t="shared" ca="1" si="98"/>
        <v>#N/A</v>
      </c>
      <c r="AC852" s="3" t="e">
        <f t="shared" ca="1" si="99"/>
        <v>#N/A</v>
      </c>
    </row>
    <row r="853" spans="8:29">
      <c r="H853" t="e">
        <f t="shared" ca="1" si="93"/>
        <v>#N/A</v>
      </c>
      <c r="I853" t="e">
        <f t="shared" ca="1" si="94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5"/>
        <v>0</v>
      </c>
      <c r="Y853">
        <f t="shared" ca="1" si="96"/>
        <v>0</v>
      </c>
      <c r="AA853" s="63" t="e">
        <f t="shared" ca="1" si="97"/>
        <v>#N/A</v>
      </c>
      <c r="AB853" s="63" t="e">
        <f t="shared" ca="1" si="98"/>
        <v>#N/A</v>
      </c>
      <c r="AC853" s="3" t="e">
        <f t="shared" ca="1" si="99"/>
        <v>#N/A</v>
      </c>
    </row>
    <row r="854" spans="8:29">
      <c r="H854" t="e">
        <f t="shared" ca="1" si="93"/>
        <v>#N/A</v>
      </c>
      <c r="I854" t="e">
        <f t="shared" ca="1" si="94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5"/>
        <v>0</v>
      </c>
      <c r="Y854">
        <f t="shared" ca="1" si="96"/>
        <v>0</v>
      </c>
      <c r="AA854" s="63" t="e">
        <f t="shared" ca="1" si="97"/>
        <v>#N/A</v>
      </c>
      <c r="AB854" s="63" t="e">
        <f t="shared" ca="1" si="98"/>
        <v>#N/A</v>
      </c>
      <c r="AC854" s="3" t="e">
        <f t="shared" ca="1" si="99"/>
        <v>#N/A</v>
      </c>
    </row>
    <row r="855" spans="8:29">
      <c r="H855" t="e">
        <f t="shared" ca="1" si="93"/>
        <v>#N/A</v>
      </c>
      <c r="I855" t="e">
        <f t="shared" ca="1" si="94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5"/>
        <v>0</v>
      </c>
      <c r="Y855">
        <f t="shared" ca="1" si="96"/>
        <v>0</v>
      </c>
      <c r="AA855" s="63" t="e">
        <f t="shared" ca="1" si="97"/>
        <v>#N/A</v>
      </c>
      <c r="AB855" s="63" t="e">
        <f t="shared" ca="1" si="98"/>
        <v>#N/A</v>
      </c>
      <c r="AC855" s="3" t="e">
        <f t="shared" ca="1" si="99"/>
        <v>#N/A</v>
      </c>
    </row>
    <row r="856" spans="8:29">
      <c r="H856" t="e">
        <f t="shared" ca="1" si="93"/>
        <v>#N/A</v>
      </c>
      <c r="I856" t="e">
        <f t="shared" ca="1" si="94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5"/>
        <v>0</v>
      </c>
      <c r="Y856">
        <f t="shared" ca="1" si="96"/>
        <v>0</v>
      </c>
      <c r="AA856" s="63" t="e">
        <f t="shared" ca="1" si="97"/>
        <v>#N/A</v>
      </c>
      <c r="AB856" s="63" t="e">
        <f t="shared" ca="1" si="98"/>
        <v>#N/A</v>
      </c>
      <c r="AC856" s="3" t="e">
        <f t="shared" ca="1" si="99"/>
        <v>#N/A</v>
      </c>
    </row>
    <row r="857" spans="8:29">
      <c r="H857" t="e">
        <f t="shared" ca="1" si="93"/>
        <v>#N/A</v>
      </c>
      <c r="I857" t="e">
        <f t="shared" ca="1" si="94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5"/>
        <v>0</v>
      </c>
      <c r="Y857">
        <f t="shared" ca="1" si="96"/>
        <v>0</v>
      </c>
      <c r="AA857" s="63" t="e">
        <f t="shared" ca="1" si="97"/>
        <v>#N/A</v>
      </c>
      <c r="AB857" s="63" t="e">
        <f t="shared" ca="1" si="98"/>
        <v>#N/A</v>
      </c>
      <c r="AC857" s="3" t="e">
        <f t="shared" ca="1" si="99"/>
        <v>#N/A</v>
      </c>
    </row>
    <row r="858" spans="8:29">
      <c r="H858" t="e">
        <f t="shared" ca="1" si="93"/>
        <v>#N/A</v>
      </c>
      <c r="I858" t="e">
        <f t="shared" ca="1" si="94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5"/>
        <v>0</v>
      </c>
      <c r="Y858">
        <f t="shared" ca="1" si="96"/>
        <v>0</v>
      </c>
      <c r="AA858" s="63" t="e">
        <f t="shared" ca="1" si="97"/>
        <v>#N/A</v>
      </c>
      <c r="AB858" s="63" t="e">
        <f t="shared" ca="1" si="98"/>
        <v>#N/A</v>
      </c>
      <c r="AC858" s="3" t="e">
        <f t="shared" ca="1" si="99"/>
        <v>#N/A</v>
      </c>
    </row>
    <row r="859" spans="8:29">
      <c r="H859" t="e">
        <f t="shared" ca="1" si="93"/>
        <v>#N/A</v>
      </c>
      <c r="I859" t="e">
        <f t="shared" ca="1" si="94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5"/>
        <v>0</v>
      </c>
      <c r="Y859">
        <f t="shared" ca="1" si="96"/>
        <v>0</v>
      </c>
      <c r="AA859" s="63" t="e">
        <f t="shared" ca="1" si="97"/>
        <v>#N/A</v>
      </c>
      <c r="AB859" s="63" t="e">
        <f t="shared" ca="1" si="98"/>
        <v>#N/A</v>
      </c>
      <c r="AC859" s="3" t="e">
        <f t="shared" ca="1" si="99"/>
        <v>#N/A</v>
      </c>
    </row>
    <row r="860" spans="8:29">
      <c r="H860" t="e">
        <f t="shared" ca="1" si="93"/>
        <v>#N/A</v>
      </c>
      <c r="I860" t="e">
        <f t="shared" ca="1" si="94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5"/>
        <v>0</v>
      </c>
      <c r="Y860">
        <f t="shared" ca="1" si="96"/>
        <v>0</v>
      </c>
      <c r="AA860" s="63" t="e">
        <f t="shared" ca="1" si="97"/>
        <v>#N/A</v>
      </c>
      <c r="AB860" s="63" t="e">
        <f t="shared" ca="1" si="98"/>
        <v>#N/A</v>
      </c>
      <c r="AC860" s="3" t="e">
        <f t="shared" ca="1" si="99"/>
        <v>#N/A</v>
      </c>
    </row>
    <row r="861" spans="8:29">
      <c r="H861" t="e">
        <f t="shared" ca="1" si="93"/>
        <v>#N/A</v>
      </c>
      <c r="I861" t="e">
        <f t="shared" ca="1" si="94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5"/>
        <v>0</v>
      </c>
      <c r="Y861">
        <f t="shared" ca="1" si="96"/>
        <v>0</v>
      </c>
      <c r="AA861" s="63" t="e">
        <f t="shared" ca="1" si="97"/>
        <v>#N/A</v>
      </c>
      <c r="AB861" s="63" t="e">
        <f t="shared" ca="1" si="98"/>
        <v>#N/A</v>
      </c>
      <c r="AC861" s="3" t="e">
        <f t="shared" ca="1" si="99"/>
        <v>#N/A</v>
      </c>
    </row>
    <row r="862" spans="8:29">
      <c r="H862" t="e">
        <f t="shared" ca="1" si="93"/>
        <v>#N/A</v>
      </c>
      <c r="I862" t="e">
        <f t="shared" ca="1" si="94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5"/>
        <v>0</v>
      </c>
      <c r="Y862">
        <f t="shared" ca="1" si="96"/>
        <v>0</v>
      </c>
      <c r="AA862" s="63" t="e">
        <f t="shared" ca="1" si="97"/>
        <v>#N/A</v>
      </c>
      <c r="AB862" s="63" t="e">
        <f t="shared" ca="1" si="98"/>
        <v>#N/A</v>
      </c>
      <c r="AC862" s="3" t="e">
        <f t="shared" ca="1" si="99"/>
        <v>#N/A</v>
      </c>
    </row>
    <row r="863" spans="8:29">
      <c r="H863" t="e">
        <f t="shared" ca="1" si="93"/>
        <v>#N/A</v>
      </c>
      <c r="I863" t="e">
        <f t="shared" ca="1" si="94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5"/>
        <v>0</v>
      </c>
      <c r="Y863">
        <f t="shared" ca="1" si="96"/>
        <v>0</v>
      </c>
      <c r="AA863" s="63" t="e">
        <f t="shared" ca="1" si="97"/>
        <v>#N/A</v>
      </c>
      <c r="AB863" s="63" t="e">
        <f t="shared" ca="1" si="98"/>
        <v>#N/A</v>
      </c>
      <c r="AC863" s="3" t="e">
        <f t="shared" ca="1" si="99"/>
        <v>#N/A</v>
      </c>
    </row>
    <row r="864" spans="8:29">
      <c r="H864" t="e">
        <f t="shared" ca="1" si="93"/>
        <v>#N/A</v>
      </c>
      <c r="I864" t="e">
        <f t="shared" ca="1" si="94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5"/>
        <v>0</v>
      </c>
      <c r="Y864">
        <f t="shared" ca="1" si="96"/>
        <v>0</v>
      </c>
      <c r="AA864" s="63" t="e">
        <f t="shared" ca="1" si="97"/>
        <v>#N/A</v>
      </c>
      <c r="AB864" s="63" t="e">
        <f t="shared" ca="1" si="98"/>
        <v>#N/A</v>
      </c>
      <c r="AC864" s="3" t="e">
        <f t="shared" ca="1" si="99"/>
        <v>#N/A</v>
      </c>
    </row>
    <row r="865" spans="8:29">
      <c r="H865" t="e">
        <f t="shared" ca="1" si="93"/>
        <v>#N/A</v>
      </c>
      <c r="I865" t="e">
        <f t="shared" ca="1" si="94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5"/>
        <v>0</v>
      </c>
      <c r="Y865">
        <f t="shared" ca="1" si="96"/>
        <v>0</v>
      </c>
      <c r="AA865" s="63" t="e">
        <f t="shared" ca="1" si="97"/>
        <v>#N/A</v>
      </c>
      <c r="AB865" s="63" t="e">
        <f t="shared" ca="1" si="98"/>
        <v>#N/A</v>
      </c>
      <c r="AC865" s="3" t="e">
        <f t="shared" ca="1" si="99"/>
        <v>#N/A</v>
      </c>
    </row>
    <row r="866" spans="8:29">
      <c r="H866" t="e">
        <f t="shared" ca="1" si="93"/>
        <v>#N/A</v>
      </c>
      <c r="I866" t="e">
        <f t="shared" ca="1" si="94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5"/>
        <v>0</v>
      </c>
      <c r="Y866">
        <f t="shared" ca="1" si="96"/>
        <v>0</v>
      </c>
      <c r="AA866" s="63" t="e">
        <f t="shared" ca="1" si="97"/>
        <v>#N/A</v>
      </c>
      <c r="AB866" s="63" t="e">
        <f t="shared" ca="1" si="98"/>
        <v>#N/A</v>
      </c>
      <c r="AC866" s="3" t="e">
        <f t="shared" ca="1" si="99"/>
        <v>#N/A</v>
      </c>
    </row>
    <row r="867" spans="8:29">
      <c r="H867" t="e">
        <f t="shared" ca="1" si="93"/>
        <v>#N/A</v>
      </c>
      <c r="I867" t="e">
        <f t="shared" ca="1" si="94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5"/>
        <v>0</v>
      </c>
      <c r="Y867">
        <f t="shared" ca="1" si="96"/>
        <v>0</v>
      </c>
      <c r="AA867" s="63" t="e">
        <f t="shared" ca="1" si="97"/>
        <v>#N/A</v>
      </c>
      <c r="AB867" s="63" t="e">
        <f t="shared" ca="1" si="98"/>
        <v>#N/A</v>
      </c>
      <c r="AC867" s="3" t="e">
        <f t="shared" ca="1" si="99"/>
        <v>#N/A</v>
      </c>
    </row>
    <row r="868" spans="8:29">
      <c r="H868" t="e">
        <f t="shared" ca="1" si="93"/>
        <v>#N/A</v>
      </c>
      <c r="I868" t="e">
        <f t="shared" ca="1" si="94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5"/>
        <v>0</v>
      </c>
      <c r="Y868">
        <f t="shared" ca="1" si="96"/>
        <v>0</v>
      </c>
      <c r="AA868" s="63" t="e">
        <f t="shared" ca="1" si="97"/>
        <v>#N/A</v>
      </c>
      <c r="AB868" s="63" t="e">
        <f t="shared" ca="1" si="98"/>
        <v>#N/A</v>
      </c>
      <c r="AC868" s="3" t="e">
        <f t="shared" ca="1" si="99"/>
        <v>#N/A</v>
      </c>
    </row>
    <row r="869" spans="8:29">
      <c r="H869" t="e">
        <f t="shared" ca="1" si="93"/>
        <v>#N/A</v>
      </c>
      <c r="I869" t="e">
        <f t="shared" ca="1" si="94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5"/>
        <v>0</v>
      </c>
      <c r="Y869">
        <f t="shared" ca="1" si="96"/>
        <v>0</v>
      </c>
      <c r="AA869" s="63" t="e">
        <f t="shared" ca="1" si="97"/>
        <v>#N/A</v>
      </c>
      <c r="AB869" s="63" t="e">
        <f t="shared" ca="1" si="98"/>
        <v>#N/A</v>
      </c>
      <c r="AC869" s="3" t="e">
        <f t="shared" ca="1" si="99"/>
        <v>#N/A</v>
      </c>
    </row>
    <row r="870" spans="8:29">
      <c r="H870" t="e">
        <f t="shared" ca="1" si="93"/>
        <v>#N/A</v>
      </c>
      <c r="I870" t="e">
        <f t="shared" ca="1" si="94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5"/>
        <v>0</v>
      </c>
      <c r="Y870">
        <f t="shared" ca="1" si="96"/>
        <v>0</v>
      </c>
      <c r="AA870" s="63" t="e">
        <f t="shared" ca="1" si="97"/>
        <v>#N/A</v>
      </c>
      <c r="AB870" s="63" t="e">
        <f t="shared" ca="1" si="98"/>
        <v>#N/A</v>
      </c>
      <c r="AC870" s="3" t="e">
        <f t="shared" ca="1" si="99"/>
        <v>#N/A</v>
      </c>
    </row>
    <row r="871" spans="8:29">
      <c r="H871" t="e">
        <f t="shared" ca="1" si="93"/>
        <v>#N/A</v>
      </c>
      <c r="I871" t="e">
        <f t="shared" ca="1" si="94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5"/>
        <v>0</v>
      </c>
      <c r="Y871">
        <f t="shared" ca="1" si="96"/>
        <v>0</v>
      </c>
      <c r="AA871" s="63" t="e">
        <f t="shared" ca="1" si="97"/>
        <v>#N/A</v>
      </c>
      <c r="AB871" s="63" t="e">
        <f t="shared" ca="1" si="98"/>
        <v>#N/A</v>
      </c>
      <c r="AC871" s="3" t="e">
        <f t="shared" ca="1" si="99"/>
        <v>#N/A</v>
      </c>
    </row>
    <row r="872" spans="8:29">
      <c r="H872" t="e">
        <f t="shared" ca="1" si="93"/>
        <v>#N/A</v>
      </c>
      <c r="I872" t="e">
        <f t="shared" ca="1" si="94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5"/>
        <v>0</v>
      </c>
      <c r="Y872">
        <f t="shared" ca="1" si="96"/>
        <v>0</v>
      </c>
      <c r="AA872" s="63" t="e">
        <f t="shared" ca="1" si="97"/>
        <v>#N/A</v>
      </c>
      <c r="AB872" s="63" t="e">
        <f t="shared" ca="1" si="98"/>
        <v>#N/A</v>
      </c>
      <c r="AC872" s="3" t="e">
        <f t="shared" ca="1" si="99"/>
        <v>#N/A</v>
      </c>
    </row>
    <row r="873" spans="8:29">
      <c r="H873" t="e">
        <f t="shared" ca="1" si="93"/>
        <v>#N/A</v>
      </c>
      <c r="I873" t="e">
        <f t="shared" ca="1" si="94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5"/>
        <v>0</v>
      </c>
      <c r="Y873">
        <f t="shared" ca="1" si="96"/>
        <v>0</v>
      </c>
      <c r="AA873" s="63" t="e">
        <f t="shared" ca="1" si="97"/>
        <v>#N/A</v>
      </c>
      <c r="AB873" s="63" t="e">
        <f t="shared" ca="1" si="98"/>
        <v>#N/A</v>
      </c>
      <c r="AC873" s="3" t="e">
        <f t="shared" ca="1" si="99"/>
        <v>#N/A</v>
      </c>
    </row>
    <row r="874" spans="8:29">
      <c r="H874" t="e">
        <f t="shared" ca="1" si="93"/>
        <v>#N/A</v>
      </c>
      <c r="I874" t="e">
        <f t="shared" ca="1" si="94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5"/>
        <v>0</v>
      </c>
      <c r="Y874">
        <f t="shared" ca="1" si="96"/>
        <v>0</v>
      </c>
      <c r="AA874" s="63" t="e">
        <f t="shared" ca="1" si="97"/>
        <v>#N/A</v>
      </c>
      <c r="AB874" s="63" t="e">
        <f t="shared" ca="1" si="98"/>
        <v>#N/A</v>
      </c>
      <c r="AC874" s="3" t="e">
        <f t="shared" ca="1" si="99"/>
        <v>#N/A</v>
      </c>
    </row>
    <row r="875" spans="8:29">
      <c r="H875" t="e">
        <f t="shared" ca="1" si="93"/>
        <v>#N/A</v>
      </c>
      <c r="I875" t="e">
        <f t="shared" ca="1" si="94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5"/>
        <v>0</v>
      </c>
      <c r="Y875">
        <f t="shared" ca="1" si="96"/>
        <v>0</v>
      </c>
      <c r="AA875" s="63" t="e">
        <f t="shared" ca="1" si="97"/>
        <v>#N/A</v>
      </c>
      <c r="AB875" s="63" t="e">
        <f t="shared" ca="1" si="98"/>
        <v>#N/A</v>
      </c>
      <c r="AC875" s="3" t="e">
        <f t="shared" ca="1" si="99"/>
        <v>#N/A</v>
      </c>
    </row>
    <row r="876" spans="8:29">
      <c r="H876" t="e">
        <f t="shared" ca="1" si="93"/>
        <v>#N/A</v>
      </c>
      <c r="I876" t="e">
        <f t="shared" ca="1" si="94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5"/>
        <v>0</v>
      </c>
      <c r="Y876">
        <f t="shared" ca="1" si="96"/>
        <v>0</v>
      </c>
      <c r="AA876" s="63" t="e">
        <f t="shared" ca="1" si="97"/>
        <v>#N/A</v>
      </c>
      <c r="AB876" s="63" t="e">
        <f t="shared" ca="1" si="98"/>
        <v>#N/A</v>
      </c>
      <c r="AC876" s="3" t="e">
        <f t="shared" ca="1" si="99"/>
        <v>#N/A</v>
      </c>
    </row>
    <row r="877" spans="8:29">
      <c r="H877" t="e">
        <f t="shared" ca="1" si="93"/>
        <v>#N/A</v>
      </c>
      <c r="I877" t="e">
        <f t="shared" ca="1" si="94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5"/>
        <v>0</v>
      </c>
      <c r="Y877">
        <f t="shared" ca="1" si="96"/>
        <v>0</v>
      </c>
      <c r="AA877" s="63" t="e">
        <f t="shared" ca="1" si="97"/>
        <v>#N/A</v>
      </c>
      <c r="AB877" s="63" t="e">
        <f t="shared" ca="1" si="98"/>
        <v>#N/A</v>
      </c>
      <c r="AC877" s="3" t="e">
        <f t="shared" ca="1" si="99"/>
        <v>#N/A</v>
      </c>
    </row>
    <row r="878" spans="8:29">
      <c r="H878" t="e">
        <f t="shared" ca="1" si="93"/>
        <v>#N/A</v>
      </c>
      <c r="I878" t="e">
        <f t="shared" ca="1" si="94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5"/>
        <v>0</v>
      </c>
      <c r="Y878">
        <f t="shared" ca="1" si="96"/>
        <v>0</v>
      </c>
      <c r="AA878" s="63" t="e">
        <f t="shared" ca="1" si="97"/>
        <v>#N/A</v>
      </c>
      <c r="AB878" s="63" t="e">
        <f t="shared" ca="1" si="98"/>
        <v>#N/A</v>
      </c>
      <c r="AC878" s="3" t="e">
        <f t="shared" ca="1" si="99"/>
        <v>#N/A</v>
      </c>
    </row>
    <row r="879" spans="8:29">
      <c r="H879" t="e">
        <f t="shared" ca="1" si="93"/>
        <v>#N/A</v>
      </c>
      <c r="I879" t="e">
        <f t="shared" ca="1" si="94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5"/>
        <v>0</v>
      </c>
      <c r="Y879">
        <f t="shared" ca="1" si="96"/>
        <v>0</v>
      </c>
      <c r="AA879" s="63" t="e">
        <f t="shared" ca="1" si="97"/>
        <v>#N/A</v>
      </c>
      <c r="AB879" s="63" t="e">
        <f t="shared" ca="1" si="98"/>
        <v>#N/A</v>
      </c>
      <c r="AC879" s="3" t="e">
        <f t="shared" ca="1" si="99"/>
        <v>#N/A</v>
      </c>
    </row>
    <row r="880" spans="8:29">
      <c r="H880" t="e">
        <f t="shared" ca="1" si="93"/>
        <v>#N/A</v>
      </c>
      <c r="I880" t="e">
        <f t="shared" ca="1" si="94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5"/>
        <v>0</v>
      </c>
      <c r="Y880">
        <f t="shared" ca="1" si="96"/>
        <v>0</v>
      </c>
      <c r="AA880" s="63" t="e">
        <f t="shared" ca="1" si="97"/>
        <v>#N/A</v>
      </c>
      <c r="AB880" s="63" t="e">
        <f t="shared" ca="1" si="98"/>
        <v>#N/A</v>
      </c>
      <c r="AC880" s="3" t="e">
        <f t="shared" ca="1" si="99"/>
        <v>#N/A</v>
      </c>
    </row>
    <row r="881" spans="8:29">
      <c r="H881" t="e">
        <f t="shared" ca="1" si="93"/>
        <v>#N/A</v>
      </c>
      <c r="I881" t="e">
        <f t="shared" ca="1" si="94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5"/>
        <v>0</v>
      </c>
      <c r="Y881">
        <f t="shared" ca="1" si="96"/>
        <v>0</v>
      </c>
      <c r="AA881" s="63" t="e">
        <f t="shared" ca="1" si="97"/>
        <v>#N/A</v>
      </c>
      <c r="AB881" s="63" t="e">
        <f t="shared" ca="1" si="98"/>
        <v>#N/A</v>
      </c>
      <c r="AC881" s="3" t="e">
        <f t="shared" ca="1" si="99"/>
        <v>#N/A</v>
      </c>
    </row>
    <row r="882" spans="8:29">
      <c r="H882" t="e">
        <f t="shared" ca="1" si="93"/>
        <v>#N/A</v>
      </c>
      <c r="I882" t="e">
        <f t="shared" ca="1" si="94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5"/>
        <v>0</v>
      </c>
      <c r="Y882">
        <f t="shared" ca="1" si="96"/>
        <v>0</v>
      </c>
      <c r="AA882" s="63" t="e">
        <f t="shared" ca="1" si="97"/>
        <v>#N/A</v>
      </c>
      <c r="AB882" s="63" t="e">
        <f t="shared" ca="1" si="98"/>
        <v>#N/A</v>
      </c>
      <c r="AC882" s="3" t="e">
        <f t="shared" ca="1" si="99"/>
        <v>#N/A</v>
      </c>
    </row>
    <row r="883" spans="8:29">
      <c r="H883" t="e">
        <f t="shared" ca="1" si="93"/>
        <v>#N/A</v>
      </c>
      <c r="I883" t="e">
        <f t="shared" ca="1" si="94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5"/>
        <v>0</v>
      </c>
      <c r="Y883">
        <f t="shared" ca="1" si="96"/>
        <v>0</v>
      </c>
      <c r="AA883" s="63" t="e">
        <f t="shared" ca="1" si="97"/>
        <v>#N/A</v>
      </c>
      <c r="AB883" s="63" t="e">
        <f t="shared" ca="1" si="98"/>
        <v>#N/A</v>
      </c>
      <c r="AC883" s="3" t="e">
        <f t="shared" ca="1" si="99"/>
        <v>#N/A</v>
      </c>
    </row>
    <row r="884" spans="8:29">
      <c r="H884" t="e">
        <f t="shared" ca="1" si="93"/>
        <v>#N/A</v>
      </c>
      <c r="I884" t="e">
        <f t="shared" ca="1" si="94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5"/>
        <v>0</v>
      </c>
      <c r="Y884">
        <f t="shared" ca="1" si="96"/>
        <v>0</v>
      </c>
      <c r="AA884" s="63" t="e">
        <f t="shared" ca="1" si="97"/>
        <v>#N/A</v>
      </c>
      <c r="AB884" s="63" t="e">
        <f t="shared" ca="1" si="98"/>
        <v>#N/A</v>
      </c>
      <c r="AC884" s="3" t="e">
        <f t="shared" ca="1" si="99"/>
        <v>#N/A</v>
      </c>
    </row>
    <row r="885" spans="8:29">
      <c r="H885" t="e">
        <f t="shared" ca="1" si="93"/>
        <v>#N/A</v>
      </c>
      <c r="I885" t="e">
        <f t="shared" ca="1" si="94"/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ca="1" si="95"/>
        <v>0</v>
      </c>
      <c r="Y885">
        <f t="shared" ca="1" si="96"/>
        <v>0</v>
      </c>
      <c r="AA885" s="63" t="e">
        <f t="shared" ca="1" si="97"/>
        <v>#N/A</v>
      </c>
      <c r="AB885" s="63" t="e">
        <f t="shared" ca="1" si="98"/>
        <v>#N/A</v>
      </c>
      <c r="AC885" s="3" t="e">
        <f t="shared" ca="1" si="99"/>
        <v>#N/A</v>
      </c>
    </row>
    <row r="886" spans="8:29">
      <c r="H886" t="e">
        <f t="shared" ref="H886:H949" ca="1" si="100">IF(J886&lt;$J$9,TRUE,FALSE)</f>
        <v>#N/A</v>
      </c>
      <c r="I886" t="e">
        <f t="shared" ref="I886:I949" ca="1" si="101">AND(IF(J886&gt;($J$8-1),TRUE,FALSE),IF(J886&lt;($J$9+1),TRUE,FALSE))</f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ref="X886:X949" ca="1" si="102">IFERROR(J886,$X$10)</f>
        <v>0</v>
      </c>
      <c r="Y886">
        <f t="shared" ref="Y886:Y949" ca="1" si="103">IFERROR(O886,0)</f>
        <v>0</v>
      </c>
      <c r="AA886" s="63" t="e">
        <f t="shared" ref="AA886:AA949" ca="1" si="104">K885+M886+N886+O886</f>
        <v>#N/A</v>
      </c>
      <c r="AB886" s="63" t="e">
        <f t="shared" ref="AB886:AB949" ca="1" si="105">K886+L886+R886</f>
        <v>#N/A</v>
      </c>
      <c r="AC886" s="3" t="e">
        <f t="shared" ref="AC886:AC949" ca="1" si="106">AB886-AA886</f>
        <v>#N/A</v>
      </c>
    </row>
    <row r="887" spans="8:29">
      <c r="H887" t="e">
        <f t="shared" ca="1" si="100"/>
        <v>#N/A</v>
      </c>
      <c r="I887" t="e">
        <f t="shared" ca="1" si="101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2"/>
        <v>0</v>
      </c>
      <c r="Y887">
        <f t="shared" ca="1" si="103"/>
        <v>0</v>
      </c>
      <c r="AA887" s="63" t="e">
        <f t="shared" ca="1" si="104"/>
        <v>#N/A</v>
      </c>
      <c r="AB887" s="63" t="e">
        <f t="shared" ca="1" si="105"/>
        <v>#N/A</v>
      </c>
      <c r="AC887" s="3" t="e">
        <f t="shared" ca="1" si="106"/>
        <v>#N/A</v>
      </c>
    </row>
    <row r="888" spans="8:29">
      <c r="H888" t="e">
        <f t="shared" ca="1" si="100"/>
        <v>#N/A</v>
      </c>
      <c r="I888" t="e">
        <f t="shared" ca="1" si="101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2"/>
        <v>0</v>
      </c>
      <c r="Y888">
        <f t="shared" ca="1" si="103"/>
        <v>0</v>
      </c>
      <c r="AA888" s="63" t="e">
        <f t="shared" ca="1" si="104"/>
        <v>#N/A</v>
      </c>
      <c r="AB888" s="63" t="e">
        <f t="shared" ca="1" si="105"/>
        <v>#N/A</v>
      </c>
      <c r="AC888" s="3" t="e">
        <f t="shared" ca="1" si="106"/>
        <v>#N/A</v>
      </c>
    </row>
    <row r="889" spans="8:29">
      <c r="H889" t="e">
        <f t="shared" ca="1" si="100"/>
        <v>#N/A</v>
      </c>
      <c r="I889" t="e">
        <f t="shared" ca="1" si="101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2"/>
        <v>0</v>
      </c>
      <c r="Y889">
        <f t="shared" ca="1" si="103"/>
        <v>0</v>
      </c>
      <c r="AA889" s="63" t="e">
        <f t="shared" ca="1" si="104"/>
        <v>#N/A</v>
      </c>
      <c r="AB889" s="63" t="e">
        <f t="shared" ca="1" si="105"/>
        <v>#N/A</v>
      </c>
      <c r="AC889" s="3" t="e">
        <f t="shared" ca="1" si="106"/>
        <v>#N/A</v>
      </c>
    </row>
    <row r="890" spans="8:29">
      <c r="H890" t="e">
        <f t="shared" ca="1" si="100"/>
        <v>#N/A</v>
      </c>
      <c r="I890" t="e">
        <f t="shared" ca="1" si="101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2"/>
        <v>0</v>
      </c>
      <c r="Y890">
        <f t="shared" ca="1" si="103"/>
        <v>0</v>
      </c>
      <c r="AA890" s="63" t="e">
        <f t="shared" ca="1" si="104"/>
        <v>#N/A</v>
      </c>
      <c r="AB890" s="63" t="e">
        <f t="shared" ca="1" si="105"/>
        <v>#N/A</v>
      </c>
      <c r="AC890" s="3" t="e">
        <f t="shared" ca="1" si="106"/>
        <v>#N/A</v>
      </c>
    </row>
    <row r="891" spans="8:29">
      <c r="H891" t="e">
        <f t="shared" ca="1" si="100"/>
        <v>#N/A</v>
      </c>
      <c r="I891" t="e">
        <f t="shared" ca="1" si="101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2"/>
        <v>0</v>
      </c>
      <c r="Y891">
        <f t="shared" ca="1" si="103"/>
        <v>0</v>
      </c>
      <c r="AA891" s="63" t="e">
        <f t="shared" ca="1" si="104"/>
        <v>#N/A</v>
      </c>
      <c r="AB891" s="63" t="e">
        <f t="shared" ca="1" si="105"/>
        <v>#N/A</v>
      </c>
      <c r="AC891" s="3" t="e">
        <f t="shared" ca="1" si="106"/>
        <v>#N/A</v>
      </c>
    </row>
    <row r="892" spans="8:29">
      <c r="H892" t="e">
        <f t="shared" ca="1" si="100"/>
        <v>#N/A</v>
      </c>
      <c r="I892" t="e">
        <f t="shared" ca="1" si="101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2"/>
        <v>0</v>
      </c>
      <c r="Y892">
        <f t="shared" ca="1" si="103"/>
        <v>0</v>
      </c>
      <c r="AA892" s="63" t="e">
        <f t="shared" ca="1" si="104"/>
        <v>#N/A</v>
      </c>
      <c r="AB892" s="63" t="e">
        <f t="shared" ca="1" si="105"/>
        <v>#N/A</v>
      </c>
      <c r="AC892" s="3" t="e">
        <f t="shared" ca="1" si="106"/>
        <v>#N/A</v>
      </c>
    </row>
    <row r="893" spans="8:29">
      <c r="H893" t="e">
        <f t="shared" ca="1" si="100"/>
        <v>#N/A</v>
      </c>
      <c r="I893" t="e">
        <f t="shared" ca="1" si="101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2"/>
        <v>0</v>
      </c>
      <c r="Y893">
        <f t="shared" ca="1" si="103"/>
        <v>0</v>
      </c>
      <c r="AA893" s="63" t="e">
        <f t="shared" ca="1" si="104"/>
        <v>#N/A</v>
      </c>
      <c r="AB893" s="63" t="e">
        <f t="shared" ca="1" si="105"/>
        <v>#N/A</v>
      </c>
      <c r="AC893" s="3" t="e">
        <f t="shared" ca="1" si="106"/>
        <v>#N/A</v>
      </c>
    </row>
    <row r="894" spans="8:29">
      <c r="H894" t="e">
        <f t="shared" ca="1" si="100"/>
        <v>#N/A</v>
      </c>
      <c r="I894" t="e">
        <f t="shared" ca="1" si="101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2"/>
        <v>0</v>
      </c>
      <c r="Y894">
        <f t="shared" ca="1" si="103"/>
        <v>0</v>
      </c>
      <c r="AA894" s="63" t="e">
        <f t="shared" ca="1" si="104"/>
        <v>#N/A</v>
      </c>
      <c r="AB894" s="63" t="e">
        <f t="shared" ca="1" si="105"/>
        <v>#N/A</v>
      </c>
      <c r="AC894" s="3" t="e">
        <f t="shared" ca="1" si="106"/>
        <v>#N/A</v>
      </c>
    </row>
    <row r="895" spans="8:29">
      <c r="H895" t="e">
        <f t="shared" ca="1" si="100"/>
        <v>#N/A</v>
      </c>
      <c r="I895" t="e">
        <f t="shared" ca="1" si="101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2"/>
        <v>0</v>
      </c>
      <c r="Y895">
        <f t="shared" ca="1" si="103"/>
        <v>0</v>
      </c>
      <c r="AA895" s="63" t="e">
        <f t="shared" ca="1" si="104"/>
        <v>#N/A</v>
      </c>
      <c r="AB895" s="63" t="e">
        <f t="shared" ca="1" si="105"/>
        <v>#N/A</v>
      </c>
      <c r="AC895" s="3" t="e">
        <f t="shared" ca="1" si="106"/>
        <v>#N/A</v>
      </c>
    </row>
    <row r="896" spans="8:29">
      <c r="H896" t="e">
        <f t="shared" ca="1" si="100"/>
        <v>#N/A</v>
      </c>
      <c r="I896" t="e">
        <f t="shared" ca="1" si="101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2"/>
        <v>0</v>
      </c>
      <c r="Y896">
        <f t="shared" ca="1" si="103"/>
        <v>0</v>
      </c>
      <c r="AA896" s="63" t="e">
        <f t="shared" ca="1" si="104"/>
        <v>#N/A</v>
      </c>
      <c r="AB896" s="63" t="e">
        <f t="shared" ca="1" si="105"/>
        <v>#N/A</v>
      </c>
      <c r="AC896" s="3" t="e">
        <f t="shared" ca="1" si="106"/>
        <v>#N/A</v>
      </c>
    </row>
    <row r="897" spans="8:29">
      <c r="H897" t="e">
        <f t="shared" ca="1" si="100"/>
        <v>#N/A</v>
      </c>
      <c r="I897" t="e">
        <f t="shared" ca="1" si="101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2"/>
        <v>0</v>
      </c>
      <c r="Y897">
        <f t="shared" ca="1" si="103"/>
        <v>0</v>
      </c>
      <c r="AA897" s="63" t="e">
        <f t="shared" ca="1" si="104"/>
        <v>#N/A</v>
      </c>
      <c r="AB897" s="63" t="e">
        <f t="shared" ca="1" si="105"/>
        <v>#N/A</v>
      </c>
      <c r="AC897" s="3" t="e">
        <f t="shared" ca="1" si="106"/>
        <v>#N/A</v>
      </c>
    </row>
    <row r="898" spans="8:29">
      <c r="H898" t="e">
        <f t="shared" ca="1" si="100"/>
        <v>#N/A</v>
      </c>
      <c r="I898" t="e">
        <f t="shared" ca="1" si="101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2"/>
        <v>0</v>
      </c>
      <c r="Y898">
        <f t="shared" ca="1" si="103"/>
        <v>0</v>
      </c>
      <c r="AA898" s="63" t="e">
        <f t="shared" ca="1" si="104"/>
        <v>#N/A</v>
      </c>
      <c r="AB898" s="63" t="e">
        <f t="shared" ca="1" si="105"/>
        <v>#N/A</v>
      </c>
      <c r="AC898" s="3" t="e">
        <f t="shared" ca="1" si="106"/>
        <v>#N/A</v>
      </c>
    </row>
    <row r="899" spans="8:29">
      <c r="H899" t="e">
        <f t="shared" ca="1" si="100"/>
        <v>#N/A</v>
      </c>
      <c r="I899" t="e">
        <f t="shared" ca="1" si="101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2"/>
        <v>0</v>
      </c>
      <c r="Y899">
        <f t="shared" ca="1" si="103"/>
        <v>0</v>
      </c>
      <c r="AA899" s="63" t="e">
        <f t="shared" ca="1" si="104"/>
        <v>#N/A</v>
      </c>
      <c r="AB899" s="63" t="e">
        <f t="shared" ca="1" si="105"/>
        <v>#N/A</v>
      </c>
      <c r="AC899" s="3" t="e">
        <f t="shared" ca="1" si="106"/>
        <v>#N/A</v>
      </c>
    </row>
    <row r="900" spans="8:29">
      <c r="H900" t="e">
        <f t="shared" ca="1" si="100"/>
        <v>#N/A</v>
      </c>
      <c r="I900" t="e">
        <f t="shared" ca="1" si="101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2"/>
        <v>0</v>
      </c>
      <c r="Y900">
        <f t="shared" ca="1" si="103"/>
        <v>0</v>
      </c>
      <c r="AA900" s="63" t="e">
        <f t="shared" ca="1" si="104"/>
        <v>#N/A</v>
      </c>
      <c r="AB900" s="63" t="e">
        <f t="shared" ca="1" si="105"/>
        <v>#N/A</v>
      </c>
      <c r="AC900" s="3" t="e">
        <f t="shared" ca="1" si="106"/>
        <v>#N/A</v>
      </c>
    </row>
    <row r="901" spans="8:29">
      <c r="H901" t="e">
        <f t="shared" ca="1" si="100"/>
        <v>#N/A</v>
      </c>
      <c r="I901" t="e">
        <f t="shared" ca="1" si="101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2"/>
        <v>0</v>
      </c>
      <c r="Y901">
        <f t="shared" ca="1" si="103"/>
        <v>0</v>
      </c>
      <c r="AA901" s="63" t="e">
        <f t="shared" ca="1" si="104"/>
        <v>#N/A</v>
      </c>
      <c r="AB901" s="63" t="e">
        <f t="shared" ca="1" si="105"/>
        <v>#N/A</v>
      </c>
      <c r="AC901" s="3" t="e">
        <f t="shared" ca="1" si="106"/>
        <v>#N/A</v>
      </c>
    </row>
    <row r="902" spans="8:29">
      <c r="H902" t="e">
        <f t="shared" ca="1" si="100"/>
        <v>#N/A</v>
      </c>
      <c r="I902" t="e">
        <f t="shared" ca="1" si="101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2"/>
        <v>0</v>
      </c>
      <c r="Y902">
        <f t="shared" ca="1" si="103"/>
        <v>0</v>
      </c>
      <c r="AA902" s="63" t="e">
        <f t="shared" ca="1" si="104"/>
        <v>#N/A</v>
      </c>
      <c r="AB902" s="63" t="e">
        <f t="shared" ca="1" si="105"/>
        <v>#N/A</v>
      </c>
      <c r="AC902" s="3" t="e">
        <f t="shared" ca="1" si="106"/>
        <v>#N/A</v>
      </c>
    </row>
    <row r="903" spans="8:29">
      <c r="H903" t="e">
        <f t="shared" ca="1" si="100"/>
        <v>#N/A</v>
      </c>
      <c r="I903" t="e">
        <f t="shared" ca="1" si="101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2"/>
        <v>0</v>
      </c>
      <c r="Y903">
        <f t="shared" ca="1" si="103"/>
        <v>0</v>
      </c>
      <c r="AA903" s="63" t="e">
        <f t="shared" ca="1" si="104"/>
        <v>#N/A</v>
      </c>
      <c r="AB903" s="63" t="e">
        <f t="shared" ca="1" si="105"/>
        <v>#N/A</v>
      </c>
      <c r="AC903" s="3" t="e">
        <f t="shared" ca="1" si="106"/>
        <v>#N/A</v>
      </c>
    </row>
    <row r="904" spans="8:29">
      <c r="H904" t="e">
        <f t="shared" ca="1" si="100"/>
        <v>#N/A</v>
      </c>
      <c r="I904" t="e">
        <f t="shared" ca="1" si="101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2"/>
        <v>0</v>
      </c>
      <c r="Y904">
        <f t="shared" ca="1" si="103"/>
        <v>0</v>
      </c>
      <c r="AA904" s="63" t="e">
        <f t="shared" ca="1" si="104"/>
        <v>#N/A</v>
      </c>
      <c r="AB904" s="63" t="e">
        <f t="shared" ca="1" si="105"/>
        <v>#N/A</v>
      </c>
      <c r="AC904" s="3" t="e">
        <f t="shared" ca="1" si="106"/>
        <v>#N/A</v>
      </c>
    </row>
    <row r="905" spans="8:29">
      <c r="H905" t="e">
        <f t="shared" ca="1" si="100"/>
        <v>#N/A</v>
      </c>
      <c r="I905" t="e">
        <f t="shared" ca="1" si="101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2"/>
        <v>0</v>
      </c>
      <c r="Y905">
        <f t="shared" ca="1" si="103"/>
        <v>0</v>
      </c>
      <c r="AA905" s="63" t="e">
        <f t="shared" ca="1" si="104"/>
        <v>#N/A</v>
      </c>
      <c r="AB905" s="63" t="e">
        <f t="shared" ca="1" si="105"/>
        <v>#N/A</v>
      </c>
      <c r="AC905" s="3" t="e">
        <f t="shared" ca="1" si="106"/>
        <v>#N/A</v>
      </c>
    </row>
    <row r="906" spans="8:29">
      <c r="H906" t="e">
        <f t="shared" ca="1" si="100"/>
        <v>#N/A</v>
      </c>
      <c r="I906" t="e">
        <f t="shared" ca="1" si="101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2"/>
        <v>0</v>
      </c>
      <c r="Y906">
        <f t="shared" ca="1" si="103"/>
        <v>0</v>
      </c>
      <c r="AA906" s="63" t="e">
        <f t="shared" ca="1" si="104"/>
        <v>#N/A</v>
      </c>
      <c r="AB906" s="63" t="e">
        <f t="shared" ca="1" si="105"/>
        <v>#N/A</v>
      </c>
      <c r="AC906" s="3" t="e">
        <f t="shared" ca="1" si="106"/>
        <v>#N/A</v>
      </c>
    </row>
    <row r="907" spans="8:29">
      <c r="H907" t="e">
        <f t="shared" ca="1" si="100"/>
        <v>#N/A</v>
      </c>
      <c r="I907" t="e">
        <f t="shared" ca="1" si="101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2"/>
        <v>0</v>
      </c>
      <c r="Y907">
        <f t="shared" ca="1" si="103"/>
        <v>0</v>
      </c>
      <c r="AA907" s="63" t="e">
        <f t="shared" ca="1" si="104"/>
        <v>#N/A</v>
      </c>
      <c r="AB907" s="63" t="e">
        <f t="shared" ca="1" si="105"/>
        <v>#N/A</v>
      </c>
      <c r="AC907" s="3" t="e">
        <f t="shared" ca="1" si="106"/>
        <v>#N/A</v>
      </c>
    </row>
    <row r="908" spans="8:29">
      <c r="H908" t="e">
        <f t="shared" ca="1" si="100"/>
        <v>#N/A</v>
      </c>
      <c r="I908" t="e">
        <f t="shared" ca="1" si="101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2"/>
        <v>0</v>
      </c>
      <c r="Y908">
        <f t="shared" ca="1" si="103"/>
        <v>0</v>
      </c>
      <c r="AA908" s="63" t="e">
        <f t="shared" ca="1" si="104"/>
        <v>#N/A</v>
      </c>
      <c r="AB908" s="63" t="e">
        <f t="shared" ca="1" si="105"/>
        <v>#N/A</v>
      </c>
      <c r="AC908" s="3" t="e">
        <f t="shared" ca="1" si="106"/>
        <v>#N/A</v>
      </c>
    </row>
    <row r="909" spans="8:29">
      <c r="H909" t="e">
        <f t="shared" ca="1" si="100"/>
        <v>#N/A</v>
      </c>
      <c r="I909" t="e">
        <f t="shared" ca="1" si="101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2"/>
        <v>0</v>
      </c>
      <c r="Y909">
        <f t="shared" ca="1" si="103"/>
        <v>0</v>
      </c>
      <c r="AA909" s="63" t="e">
        <f t="shared" ca="1" si="104"/>
        <v>#N/A</v>
      </c>
      <c r="AB909" s="63" t="e">
        <f t="shared" ca="1" si="105"/>
        <v>#N/A</v>
      </c>
      <c r="AC909" s="3" t="e">
        <f t="shared" ca="1" si="106"/>
        <v>#N/A</v>
      </c>
    </row>
    <row r="910" spans="8:29">
      <c r="H910" t="e">
        <f t="shared" ca="1" si="100"/>
        <v>#N/A</v>
      </c>
      <c r="I910" t="e">
        <f t="shared" ca="1" si="101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2"/>
        <v>0</v>
      </c>
      <c r="Y910">
        <f t="shared" ca="1" si="103"/>
        <v>0</v>
      </c>
      <c r="AA910" s="63" t="e">
        <f t="shared" ca="1" si="104"/>
        <v>#N/A</v>
      </c>
      <c r="AB910" s="63" t="e">
        <f t="shared" ca="1" si="105"/>
        <v>#N/A</v>
      </c>
      <c r="AC910" s="3" t="e">
        <f t="shared" ca="1" si="106"/>
        <v>#N/A</v>
      </c>
    </row>
    <row r="911" spans="8:29">
      <c r="H911" t="e">
        <f t="shared" ca="1" si="100"/>
        <v>#N/A</v>
      </c>
      <c r="I911" t="e">
        <f t="shared" ca="1" si="101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2"/>
        <v>0</v>
      </c>
      <c r="Y911">
        <f t="shared" ca="1" si="103"/>
        <v>0</v>
      </c>
      <c r="AA911" s="63" t="e">
        <f t="shared" ca="1" si="104"/>
        <v>#N/A</v>
      </c>
      <c r="AB911" s="63" t="e">
        <f t="shared" ca="1" si="105"/>
        <v>#N/A</v>
      </c>
      <c r="AC911" s="3" t="e">
        <f t="shared" ca="1" si="106"/>
        <v>#N/A</v>
      </c>
    </row>
    <row r="912" spans="8:29">
      <c r="H912" t="e">
        <f t="shared" ca="1" si="100"/>
        <v>#N/A</v>
      </c>
      <c r="I912" t="e">
        <f t="shared" ca="1" si="101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2"/>
        <v>0</v>
      </c>
      <c r="Y912">
        <f t="shared" ca="1" si="103"/>
        <v>0</v>
      </c>
      <c r="AA912" s="63" t="e">
        <f t="shared" ca="1" si="104"/>
        <v>#N/A</v>
      </c>
      <c r="AB912" s="63" t="e">
        <f t="shared" ca="1" si="105"/>
        <v>#N/A</v>
      </c>
      <c r="AC912" s="3" t="e">
        <f t="shared" ca="1" si="106"/>
        <v>#N/A</v>
      </c>
    </row>
    <row r="913" spans="8:29">
      <c r="H913" t="e">
        <f t="shared" ca="1" si="100"/>
        <v>#N/A</v>
      </c>
      <c r="I913" t="e">
        <f t="shared" ca="1" si="101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2"/>
        <v>0</v>
      </c>
      <c r="Y913">
        <f t="shared" ca="1" si="103"/>
        <v>0</v>
      </c>
      <c r="AA913" s="63" t="e">
        <f t="shared" ca="1" si="104"/>
        <v>#N/A</v>
      </c>
      <c r="AB913" s="63" t="e">
        <f t="shared" ca="1" si="105"/>
        <v>#N/A</v>
      </c>
      <c r="AC913" s="3" t="e">
        <f t="shared" ca="1" si="106"/>
        <v>#N/A</v>
      </c>
    </row>
    <row r="914" spans="8:29">
      <c r="H914" t="e">
        <f t="shared" ca="1" si="100"/>
        <v>#N/A</v>
      </c>
      <c r="I914" t="e">
        <f t="shared" ca="1" si="101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2"/>
        <v>0</v>
      </c>
      <c r="Y914">
        <f t="shared" ca="1" si="103"/>
        <v>0</v>
      </c>
      <c r="AA914" s="63" t="e">
        <f t="shared" ca="1" si="104"/>
        <v>#N/A</v>
      </c>
      <c r="AB914" s="63" t="e">
        <f t="shared" ca="1" si="105"/>
        <v>#N/A</v>
      </c>
      <c r="AC914" s="3" t="e">
        <f t="shared" ca="1" si="106"/>
        <v>#N/A</v>
      </c>
    </row>
    <row r="915" spans="8:29">
      <c r="H915" t="e">
        <f t="shared" ca="1" si="100"/>
        <v>#N/A</v>
      </c>
      <c r="I915" t="e">
        <f t="shared" ca="1" si="101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2"/>
        <v>0</v>
      </c>
      <c r="Y915">
        <f t="shared" ca="1" si="103"/>
        <v>0</v>
      </c>
      <c r="AA915" s="63" t="e">
        <f t="shared" ca="1" si="104"/>
        <v>#N/A</v>
      </c>
      <c r="AB915" s="63" t="e">
        <f t="shared" ca="1" si="105"/>
        <v>#N/A</v>
      </c>
      <c r="AC915" s="3" t="e">
        <f t="shared" ca="1" si="106"/>
        <v>#N/A</v>
      </c>
    </row>
    <row r="916" spans="8:29">
      <c r="H916" t="e">
        <f t="shared" ca="1" si="100"/>
        <v>#N/A</v>
      </c>
      <c r="I916" t="e">
        <f t="shared" ca="1" si="101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2"/>
        <v>0</v>
      </c>
      <c r="Y916">
        <f t="shared" ca="1" si="103"/>
        <v>0</v>
      </c>
      <c r="AA916" s="63" t="e">
        <f t="shared" ca="1" si="104"/>
        <v>#N/A</v>
      </c>
      <c r="AB916" s="63" t="e">
        <f t="shared" ca="1" si="105"/>
        <v>#N/A</v>
      </c>
      <c r="AC916" s="3" t="e">
        <f t="shared" ca="1" si="106"/>
        <v>#N/A</v>
      </c>
    </row>
    <row r="917" spans="8:29">
      <c r="H917" t="e">
        <f t="shared" ca="1" si="100"/>
        <v>#N/A</v>
      </c>
      <c r="I917" t="e">
        <f t="shared" ca="1" si="101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2"/>
        <v>0</v>
      </c>
      <c r="Y917">
        <f t="shared" ca="1" si="103"/>
        <v>0</v>
      </c>
      <c r="AA917" s="63" t="e">
        <f t="shared" ca="1" si="104"/>
        <v>#N/A</v>
      </c>
      <c r="AB917" s="63" t="e">
        <f t="shared" ca="1" si="105"/>
        <v>#N/A</v>
      </c>
      <c r="AC917" s="3" t="e">
        <f t="shared" ca="1" si="106"/>
        <v>#N/A</v>
      </c>
    </row>
    <row r="918" spans="8:29">
      <c r="H918" t="e">
        <f t="shared" ca="1" si="100"/>
        <v>#N/A</v>
      </c>
      <c r="I918" t="e">
        <f t="shared" ca="1" si="101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2"/>
        <v>0</v>
      </c>
      <c r="Y918">
        <f t="shared" ca="1" si="103"/>
        <v>0</v>
      </c>
      <c r="AA918" s="63" t="e">
        <f t="shared" ca="1" si="104"/>
        <v>#N/A</v>
      </c>
      <c r="AB918" s="63" t="e">
        <f t="shared" ca="1" si="105"/>
        <v>#N/A</v>
      </c>
      <c r="AC918" s="3" t="e">
        <f t="shared" ca="1" si="106"/>
        <v>#N/A</v>
      </c>
    </row>
    <row r="919" spans="8:29">
      <c r="H919" t="e">
        <f t="shared" ca="1" si="100"/>
        <v>#N/A</v>
      </c>
      <c r="I919" t="e">
        <f t="shared" ca="1" si="101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2"/>
        <v>0</v>
      </c>
      <c r="Y919">
        <f t="shared" ca="1" si="103"/>
        <v>0</v>
      </c>
      <c r="AA919" s="63" t="e">
        <f t="shared" ca="1" si="104"/>
        <v>#N/A</v>
      </c>
      <c r="AB919" s="63" t="e">
        <f t="shared" ca="1" si="105"/>
        <v>#N/A</v>
      </c>
      <c r="AC919" s="3" t="e">
        <f t="shared" ca="1" si="106"/>
        <v>#N/A</v>
      </c>
    </row>
    <row r="920" spans="8:29">
      <c r="H920" t="e">
        <f t="shared" ca="1" si="100"/>
        <v>#N/A</v>
      </c>
      <c r="I920" t="e">
        <f t="shared" ca="1" si="101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2"/>
        <v>0</v>
      </c>
      <c r="Y920">
        <f t="shared" ca="1" si="103"/>
        <v>0</v>
      </c>
      <c r="AA920" s="63" t="e">
        <f t="shared" ca="1" si="104"/>
        <v>#N/A</v>
      </c>
      <c r="AB920" s="63" t="e">
        <f t="shared" ca="1" si="105"/>
        <v>#N/A</v>
      </c>
      <c r="AC920" s="3" t="e">
        <f t="shared" ca="1" si="106"/>
        <v>#N/A</v>
      </c>
    </row>
    <row r="921" spans="8:29">
      <c r="H921" t="e">
        <f t="shared" ca="1" si="100"/>
        <v>#N/A</v>
      </c>
      <c r="I921" t="e">
        <f t="shared" ca="1" si="101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2"/>
        <v>0</v>
      </c>
      <c r="Y921">
        <f t="shared" ca="1" si="103"/>
        <v>0</v>
      </c>
      <c r="AA921" s="63" t="e">
        <f t="shared" ca="1" si="104"/>
        <v>#N/A</v>
      </c>
      <c r="AB921" s="63" t="e">
        <f t="shared" ca="1" si="105"/>
        <v>#N/A</v>
      </c>
      <c r="AC921" s="3" t="e">
        <f t="shared" ca="1" si="106"/>
        <v>#N/A</v>
      </c>
    </row>
    <row r="922" spans="8:29">
      <c r="H922" t="e">
        <f t="shared" ca="1" si="100"/>
        <v>#N/A</v>
      </c>
      <c r="I922" t="e">
        <f t="shared" ca="1" si="101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2"/>
        <v>0</v>
      </c>
      <c r="Y922">
        <f t="shared" ca="1" si="103"/>
        <v>0</v>
      </c>
      <c r="AA922" s="63" t="e">
        <f t="shared" ca="1" si="104"/>
        <v>#N/A</v>
      </c>
      <c r="AB922" s="63" t="e">
        <f t="shared" ca="1" si="105"/>
        <v>#N/A</v>
      </c>
      <c r="AC922" s="3" t="e">
        <f t="shared" ca="1" si="106"/>
        <v>#N/A</v>
      </c>
    </row>
    <row r="923" spans="8:29">
      <c r="H923" t="e">
        <f t="shared" ca="1" si="100"/>
        <v>#N/A</v>
      </c>
      <c r="I923" t="e">
        <f t="shared" ca="1" si="101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2"/>
        <v>0</v>
      </c>
      <c r="Y923">
        <f t="shared" ca="1" si="103"/>
        <v>0</v>
      </c>
      <c r="AA923" s="63" t="e">
        <f t="shared" ca="1" si="104"/>
        <v>#N/A</v>
      </c>
      <c r="AB923" s="63" t="e">
        <f t="shared" ca="1" si="105"/>
        <v>#N/A</v>
      </c>
      <c r="AC923" s="3" t="e">
        <f t="shared" ca="1" si="106"/>
        <v>#N/A</v>
      </c>
    </row>
    <row r="924" spans="8:29">
      <c r="H924" t="e">
        <f t="shared" ca="1" si="100"/>
        <v>#N/A</v>
      </c>
      <c r="I924" t="e">
        <f t="shared" ca="1" si="101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2"/>
        <v>0</v>
      </c>
      <c r="Y924">
        <f t="shared" ca="1" si="103"/>
        <v>0</v>
      </c>
      <c r="AA924" s="63" t="e">
        <f t="shared" ca="1" si="104"/>
        <v>#N/A</v>
      </c>
      <c r="AB924" s="63" t="e">
        <f t="shared" ca="1" si="105"/>
        <v>#N/A</v>
      </c>
      <c r="AC924" s="3" t="e">
        <f t="shared" ca="1" si="106"/>
        <v>#N/A</v>
      </c>
    </row>
    <row r="925" spans="8:29">
      <c r="H925" t="e">
        <f t="shared" ca="1" si="100"/>
        <v>#N/A</v>
      </c>
      <c r="I925" t="e">
        <f t="shared" ca="1" si="101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2"/>
        <v>0</v>
      </c>
      <c r="Y925">
        <f t="shared" ca="1" si="103"/>
        <v>0</v>
      </c>
      <c r="AA925" s="63" t="e">
        <f t="shared" ca="1" si="104"/>
        <v>#N/A</v>
      </c>
      <c r="AB925" s="63" t="e">
        <f t="shared" ca="1" si="105"/>
        <v>#N/A</v>
      </c>
      <c r="AC925" s="3" t="e">
        <f t="shared" ca="1" si="106"/>
        <v>#N/A</v>
      </c>
    </row>
    <row r="926" spans="8:29">
      <c r="H926" t="e">
        <f t="shared" ca="1" si="100"/>
        <v>#N/A</v>
      </c>
      <c r="I926" t="e">
        <f t="shared" ca="1" si="101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2"/>
        <v>0</v>
      </c>
      <c r="Y926">
        <f t="shared" ca="1" si="103"/>
        <v>0</v>
      </c>
      <c r="AA926" s="63" t="e">
        <f t="shared" ca="1" si="104"/>
        <v>#N/A</v>
      </c>
      <c r="AB926" s="63" t="e">
        <f t="shared" ca="1" si="105"/>
        <v>#N/A</v>
      </c>
      <c r="AC926" s="3" t="e">
        <f t="shared" ca="1" si="106"/>
        <v>#N/A</v>
      </c>
    </row>
    <row r="927" spans="8:29">
      <c r="H927" t="e">
        <f t="shared" ca="1" si="100"/>
        <v>#N/A</v>
      </c>
      <c r="I927" t="e">
        <f t="shared" ca="1" si="101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2"/>
        <v>0</v>
      </c>
      <c r="Y927">
        <f t="shared" ca="1" si="103"/>
        <v>0</v>
      </c>
      <c r="AA927" s="63" t="e">
        <f t="shared" ca="1" si="104"/>
        <v>#N/A</v>
      </c>
      <c r="AB927" s="63" t="e">
        <f t="shared" ca="1" si="105"/>
        <v>#N/A</v>
      </c>
      <c r="AC927" s="3" t="e">
        <f t="shared" ca="1" si="106"/>
        <v>#N/A</v>
      </c>
    </row>
    <row r="928" spans="8:29">
      <c r="H928" t="e">
        <f t="shared" ca="1" si="100"/>
        <v>#N/A</v>
      </c>
      <c r="I928" t="e">
        <f t="shared" ca="1" si="101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2"/>
        <v>0</v>
      </c>
      <c r="Y928">
        <f t="shared" ca="1" si="103"/>
        <v>0</v>
      </c>
      <c r="AA928" s="63" t="e">
        <f t="shared" ca="1" si="104"/>
        <v>#N/A</v>
      </c>
      <c r="AB928" s="63" t="e">
        <f t="shared" ca="1" si="105"/>
        <v>#N/A</v>
      </c>
      <c r="AC928" s="3" t="e">
        <f t="shared" ca="1" si="106"/>
        <v>#N/A</v>
      </c>
    </row>
    <row r="929" spans="8:29">
      <c r="H929" t="e">
        <f t="shared" ca="1" si="100"/>
        <v>#N/A</v>
      </c>
      <c r="I929" t="e">
        <f t="shared" ca="1" si="101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2"/>
        <v>0</v>
      </c>
      <c r="Y929">
        <f t="shared" ca="1" si="103"/>
        <v>0</v>
      </c>
      <c r="AA929" s="63" t="e">
        <f t="shared" ca="1" si="104"/>
        <v>#N/A</v>
      </c>
      <c r="AB929" s="63" t="e">
        <f t="shared" ca="1" si="105"/>
        <v>#N/A</v>
      </c>
      <c r="AC929" s="3" t="e">
        <f t="shared" ca="1" si="106"/>
        <v>#N/A</v>
      </c>
    </row>
    <row r="930" spans="8:29">
      <c r="H930" t="e">
        <f t="shared" ca="1" si="100"/>
        <v>#N/A</v>
      </c>
      <c r="I930" t="e">
        <f t="shared" ca="1" si="101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2"/>
        <v>0</v>
      </c>
      <c r="Y930">
        <f t="shared" ca="1" si="103"/>
        <v>0</v>
      </c>
      <c r="AA930" s="63" t="e">
        <f t="shared" ca="1" si="104"/>
        <v>#N/A</v>
      </c>
      <c r="AB930" s="63" t="e">
        <f t="shared" ca="1" si="105"/>
        <v>#N/A</v>
      </c>
      <c r="AC930" s="3" t="e">
        <f t="shared" ca="1" si="106"/>
        <v>#N/A</v>
      </c>
    </row>
    <row r="931" spans="8:29">
      <c r="H931" t="e">
        <f t="shared" ca="1" si="100"/>
        <v>#N/A</v>
      </c>
      <c r="I931" t="e">
        <f t="shared" ca="1" si="101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2"/>
        <v>0</v>
      </c>
      <c r="Y931">
        <f t="shared" ca="1" si="103"/>
        <v>0</v>
      </c>
      <c r="AA931" s="63" t="e">
        <f t="shared" ca="1" si="104"/>
        <v>#N/A</v>
      </c>
      <c r="AB931" s="63" t="e">
        <f t="shared" ca="1" si="105"/>
        <v>#N/A</v>
      </c>
      <c r="AC931" s="3" t="e">
        <f t="shared" ca="1" si="106"/>
        <v>#N/A</v>
      </c>
    </row>
    <row r="932" spans="8:29">
      <c r="H932" t="e">
        <f t="shared" ca="1" si="100"/>
        <v>#N/A</v>
      </c>
      <c r="I932" t="e">
        <f t="shared" ca="1" si="101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2"/>
        <v>0</v>
      </c>
      <c r="Y932">
        <f t="shared" ca="1" si="103"/>
        <v>0</v>
      </c>
      <c r="AA932" s="63" t="e">
        <f t="shared" ca="1" si="104"/>
        <v>#N/A</v>
      </c>
      <c r="AB932" s="63" t="e">
        <f t="shared" ca="1" si="105"/>
        <v>#N/A</v>
      </c>
      <c r="AC932" s="3" t="e">
        <f t="shared" ca="1" si="106"/>
        <v>#N/A</v>
      </c>
    </row>
    <row r="933" spans="8:29">
      <c r="H933" t="e">
        <f t="shared" ca="1" si="100"/>
        <v>#N/A</v>
      </c>
      <c r="I933" t="e">
        <f t="shared" ca="1" si="101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2"/>
        <v>0</v>
      </c>
      <c r="Y933">
        <f t="shared" ca="1" si="103"/>
        <v>0</v>
      </c>
      <c r="AA933" s="63" t="e">
        <f t="shared" ca="1" si="104"/>
        <v>#N/A</v>
      </c>
      <c r="AB933" s="63" t="e">
        <f t="shared" ca="1" si="105"/>
        <v>#N/A</v>
      </c>
      <c r="AC933" s="3" t="e">
        <f t="shared" ca="1" si="106"/>
        <v>#N/A</v>
      </c>
    </row>
    <row r="934" spans="8:29">
      <c r="H934" t="e">
        <f t="shared" ca="1" si="100"/>
        <v>#N/A</v>
      </c>
      <c r="I934" t="e">
        <f t="shared" ca="1" si="101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2"/>
        <v>0</v>
      </c>
      <c r="Y934">
        <f t="shared" ca="1" si="103"/>
        <v>0</v>
      </c>
      <c r="AA934" s="63" t="e">
        <f t="shared" ca="1" si="104"/>
        <v>#N/A</v>
      </c>
      <c r="AB934" s="63" t="e">
        <f t="shared" ca="1" si="105"/>
        <v>#N/A</v>
      </c>
      <c r="AC934" s="3" t="e">
        <f t="shared" ca="1" si="106"/>
        <v>#N/A</v>
      </c>
    </row>
    <row r="935" spans="8:29">
      <c r="H935" t="e">
        <f t="shared" ca="1" si="100"/>
        <v>#N/A</v>
      </c>
      <c r="I935" t="e">
        <f t="shared" ca="1" si="101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2"/>
        <v>0</v>
      </c>
      <c r="Y935">
        <f t="shared" ca="1" si="103"/>
        <v>0</v>
      </c>
      <c r="AA935" s="63" t="e">
        <f t="shared" ca="1" si="104"/>
        <v>#N/A</v>
      </c>
      <c r="AB935" s="63" t="e">
        <f t="shared" ca="1" si="105"/>
        <v>#N/A</v>
      </c>
      <c r="AC935" s="3" t="e">
        <f t="shared" ca="1" si="106"/>
        <v>#N/A</v>
      </c>
    </row>
    <row r="936" spans="8:29">
      <c r="H936" t="e">
        <f t="shared" ca="1" si="100"/>
        <v>#N/A</v>
      </c>
      <c r="I936" t="e">
        <f t="shared" ca="1" si="101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2"/>
        <v>0</v>
      </c>
      <c r="Y936">
        <f t="shared" ca="1" si="103"/>
        <v>0</v>
      </c>
      <c r="AA936" s="63" t="e">
        <f t="shared" ca="1" si="104"/>
        <v>#N/A</v>
      </c>
      <c r="AB936" s="63" t="e">
        <f t="shared" ca="1" si="105"/>
        <v>#N/A</v>
      </c>
      <c r="AC936" s="3" t="e">
        <f t="shared" ca="1" si="106"/>
        <v>#N/A</v>
      </c>
    </row>
    <row r="937" spans="8:29">
      <c r="H937" t="e">
        <f t="shared" ca="1" si="100"/>
        <v>#N/A</v>
      </c>
      <c r="I937" t="e">
        <f t="shared" ca="1" si="101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2"/>
        <v>0</v>
      </c>
      <c r="Y937">
        <f t="shared" ca="1" si="103"/>
        <v>0</v>
      </c>
      <c r="AA937" s="63" t="e">
        <f t="shared" ca="1" si="104"/>
        <v>#N/A</v>
      </c>
      <c r="AB937" s="63" t="e">
        <f t="shared" ca="1" si="105"/>
        <v>#N/A</v>
      </c>
      <c r="AC937" s="3" t="e">
        <f t="shared" ca="1" si="106"/>
        <v>#N/A</v>
      </c>
    </row>
    <row r="938" spans="8:29">
      <c r="H938" t="e">
        <f t="shared" ca="1" si="100"/>
        <v>#N/A</v>
      </c>
      <c r="I938" t="e">
        <f t="shared" ca="1" si="101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2"/>
        <v>0</v>
      </c>
      <c r="Y938">
        <f t="shared" ca="1" si="103"/>
        <v>0</v>
      </c>
      <c r="AA938" s="63" t="e">
        <f t="shared" ca="1" si="104"/>
        <v>#N/A</v>
      </c>
      <c r="AB938" s="63" t="e">
        <f t="shared" ca="1" si="105"/>
        <v>#N/A</v>
      </c>
      <c r="AC938" s="3" t="e">
        <f t="shared" ca="1" si="106"/>
        <v>#N/A</v>
      </c>
    </row>
    <row r="939" spans="8:29">
      <c r="H939" t="e">
        <f t="shared" ca="1" si="100"/>
        <v>#N/A</v>
      </c>
      <c r="I939" t="e">
        <f t="shared" ca="1" si="101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2"/>
        <v>0</v>
      </c>
      <c r="Y939">
        <f t="shared" ca="1" si="103"/>
        <v>0</v>
      </c>
      <c r="AA939" s="63" t="e">
        <f t="shared" ca="1" si="104"/>
        <v>#N/A</v>
      </c>
      <c r="AB939" s="63" t="e">
        <f t="shared" ca="1" si="105"/>
        <v>#N/A</v>
      </c>
      <c r="AC939" s="3" t="e">
        <f t="shared" ca="1" si="106"/>
        <v>#N/A</v>
      </c>
    </row>
    <row r="940" spans="8:29">
      <c r="H940" t="e">
        <f t="shared" ca="1" si="100"/>
        <v>#N/A</v>
      </c>
      <c r="I940" t="e">
        <f t="shared" ca="1" si="101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2"/>
        <v>0</v>
      </c>
      <c r="Y940">
        <f t="shared" ca="1" si="103"/>
        <v>0</v>
      </c>
      <c r="AA940" s="63" t="e">
        <f t="shared" ca="1" si="104"/>
        <v>#N/A</v>
      </c>
      <c r="AB940" s="63" t="e">
        <f t="shared" ca="1" si="105"/>
        <v>#N/A</v>
      </c>
      <c r="AC940" s="3" t="e">
        <f t="shared" ca="1" si="106"/>
        <v>#N/A</v>
      </c>
    </row>
    <row r="941" spans="8:29">
      <c r="H941" t="e">
        <f t="shared" ca="1" si="100"/>
        <v>#N/A</v>
      </c>
      <c r="I941" t="e">
        <f t="shared" ca="1" si="101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2"/>
        <v>0</v>
      </c>
      <c r="Y941">
        <f t="shared" ca="1" si="103"/>
        <v>0</v>
      </c>
      <c r="AA941" s="63" t="e">
        <f t="shared" ca="1" si="104"/>
        <v>#N/A</v>
      </c>
      <c r="AB941" s="63" t="e">
        <f t="shared" ca="1" si="105"/>
        <v>#N/A</v>
      </c>
      <c r="AC941" s="3" t="e">
        <f t="shared" ca="1" si="106"/>
        <v>#N/A</v>
      </c>
    </row>
    <row r="942" spans="8:29">
      <c r="H942" t="e">
        <f t="shared" ca="1" si="100"/>
        <v>#N/A</v>
      </c>
      <c r="I942" t="e">
        <f t="shared" ca="1" si="101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2"/>
        <v>0</v>
      </c>
      <c r="Y942">
        <f t="shared" ca="1" si="103"/>
        <v>0</v>
      </c>
      <c r="AA942" s="63" t="e">
        <f t="shared" ca="1" si="104"/>
        <v>#N/A</v>
      </c>
      <c r="AB942" s="63" t="e">
        <f t="shared" ca="1" si="105"/>
        <v>#N/A</v>
      </c>
      <c r="AC942" s="3" t="e">
        <f t="shared" ca="1" si="106"/>
        <v>#N/A</v>
      </c>
    </row>
    <row r="943" spans="8:29">
      <c r="H943" t="e">
        <f t="shared" ca="1" si="100"/>
        <v>#N/A</v>
      </c>
      <c r="I943" t="e">
        <f t="shared" ca="1" si="101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2"/>
        <v>0</v>
      </c>
      <c r="Y943">
        <f t="shared" ca="1" si="103"/>
        <v>0</v>
      </c>
      <c r="AA943" s="63" t="e">
        <f t="shared" ca="1" si="104"/>
        <v>#N/A</v>
      </c>
      <c r="AB943" s="63" t="e">
        <f t="shared" ca="1" si="105"/>
        <v>#N/A</v>
      </c>
      <c r="AC943" s="3" t="e">
        <f t="shared" ca="1" si="106"/>
        <v>#N/A</v>
      </c>
    </row>
    <row r="944" spans="8:29">
      <c r="H944" t="e">
        <f t="shared" ca="1" si="100"/>
        <v>#N/A</v>
      </c>
      <c r="I944" t="e">
        <f t="shared" ca="1" si="101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2"/>
        <v>0</v>
      </c>
      <c r="Y944">
        <f t="shared" ca="1" si="103"/>
        <v>0</v>
      </c>
      <c r="AA944" s="63" t="e">
        <f t="shared" ca="1" si="104"/>
        <v>#N/A</v>
      </c>
      <c r="AB944" s="63" t="e">
        <f t="shared" ca="1" si="105"/>
        <v>#N/A</v>
      </c>
      <c r="AC944" s="3" t="e">
        <f t="shared" ca="1" si="106"/>
        <v>#N/A</v>
      </c>
    </row>
    <row r="945" spans="8:29">
      <c r="H945" t="e">
        <f t="shared" ca="1" si="100"/>
        <v>#N/A</v>
      </c>
      <c r="I945" t="e">
        <f t="shared" ca="1" si="101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2"/>
        <v>0</v>
      </c>
      <c r="Y945">
        <f t="shared" ca="1" si="103"/>
        <v>0</v>
      </c>
      <c r="AA945" s="63" t="e">
        <f t="shared" ca="1" si="104"/>
        <v>#N/A</v>
      </c>
      <c r="AB945" s="63" t="e">
        <f t="shared" ca="1" si="105"/>
        <v>#N/A</v>
      </c>
      <c r="AC945" s="3" t="e">
        <f t="shared" ca="1" si="106"/>
        <v>#N/A</v>
      </c>
    </row>
    <row r="946" spans="8:29">
      <c r="H946" t="e">
        <f t="shared" ca="1" si="100"/>
        <v>#N/A</v>
      </c>
      <c r="I946" t="e">
        <f t="shared" ca="1" si="101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2"/>
        <v>0</v>
      </c>
      <c r="Y946">
        <f t="shared" ca="1" si="103"/>
        <v>0</v>
      </c>
      <c r="AA946" s="63" t="e">
        <f t="shared" ca="1" si="104"/>
        <v>#N/A</v>
      </c>
      <c r="AB946" s="63" t="e">
        <f t="shared" ca="1" si="105"/>
        <v>#N/A</v>
      </c>
      <c r="AC946" s="3" t="e">
        <f t="shared" ca="1" si="106"/>
        <v>#N/A</v>
      </c>
    </row>
    <row r="947" spans="8:29">
      <c r="H947" t="e">
        <f t="shared" ca="1" si="100"/>
        <v>#N/A</v>
      </c>
      <c r="I947" t="e">
        <f t="shared" ca="1" si="101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2"/>
        <v>0</v>
      </c>
      <c r="Y947">
        <f t="shared" ca="1" si="103"/>
        <v>0</v>
      </c>
      <c r="AA947" s="63" t="e">
        <f t="shared" ca="1" si="104"/>
        <v>#N/A</v>
      </c>
      <c r="AB947" s="63" t="e">
        <f t="shared" ca="1" si="105"/>
        <v>#N/A</v>
      </c>
      <c r="AC947" s="3" t="e">
        <f t="shared" ca="1" si="106"/>
        <v>#N/A</v>
      </c>
    </row>
    <row r="948" spans="8:29">
      <c r="H948" t="e">
        <f t="shared" ca="1" si="100"/>
        <v>#N/A</v>
      </c>
      <c r="I948" t="e">
        <f t="shared" ca="1" si="101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2"/>
        <v>0</v>
      </c>
      <c r="Y948">
        <f t="shared" ca="1" si="103"/>
        <v>0</v>
      </c>
      <c r="AA948" s="63" t="e">
        <f t="shared" ca="1" si="104"/>
        <v>#N/A</v>
      </c>
      <c r="AB948" s="63" t="e">
        <f t="shared" ca="1" si="105"/>
        <v>#N/A</v>
      </c>
      <c r="AC948" s="3" t="e">
        <f t="shared" ca="1" si="106"/>
        <v>#N/A</v>
      </c>
    </row>
    <row r="949" spans="8:29">
      <c r="H949" t="e">
        <f t="shared" ca="1" si="100"/>
        <v>#N/A</v>
      </c>
      <c r="I949" t="e">
        <f t="shared" ca="1" si="101"/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ca="1" si="102"/>
        <v>0</v>
      </c>
      <c r="Y949">
        <f t="shared" ca="1" si="103"/>
        <v>0</v>
      </c>
      <c r="AA949" s="63" t="e">
        <f t="shared" ca="1" si="104"/>
        <v>#N/A</v>
      </c>
      <c r="AB949" s="63" t="e">
        <f t="shared" ca="1" si="105"/>
        <v>#N/A</v>
      </c>
      <c r="AC949" s="3" t="e">
        <f t="shared" ca="1" si="106"/>
        <v>#N/A</v>
      </c>
    </row>
    <row r="950" spans="8:29">
      <c r="H950" t="e">
        <f t="shared" ref="H950:H1005" ca="1" si="107">IF(J950&lt;$J$9,TRUE,FALSE)</f>
        <v>#N/A</v>
      </c>
      <c r="I950" t="e">
        <f t="shared" ref="I950:I1005" ca="1" si="108">AND(IF(J950&gt;($J$8-1),TRUE,FALSE),IF(J950&lt;($J$9+1),TRUE,FALSE))</f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ref="X950:X1005" ca="1" si="109">IFERROR(J950,$X$10)</f>
        <v>0</v>
      </c>
      <c r="Y950">
        <f t="shared" ref="Y950:Y1005" ca="1" si="110">IFERROR(O950,0)</f>
        <v>0</v>
      </c>
      <c r="AA950" s="63" t="e">
        <f t="shared" ref="AA950:AA1005" ca="1" si="111">K949+M950+N950+O950</f>
        <v>#N/A</v>
      </c>
      <c r="AB950" s="63" t="e">
        <f t="shared" ref="AB950:AB1005" ca="1" si="112">K950+L950+R950</f>
        <v>#N/A</v>
      </c>
      <c r="AC950" s="3" t="e">
        <f t="shared" ref="AC950:AC1005" ca="1" si="113">AB950-AA950</f>
        <v>#N/A</v>
      </c>
    </row>
    <row r="951" spans="8:29">
      <c r="H951" t="e">
        <f t="shared" ca="1" si="107"/>
        <v>#N/A</v>
      </c>
      <c r="I951" t="e">
        <f t="shared" ca="1" si="108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9"/>
        <v>0</v>
      </c>
      <c r="Y951">
        <f t="shared" ca="1" si="110"/>
        <v>0</v>
      </c>
      <c r="AA951" s="63" t="e">
        <f t="shared" ca="1" si="111"/>
        <v>#N/A</v>
      </c>
      <c r="AB951" s="63" t="e">
        <f t="shared" ca="1" si="112"/>
        <v>#N/A</v>
      </c>
      <c r="AC951" s="3" t="e">
        <f t="shared" ca="1" si="113"/>
        <v>#N/A</v>
      </c>
    </row>
    <row r="952" spans="8:29">
      <c r="H952" t="e">
        <f t="shared" ca="1" si="107"/>
        <v>#N/A</v>
      </c>
      <c r="I952" t="e">
        <f t="shared" ca="1" si="108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9"/>
        <v>0</v>
      </c>
      <c r="Y952">
        <f t="shared" ca="1" si="110"/>
        <v>0</v>
      </c>
      <c r="AA952" s="63" t="e">
        <f t="shared" ca="1" si="111"/>
        <v>#N/A</v>
      </c>
      <c r="AB952" s="63" t="e">
        <f t="shared" ca="1" si="112"/>
        <v>#N/A</v>
      </c>
      <c r="AC952" s="3" t="e">
        <f t="shared" ca="1" si="113"/>
        <v>#N/A</v>
      </c>
    </row>
    <row r="953" spans="8:29">
      <c r="H953" t="e">
        <f t="shared" ca="1" si="107"/>
        <v>#N/A</v>
      </c>
      <c r="I953" t="e">
        <f t="shared" ca="1" si="108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9"/>
        <v>0</v>
      </c>
      <c r="Y953">
        <f t="shared" ca="1" si="110"/>
        <v>0</v>
      </c>
      <c r="AA953" s="63" t="e">
        <f t="shared" ca="1" si="111"/>
        <v>#N/A</v>
      </c>
      <c r="AB953" s="63" t="e">
        <f t="shared" ca="1" si="112"/>
        <v>#N/A</v>
      </c>
      <c r="AC953" s="3" t="e">
        <f t="shared" ca="1" si="113"/>
        <v>#N/A</v>
      </c>
    </row>
    <row r="954" spans="8:29">
      <c r="H954" t="e">
        <f t="shared" ca="1" si="107"/>
        <v>#N/A</v>
      </c>
      <c r="I954" t="e">
        <f t="shared" ca="1" si="108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9"/>
        <v>0</v>
      </c>
      <c r="Y954">
        <f t="shared" ca="1" si="110"/>
        <v>0</v>
      </c>
      <c r="AA954" s="63" t="e">
        <f t="shared" ca="1" si="111"/>
        <v>#N/A</v>
      </c>
      <c r="AB954" s="63" t="e">
        <f t="shared" ca="1" si="112"/>
        <v>#N/A</v>
      </c>
      <c r="AC954" s="3" t="e">
        <f t="shared" ca="1" si="113"/>
        <v>#N/A</v>
      </c>
    </row>
    <row r="955" spans="8:29">
      <c r="H955" t="e">
        <f t="shared" ca="1" si="107"/>
        <v>#N/A</v>
      </c>
      <c r="I955" t="e">
        <f t="shared" ca="1" si="108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9"/>
        <v>0</v>
      </c>
      <c r="Y955">
        <f t="shared" ca="1" si="110"/>
        <v>0</v>
      </c>
      <c r="AA955" s="63" t="e">
        <f t="shared" ca="1" si="111"/>
        <v>#N/A</v>
      </c>
      <c r="AB955" s="63" t="e">
        <f t="shared" ca="1" si="112"/>
        <v>#N/A</v>
      </c>
      <c r="AC955" s="3" t="e">
        <f t="shared" ca="1" si="113"/>
        <v>#N/A</v>
      </c>
    </row>
    <row r="956" spans="8:29">
      <c r="H956" t="e">
        <f t="shared" ca="1" si="107"/>
        <v>#N/A</v>
      </c>
      <c r="I956" t="e">
        <f t="shared" ca="1" si="108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9"/>
        <v>0</v>
      </c>
      <c r="Y956">
        <f t="shared" ca="1" si="110"/>
        <v>0</v>
      </c>
      <c r="AA956" s="63" t="e">
        <f t="shared" ca="1" si="111"/>
        <v>#N/A</v>
      </c>
      <c r="AB956" s="63" t="e">
        <f t="shared" ca="1" si="112"/>
        <v>#N/A</v>
      </c>
      <c r="AC956" s="3" t="e">
        <f t="shared" ca="1" si="113"/>
        <v>#N/A</v>
      </c>
    </row>
    <row r="957" spans="8:29">
      <c r="H957" t="e">
        <f t="shared" ca="1" si="107"/>
        <v>#N/A</v>
      </c>
      <c r="I957" t="e">
        <f t="shared" ca="1" si="108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9"/>
        <v>0</v>
      </c>
      <c r="Y957">
        <f t="shared" ca="1" si="110"/>
        <v>0</v>
      </c>
      <c r="AA957" s="63" t="e">
        <f t="shared" ca="1" si="111"/>
        <v>#N/A</v>
      </c>
      <c r="AB957" s="63" t="e">
        <f t="shared" ca="1" si="112"/>
        <v>#N/A</v>
      </c>
      <c r="AC957" s="3" t="e">
        <f t="shared" ca="1" si="113"/>
        <v>#N/A</v>
      </c>
    </row>
    <row r="958" spans="8:29">
      <c r="H958" t="e">
        <f t="shared" ca="1" si="107"/>
        <v>#N/A</v>
      </c>
      <c r="I958" t="e">
        <f t="shared" ca="1" si="108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9"/>
        <v>0</v>
      </c>
      <c r="Y958">
        <f t="shared" ca="1" si="110"/>
        <v>0</v>
      </c>
      <c r="AA958" s="63" t="e">
        <f t="shared" ca="1" si="111"/>
        <v>#N/A</v>
      </c>
      <c r="AB958" s="63" t="e">
        <f t="shared" ca="1" si="112"/>
        <v>#N/A</v>
      </c>
      <c r="AC958" s="3" t="e">
        <f t="shared" ca="1" si="113"/>
        <v>#N/A</v>
      </c>
    </row>
    <row r="959" spans="8:29">
      <c r="H959" t="e">
        <f t="shared" ca="1" si="107"/>
        <v>#N/A</v>
      </c>
      <c r="I959" t="e">
        <f t="shared" ca="1" si="108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9"/>
        <v>0</v>
      </c>
      <c r="Y959">
        <f t="shared" ca="1" si="110"/>
        <v>0</v>
      </c>
      <c r="AA959" s="63" t="e">
        <f t="shared" ca="1" si="111"/>
        <v>#N/A</v>
      </c>
      <c r="AB959" s="63" t="e">
        <f t="shared" ca="1" si="112"/>
        <v>#N/A</v>
      </c>
      <c r="AC959" s="3" t="e">
        <f t="shared" ca="1" si="113"/>
        <v>#N/A</v>
      </c>
    </row>
    <row r="960" spans="8:29">
      <c r="H960" t="e">
        <f t="shared" ca="1" si="107"/>
        <v>#N/A</v>
      </c>
      <c r="I960" t="e">
        <f t="shared" ca="1" si="108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9"/>
        <v>0</v>
      </c>
      <c r="Y960">
        <f t="shared" ca="1" si="110"/>
        <v>0</v>
      </c>
      <c r="AA960" s="63" t="e">
        <f t="shared" ca="1" si="111"/>
        <v>#N/A</v>
      </c>
      <c r="AB960" s="63" t="e">
        <f t="shared" ca="1" si="112"/>
        <v>#N/A</v>
      </c>
      <c r="AC960" s="3" t="e">
        <f t="shared" ca="1" si="113"/>
        <v>#N/A</v>
      </c>
    </row>
    <row r="961" spans="8:29">
      <c r="H961" t="e">
        <f t="shared" ca="1" si="107"/>
        <v>#N/A</v>
      </c>
      <c r="I961" t="e">
        <f t="shared" ca="1" si="108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9"/>
        <v>0</v>
      </c>
      <c r="Y961">
        <f t="shared" ca="1" si="110"/>
        <v>0</v>
      </c>
      <c r="AA961" s="63" t="e">
        <f t="shared" ca="1" si="111"/>
        <v>#N/A</v>
      </c>
      <c r="AB961" s="63" t="e">
        <f t="shared" ca="1" si="112"/>
        <v>#N/A</v>
      </c>
      <c r="AC961" s="3" t="e">
        <f t="shared" ca="1" si="113"/>
        <v>#N/A</v>
      </c>
    </row>
    <row r="962" spans="8:29">
      <c r="H962" t="e">
        <f t="shared" ca="1" si="107"/>
        <v>#N/A</v>
      </c>
      <c r="I962" t="e">
        <f t="shared" ca="1" si="108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9"/>
        <v>0</v>
      </c>
      <c r="Y962">
        <f t="shared" ca="1" si="110"/>
        <v>0</v>
      </c>
      <c r="AA962" s="63" t="e">
        <f t="shared" ca="1" si="111"/>
        <v>#N/A</v>
      </c>
      <c r="AB962" s="63" t="e">
        <f t="shared" ca="1" si="112"/>
        <v>#N/A</v>
      </c>
      <c r="AC962" s="3" t="e">
        <f t="shared" ca="1" si="113"/>
        <v>#N/A</v>
      </c>
    </row>
    <row r="963" spans="8:29">
      <c r="H963" t="e">
        <f t="shared" ca="1" si="107"/>
        <v>#N/A</v>
      </c>
      <c r="I963" t="e">
        <f t="shared" ca="1" si="108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9"/>
        <v>0</v>
      </c>
      <c r="Y963">
        <f t="shared" ca="1" si="110"/>
        <v>0</v>
      </c>
      <c r="AA963" s="63" t="e">
        <f t="shared" ca="1" si="111"/>
        <v>#N/A</v>
      </c>
      <c r="AB963" s="63" t="e">
        <f t="shared" ca="1" si="112"/>
        <v>#N/A</v>
      </c>
      <c r="AC963" s="3" t="e">
        <f t="shared" ca="1" si="113"/>
        <v>#N/A</v>
      </c>
    </row>
    <row r="964" spans="8:29">
      <c r="H964" t="e">
        <f t="shared" ca="1" si="107"/>
        <v>#N/A</v>
      </c>
      <c r="I964" t="e">
        <f t="shared" ca="1" si="108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9"/>
        <v>0</v>
      </c>
      <c r="Y964">
        <f t="shared" ca="1" si="110"/>
        <v>0</v>
      </c>
      <c r="AA964" s="63" t="e">
        <f t="shared" ca="1" si="111"/>
        <v>#N/A</v>
      </c>
      <c r="AB964" s="63" t="e">
        <f t="shared" ca="1" si="112"/>
        <v>#N/A</v>
      </c>
      <c r="AC964" s="3" t="e">
        <f t="shared" ca="1" si="113"/>
        <v>#N/A</v>
      </c>
    </row>
    <row r="965" spans="8:29">
      <c r="H965" t="e">
        <f t="shared" ca="1" si="107"/>
        <v>#N/A</v>
      </c>
      <c r="I965" t="e">
        <f t="shared" ca="1" si="108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9"/>
        <v>0</v>
      </c>
      <c r="Y965">
        <f t="shared" ca="1" si="110"/>
        <v>0</v>
      </c>
      <c r="AA965" s="63" t="e">
        <f t="shared" ca="1" si="111"/>
        <v>#N/A</v>
      </c>
      <c r="AB965" s="63" t="e">
        <f t="shared" ca="1" si="112"/>
        <v>#N/A</v>
      </c>
      <c r="AC965" s="3" t="e">
        <f t="shared" ca="1" si="113"/>
        <v>#N/A</v>
      </c>
    </row>
    <row r="966" spans="8:29">
      <c r="H966" t="e">
        <f t="shared" ca="1" si="107"/>
        <v>#N/A</v>
      </c>
      <c r="I966" t="e">
        <f t="shared" ca="1" si="108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9"/>
        <v>0</v>
      </c>
      <c r="Y966">
        <f t="shared" ca="1" si="110"/>
        <v>0</v>
      </c>
      <c r="AA966" s="63" t="e">
        <f t="shared" ca="1" si="111"/>
        <v>#N/A</v>
      </c>
      <c r="AB966" s="63" t="e">
        <f t="shared" ca="1" si="112"/>
        <v>#N/A</v>
      </c>
      <c r="AC966" s="3" t="e">
        <f t="shared" ca="1" si="113"/>
        <v>#N/A</v>
      </c>
    </row>
    <row r="967" spans="8:29">
      <c r="H967" t="e">
        <f t="shared" ca="1" si="107"/>
        <v>#N/A</v>
      </c>
      <c r="I967" t="e">
        <f t="shared" ca="1" si="108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9"/>
        <v>0</v>
      </c>
      <c r="Y967">
        <f t="shared" ca="1" si="110"/>
        <v>0</v>
      </c>
      <c r="AA967" s="63" t="e">
        <f t="shared" ca="1" si="111"/>
        <v>#N/A</v>
      </c>
      <c r="AB967" s="63" t="e">
        <f t="shared" ca="1" si="112"/>
        <v>#N/A</v>
      </c>
      <c r="AC967" s="3" t="e">
        <f t="shared" ca="1" si="113"/>
        <v>#N/A</v>
      </c>
    </row>
    <row r="968" spans="8:29">
      <c r="H968" t="e">
        <f t="shared" ca="1" si="107"/>
        <v>#N/A</v>
      </c>
      <c r="I968" t="e">
        <f t="shared" ca="1" si="108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9"/>
        <v>0</v>
      </c>
      <c r="Y968">
        <f t="shared" ca="1" si="110"/>
        <v>0</v>
      </c>
      <c r="AA968" s="63" t="e">
        <f t="shared" ca="1" si="111"/>
        <v>#N/A</v>
      </c>
      <c r="AB968" s="63" t="e">
        <f t="shared" ca="1" si="112"/>
        <v>#N/A</v>
      </c>
      <c r="AC968" s="3" t="e">
        <f t="shared" ca="1" si="113"/>
        <v>#N/A</v>
      </c>
    </row>
    <row r="969" spans="8:29">
      <c r="H969" t="e">
        <f t="shared" ca="1" si="107"/>
        <v>#N/A</v>
      </c>
      <c r="I969" t="e">
        <f t="shared" ca="1" si="108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9"/>
        <v>0</v>
      </c>
      <c r="Y969">
        <f t="shared" ca="1" si="110"/>
        <v>0</v>
      </c>
      <c r="AA969" s="63" t="e">
        <f t="shared" ca="1" si="111"/>
        <v>#N/A</v>
      </c>
      <c r="AB969" s="63" t="e">
        <f t="shared" ca="1" si="112"/>
        <v>#N/A</v>
      </c>
      <c r="AC969" s="3" t="e">
        <f t="shared" ca="1" si="113"/>
        <v>#N/A</v>
      </c>
    </row>
    <row r="970" spans="8:29">
      <c r="H970" t="e">
        <f t="shared" ca="1" si="107"/>
        <v>#N/A</v>
      </c>
      <c r="I970" t="e">
        <f t="shared" ca="1" si="108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9"/>
        <v>0</v>
      </c>
      <c r="Y970">
        <f t="shared" ca="1" si="110"/>
        <v>0</v>
      </c>
      <c r="AA970" s="63" t="e">
        <f t="shared" ca="1" si="111"/>
        <v>#N/A</v>
      </c>
      <c r="AB970" s="63" t="e">
        <f t="shared" ca="1" si="112"/>
        <v>#N/A</v>
      </c>
      <c r="AC970" s="3" t="e">
        <f t="shared" ca="1" si="113"/>
        <v>#N/A</v>
      </c>
    </row>
    <row r="971" spans="8:29">
      <c r="H971" t="e">
        <f t="shared" ca="1" si="107"/>
        <v>#N/A</v>
      </c>
      <c r="I971" t="e">
        <f t="shared" ca="1" si="108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9"/>
        <v>0</v>
      </c>
      <c r="Y971">
        <f t="shared" ca="1" si="110"/>
        <v>0</v>
      </c>
      <c r="AA971" s="63" t="e">
        <f t="shared" ca="1" si="111"/>
        <v>#N/A</v>
      </c>
      <c r="AB971" s="63" t="e">
        <f t="shared" ca="1" si="112"/>
        <v>#N/A</v>
      </c>
      <c r="AC971" s="3" t="e">
        <f t="shared" ca="1" si="113"/>
        <v>#N/A</v>
      </c>
    </row>
    <row r="972" spans="8:29">
      <c r="H972" t="e">
        <f t="shared" ca="1" si="107"/>
        <v>#N/A</v>
      </c>
      <c r="I972" t="e">
        <f t="shared" ca="1" si="108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9"/>
        <v>0</v>
      </c>
      <c r="Y972">
        <f t="shared" ca="1" si="110"/>
        <v>0</v>
      </c>
      <c r="AA972" s="63" t="e">
        <f t="shared" ca="1" si="111"/>
        <v>#N/A</v>
      </c>
      <c r="AB972" s="63" t="e">
        <f t="shared" ca="1" si="112"/>
        <v>#N/A</v>
      </c>
      <c r="AC972" s="3" t="e">
        <f t="shared" ca="1" si="113"/>
        <v>#N/A</v>
      </c>
    </row>
    <row r="973" spans="8:29">
      <c r="H973" t="e">
        <f t="shared" ca="1" si="107"/>
        <v>#N/A</v>
      </c>
      <c r="I973" t="e">
        <f t="shared" ca="1" si="108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9"/>
        <v>0</v>
      </c>
      <c r="Y973">
        <f t="shared" ca="1" si="110"/>
        <v>0</v>
      </c>
      <c r="AA973" s="63" t="e">
        <f t="shared" ca="1" si="111"/>
        <v>#N/A</v>
      </c>
      <c r="AB973" s="63" t="e">
        <f t="shared" ca="1" si="112"/>
        <v>#N/A</v>
      </c>
      <c r="AC973" s="3" t="e">
        <f t="shared" ca="1" si="113"/>
        <v>#N/A</v>
      </c>
    </row>
    <row r="974" spans="8:29">
      <c r="H974" t="e">
        <f t="shared" ca="1" si="107"/>
        <v>#N/A</v>
      </c>
      <c r="I974" t="e">
        <f t="shared" ca="1" si="108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9"/>
        <v>0</v>
      </c>
      <c r="Y974">
        <f t="shared" ca="1" si="110"/>
        <v>0</v>
      </c>
      <c r="AA974" s="63" t="e">
        <f t="shared" ca="1" si="111"/>
        <v>#N/A</v>
      </c>
      <c r="AB974" s="63" t="e">
        <f t="shared" ca="1" si="112"/>
        <v>#N/A</v>
      </c>
      <c r="AC974" s="3" t="e">
        <f t="shared" ca="1" si="113"/>
        <v>#N/A</v>
      </c>
    </row>
    <row r="975" spans="8:29">
      <c r="H975" t="e">
        <f t="shared" ca="1" si="107"/>
        <v>#N/A</v>
      </c>
      <c r="I975" t="e">
        <f t="shared" ca="1" si="108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9"/>
        <v>0</v>
      </c>
      <c r="Y975">
        <f t="shared" ca="1" si="110"/>
        <v>0</v>
      </c>
      <c r="AA975" s="63" t="e">
        <f t="shared" ca="1" si="111"/>
        <v>#N/A</v>
      </c>
      <c r="AB975" s="63" t="e">
        <f t="shared" ca="1" si="112"/>
        <v>#N/A</v>
      </c>
      <c r="AC975" s="3" t="e">
        <f t="shared" ca="1" si="113"/>
        <v>#N/A</v>
      </c>
    </row>
    <row r="976" spans="8:29">
      <c r="H976" t="e">
        <f t="shared" ca="1" si="107"/>
        <v>#N/A</v>
      </c>
      <c r="I976" t="e">
        <f t="shared" ca="1" si="108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9"/>
        <v>0</v>
      </c>
      <c r="Y976">
        <f t="shared" ca="1" si="110"/>
        <v>0</v>
      </c>
      <c r="AA976" s="63" t="e">
        <f t="shared" ca="1" si="111"/>
        <v>#N/A</v>
      </c>
      <c r="AB976" s="63" t="e">
        <f t="shared" ca="1" si="112"/>
        <v>#N/A</v>
      </c>
      <c r="AC976" s="3" t="e">
        <f t="shared" ca="1" si="113"/>
        <v>#N/A</v>
      </c>
    </row>
    <row r="977" spans="8:29">
      <c r="H977" t="e">
        <f t="shared" ca="1" si="107"/>
        <v>#N/A</v>
      </c>
      <c r="I977" t="e">
        <f t="shared" ca="1" si="108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9"/>
        <v>0</v>
      </c>
      <c r="Y977">
        <f t="shared" ca="1" si="110"/>
        <v>0</v>
      </c>
      <c r="AA977" s="63" t="e">
        <f t="shared" ca="1" si="111"/>
        <v>#N/A</v>
      </c>
      <c r="AB977" s="63" t="e">
        <f t="shared" ca="1" si="112"/>
        <v>#N/A</v>
      </c>
      <c r="AC977" s="3" t="e">
        <f t="shared" ca="1" si="113"/>
        <v>#N/A</v>
      </c>
    </row>
    <row r="978" spans="8:29">
      <c r="H978" t="e">
        <f t="shared" ca="1" si="107"/>
        <v>#N/A</v>
      </c>
      <c r="I978" t="e">
        <f t="shared" ca="1" si="108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9"/>
        <v>0</v>
      </c>
      <c r="Y978">
        <f t="shared" ca="1" si="110"/>
        <v>0</v>
      </c>
      <c r="AA978" s="63" t="e">
        <f t="shared" ca="1" si="111"/>
        <v>#N/A</v>
      </c>
      <c r="AB978" s="63" t="e">
        <f t="shared" ca="1" si="112"/>
        <v>#N/A</v>
      </c>
      <c r="AC978" s="3" t="e">
        <f t="shared" ca="1" si="113"/>
        <v>#N/A</v>
      </c>
    </row>
    <row r="979" spans="8:29">
      <c r="H979" t="e">
        <f t="shared" ca="1" si="107"/>
        <v>#N/A</v>
      </c>
      <c r="I979" t="e">
        <f t="shared" ca="1" si="108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9"/>
        <v>0</v>
      </c>
      <c r="Y979">
        <f t="shared" ca="1" si="110"/>
        <v>0</v>
      </c>
      <c r="AA979" s="63" t="e">
        <f t="shared" ca="1" si="111"/>
        <v>#N/A</v>
      </c>
      <c r="AB979" s="63" t="e">
        <f t="shared" ca="1" si="112"/>
        <v>#N/A</v>
      </c>
      <c r="AC979" s="3" t="e">
        <f t="shared" ca="1" si="113"/>
        <v>#N/A</v>
      </c>
    </row>
    <row r="980" spans="8:29">
      <c r="H980" t="e">
        <f t="shared" ca="1" si="107"/>
        <v>#N/A</v>
      </c>
      <c r="I980" t="e">
        <f t="shared" ca="1" si="108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9"/>
        <v>0</v>
      </c>
      <c r="Y980">
        <f t="shared" ca="1" si="110"/>
        <v>0</v>
      </c>
      <c r="AA980" s="63" t="e">
        <f t="shared" ca="1" si="111"/>
        <v>#N/A</v>
      </c>
      <c r="AB980" s="63" t="e">
        <f t="shared" ca="1" si="112"/>
        <v>#N/A</v>
      </c>
      <c r="AC980" s="3" t="e">
        <f t="shared" ca="1" si="113"/>
        <v>#N/A</v>
      </c>
    </row>
    <row r="981" spans="8:29">
      <c r="H981" t="e">
        <f t="shared" ca="1" si="107"/>
        <v>#N/A</v>
      </c>
      <c r="I981" t="e">
        <f t="shared" ca="1" si="108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9"/>
        <v>0</v>
      </c>
      <c r="Y981">
        <f t="shared" ca="1" si="110"/>
        <v>0</v>
      </c>
      <c r="AA981" s="63" t="e">
        <f t="shared" ca="1" si="111"/>
        <v>#N/A</v>
      </c>
      <c r="AB981" s="63" t="e">
        <f t="shared" ca="1" si="112"/>
        <v>#N/A</v>
      </c>
      <c r="AC981" s="3" t="e">
        <f t="shared" ca="1" si="113"/>
        <v>#N/A</v>
      </c>
    </row>
    <row r="982" spans="8:29">
      <c r="H982" t="e">
        <f t="shared" ca="1" si="107"/>
        <v>#N/A</v>
      </c>
      <c r="I982" t="e">
        <f t="shared" ca="1" si="108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9"/>
        <v>0</v>
      </c>
      <c r="Y982">
        <f t="shared" ca="1" si="110"/>
        <v>0</v>
      </c>
      <c r="AA982" s="63" t="e">
        <f t="shared" ca="1" si="111"/>
        <v>#N/A</v>
      </c>
      <c r="AB982" s="63" t="e">
        <f t="shared" ca="1" si="112"/>
        <v>#N/A</v>
      </c>
      <c r="AC982" s="3" t="e">
        <f t="shared" ca="1" si="113"/>
        <v>#N/A</v>
      </c>
    </row>
    <row r="983" spans="8:29">
      <c r="H983" t="e">
        <f t="shared" ca="1" si="107"/>
        <v>#N/A</v>
      </c>
      <c r="I983" t="e">
        <f t="shared" ca="1" si="108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9"/>
        <v>0</v>
      </c>
      <c r="Y983">
        <f t="shared" ca="1" si="110"/>
        <v>0</v>
      </c>
      <c r="AA983" s="63" t="e">
        <f t="shared" ca="1" si="111"/>
        <v>#N/A</v>
      </c>
      <c r="AB983" s="63" t="e">
        <f t="shared" ca="1" si="112"/>
        <v>#N/A</v>
      </c>
      <c r="AC983" s="3" t="e">
        <f t="shared" ca="1" si="113"/>
        <v>#N/A</v>
      </c>
    </row>
    <row r="984" spans="8:29">
      <c r="H984" t="e">
        <f t="shared" ca="1" si="107"/>
        <v>#N/A</v>
      </c>
      <c r="I984" t="e">
        <f t="shared" ca="1" si="108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9"/>
        <v>0</v>
      </c>
      <c r="Y984">
        <f t="shared" ca="1" si="110"/>
        <v>0</v>
      </c>
      <c r="AA984" s="63" t="e">
        <f t="shared" ca="1" si="111"/>
        <v>#N/A</v>
      </c>
      <c r="AB984" s="63" t="e">
        <f t="shared" ca="1" si="112"/>
        <v>#N/A</v>
      </c>
      <c r="AC984" s="3" t="e">
        <f t="shared" ca="1" si="113"/>
        <v>#N/A</v>
      </c>
    </row>
    <row r="985" spans="8:29">
      <c r="H985" t="e">
        <f t="shared" ca="1" si="107"/>
        <v>#N/A</v>
      </c>
      <c r="I985" t="e">
        <f t="shared" ca="1" si="108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9"/>
        <v>0</v>
      </c>
      <c r="Y985">
        <f t="shared" ca="1" si="110"/>
        <v>0</v>
      </c>
      <c r="AA985" s="63" t="e">
        <f t="shared" ca="1" si="111"/>
        <v>#N/A</v>
      </c>
      <c r="AB985" s="63" t="e">
        <f t="shared" ca="1" si="112"/>
        <v>#N/A</v>
      </c>
      <c r="AC985" s="3" t="e">
        <f t="shared" ca="1" si="113"/>
        <v>#N/A</v>
      </c>
    </row>
    <row r="986" spans="8:29">
      <c r="H986" t="e">
        <f t="shared" ca="1" si="107"/>
        <v>#N/A</v>
      </c>
      <c r="I986" t="e">
        <f t="shared" ca="1" si="108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9"/>
        <v>0</v>
      </c>
      <c r="Y986">
        <f t="shared" ca="1" si="110"/>
        <v>0</v>
      </c>
      <c r="AA986" s="63" t="e">
        <f t="shared" ca="1" si="111"/>
        <v>#N/A</v>
      </c>
      <c r="AB986" s="63" t="e">
        <f t="shared" ca="1" si="112"/>
        <v>#N/A</v>
      </c>
      <c r="AC986" s="3" t="e">
        <f t="shared" ca="1" si="113"/>
        <v>#N/A</v>
      </c>
    </row>
    <row r="987" spans="8:29">
      <c r="H987" t="e">
        <f t="shared" ca="1" si="107"/>
        <v>#N/A</v>
      </c>
      <c r="I987" t="e">
        <f t="shared" ca="1" si="108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9"/>
        <v>0</v>
      </c>
      <c r="Y987">
        <f t="shared" ca="1" si="110"/>
        <v>0</v>
      </c>
      <c r="AA987" s="63" t="e">
        <f t="shared" ca="1" si="111"/>
        <v>#N/A</v>
      </c>
      <c r="AB987" s="63" t="e">
        <f t="shared" ca="1" si="112"/>
        <v>#N/A</v>
      </c>
      <c r="AC987" s="3" t="e">
        <f t="shared" ca="1" si="113"/>
        <v>#N/A</v>
      </c>
    </row>
    <row r="988" spans="8:29">
      <c r="H988" t="e">
        <f t="shared" ca="1" si="107"/>
        <v>#N/A</v>
      </c>
      <c r="I988" t="e">
        <f t="shared" ca="1" si="108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9"/>
        <v>0</v>
      </c>
      <c r="Y988">
        <f t="shared" ca="1" si="110"/>
        <v>0</v>
      </c>
      <c r="AA988" s="63" t="e">
        <f t="shared" ca="1" si="111"/>
        <v>#N/A</v>
      </c>
      <c r="AB988" s="63" t="e">
        <f t="shared" ca="1" si="112"/>
        <v>#N/A</v>
      </c>
      <c r="AC988" s="3" t="e">
        <f t="shared" ca="1" si="113"/>
        <v>#N/A</v>
      </c>
    </row>
    <row r="989" spans="8:29">
      <c r="H989" t="e">
        <f t="shared" ca="1" si="107"/>
        <v>#N/A</v>
      </c>
      <c r="I989" t="e">
        <f t="shared" ca="1" si="108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9"/>
        <v>0</v>
      </c>
      <c r="Y989">
        <f t="shared" ca="1" si="110"/>
        <v>0</v>
      </c>
      <c r="AA989" s="63" t="e">
        <f t="shared" ca="1" si="111"/>
        <v>#N/A</v>
      </c>
      <c r="AB989" s="63" t="e">
        <f t="shared" ca="1" si="112"/>
        <v>#N/A</v>
      </c>
      <c r="AC989" s="3" t="e">
        <f t="shared" ca="1" si="113"/>
        <v>#N/A</v>
      </c>
    </row>
    <row r="990" spans="8:29">
      <c r="H990" t="e">
        <f t="shared" ca="1" si="107"/>
        <v>#N/A</v>
      </c>
      <c r="I990" t="e">
        <f t="shared" ca="1" si="108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9"/>
        <v>0</v>
      </c>
      <c r="Y990">
        <f t="shared" ca="1" si="110"/>
        <v>0</v>
      </c>
      <c r="AA990" s="63" t="e">
        <f t="shared" ca="1" si="111"/>
        <v>#N/A</v>
      </c>
      <c r="AB990" s="63" t="e">
        <f t="shared" ca="1" si="112"/>
        <v>#N/A</v>
      </c>
      <c r="AC990" s="3" t="e">
        <f t="shared" ca="1" si="113"/>
        <v>#N/A</v>
      </c>
    </row>
    <row r="991" spans="8:29">
      <c r="H991" t="e">
        <f t="shared" ca="1" si="107"/>
        <v>#N/A</v>
      </c>
      <c r="I991" t="e">
        <f t="shared" ca="1" si="108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9"/>
        <v>0</v>
      </c>
      <c r="Y991">
        <f t="shared" ca="1" si="110"/>
        <v>0</v>
      </c>
      <c r="AA991" s="63" t="e">
        <f t="shared" ca="1" si="111"/>
        <v>#N/A</v>
      </c>
      <c r="AB991" s="63" t="e">
        <f t="shared" ca="1" si="112"/>
        <v>#N/A</v>
      </c>
      <c r="AC991" s="3" t="e">
        <f t="shared" ca="1" si="113"/>
        <v>#N/A</v>
      </c>
    </row>
    <row r="992" spans="8:29">
      <c r="H992" t="e">
        <f t="shared" ca="1" si="107"/>
        <v>#N/A</v>
      </c>
      <c r="I992" t="e">
        <f t="shared" ca="1" si="108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9"/>
        <v>0</v>
      </c>
      <c r="Y992">
        <f t="shared" ca="1" si="110"/>
        <v>0</v>
      </c>
      <c r="AA992" s="63" t="e">
        <f t="shared" ca="1" si="111"/>
        <v>#N/A</v>
      </c>
      <c r="AB992" s="63" t="e">
        <f t="shared" ca="1" si="112"/>
        <v>#N/A</v>
      </c>
      <c r="AC992" s="3" t="e">
        <f t="shared" ca="1" si="113"/>
        <v>#N/A</v>
      </c>
    </row>
    <row r="993" spans="8:29">
      <c r="H993" t="e">
        <f t="shared" ca="1" si="107"/>
        <v>#N/A</v>
      </c>
      <c r="I993" t="e">
        <f t="shared" ca="1" si="108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9"/>
        <v>0</v>
      </c>
      <c r="Y993">
        <f t="shared" ca="1" si="110"/>
        <v>0</v>
      </c>
      <c r="AA993" s="63" t="e">
        <f t="shared" ca="1" si="111"/>
        <v>#N/A</v>
      </c>
      <c r="AB993" s="63" t="e">
        <f t="shared" ca="1" si="112"/>
        <v>#N/A</v>
      </c>
      <c r="AC993" s="3" t="e">
        <f t="shared" ca="1" si="113"/>
        <v>#N/A</v>
      </c>
    </row>
    <row r="994" spans="8:29">
      <c r="H994" t="e">
        <f t="shared" ca="1" si="107"/>
        <v>#N/A</v>
      </c>
      <c r="I994" t="e">
        <f t="shared" ca="1" si="108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9"/>
        <v>0</v>
      </c>
      <c r="Y994">
        <f t="shared" ca="1" si="110"/>
        <v>0</v>
      </c>
      <c r="AA994" s="63" t="e">
        <f t="shared" ca="1" si="111"/>
        <v>#N/A</v>
      </c>
      <c r="AB994" s="63" t="e">
        <f t="shared" ca="1" si="112"/>
        <v>#N/A</v>
      </c>
      <c r="AC994" s="3" t="e">
        <f t="shared" ca="1" si="113"/>
        <v>#N/A</v>
      </c>
    </row>
    <row r="995" spans="8:29">
      <c r="H995" t="e">
        <f t="shared" ca="1" si="107"/>
        <v>#N/A</v>
      </c>
      <c r="I995" t="e">
        <f t="shared" ca="1" si="108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9"/>
        <v>0</v>
      </c>
      <c r="Y995">
        <f t="shared" ca="1" si="110"/>
        <v>0</v>
      </c>
      <c r="AA995" s="63" t="e">
        <f t="shared" ca="1" si="111"/>
        <v>#N/A</v>
      </c>
      <c r="AB995" s="63" t="e">
        <f t="shared" ca="1" si="112"/>
        <v>#N/A</v>
      </c>
      <c r="AC995" s="3" t="e">
        <f t="shared" ca="1" si="113"/>
        <v>#N/A</v>
      </c>
    </row>
    <row r="996" spans="8:29">
      <c r="H996" t="e">
        <f t="shared" ca="1" si="107"/>
        <v>#N/A</v>
      </c>
      <c r="I996" t="e">
        <f t="shared" ca="1" si="108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9"/>
        <v>0</v>
      </c>
      <c r="Y996">
        <f t="shared" ca="1" si="110"/>
        <v>0</v>
      </c>
      <c r="AA996" s="63" t="e">
        <f t="shared" ca="1" si="111"/>
        <v>#N/A</v>
      </c>
      <c r="AB996" s="63" t="e">
        <f t="shared" ca="1" si="112"/>
        <v>#N/A</v>
      </c>
      <c r="AC996" s="3" t="e">
        <f t="shared" ca="1" si="113"/>
        <v>#N/A</v>
      </c>
    </row>
    <row r="997" spans="8:29">
      <c r="H997" t="e">
        <f t="shared" ca="1" si="107"/>
        <v>#N/A</v>
      </c>
      <c r="I997" t="e">
        <f t="shared" ca="1" si="108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9"/>
        <v>0</v>
      </c>
      <c r="Y997">
        <f t="shared" ca="1" si="110"/>
        <v>0</v>
      </c>
      <c r="AA997" s="63" t="e">
        <f t="shared" ca="1" si="111"/>
        <v>#N/A</v>
      </c>
      <c r="AB997" s="63" t="e">
        <f t="shared" ca="1" si="112"/>
        <v>#N/A</v>
      </c>
      <c r="AC997" s="3" t="e">
        <f t="shared" ca="1" si="113"/>
        <v>#N/A</v>
      </c>
    </row>
    <row r="998" spans="8:29">
      <c r="H998" t="e">
        <f t="shared" ca="1" si="107"/>
        <v>#N/A</v>
      </c>
      <c r="I998" t="e">
        <f t="shared" ca="1" si="108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9"/>
        <v>0</v>
      </c>
      <c r="Y998">
        <f t="shared" ca="1" si="110"/>
        <v>0</v>
      </c>
      <c r="AA998" s="63" t="e">
        <f t="shared" ca="1" si="111"/>
        <v>#N/A</v>
      </c>
      <c r="AB998" s="63" t="e">
        <f t="shared" ca="1" si="112"/>
        <v>#N/A</v>
      </c>
      <c r="AC998" s="3" t="e">
        <f t="shared" ca="1" si="113"/>
        <v>#N/A</v>
      </c>
    </row>
    <row r="999" spans="8:29">
      <c r="H999" t="e">
        <f t="shared" ca="1" si="107"/>
        <v>#N/A</v>
      </c>
      <c r="I999" t="e">
        <f t="shared" ca="1" si="108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9"/>
        <v>0</v>
      </c>
      <c r="Y999">
        <f t="shared" ca="1" si="110"/>
        <v>0</v>
      </c>
      <c r="AA999" s="63" t="e">
        <f t="shared" ca="1" si="111"/>
        <v>#N/A</v>
      </c>
      <c r="AB999" s="63" t="e">
        <f t="shared" ca="1" si="112"/>
        <v>#N/A</v>
      </c>
      <c r="AC999" s="3" t="e">
        <f t="shared" ca="1" si="113"/>
        <v>#N/A</v>
      </c>
    </row>
    <row r="1000" spans="8:29">
      <c r="H1000" t="e">
        <f t="shared" ca="1" si="107"/>
        <v>#N/A</v>
      </c>
      <c r="I1000" t="e">
        <f t="shared" ca="1" si="108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9"/>
        <v>0</v>
      </c>
      <c r="Y1000">
        <f t="shared" ca="1" si="110"/>
        <v>0</v>
      </c>
      <c r="AA1000" s="63" t="e">
        <f t="shared" ca="1" si="111"/>
        <v>#N/A</v>
      </c>
      <c r="AB1000" s="63" t="e">
        <f t="shared" ca="1" si="112"/>
        <v>#N/A</v>
      </c>
      <c r="AC1000" s="3" t="e">
        <f t="shared" ca="1" si="113"/>
        <v>#N/A</v>
      </c>
    </row>
    <row r="1001" spans="8:29">
      <c r="H1001" t="e">
        <f t="shared" ca="1" si="107"/>
        <v>#N/A</v>
      </c>
      <c r="I1001" t="e">
        <f t="shared" ca="1" si="108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9"/>
        <v>0</v>
      </c>
      <c r="Y1001">
        <f t="shared" ca="1" si="110"/>
        <v>0</v>
      </c>
      <c r="AA1001" s="63" t="e">
        <f t="shared" ca="1" si="111"/>
        <v>#N/A</v>
      </c>
      <c r="AB1001" s="63" t="e">
        <f t="shared" ca="1" si="112"/>
        <v>#N/A</v>
      </c>
      <c r="AC1001" s="3" t="e">
        <f t="shared" ca="1" si="113"/>
        <v>#N/A</v>
      </c>
    </row>
    <row r="1002" spans="8:29">
      <c r="H1002" t="e">
        <f t="shared" ca="1" si="107"/>
        <v>#N/A</v>
      </c>
      <c r="I1002" t="e">
        <f t="shared" ca="1" si="108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9"/>
        <v>0</v>
      </c>
      <c r="Y1002">
        <f t="shared" ca="1" si="110"/>
        <v>0</v>
      </c>
      <c r="AA1002" s="63" t="e">
        <f t="shared" ca="1" si="111"/>
        <v>#N/A</v>
      </c>
      <c r="AB1002" s="63" t="e">
        <f t="shared" ca="1" si="112"/>
        <v>#N/A</v>
      </c>
      <c r="AC1002" s="3" t="e">
        <f t="shared" ca="1" si="113"/>
        <v>#N/A</v>
      </c>
    </row>
    <row r="1003" spans="8:29">
      <c r="H1003" t="e">
        <f t="shared" ca="1" si="107"/>
        <v>#N/A</v>
      </c>
      <c r="I1003" t="e">
        <f t="shared" ca="1" si="108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9"/>
        <v>0</v>
      </c>
      <c r="Y1003">
        <f t="shared" ca="1" si="110"/>
        <v>0</v>
      </c>
      <c r="AA1003" s="63" t="e">
        <f t="shared" ca="1" si="111"/>
        <v>#N/A</v>
      </c>
      <c r="AB1003" s="63" t="e">
        <f t="shared" ca="1" si="112"/>
        <v>#N/A</v>
      </c>
      <c r="AC1003" s="3" t="e">
        <f t="shared" ca="1" si="113"/>
        <v>#N/A</v>
      </c>
    </row>
    <row r="1004" spans="8:29">
      <c r="H1004" t="e">
        <f t="shared" ca="1" si="107"/>
        <v>#N/A</v>
      </c>
      <c r="I1004" t="e">
        <f t="shared" ca="1" si="108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9"/>
        <v>0</v>
      </c>
      <c r="Y1004">
        <f t="shared" ca="1" si="110"/>
        <v>0</v>
      </c>
      <c r="AA1004" s="63" t="e">
        <f t="shared" ca="1" si="111"/>
        <v>#N/A</v>
      </c>
      <c r="AB1004" s="63" t="e">
        <f t="shared" ca="1" si="112"/>
        <v>#N/A</v>
      </c>
      <c r="AC1004" s="3" t="e">
        <f t="shared" ca="1" si="113"/>
        <v>#N/A</v>
      </c>
    </row>
    <row r="1005" spans="8:29">
      <c r="H1005" t="e">
        <f t="shared" ca="1" si="107"/>
        <v>#N/A</v>
      </c>
      <c r="I1005" t="e">
        <f t="shared" ca="1" si="108"/>
        <v>#N/A</v>
      </c>
      <c r="J1005" t="e">
        <f ca="1"/>
        <v>#N/A</v>
      </c>
      <c r="K1005" t="e">
        <f ca="1"/>
        <v>#N/A</v>
      </c>
      <c r="L1005" t="e">
        <f ca="1"/>
        <v>#N/A</v>
      </c>
      <c r="M1005" t="e">
        <f ca="1"/>
        <v>#N/A</v>
      </c>
      <c r="N1005" t="e">
        <f ca="1"/>
        <v>#N/A</v>
      </c>
      <c r="O1005" t="e">
        <f ca="1"/>
        <v>#N/A</v>
      </c>
      <c r="P1005" t="e">
        <f ca="1"/>
        <v>#N/A</v>
      </c>
      <c r="Q1005" t="e">
        <f ca="1"/>
        <v>#N/A</v>
      </c>
      <c r="R1005" t="e">
        <f ca="1"/>
        <v>#N/A</v>
      </c>
      <c r="S1005" t="e">
        <f ca="1"/>
        <v>#N/A</v>
      </c>
      <c r="T1005" t="e">
        <f ca="1"/>
        <v>#N/A</v>
      </c>
      <c r="U1005" t="e">
        <f ca="1"/>
        <v>#N/A</v>
      </c>
      <c r="V1005" t="e">
        <f ca="1"/>
        <v>#N/A</v>
      </c>
      <c r="X1005" s="2">
        <f t="shared" ca="1" si="109"/>
        <v>0</v>
      </c>
      <c r="Y1005">
        <f t="shared" ca="1" si="110"/>
        <v>0</v>
      </c>
      <c r="AA1005" s="63" t="e">
        <f t="shared" ca="1" si="111"/>
        <v>#N/A</v>
      </c>
      <c r="AB1005" s="63" t="e">
        <f t="shared" ca="1" si="112"/>
        <v>#N/A</v>
      </c>
      <c r="AC1005" s="3" t="e">
        <f t="shared" ca="1" si="113"/>
        <v>#N/A</v>
      </c>
    </row>
  </sheetData>
  <mergeCells count="2">
    <mergeCell ref="D17:E17"/>
    <mergeCell ref="A6:B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topLeftCell="Y4" workbookViewId="0">
      <selection activeCell="AM11" sqref="AM11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  <col min="39" max="39" width="15.85546875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278</v>
      </c>
      <c r="CT1" t="s">
        <v>279</v>
      </c>
      <c r="CU1" t="s">
        <v>253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258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257</v>
      </c>
      <c r="CS2" t="s">
        <v>252</v>
      </c>
      <c r="CT2" t="s">
        <v>252</v>
      </c>
      <c r="CU2" t="s">
        <v>252</v>
      </c>
    </row>
    <row r="3" spans="1:99">
      <c r="AS3" s="12"/>
      <c r="AW3" t="s">
        <v>77</v>
      </c>
      <c r="BA3" t="s">
        <v>254</v>
      </c>
      <c r="BO3" t="s">
        <v>88</v>
      </c>
      <c r="BU3" t="s">
        <v>67</v>
      </c>
      <c r="CQ3" s="13" t="s">
        <v>38</v>
      </c>
      <c r="CR3" t="s">
        <v>256</v>
      </c>
      <c r="CS3" t="s">
        <v>244</v>
      </c>
      <c r="CT3" t="s">
        <v>244</v>
      </c>
      <c r="CU3" t="s">
        <v>244</v>
      </c>
    </row>
    <row r="4" spans="1:99">
      <c r="AS4" s="12"/>
      <c r="BA4" t="s">
        <v>255</v>
      </c>
      <c r="BU4" t="s">
        <v>68</v>
      </c>
      <c r="CQ4" s="13"/>
      <c r="CR4" t="s">
        <v>29</v>
      </c>
      <c r="CS4" t="s">
        <v>245</v>
      </c>
      <c r="CT4" t="s">
        <v>245</v>
      </c>
      <c r="CU4" t="s">
        <v>245</v>
      </c>
    </row>
    <row r="5" spans="1:99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246</v>
      </c>
      <c r="CT5" t="s">
        <v>246</v>
      </c>
      <c r="CU5" t="s">
        <v>246</v>
      </c>
    </row>
    <row r="6" spans="1:99" ht="15.75" thickBot="1">
      <c r="AI6" t="s">
        <v>215</v>
      </c>
      <c r="AJ6" t="s">
        <v>217</v>
      </c>
      <c r="AM6" s="116" t="s">
        <v>263</v>
      </c>
      <c r="AN6">
        <v>5</v>
      </c>
      <c r="CS6" t="s">
        <v>247</v>
      </c>
      <c r="CT6" t="s">
        <v>247</v>
      </c>
      <c r="CU6" t="s">
        <v>247</v>
      </c>
    </row>
    <row r="7" spans="1:99">
      <c r="A7" s="45"/>
      <c r="B7" s="46"/>
      <c r="C7" s="46" t="s">
        <v>31</v>
      </c>
      <c r="D7" s="46" t="s">
        <v>45</v>
      </c>
      <c r="E7" s="46" t="s">
        <v>280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186</v>
      </c>
      <c r="Z7" s="111" t="s">
        <v>202</v>
      </c>
      <c r="AA7">
        <v>1.7</v>
      </c>
      <c r="AC7" t="s">
        <v>205</v>
      </c>
      <c r="AE7" t="s">
        <v>259</v>
      </c>
      <c r="AF7">
        <v>2</v>
      </c>
      <c r="AH7" t="s">
        <v>210</v>
      </c>
      <c r="AI7">
        <v>0.7</v>
      </c>
      <c r="AJ7">
        <v>0.76</v>
      </c>
      <c r="AM7" s="114" t="s">
        <v>264</v>
      </c>
      <c r="AN7">
        <v>15</v>
      </c>
      <c r="AP7" t="s">
        <v>242</v>
      </c>
      <c r="AR7" t="s">
        <v>271</v>
      </c>
      <c r="CS7" t="s">
        <v>248</v>
      </c>
      <c r="CT7" t="s">
        <v>248</v>
      </c>
      <c r="CU7" t="s">
        <v>248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278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179</v>
      </c>
      <c r="V8">
        <v>1</v>
      </c>
      <c r="X8" s="42" t="s">
        <v>187</v>
      </c>
      <c r="Z8" s="42" t="s">
        <v>193</v>
      </c>
      <c r="AA8">
        <v>1.35</v>
      </c>
      <c r="AC8" t="s">
        <v>209</v>
      </c>
      <c r="AE8" t="s">
        <v>260</v>
      </c>
      <c r="AF8">
        <v>3</v>
      </c>
      <c r="AH8" t="s">
        <v>66</v>
      </c>
      <c r="AI8">
        <v>1.1499999999999999</v>
      </c>
      <c r="AJ8">
        <v>1.22</v>
      </c>
      <c r="AM8" s="114" t="s">
        <v>265</v>
      </c>
      <c r="AN8">
        <v>17</v>
      </c>
      <c r="AP8" t="s">
        <v>226</v>
      </c>
      <c r="AR8" t="s">
        <v>272</v>
      </c>
      <c r="CS8" t="s">
        <v>249</v>
      </c>
      <c r="CT8" t="s">
        <v>249</v>
      </c>
      <c r="CU8" t="s">
        <v>249</v>
      </c>
    </row>
    <row r="9" spans="1:99" ht="15.7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279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180</v>
      </c>
      <c r="V9">
        <v>2</v>
      </c>
      <c r="X9" s="42" t="s">
        <v>189</v>
      </c>
      <c r="Z9" s="42" t="s">
        <v>192</v>
      </c>
      <c r="AA9">
        <v>1</v>
      </c>
      <c r="AE9" t="s">
        <v>261</v>
      </c>
      <c r="AH9" t="s">
        <v>211</v>
      </c>
      <c r="AI9">
        <v>1.1499999999999999</v>
      </c>
      <c r="AJ9">
        <v>1.2</v>
      </c>
      <c r="AM9" s="114" t="s">
        <v>266</v>
      </c>
      <c r="AN9">
        <v>20</v>
      </c>
      <c r="AR9" t="s">
        <v>273</v>
      </c>
      <c r="CS9" t="s">
        <v>250</v>
      </c>
      <c r="CT9" t="s">
        <v>250</v>
      </c>
      <c r="CU9" t="s">
        <v>250</v>
      </c>
    </row>
    <row r="10" spans="1:99" ht="15.7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253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181</v>
      </c>
      <c r="V10">
        <v>3</v>
      </c>
      <c r="X10" s="43" t="s">
        <v>188</v>
      </c>
      <c r="Z10" s="42" t="s">
        <v>194</v>
      </c>
      <c r="AA10">
        <v>0.65</v>
      </c>
      <c r="AE10" t="s">
        <v>262</v>
      </c>
      <c r="AH10" t="s">
        <v>212</v>
      </c>
      <c r="AI10">
        <v>0.8</v>
      </c>
      <c r="AJ10">
        <v>0.83</v>
      </c>
      <c r="AM10" s="114" t="s">
        <v>281</v>
      </c>
      <c r="AN10">
        <v>16</v>
      </c>
      <c r="AR10" t="s">
        <v>274</v>
      </c>
      <c r="CS10" t="s">
        <v>251</v>
      </c>
      <c r="CT10" t="s">
        <v>251</v>
      </c>
      <c r="CU10" t="s">
        <v>251</v>
      </c>
    </row>
    <row r="11" spans="1:99" ht="15.7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203</v>
      </c>
      <c r="AA11">
        <v>0.3</v>
      </c>
      <c r="AH11" t="s">
        <v>213</v>
      </c>
      <c r="AI11">
        <v>1.17</v>
      </c>
      <c r="AJ11">
        <v>1.24</v>
      </c>
      <c r="AM11" s="114" t="s">
        <v>237</v>
      </c>
      <c r="AN11">
        <v>32</v>
      </c>
      <c r="AR11" t="s">
        <v>275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214</v>
      </c>
      <c r="AI12">
        <v>1.1599999999999999</v>
      </c>
      <c r="AJ12">
        <v>1.19</v>
      </c>
      <c r="AM12" s="114" t="s">
        <v>267</v>
      </c>
      <c r="AN12">
        <v>35</v>
      </c>
    </row>
    <row r="13" spans="1:99" ht="15.75" thickBot="1">
      <c r="A13" s="12"/>
      <c r="C13" s="49" t="s">
        <v>32</v>
      </c>
      <c r="D13" s="49" t="s">
        <v>49</v>
      </c>
      <c r="F13" s="49" t="s">
        <v>56</v>
      </c>
      <c r="G13" s="50" t="s">
        <v>59</v>
      </c>
      <c r="L13" s="43" t="s">
        <v>107</v>
      </c>
      <c r="N13" s="43"/>
      <c r="AH13" t="s">
        <v>218</v>
      </c>
      <c r="AM13" s="114" t="s">
        <v>268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269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270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238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239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.75" thickBot="1">
      <c r="A37" s="12"/>
      <c r="G37" s="51" t="s">
        <v>85</v>
      </c>
    </row>
    <row r="38" spans="1:7" ht="15.7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93" activePane="bottomRight" state="frozen"/>
      <selection pane="topRight" activeCell="G1" sqref="G1"/>
      <selection pane="bottomLeft" activeCell="A2" sqref="A2"/>
      <selection pane="bottomRight" activeCell="E35" sqref="E35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  <col min="20" max="20" width="23.425781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Barley Fodder General</v>
      </c>
      <c r="B6">
        <v>7</v>
      </c>
      <c r="C6" t="str">
        <v>Fodder</v>
      </c>
      <c r="D6" t="str">
        <v>Cereal</v>
      </c>
      <c r="E6" t="str">
        <v>Barley</v>
      </c>
      <c r="F6" t="str">
        <v>General</v>
      </c>
      <c r="G6" t="str">
        <v>Poaceae</v>
      </c>
      <c r="H6" t="str">
        <v>Hordeum</v>
      </c>
      <c r="I6" t="str">
        <v>vulgure</v>
      </c>
      <c r="J6" t="str">
        <v/>
      </c>
      <c r="K6" t="str">
        <v>Hordeum vulgure</v>
      </c>
      <c r="L6" t="str">
        <v>vulgure</v>
      </c>
      <c r="M6" t="str">
        <v>Seed</v>
      </c>
      <c r="N6" t="str">
        <v>Jul</v>
      </c>
      <c r="O6" t="str">
        <v>EarlyReproductive</v>
      </c>
      <c r="P6" t="str">
        <v>Nov</v>
      </c>
      <c r="Q6">
        <v>8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1.2000000476837158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Maize Fodder General</v>
      </c>
      <c r="B7">
        <v>12</v>
      </c>
      <c r="C7" t="str">
        <v>Fodder</v>
      </c>
      <c r="D7" t="str">
        <v>Cereal</v>
      </c>
      <c r="E7" t="str">
        <v>Maize</v>
      </c>
      <c r="F7" t="str">
        <v>General</v>
      </c>
      <c r="G7" t="str">
        <v>Poaceae</v>
      </c>
      <c r="H7" t="str">
        <v>Zea</v>
      </c>
      <c r="I7" t="str">
        <v>mays</v>
      </c>
      <c r="J7" t="str">
        <v/>
      </c>
      <c r="K7" t="str">
        <v>Zea mays</v>
      </c>
      <c r="L7" t="str">
        <v>mays</v>
      </c>
      <c r="M7" t="str">
        <v>Seed</v>
      </c>
      <c r="N7" t="str">
        <v>Nov</v>
      </c>
      <c r="O7" t="str">
        <v>EarlyReproductive</v>
      </c>
      <c r="P7" t="str">
        <v>Feb</v>
      </c>
      <c r="Q7">
        <v>22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1.5</v>
      </c>
      <c r="AC7">
        <v>0.85000002384185791</v>
      </c>
      <c r="AD7">
        <v>1</v>
      </c>
      <c r="AE7">
        <v>0.89999997615814209</v>
      </c>
      <c r="AF7">
        <v>0.69999998807907104</v>
      </c>
      <c r="AG7">
        <v>0.82999998331069946</v>
      </c>
    </row>
    <row r="8" spans="1:33">
      <c r="A8" t="str">
        <v>Oat Fodder General</v>
      </c>
      <c r="B8">
        <v>0</v>
      </c>
      <c r="C8" t="str">
        <v>Fodder</v>
      </c>
      <c r="D8" t="str">
        <v>Cereal</v>
      </c>
      <c r="E8" t="str">
        <v>Oat</v>
      </c>
      <c r="F8" t="str">
        <v>General</v>
      </c>
      <c r="G8" t="str">
        <v>Poaceae</v>
      </c>
      <c r="H8" t="str">
        <v>Avena</v>
      </c>
      <c r="I8" t="str">
        <v>sativa</v>
      </c>
      <c r="J8" t="str">
        <v/>
      </c>
      <c r="K8" t="str">
        <v>Avena sativa</v>
      </c>
      <c r="L8" t="str">
        <v>sativa</v>
      </c>
      <c r="M8" t="str">
        <v>Seed</v>
      </c>
      <c r="N8" t="str">
        <v>Jul</v>
      </c>
      <c r="O8" t="str">
        <v>EarlyReproductive</v>
      </c>
      <c r="P8" t="str">
        <v>Nov</v>
      </c>
      <c r="Q8">
        <v>7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1.5</v>
      </c>
    </row>
    <row r="9" spans="1:33">
      <c r="A9" t="str">
        <v>Rye corn Fodder General</v>
      </c>
      <c r="B9">
        <v>9</v>
      </c>
      <c r="C9" t="str">
        <v>Fodder</v>
      </c>
      <c r="D9" t="str">
        <v>Cereal</v>
      </c>
      <c r="E9" t="str">
        <v>Rye corn</v>
      </c>
      <c r="F9" t="str">
        <v>General</v>
      </c>
      <c r="G9" t="str">
        <v>Poaceae</v>
      </c>
      <c r="H9" t="str">
        <v>Secale</v>
      </c>
      <c r="I9" t="str">
        <v>cereale</v>
      </c>
      <c r="J9" t="str">
        <v/>
      </c>
      <c r="K9" t="str">
        <v>Secale cereale</v>
      </c>
      <c r="L9" t="str">
        <v>cereale</v>
      </c>
      <c r="M9" t="str">
        <v>Seed</v>
      </c>
      <c r="N9" t="str">
        <v>Feb</v>
      </c>
      <c r="O9" t="str">
        <v>EarlyReproductive</v>
      </c>
      <c r="P9" t="str">
        <v>Sep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Wheat Fodder General</v>
      </c>
      <c r="B11">
        <v>10</v>
      </c>
      <c r="C11" t="str">
        <v>Fodder</v>
      </c>
      <c r="D11" t="str">
        <v>Cereal</v>
      </c>
      <c r="E11" t="str">
        <v>Wheat</v>
      </c>
      <c r="F11" t="str">
        <v>General</v>
      </c>
      <c r="G11" t="str">
        <v>Poaceae</v>
      </c>
      <c r="H11" t="str">
        <v>Triticum</v>
      </c>
      <c r="I11" t="str">
        <v>astevium</v>
      </c>
      <c r="J11" t="str">
        <v/>
      </c>
      <c r="K11" t="str">
        <v>Triticum astevium</v>
      </c>
      <c r="L11" t="str">
        <v>astevium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3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2.2000000476837158</v>
      </c>
    </row>
    <row r="13" spans="1:33">
      <c r="A13" t="str">
        <v>Pasture Regrowth</v>
      </c>
      <c r="B13">
        <v>0</v>
      </c>
      <c r="C13" t="str">
        <v>Fodder</v>
      </c>
      <c r="D13" t="str">
        <v>Grass</v>
      </c>
      <c r="E13" t="str">
        <v>Pasture</v>
      </c>
      <c r="F13" t="str">
        <v>General</v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>Seedling</v>
      </c>
      <c r="N13" t="str">
        <v>Apr</v>
      </c>
      <c r="O13" t="str">
        <v>EarlyReproductive</v>
      </c>
      <c r="P13" t="str">
        <v>Dec</v>
      </c>
      <c r="Q13">
        <v>3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0.69999998807907104</v>
      </c>
      <c r="Y13">
        <v>0</v>
      </c>
      <c r="Z13">
        <v>0</v>
      </c>
      <c r="AA13">
        <v>0.10000000149011612</v>
      </c>
      <c r="AB13">
        <v>0.89999997615814209</v>
      </c>
      <c r="AC13">
        <v>1</v>
      </c>
      <c r="AD13">
        <v>1.5</v>
      </c>
      <c r="AE13">
        <v>0.89999997615814209</v>
      </c>
      <c r="AF13">
        <v>1.8999999761581421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Rape Fodder General</v>
      </c>
      <c r="B15">
        <v>3</v>
      </c>
      <c r="C15" t="str">
        <v>Fodder</v>
      </c>
      <c r="D15" t="str">
        <v>Leafy brassica</v>
      </c>
      <c r="E15" t="str">
        <v>Rape</v>
      </c>
      <c r="F15" t="str">
        <v>General</v>
      </c>
      <c r="G15" t="str">
        <v>Brassicaceae</v>
      </c>
      <c r="H15" t="str">
        <v>Brassica</v>
      </c>
      <c r="I15" t="str">
        <v>napus</v>
      </c>
      <c r="J15" t="str">
        <v>napus</v>
      </c>
      <c r="K15" t="str">
        <v>Brassica napus napus</v>
      </c>
      <c r="L15" t="str">
        <v>napus napus</v>
      </c>
      <c r="M15" t="str">
        <v>Seed</v>
      </c>
      <c r="N15" t="str">
        <v>Oct</v>
      </c>
      <c r="O15" t="str">
        <v>EarlyReproductive</v>
      </c>
      <c r="P15" t="str">
        <v>Jan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0.77799999713897705</v>
      </c>
      <c r="Y15">
        <v>-0.12200000137090683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</v>
      </c>
      <c r="AG15">
        <v>2.5</v>
      </c>
    </row>
    <row r="16" spans="1:33">
      <c r="A16" t="str">
        <v>Turnip Fodder Leafy</v>
      </c>
      <c r="B16">
        <v>6</v>
      </c>
      <c r="C16" t="str">
        <v>Fodder</v>
      </c>
      <c r="D16" t="str">
        <v>Leafy brassica</v>
      </c>
      <c r="E16" t="str">
        <v>Turnip</v>
      </c>
      <c r="F16" t="str">
        <v>Leafy</v>
      </c>
      <c r="G16" t="str">
        <v>Brassicaceae</v>
      </c>
      <c r="H16" t="str">
        <v>Brassica</v>
      </c>
      <c r="I16" t="str">
        <v>rapa x napus</v>
      </c>
      <c r="J16" t="str">
        <v/>
      </c>
      <c r="K16" t="str">
        <v>Brassica rapa x napus</v>
      </c>
      <c r="L16" t="str">
        <v>rapa x napus</v>
      </c>
      <c r="M16" t="str">
        <v>Seed</v>
      </c>
      <c r="N16" t="str">
        <v>Oct</v>
      </c>
      <c r="O16" t="str">
        <v>Vegetative</v>
      </c>
      <c r="P16" t="str">
        <v>Mar</v>
      </c>
      <c r="Q16">
        <v>6</v>
      </c>
      <c r="R16" t="str">
        <v>t/ha</v>
      </c>
      <c r="S16" t="str">
        <v>Standing DM</v>
      </c>
      <c r="T16">
        <v>1</v>
      </c>
      <c r="U16" t="str">
        <v>Dry</v>
      </c>
      <c r="V16">
        <v>0</v>
      </c>
      <c r="W16">
        <v>0</v>
      </c>
      <c r="X16">
        <v>0.49000000953674316</v>
      </c>
      <c r="Y16">
        <v>-0.20999999344348907</v>
      </c>
      <c r="Z16">
        <v>0</v>
      </c>
      <c r="AA16">
        <v>0.10000000149011612</v>
      </c>
      <c r="AB16">
        <v>1.2000000476837158</v>
      </c>
      <c r="AC16">
        <v>1</v>
      </c>
      <c r="AD16">
        <v>2</v>
      </c>
      <c r="AE16">
        <v>0.80000001192092896</v>
      </c>
      <c r="AF16">
        <v>1.5</v>
      </c>
      <c r="AG16">
        <v>3.5</v>
      </c>
    </row>
    <row r="17" spans="1:33">
      <c r="A17" t="str">
        <v>Barley Grain General</v>
      </c>
      <c r="B17">
        <v>18</v>
      </c>
      <c r="C17" t="str">
        <v>Grain</v>
      </c>
      <c r="D17" t="str">
        <v>Cereal</v>
      </c>
      <c r="E17" t="str">
        <v>Barley</v>
      </c>
      <c r="F17" t="str">
        <v>General</v>
      </c>
      <c r="G17" t="str">
        <v>Poaceae</v>
      </c>
      <c r="H17" t="str">
        <v>Hordeum</v>
      </c>
      <c r="I17" t="str">
        <v>vulgure</v>
      </c>
      <c r="J17" t="str">
        <v/>
      </c>
      <c r="K17" t="str">
        <v>Hordeum vulgure</v>
      </c>
      <c r="L17" t="str">
        <v>vulgure</v>
      </c>
      <c r="M17" t="str">
        <v>Seed</v>
      </c>
      <c r="N17" t="str">
        <v>Sep</v>
      </c>
      <c r="O17" t="str">
        <v>Maturity</v>
      </c>
      <c r="P17" t="str">
        <v>Feb</v>
      </c>
      <c r="Q17">
        <v>10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0.46299999952316284</v>
      </c>
      <c r="Y17">
        <v>0.10000000149011612</v>
      </c>
      <c r="Z17">
        <v>13</v>
      </c>
      <c r="AA17">
        <v>0.10000000149011612</v>
      </c>
      <c r="AB17">
        <v>1.2000000476837158</v>
      </c>
      <c r="AC17">
        <v>1</v>
      </c>
      <c r="AD17">
        <v>1</v>
      </c>
      <c r="AE17">
        <v>0.89999997615814209</v>
      </c>
      <c r="AF17">
        <v>0.5</v>
      </c>
      <c r="AG17">
        <v>1.2000000476837158</v>
      </c>
    </row>
    <row r="18" spans="1:33">
      <c r="A18" t="str">
        <v>Maize Grain General</v>
      </c>
      <c r="B18">
        <v>25</v>
      </c>
      <c r="C18" t="str">
        <v>Grain</v>
      </c>
      <c r="D18" t="str">
        <v>Cereal</v>
      </c>
      <c r="E18" t="str">
        <v>Maize</v>
      </c>
      <c r="F18" t="str">
        <v>General</v>
      </c>
      <c r="G18" t="str">
        <v>Poaceae</v>
      </c>
      <c r="H18" t="str">
        <v>Zea</v>
      </c>
      <c r="I18" t="str">
        <v>mays</v>
      </c>
      <c r="J18" t="str">
        <v/>
      </c>
      <c r="K18" t="str">
        <v>Zea mays</v>
      </c>
      <c r="L18" t="str">
        <v>mays</v>
      </c>
      <c r="M18" t="str">
        <v>Seed</v>
      </c>
      <c r="N18" t="str">
        <v>Oct</v>
      </c>
      <c r="O18" t="str">
        <v>Maturity</v>
      </c>
      <c r="P18" t="str">
        <v>Apr</v>
      </c>
      <c r="Q18">
        <v>13.300000190734863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0.5</v>
      </c>
      <c r="Y18">
        <v>0</v>
      </c>
      <c r="Z18">
        <v>13</v>
      </c>
      <c r="AA18">
        <v>0.10000000149011612</v>
      </c>
      <c r="AB18">
        <v>1.5</v>
      </c>
      <c r="AC18">
        <v>0.85000002384185791</v>
      </c>
      <c r="AD18">
        <v>1</v>
      </c>
      <c r="AE18">
        <v>0.89999997615814209</v>
      </c>
      <c r="AF18">
        <v>0.69999998807907104</v>
      </c>
      <c r="AG18">
        <v>1.3999999761581421</v>
      </c>
    </row>
    <row r="19" spans="1:33">
      <c r="A19" t="str">
        <v>Oat Grain General</v>
      </c>
      <c r="B19">
        <v>13</v>
      </c>
      <c r="C19" t="str">
        <v>Grain</v>
      </c>
      <c r="D19" t="str">
        <v>Cereal</v>
      </c>
      <c r="E19" t="str">
        <v>Oat</v>
      </c>
      <c r="F19" t="str">
        <v>General</v>
      </c>
      <c r="G19" t="str">
        <v>Poaceae</v>
      </c>
      <c r="H19" t="str">
        <v>Avena</v>
      </c>
      <c r="I19" t="str">
        <v>sativa</v>
      </c>
      <c r="J19" t="str">
        <v/>
      </c>
      <c r="K19" t="str">
        <v>Avena sativa</v>
      </c>
      <c r="L19" t="str">
        <v>sativa</v>
      </c>
      <c r="M19" t="str">
        <v>Seed</v>
      </c>
      <c r="N19" t="str">
        <v>May</v>
      </c>
      <c r="O19" t="str">
        <v>Maturity</v>
      </c>
      <c r="P19" t="str">
        <v>Feb</v>
      </c>
      <c r="Q19">
        <v>8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0.40000000596046448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1.2999999523162842</v>
      </c>
    </row>
    <row r="20" spans="1:33">
      <c r="A20" t="str">
        <v>Sunflower Grain General</v>
      </c>
      <c r="B20">
        <v>17</v>
      </c>
      <c r="C20" t="str">
        <v>Grain</v>
      </c>
      <c r="D20" t="str">
        <v>Cereal</v>
      </c>
      <c r="E20" t="str">
        <v>Sunflower</v>
      </c>
      <c r="F20" t="str">
        <v>General</v>
      </c>
      <c r="G20" t="str">
        <v>Asteraceae</v>
      </c>
      <c r="H20" t="str">
        <v>Helianthus</v>
      </c>
      <c r="I20" t="str">
        <v>annus</v>
      </c>
      <c r="J20" t="str">
        <v/>
      </c>
      <c r="K20" t="str">
        <v>Helianthus annus</v>
      </c>
      <c r="L20" t="str">
        <v>annus</v>
      </c>
      <c r="M20" t="str">
        <v>Seed</v>
      </c>
      <c r="N20" t="str">
        <v>Oct</v>
      </c>
      <c r="O20" t="str">
        <v>Maturity</v>
      </c>
      <c r="P20" t="str">
        <v>Mar</v>
      </c>
      <c r="Q20">
        <v>3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0.30000001192092896</v>
      </c>
      <c r="Y20">
        <v>0.10000000149011612</v>
      </c>
      <c r="Z20">
        <v>8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1.2999999523162842</v>
      </c>
      <c r="AG20">
        <v>2.4000000953674316</v>
      </c>
    </row>
    <row r="21" spans="1:33">
      <c r="A21" t="str">
        <v>Wheat Grain Breed</v>
      </c>
      <c r="B21">
        <v>23</v>
      </c>
      <c r="C21" t="str">
        <v>Grain</v>
      </c>
      <c r="D21" t="str">
        <v>Cereal</v>
      </c>
      <c r="E21" t="str">
        <v>Wheat</v>
      </c>
      <c r="F21" t="str">
        <v>Bread</v>
      </c>
      <c r="G21" t="str">
        <v>Poaceae</v>
      </c>
      <c r="H21" t="str">
        <v>Triticum</v>
      </c>
      <c r="I21" t="str">
        <v>astevium</v>
      </c>
      <c r="J21" t="str">
        <v/>
      </c>
      <c r="K21" t="str">
        <v>Triticum astevium</v>
      </c>
      <c r="L21" t="str">
        <v>astevium</v>
      </c>
      <c r="M21" t="str">
        <v>Seed</v>
      </c>
      <c r="N21" t="str">
        <v>Apr</v>
      </c>
      <c r="O21" t="str">
        <v>Maturity</v>
      </c>
      <c r="P21" t="str">
        <v>Feb</v>
      </c>
      <c r="Q21">
        <v>10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0.41170001029968262</v>
      </c>
      <c r="Y21">
        <v>0.10000000149011612</v>
      </c>
      <c r="Z21">
        <v>13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0.89999997615814209</v>
      </c>
      <c r="AG21">
        <v>2.5</v>
      </c>
    </row>
    <row r="22" spans="1:33">
      <c r="A22" t="str">
        <v>Wheat Grain Feed</v>
      </c>
      <c r="B22">
        <v>24</v>
      </c>
      <c r="C22" t="str">
        <v>Grain</v>
      </c>
      <c r="D22" t="str">
        <v>Cereal</v>
      </c>
      <c r="E22" t="str">
        <v>Wheat</v>
      </c>
      <c r="F22" t="str">
        <v>Feed</v>
      </c>
      <c r="G22" t="str">
        <v>Poaceae</v>
      </c>
      <c r="H22" t="str">
        <v>Triticum</v>
      </c>
      <c r="I22" t="str">
        <v>astevium</v>
      </c>
      <c r="J22" t="str">
        <v/>
      </c>
      <c r="K22" t="str">
        <v>Triticum astevium</v>
      </c>
      <c r="L22" t="str">
        <v>astevium</v>
      </c>
      <c r="M22" t="str">
        <v>Seed</v>
      </c>
      <c r="N22" t="str">
        <v>Apr</v>
      </c>
      <c r="O22" t="str">
        <v>Maturity</v>
      </c>
      <c r="P22" t="str">
        <v>Feb</v>
      </c>
      <c r="Q22">
        <v>12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0.41170001029968262</v>
      </c>
      <c r="Y22">
        <v>0.10000000149011612</v>
      </c>
      <c r="Z22">
        <v>13</v>
      </c>
      <c r="AA22">
        <v>0.10000000149011612</v>
      </c>
      <c r="AB22">
        <v>1.5</v>
      </c>
      <c r="AC22">
        <v>1</v>
      </c>
      <c r="AD22">
        <v>1</v>
      </c>
      <c r="AE22">
        <v>0.89999997615814209</v>
      </c>
      <c r="AF22">
        <v>0.89999997615814209</v>
      </c>
      <c r="AG22">
        <v>2</v>
      </c>
    </row>
    <row r="23" spans="1:33">
      <c r="A23" t="str">
        <v>Canola Grain General</v>
      </c>
      <c r="B23">
        <v>14</v>
      </c>
      <c r="C23" t="str">
        <v>Grain</v>
      </c>
      <c r="D23" t="str">
        <v>Oilseed</v>
      </c>
      <c r="E23" t="str">
        <v>Canola</v>
      </c>
      <c r="F23" t="str">
        <v>General</v>
      </c>
      <c r="G23" t="str">
        <v>Brassicaceae</v>
      </c>
      <c r="H23" t="str">
        <v>Brassica</v>
      </c>
      <c r="I23" t="str">
        <v>napus</v>
      </c>
      <c r="J23" t="str">
        <v>napus</v>
      </c>
      <c r="K23" t="str">
        <v>Brassica napus napus</v>
      </c>
      <c r="L23" t="str">
        <v>napus napus</v>
      </c>
      <c r="M23" t="str">
        <v>Seed</v>
      </c>
      <c r="N23" t="str">
        <v>Apr</v>
      </c>
      <c r="O23" t="str">
        <v>LateReproductive</v>
      </c>
      <c r="P23" t="str">
        <v>Jan</v>
      </c>
      <c r="Q23">
        <v>4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0.27000001072883606</v>
      </c>
      <c r="Y23">
        <v>1.3000000268220901E-2</v>
      </c>
      <c r="Z23">
        <v>9</v>
      </c>
      <c r="AA23">
        <v>0.10000000149011612</v>
      </c>
      <c r="AB23">
        <v>1.2000000476837158</v>
      </c>
      <c r="AC23">
        <v>1</v>
      </c>
      <c r="AD23">
        <v>2</v>
      </c>
      <c r="AE23">
        <v>0.80000001192092896</v>
      </c>
      <c r="AF23">
        <v>1.1499999761581421</v>
      </c>
      <c r="AG23">
        <v>3.2200000286102295</v>
      </c>
    </row>
    <row r="24" spans="1:33">
      <c r="A24" t="str">
        <v>Hemp Grain General</v>
      </c>
      <c r="B24">
        <v>15</v>
      </c>
      <c r="C24" t="str">
        <v>Grain</v>
      </c>
      <c r="D24" t="str">
        <v>Oilseed</v>
      </c>
      <c r="E24" t="str">
        <v>Hemp</v>
      </c>
      <c r="F24" t="str">
        <v>General</v>
      </c>
      <c r="G24" t="str">
        <v>Cannabaceae</v>
      </c>
      <c r="H24" t="str">
        <v>Cannabis</v>
      </c>
      <c r="I24" t="str">
        <v>x</v>
      </c>
      <c r="J24" t="str">
        <v/>
      </c>
      <c r="K24" t="str">
        <v>Cannabis x</v>
      </c>
      <c r="L24" t="str">
        <v>x</v>
      </c>
      <c r="M24" t="str">
        <v>Seed</v>
      </c>
      <c r="N24" t="str">
        <v>Nov</v>
      </c>
      <c r="O24" t="str">
        <v>Maturity</v>
      </c>
      <c r="P24" t="str">
        <v>Mar</v>
      </c>
      <c r="Q24">
        <v>1.1499999761581421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0.10000000149011612</v>
      </c>
      <c r="Y24">
        <v>5.000000074505806E-2</v>
      </c>
      <c r="Z24">
        <v>9</v>
      </c>
      <c r="AA24">
        <v>0.10000000149011612</v>
      </c>
      <c r="AB24">
        <v>1.5</v>
      </c>
      <c r="AC24">
        <v>1</v>
      </c>
      <c r="AD24">
        <v>1</v>
      </c>
      <c r="AE24">
        <v>1</v>
      </c>
      <c r="AF24">
        <v>1</v>
      </c>
      <c r="AG24">
        <v>4</v>
      </c>
    </row>
    <row r="25" spans="1:33">
      <c r="A25" t="str">
        <v>Linseed Grain General</v>
      </c>
      <c r="B25">
        <v>20</v>
      </c>
      <c r="C25" t="str">
        <v>Grain</v>
      </c>
      <c r="D25" t="str">
        <v>Oilseed</v>
      </c>
      <c r="E25" t="str">
        <v>Linseed</v>
      </c>
      <c r="F25" t="str">
        <v>General</v>
      </c>
      <c r="G25" t="str">
        <v>Linaceae</v>
      </c>
      <c r="H25" t="str">
        <v>Linum</v>
      </c>
      <c r="I25" t="str">
        <v>usitatissimum</v>
      </c>
      <c r="J25" t="str">
        <v/>
      </c>
      <c r="K25" t="str">
        <v>Linum usitatissimum</v>
      </c>
      <c r="L25" t="str">
        <v>usitatissimum</v>
      </c>
      <c r="M25" t="str">
        <v>Seed</v>
      </c>
      <c r="N25" t="str">
        <v>Sep</v>
      </c>
      <c r="O25" t="str">
        <v>LateReproductive</v>
      </c>
      <c r="P25" t="str">
        <v>Mar</v>
      </c>
      <c r="Q25">
        <v>2.5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0.2083333283662796</v>
      </c>
      <c r="Y25">
        <v>0</v>
      </c>
      <c r="Z25">
        <v>9</v>
      </c>
      <c r="AA25">
        <v>0.10000000149011612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4.3000001907348633</v>
      </c>
    </row>
    <row r="26" spans="1:33">
      <c r="A26" t="str">
        <v>Bean Grain General</v>
      </c>
      <c r="B26">
        <v>21</v>
      </c>
      <c r="C26" t="str">
        <v>Grain</v>
      </c>
      <c r="D26" t="str">
        <v>Pulse</v>
      </c>
      <c r="E26" t="str">
        <v>Bean</v>
      </c>
      <c r="F26" t="str">
        <v>General</v>
      </c>
      <c r="G26" t="str">
        <v>Fabaceae</v>
      </c>
      <c r="H26" t="str">
        <v>Phaseolus</v>
      </c>
      <c r="I26" t="str">
        <v>vulgaris</v>
      </c>
      <c r="J26" t="str">
        <v/>
      </c>
      <c r="K26" t="str">
        <v>Phaseolus vulgaris</v>
      </c>
      <c r="L26" t="str">
        <v>vulgaris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Chickpea Grain General</v>
      </c>
      <c r="B27">
        <v>16</v>
      </c>
      <c r="C27" t="str">
        <v>Grain</v>
      </c>
      <c r="D27" t="str">
        <v>Pulse</v>
      </c>
      <c r="E27" t="str">
        <v>Chickpea</v>
      </c>
      <c r="F27" t="str">
        <v>General</v>
      </c>
      <c r="G27" t="str">
        <v>Fabaceae</v>
      </c>
      <c r="H27" t="str">
        <v>Cicer</v>
      </c>
      <c r="I27" t="str">
        <v>arietinum</v>
      </c>
      <c r="J27" t="str">
        <v/>
      </c>
      <c r="K27" t="str">
        <v>Cicer arietinum</v>
      </c>
      <c r="L27" t="str">
        <v>arietinum</v>
      </c>
      <c r="M27" t="str">
        <v>Seed</v>
      </c>
      <c r="N27" t="str">
        <v>Oct</v>
      </c>
      <c r="O27" t="str">
        <v>LateReproductive</v>
      </c>
      <c r="P27" t="str">
        <v>Mar</v>
      </c>
      <c r="Q27">
        <v>4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15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4.6999998092651367</v>
      </c>
    </row>
    <row r="28" spans="1:33">
      <c r="A28" t="str">
        <v>Lentil Grain General</v>
      </c>
      <c r="B28">
        <v>19</v>
      </c>
      <c r="C28" t="str">
        <v>Grain</v>
      </c>
      <c r="D28" t="str">
        <v>Pulse</v>
      </c>
      <c r="E28" t="str">
        <v>Lentil</v>
      </c>
      <c r="F28" t="str">
        <v>General</v>
      </c>
      <c r="G28" t="str">
        <v>Fabaceae</v>
      </c>
      <c r="H28" t="str">
        <v>Lens</v>
      </c>
      <c r="I28" t="str">
        <v>culinaris</v>
      </c>
      <c r="J28" t="str">
        <v/>
      </c>
      <c r="K28" t="str">
        <v>Lens culinaris</v>
      </c>
      <c r="L28" t="str">
        <v>culinaris</v>
      </c>
      <c r="M28" t="str">
        <v>Seed</v>
      </c>
      <c r="N28" t="str">
        <v>Oct</v>
      </c>
      <c r="O28" t="str">
        <v>Maturity</v>
      </c>
      <c r="P28" t="str">
        <v>Mar</v>
      </c>
      <c r="Q28">
        <v>3.5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1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Pea Grain General</v>
      </c>
      <c r="B29">
        <v>22</v>
      </c>
      <c r="C29" t="str">
        <v>Grain</v>
      </c>
      <c r="D29" t="str">
        <v>Pulse</v>
      </c>
      <c r="E29" t="str">
        <v>Pea</v>
      </c>
      <c r="F29" t="str">
        <v>General</v>
      </c>
      <c r="G29" t="str">
        <v>Fabaceae</v>
      </c>
      <c r="H29" t="str">
        <v>Pisum</v>
      </c>
      <c r="I29" t="str">
        <v>sativum</v>
      </c>
      <c r="J29" t="str">
        <v/>
      </c>
      <c r="K29" t="str">
        <v>Pisum sativum</v>
      </c>
      <c r="L29" t="str">
        <v>sativum</v>
      </c>
      <c r="M29" t="str">
        <v>Seed</v>
      </c>
      <c r="N29" t="str">
        <v>Oct</v>
      </c>
      <c r="O29" t="str">
        <v>Maturity</v>
      </c>
      <c r="P29" t="str">
        <v>Mar</v>
      </c>
      <c r="Q29">
        <v>5.5</v>
      </c>
      <c r="R29" t="str">
        <v>t/ha</v>
      </c>
      <c r="S29" t="str">
        <v>Saleable grain</v>
      </c>
      <c r="T29">
        <v>1</v>
      </c>
      <c r="U29" t="str">
        <v>Total</v>
      </c>
      <c r="V29">
        <v>0</v>
      </c>
      <c r="W29">
        <v>0</v>
      </c>
      <c r="X29">
        <v>0.30000001192092896</v>
      </c>
      <c r="Y29">
        <v>0</v>
      </c>
      <c r="Z29">
        <v>14</v>
      </c>
      <c r="AA29">
        <v>0.10000000149011612</v>
      </c>
      <c r="AB29">
        <v>0.69999998807907104</v>
      </c>
      <c r="AC29">
        <v>1</v>
      </c>
      <c r="AD29">
        <v>1</v>
      </c>
      <c r="AE29">
        <v>1.5</v>
      </c>
      <c r="AF29">
        <v>1.6000000238418579</v>
      </c>
      <c r="AG29">
        <v>3.5</v>
      </c>
    </row>
    <row r="30" spans="1:33">
      <c r="A30" t="str">
        <v>Lupin Green manure General</v>
      </c>
      <c r="B30">
        <v>74</v>
      </c>
      <c r="C30" t="str">
        <v>Green manure</v>
      </c>
      <c r="D30" t="str">
        <v>Green manure</v>
      </c>
      <c r="E30" t="str">
        <v>Lupin</v>
      </c>
      <c r="F30" t="str">
        <v>General</v>
      </c>
      <c r="G30" t="str">
        <v>Fabaceae</v>
      </c>
      <c r="H30" t="str">
        <v>Lupinus</v>
      </c>
      <c r="I30" t="str">
        <v>angustifolius</v>
      </c>
      <c r="J30" t="str">
        <v/>
      </c>
      <c r="K30" t="str">
        <v>Lupinus angustifolius</v>
      </c>
      <c r="L30" t="str">
        <v>angustifolius</v>
      </c>
      <c r="M30" t="str">
        <v>Seed</v>
      </c>
      <c r="N30" t="str">
        <v>Apr</v>
      </c>
      <c r="O30" t="str">
        <v>EarlyReproductive</v>
      </c>
      <c r="P30" t="str">
        <v>Sep</v>
      </c>
      <c r="Q30">
        <v>12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1.5</v>
      </c>
      <c r="AC30">
        <v>1</v>
      </c>
      <c r="AD30">
        <v>1</v>
      </c>
      <c r="AE30">
        <v>1.5</v>
      </c>
      <c r="AF30">
        <v>1.6000000238418579</v>
      </c>
      <c r="AG30">
        <v>1.6000000238418579</v>
      </c>
    </row>
    <row r="31" spans="1:33">
      <c r="A31" t="str">
        <v>Mustard Green manure General</v>
      </c>
      <c r="B31">
        <v>77</v>
      </c>
      <c r="C31" t="str">
        <v>Green manure</v>
      </c>
      <c r="D31" t="str">
        <v>Green manure</v>
      </c>
      <c r="E31" t="str">
        <v>Mustard</v>
      </c>
      <c r="F31" t="str">
        <v>General</v>
      </c>
      <c r="G31" t="str">
        <v>Brassicaceae</v>
      </c>
      <c r="H31" t="str">
        <v>Sinapis</v>
      </c>
      <c r="I31" t="str">
        <v>alba</v>
      </c>
      <c r="J31" t="str">
        <v/>
      </c>
      <c r="K31" t="str">
        <v>Sinapis alba</v>
      </c>
      <c r="L31" t="str">
        <v>alba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6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1.1000000238418579</v>
      </c>
      <c r="AE31">
        <v>0.80000001192092896</v>
      </c>
      <c r="AF31">
        <v>2</v>
      </c>
      <c r="AG31">
        <v>2</v>
      </c>
    </row>
    <row r="32" spans="1:33">
      <c r="A32" t="str">
        <v>Oat Green manure General</v>
      </c>
      <c r="B32">
        <v>71</v>
      </c>
      <c r="C32" t="str">
        <v>Green manure</v>
      </c>
      <c r="D32" t="str">
        <v>Green manure</v>
      </c>
      <c r="E32" t="str">
        <v>Oat</v>
      </c>
      <c r="F32" t="str">
        <v>General</v>
      </c>
      <c r="G32" t="str">
        <v>Poaceae</v>
      </c>
      <c r="H32" t="str">
        <v>Avena</v>
      </c>
      <c r="I32" t="str">
        <v>sativa</v>
      </c>
      <c r="J32" t="str">
        <v/>
      </c>
      <c r="K32" t="str">
        <v>Avena sativa</v>
      </c>
      <c r="L32" t="str">
        <v>sativa</v>
      </c>
      <c r="M32" t="str">
        <v>Seed</v>
      </c>
      <c r="N32" t="str">
        <v>Apr</v>
      </c>
      <c r="O32" t="str">
        <v>Maturity</v>
      </c>
      <c r="P32" t="str">
        <v>Sep</v>
      </c>
      <c r="Q32">
        <v>6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0.89999997615814209</v>
      </c>
      <c r="AF32">
        <v>1.5</v>
      </c>
      <c r="AG32">
        <v>1.5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Rape Green manure General</v>
      </c>
      <c r="B34">
        <v>72</v>
      </c>
      <c r="C34" t="str">
        <v>Green manure</v>
      </c>
      <c r="D34" t="str">
        <v>Green manure</v>
      </c>
      <c r="E34" t="str">
        <v>Rape</v>
      </c>
      <c r="F34" t="str">
        <v>General</v>
      </c>
      <c r="G34" t="str">
        <v>Brassicaceae</v>
      </c>
      <c r="H34" t="str">
        <v>Brassica</v>
      </c>
      <c r="I34" t="str">
        <v>napus</v>
      </c>
      <c r="J34" t="str">
        <v>napus</v>
      </c>
      <c r="K34" t="str">
        <v>Brassica napus napus</v>
      </c>
      <c r="L34" t="str">
        <v>napus napus</v>
      </c>
      <c r="M34" t="str">
        <v>Seed</v>
      </c>
      <c r="N34" t="str">
        <v>Apr</v>
      </c>
      <c r="O34" t="str">
        <v>LateReproductive</v>
      </c>
      <c r="P34" t="str">
        <v>Sep</v>
      </c>
      <c r="Q34">
        <v>4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1.2000000476837158</v>
      </c>
      <c r="AC34">
        <v>1</v>
      </c>
      <c r="AD34">
        <v>1.6000000238418579</v>
      </c>
      <c r="AE34">
        <v>0.80000001192092896</v>
      </c>
      <c r="AF34">
        <v>2.5</v>
      </c>
      <c r="AG34">
        <v>2.5</v>
      </c>
    </row>
    <row r="35" spans="1:33">
      <c r="A35" t="str">
        <v>Rye corn Green manure General</v>
      </c>
      <c r="B35">
        <v>76</v>
      </c>
      <c r="C35" t="str">
        <v>Green manure</v>
      </c>
      <c r="D35" t="str">
        <v>Green manure</v>
      </c>
      <c r="E35" t="str">
        <v>Rye corn</v>
      </c>
      <c r="F35" t="str">
        <v>General</v>
      </c>
      <c r="G35" t="str">
        <v>Poaceae</v>
      </c>
      <c r="H35" t="str">
        <v>Secale</v>
      </c>
      <c r="I35" t="str">
        <v>cereale</v>
      </c>
      <c r="J35" t="str">
        <v/>
      </c>
      <c r="K35" t="str">
        <v>Secale cereale</v>
      </c>
      <c r="L35" t="str">
        <v>cereale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8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1.5</v>
      </c>
      <c r="AC35">
        <v>1</v>
      </c>
      <c r="AD35">
        <v>1</v>
      </c>
      <c r="AE35">
        <v>0.89999997615814209</v>
      </c>
      <c r="AF35">
        <v>1.3999999761581421</v>
      </c>
      <c r="AG35">
        <v>1.3999999761581421</v>
      </c>
    </row>
    <row r="36" spans="1:33">
      <c r="A36" t="str">
        <v>Turnip Green manure General</v>
      </c>
      <c r="B36">
        <v>73</v>
      </c>
      <c r="C36" t="str">
        <v>Green manure</v>
      </c>
      <c r="D36" t="str">
        <v>Green manure</v>
      </c>
      <c r="E36" t="str">
        <v>Turnip</v>
      </c>
      <c r="F36" t="str">
        <v>General</v>
      </c>
      <c r="G36" t="str">
        <v>Brassicaceae</v>
      </c>
      <c r="H36" t="str">
        <v>Brassica</v>
      </c>
      <c r="I36" t="str">
        <v>rapa</v>
      </c>
      <c r="J36" t="str">
        <v>rapa</v>
      </c>
      <c r="K36" t="str">
        <v>Brassica rapa rapa</v>
      </c>
      <c r="L36" t="str">
        <v>rapa rapa</v>
      </c>
      <c r="M36" t="str">
        <v>Seed</v>
      </c>
      <c r="N36" t="str">
        <v>Apr</v>
      </c>
      <c r="O36" t="str">
        <v>EarlyReproductive</v>
      </c>
      <c r="P36" t="str">
        <v>Sep</v>
      </c>
      <c r="Q36">
        <v>8</v>
      </c>
      <c r="R36" t="str">
        <v>t/ha</v>
      </c>
      <c r="S36" t="str">
        <v>Standing DM</v>
      </c>
      <c r="T36">
        <v>1</v>
      </c>
      <c r="U36" t="str">
        <v>Dry</v>
      </c>
      <c r="V36">
        <v>0</v>
      </c>
      <c r="W36">
        <v>1</v>
      </c>
      <c r="X36">
        <v>1</v>
      </c>
      <c r="Y36">
        <v>0</v>
      </c>
      <c r="Z36">
        <v>0</v>
      </c>
      <c r="AA36">
        <v>0.10000000149011612</v>
      </c>
      <c r="AB36">
        <v>1.2000000476837158</v>
      </c>
      <c r="AC36">
        <v>1</v>
      </c>
      <c r="AD36">
        <v>2</v>
      </c>
      <c r="AE36">
        <v>0.80000001192092896</v>
      </c>
      <c r="AF36">
        <v>2</v>
      </c>
      <c r="AG36">
        <v>2</v>
      </c>
    </row>
    <row r="37" spans="1:33">
      <c r="A37" t="str">
        <v>Annual ryegrass Green manure General</v>
      </c>
      <c r="B37">
        <v>74</v>
      </c>
      <c r="C37" t="str">
        <v>Green manure</v>
      </c>
      <c r="D37" t="str">
        <v>Green manure</v>
      </c>
      <c r="E37" t="str">
        <v>Annual ryegrass</v>
      </c>
      <c r="F37" t="str">
        <v>General</v>
      </c>
      <c r="G37" t="str">
        <v>Poaceae</v>
      </c>
      <c r="H37" t="str">
        <v>Lolium</v>
      </c>
      <c r="I37" t="str">
        <v>multiflorum</v>
      </c>
      <c r="J37" t="str">
        <v/>
      </c>
      <c r="K37" t="str">
        <v>Lolium multiflorum</v>
      </c>
      <c r="L37" t="str">
        <v>multiflorum</v>
      </c>
      <c r="M37" t="str">
        <v>Seed</v>
      </c>
      <c r="N37" t="str">
        <v>Apr</v>
      </c>
      <c r="O37" t="str">
        <v>EarlyReproductive</v>
      </c>
      <c r="P37" t="str">
        <v>Dec</v>
      </c>
      <c r="Q37">
        <v>3</v>
      </c>
      <c r="R37" t="str">
        <v>t/ha</v>
      </c>
      <c r="S37" t="str">
        <v>Standing DM</v>
      </c>
      <c r="T37">
        <v>1</v>
      </c>
      <c r="U37" t="str">
        <v>Dry</v>
      </c>
      <c r="V37">
        <v>0</v>
      </c>
      <c r="W37">
        <v>0</v>
      </c>
      <c r="X37">
        <v>1</v>
      </c>
      <c r="Y37">
        <v>0</v>
      </c>
      <c r="Z37">
        <v>0</v>
      </c>
      <c r="AA37">
        <v>0.10000000149011612</v>
      </c>
      <c r="AB37">
        <v>0.89999997615814209</v>
      </c>
      <c r="AC37">
        <v>1</v>
      </c>
      <c r="AD37">
        <v>1.5</v>
      </c>
      <c r="AE37">
        <v>0.89999997615814209</v>
      </c>
      <c r="AF37">
        <v>2</v>
      </c>
      <c r="AG37">
        <v>2</v>
      </c>
    </row>
    <row r="38" spans="1:33">
      <c r="A38" t="str">
        <v>Early harvest Potato Agria</v>
      </c>
      <c r="B38">
        <v>86</v>
      </c>
      <c r="C38" t="str">
        <v>Potato</v>
      </c>
      <c r="D38" t="str">
        <v>Potato</v>
      </c>
      <c r="E38" t="str">
        <v>Early harvest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Aug</v>
      </c>
      <c r="O38" t="str">
        <v>MidReproductive</v>
      </c>
      <c r="P38" t="str">
        <v>Jan</v>
      </c>
      <c r="Q38">
        <v>60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0.85000002384185791</v>
      </c>
      <c r="Y38">
        <v>0</v>
      </c>
      <c r="Z38">
        <v>76</v>
      </c>
      <c r="AA38">
        <v>0.10000000149011612</v>
      </c>
      <c r="AB38">
        <v>0.69999998807907104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1.7999999523162842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1.7999999523162842</v>
      </c>
    </row>
    <row r="40" spans="1:33">
      <c r="A40" t="str">
        <v>Early harvest Potato Long (Group3)</v>
      </c>
      <c r="B40">
        <v>107</v>
      </c>
      <c r="C40" t="str">
        <v>Potato</v>
      </c>
      <c r="D40" t="str">
        <v>Potato</v>
      </c>
      <c r="E40" t="str">
        <v>Early harvest</v>
      </c>
      <c r="F40" t="str">
        <v>Long (Group3)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Aug</v>
      </c>
      <c r="O40" t="str">
        <v>MidReproductive</v>
      </c>
      <c r="P40" t="str">
        <v>Jan</v>
      </c>
      <c r="Q40">
        <v>60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0.85000002384185791</v>
      </c>
      <c r="Y40">
        <v>0</v>
      </c>
      <c r="Z40">
        <v>76</v>
      </c>
      <c r="AA40">
        <v>0.10000000149011612</v>
      </c>
      <c r="AB40">
        <v>0.69999998807907104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1.7999999523162842</v>
      </c>
    </row>
    <row r="41" spans="1:33">
      <c r="A41" t="str">
        <v>Early harvest Potato Medium (Group2)</v>
      </c>
      <c r="B41">
        <v>104</v>
      </c>
      <c r="C41" t="str">
        <v>Potato</v>
      </c>
      <c r="D41" t="str">
        <v>Potato</v>
      </c>
      <c r="E41" t="str">
        <v>Early harvest</v>
      </c>
      <c r="F41" t="str">
        <v>Medium (Group2)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Aug</v>
      </c>
      <c r="O41" t="str">
        <v>MidReproductive</v>
      </c>
      <c r="P41" t="str">
        <v>Jan</v>
      </c>
      <c r="Q41">
        <v>50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0.85000002384185791</v>
      </c>
      <c r="Y41">
        <v>0</v>
      </c>
      <c r="Z41">
        <v>76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1.7999999523162842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70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1.7999999523162842</v>
      </c>
    </row>
    <row r="43" spans="1:33">
      <c r="A43" t="str">
        <v>Early harvest Potato Nadine</v>
      </c>
      <c r="B43">
        <v>95</v>
      </c>
      <c r="C43" t="str">
        <v>Potato</v>
      </c>
      <c r="D43" t="str">
        <v>Potato</v>
      </c>
      <c r="E43" t="str">
        <v>Early harvest</v>
      </c>
      <c r="F43" t="str">
        <v>Nadine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Aug</v>
      </c>
      <c r="O43" t="str">
        <v>MidReproductive</v>
      </c>
      <c r="P43" t="str">
        <v>Jan</v>
      </c>
      <c r="Q43">
        <v>70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0.85000002384185791</v>
      </c>
      <c r="Y43">
        <v>0</v>
      </c>
      <c r="Z43">
        <v>76</v>
      </c>
      <c r="AA43">
        <v>0.10000000149011612</v>
      </c>
      <c r="AB43">
        <v>0.60000002384185791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1.7999999523162842</v>
      </c>
    </row>
    <row r="44" spans="1:33">
      <c r="A44" t="str">
        <v>Early harvest Potato RussetBurbank</v>
      </c>
      <c r="B44">
        <v>98</v>
      </c>
      <c r="C44" t="str">
        <v>Potato</v>
      </c>
      <c r="D44" t="str">
        <v>Potato</v>
      </c>
      <c r="E44" t="str">
        <v>Early harvest</v>
      </c>
      <c r="F44" t="str">
        <v>RussetBurbank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Aug</v>
      </c>
      <c r="O44" t="str">
        <v>MidReproductive</v>
      </c>
      <c r="P44" t="str">
        <v>Jan</v>
      </c>
      <c r="Q44">
        <v>60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0.85000002384185791</v>
      </c>
      <c r="Y44">
        <v>0</v>
      </c>
      <c r="Z44">
        <v>76</v>
      </c>
      <c r="AA44">
        <v>0.10000000149011612</v>
      </c>
      <c r="AB44">
        <v>0.69999998807907104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1.7999999523162842</v>
      </c>
    </row>
    <row r="45" spans="1:33">
      <c r="A45" t="str">
        <v>Early harvest Potato Short (Group1)</v>
      </c>
      <c r="B45">
        <v>101</v>
      </c>
      <c r="C45" t="str">
        <v>Potato</v>
      </c>
      <c r="D45" t="str">
        <v>Potato</v>
      </c>
      <c r="E45" t="str">
        <v>Early harvest</v>
      </c>
      <c r="F45" t="str">
        <v>Short (Group1)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40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0.5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1.7999999523162842</v>
      </c>
    </row>
    <row r="46" spans="1:33">
      <c r="A46" t="str">
        <v>Early harvest Potato Very Long (Group4)</v>
      </c>
      <c r="B46">
        <v>110</v>
      </c>
      <c r="C46" t="str">
        <v>Potato</v>
      </c>
      <c r="D46" t="str">
        <v>Potato</v>
      </c>
      <c r="E46" t="str">
        <v>Early harvest</v>
      </c>
      <c r="F46" t="str">
        <v>Very Long (Group4)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Aug</v>
      </c>
      <c r="O46" t="str">
        <v>MidReproductive</v>
      </c>
      <c r="P46" t="str">
        <v>Jan</v>
      </c>
      <c r="Q46">
        <v>70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76</v>
      </c>
      <c r="AA46">
        <v>0.10000000149011612</v>
      </c>
      <c r="AB46">
        <v>0.80000001192092896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1.7999999523162842</v>
      </c>
    </row>
    <row r="47" spans="1:33">
      <c r="A47" t="str">
        <v>GroundStore Potato Agria</v>
      </c>
      <c r="B47">
        <v>88</v>
      </c>
      <c r="C47" t="str">
        <v>Potato</v>
      </c>
      <c r="D47" t="str">
        <v>Potato</v>
      </c>
      <c r="E47" t="str">
        <v>GroundStore</v>
      </c>
      <c r="F47" t="str">
        <v>Agria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60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0.80000001192092896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1.7999999523162842</v>
      </c>
    </row>
    <row r="48" spans="1:33">
      <c r="A48" t="str">
        <v>GroundStore Potato Innovator</v>
      </c>
      <c r="B48">
        <v>91</v>
      </c>
      <c r="C48" t="str">
        <v>Potato</v>
      </c>
      <c r="D48" t="str">
        <v>Potato</v>
      </c>
      <c r="E48" t="str">
        <v>GroundStore</v>
      </c>
      <c r="F48" t="str">
        <v>Innovator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Oct</v>
      </c>
      <c r="O48" t="str">
        <v>Late</v>
      </c>
      <c r="P48" t="str">
        <v>June</v>
      </c>
      <c r="Q48">
        <v>70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0.92000001668930054</v>
      </c>
      <c r="Y48">
        <v>0</v>
      </c>
      <c r="Z48">
        <v>79</v>
      </c>
      <c r="AA48">
        <v>0.10000000149011612</v>
      </c>
      <c r="AB48">
        <v>0.60000002384185791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1.7999999523162842</v>
      </c>
    </row>
    <row r="49" spans="1:33">
      <c r="A49" t="str">
        <v>GroundStore Potato Long (Group3)</v>
      </c>
      <c r="B49">
        <v>109</v>
      </c>
      <c r="C49" t="str">
        <v>Potato</v>
      </c>
      <c r="D49" t="str">
        <v>Potato</v>
      </c>
      <c r="E49" t="str">
        <v>GroundStore</v>
      </c>
      <c r="F49" t="str">
        <v>Long (Group3)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Late</v>
      </c>
      <c r="P49" t="str">
        <v>June</v>
      </c>
      <c r="Q49">
        <v>70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1.7999999523162842</v>
      </c>
    </row>
    <row r="50" spans="1:33">
      <c r="A50" t="str">
        <v>GroundStore Potato Medium (Group2)</v>
      </c>
      <c r="B50">
        <v>106</v>
      </c>
      <c r="C50" t="str">
        <v>Potato</v>
      </c>
      <c r="D50" t="str">
        <v>Potato</v>
      </c>
      <c r="E50" t="str">
        <v>GroundStore</v>
      </c>
      <c r="F50" t="str">
        <v>Medium (Group2)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60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0.69999998807907104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1.7999999523162842</v>
      </c>
    </row>
    <row r="51" spans="1:33">
      <c r="A51" t="str">
        <v>GroundStore Potato Moonlight</v>
      </c>
      <c r="B51">
        <v>94</v>
      </c>
      <c r="C51" t="str">
        <v>Potato</v>
      </c>
      <c r="D51" t="str">
        <v>Potato</v>
      </c>
      <c r="E51" t="str">
        <v>GroundStore</v>
      </c>
      <c r="F51" t="str">
        <v>Moonlight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Oct</v>
      </c>
      <c r="O51" t="str">
        <v>Late</v>
      </c>
      <c r="P51" t="str">
        <v>June</v>
      </c>
      <c r="Q51">
        <v>80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0.92000001668930054</v>
      </c>
      <c r="Y51">
        <v>0</v>
      </c>
      <c r="Z51">
        <v>79</v>
      </c>
      <c r="AA51">
        <v>0.10000000149011612</v>
      </c>
      <c r="AB51">
        <v>0.80000001192092896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1.7999999523162842</v>
      </c>
    </row>
    <row r="52" spans="1:33">
      <c r="A52" t="str">
        <v>GroundStore Potato Nadine</v>
      </c>
      <c r="B52">
        <v>97</v>
      </c>
      <c r="C52" t="str">
        <v>Potato</v>
      </c>
      <c r="D52" t="str">
        <v>Potato</v>
      </c>
      <c r="E52" t="str">
        <v>GroundStore</v>
      </c>
      <c r="F52" t="str">
        <v>Nadine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Late</v>
      </c>
      <c r="P52" t="str">
        <v>June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0.69999998807907104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1.7999999523162842</v>
      </c>
    </row>
    <row r="53" spans="1:33">
      <c r="A53" t="str">
        <v>GroundStore Potato RussetBurbank</v>
      </c>
      <c r="B53">
        <v>100</v>
      </c>
      <c r="C53" t="str">
        <v>Potato</v>
      </c>
      <c r="D53" t="str">
        <v>Potato</v>
      </c>
      <c r="E53" t="str">
        <v>GroundStore</v>
      </c>
      <c r="F53" t="str">
        <v>RussetBurbank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70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0.80000001192092896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1.7999999523162842</v>
      </c>
    </row>
    <row r="54" spans="1:33">
      <c r="A54" t="str">
        <v>GroundStore Potato Short (Group1)</v>
      </c>
      <c r="B54">
        <v>103</v>
      </c>
      <c r="C54" t="str">
        <v>Potato</v>
      </c>
      <c r="D54" t="str">
        <v>Potato</v>
      </c>
      <c r="E54" t="str">
        <v>GroundStore</v>
      </c>
      <c r="F54" t="str">
        <v>Short (Group1)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Oct</v>
      </c>
      <c r="O54" t="str">
        <v>Late</v>
      </c>
      <c r="P54" t="str">
        <v>June</v>
      </c>
      <c r="Q54">
        <v>50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0.92000001668930054</v>
      </c>
      <c r="Y54">
        <v>0</v>
      </c>
      <c r="Z54">
        <v>79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1.7999999523162842</v>
      </c>
    </row>
    <row r="55" spans="1:33">
      <c r="A55" t="str">
        <v>GroundStore Potato Very Long (Group4)</v>
      </c>
      <c r="B55">
        <v>112</v>
      </c>
      <c r="C55" t="str">
        <v>Potato</v>
      </c>
      <c r="D55" t="str">
        <v>Potato</v>
      </c>
      <c r="E55" t="str">
        <v>GroundStore</v>
      </c>
      <c r="F55" t="str">
        <v>Very Long (Group4)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Late</v>
      </c>
      <c r="P55" t="str">
        <v>June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0.89999997615814209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1.7999999523162842</v>
      </c>
    </row>
    <row r="56" spans="1:33">
      <c r="A56" t="str">
        <v>Maturity harvest Potato Agria</v>
      </c>
      <c r="B56">
        <v>87</v>
      </c>
      <c r="C56" t="str">
        <v>Potato</v>
      </c>
      <c r="D56" t="str">
        <v>Potato</v>
      </c>
      <c r="E56" t="str">
        <v>Maturity harvest</v>
      </c>
      <c r="F56" t="str">
        <v>Agria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Maturity</v>
      </c>
      <c r="P56" t="str">
        <v>Apr</v>
      </c>
      <c r="Q56">
        <v>60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0.80000001192092896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1.7999999523162842</v>
      </c>
    </row>
    <row r="57" spans="1:33">
      <c r="A57" t="str">
        <v>Maturity harvest Potato Innovator</v>
      </c>
      <c r="B57">
        <v>90</v>
      </c>
      <c r="C57" t="str">
        <v>Potato</v>
      </c>
      <c r="D57" t="str">
        <v>Potato</v>
      </c>
      <c r="E57" t="str">
        <v>Maturity harvest</v>
      </c>
      <c r="F57" t="str">
        <v>Innovator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Oct</v>
      </c>
      <c r="O57" t="str">
        <v>Maturity</v>
      </c>
      <c r="P57" t="str">
        <v>Apr</v>
      </c>
      <c r="Q57">
        <v>70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0.92000001668930054</v>
      </c>
      <c r="Y57">
        <v>0</v>
      </c>
      <c r="Z57">
        <v>79</v>
      </c>
      <c r="AA57">
        <v>0.10000000149011612</v>
      </c>
      <c r="AB57">
        <v>0.60000002384185791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1.7999999523162842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70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1.7999999523162842</v>
      </c>
    </row>
    <row r="59" spans="1:33">
      <c r="A59" t="str">
        <v>Maturity harvest Potato Medium (Group2)</v>
      </c>
      <c r="B59">
        <v>105</v>
      </c>
      <c r="C59" t="str">
        <v>Potato</v>
      </c>
      <c r="D59" t="str">
        <v>Potato</v>
      </c>
      <c r="E59" t="str">
        <v>Maturity harvest</v>
      </c>
      <c r="F59" t="str">
        <v>Medium (Group2)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Maturity</v>
      </c>
      <c r="P59" t="str">
        <v>Apr</v>
      </c>
      <c r="Q59">
        <v>60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0.69999998807907104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1.7999999523162842</v>
      </c>
    </row>
    <row r="60" spans="1:33">
      <c r="A60" t="str">
        <v>Maturity harvest Potato Moonlight</v>
      </c>
      <c r="B60">
        <v>93</v>
      </c>
      <c r="C60" t="str">
        <v>Potato</v>
      </c>
      <c r="D60" t="str">
        <v>Potato</v>
      </c>
      <c r="E60" t="str">
        <v>Maturity harvest</v>
      </c>
      <c r="F60" t="str">
        <v>Moonlight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Oct</v>
      </c>
      <c r="O60" t="str">
        <v>Maturity</v>
      </c>
      <c r="P60" t="str">
        <v>Apr</v>
      </c>
      <c r="Q60">
        <v>80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0.92000001668930054</v>
      </c>
      <c r="Y60">
        <v>0</v>
      </c>
      <c r="Z60">
        <v>79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1.7999999523162842</v>
      </c>
    </row>
    <row r="61" spans="1:33">
      <c r="A61" t="str">
        <v>Maturity harvest Potato Nadine</v>
      </c>
      <c r="B61">
        <v>96</v>
      </c>
      <c r="C61" t="str">
        <v>Potato</v>
      </c>
      <c r="D61" t="str">
        <v>Potato</v>
      </c>
      <c r="E61" t="str">
        <v>Maturity harvest</v>
      </c>
      <c r="F61" t="str">
        <v>Nadine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0.69999998807907104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1.7999999523162842</v>
      </c>
    </row>
    <row r="62" spans="1:33">
      <c r="A62" t="str">
        <v>Maturity harvest Potato RussetBurbank</v>
      </c>
      <c r="B62">
        <v>99</v>
      </c>
      <c r="C62" t="str">
        <v>Potato</v>
      </c>
      <c r="D62" t="str">
        <v>Potato</v>
      </c>
      <c r="E62" t="str">
        <v>Maturity harvest</v>
      </c>
      <c r="F62" t="str">
        <v>RussetBurbank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Maturity</v>
      </c>
      <c r="P62" t="str">
        <v>Apr</v>
      </c>
      <c r="Q62">
        <v>70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0.80000001192092896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1.7999999523162842</v>
      </c>
    </row>
    <row r="63" spans="1:33">
      <c r="A63" t="str">
        <v>Maturity harvest Potato Short (Group1)</v>
      </c>
      <c r="B63">
        <v>102</v>
      </c>
      <c r="C63" t="str">
        <v>Potato</v>
      </c>
      <c r="D63" t="str">
        <v>Potato</v>
      </c>
      <c r="E63" t="str">
        <v>Maturity harvest</v>
      </c>
      <c r="F63" t="str">
        <v>Short (Group1)</v>
      </c>
      <c r="G63" t="str">
        <v>Solanaceae</v>
      </c>
      <c r="H63" t="str">
        <v>Solanum</v>
      </c>
      <c r="I63" t="str">
        <v>tuberosum</v>
      </c>
      <c r="J63" t="str">
        <v/>
      </c>
      <c r="K63" t="str">
        <v>Solanum  tuberosum</v>
      </c>
      <c r="L63" t="str">
        <v>tuberosum</v>
      </c>
      <c r="M63" t="str">
        <v>Seed</v>
      </c>
      <c r="N63" t="str">
        <v>Oct</v>
      </c>
      <c r="O63" t="str">
        <v>Maturity</v>
      </c>
      <c r="P63" t="str">
        <v>Apr</v>
      </c>
      <c r="Q63">
        <v>50</v>
      </c>
      <c r="R63" t="str">
        <v>t/ha</v>
      </c>
      <c r="S63" t="str">
        <v>Saleable product</v>
      </c>
      <c r="T63">
        <v>1</v>
      </c>
      <c r="U63" t="str">
        <v>Total</v>
      </c>
      <c r="V63">
        <v>0</v>
      </c>
      <c r="W63">
        <v>0</v>
      </c>
      <c r="X63">
        <v>0.92000001668930054</v>
      </c>
      <c r="Y63">
        <v>0</v>
      </c>
      <c r="Z63">
        <v>79</v>
      </c>
      <c r="AA63">
        <v>0.10000000149011612</v>
      </c>
      <c r="AB63">
        <v>0.60000002384185791</v>
      </c>
      <c r="AC63">
        <v>1</v>
      </c>
      <c r="AD63">
        <v>1.2000000476837158</v>
      </c>
      <c r="AE63">
        <v>0.89999997615814209</v>
      </c>
      <c r="AF63">
        <v>1.1499999761581421</v>
      </c>
      <c r="AG63">
        <v>1.7999999523162842</v>
      </c>
    </row>
    <row r="64" spans="1:33">
      <c r="A64" t="str">
        <v>Maturity harvest Potato Very Long (Group4)</v>
      </c>
      <c r="B64">
        <v>111</v>
      </c>
      <c r="C64" t="str">
        <v>Potato</v>
      </c>
      <c r="D64" t="str">
        <v>Potato</v>
      </c>
      <c r="E64" t="str">
        <v>Maturity harvest</v>
      </c>
      <c r="F64" t="str">
        <v>Very Long (Group4)</v>
      </c>
      <c r="G64" t="str">
        <v>Solanaceae</v>
      </c>
      <c r="H64" t="str">
        <v>Solanum</v>
      </c>
      <c r="I64" t="str">
        <v>tuberosum</v>
      </c>
      <c r="J64" t="str">
        <v/>
      </c>
      <c r="K64" t="str">
        <v>Solanum  tuberosum</v>
      </c>
      <c r="L64" t="str">
        <v>tuberosum</v>
      </c>
      <c r="M64" t="str">
        <v>Seed</v>
      </c>
      <c r="N64" t="str">
        <v>Oct</v>
      </c>
      <c r="O64" t="str">
        <v>Maturity</v>
      </c>
      <c r="P64" t="str">
        <v>Apr</v>
      </c>
      <c r="Q64">
        <v>80</v>
      </c>
      <c r="R64" t="str">
        <v>t/ha</v>
      </c>
      <c r="S64" t="str">
        <v>Saleable product</v>
      </c>
      <c r="T64">
        <v>1</v>
      </c>
      <c r="U64" t="str">
        <v>Total</v>
      </c>
      <c r="V64">
        <v>0</v>
      </c>
      <c r="W64">
        <v>0</v>
      </c>
      <c r="X64">
        <v>0.92000001668930054</v>
      </c>
      <c r="Y64">
        <v>0</v>
      </c>
      <c r="Z64">
        <v>79</v>
      </c>
      <c r="AA64">
        <v>0.10000000149011612</v>
      </c>
      <c r="AB64">
        <v>0.89999997615814209</v>
      </c>
      <c r="AC64">
        <v>1</v>
      </c>
      <c r="AD64">
        <v>1.2000000476837158</v>
      </c>
      <c r="AE64">
        <v>0.89999997615814209</v>
      </c>
      <c r="AF64">
        <v>1.1499999761581421</v>
      </c>
      <c r="AG64">
        <v>1.7999999523162842</v>
      </c>
    </row>
    <row r="65" spans="1:33">
      <c r="A65" t="str">
        <v>Rape Seed General</v>
      </c>
      <c r="B65">
        <v>27</v>
      </c>
      <c r="C65" t="str">
        <v>Seed</v>
      </c>
      <c r="D65" t="str">
        <v>Fodder</v>
      </c>
      <c r="E65" t="str">
        <v>Rape</v>
      </c>
      <c r="F65" t="str">
        <v>General</v>
      </c>
      <c r="G65" t="str">
        <v>Brassicaceae</v>
      </c>
      <c r="H65" t="str">
        <v>Brassica</v>
      </c>
      <c r="I65" t="str">
        <v>napus</v>
      </c>
      <c r="J65" t="str">
        <v>napus</v>
      </c>
      <c r="K65" t="str">
        <v>Brassica napus napus</v>
      </c>
      <c r="L65" t="str">
        <v>napus napus</v>
      </c>
      <c r="M65" t="str">
        <v>Seed</v>
      </c>
      <c r="N65" t="str">
        <v>Apr</v>
      </c>
      <c r="O65" t="str">
        <v>LateReproductive</v>
      </c>
      <c r="P65" t="str">
        <v>Feb</v>
      </c>
      <c r="Q65">
        <v>4</v>
      </c>
      <c r="R65" t="str">
        <v>t/ha</v>
      </c>
      <c r="S65" t="str">
        <v>Saleable seed</v>
      </c>
      <c r="T65">
        <v>1</v>
      </c>
      <c r="U65" t="str">
        <v>Total</v>
      </c>
      <c r="V65">
        <v>3</v>
      </c>
      <c r="W65">
        <v>0</v>
      </c>
      <c r="X65">
        <v>0.33000001311302185</v>
      </c>
      <c r="Y65">
        <v>7.9999998211860657E-2</v>
      </c>
      <c r="Z65">
        <v>10</v>
      </c>
      <c r="AA65">
        <v>0.10000000149011612</v>
      </c>
      <c r="AB65">
        <v>1.2000000476837158</v>
      </c>
      <c r="AC65">
        <v>1</v>
      </c>
      <c r="AD65">
        <v>1.6000000238418579</v>
      </c>
      <c r="AE65">
        <v>0.80000001192092896</v>
      </c>
      <c r="AF65">
        <v>1.7999999523162842</v>
      </c>
      <c r="AG65">
        <v>5</v>
      </c>
    </row>
    <row r="66" spans="1:33">
      <c r="A66" t="str">
        <v>Cocksfoot Seed General</v>
      </c>
      <c r="B66">
        <v>29</v>
      </c>
      <c r="C66" t="str">
        <v>Seed</v>
      </c>
      <c r="D66" t="str">
        <v>Forage</v>
      </c>
      <c r="E66" t="str">
        <v>Cocksfoot</v>
      </c>
      <c r="F66" t="str">
        <v>General</v>
      </c>
      <c r="G66" t="str">
        <v>Poaceae</v>
      </c>
      <c r="H66" t="str">
        <v>Dactylus</v>
      </c>
      <c r="I66" t="str">
        <v>glomerata</v>
      </c>
      <c r="J66" t="str">
        <v/>
      </c>
      <c r="K66" t="str">
        <v>Dactylus glomerata</v>
      </c>
      <c r="L66" t="str">
        <v>glomerata</v>
      </c>
      <c r="M66" t="str">
        <v>Seed</v>
      </c>
      <c r="N66" t="str">
        <v>Feb</v>
      </c>
      <c r="O66" t="str">
        <v>LateReproductive</v>
      </c>
      <c r="P66" t="str">
        <v>Jan</v>
      </c>
      <c r="Q66">
        <v>1</v>
      </c>
      <c r="R66" t="str">
        <v>t/ha</v>
      </c>
      <c r="S66" t="str">
        <v>Saleable seed</v>
      </c>
      <c r="T66">
        <v>1</v>
      </c>
      <c r="U66" t="str">
        <v>Total</v>
      </c>
      <c r="V66">
        <v>10</v>
      </c>
      <c r="W66">
        <v>0</v>
      </c>
      <c r="X66">
        <v>9.0000003576278687E-2</v>
      </c>
      <c r="Y66">
        <v>2.9999999329447746E-2</v>
      </c>
      <c r="Z66">
        <v>15</v>
      </c>
      <c r="AA66">
        <v>0.10000000149011612</v>
      </c>
      <c r="AB66">
        <v>1</v>
      </c>
      <c r="AC66">
        <v>1</v>
      </c>
      <c r="AD66">
        <v>0.80000001192092896</v>
      </c>
      <c r="AE66">
        <v>0.89999997615814209</v>
      </c>
      <c r="AF66">
        <v>1.2000000476837158</v>
      </c>
      <c r="AG66">
        <v>2</v>
      </c>
    </row>
    <row r="67" spans="1:33">
      <c r="A67" t="str">
        <v>Ryegrass Seed General</v>
      </c>
      <c r="B67">
        <v>31</v>
      </c>
      <c r="C67" t="str">
        <v>Seed</v>
      </c>
      <c r="D67" t="str">
        <v>Forage</v>
      </c>
      <c r="E67" t="str">
        <v>Ryegrass</v>
      </c>
      <c r="F67" t="str">
        <v>General</v>
      </c>
      <c r="G67" t="str">
        <v>Poaceae</v>
      </c>
      <c r="H67" t="str">
        <v>Lolium</v>
      </c>
      <c r="I67" t="str">
        <v>perenne</v>
      </c>
      <c r="J67" t="str">
        <v/>
      </c>
      <c r="K67" t="str">
        <v>Lolium perenne</v>
      </c>
      <c r="L67" t="str">
        <v>perenne</v>
      </c>
      <c r="M67" t="str">
        <v>Seed</v>
      </c>
      <c r="N67" t="str">
        <v>Apr</v>
      </c>
      <c r="O67" t="str">
        <v>LateReproductive</v>
      </c>
      <c r="P67" t="str">
        <v>Jan</v>
      </c>
      <c r="Q67">
        <v>2.0699999332427979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0</v>
      </c>
      <c r="X67">
        <v>0.15000000596046448</v>
      </c>
      <c r="Y67">
        <v>5.000000074505806E-2</v>
      </c>
      <c r="Z67">
        <v>14</v>
      </c>
      <c r="AA67">
        <v>0.10000000149011612</v>
      </c>
      <c r="AB67">
        <v>0.89999997615814209</v>
      </c>
      <c r="AC67">
        <v>1</v>
      </c>
      <c r="AD67">
        <v>1.5</v>
      </c>
      <c r="AE67">
        <v>0.89999997615814209</v>
      </c>
      <c r="AF67">
        <v>0.89999997615814209</v>
      </c>
      <c r="AG67">
        <v>1.8999999761581421</v>
      </c>
    </row>
    <row r="68" spans="1:33">
      <c r="A68" t="str">
        <v>Tall fescue Seed Turf</v>
      </c>
      <c r="B68">
        <v>85</v>
      </c>
      <c r="C68" t="str">
        <v>Seed</v>
      </c>
      <c r="D68" t="str">
        <v>Forage</v>
      </c>
      <c r="E68" t="str">
        <v>Tall fescue</v>
      </c>
      <c r="F68" t="str">
        <v>Turf</v>
      </c>
      <c r="G68" t="str">
        <v>Tall fescue Seed Turf</v>
      </c>
      <c r="H68" t="str">
        <v>Poaceae</v>
      </c>
      <c r="I68" t="str">
        <v>Festuca</v>
      </c>
      <c r="J68" t="str">
        <v>arundinacea</v>
      </c>
      <c r="K68" t="str">
        <v>x</v>
      </c>
      <c r="L68" t="str">
        <v>Festuca arundinacea</v>
      </c>
      <c r="M68" t="str">
        <v>Seed</v>
      </c>
      <c r="N68" t="str">
        <v>May</v>
      </c>
      <c r="O68" t="str">
        <v>LateReproductive</v>
      </c>
      <c r="P68" t="str">
        <v>Jan</v>
      </c>
      <c r="Q68">
        <v>3.7999999523162842</v>
      </c>
      <c r="R68" t="str">
        <v>t/ha</v>
      </c>
      <c r="S68" t="str">
        <v>Saleable seed</v>
      </c>
      <c r="T68">
        <v>1</v>
      </c>
      <c r="U68" t="str">
        <v>Total</v>
      </c>
      <c r="V68">
        <v>15</v>
      </c>
      <c r="W68">
        <v>0</v>
      </c>
      <c r="X68">
        <v>0.25</v>
      </c>
      <c r="Y68">
        <v>0.10000000149011612</v>
      </c>
      <c r="Z68">
        <v>14</v>
      </c>
      <c r="AA68">
        <v>0.10000000149011612</v>
      </c>
      <c r="AB68">
        <v>0.89999997615814209</v>
      </c>
      <c r="AC68">
        <v>1</v>
      </c>
      <c r="AD68">
        <v>0.69999998807907104</v>
      </c>
      <c r="AE68">
        <v>0.89999997615814209</v>
      </c>
      <c r="AF68">
        <v>1.5</v>
      </c>
      <c r="AG68">
        <v>2.5</v>
      </c>
    </row>
    <row r="69" spans="1:33">
      <c r="A69" t="str">
        <v>White clover Seed General</v>
      </c>
      <c r="B69">
        <v>33</v>
      </c>
      <c r="C69" t="str">
        <v>Seed</v>
      </c>
      <c r="D69" t="str">
        <v>Forage</v>
      </c>
      <c r="E69" t="str">
        <v>White clover</v>
      </c>
      <c r="F69" t="str">
        <v>General</v>
      </c>
      <c r="G69" t="str">
        <v>Fabaceae</v>
      </c>
      <c r="H69" t="str">
        <v>Trifolium</v>
      </c>
      <c r="I69" t="str">
        <v>repens</v>
      </c>
      <c r="J69" t="str">
        <v/>
      </c>
      <c r="K69" t="str">
        <v>Trifolium repens</v>
      </c>
      <c r="L69" t="str">
        <v>repens</v>
      </c>
      <c r="M69" t="str">
        <v>Seed</v>
      </c>
      <c r="N69" t="str">
        <v>Mar</v>
      </c>
      <c r="O69" t="str">
        <v>LateReproductive</v>
      </c>
      <c r="P69" t="str">
        <v>Feb</v>
      </c>
      <c r="Q69">
        <v>0.60000002384185791</v>
      </c>
      <c r="R69" t="str">
        <v>t/ha</v>
      </c>
      <c r="S69" t="str">
        <v>Saleable seed</v>
      </c>
      <c r="T69">
        <v>1</v>
      </c>
      <c r="U69" t="str">
        <v>Total</v>
      </c>
      <c r="V69">
        <v>20</v>
      </c>
      <c r="W69">
        <v>0</v>
      </c>
      <c r="X69">
        <v>0.15000000596046448</v>
      </c>
      <c r="Y69">
        <v>9.0000003576278687E-2</v>
      </c>
      <c r="Z69">
        <v>14</v>
      </c>
      <c r="AA69">
        <v>0.10000000149011612</v>
      </c>
      <c r="AB69">
        <v>0.89999997615814209</v>
      </c>
      <c r="AC69">
        <v>1</v>
      </c>
      <c r="AD69">
        <v>0.60000002384185791</v>
      </c>
      <c r="AE69">
        <v>1.5</v>
      </c>
      <c r="AF69">
        <v>4</v>
      </c>
      <c r="AG69">
        <v>3</v>
      </c>
    </row>
    <row r="70" spans="1:33">
      <c r="A70" t="str">
        <v>Pumpkin Seed General</v>
      </c>
      <c r="B70">
        <v>84</v>
      </c>
      <c r="C70" t="str">
        <v>Seed</v>
      </c>
      <c r="D70" t="str">
        <v>Fruit</v>
      </c>
      <c r="E70" t="str">
        <v>Pumpkin</v>
      </c>
      <c r="F70" t="str">
        <v>General</v>
      </c>
      <c r="G70" t="str">
        <v>Cucurbitaceae</v>
      </c>
      <c r="H70" t="str">
        <v>Cucurbita</v>
      </c>
      <c r="I70" t="str">
        <v>pepo</v>
      </c>
      <c r="J70" t="str">
        <v/>
      </c>
      <c r="K70" t="str">
        <v>Cucurbita pepo</v>
      </c>
      <c r="L70" t="str">
        <v>pepo</v>
      </c>
      <c r="M70" t="str">
        <v>Seed</v>
      </c>
      <c r="N70" t="str">
        <v>Oct</v>
      </c>
      <c r="O70" t="str">
        <v>LateReproductive</v>
      </c>
      <c r="P70" t="str">
        <v>Mar</v>
      </c>
      <c r="Q70">
        <v>0.80000001192092896</v>
      </c>
      <c r="R70" t="str">
        <v>t/ha</v>
      </c>
      <c r="S70" t="str">
        <v>Saleable product</v>
      </c>
      <c r="T70">
        <v>1</v>
      </c>
      <c r="U70" t="str">
        <v>Total</v>
      </c>
      <c r="V70">
        <v>0</v>
      </c>
      <c r="W70">
        <v>0</v>
      </c>
      <c r="X70">
        <v>0.10000000149011612</v>
      </c>
      <c r="Y70">
        <v>0</v>
      </c>
      <c r="Z70">
        <v>14</v>
      </c>
      <c r="AA70">
        <v>0.10000000149011612</v>
      </c>
      <c r="AB70">
        <v>0.80000001192092896</v>
      </c>
      <c r="AC70">
        <v>1</v>
      </c>
      <c r="AD70">
        <v>1</v>
      </c>
      <c r="AE70">
        <v>1</v>
      </c>
      <c r="AF70">
        <v>1.3999999761581421</v>
      </c>
      <c r="AG70">
        <v>2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Pak choi Seed General</v>
      </c>
      <c r="B72">
        <v>28</v>
      </c>
      <c r="C72" t="str">
        <v>Seed</v>
      </c>
      <c r="D72" t="str">
        <v>Vegetable</v>
      </c>
      <c r="E72" t="str">
        <v>Pak choi</v>
      </c>
      <c r="F72" t="str">
        <v>General</v>
      </c>
      <c r="G72" t="str">
        <v>Brassicaceae</v>
      </c>
      <c r="H72" t="str">
        <v>Brassica</v>
      </c>
      <c r="I72" t="str">
        <v>rapa</v>
      </c>
      <c r="J72" t="str">
        <v>chinensis</v>
      </c>
      <c r="K72" t="str">
        <v>Brassica rapa chinensis</v>
      </c>
      <c r="L72" t="str">
        <v>rapa chinensis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1.2999999523162842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0</v>
      </c>
      <c r="W72">
        <v>0</v>
      </c>
      <c r="X72">
        <v>0.24500000476837158</v>
      </c>
      <c r="Y72">
        <v>0.14000000059604645</v>
      </c>
      <c r="Z72">
        <v>8</v>
      </c>
      <c r="AA72">
        <v>0.10000000149011612</v>
      </c>
      <c r="AB72">
        <v>1.2000000476837158</v>
      </c>
      <c r="AC72">
        <v>0.85000002384185791</v>
      </c>
      <c r="AD72">
        <v>1.5</v>
      </c>
      <c r="AE72">
        <v>0.80000001192092896</v>
      </c>
      <c r="AF72">
        <v>1.1000000238418579</v>
      </c>
      <c r="AG72">
        <v>3.2000000476837158</v>
      </c>
    </row>
    <row r="73" spans="1:33">
      <c r="A73" t="str">
        <v>Radish Seed Open pollinated</v>
      </c>
      <c r="B73">
        <v>32</v>
      </c>
      <c r="C73" t="str">
        <v>Seed</v>
      </c>
      <c r="D73" t="str">
        <v>Vegetable</v>
      </c>
      <c r="E73" t="str">
        <v>Radish</v>
      </c>
      <c r="F73" t="str">
        <v>Open pollinated</v>
      </c>
      <c r="G73" t="str">
        <v>Brassicaceae</v>
      </c>
      <c r="H73" t="str">
        <v>Raphanus</v>
      </c>
      <c r="I73" t="str">
        <v>raphanistrum</v>
      </c>
      <c r="J73" t="str">
        <v>sativa</v>
      </c>
      <c r="K73" t="str">
        <v>Raphanus raphanistrum sativa</v>
      </c>
      <c r="L73" t="str">
        <v>raphanistrum sativa</v>
      </c>
      <c r="M73" t="str">
        <v>Seed</v>
      </c>
      <c r="N73" t="str">
        <v>Sep</v>
      </c>
      <c r="O73" t="str">
        <v>LateReproductive</v>
      </c>
      <c r="P73" t="str">
        <v>Feb</v>
      </c>
      <c r="Q73">
        <v>1.7999999523162842</v>
      </c>
      <c r="R73" t="str">
        <v>t/ha</v>
      </c>
      <c r="S73" t="str">
        <v>Saleable seed</v>
      </c>
      <c r="T73">
        <v>1</v>
      </c>
      <c r="U73" t="str">
        <v>Total</v>
      </c>
      <c r="V73">
        <v>30</v>
      </c>
      <c r="W73">
        <v>0</v>
      </c>
      <c r="X73">
        <v>0.17800000309944153</v>
      </c>
      <c r="Y73">
        <v>0.1080000028014183</v>
      </c>
      <c r="Z73">
        <v>10</v>
      </c>
      <c r="AA73">
        <v>0.10000000149011612</v>
      </c>
      <c r="AB73">
        <v>1.2000000476837158</v>
      </c>
      <c r="AC73">
        <v>0.85000002384185791</v>
      </c>
      <c r="AD73">
        <v>1.1000000238418579</v>
      </c>
      <c r="AE73">
        <v>0.80000001192092896</v>
      </c>
      <c r="AF73">
        <v>1.6000000238418579</v>
      </c>
      <c r="AG73">
        <v>4.5</v>
      </c>
    </row>
    <row r="74" spans="1:33">
      <c r="A74" t="str">
        <v>Red beet Seed General</v>
      </c>
      <c r="B74">
        <v>26</v>
      </c>
      <c r="C74" t="str">
        <v>Seed</v>
      </c>
      <c r="D74" t="str">
        <v>Vegetable</v>
      </c>
      <c r="E74" t="str">
        <v>Red beet</v>
      </c>
      <c r="F74" t="str">
        <v>General</v>
      </c>
      <c r="G74" t="str">
        <v>Amaranthaceae</v>
      </c>
      <c r="H74" t="str">
        <v>Beta</v>
      </c>
      <c r="I74" t="str">
        <v>vulgaris</v>
      </c>
      <c r="J74" t="str">
        <v>conditiva</v>
      </c>
      <c r="K74" t="str">
        <v>Beta vulgaris conditiva</v>
      </c>
      <c r="L74" t="str">
        <v>vulgaris conditiva</v>
      </c>
      <c r="M74" t="str">
        <v>Seed</v>
      </c>
      <c r="N74" t="str">
        <v>Apr</v>
      </c>
      <c r="O74" t="str">
        <v>LateReproductive</v>
      </c>
      <c r="P74" t="str">
        <v>Mar</v>
      </c>
      <c r="Q74">
        <v>1.2000000476837158</v>
      </c>
      <c r="R74" t="str">
        <v>t/ha</v>
      </c>
      <c r="S74" t="str">
        <v>Saleable seed</v>
      </c>
      <c r="T74">
        <v>1</v>
      </c>
      <c r="U74" t="str">
        <v>Total</v>
      </c>
      <c r="V74">
        <v>15</v>
      </c>
      <c r="W74">
        <v>0</v>
      </c>
      <c r="X74">
        <v>0.17000000178813934</v>
      </c>
      <c r="Y74">
        <v>7.0000000298023224E-2</v>
      </c>
      <c r="Z74">
        <v>15</v>
      </c>
      <c r="AA74">
        <v>0.10000000149011612</v>
      </c>
      <c r="AB74">
        <v>1.5</v>
      </c>
      <c r="AC74">
        <v>0.85000002384185791</v>
      </c>
      <c r="AD74">
        <v>0.80000001192092896</v>
      </c>
      <c r="AE74">
        <v>0.80000001192092896</v>
      </c>
      <c r="AF74">
        <v>1.7999999523162842</v>
      </c>
      <c r="AG74">
        <v>2.0999999046325684</v>
      </c>
    </row>
    <row r="75" spans="1:33">
      <c r="A75" t="str">
        <v>TestResidue05</v>
      </c>
      <c r="B75">
        <v>78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0.5</v>
      </c>
      <c r="AF75">
        <v>0.5</v>
      </c>
      <c r="AG75">
        <v>0.5</v>
      </c>
    </row>
    <row r="76" spans="1:33">
      <c r="A76" t="str">
        <v>TestResidue10</v>
      </c>
      <c r="B76">
        <v>79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1</v>
      </c>
      <c r="AF76">
        <v>1</v>
      </c>
      <c r="AG76">
        <v>1</v>
      </c>
    </row>
    <row r="77" spans="1:33">
      <c r="A77" t="str">
        <v>TestResidue15</v>
      </c>
      <c r="B77">
        <v>80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1.5</v>
      </c>
      <c r="AF77">
        <v>1.5</v>
      </c>
      <c r="AG77">
        <v>1.5</v>
      </c>
    </row>
    <row r="78" spans="1:33">
      <c r="A78" t="str">
        <v>TestResidue30</v>
      </c>
      <c r="B78">
        <v>81</v>
      </c>
      <c r="C78" t="str">
        <v>Testing</v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>Seed</v>
      </c>
      <c r="N78" t="str">
        <v>Apr</v>
      </c>
      <c r="O78" t="str">
        <v>Maturity</v>
      </c>
      <c r="P78" t="str">
        <v>Feb</v>
      </c>
      <c r="Q78">
        <v>12</v>
      </c>
      <c r="R78" t="str">
        <v>t/ha</v>
      </c>
      <c r="S78" t="str">
        <v>Saleable grain</v>
      </c>
      <c r="T78">
        <v>1</v>
      </c>
      <c r="U78" t="str">
        <v>Total</v>
      </c>
      <c r="V78">
        <v>0</v>
      </c>
      <c r="W78">
        <v>0</v>
      </c>
      <c r="X78">
        <v>0.5</v>
      </c>
      <c r="Y78">
        <v>0</v>
      </c>
      <c r="Z78">
        <v>15</v>
      </c>
      <c r="AA78">
        <v>0.10000000149011612</v>
      </c>
      <c r="AB78">
        <v>1.5</v>
      </c>
      <c r="AC78">
        <v>1</v>
      </c>
      <c r="AD78">
        <v>1</v>
      </c>
      <c r="AE78">
        <v>3</v>
      </c>
      <c r="AF78">
        <v>3</v>
      </c>
      <c r="AG78">
        <v>3</v>
      </c>
    </row>
    <row r="79" spans="1:33">
      <c r="A79" t="str">
        <v>TestResidue45</v>
      </c>
      <c r="B79">
        <v>82</v>
      </c>
      <c r="C79" t="str">
        <v>Testing</v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>Seed</v>
      </c>
      <c r="N79" t="str">
        <v>Apr</v>
      </c>
      <c r="O79" t="str">
        <v>Maturity</v>
      </c>
      <c r="P79" t="str">
        <v>Feb</v>
      </c>
      <c r="Q79">
        <v>12</v>
      </c>
      <c r="R79" t="str">
        <v>t/ha</v>
      </c>
      <c r="S79" t="str">
        <v>Saleable grain</v>
      </c>
      <c r="T79">
        <v>1</v>
      </c>
      <c r="U79" t="str">
        <v>Total</v>
      </c>
      <c r="V79">
        <v>0</v>
      </c>
      <c r="W79">
        <v>0</v>
      </c>
      <c r="X79">
        <v>0.5</v>
      </c>
      <c r="Y79">
        <v>0</v>
      </c>
      <c r="Z79">
        <v>15</v>
      </c>
      <c r="AA79">
        <v>0.10000000149011612</v>
      </c>
      <c r="AB79">
        <v>1.5</v>
      </c>
      <c r="AC79">
        <v>1</v>
      </c>
      <c r="AD79">
        <v>1</v>
      </c>
      <c r="AE79">
        <v>4.5</v>
      </c>
      <c r="AF79">
        <v>4.5</v>
      </c>
      <c r="AG79">
        <v>4.5</v>
      </c>
    </row>
    <row r="80" spans="1:33">
      <c r="A80" t="str">
        <v>Pumpkin Vegetable General</v>
      </c>
      <c r="B80">
        <v>55</v>
      </c>
      <c r="C80" t="str">
        <v>Vegetable</v>
      </c>
      <c r="D80" t="str">
        <v>Fruit</v>
      </c>
      <c r="E80" t="str">
        <v>Pumpkin</v>
      </c>
      <c r="F80" t="str">
        <v>General</v>
      </c>
      <c r="G80" t="str">
        <v>Cucurbitaceae</v>
      </c>
      <c r="H80" t="str">
        <v>Cucurbita</v>
      </c>
      <c r="I80" t="str">
        <v>pepo</v>
      </c>
      <c r="J80" t="str">
        <v/>
      </c>
      <c r="K80" t="str">
        <v>Cucurbita pepo</v>
      </c>
      <c r="L80" t="str">
        <v>pepo</v>
      </c>
      <c r="M80" t="str">
        <v>Seed</v>
      </c>
      <c r="N80" t="str">
        <v>Oct</v>
      </c>
      <c r="O80" t="str">
        <v>LateReproductive</v>
      </c>
      <c r="P80" t="str">
        <v>Mar</v>
      </c>
      <c r="Q80">
        <v>54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0.20000000298023224</v>
      </c>
      <c r="Z80">
        <v>81</v>
      </c>
      <c r="AA80">
        <v>0.10000000149011612</v>
      </c>
      <c r="AB80">
        <v>0.80000001192092896</v>
      </c>
      <c r="AC80">
        <v>1</v>
      </c>
      <c r="AD80">
        <v>1</v>
      </c>
      <c r="AE80">
        <v>1</v>
      </c>
      <c r="AF80">
        <v>2.2999999523162842</v>
      </c>
      <c r="AG80">
        <v>1.3999999761581421</v>
      </c>
    </row>
    <row r="81" spans="1:33">
      <c r="A81" t="str">
        <v>Rock melon Vegetable General</v>
      </c>
      <c r="B81">
        <v>53</v>
      </c>
      <c r="C81" t="str">
        <v>Vegetable</v>
      </c>
      <c r="D81" t="str">
        <v>Fruit</v>
      </c>
      <c r="E81" t="str">
        <v>Rock melon</v>
      </c>
      <c r="F81" t="str">
        <v>General</v>
      </c>
      <c r="G81" t="str">
        <v>Cucurbitaceae</v>
      </c>
      <c r="H81" t="str">
        <v>Cucumis</v>
      </c>
      <c r="I81" t="str">
        <v>melo</v>
      </c>
      <c r="J81" t="str">
        <v/>
      </c>
      <c r="K81" t="str">
        <v>Cucumis melo</v>
      </c>
      <c r="L81" t="str">
        <v>melo</v>
      </c>
      <c r="M81" t="str">
        <v>Seedling</v>
      </c>
      <c r="N81" t="str">
        <v>Oct</v>
      </c>
      <c r="O81" t="str">
        <v>LateReproductive</v>
      </c>
      <c r="P81" t="str">
        <v>Feb</v>
      </c>
      <c r="Q81">
        <v>80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0.69999998807907104</v>
      </c>
      <c r="Y81">
        <v>0.15000000596046448</v>
      </c>
      <c r="Z81">
        <v>95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2</v>
      </c>
      <c r="AG81">
        <v>2</v>
      </c>
    </row>
    <row r="82" spans="1:33">
      <c r="A82" t="str">
        <v>Squash Vegetable General</v>
      </c>
      <c r="B82">
        <v>54</v>
      </c>
      <c r="C82" t="str">
        <v>Vegetable</v>
      </c>
      <c r="D82" t="str">
        <v>Fruit</v>
      </c>
      <c r="E82" t="str">
        <v>Squash</v>
      </c>
      <c r="F82" t="str">
        <v>General</v>
      </c>
      <c r="G82" t="str">
        <v>Cucurbitaceae</v>
      </c>
      <c r="H82" t="str">
        <v>Cucurbita</v>
      </c>
      <c r="I82" t="str">
        <v>argyrosperma</v>
      </c>
      <c r="J82" t="str">
        <v/>
      </c>
      <c r="K82" t="str">
        <v>Cucurbita argyrosperma</v>
      </c>
      <c r="L82" t="str">
        <v>argyrosperma</v>
      </c>
      <c r="M82" t="str">
        <v>Seedling</v>
      </c>
      <c r="N82" t="str">
        <v>Oct</v>
      </c>
      <c r="O82" t="str">
        <v>Maturity</v>
      </c>
      <c r="P82" t="str">
        <v>Mar</v>
      </c>
      <c r="Q82">
        <v>22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0.68999999761581421</v>
      </c>
      <c r="Y82">
        <v>0.15000000596046448</v>
      </c>
      <c r="Z82">
        <v>70</v>
      </c>
      <c r="AA82">
        <v>0.10000000149011612</v>
      </c>
      <c r="AB82">
        <v>0.80000001192092896</v>
      </c>
      <c r="AC82">
        <v>0.93999999761581421</v>
      </c>
      <c r="AD82">
        <v>1</v>
      </c>
      <c r="AE82">
        <v>1</v>
      </c>
      <c r="AF82">
        <v>1.8999999761581421</v>
      </c>
      <c r="AG82">
        <v>1.5</v>
      </c>
    </row>
    <row r="83" spans="1:33">
      <c r="A83" t="str">
        <v>Sweetcorn Vegetable General</v>
      </c>
      <c r="B83">
        <v>70</v>
      </c>
      <c r="C83" t="str">
        <v>Vegetable</v>
      </c>
      <c r="D83" t="str">
        <v>Fruit</v>
      </c>
      <c r="E83" t="str">
        <v>Sweetcorn</v>
      </c>
      <c r="F83" t="str">
        <v>General</v>
      </c>
      <c r="G83" t="str">
        <v>Poaceae</v>
      </c>
      <c r="H83" t="str">
        <v>Zea</v>
      </c>
      <c r="I83" t="str">
        <v>mays</v>
      </c>
      <c r="J83" t="str">
        <v/>
      </c>
      <c r="K83" t="str">
        <v>Zea mays</v>
      </c>
      <c r="L83" t="str">
        <v>mays</v>
      </c>
      <c r="M83" t="str">
        <v>Seed</v>
      </c>
      <c r="N83" t="str">
        <v>Oct</v>
      </c>
      <c r="O83" t="str">
        <v>MidReproductive</v>
      </c>
      <c r="P83" t="str">
        <v>Feb</v>
      </c>
      <c r="Q83">
        <v>22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0.47999998927116394</v>
      </c>
      <c r="Y83">
        <v>0.15000000596046448</v>
      </c>
      <c r="Z83">
        <v>78</v>
      </c>
      <c r="AA83">
        <v>0.10000000149011612</v>
      </c>
      <c r="AB83">
        <v>1.5</v>
      </c>
      <c r="AC83">
        <v>0.75</v>
      </c>
      <c r="AD83">
        <v>1</v>
      </c>
      <c r="AE83">
        <v>0.89999997615814209</v>
      </c>
      <c r="AF83">
        <v>0.89999997615814209</v>
      </c>
      <c r="AG83">
        <v>1.3999999761581421</v>
      </c>
    </row>
    <row r="84" spans="1:33">
      <c r="A84" t="str">
        <v>Tomato Vegetable General</v>
      </c>
      <c r="B84">
        <v>67</v>
      </c>
      <c r="C84" t="str">
        <v>Vegetable</v>
      </c>
      <c r="D84" t="str">
        <v>Fruit</v>
      </c>
      <c r="E84" t="str">
        <v>Tomato</v>
      </c>
      <c r="F84" t="str">
        <v>General</v>
      </c>
      <c r="G84" t="str">
        <v>Solanaceae</v>
      </c>
      <c r="H84" t="str">
        <v>Solanum</v>
      </c>
      <c r="I84" t="str">
        <v>lycopersicum</v>
      </c>
      <c r="J84" t="str">
        <v/>
      </c>
      <c r="K84" t="str">
        <v>Solanum  lycopersicum</v>
      </c>
      <c r="L84" t="str">
        <v>lycopersicum</v>
      </c>
      <c r="M84" t="str">
        <v>Seedling</v>
      </c>
      <c r="N84" t="str">
        <v>Oct</v>
      </c>
      <c r="O84" t="str">
        <v>LateReproductive</v>
      </c>
      <c r="P84" t="str">
        <v>Apr</v>
      </c>
      <c r="Q84">
        <v>100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0.5</v>
      </c>
      <c r="Y84">
        <v>0.15000000596046448</v>
      </c>
      <c r="Z84">
        <v>95</v>
      </c>
      <c r="AA84">
        <v>0.10000000149011612</v>
      </c>
      <c r="AB84">
        <v>0.60000002384185791</v>
      </c>
      <c r="AC84">
        <v>1</v>
      </c>
      <c r="AD84">
        <v>1.2000000476837158</v>
      </c>
      <c r="AE84">
        <v>0.89999997615814209</v>
      </c>
      <c r="AF84">
        <v>2</v>
      </c>
      <c r="AG84">
        <v>2</v>
      </c>
    </row>
    <row r="85" spans="1:33">
      <c r="A85" t="str">
        <v>Water melon Vegetable General</v>
      </c>
      <c r="B85">
        <v>52</v>
      </c>
      <c r="C85" t="str">
        <v>Vegetable</v>
      </c>
      <c r="D85" t="str">
        <v>Fruit</v>
      </c>
      <c r="E85" t="str">
        <v>Water melon</v>
      </c>
      <c r="F85" t="str">
        <v>General</v>
      </c>
      <c r="G85" t="str">
        <v>Cucurbitaceae</v>
      </c>
      <c r="H85" t="str">
        <v>Cucumis</v>
      </c>
      <c r="I85" t="str">
        <v>lanatus</v>
      </c>
      <c r="J85" t="str">
        <v/>
      </c>
      <c r="K85" t="str">
        <v>Cucumis lanatus</v>
      </c>
      <c r="L85" t="str">
        <v>lanatus</v>
      </c>
      <c r="M85" t="str">
        <v>Seedling</v>
      </c>
      <c r="N85" t="str">
        <v>Oct</v>
      </c>
      <c r="O85" t="str">
        <v>LateReproductive</v>
      </c>
      <c r="P85" t="str">
        <v>Feb</v>
      </c>
      <c r="Q85">
        <v>120</v>
      </c>
      <c r="R85" t="str">
        <v>t/ha</v>
      </c>
      <c r="S85" t="str">
        <v>Saleable product</v>
      </c>
      <c r="T85">
        <v>1</v>
      </c>
      <c r="U85" t="str">
        <v>Total</v>
      </c>
      <c r="V85">
        <v>0</v>
      </c>
      <c r="W85">
        <v>0</v>
      </c>
      <c r="X85">
        <v>0.73000001907348633</v>
      </c>
      <c r="Y85">
        <v>0.18000000715255737</v>
      </c>
      <c r="Z85">
        <v>93</v>
      </c>
      <c r="AA85">
        <v>0.10000000149011612</v>
      </c>
      <c r="AB85">
        <v>0.80000001192092896</v>
      </c>
      <c r="AC85">
        <v>1</v>
      </c>
      <c r="AD85">
        <v>1</v>
      </c>
      <c r="AE85">
        <v>1</v>
      </c>
      <c r="AF85">
        <v>1.8999999761581421</v>
      </c>
      <c r="AG85">
        <v>1.3999999761581421</v>
      </c>
    </row>
    <row r="86" spans="1:33">
      <c r="A86" t="str">
        <v>Zucchini Vegetable General</v>
      </c>
      <c r="B86">
        <v>56</v>
      </c>
      <c r="C86" t="str">
        <v>Vegetable</v>
      </c>
      <c r="D86" t="str">
        <v>Fruit</v>
      </c>
      <c r="E86" t="str">
        <v>Zucchini</v>
      </c>
      <c r="F86" t="str">
        <v>General</v>
      </c>
      <c r="G86" t="str">
        <v>Cucurbitaceae</v>
      </c>
      <c r="H86" t="str">
        <v>Cucurbita</v>
      </c>
      <c r="I86" t="str">
        <v>pepo</v>
      </c>
      <c r="J86" t="str">
        <v/>
      </c>
      <c r="K86" t="str">
        <v>Cucurbita pepo</v>
      </c>
      <c r="L86" t="str">
        <v>pepo</v>
      </c>
      <c r="M86" t="str">
        <v>Seed</v>
      </c>
      <c r="N86" t="str">
        <v>Oct</v>
      </c>
      <c r="O86" t="str">
        <v>EarlyReproductive</v>
      </c>
      <c r="P86" t="str">
        <v>Jan</v>
      </c>
      <c r="Q86">
        <v>40</v>
      </c>
      <c r="R86" t="str">
        <v>t/ha</v>
      </c>
      <c r="S86" t="str">
        <v>Saleable product</v>
      </c>
      <c r="T86">
        <v>1</v>
      </c>
      <c r="U86" t="str">
        <v>Total</v>
      </c>
      <c r="V86">
        <v>0</v>
      </c>
      <c r="W86">
        <v>0</v>
      </c>
      <c r="X86">
        <v>0.40000000596046448</v>
      </c>
      <c r="Y86">
        <v>0.10000000149011612</v>
      </c>
      <c r="Z86">
        <v>95</v>
      </c>
      <c r="AA86">
        <v>0.10000000149011612</v>
      </c>
      <c r="AB86">
        <v>0.80000001192092896</v>
      </c>
      <c r="AC86">
        <v>0.85000002384185791</v>
      </c>
      <c r="AD86">
        <v>1</v>
      </c>
      <c r="AE86">
        <v>1</v>
      </c>
      <c r="AF86">
        <v>3.7999999523162842</v>
      </c>
      <c r="AG86">
        <v>3.2000000476837158</v>
      </c>
    </row>
    <row r="87" spans="1:33">
      <c r="A87" t="str">
        <v>Broccoli Vegetable Chinese cut</v>
      </c>
      <c r="B87">
        <v>47</v>
      </c>
      <c r="C87" t="str">
        <v>Vegetable</v>
      </c>
      <c r="D87" t="str">
        <v>Green</v>
      </c>
      <c r="E87" t="str">
        <v>Broccoli</v>
      </c>
      <c r="F87" t="str">
        <v>Chinese cut</v>
      </c>
      <c r="G87" t="str">
        <v>Brassicaceae</v>
      </c>
      <c r="H87" t="str">
        <v>Brassica</v>
      </c>
      <c r="I87" t="str">
        <v>oleracea</v>
      </c>
      <c r="J87" t="str">
        <v>italica</v>
      </c>
      <c r="K87" t="str">
        <v>Brassica oleracea italica</v>
      </c>
      <c r="L87" t="str">
        <v>oleracea italica</v>
      </c>
      <c r="M87" t="str">
        <v>Seedling</v>
      </c>
      <c r="N87" t="str">
        <v>May</v>
      </c>
      <c r="O87" t="str">
        <v>EarlyReproductive</v>
      </c>
      <c r="P87" t="str">
        <v>Sep</v>
      </c>
      <c r="Q87">
        <v>0.5</v>
      </c>
      <c r="R87" t="str">
        <v>kg/head</v>
      </c>
      <c r="S87" t="str">
        <v>Saleable product</v>
      </c>
      <c r="T87">
        <v>50000</v>
      </c>
      <c r="U87" t="str">
        <v>Total</v>
      </c>
      <c r="V87">
        <v>0</v>
      </c>
      <c r="W87">
        <v>0</v>
      </c>
      <c r="X87">
        <v>0.5</v>
      </c>
      <c r="Y87">
        <v>0.15000000596046448</v>
      </c>
      <c r="Z87">
        <v>89</v>
      </c>
      <c r="AA87">
        <v>0.10000000149011612</v>
      </c>
      <c r="AB87">
        <v>1.2000000476837158</v>
      </c>
      <c r="AC87">
        <v>1</v>
      </c>
      <c r="AD87">
        <v>2</v>
      </c>
      <c r="AE87">
        <v>0.80000001192092896</v>
      </c>
      <c r="AF87">
        <v>3</v>
      </c>
      <c r="AG87">
        <v>3.5999999046325684</v>
      </c>
    </row>
    <row r="88" spans="1:33">
      <c r="A88" t="str">
        <v>Broccoli Vegetable Head only</v>
      </c>
      <c r="B88">
        <v>46</v>
      </c>
      <c r="C88" t="str">
        <v>Vegetable</v>
      </c>
      <c r="D88" t="str">
        <v>Green</v>
      </c>
      <c r="E88" t="str">
        <v>Broccoli</v>
      </c>
      <c r="F88" t="str">
        <v>Head only</v>
      </c>
      <c r="G88" t="str">
        <v>Brassicaceae</v>
      </c>
      <c r="H88" t="str">
        <v>Brassica</v>
      </c>
      <c r="I88" t="str">
        <v>oleracea</v>
      </c>
      <c r="J88" t="str">
        <v>italica</v>
      </c>
      <c r="K88" t="str">
        <v>Brassica oleracea italica</v>
      </c>
      <c r="L88" t="str">
        <v>oleracea italica</v>
      </c>
      <c r="M88" t="str">
        <v>Seedling</v>
      </c>
      <c r="N88" t="str">
        <v>May</v>
      </c>
      <c r="O88" t="str">
        <v>EarlyReproductive</v>
      </c>
      <c r="P88" t="str">
        <v>Sep</v>
      </c>
      <c r="Q88">
        <v>0.30000001192092896</v>
      </c>
      <c r="R88" t="str">
        <v>kg/head</v>
      </c>
      <c r="S88" t="str">
        <v>Saleable product</v>
      </c>
      <c r="T88">
        <v>38000</v>
      </c>
      <c r="U88" t="str">
        <v>Total</v>
      </c>
      <c r="V88">
        <v>0</v>
      </c>
      <c r="W88">
        <v>0</v>
      </c>
      <c r="X88">
        <v>0.30000001192092896</v>
      </c>
      <c r="Y88">
        <v>0.15000000596046448</v>
      </c>
      <c r="Z88">
        <v>89</v>
      </c>
      <c r="AA88">
        <v>0.10000000149011612</v>
      </c>
      <c r="AB88">
        <v>1.2000000476837158</v>
      </c>
      <c r="AC88">
        <v>0.89999997615814209</v>
      </c>
      <c r="AD88">
        <v>2</v>
      </c>
      <c r="AE88">
        <v>0.80000001192092896</v>
      </c>
      <c r="AF88">
        <v>3.2000000476837158</v>
      </c>
      <c r="AG88">
        <v>4.5999999046325684</v>
      </c>
    </row>
    <row r="89" spans="1:33">
      <c r="A89" t="str">
        <v>Brussel sprout  Vegetable General</v>
      </c>
      <c r="B89">
        <v>45</v>
      </c>
      <c r="C89" t="str">
        <v>Vegetable</v>
      </c>
      <c r="D89" t="str">
        <v>Green</v>
      </c>
      <c r="E89" t="str">
        <v>Brussel sprout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gemmifera</v>
      </c>
      <c r="K89" t="str">
        <v>Brassica oleracea gemmifera</v>
      </c>
      <c r="L89" t="str">
        <v>oleracea gemmifera</v>
      </c>
      <c r="M89" t="str">
        <v>Seedling</v>
      </c>
      <c r="N89" t="str">
        <v>Nov</v>
      </c>
      <c r="O89" t="str">
        <v>EarlyReproductive</v>
      </c>
      <c r="P89" t="str">
        <v>Jun</v>
      </c>
      <c r="Q89">
        <v>0.30000001192092896</v>
      </c>
      <c r="R89" t="str">
        <v>kg/head</v>
      </c>
      <c r="S89" t="str">
        <v>Saleable product</v>
      </c>
      <c r="T89">
        <v>50000</v>
      </c>
      <c r="U89" t="str">
        <v>Total</v>
      </c>
      <c r="V89">
        <v>0</v>
      </c>
      <c r="W89">
        <v>0</v>
      </c>
      <c r="X89">
        <v>0.40000000596046448</v>
      </c>
      <c r="Y89">
        <v>0.10000000149011612</v>
      </c>
      <c r="Z89">
        <v>80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2.5999999046325684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1.6000000238418579</v>
      </c>
      <c r="R90" t="str">
        <v>kg/head</v>
      </c>
      <c r="S90" t="str">
        <v>Saleable product</v>
      </c>
      <c r="T90">
        <v>39000</v>
      </c>
      <c r="U90" t="str">
        <v>Total</v>
      </c>
      <c r="V90">
        <v>0</v>
      </c>
      <c r="W90">
        <v>0</v>
      </c>
      <c r="X90">
        <v>0.46000000834465027</v>
      </c>
      <c r="Y90">
        <v>0.11999999731779099</v>
      </c>
      <c r="Z90">
        <v>91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2.2999999523162842</v>
      </c>
      <c r="AG90">
        <v>2.2999999523162842</v>
      </c>
    </row>
    <row r="91" spans="1:33">
      <c r="A91" t="str">
        <v>Cauliflower Vegetable General</v>
      </c>
      <c r="B91">
        <v>43</v>
      </c>
      <c r="C91" t="str">
        <v>Vegetable</v>
      </c>
      <c r="D91" t="str">
        <v>Green</v>
      </c>
      <c r="E91" t="str">
        <v>Cauliflower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botrytis</v>
      </c>
      <c r="K91" t="str">
        <v>Brassica oleracea botrytis</v>
      </c>
      <c r="L91" t="str">
        <v>oleracea botrytis</v>
      </c>
      <c r="M91" t="str">
        <v>Seedling</v>
      </c>
      <c r="N91" t="str">
        <v>Sep</v>
      </c>
      <c r="O91" t="str">
        <v>EarlyReproductive</v>
      </c>
      <c r="P91" t="str">
        <v>Jan</v>
      </c>
      <c r="Q91">
        <v>1.2999999523162842</v>
      </c>
      <c r="R91" t="str">
        <v>kg/head</v>
      </c>
      <c r="S91" t="str">
        <v>Saleable product</v>
      </c>
      <c r="T91">
        <v>30000</v>
      </c>
      <c r="U91" t="str">
        <v>Total</v>
      </c>
      <c r="V91">
        <v>0</v>
      </c>
      <c r="W91">
        <v>0</v>
      </c>
      <c r="X91">
        <v>0.30000001192092896</v>
      </c>
      <c r="Y91">
        <v>0.15000000596046448</v>
      </c>
      <c r="Z91">
        <v>92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4.0999999046325684</v>
      </c>
    </row>
    <row r="92" spans="1:33">
      <c r="A92" t="str">
        <v>Celery Vegetable General</v>
      </c>
      <c r="B92">
        <v>40</v>
      </c>
      <c r="C92" t="str">
        <v>Vegetable</v>
      </c>
      <c r="D92" t="str">
        <v>Green</v>
      </c>
      <c r="E92" t="str">
        <v>Celery</v>
      </c>
      <c r="F92" t="str">
        <v>General</v>
      </c>
      <c r="G92" t="str">
        <v>Apiaceae</v>
      </c>
      <c r="H92" t="str">
        <v>Apium</v>
      </c>
      <c r="I92" t="str">
        <v>graveolens</v>
      </c>
      <c r="J92" t="str">
        <v/>
      </c>
      <c r="K92" t="str">
        <v>Apium graveolens</v>
      </c>
      <c r="L92" t="str">
        <v>graveolens</v>
      </c>
      <c r="M92" t="str">
        <v>Seedling</v>
      </c>
      <c r="N92" t="str">
        <v>Oct</v>
      </c>
      <c r="O92" t="str">
        <v>Vegetative</v>
      </c>
      <c r="P92" t="str">
        <v>Jan</v>
      </c>
      <c r="Q92">
        <v>0.69999998807907104</v>
      </c>
      <c r="R92" t="str">
        <v>kg/head</v>
      </c>
      <c r="S92" t="str">
        <v>Saleable product</v>
      </c>
      <c r="T92">
        <v>80000</v>
      </c>
      <c r="U92" t="str">
        <v>Total</v>
      </c>
      <c r="V92">
        <v>0</v>
      </c>
      <c r="W92">
        <v>0</v>
      </c>
      <c r="X92">
        <v>0.85000002384185791</v>
      </c>
      <c r="Y92">
        <v>0.20000000298023224</v>
      </c>
      <c r="Z92">
        <v>88</v>
      </c>
      <c r="AA92">
        <v>0.10000000149011612</v>
      </c>
      <c r="AB92">
        <v>1.2000000476837158</v>
      </c>
      <c r="AC92">
        <v>1</v>
      </c>
      <c r="AD92">
        <v>0.80000001192092896</v>
      </c>
      <c r="AE92">
        <v>0.89999997615814209</v>
      </c>
      <c r="AF92">
        <v>2.5</v>
      </c>
      <c r="AG92">
        <v>2.5</v>
      </c>
    </row>
    <row r="93" spans="1:33">
      <c r="A93" t="str">
        <v>Choy sum Vegetable General</v>
      </c>
      <c r="B93">
        <v>49</v>
      </c>
      <c r="C93" t="str">
        <v>Vegetable</v>
      </c>
      <c r="D93" t="str">
        <v>Green</v>
      </c>
      <c r="E93" t="str">
        <v>Choy sum</v>
      </c>
      <c r="F93" t="str">
        <v>General</v>
      </c>
      <c r="G93" t="str">
        <v>Brassicaceae</v>
      </c>
      <c r="H93" t="str">
        <v>Brassica</v>
      </c>
      <c r="I93" t="str">
        <v>rapa</v>
      </c>
      <c r="J93" t="str">
        <v>parachinensis</v>
      </c>
      <c r="K93" t="str">
        <v>Brassica rapa parachinensis</v>
      </c>
      <c r="L93" t="str">
        <v>rapa parachinensis</v>
      </c>
      <c r="M93" t="str">
        <v>Seedling</v>
      </c>
      <c r="N93" t="str">
        <v>May</v>
      </c>
      <c r="O93" t="str">
        <v>Vegetative</v>
      </c>
      <c r="P93" t="str">
        <v>Sep</v>
      </c>
      <c r="Q93">
        <v>0.20000000298023224</v>
      </c>
      <c r="R93" t="str">
        <v>kg/head</v>
      </c>
      <c r="S93" t="str">
        <v>Saleable product</v>
      </c>
      <c r="T93">
        <v>120000</v>
      </c>
      <c r="U93" t="str">
        <v>Total</v>
      </c>
      <c r="V93">
        <v>0</v>
      </c>
      <c r="W93">
        <v>0</v>
      </c>
      <c r="X93">
        <v>0.85000002384185791</v>
      </c>
      <c r="Y93">
        <v>0.20000000298023224</v>
      </c>
      <c r="Z93">
        <v>90</v>
      </c>
      <c r="AA93">
        <v>0.10000000149011612</v>
      </c>
      <c r="AB93">
        <v>1.2000000476837158</v>
      </c>
      <c r="AC93">
        <v>0.89999997615814209</v>
      </c>
      <c r="AD93">
        <v>2</v>
      </c>
      <c r="AE93">
        <v>0.80000001192092896</v>
      </c>
      <c r="AF93">
        <v>4.5</v>
      </c>
      <c r="AG93">
        <v>4.8000001907348633</v>
      </c>
    </row>
    <row r="94" spans="1:33">
      <c r="A94" t="str">
        <v>Coriander Vegetable General</v>
      </c>
      <c r="B94">
        <v>51</v>
      </c>
      <c r="C94" t="str">
        <v>Vegetable</v>
      </c>
      <c r="D94" t="str">
        <v>Green</v>
      </c>
      <c r="E94" t="str">
        <v>Coriander</v>
      </c>
      <c r="F94" t="str">
        <v>General</v>
      </c>
      <c r="G94" t="str">
        <v>Apiaceae</v>
      </c>
      <c r="H94" t="str">
        <v>Coriandrum</v>
      </c>
      <c r="I94" t="str">
        <v>sativum</v>
      </c>
      <c r="J94" t="str">
        <v/>
      </c>
      <c r="K94" t="str">
        <v>Coriandrum sativum</v>
      </c>
      <c r="L94" t="str">
        <v>sativum</v>
      </c>
      <c r="M94" t="str">
        <v>Seed</v>
      </c>
      <c r="N94" t="str">
        <v>May</v>
      </c>
      <c r="O94" t="str">
        <v>Vegetative</v>
      </c>
      <c r="P94" t="str">
        <v>Sep</v>
      </c>
      <c r="Q94">
        <v>0.30000001192092896</v>
      </c>
      <c r="R94" t="str">
        <v>kg/head</v>
      </c>
      <c r="S94" t="str">
        <v>Saleable product</v>
      </c>
      <c r="T94">
        <v>120000</v>
      </c>
      <c r="U94" t="str">
        <v>Total</v>
      </c>
      <c r="V94">
        <v>0</v>
      </c>
      <c r="W94">
        <v>0</v>
      </c>
      <c r="X94">
        <v>1</v>
      </c>
      <c r="Y94">
        <v>0</v>
      </c>
      <c r="Z94">
        <v>95</v>
      </c>
      <c r="AA94">
        <v>0.10000000149011612</v>
      </c>
      <c r="AB94">
        <v>1.2000000476837158</v>
      </c>
      <c r="AC94">
        <v>0.89999997615814209</v>
      </c>
      <c r="AD94">
        <v>0.80000001192092896</v>
      </c>
      <c r="AE94">
        <v>0.89999997615814209</v>
      </c>
      <c r="AF94">
        <v>4.6999998092651367</v>
      </c>
      <c r="AG94">
        <v>4.6999998092651367</v>
      </c>
    </row>
    <row r="95" spans="1:33">
      <c r="A95" t="str">
        <v>Leek Vegetable General</v>
      </c>
      <c r="B95">
        <v>34</v>
      </c>
      <c r="C95" t="str">
        <v>Vegetable</v>
      </c>
      <c r="D95" t="str">
        <v>Green</v>
      </c>
      <c r="E95" t="str">
        <v>Leek</v>
      </c>
      <c r="F95" t="str">
        <v>General</v>
      </c>
      <c r="G95" t="str">
        <v>Amaryllidaceae</v>
      </c>
      <c r="H95" t="str">
        <v>Allium</v>
      </c>
      <c r="I95" t="str">
        <v>ampeloprasum</v>
      </c>
      <c r="J95" t="str">
        <v/>
      </c>
      <c r="K95" t="str">
        <v>Allium ampeloprasum</v>
      </c>
      <c r="L95" t="str">
        <v>ampeloprasum</v>
      </c>
      <c r="M95" t="str">
        <v>Seedling</v>
      </c>
      <c r="N95" t="str">
        <v>Nov</v>
      </c>
      <c r="O95" t="str">
        <v>Vegetative</v>
      </c>
      <c r="P95" t="str">
        <v>May</v>
      </c>
      <c r="Q95">
        <v>0.5</v>
      </c>
      <c r="R95" t="str">
        <v>kg/head</v>
      </c>
      <c r="S95" t="str">
        <v>Saleable product</v>
      </c>
      <c r="T95">
        <v>50000</v>
      </c>
      <c r="U95" t="str">
        <v>Total</v>
      </c>
      <c r="V95">
        <v>0</v>
      </c>
      <c r="W95">
        <v>0</v>
      </c>
      <c r="X95">
        <v>0.64999997615814209</v>
      </c>
      <c r="Y95">
        <v>0.15000000596046448</v>
      </c>
      <c r="Z95">
        <v>89</v>
      </c>
      <c r="AA95">
        <v>0.10000000149011612</v>
      </c>
      <c r="AB95">
        <v>0.60000002384185791</v>
      </c>
      <c r="AC95">
        <v>0.75</v>
      </c>
      <c r="AD95">
        <v>0.60000002384185791</v>
      </c>
      <c r="AE95">
        <v>1</v>
      </c>
      <c r="AF95">
        <v>2.7000000476837158</v>
      </c>
      <c r="AG95">
        <v>2.7000000476837158</v>
      </c>
    </row>
    <row r="96" spans="1:33">
      <c r="A96" t="str">
        <v>Lettuce Vegetable Ice berg</v>
      </c>
      <c r="B96">
        <v>61</v>
      </c>
      <c r="C96" t="str">
        <v>Vegetable</v>
      </c>
      <c r="D96" t="str">
        <v>Green</v>
      </c>
      <c r="E96" t="str">
        <v>Lettuce</v>
      </c>
      <c r="F96" t="str">
        <v>Ice berg</v>
      </c>
      <c r="G96" t="str">
        <v>Asteraceae</v>
      </c>
      <c r="H96" t="str">
        <v>Lactuca</v>
      </c>
      <c r="I96" t="str">
        <v>sativa</v>
      </c>
      <c r="J96" t="str">
        <v/>
      </c>
      <c r="K96" t="str">
        <v>Lactuca sativa</v>
      </c>
      <c r="L96" t="str">
        <v>sativa</v>
      </c>
      <c r="M96" t="str">
        <v>Seedling</v>
      </c>
      <c r="N96" t="str">
        <v>Sep</v>
      </c>
      <c r="O96" t="str">
        <v>Vegetative</v>
      </c>
      <c r="P96" t="str">
        <v>Dec</v>
      </c>
      <c r="Q96">
        <v>0.89999997615814209</v>
      </c>
      <c r="R96" t="str">
        <v>kg/head</v>
      </c>
      <c r="S96" t="str">
        <v>Saleable product</v>
      </c>
      <c r="T96">
        <v>70000</v>
      </c>
      <c r="U96" t="str">
        <v>Total</v>
      </c>
      <c r="V96">
        <v>0</v>
      </c>
      <c r="W96">
        <v>0</v>
      </c>
      <c r="X96">
        <v>0.41999998688697815</v>
      </c>
      <c r="Y96">
        <v>0.10000000149011612</v>
      </c>
      <c r="Z96">
        <v>96</v>
      </c>
      <c r="AA96">
        <v>0.10000000149011612</v>
      </c>
      <c r="AB96">
        <v>1</v>
      </c>
      <c r="AC96">
        <v>0.94999998807907104</v>
      </c>
      <c r="AD96">
        <v>1</v>
      </c>
      <c r="AE96">
        <v>0.89999997615814209</v>
      </c>
      <c r="AF96">
        <v>3.5999999046325684</v>
      </c>
      <c r="AG96">
        <v>3.5</v>
      </c>
    </row>
    <row r="97" spans="1:33">
      <c r="A97" t="str">
        <v>Lettuce Vegetable Leafy-salad</v>
      </c>
      <c r="B97">
        <v>62</v>
      </c>
      <c r="C97" t="str">
        <v>Vegetable</v>
      </c>
      <c r="D97" t="str">
        <v>Green</v>
      </c>
      <c r="E97" t="str">
        <v>Lettuce</v>
      </c>
      <c r="F97" t="str">
        <v>Leafy-salad</v>
      </c>
      <c r="G97" t="str">
        <v>Asteraceae</v>
      </c>
      <c r="H97" t="str">
        <v>Lactuca</v>
      </c>
      <c r="I97" t="str">
        <v>sativa</v>
      </c>
      <c r="J97" t="str">
        <v/>
      </c>
      <c r="K97" t="str">
        <v>Lactuca sativa</v>
      </c>
      <c r="L97" t="str">
        <v>sativa</v>
      </c>
      <c r="M97" t="str">
        <v>Seedling</v>
      </c>
      <c r="N97" t="str">
        <v>Sep</v>
      </c>
      <c r="O97" t="str">
        <v>Vegetative</v>
      </c>
      <c r="P97" t="str">
        <v>Dec</v>
      </c>
      <c r="Q97">
        <v>0.30000001192092896</v>
      </c>
      <c r="R97" t="str">
        <v>kg/head</v>
      </c>
      <c r="S97" t="str">
        <v>Saleable product</v>
      </c>
      <c r="T97">
        <v>110000</v>
      </c>
      <c r="U97" t="str">
        <v>Total</v>
      </c>
      <c r="V97">
        <v>0</v>
      </c>
      <c r="W97">
        <v>0</v>
      </c>
      <c r="X97">
        <v>0.94999998807907104</v>
      </c>
      <c r="Y97">
        <v>5.000000074505806E-2</v>
      </c>
      <c r="Z97">
        <v>95</v>
      </c>
      <c r="AA97">
        <v>0.10000000149011612</v>
      </c>
      <c r="AB97">
        <v>1</v>
      </c>
      <c r="AC97">
        <v>0.89999997615814209</v>
      </c>
      <c r="AD97">
        <v>1</v>
      </c>
      <c r="AE97">
        <v>0.89999997615814209</v>
      </c>
      <c r="AF97">
        <v>1.8999999761581421</v>
      </c>
      <c r="AG97">
        <v>4</v>
      </c>
    </row>
    <row r="98" spans="1:33">
      <c r="A98" t="str">
        <v>Pak choi Vegetable General</v>
      </c>
      <c r="B98">
        <v>48</v>
      </c>
      <c r="C98" t="str">
        <v>Vegetable</v>
      </c>
      <c r="D98" t="str">
        <v>Green</v>
      </c>
      <c r="E98" t="str">
        <v>Pak choi</v>
      </c>
      <c r="F98" t="str">
        <v>General</v>
      </c>
      <c r="G98" t="str">
        <v>Brassicaceae</v>
      </c>
      <c r="H98" t="str">
        <v>Brassica</v>
      </c>
      <c r="I98" t="str">
        <v>rapa</v>
      </c>
      <c r="J98" t="str">
        <v>chinensis</v>
      </c>
      <c r="K98" t="str">
        <v>Brassica rapa chinensis</v>
      </c>
      <c r="L98" t="str">
        <v>rapa chinensis</v>
      </c>
      <c r="M98" t="str">
        <v>Seedling</v>
      </c>
      <c r="N98" t="str">
        <v>May</v>
      </c>
      <c r="O98" t="str">
        <v>Vegetative</v>
      </c>
      <c r="P98" t="str">
        <v>Aug</v>
      </c>
      <c r="Q98">
        <v>7.9999998211860657E-2</v>
      </c>
      <c r="R98" t="str">
        <v>kg/head</v>
      </c>
      <c r="S98" t="str">
        <v>Saleable product</v>
      </c>
      <c r="T98">
        <v>500000</v>
      </c>
      <c r="U98" t="str">
        <v>Total</v>
      </c>
      <c r="V98">
        <v>0</v>
      </c>
      <c r="W98">
        <v>0</v>
      </c>
      <c r="X98">
        <v>0.69999998807907104</v>
      </c>
      <c r="Y98">
        <v>0.15000000596046448</v>
      </c>
      <c r="Z98">
        <v>95</v>
      </c>
      <c r="AA98">
        <v>0.10000000149011612</v>
      </c>
      <c r="AB98">
        <v>1.2000000476837158</v>
      </c>
      <c r="AC98">
        <v>0.80000001192092896</v>
      </c>
      <c r="AD98">
        <v>1.5</v>
      </c>
      <c r="AE98">
        <v>0.80000001192092896</v>
      </c>
      <c r="AF98">
        <v>4.5</v>
      </c>
      <c r="AG98">
        <v>4.1999998092651367</v>
      </c>
    </row>
    <row r="99" spans="1:33">
      <c r="A99" t="str">
        <v>Parsley Vegetable General</v>
      </c>
      <c r="B99">
        <v>83</v>
      </c>
      <c r="C99" t="str">
        <v>Vegetable</v>
      </c>
      <c r="D99" t="str">
        <v>Green</v>
      </c>
      <c r="E99" t="str">
        <v>Parsley</v>
      </c>
      <c r="F99" t="str">
        <v>General</v>
      </c>
      <c r="G99" t="str">
        <v>Apiaceae</v>
      </c>
      <c r="H99" t="str">
        <v>Petroselinum</v>
      </c>
      <c r="I99" t="str">
        <v>crispum</v>
      </c>
      <c r="J99" t="str">
        <v/>
      </c>
      <c r="K99" t="str">
        <v>Petroselinum crispum</v>
      </c>
      <c r="L99" t="str">
        <v>crispum</v>
      </c>
      <c r="M99" t="str">
        <v>Seed</v>
      </c>
      <c r="N99" t="str">
        <v>May</v>
      </c>
      <c r="O99" t="str">
        <v>Vegetative</v>
      </c>
      <c r="P99" t="str">
        <v>Sep</v>
      </c>
      <c r="Q99">
        <v>0.30000001192092896</v>
      </c>
      <c r="R99" t="str">
        <v>kg/head</v>
      </c>
      <c r="S99" t="str">
        <v>Saleable product</v>
      </c>
      <c r="T99">
        <v>100000</v>
      </c>
      <c r="U99" t="str">
        <v>Total</v>
      </c>
      <c r="V99">
        <v>0</v>
      </c>
      <c r="W99">
        <v>0</v>
      </c>
      <c r="X99">
        <v>0.69999998807907104</v>
      </c>
      <c r="Y99">
        <v>0.15000000596046448</v>
      </c>
      <c r="Z99">
        <v>92</v>
      </c>
      <c r="AA99">
        <v>0.10000000149011612</v>
      </c>
      <c r="AB99">
        <v>1.5</v>
      </c>
      <c r="AC99">
        <v>0.80000001192092896</v>
      </c>
      <c r="AD99">
        <v>1</v>
      </c>
      <c r="AE99">
        <v>0.80000001192092896</v>
      </c>
      <c r="AF99">
        <v>4</v>
      </c>
      <c r="AG99">
        <v>4.5</v>
      </c>
    </row>
    <row r="100" spans="1:33">
      <c r="A100" t="str">
        <v>Silver beet Vegetable General</v>
      </c>
      <c r="B100">
        <v>41</v>
      </c>
      <c r="C100" t="str">
        <v>Vegetable</v>
      </c>
      <c r="D100" t="str">
        <v>Green</v>
      </c>
      <c r="E100" t="str">
        <v>Silver beet</v>
      </c>
      <c r="F100" t="str">
        <v>General</v>
      </c>
      <c r="G100" t="str">
        <v>Amaranthaceae</v>
      </c>
      <c r="H100" t="str">
        <v>Beta</v>
      </c>
      <c r="I100" t="str">
        <v>vulgaris</v>
      </c>
      <c r="J100" t="str">
        <v>cicla</v>
      </c>
      <c r="K100" t="str">
        <v>Beta vulgaris cicla</v>
      </c>
      <c r="L100" t="str">
        <v>vulgaris cicla</v>
      </c>
      <c r="M100" t="str">
        <v>Seedling</v>
      </c>
      <c r="N100" t="str">
        <v>Nov</v>
      </c>
      <c r="O100" t="str">
        <v>Vegetative</v>
      </c>
      <c r="P100" t="str">
        <v>May</v>
      </c>
      <c r="Q100">
        <v>0.60000002384185791</v>
      </c>
      <c r="R100" t="str">
        <v>kg/head</v>
      </c>
      <c r="S100" t="str">
        <v>Saleable product</v>
      </c>
      <c r="T100">
        <v>60000</v>
      </c>
      <c r="U100" t="str">
        <v>Total</v>
      </c>
      <c r="V100">
        <v>0</v>
      </c>
      <c r="W100">
        <v>0</v>
      </c>
      <c r="X100">
        <v>0.80000001192092896</v>
      </c>
      <c r="Y100">
        <v>0.20000000298023224</v>
      </c>
      <c r="Z100">
        <v>93</v>
      </c>
      <c r="AA100">
        <v>0.10000000149011612</v>
      </c>
      <c r="AB100">
        <v>1.5</v>
      </c>
      <c r="AC100">
        <v>0.75999999046325684</v>
      </c>
      <c r="AD100">
        <v>1</v>
      </c>
      <c r="AE100">
        <v>0.80000001192092896</v>
      </c>
      <c r="AF100">
        <v>2.5</v>
      </c>
      <c r="AG100">
        <v>3</v>
      </c>
    </row>
    <row r="101" spans="1:33">
      <c r="A101" t="str">
        <v>Spinach Vegetable General</v>
      </c>
      <c r="B101">
        <v>68</v>
      </c>
      <c r="C101" t="str">
        <v>Vegetable</v>
      </c>
      <c r="D101" t="str">
        <v>Green</v>
      </c>
      <c r="E101" t="str">
        <v>Spinach</v>
      </c>
      <c r="F101" t="str">
        <v>General</v>
      </c>
      <c r="G101" t="str">
        <v>Amaranthaceae</v>
      </c>
      <c r="H101" t="str">
        <v>Spinacia</v>
      </c>
      <c r="I101" t="str">
        <v>loeracea</v>
      </c>
      <c r="J101" t="str">
        <v/>
      </c>
      <c r="K101" t="str">
        <v>Spinacia loeracea</v>
      </c>
      <c r="L101" t="str">
        <v>loeracea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66000</v>
      </c>
      <c r="U101" t="str">
        <v>Total</v>
      </c>
      <c r="V101">
        <v>0</v>
      </c>
      <c r="W101">
        <v>0</v>
      </c>
      <c r="X101">
        <v>0.94999998807907104</v>
      </c>
      <c r="Y101">
        <v>5.000000074505806E-2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Spring onion Vegetable General</v>
      </c>
      <c r="B102">
        <v>38</v>
      </c>
      <c r="C102" t="str">
        <v>Vegetable</v>
      </c>
      <c r="D102" t="str">
        <v>Green</v>
      </c>
      <c r="E102" t="str">
        <v>Spring onion</v>
      </c>
      <c r="F102" t="str">
        <v>General</v>
      </c>
      <c r="G102" t="str">
        <v>Amaryllidaceae</v>
      </c>
      <c r="H102" t="str">
        <v>Allium</v>
      </c>
      <c r="I102" t="str">
        <v>fistulosum</v>
      </c>
      <c r="J102" t="str">
        <v/>
      </c>
      <c r="K102" t="str">
        <v>Allium fistulosum</v>
      </c>
      <c r="L102" t="str">
        <v>fistulosum</v>
      </c>
      <c r="M102" t="str">
        <v>Seed</v>
      </c>
      <c r="N102" t="str">
        <v>Feb</v>
      </c>
      <c r="O102" t="str">
        <v>Vegetative</v>
      </c>
      <c r="P102" t="str">
        <v>Sep</v>
      </c>
      <c r="Q102">
        <v>7.0000000298023224E-2</v>
      </c>
      <c r="R102" t="str">
        <v>kg/head</v>
      </c>
      <c r="S102" t="str">
        <v>Saleable product</v>
      </c>
      <c r="T102">
        <v>1400000</v>
      </c>
      <c r="U102" t="str">
        <v>Total</v>
      </c>
      <c r="V102">
        <v>0</v>
      </c>
      <c r="W102">
        <v>0</v>
      </c>
      <c r="X102">
        <v>1</v>
      </c>
      <c r="Y102">
        <v>0</v>
      </c>
      <c r="Z102">
        <v>90</v>
      </c>
      <c r="AA102">
        <v>0.10000000149011612</v>
      </c>
      <c r="AB102">
        <v>0.60000002384185791</v>
      </c>
      <c r="AC102">
        <v>0.75</v>
      </c>
      <c r="AD102">
        <v>0.60000002384185791</v>
      </c>
      <c r="AE102">
        <v>1</v>
      </c>
      <c r="AF102">
        <v>1.8999999761581421</v>
      </c>
      <c r="AG102">
        <v>1.8999999761581421</v>
      </c>
    </row>
    <row r="103" spans="1:33">
      <c r="A103" t="str">
        <v>Wong bok Vegetable General</v>
      </c>
      <c r="B103">
        <v>50</v>
      </c>
      <c r="C103" t="str">
        <v>Vegetable</v>
      </c>
      <c r="D103" t="str">
        <v>Green</v>
      </c>
      <c r="E103" t="str">
        <v>Wong bok</v>
      </c>
      <c r="F103" t="str">
        <v>General</v>
      </c>
      <c r="G103" t="str">
        <v>Brassicaceae</v>
      </c>
      <c r="H103" t="str">
        <v>Brassica</v>
      </c>
      <c r="I103" t="str">
        <v>rapa</v>
      </c>
      <c r="J103" t="str">
        <v>pekinensis</v>
      </c>
      <c r="K103" t="str">
        <v>Brassica rapa pekinensis</v>
      </c>
      <c r="L103" t="str">
        <v>rapa pekinensis</v>
      </c>
      <c r="M103" t="str">
        <v>Seedling</v>
      </c>
      <c r="N103" t="str">
        <v>Dec</v>
      </c>
      <c r="O103" t="str">
        <v>Vegetative</v>
      </c>
      <c r="P103" t="str">
        <v>Jun</v>
      </c>
      <c r="Q103">
        <v>0.5</v>
      </c>
      <c r="R103" t="str">
        <v>kg/head</v>
      </c>
      <c r="S103" t="str">
        <v>Saleable product</v>
      </c>
      <c r="T103">
        <v>60000</v>
      </c>
      <c r="U103" t="str">
        <v>Total</v>
      </c>
      <c r="V103">
        <v>0</v>
      </c>
      <c r="W103">
        <v>0</v>
      </c>
      <c r="X103">
        <v>0.80000001192092896</v>
      </c>
      <c r="Y103">
        <v>0.20000000298023224</v>
      </c>
      <c r="Z103">
        <v>90</v>
      </c>
      <c r="AA103">
        <v>0.10000000149011612</v>
      </c>
      <c r="AB103">
        <v>1.2000000476837158</v>
      </c>
      <c r="AC103">
        <v>0.89999997615814209</v>
      </c>
      <c r="AD103">
        <v>2</v>
      </c>
      <c r="AE103">
        <v>0.80000001192092896</v>
      </c>
      <c r="AF103">
        <v>3</v>
      </c>
      <c r="AG103">
        <v>3</v>
      </c>
    </row>
    <row r="104" spans="1:33">
      <c r="A104" t="str">
        <v>Bean Vegetable General</v>
      </c>
      <c r="B104">
        <v>65</v>
      </c>
      <c r="C104" t="str">
        <v>Vegetable</v>
      </c>
      <c r="D104" t="str">
        <v>Pulse</v>
      </c>
      <c r="E104" t="str">
        <v>Bean</v>
      </c>
      <c r="F104" t="str">
        <v>General</v>
      </c>
      <c r="G104" t="str">
        <v>Fabaceae</v>
      </c>
      <c r="H104" t="str">
        <v>Phaseolus</v>
      </c>
      <c r="I104" t="str">
        <v>vulgaris</v>
      </c>
      <c r="J104" t="str">
        <v/>
      </c>
      <c r="K104" t="str">
        <v>Phaseolus vulgaris</v>
      </c>
      <c r="L104" t="str">
        <v>vulgaris</v>
      </c>
      <c r="M104" t="str">
        <v>Seed</v>
      </c>
      <c r="N104" t="str">
        <v>Nov</v>
      </c>
      <c r="O104" t="str">
        <v>EarlyReproductive</v>
      </c>
      <c r="P104" t="str">
        <v>Mar</v>
      </c>
      <c r="Q104">
        <v>18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0.43999999761581421</v>
      </c>
      <c r="Y104">
        <v>7.0000000298023224E-2</v>
      </c>
      <c r="Z104">
        <v>89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2.5</v>
      </c>
      <c r="AG104">
        <v>2.7999999523162842</v>
      </c>
    </row>
    <row r="105" spans="1:33">
      <c r="A105" t="str">
        <v>Broad bean Vegetable General</v>
      </c>
      <c r="B105">
        <v>69</v>
      </c>
      <c r="C105" t="str">
        <v>Vegetable</v>
      </c>
      <c r="D105" t="str">
        <v>Pulse</v>
      </c>
      <c r="E105" t="str">
        <v>Broad bean</v>
      </c>
      <c r="F105" t="str">
        <v>General</v>
      </c>
      <c r="G105" t="str">
        <v>Fabaceae</v>
      </c>
      <c r="H105" t="str">
        <v>Vicia</v>
      </c>
      <c r="I105" t="str">
        <v>faba</v>
      </c>
      <c r="J105" t="str">
        <v/>
      </c>
      <c r="K105" t="str">
        <v>Vicia faba</v>
      </c>
      <c r="L105" t="str">
        <v>faba</v>
      </c>
      <c r="M105" t="str">
        <v>Seed</v>
      </c>
      <c r="N105" t="str">
        <v>May</v>
      </c>
      <c r="O105" t="str">
        <v>EarlyReproductive</v>
      </c>
      <c r="P105" t="str">
        <v>Nov</v>
      </c>
      <c r="Q105">
        <v>11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0.30000001192092896</v>
      </c>
      <c r="Y105">
        <v>5.000000074505806E-2</v>
      </c>
      <c r="Z105">
        <v>76</v>
      </c>
      <c r="AA105">
        <v>0.10000000149011612</v>
      </c>
      <c r="AB105">
        <v>1</v>
      </c>
      <c r="AC105">
        <v>0.89999997615814209</v>
      </c>
      <c r="AD105">
        <v>1</v>
      </c>
      <c r="AE105">
        <v>1.5</v>
      </c>
      <c r="AF105">
        <v>1.7000000476837158</v>
      </c>
      <c r="AG105">
        <v>4.4000000953674316</v>
      </c>
    </row>
    <row r="106" spans="1:33">
      <c r="A106" t="str">
        <v>Pea Vegetable General</v>
      </c>
      <c r="B106">
        <v>66</v>
      </c>
      <c r="C106" t="str">
        <v>Vegetable</v>
      </c>
      <c r="D106" t="str">
        <v>Pulse</v>
      </c>
      <c r="E106" t="str">
        <v>Pea</v>
      </c>
      <c r="F106" t="str">
        <v>General</v>
      </c>
      <c r="G106" t="str">
        <v>Fabaceae</v>
      </c>
      <c r="H106" t="str">
        <v>Pisum</v>
      </c>
      <c r="I106" t="str">
        <v>sativum</v>
      </c>
      <c r="J106" t="str">
        <v/>
      </c>
      <c r="K106" t="str">
        <v>Pisum sativum</v>
      </c>
      <c r="L106" t="str">
        <v>sativum</v>
      </c>
      <c r="M106" t="str">
        <v>Seed</v>
      </c>
      <c r="N106" t="str">
        <v>Aug</v>
      </c>
      <c r="O106" t="str">
        <v>EarlyReproductive</v>
      </c>
      <c r="P106" t="str">
        <v>Jan</v>
      </c>
      <c r="Q106">
        <v>10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0.34000000357627869</v>
      </c>
      <c r="Y106">
        <v>7.9999998211860657E-2</v>
      </c>
      <c r="Z106">
        <v>77</v>
      </c>
      <c r="AA106">
        <v>0.10000000149011612</v>
      </c>
      <c r="AB106">
        <v>0.69999998807907104</v>
      </c>
      <c r="AC106">
        <v>1</v>
      </c>
      <c r="AD106">
        <v>1</v>
      </c>
      <c r="AE106">
        <v>1.5</v>
      </c>
      <c r="AF106">
        <v>2.0999999046325684</v>
      </c>
      <c r="AG106">
        <v>4</v>
      </c>
    </row>
    <row r="107" spans="1:33">
      <c r="A107" t="str">
        <v>Carrot Vegetable Fresh</v>
      </c>
      <c r="B107">
        <v>59</v>
      </c>
      <c r="C107" t="str">
        <v>Vegetable</v>
      </c>
      <c r="D107" t="str">
        <v>Root</v>
      </c>
      <c r="E107" t="str">
        <v>Carrot</v>
      </c>
      <c r="F107" t="str">
        <v>Fresh</v>
      </c>
      <c r="G107" t="str">
        <v>Apiaceae</v>
      </c>
      <c r="H107" t="str">
        <v>Daucus</v>
      </c>
      <c r="I107" t="str">
        <v>carota</v>
      </c>
      <c r="J107" t="str">
        <v/>
      </c>
      <c r="K107" t="str">
        <v>Daucus carota</v>
      </c>
      <c r="L107" t="str">
        <v>carota</v>
      </c>
      <c r="M107" t="str">
        <v>Seed</v>
      </c>
      <c r="N107" t="str">
        <v>Oct</v>
      </c>
      <c r="O107" t="str">
        <v>EarlyReproductive</v>
      </c>
      <c r="P107" t="str">
        <v>Jun</v>
      </c>
      <c r="Q107">
        <v>100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7.0000000298023224E-2</v>
      </c>
      <c r="Z107">
        <v>89</v>
      </c>
      <c r="AA107">
        <v>0.10000000149011612</v>
      </c>
      <c r="AB107">
        <v>1.2000000476837158</v>
      </c>
      <c r="AC107">
        <v>0.89999997615814209</v>
      </c>
      <c r="AD107">
        <v>0.69999998807907104</v>
      </c>
      <c r="AE107">
        <v>0.89999997615814209</v>
      </c>
      <c r="AF107">
        <v>1.2000000476837158</v>
      </c>
      <c r="AG107">
        <v>1.5</v>
      </c>
    </row>
    <row r="108" spans="1:33">
      <c r="A108" t="str">
        <v>Carrot Vegetable Juicing</v>
      </c>
      <c r="B108">
        <v>57</v>
      </c>
      <c r="C108" t="str">
        <v>Vegetable</v>
      </c>
      <c r="D108" t="str">
        <v>Root</v>
      </c>
      <c r="E108" t="str">
        <v>Carrot</v>
      </c>
      <c r="F108" t="str">
        <v>Juicing</v>
      </c>
      <c r="G108" t="str">
        <v>Apiaceae</v>
      </c>
      <c r="H108" t="str">
        <v>Daucus</v>
      </c>
      <c r="I108" t="str">
        <v>carota</v>
      </c>
      <c r="J108" t="str">
        <v/>
      </c>
      <c r="K108" t="str">
        <v>Daucus carota</v>
      </c>
      <c r="L108" t="str">
        <v>carota</v>
      </c>
      <c r="M108" t="str">
        <v>Seed</v>
      </c>
      <c r="N108" t="str">
        <v>Oct</v>
      </c>
      <c r="O108" t="str">
        <v>EarlyReproductive</v>
      </c>
      <c r="P108" t="str">
        <v>Jun</v>
      </c>
      <c r="Q108">
        <v>130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0.86000001430511475</v>
      </c>
      <c r="Y108">
        <v>7.0000000298023224E-2</v>
      </c>
      <c r="Z108">
        <v>88</v>
      </c>
      <c r="AA108">
        <v>0.10000000149011612</v>
      </c>
      <c r="AB108">
        <v>1.2000000476837158</v>
      </c>
      <c r="AC108">
        <v>0.89999997615814209</v>
      </c>
      <c r="AD108">
        <v>0.69999998807907104</v>
      </c>
      <c r="AE108">
        <v>0.89999997615814209</v>
      </c>
      <c r="AF108">
        <v>1</v>
      </c>
      <c r="AG108">
        <v>1.3999999761581421</v>
      </c>
    </row>
    <row r="109" spans="1:33">
      <c r="A109" t="str">
        <v>Carrot Vegetable Processing</v>
      </c>
      <c r="B109">
        <v>58</v>
      </c>
      <c r="C109" t="str">
        <v>Vegetable</v>
      </c>
      <c r="D109" t="str">
        <v>Root</v>
      </c>
      <c r="E109" t="str">
        <v>Carrot</v>
      </c>
      <c r="F109" t="str">
        <v>Processing</v>
      </c>
      <c r="G109" t="str">
        <v>Apiaceae</v>
      </c>
      <c r="H109" t="str">
        <v>Daucus</v>
      </c>
      <c r="I109" t="str">
        <v>carota</v>
      </c>
      <c r="J109" t="str">
        <v/>
      </c>
      <c r="K109" t="str">
        <v>Daucus carota</v>
      </c>
      <c r="L109" t="str">
        <v>carota</v>
      </c>
      <c r="M109" t="str">
        <v>Seed</v>
      </c>
      <c r="N109" t="str">
        <v>Oct</v>
      </c>
      <c r="O109" t="str">
        <v>EarlyReproductive</v>
      </c>
      <c r="P109" t="str">
        <v>Jun</v>
      </c>
      <c r="Q109">
        <v>100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0.80000001192092896</v>
      </c>
      <c r="Y109">
        <v>7.0000000298023224E-2</v>
      </c>
      <c r="Z109">
        <v>88</v>
      </c>
      <c r="AA109">
        <v>0.10000000149011612</v>
      </c>
      <c r="AB109">
        <v>1.2000000476837158</v>
      </c>
      <c r="AC109">
        <v>0.89999997615814209</v>
      </c>
      <c r="AD109">
        <v>0.69999998807907104</v>
      </c>
      <c r="AE109">
        <v>0.89999997615814209</v>
      </c>
      <c r="AF109">
        <v>1.2999999523162842</v>
      </c>
      <c r="AG109">
        <v>1.6000000238418579</v>
      </c>
    </row>
    <row r="110" spans="1:33">
      <c r="A110" t="str">
        <v>Garlic Vegetable General</v>
      </c>
      <c r="B110">
        <v>39</v>
      </c>
      <c r="C110" t="str">
        <v>Vegetable</v>
      </c>
      <c r="D110" t="str">
        <v>Root</v>
      </c>
      <c r="E110" t="str">
        <v>Garlic</v>
      </c>
      <c r="F110" t="str">
        <v>General</v>
      </c>
      <c r="G110" t="str">
        <v>Amaryllidaceae</v>
      </c>
      <c r="H110" t="str">
        <v>Allium</v>
      </c>
      <c r="I110" t="str">
        <v>sativum</v>
      </c>
      <c r="J110" t="str">
        <v/>
      </c>
      <c r="K110" t="str">
        <v>Allium sativum</v>
      </c>
      <c r="L110" t="str">
        <v>sativum</v>
      </c>
      <c r="M110" t="str">
        <v>Seed</v>
      </c>
      <c r="N110" t="str">
        <v>Jun</v>
      </c>
      <c r="O110" t="str">
        <v>Vegetative</v>
      </c>
      <c r="P110" t="str">
        <v>Dec</v>
      </c>
      <c r="Q110">
        <v>50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0.87999999523162842</v>
      </c>
      <c r="Y110">
        <v>5.000000074505806E-2</v>
      </c>
      <c r="Z110">
        <v>87</v>
      </c>
      <c r="AA110">
        <v>0.10000000149011612</v>
      </c>
      <c r="AB110">
        <v>0.60000002384185791</v>
      </c>
      <c r="AC110">
        <v>0.69999998807907104</v>
      </c>
      <c r="AD110">
        <v>0.60000002384185791</v>
      </c>
      <c r="AE110">
        <v>1</v>
      </c>
      <c r="AF110">
        <v>1.3500000238418579</v>
      </c>
      <c r="AG110">
        <v>1.3999999761581421</v>
      </c>
    </row>
    <row r="111" spans="1:33">
      <c r="A111" t="str">
        <v>Kumara Vegetable General</v>
      </c>
      <c r="B111">
        <v>60</v>
      </c>
      <c r="C111" t="str">
        <v>Vegetable</v>
      </c>
      <c r="D111" t="str">
        <v>Root</v>
      </c>
      <c r="E111" t="str">
        <v>Kumara</v>
      </c>
      <c r="F111" t="str">
        <v>General</v>
      </c>
      <c r="G111" t="str">
        <v>Convolvulaceae</v>
      </c>
      <c r="H111" t="str">
        <v>Ipomoea</v>
      </c>
      <c r="I111" t="str">
        <v>batatas</v>
      </c>
      <c r="J111" t="str">
        <v/>
      </c>
      <c r="K111" t="str">
        <v>Ipomoea batatas</v>
      </c>
      <c r="L111" t="str">
        <v>batatas</v>
      </c>
      <c r="M111" t="str">
        <v>Seed</v>
      </c>
      <c r="N111" t="str">
        <v>Oct</v>
      </c>
      <c r="O111" t="str">
        <v>Maturity</v>
      </c>
      <c r="P111" t="str">
        <v>May</v>
      </c>
      <c r="Q111">
        <v>20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0.60000002384185791</v>
      </c>
      <c r="Y111">
        <v>5.000000074505806E-2</v>
      </c>
      <c r="Z111">
        <v>77.400001525878906</v>
      </c>
      <c r="AA111">
        <v>0.10000000149011612</v>
      </c>
      <c r="AB111">
        <v>0.89999997615814209</v>
      </c>
      <c r="AC111">
        <v>1</v>
      </c>
      <c r="AD111">
        <v>1</v>
      </c>
      <c r="AE111">
        <v>1</v>
      </c>
      <c r="AF111">
        <v>2</v>
      </c>
      <c r="AG111">
        <v>1.7999999523162842</v>
      </c>
    </row>
    <row r="112" spans="1:33">
      <c r="A112" t="str">
        <v>Onion Vegetable Brown</v>
      </c>
      <c r="B112">
        <v>35</v>
      </c>
      <c r="C112" t="str">
        <v>Vegetable</v>
      </c>
      <c r="D112" t="str">
        <v>Root</v>
      </c>
      <c r="E112" t="str">
        <v>Onion</v>
      </c>
      <c r="F112" t="str">
        <v>Brown</v>
      </c>
      <c r="G112" t="str">
        <v>Amaryllidaceae</v>
      </c>
      <c r="H112" t="str">
        <v>Allium</v>
      </c>
      <c r="I112" t="str">
        <v>cepa</v>
      </c>
      <c r="J112" t="str">
        <v/>
      </c>
      <c r="K112" t="str">
        <v>Allium cepa</v>
      </c>
      <c r="L112" t="str">
        <v>cepa</v>
      </c>
      <c r="M112" t="str">
        <v>Seed</v>
      </c>
      <c r="N112" t="str">
        <v>May</v>
      </c>
      <c r="O112" t="str">
        <v>Maturity</v>
      </c>
      <c r="P112" t="str">
        <v>Feb</v>
      </c>
      <c r="Q112">
        <v>65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0.87999999523162842</v>
      </c>
      <c r="Y112">
        <v>5.000000074505806E-2</v>
      </c>
      <c r="Z112">
        <v>87</v>
      </c>
      <c r="AA112">
        <v>0.10000000149011612</v>
      </c>
      <c r="AB112">
        <v>0.60000002384185791</v>
      </c>
      <c r="AC112">
        <v>0.80000001192092896</v>
      </c>
      <c r="AD112">
        <v>0.60000002384185791</v>
      </c>
      <c r="AE112">
        <v>1</v>
      </c>
      <c r="AF112">
        <v>1.3999999761581421</v>
      </c>
      <c r="AG112">
        <v>1.5</v>
      </c>
    </row>
    <row r="113" spans="1:33">
      <c r="A113" t="str">
        <v>Onion Vegetable Red</v>
      </c>
      <c r="B113">
        <v>36</v>
      </c>
      <c r="C113" t="str">
        <v>Vegetable</v>
      </c>
      <c r="D113" t="str">
        <v>Root</v>
      </c>
      <c r="E113" t="str">
        <v>Onion</v>
      </c>
      <c r="F113" t="str">
        <v>Red</v>
      </c>
      <c r="G113" t="str">
        <v>Amaryllidaceae</v>
      </c>
      <c r="H113" t="str">
        <v>Allium</v>
      </c>
      <c r="I113" t="str">
        <v>cepa</v>
      </c>
      <c r="J113" t="str">
        <v/>
      </c>
      <c r="K113" t="str">
        <v>Allium cepa</v>
      </c>
      <c r="L113" t="str">
        <v>cepa</v>
      </c>
      <c r="M113" t="str">
        <v>Seed</v>
      </c>
      <c r="N113" t="str">
        <v>May</v>
      </c>
      <c r="O113" t="str">
        <v>LateReproductive</v>
      </c>
      <c r="P113" t="str">
        <v>Apr</v>
      </c>
      <c r="Q113">
        <v>80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0.87999999523162842</v>
      </c>
      <c r="Y113">
        <v>5.000000074505806E-2</v>
      </c>
      <c r="Z113">
        <v>87</v>
      </c>
      <c r="AA113">
        <v>0.10000000149011612</v>
      </c>
      <c r="AB113">
        <v>0.60000002384185791</v>
      </c>
      <c r="AC113">
        <v>0.80000001192092896</v>
      </c>
      <c r="AD113">
        <v>0.60000002384185791</v>
      </c>
      <c r="AE113">
        <v>1</v>
      </c>
      <c r="AF113">
        <v>1.3999999761581421</v>
      </c>
      <c r="AG113">
        <v>1.5</v>
      </c>
    </row>
    <row r="114" spans="1:33">
      <c r="A114" t="str">
        <v>Onion Vegetable Shallot</v>
      </c>
      <c r="B114">
        <v>37</v>
      </c>
      <c r="C114" t="str">
        <v>Vegetable</v>
      </c>
      <c r="D114" t="str">
        <v>Root</v>
      </c>
      <c r="E114" t="str">
        <v>Onion</v>
      </c>
      <c r="F114" t="str">
        <v>Shallot</v>
      </c>
      <c r="G114" t="str">
        <v>Amaryllidaceae</v>
      </c>
      <c r="H114" t="str">
        <v>Allium</v>
      </c>
      <c r="I114" t="str">
        <v>cepa</v>
      </c>
      <c r="J114" t="str">
        <v/>
      </c>
      <c r="K114" t="str">
        <v>Allium cepa</v>
      </c>
      <c r="L114" t="str">
        <v>cepa</v>
      </c>
      <c r="M114" t="str">
        <v>Seed</v>
      </c>
      <c r="N114" t="str">
        <v>Apr</v>
      </c>
      <c r="O114" t="str">
        <v>Vegetative</v>
      </c>
      <c r="P114" t="str">
        <v>Dec</v>
      </c>
      <c r="Q114">
        <v>60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0.87999999523162842</v>
      </c>
      <c r="Y114">
        <v>5.000000074505806E-2</v>
      </c>
      <c r="Z114">
        <v>87</v>
      </c>
      <c r="AA114">
        <v>0.10000000149011612</v>
      </c>
      <c r="AB114">
        <v>0.60000002384185791</v>
      </c>
      <c r="AC114">
        <v>0.80000001192092896</v>
      </c>
      <c r="AD114">
        <v>0.60000002384185791</v>
      </c>
      <c r="AE114">
        <v>1</v>
      </c>
      <c r="AF114">
        <v>1.3999999761581421</v>
      </c>
      <c r="AG114">
        <v>1.5</v>
      </c>
    </row>
    <row r="115" spans="1:33">
      <c r="A115" t="str">
        <v>Parsnip Vegetable General</v>
      </c>
      <c r="B115">
        <v>64</v>
      </c>
      <c r="C115" t="str">
        <v>Vegetable</v>
      </c>
      <c r="D115" t="str">
        <v>Root</v>
      </c>
      <c r="E115" t="str">
        <v>Parsnip</v>
      </c>
      <c r="F115" t="str">
        <v>General</v>
      </c>
      <c r="G115" t="str">
        <v>Apiaceae</v>
      </c>
      <c r="H115" t="str">
        <v>Pastinaca</v>
      </c>
      <c r="I115" t="str">
        <v>sativa</v>
      </c>
      <c r="J115" t="str">
        <v/>
      </c>
      <c r="K115" t="str">
        <v>Pastinaca sativa</v>
      </c>
      <c r="L115" t="str">
        <v>sativa</v>
      </c>
      <c r="M115" t="str">
        <v>Seed</v>
      </c>
      <c r="N115" t="str">
        <v>Sep</v>
      </c>
      <c r="O115" t="str">
        <v>EarlyReproductive</v>
      </c>
      <c r="P115" t="str">
        <v>May</v>
      </c>
      <c r="Q115">
        <v>44</v>
      </c>
      <c r="R115" t="str">
        <v>t/ha</v>
      </c>
      <c r="S115" t="str">
        <v>Saleable product</v>
      </c>
      <c r="T115">
        <v>1</v>
      </c>
      <c r="U115" t="str">
        <v>Total</v>
      </c>
      <c r="V115">
        <v>0</v>
      </c>
      <c r="W115">
        <v>0</v>
      </c>
      <c r="X115">
        <v>0.94999998807907104</v>
      </c>
      <c r="Y115">
        <v>5.000000074505806E-2</v>
      </c>
      <c r="Z115">
        <v>83</v>
      </c>
      <c r="AA115">
        <v>0.10000000149011612</v>
      </c>
      <c r="AB115">
        <v>1.2000000476837158</v>
      </c>
      <c r="AC115">
        <v>0.94999998807907104</v>
      </c>
      <c r="AD115">
        <v>0.80000001192092896</v>
      </c>
      <c r="AE115">
        <v>0.89999997615814209</v>
      </c>
      <c r="AF115">
        <v>2</v>
      </c>
      <c r="AG115">
        <v>1.3500000238418579</v>
      </c>
    </row>
    <row r="116" spans="1:33">
      <c r="A116" t="str">
        <v>Red beet Vegetable General</v>
      </c>
      <c r="B116">
        <v>42</v>
      </c>
      <c r="C116" t="str">
        <v>Vegetable</v>
      </c>
      <c r="D116" t="str">
        <v>Root</v>
      </c>
      <c r="E116" t="str">
        <v>Red beet</v>
      </c>
      <c r="F116" t="str">
        <v>General</v>
      </c>
      <c r="G116" t="str">
        <v>Amaranthaceae</v>
      </c>
      <c r="H116" t="str">
        <v>Beta</v>
      </c>
      <c r="I116" t="str">
        <v>vulgaris</v>
      </c>
      <c r="J116" t="str">
        <v>conditiva</v>
      </c>
      <c r="K116" t="str">
        <v>Beta vulgaris conditiva</v>
      </c>
      <c r="L116" t="str">
        <v>vulgaris conditiva</v>
      </c>
      <c r="M116" t="str">
        <v>Seed</v>
      </c>
      <c r="N116" t="str">
        <v>Sep</v>
      </c>
      <c r="O116" t="str">
        <v>EarlyReproductive</v>
      </c>
      <c r="P116" t="str">
        <v>May</v>
      </c>
      <c r="Q116">
        <v>55</v>
      </c>
      <c r="R116" t="str">
        <v>t/ha</v>
      </c>
      <c r="S116" t="str">
        <v>Saleable product</v>
      </c>
      <c r="T116">
        <v>1</v>
      </c>
      <c r="U116" t="str">
        <v>Total</v>
      </c>
      <c r="V116">
        <v>0</v>
      </c>
      <c r="W116">
        <v>0</v>
      </c>
      <c r="X116">
        <v>0.81499999761581421</v>
      </c>
      <c r="Y116">
        <v>5.4999999701976776E-2</v>
      </c>
      <c r="Z116">
        <v>86</v>
      </c>
      <c r="AA116">
        <v>0.10000000149011612</v>
      </c>
      <c r="AB116">
        <v>1.5</v>
      </c>
      <c r="AC116">
        <v>0.94999998807907104</v>
      </c>
      <c r="AD116">
        <v>0.80000001192092896</v>
      </c>
      <c r="AE116">
        <v>0.80000001192092896</v>
      </c>
      <c r="AF116">
        <v>2</v>
      </c>
      <c r="AG116">
        <v>1.5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I2" sqref="I2:M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0" t="s">
        <v>195</v>
      </c>
      <c r="B1" s="140"/>
      <c r="C1" s="140"/>
      <c r="D1" s="140"/>
      <c r="E1" s="140"/>
      <c r="F1" s="140"/>
      <c r="H1" s="140" t="s">
        <v>196</v>
      </c>
      <c r="I1" s="140"/>
      <c r="J1" s="140"/>
      <c r="K1" s="140"/>
      <c r="L1" s="140"/>
      <c r="M1" s="140"/>
      <c r="O1" s="140" t="s">
        <v>197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157</vt:i4>
      </vt:variant>
    </vt:vector>
  </HeadingPairs>
  <TitlesOfParts>
    <vt:vector size="162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2025-08-05T01:40:08Z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