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D9D55F42-D244-4C1E-AF93-CD0DED3D82F9}" xr6:coauthVersionLast="47" xr6:coauthVersionMax="47" xr10:uidLastSave="{00000000-0000-0000-0000-000000000000}"/>
  <bookViews>
    <workbookView xWindow="0" yWindow="36" windowWidth="11520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ListMembers!$A$8:$A$37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D51" i="1"/>
  <c r="D61" i="1"/>
  <c r="D50" i="1"/>
  <c r="G52" i="1" s="1"/>
  <c r="B25" i="3"/>
  <c r="D14" i="3"/>
  <c r="D5" i="3"/>
  <c r="R14" i="1" l="1"/>
  <c r="B53" i="1"/>
  <c r="D62" i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J6" i="3" l="1"/>
  <c r="V10" i="3"/>
  <c r="U15" i="3"/>
  <c r="T20" i="3"/>
  <c r="S25" i="3"/>
  <c r="R30" i="3"/>
  <c r="Q35" i="3"/>
  <c r="P40" i="3"/>
  <c r="O45" i="3"/>
  <c r="N50" i="3"/>
  <c r="M55" i="3"/>
  <c r="V7" i="3"/>
  <c r="U12" i="3"/>
  <c r="T17" i="3"/>
  <c r="S22" i="3"/>
  <c r="R27" i="3"/>
  <c r="Q32" i="3"/>
  <c r="P37" i="3"/>
  <c r="O42" i="3"/>
  <c r="N47" i="3"/>
  <c r="M52" i="3"/>
  <c r="L57" i="3"/>
  <c r="U9" i="3"/>
  <c r="T14" i="3"/>
  <c r="S19" i="3"/>
  <c r="R24" i="3"/>
  <c r="Q29" i="3"/>
  <c r="P34" i="3"/>
  <c r="O39" i="3"/>
  <c r="Y39" i="3" s="1"/>
  <c r="N44" i="3"/>
  <c r="M49" i="3"/>
  <c r="L54" i="3"/>
  <c r="U6" i="3"/>
  <c r="T11" i="3"/>
  <c r="S16" i="3"/>
  <c r="R21" i="3"/>
  <c r="Q26" i="3"/>
  <c r="P31" i="3"/>
  <c r="J10" i="3"/>
  <c r="V14" i="3"/>
  <c r="U19" i="3"/>
  <c r="T24" i="3"/>
  <c r="S29" i="3"/>
  <c r="R34" i="3"/>
  <c r="Q39" i="3"/>
  <c r="P44" i="3"/>
  <c r="O49" i="3"/>
  <c r="Y49" i="3" s="1"/>
  <c r="N54" i="3"/>
  <c r="T7" i="3"/>
  <c r="L21" i="3"/>
  <c r="R33" i="3"/>
  <c r="P43" i="3"/>
  <c r="N53" i="3"/>
  <c r="S60" i="3"/>
  <c r="R65" i="3"/>
  <c r="Q70" i="3"/>
  <c r="P75" i="3"/>
  <c r="O80" i="3"/>
  <c r="N85" i="3"/>
  <c r="L13" i="3"/>
  <c r="L26" i="3"/>
  <c r="R37" i="3"/>
  <c r="P47" i="3"/>
  <c r="N57" i="3"/>
  <c r="R62" i="3"/>
  <c r="Q67" i="3"/>
  <c r="P72" i="3"/>
  <c r="O77" i="3"/>
  <c r="M13" i="3"/>
  <c r="M26" i="3"/>
  <c r="J7" i="3"/>
  <c r="J20" i="3"/>
  <c r="V32" i="3"/>
  <c r="T42" i="3"/>
  <c r="R52" i="3"/>
  <c r="L15" i="3"/>
  <c r="Q28" i="3"/>
  <c r="L39" i="3"/>
  <c r="J49" i="3"/>
  <c r="T18" i="3"/>
  <c r="U26" i="3"/>
  <c r="K50" i="3"/>
  <c r="K61" i="3"/>
  <c r="S67" i="3"/>
  <c r="L74" i="3"/>
  <c r="R6" i="3"/>
  <c r="Q11" i="3"/>
  <c r="P16" i="3"/>
  <c r="O21" i="3"/>
  <c r="N26" i="3"/>
  <c r="M31" i="3"/>
  <c r="L36" i="3"/>
  <c r="K41" i="3"/>
  <c r="J46" i="3"/>
  <c r="V50" i="3"/>
  <c r="U55" i="3"/>
  <c r="Q8" i="3"/>
  <c r="P13" i="3"/>
  <c r="O18" i="3"/>
  <c r="N23" i="3"/>
  <c r="M28" i="3"/>
  <c r="L33" i="3"/>
  <c r="K38" i="3"/>
  <c r="J43" i="3"/>
  <c r="V47" i="3"/>
  <c r="U52" i="3"/>
  <c r="T57" i="3"/>
  <c r="P10" i="3"/>
  <c r="O15" i="3"/>
  <c r="Y15" i="3" s="1"/>
  <c r="N20" i="3"/>
  <c r="M25" i="3"/>
  <c r="L30" i="3"/>
  <c r="K35" i="3"/>
  <c r="J40" i="3"/>
  <c r="V44" i="3"/>
  <c r="U49" i="3"/>
  <c r="T54" i="3"/>
  <c r="P7" i="3"/>
  <c r="O12" i="3"/>
  <c r="Y12" i="3" s="1"/>
  <c r="N17" i="3"/>
  <c r="M22" i="3"/>
  <c r="L27" i="3"/>
  <c r="K32" i="3"/>
  <c r="R10" i="3"/>
  <c r="Q15" i="3"/>
  <c r="P20" i="3"/>
  <c r="O25" i="3"/>
  <c r="Y25" i="3" s="1"/>
  <c r="N30" i="3"/>
  <c r="M35" i="3"/>
  <c r="L40" i="3"/>
  <c r="K45" i="3"/>
  <c r="J50" i="3"/>
  <c r="V54" i="3"/>
  <c r="Q9" i="3"/>
  <c r="Q22" i="3"/>
  <c r="U34" i="3"/>
  <c r="S44" i="3"/>
  <c r="Q54" i="3"/>
  <c r="N61" i="3"/>
  <c r="M66" i="3"/>
  <c r="L71" i="3"/>
  <c r="K76" i="3"/>
  <c r="J81" i="3"/>
  <c r="V85" i="3"/>
  <c r="Q14" i="3"/>
  <c r="V27" i="3"/>
  <c r="U38" i="3"/>
  <c r="S48" i="3"/>
  <c r="N58" i="3"/>
  <c r="M63" i="3"/>
  <c r="L68" i="3"/>
  <c r="K73" i="3"/>
  <c r="J78" i="3"/>
  <c r="J15" i="3"/>
  <c r="J28" i="3"/>
  <c r="O8" i="3"/>
  <c r="T21" i="3"/>
  <c r="L34" i="3"/>
  <c r="J44" i="3"/>
  <c r="U53" i="3"/>
  <c r="V16" i="3"/>
  <c r="V29" i="3"/>
  <c r="O40" i="3"/>
  <c r="L7" i="3"/>
  <c r="Q20" i="3"/>
  <c r="Q30" i="3"/>
  <c r="V51" i="3"/>
  <c r="U61" i="3"/>
  <c r="P68" i="3"/>
  <c r="K75" i="3"/>
  <c r="M7" i="3"/>
  <c r="L12" i="3"/>
  <c r="K17" i="3"/>
  <c r="J22" i="3"/>
  <c r="V26" i="3"/>
  <c r="U31" i="3"/>
  <c r="T36" i="3"/>
  <c r="S41" i="3"/>
  <c r="R46" i="3"/>
  <c r="Q51" i="3"/>
  <c r="P56" i="3"/>
  <c r="L9" i="3"/>
  <c r="K14" i="3"/>
  <c r="J19" i="3"/>
  <c r="V23" i="3"/>
  <c r="U28" i="3"/>
  <c r="T33" i="3"/>
  <c r="S38" i="3"/>
  <c r="R43" i="3"/>
  <c r="Q48" i="3"/>
  <c r="P53" i="3"/>
  <c r="L6" i="3"/>
  <c r="K11" i="3"/>
  <c r="J16" i="3"/>
  <c r="V20" i="3"/>
  <c r="U25" i="3"/>
  <c r="T30" i="3"/>
  <c r="S35" i="3"/>
  <c r="R40" i="3"/>
  <c r="Q45" i="3"/>
  <c r="P50" i="3"/>
  <c r="O55" i="3"/>
  <c r="K8" i="3"/>
  <c r="J13" i="3"/>
  <c r="V17" i="3"/>
  <c r="U22" i="3"/>
  <c r="T27" i="3"/>
  <c r="N6" i="3"/>
  <c r="M11" i="3"/>
  <c r="L16" i="3"/>
  <c r="K21" i="3"/>
  <c r="J26" i="3"/>
  <c r="V30" i="3"/>
  <c r="U35" i="3"/>
  <c r="T40" i="3"/>
  <c r="S45" i="3"/>
  <c r="R50" i="3"/>
  <c r="Q55" i="3"/>
  <c r="N11" i="3"/>
  <c r="N24" i="3"/>
  <c r="K36" i="3"/>
  <c r="V45" i="3"/>
  <c r="T55" i="3"/>
  <c r="V61" i="3"/>
  <c r="U66" i="3"/>
  <c r="T71" i="3"/>
  <c r="S76" i="3"/>
  <c r="R81" i="3"/>
  <c r="Q86" i="3"/>
  <c r="N16" i="3"/>
  <c r="N29" i="3"/>
  <c r="K40" i="3"/>
  <c r="V49" i="3"/>
  <c r="V58" i="3"/>
  <c r="U63" i="3"/>
  <c r="T68" i="3"/>
  <c r="S73" i="3"/>
  <c r="R78" i="3"/>
  <c r="O16" i="3"/>
  <c r="Y16" i="3" s="1"/>
  <c r="T29" i="3"/>
  <c r="L10" i="3"/>
  <c r="L23" i="3"/>
  <c r="O35" i="3"/>
  <c r="M45" i="3"/>
  <c r="K55" i="3"/>
  <c r="S18" i="3"/>
  <c r="S31" i="3"/>
  <c r="R41" i="3"/>
  <c r="V8" i="3"/>
  <c r="V21" i="3"/>
  <c r="S34" i="3"/>
  <c r="V53" i="3"/>
  <c r="T62" i="3"/>
  <c r="M69" i="3"/>
  <c r="U75" i="3"/>
  <c r="U7" i="3"/>
  <c r="T12" i="3"/>
  <c r="S17" i="3"/>
  <c r="R22" i="3"/>
  <c r="Q27" i="3"/>
  <c r="P32" i="3"/>
  <c r="O37" i="3"/>
  <c r="N42" i="3"/>
  <c r="M47" i="3"/>
  <c r="L52" i="3"/>
  <c r="K57" i="3"/>
  <c r="T9" i="3"/>
  <c r="S14" i="3"/>
  <c r="R19" i="3"/>
  <c r="Q24" i="3"/>
  <c r="P29" i="3"/>
  <c r="O34" i="3"/>
  <c r="N39" i="3"/>
  <c r="M44" i="3"/>
  <c r="L49" i="3"/>
  <c r="K54" i="3"/>
  <c r="T6" i="3"/>
  <c r="S11" i="3"/>
  <c r="R16" i="3"/>
  <c r="Q21" i="3"/>
  <c r="P26" i="3"/>
  <c r="O31" i="3"/>
  <c r="N36" i="3"/>
  <c r="M41" i="3"/>
  <c r="L46" i="3"/>
  <c r="K51" i="3"/>
  <c r="J56" i="3"/>
  <c r="S8" i="3"/>
  <c r="R13" i="3"/>
  <c r="Q18" i="3"/>
  <c r="P23" i="3"/>
  <c r="O28" i="3"/>
  <c r="V6" i="3"/>
  <c r="U11" i="3"/>
  <c r="T16" i="3"/>
  <c r="S21" i="3"/>
  <c r="R26" i="3"/>
  <c r="Q31" i="3"/>
  <c r="P36" i="3"/>
  <c r="O41" i="3"/>
  <c r="N46" i="3"/>
  <c r="M51" i="3"/>
  <c r="L56" i="3"/>
  <c r="S12" i="3"/>
  <c r="K26" i="3"/>
  <c r="N37" i="3"/>
  <c r="L47" i="3"/>
  <c r="J57" i="3"/>
  <c r="Q62" i="3"/>
  <c r="P67" i="3"/>
  <c r="O72" i="3"/>
  <c r="Y72" i="3" s="1"/>
  <c r="N77" i="3"/>
  <c r="M82" i="3"/>
  <c r="L87" i="3"/>
  <c r="K18" i="3"/>
  <c r="K31" i="3"/>
  <c r="N41" i="3"/>
  <c r="L51" i="3"/>
  <c r="Q59" i="3"/>
  <c r="P64" i="3"/>
  <c r="O69" i="3"/>
  <c r="N74" i="3"/>
  <c r="M79" i="3"/>
  <c r="L18" i="3"/>
  <c r="L31" i="3"/>
  <c r="V11" i="3"/>
  <c r="V24" i="3"/>
  <c r="R36" i="3"/>
  <c r="P46" i="3"/>
  <c r="K7" i="3"/>
  <c r="K20" i="3"/>
  <c r="J33" i="3"/>
  <c r="U42" i="3"/>
  <c r="S10" i="3"/>
  <c r="S23" i="3"/>
  <c r="T37" i="3"/>
  <c r="S55" i="3"/>
  <c r="Q63" i="3"/>
  <c r="L70" i="3"/>
  <c r="R76" i="3"/>
  <c r="P8" i="3"/>
  <c r="O13" i="3"/>
  <c r="N18" i="3"/>
  <c r="M23" i="3"/>
  <c r="L28" i="3"/>
  <c r="K33" i="3"/>
  <c r="J38" i="3"/>
  <c r="V42" i="3"/>
  <c r="U47" i="3"/>
  <c r="T52" i="3"/>
  <c r="S57" i="3"/>
  <c r="O10" i="3"/>
  <c r="Y10" i="3" s="1"/>
  <c r="N15" i="3"/>
  <c r="M20" i="3"/>
  <c r="L25" i="3"/>
  <c r="K30" i="3"/>
  <c r="J35" i="3"/>
  <c r="V39" i="3"/>
  <c r="U44" i="3"/>
  <c r="T49" i="3"/>
  <c r="S54" i="3"/>
  <c r="O7" i="3"/>
  <c r="N12" i="3"/>
  <c r="M17" i="3"/>
  <c r="L22" i="3"/>
  <c r="K27" i="3"/>
  <c r="J32" i="3"/>
  <c r="V36" i="3"/>
  <c r="U41" i="3"/>
  <c r="T46" i="3"/>
  <c r="S51" i="3"/>
  <c r="R56" i="3"/>
  <c r="N9" i="3"/>
  <c r="M14" i="3"/>
  <c r="L19" i="3"/>
  <c r="K24" i="3"/>
  <c r="J29" i="3"/>
  <c r="Q7" i="3"/>
  <c r="P12" i="3"/>
  <c r="O17" i="3"/>
  <c r="N22" i="3"/>
  <c r="M27" i="3"/>
  <c r="L32" i="3"/>
  <c r="K37" i="3"/>
  <c r="J42" i="3"/>
  <c r="V46" i="3"/>
  <c r="U51" i="3"/>
  <c r="T56" i="3"/>
  <c r="P14" i="3"/>
  <c r="P27" i="3"/>
  <c r="Q38" i="3"/>
  <c r="O48" i="3"/>
  <c r="Y48" i="3" s="1"/>
  <c r="M58" i="3"/>
  <c r="L63" i="3"/>
  <c r="K68" i="3"/>
  <c r="J73" i="3"/>
  <c r="V77" i="3"/>
  <c r="U82" i="3"/>
  <c r="P6" i="3"/>
  <c r="P19" i="3"/>
  <c r="S32" i="3"/>
  <c r="Q42" i="3"/>
  <c r="O52" i="3"/>
  <c r="L60" i="3"/>
  <c r="K65" i="3"/>
  <c r="J70" i="3"/>
  <c r="V74" i="3"/>
  <c r="Q6" i="3"/>
  <c r="V19" i="3"/>
  <c r="U32" i="3"/>
  <c r="N13" i="3"/>
  <c r="S26" i="3"/>
  <c r="U37" i="3"/>
  <c r="S47" i="3"/>
  <c r="U8" i="3"/>
  <c r="U21" i="3"/>
  <c r="M34" i="3"/>
  <c r="K44" i="3"/>
  <c r="K12" i="3"/>
  <c r="P25" i="3"/>
  <c r="M40" i="3"/>
  <c r="Q57" i="3"/>
  <c r="N64" i="3"/>
  <c r="V70" i="3"/>
  <c r="Q77" i="3"/>
  <c r="K9" i="3"/>
  <c r="L20" i="3"/>
  <c r="N34" i="3"/>
  <c r="P48" i="3"/>
  <c r="N7" i="3"/>
  <c r="P21" i="3"/>
  <c r="R35" i="3"/>
  <c r="S46" i="3"/>
  <c r="R8" i="3"/>
  <c r="T22" i="3"/>
  <c r="U33" i="3"/>
  <c r="J48" i="3"/>
  <c r="V9" i="3"/>
  <c r="J21" i="3"/>
  <c r="T8" i="3"/>
  <c r="V22" i="3"/>
  <c r="J34" i="3"/>
  <c r="L48" i="3"/>
  <c r="M16" i="3"/>
  <c r="M42" i="3"/>
  <c r="O64" i="3"/>
  <c r="Q78" i="3"/>
  <c r="O11" i="3"/>
  <c r="Y11" i="3" s="1"/>
  <c r="J45" i="3"/>
  <c r="S65" i="3"/>
  <c r="T76" i="3"/>
  <c r="N35" i="3"/>
  <c r="K39" i="3"/>
  <c r="T13" i="3"/>
  <c r="Q46" i="3"/>
  <c r="S42" i="3"/>
  <c r="T66" i="3"/>
  <c r="N81" i="3"/>
  <c r="V86" i="3"/>
  <c r="V91" i="3"/>
  <c r="U96" i="3"/>
  <c r="T101" i="3"/>
  <c r="S106" i="3"/>
  <c r="R111" i="3"/>
  <c r="Q116" i="3"/>
  <c r="P121" i="3"/>
  <c r="O14" i="3"/>
  <c r="R45" i="3"/>
  <c r="R59" i="3"/>
  <c r="K66" i="3"/>
  <c r="S72" i="3"/>
  <c r="N79" i="3"/>
  <c r="V84" i="3"/>
  <c r="L90" i="3"/>
  <c r="K95" i="3"/>
  <c r="J100" i="3"/>
  <c r="V104" i="3"/>
  <c r="U109" i="3"/>
  <c r="T114" i="3"/>
  <c r="S119" i="3"/>
  <c r="R124" i="3"/>
  <c r="Q129" i="3"/>
  <c r="P134" i="3"/>
  <c r="U40" i="3"/>
  <c r="V57" i="3"/>
  <c r="R64" i="3"/>
  <c r="K71" i="3"/>
  <c r="S77" i="3"/>
  <c r="R83" i="3"/>
  <c r="J89" i="3"/>
  <c r="V93" i="3"/>
  <c r="U98" i="3"/>
  <c r="T103" i="3"/>
  <c r="S108" i="3"/>
  <c r="R113" i="3"/>
  <c r="Q118" i="3"/>
  <c r="N32" i="3"/>
  <c r="S52" i="3"/>
  <c r="M62" i="3"/>
  <c r="U68" i="3"/>
  <c r="N75" i="3"/>
  <c r="Q81" i="3"/>
  <c r="M87" i="3"/>
  <c r="L92" i="3"/>
  <c r="K97" i="3"/>
  <c r="J102" i="3"/>
  <c r="P41" i="3"/>
  <c r="L58" i="3"/>
  <c r="T64" i="3"/>
  <c r="O71" i="3"/>
  <c r="U77" i="3"/>
  <c r="T83" i="3"/>
  <c r="L89" i="3"/>
  <c r="K94" i="3"/>
  <c r="J99" i="3"/>
  <c r="V103" i="3"/>
  <c r="L37" i="3"/>
  <c r="R67" i="3"/>
  <c r="Q84" i="3"/>
  <c r="V97" i="3"/>
  <c r="P108" i="3"/>
  <c r="O116" i="3"/>
  <c r="S123" i="3"/>
  <c r="R129" i="3"/>
  <c r="L135" i="3"/>
  <c r="K140" i="3"/>
  <c r="J145" i="3"/>
  <c r="V149" i="3"/>
  <c r="U154" i="3"/>
  <c r="T159" i="3"/>
  <c r="S9" i="3"/>
  <c r="U23" i="3"/>
  <c r="V34" i="3"/>
  <c r="K49" i="3"/>
  <c r="J11" i="3"/>
  <c r="K22" i="3"/>
  <c r="M36" i="3"/>
  <c r="O50" i="3"/>
  <c r="M9" i="3"/>
  <c r="O23" i="3"/>
  <c r="Q37" i="3"/>
  <c r="R48" i="3"/>
  <c r="Q10" i="3"/>
  <c r="S24" i="3"/>
  <c r="O9" i="3"/>
  <c r="Q23" i="3"/>
  <c r="S37" i="3"/>
  <c r="T48" i="3"/>
  <c r="R17" i="3"/>
  <c r="R49" i="3"/>
  <c r="J65" i="3"/>
  <c r="L79" i="3"/>
  <c r="M21" i="3"/>
  <c r="M46" i="3"/>
  <c r="N66" i="3"/>
  <c r="N8" i="3"/>
  <c r="Q36" i="3"/>
  <c r="N40" i="3"/>
  <c r="R23" i="3"/>
  <c r="T47" i="3"/>
  <c r="L45" i="3"/>
  <c r="S71" i="3"/>
  <c r="J82" i="3"/>
  <c r="R87" i="3"/>
  <c r="Q92" i="3"/>
  <c r="P97" i="3"/>
  <c r="O102" i="3"/>
  <c r="Y102" i="3" s="1"/>
  <c r="N107" i="3"/>
  <c r="M112" i="3"/>
  <c r="L117" i="3"/>
  <c r="K122" i="3"/>
  <c r="S20" i="3"/>
  <c r="K48" i="3"/>
  <c r="O60" i="3"/>
  <c r="Y60" i="3" s="1"/>
  <c r="J67" i="3"/>
  <c r="P73" i="3"/>
  <c r="J80" i="3"/>
  <c r="R85" i="3"/>
  <c r="T90" i="3"/>
  <c r="S95" i="3"/>
  <c r="R100" i="3"/>
  <c r="Q105" i="3"/>
  <c r="P110" i="3"/>
  <c r="O115" i="3"/>
  <c r="Y115" i="3" s="1"/>
  <c r="N120" i="3"/>
  <c r="M125" i="3"/>
  <c r="L130" i="3"/>
  <c r="J9" i="3"/>
  <c r="N43" i="3"/>
  <c r="T58" i="3"/>
  <c r="O65" i="3"/>
  <c r="Y65" i="3" s="1"/>
  <c r="J72" i="3"/>
  <c r="P78" i="3"/>
  <c r="N84" i="3"/>
  <c r="R89" i="3"/>
  <c r="Q94" i="3"/>
  <c r="P99" i="3"/>
  <c r="O104" i="3"/>
  <c r="N109" i="3"/>
  <c r="M114" i="3"/>
  <c r="L119" i="3"/>
  <c r="V35" i="3"/>
  <c r="P54" i="3"/>
  <c r="J63" i="3"/>
  <c r="R69" i="3"/>
  <c r="M76" i="3"/>
  <c r="N82" i="3"/>
  <c r="U87" i="3"/>
  <c r="T92" i="3"/>
  <c r="S97" i="3"/>
  <c r="T10" i="3"/>
  <c r="V43" i="3"/>
  <c r="K59" i="3"/>
  <c r="Q65" i="3"/>
  <c r="L72" i="3"/>
  <c r="T78" i="3"/>
  <c r="P84" i="3"/>
  <c r="T89" i="3"/>
  <c r="S94" i="3"/>
  <c r="R99" i="3"/>
  <c r="Q104" i="3"/>
  <c r="O44" i="3"/>
  <c r="Y44" i="3" s="1"/>
  <c r="U69" i="3"/>
  <c r="L86" i="3"/>
  <c r="S99" i="3"/>
  <c r="Q109" i="3"/>
  <c r="P117" i="3"/>
  <c r="P124" i="3"/>
  <c r="N130" i="3"/>
  <c r="T135" i="3"/>
  <c r="S140" i="3"/>
  <c r="R145" i="3"/>
  <c r="Q150" i="3"/>
  <c r="P155" i="3"/>
  <c r="O160" i="3"/>
  <c r="N10" i="3"/>
  <c r="P24" i="3"/>
  <c r="R38" i="3"/>
  <c r="S49" i="3"/>
  <c r="R11" i="3"/>
  <c r="T25" i="3"/>
  <c r="U36" i="3"/>
  <c r="J51" i="3"/>
  <c r="V12" i="3"/>
  <c r="J24" i="3"/>
  <c r="L38" i="3"/>
  <c r="N52" i="3"/>
  <c r="L11" i="3"/>
  <c r="N25" i="3"/>
  <c r="K13" i="3"/>
  <c r="L24" i="3"/>
  <c r="N38" i="3"/>
  <c r="P52" i="3"/>
  <c r="O19" i="3"/>
  <c r="U50" i="3"/>
  <c r="S68" i="3"/>
  <c r="T79" i="3"/>
  <c r="J23" i="3"/>
  <c r="R53" i="3"/>
  <c r="V66" i="3"/>
  <c r="K10" i="3"/>
  <c r="K15" i="3"/>
  <c r="Q41" i="3"/>
  <c r="J25" i="3"/>
  <c r="U13" i="3"/>
  <c r="R47" i="3"/>
  <c r="R72" i="3"/>
  <c r="S82" i="3"/>
  <c r="M88" i="3"/>
  <c r="L93" i="3"/>
  <c r="K98" i="3"/>
  <c r="J103" i="3"/>
  <c r="V107" i="3"/>
  <c r="U112" i="3"/>
  <c r="T117" i="3"/>
  <c r="S122" i="3"/>
  <c r="N27" i="3"/>
  <c r="M50" i="3"/>
  <c r="L61" i="3"/>
  <c r="T67" i="3"/>
  <c r="O74" i="3"/>
  <c r="S80" i="3"/>
  <c r="N86" i="3"/>
  <c r="O91" i="3"/>
  <c r="N96" i="3"/>
  <c r="M101" i="3"/>
  <c r="L106" i="3"/>
  <c r="K111" i="3"/>
  <c r="J116" i="3"/>
  <c r="V120" i="3"/>
  <c r="U125" i="3"/>
  <c r="T130" i="3"/>
  <c r="S15" i="3"/>
  <c r="T45" i="3"/>
  <c r="S59" i="3"/>
  <c r="L66" i="3"/>
  <c r="T72" i="3"/>
  <c r="O79" i="3"/>
  <c r="J85" i="3"/>
  <c r="M90" i="3"/>
  <c r="L95" i="3"/>
  <c r="K100" i="3"/>
  <c r="J105" i="3"/>
  <c r="V109" i="3"/>
  <c r="U114" i="3"/>
  <c r="T119" i="3"/>
  <c r="P38" i="3"/>
  <c r="O56" i="3"/>
  <c r="V63" i="3"/>
  <c r="O70" i="3"/>
  <c r="J77" i="3"/>
  <c r="J83" i="3"/>
  <c r="P88" i="3"/>
  <c r="O93" i="3"/>
  <c r="N98" i="3"/>
  <c r="P17" i="3"/>
  <c r="O46" i="3"/>
  <c r="Y46" i="3" s="1"/>
  <c r="U59" i="3"/>
  <c r="P66" i="3"/>
  <c r="V72" i="3"/>
  <c r="Q79" i="3"/>
  <c r="L85" i="3"/>
  <c r="O90" i="3"/>
  <c r="N95" i="3"/>
  <c r="M100" i="3"/>
  <c r="L105" i="3"/>
  <c r="Q49" i="3"/>
  <c r="M72" i="3"/>
  <c r="K88" i="3"/>
  <c r="K101" i="3"/>
  <c r="R110" i="3"/>
  <c r="N118" i="3"/>
  <c r="O125" i="3"/>
  <c r="J131" i="3"/>
  <c r="O136" i="3"/>
  <c r="Y136" i="3" s="1"/>
  <c r="N141" i="3"/>
  <c r="M146" i="3"/>
  <c r="L151" i="3"/>
  <c r="K156" i="3"/>
  <c r="J161" i="3"/>
  <c r="R14" i="3"/>
  <c r="T28" i="3"/>
  <c r="U39" i="3"/>
  <c r="J54" i="3"/>
  <c r="V15" i="3"/>
  <c r="J27" i="3"/>
  <c r="L41" i="3"/>
  <c r="N55" i="3"/>
  <c r="L14" i="3"/>
  <c r="N28" i="3"/>
  <c r="P42" i="3"/>
  <c r="Q53" i="3"/>
  <c r="P15" i="3"/>
  <c r="R29" i="3"/>
  <c r="N14" i="3"/>
  <c r="P28" i="3"/>
  <c r="R42" i="3"/>
  <c r="S53" i="3"/>
  <c r="J31" i="3"/>
  <c r="U58" i="3"/>
  <c r="V69" i="3"/>
  <c r="K84" i="3"/>
  <c r="V33" i="3"/>
  <c r="K56" i="3"/>
  <c r="M71" i="3"/>
  <c r="N21" i="3"/>
  <c r="M18" i="3"/>
  <c r="L50" i="3"/>
  <c r="P35" i="3"/>
  <c r="J17" i="3"/>
  <c r="O59" i="3"/>
  <c r="N78" i="3"/>
  <c r="L84" i="3"/>
  <c r="P89" i="3"/>
  <c r="O94" i="3"/>
  <c r="Y94" i="3" s="1"/>
  <c r="N99" i="3"/>
  <c r="M104" i="3"/>
  <c r="L109" i="3"/>
  <c r="K114" i="3"/>
  <c r="J119" i="3"/>
  <c r="V123" i="3"/>
  <c r="T34" i="3"/>
  <c r="M54" i="3"/>
  <c r="U62" i="3"/>
  <c r="P69" i="3"/>
  <c r="V75" i="3"/>
  <c r="K82" i="3"/>
  <c r="S87" i="3"/>
  <c r="R92" i="3"/>
  <c r="Q97" i="3"/>
  <c r="P102" i="3"/>
  <c r="O107" i="3"/>
  <c r="Y107" i="3" s="1"/>
  <c r="N112" i="3"/>
  <c r="M117" i="3"/>
  <c r="L122" i="3"/>
  <c r="K127" i="3"/>
  <c r="J132" i="3"/>
  <c r="O27" i="3"/>
  <c r="Y27" i="3" s="1"/>
  <c r="Q50" i="3"/>
  <c r="M61" i="3"/>
  <c r="U67" i="3"/>
  <c r="P74" i="3"/>
  <c r="T80" i="3"/>
  <c r="O86" i="3"/>
  <c r="P91" i="3"/>
  <c r="O96" i="3"/>
  <c r="Y96" i="3" s="1"/>
  <c r="N101" i="3"/>
  <c r="M106" i="3"/>
  <c r="L111" i="3"/>
  <c r="K116" i="3"/>
  <c r="P9" i="3"/>
  <c r="O43" i="3"/>
  <c r="J59" i="3"/>
  <c r="P65" i="3"/>
  <c r="K72" i="3"/>
  <c r="S78" i="3"/>
  <c r="O84" i="3"/>
  <c r="S89" i="3"/>
  <c r="R94" i="3"/>
  <c r="Q99" i="3"/>
  <c r="S28" i="3"/>
  <c r="T50" i="3"/>
  <c r="Q61" i="3"/>
  <c r="J68" i="3"/>
  <c r="R74" i="3"/>
  <c r="V80" i="3"/>
  <c r="R86" i="3"/>
  <c r="R91" i="3"/>
  <c r="Q96" i="3"/>
  <c r="P101" i="3"/>
  <c r="O106" i="3"/>
  <c r="Y106" i="3" s="1"/>
  <c r="L59" i="3"/>
  <c r="P76" i="3"/>
  <c r="M91" i="3"/>
  <c r="J104" i="3"/>
  <c r="Q112" i="3"/>
  <c r="P120" i="3"/>
  <c r="T126" i="3"/>
  <c r="O132" i="3"/>
  <c r="Y132" i="3" s="1"/>
  <c r="R137" i="3"/>
  <c r="Q142" i="3"/>
  <c r="P147" i="3"/>
  <c r="O152" i="3"/>
  <c r="N157" i="3"/>
  <c r="M162" i="3"/>
  <c r="M15" i="3"/>
  <c r="O29" i="3"/>
  <c r="Y29" i="3" s="1"/>
  <c r="Q43" i="3"/>
  <c r="R54" i="3"/>
  <c r="Q16" i="3"/>
  <c r="S30" i="3"/>
  <c r="T41" i="3"/>
  <c r="V55" i="3"/>
  <c r="U17" i="3"/>
  <c r="V28" i="3"/>
  <c r="K43" i="3"/>
  <c r="M57" i="3"/>
  <c r="K16" i="3"/>
  <c r="M30" i="3"/>
  <c r="J18" i="3"/>
  <c r="K29" i="3"/>
  <c r="M43" i="3"/>
  <c r="O57" i="3"/>
  <c r="Y57" i="3" s="1"/>
  <c r="O32" i="3"/>
  <c r="Y32" i="3" s="1"/>
  <c r="P59" i="3"/>
  <c r="R73" i="3"/>
  <c r="S84" i="3"/>
  <c r="L35" i="3"/>
  <c r="T60" i="3"/>
  <c r="U71" i="3"/>
  <c r="K23" i="3"/>
  <c r="K28" i="3"/>
  <c r="O51" i="3"/>
  <c r="S36" i="3"/>
  <c r="R7" i="3"/>
  <c r="N60" i="3"/>
  <c r="K79" i="3"/>
  <c r="U84" i="3"/>
  <c r="K90" i="3"/>
  <c r="J95" i="3"/>
  <c r="V99" i="3"/>
  <c r="U104" i="3"/>
  <c r="T109" i="3"/>
  <c r="S114" i="3"/>
  <c r="R119" i="3"/>
  <c r="Q124" i="3"/>
  <c r="M38" i="3"/>
  <c r="M56" i="3"/>
  <c r="R63" i="3"/>
  <c r="M70" i="3"/>
  <c r="U76" i="3"/>
  <c r="T82" i="3"/>
  <c r="N88" i="3"/>
  <c r="M93" i="3"/>
  <c r="L98" i="3"/>
  <c r="K103" i="3"/>
  <c r="J108" i="3"/>
  <c r="V112" i="3"/>
  <c r="U117" i="3"/>
  <c r="T122" i="3"/>
  <c r="S127" i="3"/>
  <c r="R132" i="3"/>
  <c r="M32" i="3"/>
  <c r="Q52" i="3"/>
  <c r="L62" i="3"/>
  <c r="R68" i="3"/>
  <c r="M75" i="3"/>
  <c r="P81" i="3"/>
  <c r="K87" i="3"/>
  <c r="K92" i="3"/>
  <c r="J97" i="3"/>
  <c r="V101" i="3"/>
  <c r="U106" i="3"/>
  <c r="T111" i="3"/>
  <c r="S116" i="3"/>
  <c r="T15" i="3"/>
  <c r="U45" i="3"/>
  <c r="T59" i="3"/>
  <c r="O66" i="3"/>
  <c r="Y66" i="3" s="1"/>
  <c r="U72" i="3"/>
  <c r="P79" i="3"/>
  <c r="K85" i="3"/>
  <c r="N90" i="3"/>
  <c r="M95" i="3"/>
  <c r="L100" i="3"/>
  <c r="N33" i="3"/>
  <c r="J53" i="3"/>
  <c r="N62" i="3"/>
  <c r="V68" i="3"/>
  <c r="O75" i="3"/>
  <c r="J14" i="3"/>
  <c r="T44" i="3"/>
  <c r="N31" i="3"/>
  <c r="Q13" i="3"/>
  <c r="O47" i="3"/>
  <c r="Y47" i="3" s="1"/>
  <c r="U30" i="3"/>
  <c r="V38" i="3"/>
  <c r="J41" i="3"/>
  <c r="M8" i="3"/>
  <c r="R70" i="3"/>
  <c r="R31" i="3"/>
  <c r="V13" i="3"/>
  <c r="O83" i="3"/>
  <c r="Y83" i="3" s="1"/>
  <c r="M96" i="3"/>
  <c r="O110" i="3"/>
  <c r="N123" i="3"/>
  <c r="S58" i="3"/>
  <c r="R77" i="3"/>
  <c r="J92" i="3"/>
  <c r="N104" i="3"/>
  <c r="P118" i="3"/>
  <c r="O131" i="3"/>
  <c r="Y131" i="3" s="1"/>
  <c r="N56" i="3"/>
  <c r="J76" i="3"/>
  <c r="U90" i="3"/>
  <c r="L103" i="3"/>
  <c r="N117" i="3"/>
  <c r="K58" i="3"/>
  <c r="Q74" i="3"/>
  <c r="V90" i="3"/>
  <c r="T23" i="3"/>
  <c r="J64" i="3"/>
  <c r="S81" i="3"/>
  <c r="M92" i="3"/>
  <c r="K102" i="3"/>
  <c r="J61" i="3"/>
  <c r="J93" i="3"/>
  <c r="O113" i="3"/>
  <c r="Y113" i="3" s="1"/>
  <c r="P127" i="3"/>
  <c r="M138" i="3"/>
  <c r="K148" i="3"/>
  <c r="V157" i="3"/>
  <c r="N165" i="3"/>
  <c r="M170" i="3"/>
  <c r="L175" i="3"/>
  <c r="K180" i="3"/>
  <c r="J185" i="3"/>
  <c r="V189" i="3"/>
  <c r="N51" i="3"/>
  <c r="N72" i="3"/>
  <c r="L88" i="3"/>
  <c r="Q101" i="3"/>
  <c r="S110" i="3"/>
  <c r="R118" i="3"/>
  <c r="P125" i="3"/>
  <c r="K131" i="3"/>
  <c r="P136" i="3"/>
  <c r="O141" i="3"/>
  <c r="N146" i="3"/>
  <c r="M151" i="3"/>
  <c r="L156" i="3"/>
  <c r="K161" i="3"/>
  <c r="J166" i="3"/>
  <c r="V170" i="3"/>
  <c r="U175" i="3"/>
  <c r="T180" i="3"/>
  <c r="S185" i="3"/>
  <c r="R190" i="3"/>
  <c r="Q195" i="3"/>
  <c r="P39" i="3"/>
  <c r="N68" i="3"/>
  <c r="T84" i="3"/>
  <c r="P98" i="3"/>
  <c r="U108" i="3"/>
  <c r="T116" i="3"/>
  <c r="U123" i="3"/>
  <c r="T129" i="3"/>
  <c r="N135" i="3"/>
  <c r="M140" i="3"/>
  <c r="L145" i="3"/>
  <c r="K150" i="3"/>
  <c r="J155" i="3"/>
  <c r="V159" i="3"/>
  <c r="U164" i="3"/>
  <c r="T169" i="3"/>
  <c r="S174" i="3"/>
  <c r="R179" i="3"/>
  <c r="V56" i="3"/>
  <c r="J75" i="3"/>
  <c r="P90" i="3"/>
  <c r="M103" i="3"/>
  <c r="V111" i="3"/>
  <c r="U119" i="3"/>
  <c r="N126" i="3"/>
  <c r="V131" i="3"/>
  <c r="M137" i="3"/>
  <c r="L142" i="3"/>
  <c r="K147" i="3"/>
  <c r="J152" i="3"/>
  <c r="V156" i="3"/>
  <c r="U161" i="3"/>
  <c r="T166" i="3"/>
  <c r="L53" i="3"/>
  <c r="M73" i="3"/>
  <c r="T88" i="3"/>
  <c r="L102" i="3"/>
  <c r="V110" i="3"/>
  <c r="U118" i="3"/>
  <c r="S125" i="3"/>
  <c r="N131" i="3"/>
  <c r="S136" i="3"/>
  <c r="R141" i="3"/>
  <c r="Q146" i="3"/>
  <c r="P151" i="3"/>
  <c r="O156" i="3"/>
  <c r="Y156" i="3" s="1"/>
  <c r="K47" i="3"/>
  <c r="P71" i="3"/>
  <c r="P87" i="3"/>
  <c r="P100" i="3"/>
  <c r="L110" i="3"/>
  <c r="K118" i="3"/>
  <c r="J125" i="3"/>
  <c r="S130" i="3"/>
  <c r="L136" i="3"/>
  <c r="K141" i="3"/>
  <c r="J146" i="3"/>
  <c r="V150" i="3"/>
  <c r="U155" i="3"/>
  <c r="T160" i="3"/>
  <c r="S165" i="3"/>
  <c r="V73" i="3"/>
  <c r="M119" i="3"/>
  <c r="T141" i="3"/>
  <c r="S160" i="3"/>
  <c r="T171" i="3"/>
  <c r="S179" i="3"/>
  <c r="P186" i="3"/>
  <c r="U192" i="3"/>
  <c r="P198" i="3"/>
  <c r="P203" i="3"/>
  <c r="O208" i="3"/>
  <c r="Y208" i="3" s="1"/>
  <c r="N213" i="3"/>
  <c r="M218" i="3"/>
  <c r="L223" i="3"/>
  <c r="K228" i="3"/>
  <c r="J233" i="3"/>
  <c r="V237" i="3"/>
  <c r="U242" i="3"/>
  <c r="T247" i="3"/>
  <c r="S252" i="3"/>
  <c r="R257" i="3"/>
  <c r="L55" i="3"/>
  <c r="O111" i="3"/>
  <c r="V136" i="3"/>
  <c r="R156" i="3"/>
  <c r="V169" i="3"/>
  <c r="U177" i="3"/>
  <c r="U184" i="3"/>
  <c r="P191" i="3"/>
  <c r="L197" i="3"/>
  <c r="N202" i="3"/>
  <c r="M207" i="3"/>
  <c r="L212" i="3"/>
  <c r="K217" i="3"/>
  <c r="Q34" i="3"/>
  <c r="N108" i="3"/>
  <c r="J135" i="3"/>
  <c r="S154" i="3"/>
  <c r="V168" i="3"/>
  <c r="U176" i="3"/>
  <c r="V18" i="3"/>
  <c r="O53" i="3"/>
  <c r="V31" i="3"/>
  <c r="P18" i="3"/>
  <c r="V52" i="3"/>
  <c r="L8" i="3"/>
  <c r="U43" i="3"/>
  <c r="K52" i="3"/>
  <c r="R9" i="3"/>
  <c r="Q75" i="3"/>
  <c r="V48" i="3"/>
  <c r="R20" i="3"/>
  <c r="Q85" i="3"/>
  <c r="S98" i="3"/>
  <c r="J111" i="3"/>
  <c r="L125" i="3"/>
  <c r="K62" i="3"/>
  <c r="O78" i="3"/>
  <c r="U93" i="3"/>
  <c r="T106" i="3"/>
  <c r="K119" i="3"/>
  <c r="M133" i="3"/>
  <c r="P60" i="3"/>
  <c r="V76" i="3"/>
  <c r="S92" i="3"/>
  <c r="R105" i="3"/>
  <c r="V117" i="3"/>
  <c r="Q60" i="3"/>
  <c r="T77" i="3"/>
  <c r="Q91" i="3"/>
  <c r="J36" i="3"/>
  <c r="M67" i="3"/>
  <c r="O82" i="3"/>
  <c r="Y82" i="3" s="1"/>
  <c r="U92" i="3"/>
  <c r="S102" i="3"/>
  <c r="O63" i="3"/>
  <c r="Y63" i="3" s="1"/>
  <c r="T94" i="3"/>
  <c r="P114" i="3"/>
  <c r="L128" i="3"/>
  <c r="U138" i="3"/>
  <c r="S148" i="3"/>
  <c r="Q158" i="3"/>
  <c r="V165" i="3"/>
  <c r="U170" i="3"/>
  <c r="T175" i="3"/>
  <c r="S180" i="3"/>
  <c r="R185" i="3"/>
  <c r="Q190" i="3"/>
  <c r="R55" i="3"/>
  <c r="S74" i="3"/>
  <c r="V89" i="3"/>
  <c r="U102" i="3"/>
  <c r="Q111" i="3"/>
  <c r="P119" i="3"/>
  <c r="L126" i="3"/>
  <c r="T131" i="3"/>
  <c r="K137" i="3"/>
  <c r="J142" i="3"/>
  <c r="V146" i="3"/>
  <c r="U151" i="3"/>
  <c r="T156" i="3"/>
  <c r="S161" i="3"/>
  <c r="R166" i="3"/>
  <c r="Q171" i="3"/>
  <c r="P176" i="3"/>
  <c r="O181" i="3"/>
  <c r="Y181" i="3" s="1"/>
  <c r="N186" i="3"/>
  <c r="M191" i="3"/>
  <c r="L196" i="3"/>
  <c r="R44" i="3"/>
  <c r="S70" i="3"/>
  <c r="T86" i="3"/>
  <c r="U99" i="3"/>
  <c r="S109" i="3"/>
  <c r="R117" i="3"/>
  <c r="T124" i="3"/>
  <c r="P130" i="3"/>
  <c r="V135" i="3"/>
  <c r="U140" i="3"/>
  <c r="T145" i="3"/>
  <c r="S150" i="3"/>
  <c r="R155" i="3"/>
  <c r="Q160" i="3"/>
  <c r="P165" i="3"/>
  <c r="O170" i="3"/>
  <c r="N175" i="3"/>
  <c r="M180" i="3"/>
  <c r="V59" i="3"/>
  <c r="M77" i="3"/>
  <c r="U91" i="3"/>
  <c r="P104" i="3"/>
  <c r="T112" i="3"/>
  <c r="S120" i="3"/>
  <c r="J127" i="3"/>
  <c r="S132" i="3"/>
  <c r="U137" i="3"/>
  <c r="T142" i="3"/>
  <c r="S147" i="3"/>
  <c r="R152" i="3"/>
  <c r="Q157" i="3"/>
  <c r="P162" i="3"/>
  <c r="O167" i="3"/>
  <c r="P57" i="3"/>
  <c r="R75" i="3"/>
  <c r="Q90" i="3"/>
  <c r="O103" i="3"/>
  <c r="J112" i="3"/>
  <c r="V119" i="3"/>
  <c r="O126" i="3"/>
  <c r="K132" i="3"/>
  <c r="N137" i="3"/>
  <c r="M142" i="3"/>
  <c r="L147" i="3"/>
  <c r="K152" i="3"/>
  <c r="J157" i="3"/>
  <c r="M53" i="3"/>
  <c r="N73" i="3"/>
  <c r="M89" i="3"/>
  <c r="M102" i="3"/>
  <c r="M111" i="3"/>
  <c r="V118" i="3"/>
  <c r="T125" i="3"/>
  <c r="P131" i="3"/>
  <c r="T136" i="3"/>
  <c r="S141" i="3"/>
  <c r="R146" i="3"/>
  <c r="Q151" i="3"/>
  <c r="P156" i="3"/>
  <c r="O161" i="3"/>
  <c r="Y161" i="3" s="1"/>
  <c r="N166" i="3"/>
  <c r="V81" i="3"/>
  <c r="R122" i="3"/>
  <c r="M144" i="3"/>
  <c r="L162" i="3"/>
  <c r="R172" i="3"/>
  <c r="Q180" i="3"/>
  <c r="M187" i="3"/>
  <c r="Q193" i="3"/>
  <c r="L199" i="3"/>
  <c r="K204" i="3"/>
  <c r="J209" i="3"/>
  <c r="V213" i="3"/>
  <c r="U218" i="3"/>
  <c r="T223" i="3"/>
  <c r="S228" i="3"/>
  <c r="R233" i="3"/>
  <c r="Q238" i="3"/>
  <c r="P243" i="3"/>
  <c r="O248" i="3"/>
  <c r="N253" i="3"/>
  <c r="M258" i="3"/>
  <c r="L65" i="3"/>
  <c r="M115" i="3"/>
  <c r="O139" i="3"/>
  <c r="Y139" i="3" s="1"/>
  <c r="K159" i="3"/>
  <c r="T170" i="3"/>
  <c r="S178" i="3"/>
  <c r="T185" i="3"/>
  <c r="M192" i="3"/>
  <c r="U197" i="3"/>
  <c r="V202" i="3"/>
  <c r="U207" i="3"/>
  <c r="T212" i="3"/>
  <c r="S217" i="3"/>
  <c r="P58" i="3"/>
  <c r="L112" i="3"/>
  <c r="P137" i="3"/>
  <c r="L157" i="3"/>
  <c r="J170" i="3"/>
  <c r="V177" i="3"/>
  <c r="J30" i="3"/>
  <c r="M12" i="3"/>
  <c r="K46" i="3"/>
  <c r="R32" i="3"/>
  <c r="U14" i="3"/>
  <c r="M19" i="3"/>
  <c r="J58" i="3"/>
  <c r="N69" i="3"/>
  <c r="T43" i="3"/>
  <c r="U24" i="3"/>
  <c r="T26" i="3"/>
  <c r="J66" i="3"/>
  <c r="S90" i="3"/>
  <c r="R103" i="3"/>
  <c r="V115" i="3"/>
  <c r="S40" i="3"/>
  <c r="Q68" i="3"/>
  <c r="M84" i="3"/>
  <c r="T98" i="3"/>
  <c r="S111" i="3"/>
  <c r="J124" i="3"/>
  <c r="T35" i="3"/>
  <c r="K67" i="3"/>
  <c r="V82" i="3"/>
  <c r="R97" i="3"/>
  <c r="Q110" i="3"/>
  <c r="R28" i="3"/>
  <c r="L67" i="3"/>
  <c r="S83" i="3"/>
  <c r="P96" i="3"/>
  <c r="J55" i="3"/>
  <c r="U73" i="3"/>
  <c r="N87" i="3"/>
  <c r="L97" i="3"/>
  <c r="J107" i="3"/>
  <c r="U78" i="3"/>
  <c r="M105" i="3"/>
  <c r="M121" i="3"/>
  <c r="K133" i="3"/>
  <c r="L143" i="3"/>
  <c r="J153" i="3"/>
  <c r="U162" i="3"/>
  <c r="T167" i="3"/>
  <c r="S172" i="3"/>
  <c r="R177" i="3"/>
  <c r="Q182" i="3"/>
  <c r="P187" i="3"/>
  <c r="Q12" i="3"/>
  <c r="P63" i="3"/>
  <c r="K81" i="3"/>
  <c r="U94" i="3"/>
  <c r="Q106" i="3"/>
  <c r="Q114" i="3"/>
  <c r="M122" i="3"/>
  <c r="M128" i="3"/>
  <c r="V133" i="3"/>
  <c r="V138" i="3"/>
  <c r="U143" i="3"/>
  <c r="T148" i="3"/>
  <c r="S153" i="3"/>
  <c r="R158" i="3"/>
  <c r="Q163" i="3"/>
  <c r="P168" i="3"/>
  <c r="O173" i="3"/>
  <c r="N178" i="3"/>
  <c r="M183" i="3"/>
  <c r="L188" i="3"/>
  <c r="K193" i="3"/>
  <c r="J198" i="3"/>
  <c r="N59" i="3"/>
  <c r="L77" i="3"/>
  <c r="T91" i="3"/>
  <c r="L104" i="3"/>
  <c r="S112" i="3"/>
  <c r="R120" i="3"/>
  <c r="V126" i="3"/>
  <c r="Q132" i="3"/>
  <c r="T137" i="3"/>
  <c r="S142" i="3"/>
  <c r="R147" i="3"/>
  <c r="Q152" i="3"/>
  <c r="P157" i="3"/>
  <c r="O162" i="3"/>
  <c r="N167" i="3"/>
  <c r="M172" i="3"/>
  <c r="L177" i="3"/>
  <c r="P30" i="3"/>
  <c r="Q66" i="3"/>
  <c r="M83" i="3"/>
  <c r="T96" i="3"/>
  <c r="U107" i="3"/>
  <c r="T115" i="3"/>
  <c r="L123" i="3"/>
  <c r="L129" i="3"/>
  <c r="T134" i="3"/>
  <c r="S139" i="3"/>
  <c r="R144" i="3"/>
  <c r="Q149" i="3"/>
  <c r="P154" i="3"/>
  <c r="O159" i="3"/>
  <c r="N164" i="3"/>
  <c r="U18" i="3"/>
  <c r="M64" i="3"/>
  <c r="T81" i="3"/>
  <c r="P95" i="3"/>
  <c r="K107" i="3"/>
  <c r="J115" i="3"/>
  <c r="P122" i="3"/>
  <c r="Q128" i="3"/>
  <c r="L134" i="3"/>
  <c r="L139" i="3"/>
  <c r="K144" i="3"/>
  <c r="J149" i="3"/>
  <c r="V153" i="3"/>
  <c r="U158" i="3"/>
  <c r="P62" i="3"/>
  <c r="U79" i="3"/>
  <c r="L94" i="3"/>
  <c r="V105" i="3"/>
  <c r="J114" i="3"/>
  <c r="T121" i="3"/>
  <c r="V127" i="3"/>
  <c r="Q133" i="3"/>
  <c r="R138" i="3"/>
  <c r="Q143" i="3"/>
  <c r="P148" i="3"/>
  <c r="O153" i="3"/>
  <c r="Y153" i="3" s="1"/>
  <c r="N158" i="3"/>
  <c r="M163" i="3"/>
  <c r="L168" i="3"/>
  <c r="N102" i="3"/>
  <c r="Q131" i="3"/>
  <c r="R151" i="3"/>
  <c r="K167" i="3"/>
  <c r="R175" i="3"/>
  <c r="K183" i="3"/>
  <c r="S189" i="3"/>
  <c r="S195" i="3"/>
  <c r="J201" i="3"/>
  <c r="V205" i="3"/>
  <c r="U210" i="3"/>
  <c r="T215" i="3"/>
  <c r="S220" i="3"/>
  <c r="R225" i="3"/>
  <c r="Q230" i="3"/>
  <c r="P235" i="3"/>
  <c r="O240" i="3"/>
  <c r="N245" i="3"/>
  <c r="M250" i="3"/>
  <c r="L255" i="3"/>
  <c r="K260" i="3"/>
  <c r="O89" i="3"/>
  <c r="Y89" i="3" s="1"/>
  <c r="J126" i="3"/>
  <c r="T146" i="3"/>
  <c r="J164" i="3"/>
  <c r="T173" i="3"/>
  <c r="R181" i="3"/>
  <c r="M188" i="3"/>
  <c r="O194" i="3"/>
  <c r="Y194" i="3" s="1"/>
  <c r="U199" i="3"/>
  <c r="T204" i="3"/>
  <c r="S209" i="3"/>
  <c r="R214" i="3"/>
  <c r="Q219" i="3"/>
  <c r="V83" i="3"/>
  <c r="Q123" i="3"/>
  <c r="U144" i="3"/>
  <c r="S162" i="3"/>
  <c r="J173" i="3"/>
  <c r="V180" i="3"/>
  <c r="S33" i="3"/>
  <c r="L17" i="3"/>
  <c r="R51" i="3"/>
  <c r="M33" i="3"/>
  <c r="T19" i="3"/>
  <c r="U27" i="3"/>
  <c r="O6" i="3"/>
  <c r="M74" i="3"/>
  <c r="U54" i="3"/>
  <c r="K34" i="3"/>
  <c r="V37" i="3"/>
  <c r="O73" i="3"/>
  <c r="N91" i="3"/>
  <c r="P105" i="3"/>
  <c r="O118" i="3"/>
  <c r="Y118" i="3" s="1"/>
  <c r="L43" i="3"/>
  <c r="J71" i="3"/>
  <c r="J87" i="3"/>
  <c r="O99" i="3"/>
  <c r="Q113" i="3"/>
  <c r="P126" i="3"/>
  <c r="O38" i="3"/>
  <c r="Y38" i="3" s="1"/>
  <c r="Q69" i="3"/>
  <c r="S85" i="3"/>
  <c r="M98" i="3"/>
  <c r="O112" i="3"/>
  <c r="V40" i="3"/>
  <c r="V67" i="3"/>
  <c r="T85" i="3"/>
  <c r="V98" i="3"/>
  <c r="S56" i="3"/>
  <c r="N76" i="3"/>
  <c r="V87" i="3"/>
  <c r="T97" i="3"/>
  <c r="U10" i="3"/>
  <c r="Q80" i="3"/>
  <c r="P106" i="3"/>
  <c r="J122" i="3"/>
  <c r="T133" i="3"/>
  <c r="T143" i="3"/>
  <c r="R153" i="3"/>
  <c r="P163" i="3"/>
  <c r="O168" i="3"/>
  <c r="N173" i="3"/>
  <c r="M178" i="3"/>
  <c r="L183" i="3"/>
  <c r="K188" i="3"/>
  <c r="L29" i="3"/>
  <c r="U65" i="3"/>
  <c r="R82" i="3"/>
  <c r="R96" i="3"/>
  <c r="S107" i="3"/>
  <c r="R115" i="3"/>
  <c r="J123" i="3"/>
  <c r="J129" i="3"/>
  <c r="R134" i="3"/>
  <c r="Q139" i="3"/>
  <c r="P144" i="3"/>
  <c r="O149" i="3"/>
  <c r="N154" i="3"/>
  <c r="M159" i="3"/>
  <c r="L164" i="3"/>
  <c r="K169" i="3"/>
  <c r="J174" i="3"/>
  <c r="V178" i="3"/>
  <c r="U183" i="3"/>
  <c r="T188" i="3"/>
  <c r="S193" i="3"/>
  <c r="R198" i="3"/>
  <c r="S61" i="3"/>
  <c r="J79" i="3"/>
  <c r="Q93" i="3"/>
  <c r="O105" i="3"/>
  <c r="T113" i="3"/>
  <c r="O121" i="3"/>
  <c r="R127" i="3"/>
  <c r="N133" i="3"/>
  <c r="O138" i="3"/>
  <c r="Y138" i="3" s="1"/>
  <c r="N143" i="3"/>
  <c r="M148" i="3"/>
  <c r="L153" i="3"/>
  <c r="K158" i="3"/>
  <c r="J163" i="3"/>
  <c r="V167" i="3"/>
  <c r="U172" i="3"/>
  <c r="T177" i="3"/>
  <c r="R39" i="3"/>
  <c r="O68" i="3"/>
  <c r="Y68" i="3" s="1"/>
  <c r="M85" i="3"/>
  <c r="Q98" i="3"/>
  <c r="V108" i="3"/>
  <c r="U116" i="3"/>
  <c r="K124" i="3"/>
  <c r="U129" i="3"/>
  <c r="O135" i="3"/>
  <c r="Y135" i="3" s="1"/>
  <c r="N140" i="3"/>
  <c r="M145" i="3"/>
  <c r="L150" i="3"/>
  <c r="K155" i="3"/>
  <c r="J160" i="3"/>
  <c r="V164" i="3"/>
  <c r="P33" i="3"/>
  <c r="R66" i="3"/>
  <c r="N83" i="3"/>
  <c r="M97" i="3"/>
  <c r="L108" i="3"/>
  <c r="U115" i="3"/>
  <c r="M123" i="3"/>
  <c r="M129" i="3"/>
  <c r="U134" i="3"/>
  <c r="T139" i="3"/>
  <c r="S144" i="3"/>
  <c r="R149" i="3"/>
  <c r="Q154" i="3"/>
  <c r="N19" i="3"/>
  <c r="U64" i="3"/>
  <c r="U81" i="3"/>
  <c r="Q95" i="3"/>
  <c r="L107" i="3"/>
  <c r="K115" i="3"/>
  <c r="Q122" i="3"/>
  <c r="R128" i="3"/>
  <c r="M134" i="3"/>
  <c r="M139" i="3"/>
  <c r="L144" i="3"/>
  <c r="K149" i="3"/>
  <c r="J154" i="3"/>
  <c r="V158" i="3"/>
  <c r="U163" i="3"/>
  <c r="M24" i="3"/>
  <c r="M107" i="3"/>
  <c r="N134" i="3"/>
  <c r="K154" i="3"/>
  <c r="T168" i="3"/>
  <c r="S176" i="3"/>
  <c r="J184" i="3"/>
  <c r="P190" i="3"/>
  <c r="O196" i="3"/>
  <c r="R201" i="3"/>
  <c r="Q206" i="3"/>
  <c r="P211" i="3"/>
  <c r="O216" i="3"/>
  <c r="Y216" i="3" s="1"/>
  <c r="N221" i="3"/>
  <c r="M226" i="3"/>
  <c r="L231" i="3"/>
  <c r="K236" i="3"/>
  <c r="J241" i="3"/>
  <c r="V245" i="3"/>
  <c r="U250" i="3"/>
  <c r="T255" i="3"/>
  <c r="S260" i="3"/>
  <c r="K96" i="3"/>
  <c r="T128" i="3"/>
  <c r="Q19" i="3"/>
  <c r="Q40" i="3"/>
  <c r="U57" i="3"/>
  <c r="Q47" i="3"/>
  <c r="O24" i="3"/>
  <c r="Y24" i="3" s="1"/>
  <c r="M10" i="3"/>
  <c r="M86" i="3"/>
  <c r="P113" i="3"/>
  <c r="Q64" i="3"/>
  <c r="P94" i="3"/>
  <c r="Q121" i="3"/>
  <c r="V62" i="3"/>
  <c r="N93" i="3"/>
  <c r="O120" i="3"/>
  <c r="Y120" i="3" s="1"/>
  <c r="L80" i="3"/>
  <c r="J39" i="3"/>
  <c r="K83" i="3"/>
  <c r="N103" i="3"/>
  <c r="L96" i="3"/>
  <c r="U128" i="3"/>
  <c r="N149" i="3"/>
  <c r="Q166" i="3"/>
  <c r="O176" i="3"/>
  <c r="Y176" i="3" s="1"/>
  <c r="M186" i="3"/>
  <c r="M59" i="3"/>
  <c r="S91" i="3"/>
  <c r="R112" i="3"/>
  <c r="U126" i="3"/>
  <c r="S137" i="3"/>
  <c r="Q147" i="3"/>
  <c r="O157" i="3"/>
  <c r="Y157" i="3" s="1"/>
  <c r="M167" i="3"/>
  <c r="K177" i="3"/>
  <c r="V186" i="3"/>
  <c r="T196" i="3"/>
  <c r="Q72" i="3"/>
  <c r="R101" i="3"/>
  <c r="S118" i="3"/>
  <c r="L131" i="3"/>
  <c r="P141" i="3"/>
  <c r="N151" i="3"/>
  <c r="L161" i="3"/>
  <c r="J171" i="3"/>
  <c r="U180" i="3"/>
  <c r="R79" i="3"/>
  <c r="S105" i="3"/>
  <c r="R121" i="3"/>
  <c r="O133" i="3"/>
  <c r="O143" i="3"/>
  <c r="M153" i="3"/>
  <c r="K163" i="3"/>
  <c r="J60" i="3"/>
  <c r="N92" i="3"/>
  <c r="K113" i="3"/>
  <c r="L127" i="3"/>
  <c r="V137" i="3"/>
  <c r="T147" i="3"/>
  <c r="R157" i="3"/>
  <c r="S75" i="3"/>
  <c r="P103" i="3"/>
  <c r="J120" i="3"/>
  <c r="L132" i="3"/>
  <c r="N142" i="3"/>
  <c r="L152" i="3"/>
  <c r="J162" i="3"/>
  <c r="N89" i="3"/>
  <c r="S146" i="3"/>
  <c r="S173" i="3"/>
  <c r="J188" i="3"/>
  <c r="T199" i="3"/>
  <c r="R209" i="3"/>
  <c r="P219" i="3"/>
  <c r="N229" i="3"/>
  <c r="L239" i="3"/>
  <c r="J249" i="3"/>
  <c r="U258" i="3"/>
  <c r="N119" i="3"/>
  <c r="L154" i="3"/>
  <c r="U174" i="3"/>
  <c r="Q186" i="3"/>
  <c r="T195" i="3"/>
  <c r="L204" i="3"/>
  <c r="Q211" i="3"/>
  <c r="L220" i="3"/>
  <c r="M116" i="3"/>
  <c r="T149" i="3"/>
  <c r="V171" i="3"/>
  <c r="O183" i="3"/>
  <c r="U189" i="3"/>
  <c r="U195" i="3"/>
  <c r="L201" i="3"/>
  <c r="K206" i="3"/>
  <c r="J211" i="3"/>
  <c r="V215" i="3"/>
  <c r="J84" i="3"/>
  <c r="R123" i="3"/>
  <c r="V144" i="3"/>
  <c r="T162" i="3"/>
  <c r="K173" i="3"/>
  <c r="J181" i="3"/>
  <c r="R187" i="3"/>
  <c r="U193" i="3"/>
  <c r="O199" i="3"/>
  <c r="Y199" i="3" s="1"/>
  <c r="U60" i="3"/>
  <c r="M113" i="3"/>
  <c r="K138" i="3"/>
  <c r="T157" i="3"/>
  <c r="L170" i="3"/>
  <c r="K178" i="3"/>
  <c r="M185" i="3"/>
  <c r="S191" i="3"/>
  <c r="P197" i="3"/>
  <c r="Q202" i="3"/>
  <c r="P207" i="3"/>
  <c r="K105" i="3"/>
  <c r="J88" i="3"/>
  <c r="J165" i="3"/>
  <c r="L186" i="3"/>
  <c r="Q201" i="3"/>
  <c r="L211" i="3"/>
  <c r="T218" i="3"/>
  <c r="U224" i="3"/>
  <c r="P230" i="3"/>
  <c r="L236" i="3"/>
  <c r="T241" i="3"/>
  <c r="O247" i="3"/>
  <c r="Y247" i="3" s="1"/>
  <c r="J253" i="3"/>
  <c r="R258" i="3"/>
  <c r="V263" i="3"/>
  <c r="U268" i="3"/>
  <c r="T273" i="3"/>
  <c r="S278" i="3"/>
  <c r="R283" i="3"/>
  <c r="Q288" i="3"/>
  <c r="P293" i="3"/>
  <c r="O298" i="3"/>
  <c r="N303" i="3"/>
  <c r="M308" i="3"/>
  <c r="L313" i="3"/>
  <c r="K318" i="3"/>
  <c r="J128" i="3"/>
  <c r="S171" i="3"/>
  <c r="J191" i="3"/>
  <c r="R204" i="3"/>
  <c r="L213" i="3"/>
  <c r="Q220" i="3"/>
  <c r="O226" i="3"/>
  <c r="J232" i="3"/>
  <c r="R237" i="3"/>
  <c r="M243" i="3"/>
  <c r="U248" i="3"/>
  <c r="P254" i="3"/>
  <c r="L260" i="3"/>
  <c r="M265" i="3"/>
  <c r="L270" i="3"/>
  <c r="K275" i="3"/>
  <c r="J280" i="3"/>
  <c r="N94" i="3"/>
  <c r="M165" i="3"/>
  <c r="J187" i="3"/>
  <c r="K202" i="3"/>
  <c r="N211" i="3"/>
  <c r="K219" i="3"/>
  <c r="K225" i="3"/>
  <c r="S230" i="3"/>
  <c r="N236" i="3"/>
  <c r="V241" i="3"/>
  <c r="Q247" i="3"/>
  <c r="L253" i="3"/>
  <c r="T258" i="3"/>
  <c r="K264" i="3"/>
  <c r="J269" i="3"/>
  <c r="V273" i="3"/>
  <c r="U278" i="3"/>
  <c r="T283" i="3"/>
  <c r="K25" i="3"/>
  <c r="P45" i="3"/>
  <c r="M6" i="3"/>
  <c r="K53" i="3"/>
  <c r="O36" i="3"/>
  <c r="Y36" i="3" s="1"/>
  <c r="J12" i="3"/>
  <c r="U88" i="3"/>
  <c r="N115" i="3"/>
  <c r="N65" i="3"/>
  <c r="V96" i="3"/>
  <c r="O123" i="3"/>
  <c r="S63" i="3"/>
  <c r="T95" i="3"/>
  <c r="P22" i="3"/>
  <c r="U80" i="3"/>
  <c r="U48" i="3"/>
  <c r="U85" i="3"/>
  <c r="T105" i="3"/>
  <c r="T102" i="3"/>
  <c r="S131" i="3"/>
  <c r="T151" i="3"/>
  <c r="L167" i="3"/>
  <c r="J177" i="3"/>
  <c r="U186" i="3"/>
  <c r="R61" i="3"/>
  <c r="K93" i="3"/>
  <c r="S113" i="3"/>
  <c r="Q127" i="3"/>
  <c r="N138" i="3"/>
  <c r="L148" i="3"/>
  <c r="J158" i="3"/>
  <c r="U167" i="3"/>
  <c r="S177" i="3"/>
  <c r="Q187" i="3"/>
  <c r="O197" i="3"/>
  <c r="T74" i="3"/>
  <c r="V102" i="3"/>
  <c r="Q119" i="3"/>
  <c r="U131" i="3"/>
  <c r="K142" i="3"/>
  <c r="V151" i="3"/>
  <c r="T161" i="3"/>
  <c r="R171" i="3"/>
  <c r="Q17" i="3"/>
  <c r="M81" i="3"/>
  <c r="V106" i="3"/>
  <c r="O122" i="3"/>
  <c r="Y122" i="3" s="1"/>
  <c r="K134" i="3"/>
  <c r="J144" i="3"/>
  <c r="U153" i="3"/>
  <c r="S163" i="3"/>
  <c r="O62" i="3"/>
  <c r="S93" i="3"/>
  <c r="V113" i="3"/>
  <c r="U127" i="3"/>
  <c r="Q138" i="3"/>
  <c r="O148" i="3"/>
  <c r="M158" i="3"/>
  <c r="K78" i="3"/>
  <c r="S104" i="3"/>
  <c r="J121" i="3"/>
  <c r="U132" i="3"/>
  <c r="V142" i="3"/>
  <c r="T152" i="3"/>
  <c r="R162" i="3"/>
  <c r="J96" i="3"/>
  <c r="L149" i="3"/>
  <c r="T174" i="3"/>
  <c r="V188" i="3"/>
  <c r="O200" i="3"/>
  <c r="Y200" i="3" s="1"/>
  <c r="M210" i="3"/>
  <c r="K220" i="3"/>
  <c r="V229" i="3"/>
  <c r="T239" i="3"/>
  <c r="R249" i="3"/>
  <c r="P259" i="3"/>
  <c r="U122" i="3"/>
  <c r="U160" i="3"/>
  <c r="S175" i="3"/>
  <c r="N187" i="3"/>
  <c r="P196" i="3"/>
  <c r="O205" i="3"/>
  <c r="O213" i="3"/>
  <c r="T220" i="3"/>
  <c r="K120" i="3"/>
  <c r="M152" i="3"/>
  <c r="U173" i="3"/>
  <c r="L184" i="3"/>
  <c r="T190" i="3"/>
  <c r="Q196" i="3"/>
  <c r="T201" i="3"/>
  <c r="S206" i="3"/>
  <c r="R211" i="3"/>
  <c r="Q216" i="3"/>
  <c r="L91" i="3"/>
  <c r="S126" i="3"/>
  <c r="O147" i="3"/>
  <c r="Q164" i="3"/>
  <c r="L174" i="3"/>
  <c r="T181" i="3"/>
  <c r="O188" i="3"/>
  <c r="Y188" i="3" s="1"/>
  <c r="Q194" i="3"/>
  <c r="J200" i="3"/>
  <c r="L69" i="3"/>
  <c r="K117" i="3"/>
  <c r="Q140" i="3"/>
  <c r="S159" i="3"/>
  <c r="M171" i="3"/>
  <c r="L179" i="3"/>
  <c r="J186" i="3"/>
  <c r="Q192" i="3"/>
  <c r="L198" i="3"/>
  <c r="L203" i="3"/>
  <c r="L42" i="3"/>
  <c r="P109" i="3"/>
  <c r="N110" i="3"/>
  <c r="S168" i="3"/>
  <c r="Q188" i="3"/>
  <c r="N203" i="3"/>
  <c r="J212" i="3"/>
  <c r="S219" i="3"/>
  <c r="Q225" i="3"/>
  <c r="M231" i="3"/>
  <c r="U236" i="3"/>
  <c r="P242" i="3"/>
  <c r="K248" i="3"/>
  <c r="S253" i="3"/>
  <c r="N259" i="3"/>
  <c r="Q264" i="3"/>
  <c r="P269" i="3"/>
  <c r="O274" i="3"/>
  <c r="N279" i="3"/>
  <c r="M284" i="3"/>
  <c r="L289" i="3"/>
  <c r="K294" i="3"/>
  <c r="J299" i="3"/>
  <c r="V303" i="3"/>
  <c r="U308" i="3"/>
  <c r="T313" i="3"/>
  <c r="S318" i="3"/>
  <c r="S135" i="3"/>
  <c r="O174" i="3"/>
  <c r="Y174" i="3" s="1"/>
  <c r="T192" i="3"/>
  <c r="U205" i="3"/>
  <c r="M214" i="3"/>
  <c r="P221" i="3"/>
  <c r="K227" i="3"/>
  <c r="S232" i="3"/>
  <c r="N238" i="3"/>
  <c r="V243" i="3"/>
  <c r="Q249" i="3"/>
  <c r="M255" i="3"/>
  <c r="U260" i="3"/>
  <c r="U265" i="3"/>
  <c r="T270" i="3"/>
  <c r="S275" i="3"/>
  <c r="R280" i="3"/>
  <c r="O114" i="3"/>
  <c r="P169" i="3"/>
  <c r="U188" i="3"/>
  <c r="S203" i="3"/>
  <c r="O212" i="3"/>
  <c r="U219" i="3"/>
  <c r="T225" i="3"/>
  <c r="O231" i="3"/>
  <c r="Y231" i="3" s="1"/>
  <c r="J237" i="3"/>
  <c r="R242" i="3"/>
  <c r="M248" i="3"/>
  <c r="U253" i="3"/>
  <c r="Q259" i="3"/>
  <c r="S264" i="3"/>
  <c r="R269" i="3"/>
  <c r="Q274" i="3"/>
  <c r="K6" i="3"/>
  <c r="K19" i="3"/>
  <c r="S13" i="3"/>
  <c r="K60" i="3"/>
  <c r="L76" i="3"/>
  <c r="R58" i="3"/>
  <c r="Q100" i="3"/>
  <c r="S7" i="3"/>
  <c r="O81" i="3"/>
  <c r="Y81" i="3" s="1"/>
  <c r="R108" i="3"/>
  <c r="U133" i="3"/>
  <c r="K80" i="3"/>
  <c r="P107" i="3"/>
  <c r="P61" i="3"/>
  <c r="J94" i="3"/>
  <c r="S69" i="3"/>
  <c r="P93" i="3"/>
  <c r="T65" i="3"/>
  <c r="Q115" i="3"/>
  <c r="P139" i="3"/>
  <c r="L159" i="3"/>
  <c r="P171" i="3"/>
  <c r="N181" i="3"/>
  <c r="L191" i="3"/>
  <c r="Q76" i="3"/>
  <c r="K104" i="3"/>
  <c r="Q120" i="3"/>
  <c r="P132" i="3"/>
  <c r="R142" i="3"/>
  <c r="P152" i="3"/>
  <c r="N162" i="3"/>
  <c r="L172" i="3"/>
  <c r="J182" i="3"/>
  <c r="U191" i="3"/>
  <c r="P51" i="3"/>
  <c r="R88" i="3"/>
  <c r="T110" i="3"/>
  <c r="Q125" i="3"/>
  <c r="Q136" i="3"/>
  <c r="O146" i="3"/>
  <c r="Y146" i="3" s="1"/>
  <c r="M156" i="3"/>
  <c r="K166" i="3"/>
  <c r="V175" i="3"/>
  <c r="T61" i="3"/>
  <c r="R93" i="3"/>
  <c r="U113" i="3"/>
  <c r="T127" i="3"/>
  <c r="P138" i="3"/>
  <c r="N148" i="3"/>
  <c r="L158" i="3"/>
  <c r="J168" i="3"/>
  <c r="P77" i="3"/>
  <c r="R104" i="3"/>
  <c r="T120" i="3"/>
  <c r="T132" i="3"/>
  <c r="U142" i="3"/>
  <c r="S152" i="3"/>
  <c r="O58" i="3"/>
  <c r="Y58" i="3" s="1"/>
  <c r="R90" i="3"/>
  <c r="K112" i="3"/>
  <c r="Q126" i="3"/>
  <c r="O137" i="3"/>
  <c r="M147" i="3"/>
  <c r="K157" i="3"/>
  <c r="V166" i="3"/>
  <c r="V125" i="3"/>
  <c r="V163" i="3"/>
  <c r="Q181" i="3"/>
  <c r="M194" i="3"/>
  <c r="S204" i="3"/>
  <c r="Q214" i="3"/>
  <c r="O224" i="3"/>
  <c r="Y224" i="3" s="1"/>
  <c r="M234" i="3"/>
  <c r="K244" i="3"/>
  <c r="V253" i="3"/>
  <c r="J74" i="3"/>
  <c r="U141" i="3"/>
  <c r="P167" i="3"/>
  <c r="R180" i="3"/>
  <c r="S190" i="3"/>
  <c r="P200" i="3"/>
  <c r="P208" i="3"/>
  <c r="U215" i="3"/>
  <c r="T75" i="3"/>
  <c r="M132" i="3"/>
  <c r="O164" i="3"/>
  <c r="T178" i="3"/>
  <c r="R186" i="3"/>
  <c r="J193" i="3"/>
  <c r="S198" i="3"/>
  <c r="R203" i="3"/>
  <c r="Q208" i="3"/>
  <c r="P213" i="3"/>
  <c r="J37" i="3"/>
  <c r="O108" i="3"/>
  <c r="K135" i="3"/>
  <c r="T154" i="3"/>
  <c r="M169" i="3"/>
  <c r="V176" i="3"/>
  <c r="M184" i="3"/>
  <c r="U190" i="3"/>
  <c r="R196" i="3"/>
  <c r="U201" i="3"/>
  <c r="P92" i="3"/>
  <c r="N127" i="3"/>
  <c r="V147" i="3"/>
  <c r="R164" i="3"/>
  <c r="M174" i="3"/>
  <c r="U181" i="3"/>
  <c r="P188" i="3"/>
  <c r="R194" i="3"/>
  <c r="K200" i="3"/>
  <c r="J205" i="3"/>
  <c r="M78" i="3"/>
  <c r="L121" i="3"/>
  <c r="L141" i="3"/>
  <c r="R176" i="3"/>
  <c r="S194" i="3"/>
  <c r="J207" i="3"/>
  <c r="J215" i="3"/>
  <c r="K222" i="3"/>
  <c r="S227" i="3"/>
  <c r="N233" i="3"/>
  <c r="V238" i="3"/>
  <c r="Q244" i="3"/>
  <c r="L250" i="3"/>
  <c r="U255" i="3"/>
  <c r="P261" i="3"/>
  <c r="O266" i="3"/>
  <c r="N271" i="3"/>
  <c r="M276" i="3"/>
  <c r="L281" i="3"/>
  <c r="K286" i="3"/>
  <c r="J291" i="3"/>
  <c r="V295" i="3"/>
  <c r="U300" i="3"/>
  <c r="T305" i="3"/>
  <c r="S310" i="3"/>
  <c r="R315" i="3"/>
  <c r="Q320" i="3"/>
  <c r="O155" i="3"/>
  <c r="L182" i="3"/>
  <c r="O198" i="3"/>
  <c r="N209" i="3"/>
  <c r="M217" i="3"/>
  <c r="Q223" i="3"/>
  <c r="L229" i="3"/>
  <c r="T234" i="3"/>
  <c r="P240" i="3"/>
  <c r="K246" i="3"/>
  <c r="S251" i="3"/>
  <c r="N257" i="3"/>
  <c r="T262" i="3"/>
  <c r="S267" i="3"/>
  <c r="R272" i="3"/>
  <c r="Q277" i="3"/>
  <c r="P282" i="3"/>
  <c r="K143" i="3"/>
  <c r="O177" i="3"/>
  <c r="U194" i="3"/>
  <c r="O207" i="3"/>
  <c r="O215" i="3"/>
  <c r="Y215" i="3" s="1"/>
  <c r="M222" i="3"/>
  <c r="U227" i="3"/>
  <c r="P233" i="3"/>
  <c r="K239" i="3"/>
  <c r="T244" i="3"/>
  <c r="O250" i="3"/>
  <c r="Y250" i="3" s="1"/>
  <c r="J256" i="3"/>
  <c r="R261" i="3"/>
  <c r="Q266" i="3"/>
  <c r="P271" i="3"/>
  <c r="O276" i="3"/>
  <c r="N281" i="3"/>
  <c r="S6" i="3"/>
  <c r="S27" i="3"/>
  <c r="R18" i="3"/>
  <c r="T63" i="3"/>
  <c r="P11" i="3"/>
  <c r="M65" i="3"/>
  <c r="L101" i="3"/>
  <c r="T31" i="3"/>
  <c r="Q83" i="3"/>
  <c r="M109" i="3"/>
  <c r="O22" i="3"/>
  <c r="Y22" i="3" s="1"/>
  <c r="L82" i="3"/>
  <c r="K108" i="3"/>
  <c r="S64" i="3"/>
  <c r="U95" i="3"/>
  <c r="P70" i="3"/>
  <c r="V95" i="3"/>
  <c r="K74" i="3"/>
  <c r="O119" i="3"/>
  <c r="Y119" i="3" s="1"/>
  <c r="V141" i="3"/>
  <c r="R161" i="3"/>
  <c r="K172" i="3"/>
  <c r="V181" i="3"/>
  <c r="T191" i="3"/>
  <c r="V78" i="3"/>
  <c r="N105" i="3"/>
  <c r="N121" i="3"/>
  <c r="L133" i="3"/>
  <c r="M143" i="3"/>
  <c r="K153" i="3"/>
  <c r="V162" i="3"/>
  <c r="T172" i="3"/>
  <c r="R182" i="3"/>
  <c r="P192" i="3"/>
  <c r="U56" i="3"/>
  <c r="J90" i="3"/>
  <c r="U111" i="3"/>
  <c r="M126" i="3"/>
  <c r="L137" i="3"/>
  <c r="J147" i="3"/>
  <c r="U156" i="3"/>
  <c r="S166" i="3"/>
  <c r="Q176" i="3"/>
  <c r="L64" i="3"/>
  <c r="O95" i="3"/>
  <c r="Y95" i="3" s="1"/>
  <c r="V114" i="3"/>
  <c r="P128" i="3"/>
  <c r="K139" i="3"/>
  <c r="V148" i="3"/>
  <c r="T158" i="3"/>
  <c r="R168" i="3"/>
  <c r="S79" i="3"/>
  <c r="U105" i="3"/>
  <c r="S121" i="3"/>
  <c r="P133" i="3"/>
  <c r="P143" i="3"/>
  <c r="N153" i="3"/>
  <c r="M60" i="3"/>
  <c r="O92" i="3"/>
  <c r="L113" i="3"/>
  <c r="M127" i="3"/>
  <c r="J138" i="3"/>
  <c r="U147" i="3"/>
  <c r="S157" i="3"/>
  <c r="Q167" i="3"/>
  <c r="S128" i="3"/>
  <c r="R165" i="3"/>
  <c r="N182" i="3"/>
  <c r="J195" i="3"/>
  <c r="N205" i="3"/>
  <c r="L215" i="3"/>
  <c r="J225" i="3"/>
  <c r="U234" i="3"/>
  <c r="S244" i="3"/>
  <c r="Q254" i="3"/>
  <c r="P82" i="3"/>
  <c r="N144" i="3"/>
  <c r="U168" i="3"/>
  <c r="O182" i="3"/>
  <c r="V192" i="3"/>
  <c r="K201" i="3"/>
  <c r="K209" i="3"/>
  <c r="P216" i="3"/>
  <c r="K91" i="3"/>
  <c r="V139" i="3"/>
  <c r="U165" i="3"/>
  <c r="U179" i="3"/>
  <c r="O187" i="3"/>
  <c r="T193" i="3"/>
  <c r="N199" i="3"/>
  <c r="M204" i="3"/>
  <c r="L209" i="3"/>
  <c r="K214" i="3"/>
  <c r="Q58" i="3"/>
  <c r="P112" i="3"/>
  <c r="Q137" i="3"/>
  <c r="M157" i="3"/>
  <c r="K170" i="3"/>
  <c r="J178" i="3"/>
  <c r="L185" i="3"/>
  <c r="R191" i="3"/>
  <c r="N197" i="3"/>
  <c r="P202" i="3"/>
  <c r="L99" i="3"/>
  <c r="K130" i="3"/>
  <c r="O150" i="3"/>
  <c r="Y150" i="3" s="1"/>
  <c r="O166" i="3"/>
  <c r="Y166" i="3" s="1"/>
  <c r="K175" i="3"/>
  <c r="T182" i="3"/>
  <c r="M189" i="3"/>
  <c r="N195" i="3"/>
  <c r="S200" i="3"/>
  <c r="R205" i="3"/>
  <c r="K86" i="3"/>
  <c r="O124" i="3"/>
  <c r="Y124" i="3" s="1"/>
  <c r="J148" i="3"/>
  <c r="N179" i="3"/>
  <c r="N196" i="3"/>
  <c r="L208" i="3"/>
  <c r="K216" i="3"/>
  <c r="T222" i="3"/>
  <c r="O228" i="3"/>
  <c r="J234" i="3"/>
  <c r="R239" i="3"/>
  <c r="M245" i="3"/>
  <c r="V250" i="3"/>
  <c r="Q256" i="3"/>
  <c r="K262" i="3"/>
  <c r="J267" i="3"/>
  <c r="V271" i="3"/>
  <c r="U276" i="3"/>
  <c r="T281" i="3"/>
  <c r="S286" i="3"/>
  <c r="R291" i="3"/>
  <c r="Q296" i="3"/>
  <c r="P301" i="3"/>
  <c r="O306" i="3"/>
  <c r="N311" i="3"/>
  <c r="M316" i="3"/>
  <c r="S62" i="3"/>
  <c r="N160" i="3"/>
  <c r="Q184" i="3"/>
  <c r="M200" i="3"/>
  <c r="L210" i="3"/>
  <c r="K218" i="3"/>
  <c r="M224" i="3"/>
  <c r="U229" i="3"/>
  <c r="Q235" i="3"/>
  <c r="L241" i="3"/>
  <c r="T246" i="3"/>
  <c r="O252" i="3"/>
  <c r="J258" i="3"/>
  <c r="O263" i="3"/>
  <c r="N268" i="3"/>
  <c r="M273" i="3"/>
  <c r="L278" i="3"/>
  <c r="K283" i="3"/>
  <c r="R148" i="3"/>
  <c r="N180" i="3"/>
  <c r="V196" i="3"/>
  <c r="N208" i="3"/>
  <c r="M216" i="3"/>
  <c r="V222" i="3"/>
  <c r="Q228" i="3"/>
  <c r="L234" i="3"/>
  <c r="U239" i="3"/>
  <c r="P245" i="3"/>
  <c r="K251" i="3"/>
  <c r="S256" i="3"/>
  <c r="M262" i="3"/>
  <c r="M39" i="3"/>
  <c r="O20" i="3"/>
  <c r="Y20" i="3" s="1"/>
  <c r="O61" i="3"/>
  <c r="Y61" i="3" s="1"/>
  <c r="T93" i="3"/>
  <c r="V71" i="3"/>
  <c r="N128" i="3"/>
  <c r="S100" i="3"/>
  <c r="P86" i="3"/>
  <c r="Q88" i="3"/>
  <c r="R107" i="3"/>
  <c r="M154" i="3"/>
  <c r="U178" i="3"/>
  <c r="M68" i="3"/>
  <c r="P116" i="3"/>
  <c r="L140" i="3"/>
  <c r="U159" i="3"/>
  <c r="Q179" i="3"/>
  <c r="R12" i="3"/>
  <c r="R106" i="3"/>
  <c r="J134" i="3"/>
  <c r="T153" i="3"/>
  <c r="P173" i="3"/>
  <c r="U86" i="3"/>
  <c r="U124" i="3"/>
  <c r="U145" i="3"/>
  <c r="Q165" i="3"/>
  <c r="R98" i="3"/>
  <c r="V129" i="3"/>
  <c r="M150" i="3"/>
  <c r="U83" i="3"/>
  <c r="P123" i="3"/>
  <c r="T144" i="3"/>
  <c r="P164" i="3"/>
  <c r="Q156" i="3"/>
  <c r="O191" i="3"/>
  <c r="Y191" i="3" s="1"/>
  <c r="K212" i="3"/>
  <c r="T231" i="3"/>
  <c r="P251" i="3"/>
  <c r="R131" i="3"/>
  <c r="T176" i="3"/>
  <c r="Q198" i="3"/>
  <c r="J214" i="3"/>
  <c r="R126" i="3"/>
  <c r="V174" i="3"/>
  <c r="Q191" i="3"/>
  <c r="O202" i="3"/>
  <c r="M212" i="3"/>
  <c r="U97" i="3"/>
  <c r="U149" i="3"/>
  <c r="J175" i="3"/>
  <c r="L189" i="3"/>
  <c r="R200" i="3"/>
  <c r="K121" i="3"/>
  <c r="P161" i="3"/>
  <c r="J180" i="3"/>
  <c r="M193" i="3"/>
  <c r="T203" i="3"/>
  <c r="N113" i="3"/>
  <c r="O171" i="3"/>
  <c r="Y171" i="3" s="1"/>
  <c r="Q204" i="3"/>
  <c r="P220" i="3"/>
  <c r="V231" i="3"/>
  <c r="L243" i="3"/>
  <c r="O254" i="3"/>
  <c r="Y254" i="3" s="1"/>
  <c r="L265" i="3"/>
  <c r="J275" i="3"/>
  <c r="U284" i="3"/>
  <c r="S294" i="3"/>
  <c r="Q304" i="3"/>
  <c r="O314" i="3"/>
  <c r="M141" i="3"/>
  <c r="T194" i="3"/>
  <c r="K215" i="3"/>
  <c r="T227" i="3"/>
  <c r="J239" i="3"/>
  <c r="N250" i="3"/>
  <c r="Q261" i="3"/>
  <c r="O271" i="3"/>
  <c r="M281" i="3"/>
  <c r="O172" i="3"/>
  <c r="Y172" i="3" s="1"/>
  <c r="V204" i="3"/>
  <c r="R220" i="3"/>
  <c r="K232" i="3"/>
  <c r="N243" i="3"/>
  <c r="R254" i="3"/>
  <c r="N265" i="3"/>
  <c r="S272" i="3"/>
  <c r="K280" i="3"/>
  <c r="M286" i="3"/>
  <c r="L291" i="3"/>
  <c r="K296" i="3"/>
  <c r="P150" i="3"/>
  <c r="O180" i="3"/>
  <c r="J197" i="3"/>
  <c r="R208" i="3"/>
  <c r="N216" i="3"/>
  <c r="J223" i="3"/>
  <c r="R228" i="3"/>
  <c r="N234" i="3"/>
  <c r="V239" i="3"/>
  <c r="Q245" i="3"/>
  <c r="L251" i="3"/>
  <c r="T256" i="3"/>
  <c r="N262" i="3"/>
  <c r="M267" i="3"/>
  <c r="L272" i="3"/>
  <c r="K277" i="3"/>
  <c r="J282" i="3"/>
  <c r="V286" i="3"/>
  <c r="U291" i="3"/>
  <c r="T296" i="3"/>
  <c r="S301" i="3"/>
  <c r="K160" i="3"/>
  <c r="S199" i="3"/>
  <c r="V217" i="3"/>
  <c r="S229" i="3"/>
  <c r="V240" i="3"/>
  <c r="M252" i="3"/>
  <c r="M263" i="3"/>
  <c r="K273" i="3"/>
  <c r="V282" i="3"/>
  <c r="K291" i="3"/>
  <c r="S298" i="3"/>
  <c r="J305" i="3"/>
  <c r="R310" i="3"/>
  <c r="N316" i="3"/>
  <c r="T321" i="3"/>
  <c r="S326" i="3"/>
  <c r="R331" i="3"/>
  <c r="Q336" i="3"/>
  <c r="P341" i="3"/>
  <c r="O346" i="3"/>
  <c r="N351" i="3"/>
  <c r="M356" i="3"/>
  <c r="L361" i="3"/>
  <c r="L138" i="3"/>
  <c r="P193" i="3"/>
  <c r="P214" i="3"/>
  <c r="N227" i="3"/>
  <c r="R238" i="3"/>
  <c r="U249" i="3"/>
  <c r="K261" i="3"/>
  <c r="J271" i="3"/>
  <c r="U280" i="3"/>
  <c r="M289" i="3"/>
  <c r="K297" i="3"/>
  <c r="S303" i="3"/>
  <c r="N309" i="3"/>
  <c r="V314" i="3"/>
  <c r="R320" i="3"/>
  <c r="Q325" i="3"/>
  <c r="P330" i="3"/>
  <c r="O335" i="3"/>
  <c r="Y335" i="3" s="1"/>
  <c r="N340" i="3"/>
  <c r="M345" i="3"/>
  <c r="L350" i="3"/>
  <c r="K355" i="3"/>
  <c r="J360" i="3"/>
  <c r="V364" i="3"/>
  <c r="U369" i="3"/>
  <c r="T374" i="3"/>
  <c r="S379" i="3"/>
  <c r="U121" i="3"/>
  <c r="R189" i="3"/>
  <c r="R212" i="3"/>
  <c r="J226" i="3"/>
  <c r="M237" i="3"/>
  <c r="Q248" i="3"/>
  <c r="T259" i="3"/>
  <c r="U269" i="3"/>
  <c r="S279" i="3"/>
  <c r="L44" i="3"/>
  <c r="V25" i="3"/>
  <c r="J62" i="3"/>
  <c r="R95" i="3"/>
  <c r="L75" i="3"/>
  <c r="V128" i="3"/>
  <c r="Q102" i="3"/>
  <c r="K89" i="3"/>
  <c r="J91" i="3"/>
  <c r="P111" i="3"/>
  <c r="S156" i="3"/>
  <c r="P179" i="3"/>
  <c r="K70" i="3"/>
  <c r="Q117" i="3"/>
  <c r="T140" i="3"/>
  <c r="P160" i="3"/>
  <c r="L180" i="3"/>
  <c r="O30" i="3"/>
  <c r="T107" i="3"/>
  <c r="S134" i="3"/>
  <c r="O154" i="3"/>
  <c r="Y154" i="3" s="1"/>
  <c r="K174" i="3"/>
  <c r="S88" i="3"/>
  <c r="R125" i="3"/>
  <c r="P146" i="3"/>
  <c r="L166" i="3"/>
  <c r="O100" i="3"/>
  <c r="R130" i="3"/>
  <c r="U150" i="3"/>
  <c r="P85" i="3"/>
  <c r="M124" i="3"/>
  <c r="O145" i="3"/>
  <c r="Y145" i="3" s="1"/>
  <c r="K165" i="3"/>
  <c r="J159" i="3"/>
  <c r="L192" i="3"/>
  <c r="S212" i="3"/>
  <c r="O232" i="3"/>
  <c r="Y232" i="3" s="1"/>
  <c r="K252" i="3"/>
  <c r="O134" i="3"/>
  <c r="Y134" i="3" s="1"/>
  <c r="T179" i="3"/>
  <c r="M199" i="3"/>
  <c r="M215" i="3"/>
  <c r="O129" i="3"/>
  <c r="J176" i="3"/>
  <c r="N192" i="3"/>
  <c r="J203" i="3"/>
  <c r="U212" i="3"/>
  <c r="U103" i="3"/>
  <c r="N152" i="3"/>
  <c r="K176" i="3"/>
  <c r="K190" i="3"/>
  <c r="M201" i="3"/>
  <c r="N124" i="3"/>
  <c r="L163" i="3"/>
  <c r="K181" i="3"/>
  <c r="V193" i="3"/>
  <c r="O204" i="3"/>
  <c r="O117" i="3"/>
  <c r="N174" i="3"/>
  <c r="T205" i="3"/>
  <c r="M221" i="3"/>
  <c r="R232" i="3"/>
  <c r="U243" i="3"/>
  <c r="K255" i="3"/>
  <c r="T265" i="3"/>
  <c r="R275" i="3"/>
  <c r="P285" i="3"/>
  <c r="N295" i="3"/>
  <c r="L305" i="3"/>
  <c r="J315" i="3"/>
  <c r="Q148" i="3"/>
  <c r="U196" i="3"/>
  <c r="L216" i="3"/>
  <c r="P228" i="3"/>
  <c r="S239" i="3"/>
  <c r="J251" i="3"/>
  <c r="L262" i="3"/>
  <c r="J272" i="3"/>
  <c r="U281" i="3"/>
  <c r="P174" i="3"/>
  <c r="L206" i="3"/>
  <c r="Q221" i="3"/>
  <c r="T232" i="3"/>
  <c r="J244" i="3"/>
  <c r="N255" i="3"/>
  <c r="V265" i="3"/>
  <c r="N273" i="3"/>
  <c r="S280" i="3"/>
  <c r="U286" i="3"/>
  <c r="T291" i="3"/>
  <c r="S296" i="3"/>
  <c r="J156" i="3"/>
  <c r="U182" i="3"/>
  <c r="J199" i="3"/>
  <c r="P209" i="3"/>
  <c r="O217" i="3"/>
  <c r="Y217" i="3" s="1"/>
  <c r="S223" i="3"/>
  <c r="O229" i="3"/>
  <c r="J235" i="3"/>
  <c r="R240" i="3"/>
  <c r="M246" i="3"/>
  <c r="U251" i="3"/>
  <c r="P257" i="3"/>
  <c r="V262" i="3"/>
  <c r="U267" i="3"/>
  <c r="T272" i="3"/>
  <c r="S277" i="3"/>
  <c r="R282" i="3"/>
  <c r="Q287" i="3"/>
  <c r="P292" i="3"/>
  <c r="O297" i="3"/>
  <c r="Y297" i="3" s="1"/>
  <c r="N302" i="3"/>
  <c r="N168" i="3"/>
  <c r="M203" i="3"/>
  <c r="R219" i="3"/>
  <c r="K231" i="3"/>
  <c r="O242" i="3"/>
  <c r="Y242" i="3" s="1"/>
  <c r="R253" i="3"/>
  <c r="P264" i="3"/>
  <c r="N274" i="3"/>
  <c r="L284" i="3"/>
  <c r="K292" i="3"/>
  <c r="P299" i="3"/>
  <c r="S305" i="3"/>
  <c r="O311" i="3"/>
  <c r="Y311" i="3" s="1"/>
  <c r="J317" i="3"/>
  <c r="O322" i="3"/>
  <c r="Y322" i="3" s="1"/>
  <c r="N327" i="3"/>
  <c r="M332" i="3"/>
  <c r="L337" i="3"/>
  <c r="K342" i="3"/>
  <c r="J347" i="3"/>
  <c r="V351" i="3"/>
  <c r="U356" i="3"/>
  <c r="T361" i="3"/>
  <c r="J151" i="3"/>
  <c r="Q197" i="3"/>
  <c r="R216" i="3"/>
  <c r="T228" i="3"/>
  <c r="J240" i="3"/>
  <c r="M251" i="3"/>
  <c r="O262" i="3"/>
  <c r="Y262" i="3" s="1"/>
  <c r="M272" i="3"/>
  <c r="K282" i="3"/>
  <c r="M290" i="3"/>
  <c r="V297" i="3"/>
  <c r="O304" i="3"/>
  <c r="J310" i="3"/>
  <c r="S315" i="3"/>
  <c r="M321" i="3"/>
  <c r="L326" i="3"/>
  <c r="K331" i="3"/>
  <c r="J336" i="3"/>
  <c r="V340" i="3"/>
  <c r="U345" i="3"/>
  <c r="T350" i="3"/>
  <c r="S355" i="3"/>
  <c r="R360" i="3"/>
  <c r="Q365" i="3"/>
  <c r="P370" i="3"/>
  <c r="O375" i="3"/>
  <c r="N380" i="3"/>
  <c r="S138" i="3"/>
  <c r="J194" i="3"/>
  <c r="T214" i="3"/>
  <c r="O227" i="3"/>
  <c r="Y227" i="3" s="1"/>
  <c r="S238" i="3"/>
  <c r="V249" i="3"/>
  <c r="L261" i="3"/>
  <c r="K271" i="3"/>
  <c r="V280" i="3"/>
  <c r="P289" i="3"/>
  <c r="U20" i="3"/>
  <c r="T32" i="3"/>
  <c r="U16" i="3"/>
  <c r="K106" i="3"/>
  <c r="V88" i="3"/>
  <c r="M48" i="3"/>
  <c r="J113" i="3"/>
  <c r="T100" i="3"/>
  <c r="O98" i="3"/>
  <c r="V122" i="3"/>
  <c r="K164" i="3"/>
  <c r="T183" i="3"/>
  <c r="R84" i="3"/>
  <c r="T123" i="3"/>
  <c r="K145" i="3"/>
  <c r="T164" i="3"/>
  <c r="P184" i="3"/>
  <c r="K64" i="3"/>
  <c r="R114" i="3"/>
  <c r="J139" i="3"/>
  <c r="S158" i="3"/>
  <c r="O178" i="3"/>
  <c r="N100" i="3"/>
  <c r="Q130" i="3"/>
  <c r="T150" i="3"/>
  <c r="S39" i="3"/>
  <c r="J109" i="3"/>
  <c r="P135" i="3"/>
  <c r="L155" i="3"/>
  <c r="N97" i="3"/>
  <c r="N129" i="3"/>
  <c r="S149" i="3"/>
  <c r="T53" i="3"/>
  <c r="U169" i="3"/>
  <c r="K197" i="3"/>
  <c r="J217" i="3"/>
  <c r="S236" i="3"/>
  <c r="O256" i="3"/>
  <c r="M149" i="3"/>
  <c r="N183" i="3"/>
  <c r="S201" i="3"/>
  <c r="N218" i="3"/>
  <c r="O142" i="3"/>
  <c r="Y142" i="3" s="1"/>
  <c r="S181" i="3"/>
  <c r="P194" i="3"/>
  <c r="U204" i="3"/>
  <c r="S214" i="3"/>
  <c r="N116" i="3"/>
  <c r="R159" i="3"/>
  <c r="K179" i="3"/>
  <c r="O192" i="3"/>
  <c r="Y192" i="3" s="1"/>
  <c r="K203" i="3"/>
  <c r="V132" i="3"/>
  <c r="K168" i="3"/>
  <c r="Q183" i="3"/>
  <c r="J196" i="3"/>
  <c r="M206" i="3"/>
  <c r="O127" i="3"/>
  <c r="Y127" i="3" s="1"/>
  <c r="K182" i="3"/>
  <c r="M209" i="3"/>
  <c r="P223" i="3"/>
  <c r="S234" i="3"/>
  <c r="J246" i="3"/>
  <c r="M257" i="3"/>
  <c r="R267" i="3"/>
  <c r="P277" i="3"/>
  <c r="N287" i="3"/>
  <c r="L297" i="3"/>
  <c r="J307" i="3"/>
  <c r="U316" i="3"/>
  <c r="L165" i="3"/>
  <c r="J202" i="3"/>
  <c r="J219" i="3"/>
  <c r="R230" i="3"/>
  <c r="U241" i="3"/>
  <c r="K253" i="3"/>
  <c r="J264" i="3"/>
  <c r="U273" i="3"/>
  <c r="S283" i="3"/>
  <c r="M182" i="3"/>
  <c r="O209" i="3"/>
  <c r="Y209" i="3" s="1"/>
  <c r="R223" i="3"/>
  <c r="V234" i="3"/>
  <c r="L246" i="3"/>
  <c r="O257" i="3"/>
  <c r="L267" i="3"/>
  <c r="L275" i="3"/>
  <c r="V281" i="3"/>
  <c r="P287" i="3"/>
  <c r="O292" i="3"/>
  <c r="Y292" i="3" s="1"/>
  <c r="Q71" i="3"/>
  <c r="V161" i="3"/>
  <c r="S184" i="3"/>
  <c r="T200" i="3"/>
  <c r="Q210" i="3"/>
  <c r="O218" i="3"/>
  <c r="P224" i="3"/>
  <c r="K230" i="3"/>
  <c r="S235" i="3"/>
  <c r="N241" i="3"/>
  <c r="V246" i="3"/>
  <c r="Q252" i="3"/>
  <c r="L258" i="3"/>
  <c r="Q263" i="3"/>
  <c r="P268" i="3"/>
  <c r="O273" i="3"/>
  <c r="Y273" i="3" s="1"/>
  <c r="N278" i="3"/>
  <c r="M283" i="3"/>
  <c r="L288" i="3"/>
  <c r="K293" i="3"/>
  <c r="J298" i="3"/>
  <c r="V302" i="3"/>
  <c r="R173" i="3"/>
  <c r="S205" i="3"/>
  <c r="L221" i="3"/>
  <c r="Q232" i="3"/>
  <c r="T243" i="3"/>
  <c r="J255" i="3"/>
  <c r="S265" i="3"/>
  <c r="Q275" i="3"/>
  <c r="M285" i="3"/>
  <c r="L293" i="3"/>
  <c r="N300" i="3"/>
  <c r="P306" i="3"/>
  <c r="K312" i="3"/>
  <c r="S317" i="3"/>
  <c r="J323" i="3"/>
  <c r="V327" i="3"/>
  <c r="U332" i="3"/>
  <c r="T337" i="3"/>
  <c r="S342" i="3"/>
  <c r="R347" i="3"/>
  <c r="Q352" i="3"/>
  <c r="P357" i="3"/>
  <c r="O362" i="3"/>
  <c r="K162" i="3"/>
  <c r="U200" i="3"/>
  <c r="P218" i="3"/>
  <c r="L230" i="3"/>
  <c r="O241" i="3"/>
  <c r="Y241" i="3" s="1"/>
  <c r="R252" i="3"/>
  <c r="R263" i="3"/>
  <c r="P273" i="3"/>
  <c r="N283" i="3"/>
  <c r="N291" i="3"/>
  <c r="T298" i="3"/>
  <c r="K305" i="3"/>
  <c r="T310" i="3"/>
  <c r="O316" i="3"/>
  <c r="U321" i="3"/>
  <c r="T326" i="3"/>
  <c r="S331" i="3"/>
  <c r="R336" i="3"/>
  <c r="Q341" i="3"/>
  <c r="P346" i="3"/>
  <c r="O351" i="3"/>
  <c r="Y351" i="3" s="1"/>
  <c r="N356" i="3"/>
  <c r="M361" i="3"/>
  <c r="L366" i="3"/>
  <c r="K371" i="3"/>
  <c r="J376" i="3"/>
  <c r="V380" i="3"/>
  <c r="K151" i="3"/>
  <c r="R197" i="3"/>
  <c r="S216" i="3"/>
  <c r="U228" i="3"/>
  <c r="K240" i="3"/>
  <c r="N251" i="3"/>
  <c r="P262" i="3"/>
  <c r="N272" i="3"/>
  <c r="Q56" i="3"/>
  <c r="M29" i="3"/>
  <c r="N45" i="3"/>
  <c r="M120" i="3"/>
  <c r="U101" i="3"/>
  <c r="N70" i="3"/>
  <c r="N48" i="3"/>
  <c r="R60" i="3"/>
  <c r="R25" i="3"/>
  <c r="Q134" i="3"/>
  <c r="J169" i="3"/>
  <c r="S188" i="3"/>
  <c r="J98" i="3"/>
  <c r="S129" i="3"/>
  <c r="J150" i="3"/>
  <c r="S169" i="3"/>
  <c r="O189" i="3"/>
  <c r="Y189" i="3" s="1"/>
  <c r="L81" i="3"/>
  <c r="N122" i="3"/>
  <c r="V143" i="3"/>
  <c r="R163" i="3"/>
  <c r="U46" i="3"/>
  <c r="J110" i="3"/>
  <c r="J136" i="3"/>
  <c r="S155" i="3"/>
  <c r="J69" i="3"/>
  <c r="V116" i="3"/>
  <c r="O140" i="3"/>
  <c r="Q33" i="3"/>
  <c r="M108" i="3"/>
  <c r="V134" i="3"/>
  <c r="R154" i="3"/>
  <c r="N111" i="3"/>
  <c r="Q177" i="3"/>
  <c r="M202" i="3"/>
  <c r="V221" i="3"/>
  <c r="R241" i="3"/>
  <c r="N261" i="3"/>
  <c r="Q162" i="3"/>
  <c r="J189" i="3"/>
  <c r="J206" i="3"/>
  <c r="O221" i="3"/>
  <c r="Y221" i="3" s="1"/>
  <c r="P159" i="3"/>
  <c r="V184" i="3"/>
  <c r="M197" i="3"/>
  <c r="N207" i="3"/>
  <c r="L217" i="3"/>
  <c r="P129" i="3"/>
  <c r="M166" i="3"/>
  <c r="S182" i="3"/>
  <c r="M195" i="3"/>
  <c r="L78" i="3"/>
  <c r="J143" i="3"/>
  <c r="N172" i="3"/>
  <c r="T186" i="3"/>
  <c r="U198" i="3"/>
  <c r="V60" i="3"/>
  <c r="N125" i="3"/>
  <c r="O190" i="3"/>
  <c r="K213" i="3"/>
  <c r="N226" i="3"/>
  <c r="Q237" i="3"/>
  <c r="T248" i="3"/>
  <c r="J260" i="3"/>
  <c r="K270" i="3"/>
  <c r="V279" i="3"/>
  <c r="T289" i="3"/>
  <c r="R299" i="3"/>
  <c r="P309" i="3"/>
  <c r="N319" i="3"/>
  <c r="N177" i="3"/>
  <c r="K207" i="3"/>
  <c r="L222" i="3"/>
  <c r="O233" i="3"/>
  <c r="Y233" i="3" s="1"/>
  <c r="R244" i="3"/>
  <c r="V255" i="3"/>
  <c r="P266" i="3"/>
  <c r="N276" i="3"/>
  <c r="K128" i="3"/>
  <c r="K191" i="3"/>
  <c r="M213" i="3"/>
  <c r="P226" i="3"/>
  <c r="S237" i="3"/>
  <c r="V248" i="3"/>
  <c r="M260" i="3"/>
  <c r="O268" i="3"/>
  <c r="J277" i="3"/>
  <c r="L283" i="3"/>
  <c r="S288" i="3"/>
  <c r="R293" i="3"/>
  <c r="L118" i="3"/>
  <c r="Q169" i="3"/>
  <c r="P189" i="3"/>
  <c r="U203" i="3"/>
  <c r="P212" i="3"/>
  <c r="V219" i="3"/>
  <c r="U225" i="3"/>
  <c r="P231" i="3"/>
  <c r="K237" i="3"/>
  <c r="S242" i="3"/>
  <c r="N248" i="3"/>
  <c r="J254" i="3"/>
  <c r="R259" i="3"/>
  <c r="T264" i="3"/>
  <c r="S269" i="3"/>
  <c r="R274" i="3"/>
  <c r="Q279" i="3"/>
  <c r="P284" i="3"/>
  <c r="O289" i="3"/>
  <c r="N294" i="3"/>
  <c r="M299" i="3"/>
  <c r="N49" i="3"/>
  <c r="S183" i="3"/>
  <c r="J210" i="3"/>
  <c r="K224" i="3"/>
  <c r="N235" i="3"/>
  <c r="R246" i="3"/>
  <c r="U257" i="3"/>
  <c r="L268" i="3"/>
  <c r="J278" i="3"/>
  <c r="L287" i="3"/>
  <c r="K295" i="3"/>
  <c r="V301" i="3"/>
  <c r="U307" i="3"/>
  <c r="P313" i="3"/>
  <c r="K319" i="3"/>
  <c r="M324" i="3"/>
  <c r="L329" i="3"/>
  <c r="K334" i="3"/>
  <c r="J339" i="3"/>
  <c r="V343" i="3"/>
  <c r="U348" i="3"/>
  <c r="T353" i="3"/>
  <c r="S358" i="3"/>
  <c r="R363" i="3"/>
  <c r="P175" i="3"/>
  <c r="O206" i="3"/>
  <c r="Y206" i="3" s="1"/>
  <c r="S221" i="3"/>
  <c r="V232" i="3"/>
  <c r="M244" i="3"/>
  <c r="P255" i="3"/>
  <c r="K266" i="3"/>
  <c r="V275" i="3"/>
  <c r="N285" i="3"/>
  <c r="M293" i="3"/>
  <c r="O300" i="3"/>
  <c r="Y300" i="3" s="1"/>
  <c r="Q306" i="3"/>
  <c r="L312" i="3"/>
  <c r="T317" i="3"/>
  <c r="K323" i="3"/>
  <c r="J328" i="3"/>
  <c r="V332" i="3"/>
  <c r="U337" i="3"/>
  <c r="T342" i="3"/>
  <c r="S347" i="3"/>
  <c r="R352" i="3"/>
  <c r="Q357" i="3"/>
  <c r="P362" i="3"/>
  <c r="O367" i="3"/>
  <c r="Y367" i="3" s="1"/>
  <c r="N372" i="3"/>
  <c r="M377" i="3"/>
  <c r="L382" i="3"/>
  <c r="Q170" i="3"/>
  <c r="J204" i="3"/>
  <c r="M220" i="3"/>
  <c r="R231" i="3"/>
  <c r="V242" i="3"/>
  <c r="L254" i="3"/>
  <c r="J8" i="3"/>
  <c r="T39" i="3"/>
  <c r="R15" i="3"/>
  <c r="U120" i="3"/>
  <c r="S103" i="3"/>
  <c r="Q73" i="3"/>
  <c r="S50" i="3"/>
  <c r="K63" i="3"/>
  <c r="P55" i="3"/>
  <c r="J137" i="3"/>
  <c r="R169" i="3"/>
  <c r="N189" i="3"/>
  <c r="T99" i="3"/>
  <c r="O130" i="3"/>
  <c r="R150" i="3"/>
  <c r="N170" i="3"/>
  <c r="J190" i="3"/>
  <c r="L83" i="3"/>
  <c r="K123" i="3"/>
  <c r="Q144" i="3"/>
  <c r="M164" i="3"/>
  <c r="T51" i="3"/>
  <c r="U110" i="3"/>
  <c r="R136" i="3"/>
  <c r="N156" i="3"/>
  <c r="U70" i="3"/>
  <c r="J118" i="3"/>
  <c r="J141" i="3"/>
  <c r="V41" i="3"/>
  <c r="K109" i="3"/>
  <c r="Q135" i="3"/>
  <c r="M155" i="3"/>
  <c r="L115" i="3"/>
  <c r="R178" i="3"/>
  <c r="U202" i="3"/>
  <c r="Q222" i="3"/>
  <c r="M242" i="3"/>
  <c r="Q25" i="3"/>
  <c r="T165" i="3"/>
  <c r="T189" i="3"/>
  <c r="R206" i="3"/>
  <c r="N67" i="3"/>
  <c r="V160" i="3"/>
  <c r="U185" i="3"/>
  <c r="V197" i="3"/>
  <c r="V207" i="3"/>
  <c r="T217" i="3"/>
  <c r="N132" i="3"/>
  <c r="S167" i="3"/>
  <c r="P183" i="3"/>
  <c r="V195" i="3"/>
  <c r="J86" i="3"/>
  <c r="P145" i="3"/>
  <c r="L173" i="3"/>
  <c r="S187" i="3"/>
  <c r="P199" i="3"/>
  <c r="T69" i="3"/>
  <c r="S133" i="3"/>
  <c r="S192" i="3"/>
  <c r="L214" i="3"/>
  <c r="J227" i="3"/>
  <c r="M238" i="3"/>
  <c r="P249" i="3"/>
  <c r="T260" i="3"/>
  <c r="S270" i="3"/>
  <c r="Q280" i="3"/>
  <c r="O290" i="3"/>
  <c r="M300" i="3"/>
  <c r="K310" i="3"/>
  <c r="V319" i="3"/>
  <c r="O179" i="3"/>
  <c r="Y179" i="3" s="1"/>
  <c r="M208" i="3"/>
  <c r="U222" i="3"/>
  <c r="K234" i="3"/>
  <c r="O245" i="3"/>
  <c r="R256" i="3"/>
  <c r="K267" i="3"/>
  <c r="V276" i="3"/>
  <c r="M136" i="3"/>
  <c r="N193" i="3"/>
  <c r="N214" i="3"/>
  <c r="L227" i="3"/>
  <c r="O238" i="3"/>
  <c r="S249" i="3"/>
  <c r="V260" i="3"/>
  <c r="M270" i="3"/>
  <c r="R277" i="3"/>
  <c r="O284" i="3"/>
  <c r="Y284" i="3" s="1"/>
  <c r="N289" i="3"/>
  <c r="M294" i="3"/>
  <c r="M130" i="3"/>
  <c r="P172" i="3"/>
  <c r="N191" i="3"/>
  <c r="K205" i="3"/>
  <c r="Q213" i="3"/>
  <c r="U220" i="3"/>
  <c r="Q226" i="3"/>
  <c r="L232" i="3"/>
  <c r="T237" i="3"/>
  <c r="O243" i="3"/>
  <c r="K249" i="3"/>
  <c r="S254" i="3"/>
  <c r="N260" i="3"/>
  <c r="O265" i="3"/>
  <c r="Y265" i="3" s="1"/>
  <c r="N270" i="3"/>
  <c r="M275" i="3"/>
  <c r="L280" i="3"/>
  <c r="K285" i="3"/>
  <c r="J290" i="3"/>
  <c r="V294" i="3"/>
  <c r="U299" i="3"/>
  <c r="M110" i="3"/>
  <c r="V187" i="3"/>
  <c r="V211" i="3"/>
  <c r="P225" i="3"/>
  <c r="T236" i="3"/>
  <c r="J248" i="3"/>
  <c r="M259" i="3"/>
  <c r="O269" i="3"/>
  <c r="M279" i="3"/>
  <c r="M288" i="3"/>
  <c r="J296" i="3"/>
  <c r="T302" i="3"/>
  <c r="Q308" i="3"/>
  <c r="L314" i="3"/>
  <c r="T319" i="3"/>
  <c r="U324" i="3"/>
  <c r="T329" i="3"/>
  <c r="S334" i="3"/>
  <c r="R339" i="3"/>
  <c r="Q344" i="3"/>
  <c r="P349" i="3"/>
  <c r="O354" i="3"/>
  <c r="N359" i="3"/>
  <c r="M364" i="3"/>
  <c r="P180" i="3"/>
  <c r="S208" i="3"/>
  <c r="K223" i="3"/>
  <c r="O234" i="3"/>
  <c r="R245" i="3"/>
  <c r="U256" i="3"/>
  <c r="N267" i="3"/>
  <c r="L277" i="3"/>
  <c r="O286" i="3"/>
  <c r="Y286" i="3" s="1"/>
  <c r="L294" i="3"/>
  <c r="M301" i="3"/>
  <c r="M307" i="3"/>
  <c r="U312" i="3"/>
  <c r="P318" i="3"/>
  <c r="S323" i="3"/>
  <c r="R328" i="3"/>
  <c r="Q333" i="3"/>
  <c r="P338" i="3"/>
  <c r="O343" i="3"/>
  <c r="Y343" i="3" s="1"/>
  <c r="N348" i="3"/>
  <c r="M353" i="3"/>
  <c r="L358" i="3"/>
  <c r="K363" i="3"/>
  <c r="J368" i="3"/>
  <c r="V372" i="3"/>
  <c r="U377" i="3"/>
  <c r="T382" i="3"/>
  <c r="Q175" i="3"/>
  <c r="P206" i="3"/>
  <c r="T221" i="3"/>
  <c r="K233" i="3"/>
  <c r="N244" i="3"/>
  <c r="Q255" i="3"/>
  <c r="L266" i="3"/>
  <c r="J276" i="3"/>
  <c r="O285" i="3"/>
  <c r="O26" i="3"/>
  <c r="R80" i="3"/>
  <c r="T87" i="3"/>
  <c r="U100" i="3"/>
  <c r="Q174" i="3"/>
  <c r="M135" i="3"/>
  <c r="K185" i="3"/>
  <c r="K129" i="3"/>
  <c r="T70" i="3"/>
  <c r="O151" i="3"/>
  <c r="V124" i="3"/>
  <c r="L116" i="3"/>
  <c r="V64" i="3"/>
  <c r="T207" i="3"/>
  <c r="R102" i="3"/>
  <c r="Q203" i="3"/>
  <c r="K171" i="3"/>
  <c r="T209" i="3"/>
  <c r="N161" i="3"/>
  <c r="T198" i="3"/>
  <c r="L176" i="3"/>
  <c r="U206" i="3"/>
  <c r="L200" i="3"/>
  <c r="N240" i="3"/>
  <c r="M268" i="3"/>
  <c r="U292" i="3"/>
  <c r="M94" i="3"/>
  <c r="T219" i="3"/>
  <c r="L248" i="3"/>
  <c r="T278" i="3"/>
  <c r="P210" i="3"/>
  <c r="M241" i="3"/>
  <c r="U270" i="3"/>
  <c r="K288" i="3"/>
  <c r="R143" i="3"/>
  <c r="N206" i="3"/>
  <c r="L225" i="3"/>
  <c r="M239" i="3"/>
  <c r="O255" i="3"/>
  <c r="Y255" i="3" s="1"/>
  <c r="K269" i="3"/>
  <c r="O281" i="3"/>
  <c r="Q295" i="3"/>
  <c r="M179" i="3"/>
  <c r="N228" i="3"/>
  <c r="R260" i="3"/>
  <c r="L286" i="3"/>
  <c r="N304" i="3"/>
  <c r="P320" i="3"/>
  <c r="P333" i="3"/>
  <c r="T345" i="3"/>
  <c r="V359" i="3"/>
  <c r="V203" i="3"/>
  <c r="L237" i="3"/>
  <c r="Q268" i="3"/>
  <c r="L292" i="3"/>
  <c r="R308" i="3"/>
  <c r="N324" i="3"/>
  <c r="M337" i="3"/>
  <c r="Q349" i="3"/>
  <c r="S363" i="3"/>
  <c r="R376" i="3"/>
  <c r="O185" i="3"/>
  <c r="Y185" i="3" s="1"/>
  <c r="P234" i="3"/>
  <c r="S263" i="3"/>
  <c r="L282" i="3"/>
  <c r="N292" i="3"/>
  <c r="S299" i="3"/>
  <c r="V305" i="3"/>
  <c r="Q311" i="3"/>
  <c r="L317" i="3"/>
  <c r="Q322" i="3"/>
  <c r="P327" i="3"/>
  <c r="O332" i="3"/>
  <c r="N337" i="3"/>
  <c r="M342" i="3"/>
  <c r="L347" i="3"/>
  <c r="K352" i="3"/>
  <c r="P153" i="3"/>
  <c r="M198" i="3"/>
  <c r="U216" i="3"/>
  <c r="J229" i="3"/>
  <c r="M240" i="3"/>
  <c r="Q251" i="3"/>
  <c r="R262" i="3"/>
  <c r="P272" i="3"/>
  <c r="N282" i="3"/>
  <c r="S290" i="3"/>
  <c r="T38" i="3"/>
  <c r="Q108" i="3"/>
  <c r="O88" i="3"/>
  <c r="Q82" i="3"/>
  <c r="O184" i="3"/>
  <c r="U135" i="3"/>
  <c r="N194" i="3"/>
  <c r="R139" i="3"/>
  <c r="L73" i="3"/>
  <c r="R160" i="3"/>
  <c r="K136" i="3"/>
  <c r="J117" i="3"/>
  <c r="U136" i="3"/>
  <c r="R217" i="3"/>
  <c r="Q107" i="3"/>
  <c r="N210" i="3"/>
  <c r="P182" i="3"/>
  <c r="O210" i="3"/>
  <c r="L171" i="3"/>
  <c r="K42" i="3"/>
  <c r="M177" i="3"/>
  <c r="V92" i="3"/>
  <c r="K210" i="3"/>
  <c r="K241" i="3"/>
  <c r="Q272" i="3"/>
  <c r="T297" i="3"/>
  <c r="N114" i="3"/>
  <c r="V224" i="3"/>
  <c r="T253" i="3"/>
  <c r="O279" i="3"/>
  <c r="N217" i="3"/>
  <c r="U246" i="3"/>
  <c r="K272" i="3"/>
  <c r="V289" i="3"/>
  <c r="P166" i="3"/>
  <c r="Q207" i="3"/>
  <c r="M227" i="3"/>
  <c r="J242" i="3"/>
  <c r="K256" i="3"/>
  <c r="V270" i="3"/>
  <c r="U283" i="3"/>
  <c r="L296" i="3"/>
  <c r="R192" i="3"/>
  <c r="V233" i="3"/>
  <c r="J262" i="3"/>
  <c r="K289" i="3"/>
  <c r="L307" i="3"/>
  <c r="L321" i="3"/>
  <c r="N335" i="3"/>
  <c r="M348" i="3"/>
  <c r="Q360" i="3"/>
  <c r="R210" i="3"/>
  <c r="T242" i="3"/>
  <c r="T269" i="3"/>
  <c r="L295" i="3"/>
  <c r="P311" i="3"/>
  <c r="V324" i="3"/>
  <c r="K339" i="3"/>
  <c r="J352" i="3"/>
  <c r="N364" i="3"/>
  <c r="P378" i="3"/>
  <c r="V200" i="3"/>
  <c r="U235" i="3"/>
  <c r="V264" i="3"/>
  <c r="O283" i="3"/>
  <c r="N293" i="3"/>
  <c r="Q300" i="3"/>
  <c r="R306" i="3"/>
  <c r="M312" i="3"/>
  <c r="U317" i="3"/>
  <c r="L323" i="3"/>
  <c r="K328" i="3"/>
  <c r="J333" i="3"/>
  <c r="V337" i="3"/>
  <c r="U342" i="3"/>
  <c r="T347" i="3"/>
  <c r="S352" i="3"/>
  <c r="T163" i="3"/>
  <c r="P201" i="3"/>
  <c r="S218" i="3"/>
  <c r="O230" i="3"/>
  <c r="S241" i="3"/>
  <c r="V252" i="3"/>
  <c r="U263" i="3"/>
  <c r="S273" i="3"/>
  <c r="S43" i="3"/>
  <c r="J52" i="3"/>
  <c r="P115" i="3"/>
  <c r="U89" i="3"/>
  <c r="M37" i="3"/>
  <c r="S145" i="3"/>
  <c r="V194" i="3"/>
  <c r="U148" i="3"/>
  <c r="S101" i="3"/>
  <c r="M161" i="3"/>
  <c r="N145" i="3"/>
  <c r="J130" i="3"/>
  <c r="N139" i="3"/>
  <c r="U226" i="3"/>
  <c r="S151" i="3"/>
  <c r="V210" i="3"/>
  <c r="N188" i="3"/>
  <c r="N215" i="3"/>
  <c r="J172" i="3"/>
  <c r="T104" i="3"/>
  <c r="N184" i="3"/>
  <c r="M99" i="3"/>
  <c r="V216" i="3"/>
  <c r="S246" i="3"/>
  <c r="L273" i="3"/>
  <c r="K302" i="3"/>
  <c r="O169" i="3"/>
  <c r="Y169" i="3" s="1"/>
  <c r="S225" i="3"/>
  <c r="S258" i="3"/>
  <c r="N63" i="3"/>
  <c r="L218" i="3"/>
  <c r="T251" i="3"/>
  <c r="T275" i="3"/>
  <c r="Q290" i="3"/>
  <c r="O175" i="3"/>
  <c r="Y175" i="3" s="1"/>
  <c r="O211" i="3"/>
  <c r="V227" i="3"/>
  <c r="L244" i="3"/>
  <c r="V258" i="3"/>
  <c r="Q271" i="3"/>
  <c r="S285" i="3"/>
  <c r="R298" i="3"/>
  <c r="M196" i="3"/>
  <c r="L238" i="3"/>
  <c r="V266" i="3"/>
  <c r="L290" i="3"/>
  <c r="M309" i="3"/>
  <c r="R323" i="3"/>
  <c r="V335" i="3"/>
  <c r="K350" i="3"/>
  <c r="J363" i="3"/>
  <c r="Q212" i="3"/>
  <c r="J247" i="3"/>
  <c r="S274" i="3"/>
  <c r="M296" i="3"/>
  <c r="Q313" i="3"/>
  <c r="O327" i="3"/>
  <c r="Y327" i="3" s="1"/>
  <c r="S339" i="3"/>
  <c r="U353" i="3"/>
  <c r="T366" i="3"/>
  <c r="K379" i="3"/>
  <c r="T208" i="3"/>
  <c r="P241" i="3"/>
  <c r="O267" i="3"/>
  <c r="Y267" i="3" s="1"/>
  <c r="Q284" i="3"/>
  <c r="O294" i="3"/>
  <c r="Y294" i="3" s="1"/>
  <c r="N301" i="3"/>
  <c r="N307" i="3"/>
  <c r="V312" i="3"/>
  <c r="Q318" i="3"/>
  <c r="T323" i="3"/>
  <c r="S328" i="3"/>
  <c r="R333" i="3"/>
  <c r="Q338" i="3"/>
  <c r="P343" i="3"/>
  <c r="O348" i="3"/>
  <c r="N353" i="3"/>
  <c r="N171" i="3"/>
  <c r="P204" i="3"/>
  <c r="O220" i="3"/>
  <c r="Y220" i="3" s="1"/>
  <c r="U231" i="3"/>
  <c r="K243" i="3"/>
  <c r="N254" i="3"/>
  <c r="K265" i="3"/>
  <c r="V274" i="3"/>
  <c r="S284" i="3"/>
  <c r="R292" i="3"/>
  <c r="V299" i="3"/>
  <c r="K306" i="3"/>
  <c r="S311" i="3"/>
  <c r="N317" i="3"/>
  <c r="S322" i="3"/>
  <c r="R327" i="3"/>
  <c r="Q332" i="3"/>
  <c r="P337" i="3"/>
  <c r="O342" i="3"/>
  <c r="Y342" i="3" s="1"/>
  <c r="N347" i="3"/>
  <c r="M352" i="3"/>
  <c r="L357" i="3"/>
  <c r="K362" i="3"/>
  <c r="J367" i="3"/>
  <c r="V371" i="3"/>
  <c r="V182" i="3"/>
  <c r="Q209" i="3"/>
  <c r="U223" i="3"/>
  <c r="K235" i="3"/>
  <c r="N246" i="3"/>
  <c r="Q257" i="3"/>
  <c r="P185" i="3"/>
  <c r="N232" i="3"/>
  <c r="V261" i="3"/>
  <c r="M282" i="3"/>
  <c r="L298" i="3"/>
  <c r="O33" i="3"/>
  <c r="Y33" i="3" s="1"/>
  <c r="R57" i="3"/>
  <c r="N71" i="3"/>
  <c r="K126" i="3"/>
  <c r="Q44" i="3"/>
  <c r="V154" i="3"/>
  <c r="V65" i="3"/>
  <c r="P149" i="3"/>
  <c r="S117" i="3"/>
  <c r="J47" i="3"/>
  <c r="V145" i="3"/>
  <c r="U139" i="3"/>
  <c r="S170" i="3"/>
  <c r="P227" i="3"/>
  <c r="U171" i="3"/>
  <c r="V218" i="3"/>
  <c r="K189" i="3"/>
  <c r="O67" i="3"/>
  <c r="Y67" i="3" s="1"/>
  <c r="V179" i="3"/>
  <c r="O109" i="3"/>
  <c r="L190" i="3"/>
  <c r="P49" i="3"/>
  <c r="J218" i="3"/>
  <c r="R251" i="3"/>
  <c r="K278" i="3"/>
  <c r="S302" i="3"/>
  <c r="O186" i="3"/>
  <c r="Y186" i="3" s="1"/>
  <c r="N231" i="3"/>
  <c r="O259" i="3"/>
  <c r="V155" i="3"/>
  <c r="N224" i="3"/>
  <c r="P252" i="3"/>
  <c r="M278" i="3"/>
  <c r="J293" i="3"/>
  <c r="P177" i="3"/>
  <c r="O214" i="3"/>
  <c r="T230" i="3"/>
  <c r="U244" i="3"/>
  <c r="J261" i="3"/>
  <c r="J274" i="3"/>
  <c r="N286" i="3"/>
  <c r="P300" i="3"/>
  <c r="K208" i="3"/>
  <c r="Q239" i="3"/>
  <c r="R270" i="3"/>
  <c r="J294" i="3"/>
  <c r="V309" i="3"/>
  <c r="P325" i="3"/>
  <c r="O338" i="3"/>
  <c r="Y338" i="3" s="1"/>
  <c r="S350" i="3"/>
  <c r="R71" i="3"/>
  <c r="J220" i="3"/>
  <c r="P248" i="3"/>
  <c r="O278" i="3"/>
  <c r="Q299" i="3"/>
  <c r="M314" i="3"/>
  <c r="M329" i="3"/>
  <c r="L342" i="3"/>
  <c r="P354" i="3"/>
  <c r="R368" i="3"/>
  <c r="Q381" i="3"/>
  <c r="S210" i="3"/>
  <c r="S245" i="3"/>
  <c r="R268" i="3"/>
  <c r="P286" i="3"/>
  <c r="M295" i="3"/>
  <c r="L302" i="3"/>
  <c r="J308" i="3"/>
  <c r="R313" i="3"/>
  <c r="M319" i="3"/>
  <c r="O324" i="3"/>
  <c r="Y324" i="3" s="1"/>
  <c r="N329" i="3"/>
  <c r="M334" i="3"/>
  <c r="L339" i="3"/>
  <c r="K344" i="3"/>
  <c r="J349" i="3"/>
  <c r="V353" i="3"/>
  <c r="N176" i="3"/>
  <c r="V206" i="3"/>
  <c r="J222" i="3"/>
  <c r="M233" i="3"/>
  <c r="P244" i="3"/>
  <c r="S255" i="3"/>
  <c r="N266" i="3"/>
  <c r="L276" i="3"/>
  <c r="T285" i="3"/>
  <c r="Q293" i="3"/>
  <c r="U74" i="3"/>
  <c r="Q89" i="3"/>
  <c r="T73" i="3"/>
  <c r="O144" i="3"/>
  <c r="S86" i="3"/>
  <c r="Q155" i="3"/>
  <c r="V94" i="3"/>
  <c r="N159" i="3"/>
  <c r="T118" i="3"/>
  <c r="O85" i="3"/>
  <c r="Y85" i="3" s="1"/>
  <c r="T155" i="3"/>
  <c r="P140" i="3"/>
  <c r="T184" i="3"/>
  <c r="N237" i="3"/>
  <c r="V172" i="3"/>
  <c r="O97" i="3"/>
  <c r="Y97" i="3" s="1"/>
  <c r="L195" i="3"/>
  <c r="O76" i="3"/>
  <c r="Y76" i="3" s="1"/>
  <c r="V185" i="3"/>
  <c r="R135" i="3"/>
  <c r="V190" i="3"/>
  <c r="Q153" i="3"/>
  <c r="L224" i="3"/>
  <c r="N252" i="3"/>
  <c r="O282" i="3"/>
  <c r="Y282" i="3" s="1"/>
  <c r="R307" i="3"/>
  <c r="R188" i="3"/>
  <c r="M236" i="3"/>
  <c r="R264" i="3"/>
  <c r="Q161" i="3"/>
  <c r="M229" i="3"/>
  <c r="K258" i="3"/>
  <c r="P279" i="3"/>
  <c r="U294" i="3"/>
  <c r="K187" i="3"/>
  <c r="P215" i="3"/>
  <c r="U232" i="3"/>
  <c r="R247" i="3"/>
  <c r="S261" i="3"/>
  <c r="U275" i="3"/>
  <c r="T288" i="3"/>
  <c r="K301" i="3"/>
  <c r="U213" i="3"/>
  <c r="L245" i="3"/>
  <c r="U271" i="3"/>
  <c r="J297" i="3"/>
  <c r="T312" i="3"/>
  <c r="K326" i="3"/>
  <c r="M340" i="3"/>
  <c r="L353" i="3"/>
  <c r="M118" i="3"/>
  <c r="Q224" i="3"/>
  <c r="K254" i="3"/>
  <c r="R279" i="3"/>
  <c r="J302" i="3"/>
  <c r="K317" i="3"/>
  <c r="U329" i="3"/>
  <c r="J344" i="3"/>
  <c r="V356" i="3"/>
  <c r="M369" i="3"/>
  <c r="O383" i="3"/>
  <c r="Q218" i="3"/>
  <c r="K247" i="3"/>
  <c r="Q273" i="3"/>
  <c r="O287" i="3"/>
  <c r="Y287" i="3" s="1"/>
  <c r="N296" i="3"/>
  <c r="J303" i="3"/>
  <c r="S308" i="3"/>
  <c r="N314" i="3"/>
  <c r="J320" i="3"/>
  <c r="J325" i="3"/>
  <c r="V329" i="3"/>
  <c r="U334" i="3"/>
  <c r="T339" i="3"/>
  <c r="S344" i="3"/>
  <c r="R349" i="3"/>
  <c r="Q354" i="3"/>
  <c r="P181" i="3"/>
  <c r="V208" i="3"/>
  <c r="O223" i="3"/>
  <c r="Y223" i="3" s="1"/>
  <c r="R234" i="3"/>
  <c r="U245" i="3"/>
  <c r="L257" i="3"/>
  <c r="Q267" i="3"/>
  <c r="O277" i="3"/>
  <c r="R286" i="3"/>
  <c r="Q294" i="3"/>
  <c r="U29" i="3"/>
  <c r="R116" i="3"/>
  <c r="K77" i="3"/>
  <c r="S164" i="3"/>
  <c r="R109" i="3"/>
  <c r="R174" i="3"/>
  <c r="S115" i="3"/>
  <c r="L169" i="3"/>
  <c r="V140" i="3"/>
  <c r="K110" i="3"/>
  <c r="K69" i="3"/>
  <c r="Q159" i="3"/>
  <c r="T197" i="3"/>
  <c r="L247" i="3"/>
  <c r="R193" i="3"/>
  <c r="N147" i="3"/>
  <c r="Q200" i="3"/>
  <c r="J140" i="3"/>
  <c r="L193" i="3"/>
  <c r="N155" i="3"/>
  <c r="N201" i="3"/>
  <c r="V183" i="3"/>
  <c r="T229" i="3"/>
  <c r="S262" i="3"/>
  <c r="V287" i="3"/>
  <c r="Q312" i="3"/>
  <c r="M211" i="3"/>
  <c r="Q242" i="3"/>
  <c r="Q269" i="3"/>
  <c r="V198" i="3"/>
  <c r="R235" i="3"/>
  <c r="P263" i="3"/>
  <c r="J285" i="3"/>
  <c r="V100" i="3"/>
  <c r="O195" i="3"/>
  <c r="Y195" i="3" s="1"/>
  <c r="R221" i="3"/>
  <c r="O236" i="3"/>
  <c r="P250" i="3"/>
  <c r="J266" i="3"/>
  <c r="V278" i="3"/>
  <c r="M291" i="3"/>
  <c r="R133" i="3"/>
  <c r="S222" i="3"/>
  <c r="T250" i="3"/>
  <c r="P280" i="3"/>
  <c r="L301" i="3"/>
  <c r="Q315" i="3"/>
  <c r="O330" i="3"/>
  <c r="N343" i="3"/>
  <c r="R355" i="3"/>
  <c r="N185" i="3"/>
  <c r="Q231" i="3"/>
  <c r="S259" i="3"/>
  <c r="M287" i="3"/>
  <c r="U305" i="3"/>
  <c r="U319" i="3"/>
  <c r="L334" i="3"/>
  <c r="K347" i="3"/>
  <c r="O359" i="3"/>
  <c r="Y359" i="3" s="1"/>
  <c r="Q373" i="3"/>
  <c r="N163" i="3"/>
  <c r="R224" i="3"/>
  <c r="V256" i="3"/>
  <c r="M277" i="3"/>
  <c r="N290" i="3"/>
  <c r="K298" i="3"/>
  <c r="P304" i="3"/>
  <c r="L310" i="3"/>
  <c r="T315" i="3"/>
  <c r="N321" i="3"/>
  <c r="M326" i="3"/>
  <c r="L331" i="3"/>
  <c r="K336" i="3"/>
  <c r="J341" i="3"/>
  <c r="V345" i="3"/>
  <c r="U350" i="3"/>
  <c r="K125" i="3"/>
  <c r="N190" i="3"/>
  <c r="J213" i="3"/>
  <c r="L226" i="3"/>
  <c r="P237" i="3"/>
  <c r="S248" i="3"/>
  <c r="V259" i="3"/>
  <c r="J270" i="3"/>
  <c r="U279" i="3"/>
  <c r="P83" i="3"/>
  <c r="T108" i="3"/>
  <c r="M131" i="3"/>
  <c r="Q185" i="3"/>
  <c r="V199" i="3"/>
  <c r="S196" i="3"/>
  <c r="J283" i="3"/>
  <c r="V268" i="3"/>
  <c r="Q282" i="3"/>
  <c r="Q233" i="3"/>
  <c r="R290" i="3"/>
  <c r="T276" i="3"/>
  <c r="U340" i="3"/>
  <c r="N258" i="3"/>
  <c r="N332" i="3"/>
  <c r="N80" i="3"/>
  <c r="O288" i="3"/>
  <c r="K315" i="3"/>
  <c r="P335" i="3"/>
  <c r="Q87" i="3"/>
  <c r="J236" i="3"/>
  <c r="R278" i="3"/>
  <c r="P296" i="3"/>
  <c r="J304" i="3"/>
  <c r="N310" i="3"/>
  <c r="R316" i="3"/>
  <c r="N323" i="3"/>
  <c r="U328" i="3"/>
  <c r="O334" i="3"/>
  <c r="Y334" i="3" s="1"/>
  <c r="V339" i="3"/>
  <c r="P345" i="3"/>
  <c r="J351" i="3"/>
  <c r="Q356" i="3"/>
  <c r="S362" i="3"/>
  <c r="M368" i="3"/>
  <c r="S143" i="3"/>
  <c r="K199" i="3"/>
  <c r="M219" i="3"/>
  <c r="M232" i="3"/>
  <c r="V244" i="3"/>
  <c r="J259" i="3"/>
  <c r="M205" i="3"/>
  <c r="R243" i="3"/>
  <c r="O272" i="3"/>
  <c r="Y272" i="3" s="1"/>
  <c r="Q292" i="3"/>
  <c r="O307" i="3"/>
  <c r="Y307" i="3" s="1"/>
  <c r="R318" i="3"/>
  <c r="T328" i="3"/>
  <c r="R338" i="3"/>
  <c r="P348" i="3"/>
  <c r="S197" i="3"/>
  <c r="Q236" i="3"/>
  <c r="P265" i="3"/>
  <c r="T284" i="3"/>
  <c r="J300" i="3"/>
  <c r="T311" i="3"/>
  <c r="T322" i="3"/>
  <c r="R332" i="3"/>
  <c r="P342" i="3"/>
  <c r="N352" i="3"/>
  <c r="S360" i="3"/>
  <c r="U367" i="3"/>
  <c r="K374" i="3"/>
  <c r="T379" i="3"/>
  <c r="L385" i="3"/>
  <c r="K390" i="3"/>
  <c r="J395" i="3"/>
  <c r="V399" i="3"/>
  <c r="U404" i="3"/>
  <c r="T409" i="3"/>
  <c r="S414" i="3"/>
  <c r="R419" i="3"/>
  <c r="Q424" i="3"/>
  <c r="P429" i="3"/>
  <c r="O434" i="3"/>
  <c r="N439" i="3"/>
  <c r="M444" i="3"/>
  <c r="L449" i="3"/>
  <c r="K454" i="3"/>
  <c r="J459" i="3"/>
  <c r="V463" i="3"/>
  <c r="U468" i="3"/>
  <c r="T473" i="3"/>
  <c r="S478" i="3"/>
  <c r="R483" i="3"/>
  <c r="Q488" i="3"/>
  <c r="P493" i="3"/>
  <c r="V79" i="3"/>
  <c r="S124" i="3"/>
  <c r="Q141" i="3"/>
  <c r="L207" i="3"/>
  <c r="P205" i="3"/>
  <c r="V201" i="3"/>
  <c r="M292" i="3"/>
  <c r="P274" i="3"/>
  <c r="R285" i="3"/>
  <c r="P238" i="3"/>
  <c r="S293" i="3"/>
  <c r="S281" i="3"/>
  <c r="L345" i="3"/>
  <c r="U264" i="3"/>
  <c r="T334" i="3"/>
  <c r="L181" i="3"/>
  <c r="O291" i="3"/>
  <c r="P316" i="3"/>
  <c r="S336" i="3"/>
  <c r="R140" i="3"/>
  <c r="U238" i="3"/>
  <c r="K281" i="3"/>
  <c r="P297" i="3"/>
  <c r="S304" i="3"/>
  <c r="J311" i="3"/>
  <c r="J318" i="3"/>
  <c r="V323" i="3"/>
  <c r="P329" i="3"/>
  <c r="J335" i="3"/>
  <c r="Q340" i="3"/>
  <c r="K346" i="3"/>
  <c r="R351" i="3"/>
  <c r="T357" i="3"/>
  <c r="N363" i="3"/>
  <c r="U368" i="3"/>
  <c r="U157" i="3"/>
  <c r="R202" i="3"/>
  <c r="V220" i="3"/>
  <c r="S233" i="3"/>
  <c r="S247" i="3"/>
  <c r="O260" i="3"/>
  <c r="T210" i="3"/>
  <c r="M247" i="3"/>
  <c r="U274" i="3"/>
  <c r="P294" i="3"/>
  <c r="T308" i="3"/>
  <c r="K320" i="3"/>
  <c r="J330" i="3"/>
  <c r="U339" i="3"/>
  <c r="S349" i="3"/>
  <c r="Q205" i="3"/>
  <c r="L240" i="3"/>
  <c r="V267" i="3"/>
  <c r="T286" i="3"/>
  <c r="R301" i="3"/>
  <c r="M313" i="3"/>
  <c r="J324" i="3"/>
  <c r="U333" i="3"/>
  <c r="S343" i="3"/>
  <c r="Q353" i="3"/>
  <c r="R361" i="3"/>
  <c r="S368" i="3"/>
  <c r="U374" i="3"/>
  <c r="P380" i="3"/>
  <c r="T385" i="3"/>
  <c r="S390" i="3"/>
  <c r="R395" i="3"/>
  <c r="Q400" i="3"/>
  <c r="P405" i="3"/>
  <c r="O410" i="3"/>
  <c r="Y410" i="3" s="1"/>
  <c r="N415" i="3"/>
  <c r="M420" i="3"/>
  <c r="L425" i="3"/>
  <c r="K430" i="3"/>
  <c r="J435" i="3"/>
  <c r="V439" i="3"/>
  <c r="U444" i="3"/>
  <c r="T449" i="3"/>
  <c r="S454" i="3"/>
  <c r="R459" i="3"/>
  <c r="Q464" i="3"/>
  <c r="P469" i="3"/>
  <c r="O474" i="3"/>
  <c r="N479" i="3"/>
  <c r="M484" i="3"/>
  <c r="L489" i="3"/>
  <c r="L114" i="3"/>
  <c r="O165" i="3"/>
  <c r="Y165" i="3" s="1"/>
  <c r="O87" i="3"/>
  <c r="Q246" i="3"/>
  <c r="L120" i="3"/>
  <c r="M160" i="3"/>
  <c r="V311" i="3"/>
  <c r="R184" i="3"/>
  <c r="P295" i="3"/>
  <c r="T249" i="3"/>
  <c r="Q303" i="3"/>
  <c r="U297" i="3"/>
  <c r="J355" i="3"/>
  <c r="N284" i="3"/>
  <c r="R344" i="3"/>
  <c r="M223" i="3"/>
  <c r="M297" i="3"/>
  <c r="S320" i="3"/>
  <c r="O340" i="3"/>
  <c r="K186" i="3"/>
  <c r="N247" i="3"/>
  <c r="Q283" i="3"/>
  <c r="M298" i="3"/>
  <c r="O305" i="3"/>
  <c r="Y305" i="3" s="1"/>
  <c r="O312" i="3"/>
  <c r="Y312" i="3" s="1"/>
  <c r="T318" i="3"/>
  <c r="Q324" i="3"/>
  <c r="K330" i="3"/>
  <c r="R335" i="3"/>
  <c r="L341" i="3"/>
  <c r="S346" i="3"/>
  <c r="U352" i="3"/>
  <c r="O358" i="3"/>
  <c r="Y358" i="3" s="1"/>
  <c r="V363" i="3"/>
  <c r="P369" i="3"/>
  <c r="U166" i="3"/>
  <c r="L205" i="3"/>
  <c r="O222" i="3"/>
  <c r="P236" i="3"/>
  <c r="L249" i="3"/>
  <c r="T261" i="3"/>
  <c r="S215" i="3"/>
  <c r="S250" i="3"/>
  <c r="N277" i="3"/>
  <c r="O296" i="3"/>
  <c r="M310" i="3"/>
  <c r="O321" i="3"/>
  <c r="Y321" i="3" s="1"/>
  <c r="M331" i="3"/>
  <c r="K341" i="3"/>
  <c r="V350" i="3"/>
  <c r="T211" i="3"/>
  <c r="S243" i="3"/>
  <c r="O270" i="3"/>
  <c r="U288" i="3"/>
  <c r="M303" i="3"/>
  <c r="R314" i="3"/>
  <c r="M325" i="3"/>
  <c r="K335" i="3"/>
  <c r="V344" i="3"/>
  <c r="T354" i="3"/>
  <c r="R362" i="3"/>
  <c r="Q369" i="3"/>
  <c r="Q375" i="3"/>
  <c r="L381" i="3"/>
  <c r="O386" i="3"/>
  <c r="Y386" i="3" s="1"/>
  <c r="N391" i="3"/>
  <c r="M396" i="3"/>
  <c r="L401" i="3"/>
  <c r="K406" i="3"/>
  <c r="J411" i="3"/>
  <c r="V415" i="3"/>
  <c r="U420" i="3"/>
  <c r="T425" i="3"/>
  <c r="S430" i="3"/>
  <c r="R435" i="3"/>
  <c r="Q440" i="3"/>
  <c r="P445" i="3"/>
  <c r="O450" i="3"/>
  <c r="N455" i="3"/>
  <c r="M460" i="3"/>
  <c r="L465" i="3"/>
  <c r="K470" i="3"/>
  <c r="J475" i="3"/>
  <c r="V479" i="3"/>
  <c r="U484" i="3"/>
  <c r="T489" i="3"/>
  <c r="O54" i="3"/>
  <c r="Y54" i="3" s="1"/>
  <c r="M175" i="3"/>
  <c r="L124" i="3"/>
  <c r="J257" i="3"/>
  <c r="P142" i="3"/>
  <c r="N198" i="3"/>
  <c r="P317" i="3"/>
  <c r="N200" i="3"/>
  <c r="N136" i="3"/>
  <c r="M253" i="3"/>
  <c r="L146" i="3"/>
  <c r="R303" i="3"/>
  <c r="K358" i="3"/>
  <c r="N288" i="3"/>
  <c r="V348" i="3"/>
  <c r="M230" i="3"/>
  <c r="U298" i="3"/>
  <c r="V321" i="3"/>
  <c r="R341" i="3"/>
  <c r="L194" i="3"/>
  <c r="K250" i="3"/>
  <c r="S287" i="3"/>
  <c r="K299" i="3"/>
  <c r="T306" i="3"/>
  <c r="K313" i="3"/>
  <c r="P319" i="3"/>
  <c r="L325" i="3"/>
  <c r="S330" i="3"/>
  <c r="M336" i="3"/>
  <c r="T341" i="3"/>
  <c r="V347" i="3"/>
  <c r="P353" i="3"/>
  <c r="J359" i="3"/>
  <c r="Q364" i="3"/>
  <c r="K370" i="3"/>
  <c r="Q172" i="3"/>
  <c r="R207" i="3"/>
  <c r="M225" i="3"/>
  <c r="U237" i="3"/>
  <c r="Q250" i="3"/>
  <c r="J263" i="3"/>
  <c r="J221" i="3"/>
  <c r="U254" i="3"/>
  <c r="T279" i="3"/>
  <c r="T299" i="3"/>
  <c r="R311" i="3"/>
  <c r="R322" i="3"/>
  <c r="P332" i="3"/>
  <c r="N342" i="3"/>
  <c r="L352" i="3"/>
  <c r="T216" i="3"/>
  <c r="U247" i="3"/>
  <c r="U272" i="3"/>
  <c r="T290" i="3"/>
  <c r="T304" i="3"/>
  <c r="J316" i="3"/>
  <c r="P326" i="3"/>
  <c r="N336" i="3"/>
  <c r="L346" i="3"/>
  <c r="T355" i="3"/>
  <c r="Q363" i="3"/>
  <c r="N370" i="3"/>
  <c r="M376" i="3"/>
  <c r="U381" i="3"/>
  <c r="J387" i="3"/>
  <c r="V391" i="3"/>
  <c r="U396" i="3"/>
  <c r="T401" i="3"/>
  <c r="S406" i="3"/>
  <c r="R411" i="3"/>
  <c r="Q416" i="3"/>
  <c r="P421" i="3"/>
  <c r="O426" i="3"/>
  <c r="Y426" i="3" s="1"/>
  <c r="N431" i="3"/>
  <c r="M436" i="3"/>
  <c r="L441" i="3"/>
  <c r="K446" i="3"/>
  <c r="J451" i="3"/>
  <c r="V455" i="3"/>
  <c r="U460" i="3"/>
  <c r="T465" i="3"/>
  <c r="S470" i="3"/>
  <c r="R475" i="3"/>
  <c r="Q480" i="3"/>
  <c r="P485" i="3"/>
  <c r="O490" i="3"/>
  <c r="U146" i="3"/>
  <c r="Q168" i="3"/>
  <c r="N150" i="3"/>
  <c r="Q103" i="3"/>
  <c r="U152" i="3"/>
  <c r="V257" i="3"/>
  <c r="V236" i="3"/>
  <c r="U262" i="3"/>
  <c r="L219" i="3"/>
  <c r="P276" i="3"/>
  <c r="O249" i="3"/>
  <c r="Y249" i="3" s="1"/>
  <c r="Q328" i="3"/>
  <c r="V225" i="3"/>
  <c r="L319" i="3"/>
  <c r="S371" i="3"/>
  <c r="T274" i="3"/>
  <c r="O309" i="3"/>
  <c r="Q330" i="3"/>
  <c r="M350" i="3"/>
  <c r="T224" i="3"/>
  <c r="T268" i="3"/>
  <c r="Q291" i="3"/>
  <c r="O302" i="3"/>
  <c r="V308" i="3"/>
  <c r="M315" i="3"/>
  <c r="P321" i="3"/>
  <c r="J327" i="3"/>
  <c r="L333" i="3"/>
  <c r="S338" i="3"/>
  <c r="M344" i="3"/>
  <c r="T349" i="3"/>
  <c r="N355" i="3"/>
  <c r="U360" i="3"/>
  <c r="O366" i="3"/>
  <c r="J101" i="3"/>
  <c r="V191" i="3"/>
  <c r="Q215" i="3"/>
  <c r="P229" i="3"/>
  <c r="K242" i="3"/>
  <c r="T254" i="3"/>
  <c r="M173" i="3"/>
  <c r="V235" i="3"/>
  <c r="P267" i="3"/>
  <c r="P288" i="3"/>
  <c r="R304" i="3"/>
  <c r="U315" i="3"/>
  <c r="N326" i="3"/>
  <c r="L336" i="3"/>
  <c r="J346" i="3"/>
  <c r="Q173" i="3"/>
  <c r="V228" i="3"/>
  <c r="K259" i="3"/>
  <c r="M280" i="3"/>
  <c r="R296" i="3"/>
  <c r="J309" i="3"/>
  <c r="M320" i="3"/>
  <c r="L330" i="3"/>
  <c r="J340" i="3"/>
  <c r="U349" i="3"/>
  <c r="R358" i="3"/>
  <c r="M366" i="3"/>
  <c r="S372" i="3"/>
  <c r="N378" i="3"/>
  <c r="V383" i="3"/>
  <c r="U388" i="3"/>
  <c r="T393" i="3"/>
  <c r="S398" i="3"/>
  <c r="R403" i="3"/>
  <c r="Q408" i="3"/>
  <c r="P413" i="3"/>
  <c r="O418" i="3"/>
  <c r="N423" i="3"/>
  <c r="M428" i="3"/>
  <c r="L433" i="3"/>
  <c r="K438" i="3"/>
  <c r="J443" i="3"/>
  <c r="V447" i="3"/>
  <c r="U452" i="3"/>
  <c r="T457" i="3"/>
  <c r="S462" i="3"/>
  <c r="R467" i="3"/>
  <c r="Q472" i="3"/>
  <c r="P477" i="3"/>
  <c r="O482" i="3"/>
  <c r="N487" i="3"/>
  <c r="M492" i="3"/>
  <c r="V173" i="3"/>
  <c r="J179" i="3"/>
  <c r="L160" i="3"/>
  <c r="R167" i="3"/>
  <c r="N169" i="3"/>
  <c r="N263" i="3"/>
  <c r="P247" i="3"/>
  <c r="T267" i="3"/>
  <c r="N222" i="3"/>
  <c r="T280" i="3"/>
  <c r="P256" i="3"/>
  <c r="J331" i="3"/>
  <c r="T235" i="3"/>
  <c r="P322" i="3"/>
  <c r="L374" i="3"/>
  <c r="P278" i="3"/>
  <c r="U310" i="3"/>
  <c r="T331" i="3"/>
  <c r="P351" i="3"/>
  <c r="R227" i="3"/>
  <c r="M271" i="3"/>
  <c r="R295" i="3"/>
  <c r="L303" i="3"/>
  <c r="R309" i="3"/>
  <c r="V315" i="3"/>
  <c r="K322" i="3"/>
  <c r="M328" i="3"/>
  <c r="T333" i="3"/>
  <c r="N339" i="3"/>
  <c r="U344" i="3"/>
  <c r="O350" i="3"/>
  <c r="Y350" i="3" s="1"/>
  <c r="V355" i="3"/>
  <c r="P361" i="3"/>
  <c r="R367" i="3"/>
  <c r="U130" i="3"/>
  <c r="P195" i="3"/>
  <c r="P217" i="3"/>
  <c r="U230" i="3"/>
  <c r="Q243" i="3"/>
  <c r="L256" i="3"/>
  <c r="K196" i="3"/>
  <c r="P239" i="3"/>
  <c r="V269" i="3"/>
  <c r="P290" i="3"/>
  <c r="J306" i="3"/>
  <c r="M317" i="3"/>
  <c r="Q327" i="3"/>
  <c r="O337" i="3"/>
  <c r="Y337" i="3" s="1"/>
  <c r="M347" i="3"/>
  <c r="T187" i="3"/>
  <c r="P232" i="3"/>
  <c r="Q262" i="3"/>
  <c r="S282" i="3"/>
  <c r="N298" i="3"/>
  <c r="O310" i="3"/>
  <c r="Y310" i="3" s="1"/>
  <c r="Q321" i="3"/>
  <c r="O331" i="3"/>
  <c r="M341" i="3"/>
  <c r="K351" i="3"/>
  <c r="S359" i="3"/>
  <c r="K367" i="3"/>
  <c r="O373" i="3"/>
  <c r="J379" i="3"/>
  <c r="Q384" i="3"/>
  <c r="P389" i="3"/>
  <c r="O394" i="3"/>
  <c r="N399" i="3"/>
  <c r="M404" i="3"/>
  <c r="L409" i="3"/>
  <c r="K414" i="3"/>
  <c r="J419" i="3"/>
  <c r="V423" i="3"/>
  <c r="U428" i="3"/>
  <c r="T433" i="3"/>
  <c r="S438" i="3"/>
  <c r="R443" i="3"/>
  <c r="Q448" i="3"/>
  <c r="P453" i="3"/>
  <c r="O458" i="3"/>
  <c r="Y458" i="3" s="1"/>
  <c r="N463" i="3"/>
  <c r="M468" i="3"/>
  <c r="L473" i="3"/>
  <c r="K478" i="3"/>
  <c r="J483" i="3"/>
  <c r="V487" i="3"/>
  <c r="O101" i="3"/>
  <c r="S186" i="3"/>
  <c r="O193" i="3"/>
  <c r="Y193" i="3" s="1"/>
  <c r="P170" i="3"/>
  <c r="T303" i="3"/>
  <c r="Q258" i="3"/>
  <c r="U313" i="3"/>
  <c r="U336" i="3"/>
  <c r="R359" i="3"/>
  <c r="S211" i="3"/>
  <c r="P80" i="3"/>
  <c r="O301" i="3"/>
  <c r="Q343" i="3"/>
  <c r="N275" i="3"/>
  <c r="S327" i="3"/>
  <c r="R364" i="3"/>
  <c r="R387" i="3"/>
  <c r="N407" i="3"/>
  <c r="J427" i="3"/>
  <c r="S446" i="3"/>
  <c r="O466" i="3"/>
  <c r="K486" i="3"/>
  <c r="V495" i="3"/>
  <c r="U500" i="3"/>
  <c r="T505" i="3"/>
  <c r="S510" i="3"/>
  <c r="R515" i="3"/>
  <c r="Q520" i="3"/>
  <c r="U187" i="3"/>
  <c r="L233" i="3"/>
  <c r="K263" i="3"/>
  <c r="T282" i="3"/>
  <c r="P298" i="3"/>
  <c r="P310" i="3"/>
  <c r="R321" i="3"/>
  <c r="P331" i="3"/>
  <c r="N341" i="3"/>
  <c r="L351" i="3"/>
  <c r="T359" i="3"/>
  <c r="L367" i="3"/>
  <c r="P373" i="3"/>
  <c r="L379" i="3"/>
  <c r="R384" i="3"/>
  <c r="Q389" i="3"/>
  <c r="P394" i="3"/>
  <c r="O399" i="3"/>
  <c r="N404" i="3"/>
  <c r="M409" i="3"/>
  <c r="L414" i="3"/>
  <c r="K419" i="3"/>
  <c r="J424" i="3"/>
  <c r="V428" i="3"/>
  <c r="U433" i="3"/>
  <c r="T438" i="3"/>
  <c r="S213" i="3"/>
  <c r="K245" i="3"/>
  <c r="L271" i="3"/>
  <c r="Q289" i="3"/>
  <c r="U303" i="3"/>
  <c r="L315" i="3"/>
  <c r="S325" i="3"/>
  <c r="Q335" i="3"/>
  <c r="O345" i="3"/>
  <c r="L355" i="3"/>
  <c r="V362" i="3"/>
  <c r="T369" i="3"/>
  <c r="T375" i="3"/>
  <c r="O381" i="3"/>
  <c r="Y381" i="3" s="1"/>
  <c r="R386" i="3"/>
  <c r="Q391" i="3"/>
  <c r="P396" i="3"/>
  <c r="O401" i="3"/>
  <c r="Y401" i="3" s="1"/>
  <c r="N406" i="3"/>
  <c r="M411" i="3"/>
  <c r="L416" i="3"/>
  <c r="K421" i="3"/>
  <c r="J426" i="3"/>
  <c r="V430" i="3"/>
  <c r="U435" i="3"/>
  <c r="T440" i="3"/>
  <c r="S445" i="3"/>
  <c r="R450" i="3"/>
  <c r="Q455" i="3"/>
  <c r="P460" i="3"/>
  <c r="O465" i="3"/>
  <c r="N470" i="3"/>
  <c r="M475" i="3"/>
  <c r="L480" i="3"/>
  <c r="K485" i="3"/>
  <c r="J490" i="3"/>
  <c r="V494" i="3"/>
  <c r="U499" i="3"/>
  <c r="T504" i="3"/>
  <c r="S509" i="3"/>
  <c r="R514" i="3"/>
  <c r="Q519" i="3"/>
  <c r="P178" i="3"/>
  <c r="U259" i="3"/>
  <c r="V296" i="3"/>
  <c r="O320" i="3"/>
  <c r="L340" i="3"/>
  <c r="R357" i="3"/>
  <c r="N369" i="3"/>
  <c r="T378" i="3"/>
  <c r="N387" i="3"/>
  <c r="L395" i="3"/>
  <c r="V402" i="3"/>
  <c r="U410" i="3"/>
  <c r="T418" i="3"/>
  <c r="S426" i="3"/>
  <c r="Q434" i="3"/>
  <c r="V441" i="3"/>
  <c r="P448" i="3"/>
  <c r="K455" i="3"/>
  <c r="R461" i="3"/>
  <c r="L468" i="3"/>
  <c r="T474" i="3"/>
  <c r="N481" i="3"/>
  <c r="U487" i="3"/>
  <c r="T245" i="3"/>
  <c r="S289" i="3"/>
  <c r="N315" i="3"/>
  <c r="S335" i="3"/>
  <c r="R354" i="3"/>
  <c r="U366" i="3"/>
  <c r="S376" i="3"/>
  <c r="P385" i="3"/>
  <c r="N393" i="3"/>
  <c r="K401" i="3"/>
  <c r="J409" i="3"/>
  <c r="V416" i="3"/>
  <c r="U424" i="3"/>
  <c r="S432" i="3"/>
  <c r="O440" i="3"/>
  <c r="J447" i="3"/>
  <c r="Q453" i="3"/>
  <c r="K460" i="3"/>
  <c r="S466" i="3"/>
  <c r="M473" i="3"/>
  <c r="T479" i="3"/>
  <c r="O486" i="3"/>
  <c r="V492" i="3"/>
  <c r="P499" i="3"/>
  <c r="K506" i="3"/>
  <c r="R512" i="3"/>
  <c r="L519" i="3"/>
  <c r="V223" i="3"/>
  <c r="R276" i="3"/>
  <c r="V306" i="3"/>
  <c r="O328" i="3"/>
  <c r="K348" i="3"/>
  <c r="U362" i="3"/>
  <c r="N373" i="3"/>
  <c r="O382" i="3"/>
  <c r="Y382" i="3" s="1"/>
  <c r="P390" i="3"/>
  <c r="O398" i="3"/>
  <c r="M406" i="3"/>
  <c r="J414" i="3"/>
  <c r="V421" i="3"/>
  <c r="U429" i="3"/>
  <c r="T437" i="3"/>
  <c r="R444" i="3"/>
  <c r="L451" i="3"/>
  <c r="S457" i="3"/>
  <c r="N464" i="3"/>
  <c r="U470" i="3"/>
  <c r="O477" i="3"/>
  <c r="J484" i="3"/>
  <c r="N204" i="3"/>
  <c r="U266" i="3"/>
  <c r="J301" i="3"/>
  <c r="Q323" i="3"/>
  <c r="M343" i="3"/>
  <c r="U359" i="3"/>
  <c r="J371" i="3"/>
  <c r="M380" i="3"/>
  <c r="R388" i="3"/>
  <c r="Q396" i="3"/>
  <c r="M80" i="3"/>
  <c r="K198" i="3"/>
  <c r="L202" i="3"/>
  <c r="Q189" i="3"/>
  <c r="M305" i="3"/>
  <c r="O261" i="3"/>
  <c r="Y261" i="3" s="1"/>
  <c r="Q314" i="3"/>
  <c r="K338" i="3"/>
  <c r="M360" i="3"/>
  <c r="R213" i="3"/>
  <c r="K146" i="3"/>
  <c r="K303" i="3"/>
  <c r="T344" i="3"/>
  <c r="T277" i="3"/>
  <c r="V328" i="3"/>
  <c r="O365" i="3"/>
  <c r="Y365" i="3" s="1"/>
  <c r="M388" i="3"/>
  <c r="V407" i="3"/>
  <c r="R427" i="3"/>
  <c r="N447" i="3"/>
  <c r="J467" i="3"/>
  <c r="S486" i="3"/>
  <c r="Q496" i="3"/>
  <c r="P501" i="3"/>
  <c r="O506" i="3"/>
  <c r="Y506" i="3" s="1"/>
  <c r="N511" i="3"/>
  <c r="M516" i="3"/>
  <c r="L521" i="3"/>
  <c r="Q199" i="3"/>
  <c r="R236" i="3"/>
  <c r="Q265" i="3"/>
  <c r="V284" i="3"/>
  <c r="K300" i="3"/>
  <c r="U311" i="3"/>
  <c r="U322" i="3"/>
  <c r="S332" i="3"/>
  <c r="Q342" i="3"/>
  <c r="O352" i="3"/>
  <c r="Y352" i="3" s="1"/>
  <c r="T360" i="3"/>
  <c r="V367" i="3"/>
  <c r="M374" i="3"/>
  <c r="U379" i="3"/>
  <c r="M385" i="3"/>
  <c r="L390" i="3"/>
  <c r="K395" i="3"/>
  <c r="J400" i="3"/>
  <c r="V404" i="3"/>
  <c r="U409" i="3"/>
  <c r="T414" i="3"/>
  <c r="S419" i="3"/>
  <c r="R424" i="3"/>
  <c r="Q429" i="3"/>
  <c r="P434" i="3"/>
  <c r="O439" i="3"/>
  <c r="Y439" i="3" s="1"/>
  <c r="R218" i="3"/>
  <c r="M249" i="3"/>
  <c r="R273" i="3"/>
  <c r="P291" i="3"/>
  <c r="N305" i="3"/>
  <c r="Q316" i="3"/>
  <c r="V326" i="3"/>
  <c r="T336" i="3"/>
  <c r="R346" i="3"/>
  <c r="K356" i="3"/>
  <c r="J364" i="3"/>
  <c r="R370" i="3"/>
  <c r="P376" i="3"/>
  <c r="K382" i="3"/>
  <c r="M387" i="3"/>
  <c r="L392" i="3"/>
  <c r="K397" i="3"/>
  <c r="J402" i="3"/>
  <c r="V406" i="3"/>
  <c r="U411" i="3"/>
  <c r="T416" i="3"/>
  <c r="S421" i="3"/>
  <c r="R426" i="3"/>
  <c r="Q431" i="3"/>
  <c r="P436" i="3"/>
  <c r="O441" i="3"/>
  <c r="Y441" i="3" s="1"/>
  <c r="N446" i="3"/>
  <c r="M451" i="3"/>
  <c r="L456" i="3"/>
  <c r="K461" i="3"/>
  <c r="J466" i="3"/>
  <c r="V470" i="3"/>
  <c r="U475" i="3"/>
  <c r="T480" i="3"/>
  <c r="S485" i="3"/>
  <c r="R490" i="3"/>
  <c r="Q495" i="3"/>
  <c r="P500" i="3"/>
  <c r="O505" i="3"/>
  <c r="N510" i="3"/>
  <c r="M515" i="3"/>
  <c r="L520" i="3"/>
  <c r="R199" i="3"/>
  <c r="R265" i="3"/>
  <c r="L300" i="3"/>
  <c r="V322" i="3"/>
  <c r="R342" i="3"/>
  <c r="M359" i="3"/>
  <c r="T370" i="3"/>
  <c r="V379" i="3"/>
  <c r="L388" i="3"/>
  <c r="K396" i="3"/>
  <c r="J404" i="3"/>
  <c r="V411" i="3"/>
  <c r="T419" i="3"/>
  <c r="Q427" i="3"/>
  <c r="P435" i="3"/>
  <c r="T442" i="3"/>
  <c r="N449" i="3"/>
  <c r="U455" i="3"/>
  <c r="P462" i="3"/>
  <c r="J469" i="3"/>
  <c r="Q475" i="3"/>
  <c r="L482" i="3"/>
  <c r="J133" i="3"/>
  <c r="P253" i="3"/>
  <c r="T293" i="3"/>
  <c r="L318" i="3"/>
  <c r="L338" i="3"/>
  <c r="O356" i="3"/>
  <c r="N368" i="3"/>
  <c r="T377" i="3"/>
  <c r="N386" i="3"/>
  <c r="M394" i="3"/>
  <c r="L402" i="3"/>
  <c r="K410" i="3"/>
  <c r="V417" i="3"/>
  <c r="S425" i="3"/>
  <c r="R433" i="3"/>
  <c r="M441" i="3"/>
  <c r="T447" i="3"/>
  <c r="O454" i="3"/>
  <c r="Y454" i="3" s="1"/>
  <c r="V460" i="3"/>
  <c r="P467" i="3"/>
  <c r="K474" i="3"/>
  <c r="R480" i="3"/>
  <c r="L487" i="3"/>
  <c r="T493" i="3"/>
  <c r="N500" i="3"/>
  <c r="U506" i="3"/>
  <c r="P513" i="3"/>
  <c r="J520" i="3"/>
  <c r="J231" i="3"/>
  <c r="Q281" i="3"/>
  <c r="T309" i="3"/>
  <c r="U330" i="3"/>
  <c r="Q350" i="3"/>
  <c r="O364" i="3"/>
  <c r="Y364" i="3" s="1"/>
  <c r="Q374" i="3"/>
  <c r="R383" i="3"/>
  <c r="P391" i="3"/>
  <c r="M399" i="3"/>
  <c r="L407" i="3"/>
  <c r="K415" i="3"/>
  <c r="J423" i="3"/>
  <c r="U430" i="3"/>
  <c r="R438" i="3"/>
  <c r="O445" i="3"/>
  <c r="J452" i="3"/>
  <c r="Q458" i="3"/>
  <c r="K465" i="3"/>
  <c r="S471" i="3"/>
  <c r="M478" i="3"/>
  <c r="S96" i="3"/>
  <c r="K229" i="3"/>
  <c r="L264" i="3"/>
  <c r="U302" i="3"/>
  <c r="R325" i="3"/>
  <c r="R288" i="3"/>
  <c r="L320" i="3"/>
  <c r="J343" i="3"/>
  <c r="L365" i="3"/>
  <c r="R226" i="3"/>
  <c r="S224" i="3"/>
  <c r="J313" i="3"/>
  <c r="J106" i="3"/>
  <c r="S292" i="3"/>
  <c r="Q337" i="3"/>
  <c r="L371" i="3"/>
  <c r="Q392" i="3"/>
  <c r="M412" i="3"/>
  <c r="V431" i="3"/>
  <c r="R451" i="3"/>
  <c r="N471" i="3"/>
  <c r="J491" i="3"/>
  <c r="L497" i="3"/>
  <c r="K502" i="3"/>
  <c r="J507" i="3"/>
  <c r="V511" i="3"/>
  <c r="U516" i="3"/>
  <c r="T521" i="3"/>
  <c r="T206" i="3"/>
  <c r="T240" i="3"/>
  <c r="J268" i="3"/>
  <c r="J287" i="3"/>
  <c r="T301" i="3"/>
  <c r="N313" i="3"/>
  <c r="K324" i="3"/>
  <c r="V333" i="3"/>
  <c r="T343" i="3"/>
  <c r="R353" i="3"/>
  <c r="S361" i="3"/>
  <c r="T368" i="3"/>
  <c r="V374" i="3"/>
  <c r="Q380" i="3"/>
  <c r="U385" i="3"/>
  <c r="T390" i="3"/>
  <c r="S395" i="3"/>
  <c r="R400" i="3"/>
  <c r="Q405" i="3"/>
  <c r="P410" i="3"/>
  <c r="O415" i="3"/>
  <c r="Y415" i="3" s="1"/>
  <c r="N420" i="3"/>
  <c r="M425" i="3"/>
  <c r="L430" i="3"/>
  <c r="K435" i="3"/>
  <c r="V130" i="3"/>
  <c r="R222" i="3"/>
  <c r="U252" i="3"/>
  <c r="K276" i="3"/>
  <c r="O293" i="3"/>
  <c r="Y293" i="3" s="1"/>
  <c r="S306" i="3"/>
  <c r="V317" i="3"/>
  <c r="L328" i="3"/>
  <c r="J338" i="3"/>
  <c r="U347" i="3"/>
  <c r="K357" i="3"/>
  <c r="U364" i="3"/>
  <c r="P371" i="3"/>
  <c r="L377" i="3"/>
  <c r="U382" i="3"/>
  <c r="U387" i="3"/>
  <c r="T392" i="3"/>
  <c r="S397" i="3"/>
  <c r="R402" i="3"/>
  <c r="Q407" i="3"/>
  <c r="P412" i="3"/>
  <c r="O417" i="3"/>
  <c r="Y417" i="3" s="1"/>
  <c r="N422" i="3"/>
  <c r="M427" i="3"/>
  <c r="L432" i="3"/>
  <c r="K437" i="3"/>
  <c r="J442" i="3"/>
  <c r="V446" i="3"/>
  <c r="U451" i="3"/>
  <c r="T456" i="3"/>
  <c r="S461" i="3"/>
  <c r="R466" i="3"/>
  <c r="Q471" i="3"/>
  <c r="P476" i="3"/>
  <c r="O481" i="3"/>
  <c r="N486" i="3"/>
  <c r="M491" i="3"/>
  <c r="L496" i="3"/>
  <c r="K501" i="3"/>
  <c r="J506" i="3"/>
  <c r="V510" i="3"/>
  <c r="U515" i="3"/>
  <c r="T520" i="3"/>
  <c r="V212" i="3"/>
  <c r="Q270" i="3"/>
  <c r="P303" i="3"/>
  <c r="O325" i="3"/>
  <c r="K345" i="3"/>
  <c r="V360" i="3"/>
  <c r="U371" i="3"/>
  <c r="J381" i="3"/>
  <c r="M389" i="3"/>
  <c r="L397" i="3"/>
  <c r="J405" i="3"/>
  <c r="T412" i="3"/>
  <c r="S420" i="3"/>
  <c r="R428" i="3"/>
  <c r="Q436" i="3"/>
  <c r="Q443" i="3"/>
  <c r="L450" i="3"/>
  <c r="S456" i="3"/>
  <c r="M463" i="3"/>
  <c r="U469" i="3"/>
  <c r="O476" i="3"/>
  <c r="V482" i="3"/>
  <c r="M181" i="3"/>
  <c r="Q260" i="3"/>
  <c r="Q297" i="3"/>
  <c r="V320" i="3"/>
  <c r="R340" i="3"/>
  <c r="V357" i="3"/>
  <c r="O369" i="3"/>
  <c r="U378" i="3"/>
  <c r="O387" i="3"/>
  <c r="Y387" i="3" s="1"/>
  <c r="N395" i="3"/>
  <c r="L403" i="3"/>
  <c r="V410" i="3"/>
  <c r="U418" i="3"/>
  <c r="T426" i="3"/>
  <c r="S434" i="3"/>
  <c r="K442" i="3"/>
  <c r="R448" i="3"/>
  <c r="L455" i="3"/>
  <c r="T461" i="3"/>
  <c r="N468" i="3"/>
  <c r="U474" i="3"/>
  <c r="P481" i="3"/>
  <c r="J488" i="3"/>
  <c r="Q494" i="3"/>
  <c r="L501" i="3"/>
  <c r="S507" i="3"/>
  <c r="M514" i="3"/>
  <c r="U520" i="3"/>
  <c r="T238" i="3"/>
  <c r="V285" i="3"/>
  <c r="R312" i="3"/>
  <c r="N333" i="3"/>
  <c r="J353" i="3"/>
  <c r="U365" i="3"/>
  <c r="S375" i="3"/>
  <c r="P384" i="3"/>
  <c r="O392" i="3"/>
  <c r="Y392" i="3" s="1"/>
  <c r="N400" i="3"/>
  <c r="M408" i="3"/>
  <c r="K416" i="3"/>
  <c r="U423" i="3"/>
  <c r="T431" i="3"/>
  <c r="S439" i="3"/>
  <c r="M446" i="3"/>
  <c r="T452" i="3"/>
  <c r="O459" i="3"/>
  <c r="V465" i="3"/>
  <c r="P472" i="3"/>
  <c r="K479" i="3"/>
  <c r="R485" i="3"/>
  <c r="J224" i="3"/>
  <c r="S276" i="3"/>
  <c r="O128" i="3"/>
  <c r="Y128" i="3" s="1"/>
  <c r="O235" i="3"/>
  <c r="R266" i="3"/>
  <c r="V307" i="3"/>
  <c r="U326" i="3"/>
  <c r="R289" i="3"/>
  <c r="U320" i="3"/>
  <c r="R343" i="3"/>
  <c r="T365" i="3"/>
  <c r="J228" i="3"/>
  <c r="M228" i="3"/>
  <c r="P314" i="3"/>
  <c r="V152" i="3"/>
  <c r="R294" i="3"/>
  <c r="T338" i="3"/>
  <c r="J372" i="3"/>
  <c r="L393" i="3"/>
  <c r="U412" i="3"/>
  <c r="Q432" i="3"/>
  <c r="M452" i="3"/>
  <c r="V471" i="3"/>
  <c r="R491" i="3"/>
  <c r="T497" i="3"/>
  <c r="S502" i="3"/>
  <c r="R507" i="3"/>
  <c r="Q512" i="3"/>
  <c r="P517" i="3"/>
  <c r="O522" i="3"/>
  <c r="U211" i="3"/>
  <c r="O244" i="3"/>
  <c r="P270" i="3"/>
  <c r="V288" i="3"/>
  <c r="O303" i="3"/>
  <c r="S314" i="3"/>
  <c r="N325" i="3"/>
  <c r="L335" i="3"/>
  <c r="J345" i="3"/>
  <c r="U354" i="3"/>
  <c r="T362" i="3"/>
  <c r="R369" i="3"/>
  <c r="R375" i="3"/>
  <c r="M381" i="3"/>
  <c r="P386" i="3"/>
  <c r="O391" i="3"/>
  <c r="N396" i="3"/>
  <c r="M401" i="3"/>
  <c r="L406" i="3"/>
  <c r="K411" i="3"/>
  <c r="J416" i="3"/>
  <c r="V420" i="3"/>
  <c r="U425" i="3"/>
  <c r="T430" i="3"/>
  <c r="S435" i="3"/>
  <c r="O163" i="3"/>
  <c r="S226" i="3"/>
  <c r="N256" i="3"/>
  <c r="Q278" i="3"/>
  <c r="O295" i="3"/>
  <c r="K308" i="3"/>
  <c r="O319" i="3"/>
  <c r="O329" i="3"/>
  <c r="Y329" i="3" s="1"/>
  <c r="M339" i="3"/>
  <c r="K349" i="3"/>
  <c r="J358" i="3"/>
  <c r="S365" i="3"/>
  <c r="M372" i="3"/>
  <c r="V377" i="3"/>
  <c r="Q383" i="3"/>
  <c r="P388" i="3"/>
  <c r="O393" i="3"/>
  <c r="Y393" i="3" s="1"/>
  <c r="N398" i="3"/>
  <c r="M403" i="3"/>
  <c r="L408" i="3"/>
  <c r="K413" i="3"/>
  <c r="J418" i="3"/>
  <c r="V422" i="3"/>
  <c r="U427" i="3"/>
  <c r="T432" i="3"/>
  <c r="S437" i="3"/>
  <c r="R442" i="3"/>
  <c r="Q447" i="3"/>
  <c r="P452" i="3"/>
  <c r="O457" i="3"/>
  <c r="N462" i="3"/>
  <c r="M467" i="3"/>
  <c r="L472" i="3"/>
  <c r="K477" i="3"/>
  <c r="J482" i="3"/>
  <c r="V486" i="3"/>
  <c r="U491" i="3"/>
  <c r="T496" i="3"/>
  <c r="S501" i="3"/>
  <c r="R506" i="3"/>
  <c r="Q511" i="3"/>
  <c r="P516" i="3"/>
  <c r="O521" i="3"/>
  <c r="Y521" i="3" s="1"/>
  <c r="P222" i="3"/>
  <c r="P275" i="3"/>
  <c r="N306" i="3"/>
  <c r="U327" i="3"/>
  <c r="Q347" i="3"/>
  <c r="N362" i="3"/>
  <c r="L373" i="3"/>
  <c r="M382" i="3"/>
  <c r="M390" i="3"/>
  <c r="J398" i="3"/>
  <c r="V405" i="3"/>
  <c r="U413" i="3"/>
  <c r="T421" i="3"/>
  <c r="R429" i="3"/>
  <c r="O437" i="3"/>
  <c r="Y437" i="3" s="1"/>
  <c r="O444" i="3"/>
  <c r="Y444" i="3" s="1"/>
  <c r="V450" i="3"/>
  <c r="Q457" i="3"/>
  <c r="K464" i="3"/>
  <c r="R470" i="3"/>
  <c r="M477" i="3"/>
  <c r="T483" i="3"/>
  <c r="S202" i="3"/>
  <c r="S266" i="3"/>
  <c r="T300" i="3"/>
  <c r="O323" i="3"/>
  <c r="K343" i="3"/>
  <c r="P359" i="3"/>
  <c r="U370" i="3"/>
  <c r="K380" i="3"/>
  <c r="O388" i="3"/>
  <c r="Y388" i="3" s="1"/>
  <c r="L396" i="3"/>
  <c r="K404" i="3"/>
  <c r="J412" i="3"/>
  <c r="V419" i="3"/>
  <c r="T427" i="3"/>
  <c r="Q435" i="3"/>
  <c r="U442" i="3"/>
  <c r="P449" i="3"/>
  <c r="J456" i="3"/>
  <c r="Q462" i="3"/>
  <c r="L469" i="3"/>
  <c r="S475" i="3"/>
  <c r="M482" i="3"/>
  <c r="U488" i="3"/>
  <c r="O495" i="3"/>
  <c r="V501" i="3"/>
  <c r="Q508" i="3"/>
  <c r="K515" i="3"/>
  <c r="R521" i="3"/>
  <c r="O246" i="3"/>
  <c r="Y246" i="3" s="1"/>
  <c r="U289" i="3"/>
  <c r="O315" i="3"/>
  <c r="Y315" i="3" s="1"/>
  <c r="T335" i="3"/>
  <c r="V354" i="3"/>
  <c r="V366" i="3"/>
  <c r="T376" i="3"/>
  <c r="Q385" i="3"/>
  <c r="P393" i="3"/>
  <c r="N401" i="3"/>
  <c r="K409" i="3"/>
  <c r="J417" i="3"/>
  <c r="V424" i="3"/>
  <c r="U432" i="3"/>
  <c r="P440" i="3"/>
  <c r="K447" i="3"/>
  <c r="R453" i="3"/>
  <c r="L460" i="3"/>
  <c r="T466" i="3"/>
  <c r="N473" i="3"/>
  <c r="U479" i="3"/>
  <c r="P486" i="3"/>
  <c r="S231" i="3"/>
  <c r="R281" i="3"/>
  <c r="S66" i="3"/>
  <c r="O203" i="3"/>
  <c r="J216" i="3"/>
  <c r="T358" i="3"/>
  <c r="N345" i="3"/>
  <c r="S300" i="3"/>
  <c r="T325" i="3"/>
  <c r="Q348" i="3"/>
  <c r="S370" i="3"/>
  <c r="N239" i="3"/>
  <c r="P258" i="3"/>
  <c r="U323" i="3"/>
  <c r="K221" i="3"/>
  <c r="L306" i="3"/>
  <c r="O347" i="3"/>
  <c r="V376" i="3"/>
  <c r="P397" i="3"/>
  <c r="L417" i="3"/>
  <c r="U436" i="3"/>
  <c r="Q456" i="3"/>
  <c r="M476" i="3"/>
  <c r="U492" i="3"/>
  <c r="O498" i="3"/>
  <c r="Y498" i="3" s="1"/>
  <c r="N503" i="3"/>
  <c r="M508" i="3"/>
  <c r="L513" i="3"/>
  <c r="K518" i="3"/>
  <c r="J523" i="3"/>
  <c r="Q217" i="3"/>
  <c r="V247" i="3"/>
  <c r="V272" i="3"/>
  <c r="U290" i="3"/>
  <c r="U304" i="3"/>
  <c r="K316" i="3"/>
  <c r="Q326" i="3"/>
  <c r="O336" i="3"/>
  <c r="Y336" i="3" s="1"/>
  <c r="M346" i="3"/>
  <c r="U355" i="3"/>
  <c r="T363" i="3"/>
  <c r="O370" i="3"/>
  <c r="N376" i="3"/>
  <c r="V381" i="3"/>
  <c r="K387" i="3"/>
  <c r="J392" i="3"/>
  <c r="V396" i="3"/>
  <c r="U401" i="3"/>
  <c r="T406" i="3"/>
  <c r="S411" i="3"/>
  <c r="R416" i="3"/>
  <c r="Q421" i="3"/>
  <c r="P426" i="3"/>
  <c r="O431" i="3"/>
  <c r="Y431" i="3" s="1"/>
  <c r="N436" i="3"/>
  <c r="Q178" i="3"/>
  <c r="N230" i="3"/>
  <c r="P260" i="3"/>
  <c r="J281" i="3"/>
  <c r="N297" i="3"/>
  <c r="Q309" i="3"/>
  <c r="T320" i="3"/>
  <c r="R330" i="3"/>
  <c r="P340" i="3"/>
  <c r="N350" i="3"/>
  <c r="K359" i="3"/>
  <c r="Q366" i="3"/>
  <c r="J373" i="3"/>
  <c r="R378" i="3"/>
  <c r="L384" i="3"/>
  <c r="K389" i="3"/>
  <c r="J394" i="3"/>
  <c r="V398" i="3"/>
  <c r="U403" i="3"/>
  <c r="T408" i="3"/>
  <c r="S413" i="3"/>
  <c r="R418" i="3"/>
  <c r="Q423" i="3"/>
  <c r="P428" i="3"/>
  <c r="O433" i="3"/>
  <c r="Y433" i="3" s="1"/>
  <c r="N438" i="3"/>
  <c r="M443" i="3"/>
  <c r="L448" i="3"/>
  <c r="K453" i="3"/>
  <c r="J458" i="3"/>
  <c r="V462" i="3"/>
  <c r="U467" i="3"/>
  <c r="T472" i="3"/>
  <c r="S477" i="3"/>
  <c r="R482" i="3"/>
  <c r="Q487" i="3"/>
  <c r="P492" i="3"/>
  <c r="O497" i="3"/>
  <c r="Y497" i="3" s="1"/>
  <c r="N502" i="3"/>
  <c r="M507" i="3"/>
  <c r="L512" i="3"/>
  <c r="K517" i="3"/>
  <c r="J522" i="3"/>
  <c r="R229" i="3"/>
  <c r="O280" i="3"/>
  <c r="L309" i="3"/>
  <c r="N330" i="3"/>
  <c r="J350" i="3"/>
  <c r="K364" i="3"/>
  <c r="N374" i="3"/>
  <c r="L383" i="3"/>
  <c r="L391" i="3"/>
  <c r="K399" i="3"/>
  <c r="J407" i="3"/>
  <c r="U414" i="3"/>
  <c r="R422" i="3"/>
  <c r="Q430" i="3"/>
  <c r="P438" i="3"/>
  <c r="M445" i="3"/>
  <c r="T451" i="3"/>
  <c r="N458" i="3"/>
  <c r="V464" i="3"/>
  <c r="P471" i="3"/>
  <c r="J478" i="3"/>
  <c r="R484" i="3"/>
  <c r="T213" i="3"/>
  <c r="R271" i="3"/>
  <c r="K304" i="3"/>
  <c r="U325" i="3"/>
  <c r="Q345" i="3"/>
  <c r="K361" i="3"/>
  <c r="L372" i="3"/>
  <c r="K381" i="3"/>
  <c r="N389" i="3"/>
  <c r="M397" i="3"/>
  <c r="L405" i="3"/>
  <c r="J413" i="3"/>
  <c r="T420" i="3"/>
  <c r="S428" i="3"/>
  <c r="R436" i="3"/>
  <c r="S443" i="3"/>
  <c r="M450" i="3"/>
  <c r="U456" i="3"/>
  <c r="O463" i="3"/>
  <c r="V469" i="3"/>
  <c r="Q476" i="3"/>
  <c r="K483" i="3"/>
  <c r="R489" i="3"/>
  <c r="M496" i="3"/>
  <c r="T502" i="3"/>
  <c r="N509" i="3"/>
  <c r="V515" i="3"/>
  <c r="T138" i="3"/>
  <c r="Q253" i="3"/>
  <c r="U293" i="3"/>
  <c r="M318" i="3"/>
  <c r="M338" i="3"/>
  <c r="P356" i="3"/>
  <c r="O368" i="3"/>
  <c r="J378" i="3"/>
  <c r="Q386" i="3"/>
  <c r="N394" i="3"/>
  <c r="M402" i="3"/>
  <c r="L410" i="3"/>
  <c r="K418" i="3"/>
  <c r="V425" i="3"/>
  <c r="S433" i="3"/>
  <c r="N441" i="3"/>
  <c r="U447" i="3"/>
  <c r="P454" i="3"/>
  <c r="J461" i="3"/>
  <c r="Q467" i="3"/>
  <c r="L474" i="3"/>
  <c r="S480" i="3"/>
  <c r="M487" i="3"/>
  <c r="O239" i="3"/>
  <c r="Y239" i="3" s="1"/>
  <c r="K184" i="3"/>
  <c r="J230" i="3"/>
  <c r="U314" i="3"/>
  <c r="T252" i="3"/>
  <c r="K211" i="3"/>
  <c r="P307" i="3"/>
  <c r="N331" i="3"/>
  <c r="K354" i="3"/>
  <c r="L178" i="3"/>
  <c r="V251" i="3"/>
  <c r="R284" i="3"/>
  <c r="S333" i="3"/>
  <c r="O251" i="3"/>
  <c r="Y251" i="3" s="1"/>
  <c r="O317" i="3"/>
  <c r="Y317" i="3" s="1"/>
  <c r="S356" i="3"/>
  <c r="Q382" i="3"/>
  <c r="O402" i="3"/>
  <c r="K422" i="3"/>
  <c r="T441" i="3"/>
  <c r="P461" i="3"/>
  <c r="L481" i="3"/>
  <c r="S494" i="3"/>
  <c r="R499" i="3"/>
  <c r="Q504" i="3"/>
  <c r="P509" i="3"/>
  <c r="O514" i="3"/>
  <c r="Y514" i="3" s="1"/>
  <c r="N519" i="3"/>
  <c r="O158" i="3"/>
  <c r="Y158" i="3" s="1"/>
  <c r="O225" i="3"/>
  <c r="Y225" i="3" s="1"/>
  <c r="R255" i="3"/>
  <c r="U277" i="3"/>
  <c r="T294" i="3"/>
  <c r="S307" i="3"/>
  <c r="V318" i="3"/>
  <c r="J329" i="3"/>
  <c r="U338" i="3"/>
  <c r="S348" i="3"/>
  <c r="U357" i="3"/>
  <c r="P365" i="3"/>
  <c r="K372" i="3"/>
  <c r="S377" i="3"/>
  <c r="N383" i="3"/>
  <c r="N388" i="3"/>
  <c r="M393" i="3"/>
  <c r="L398" i="3"/>
  <c r="K403" i="3"/>
  <c r="J408" i="3"/>
  <c r="V412" i="3"/>
  <c r="U417" i="3"/>
  <c r="T422" i="3"/>
  <c r="S427" i="3"/>
  <c r="R432" i="3"/>
  <c r="Q437" i="3"/>
  <c r="O201" i="3"/>
  <c r="Y201" i="3" s="1"/>
  <c r="J238" i="3"/>
  <c r="M266" i="3"/>
  <c r="Q285" i="3"/>
  <c r="R300" i="3"/>
  <c r="N312" i="3"/>
  <c r="M323" i="3"/>
  <c r="K333" i="3"/>
  <c r="V342" i="3"/>
  <c r="T352" i="3"/>
  <c r="J361" i="3"/>
  <c r="L368" i="3"/>
  <c r="O374" i="3"/>
  <c r="Y374" i="3" s="1"/>
  <c r="J380" i="3"/>
  <c r="O385" i="3"/>
  <c r="Y385" i="3" s="1"/>
  <c r="N390" i="3"/>
  <c r="M395" i="3"/>
  <c r="L400" i="3"/>
  <c r="K405" i="3"/>
  <c r="J410" i="3"/>
  <c r="V414" i="3"/>
  <c r="U419" i="3"/>
  <c r="T424" i="3"/>
  <c r="S429" i="3"/>
  <c r="R434" i="3"/>
  <c r="Q439" i="3"/>
  <c r="P444" i="3"/>
  <c r="O449" i="3"/>
  <c r="N454" i="3"/>
  <c r="M459" i="3"/>
  <c r="L464" i="3"/>
  <c r="K469" i="3"/>
  <c r="J474" i="3"/>
  <c r="V478" i="3"/>
  <c r="U483" i="3"/>
  <c r="T488" i="3"/>
  <c r="S493" i="3"/>
  <c r="R498" i="3"/>
  <c r="Q503" i="3"/>
  <c r="P508" i="3"/>
  <c r="O513" i="3"/>
  <c r="Y513" i="3" s="1"/>
  <c r="N518" i="3"/>
  <c r="M523" i="3"/>
  <c r="J245" i="3"/>
  <c r="J289" i="3"/>
  <c r="T314" i="3"/>
  <c r="M335" i="3"/>
  <c r="N354" i="3"/>
  <c r="S366" i="3"/>
  <c r="Q376" i="3"/>
  <c r="N385" i="3"/>
  <c r="K393" i="3"/>
  <c r="J401" i="3"/>
  <c r="V408" i="3"/>
  <c r="U416" i="3"/>
  <c r="S424" i="3"/>
  <c r="P432" i="3"/>
  <c r="N440" i="3"/>
  <c r="U446" i="3"/>
  <c r="O453" i="3"/>
  <c r="J460" i="3"/>
  <c r="Q466" i="3"/>
  <c r="K473" i="3"/>
  <c r="S479" i="3"/>
  <c r="M486" i="3"/>
  <c r="V230" i="3"/>
  <c r="P281" i="3"/>
  <c r="S309" i="3"/>
  <c r="T330" i="3"/>
  <c r="P350" i="3"/>
  <c r="L364" i="3"/>
  <c r="P374" i="3"/>
  <c r="P383" i="3"/>
  <c r="M391" i="3"/>
  <c r="L399" i="3"/>
  <c r="K407" i="3"/>
  <c r="J415" i="3"/>
  <c r="U422" i="3"/>
  <c r="R430" i="3"/>
  <c r="Q438" i="3"/>
  <c r="N445" i="3"/>
  <c r="V451" i="3"/>
  <c r="P458" i="3"/>
  <c r="J465" i="3"/>
  <c r="R471" i="3"/>
  <c r="L478" i="3"/>
  <c r="S484" i="3"/>
  <c r="N491" i="3"/>
  <c r="U497" i="3"/>
  <c r="O504" i="3"/>
  <c r="J511" i="3"/>
  <c r="Q517" i="3"/>
  <c r="T202" i="3"/>
  <c r="T266" i="3"/>
  <c r="V300" i="3"/>
  <c r="P323" i="3"/>
  <c r="L343" i="3"/>
  <c r="Q359" i="3"/>
  <c r="V370" i="3"/>
  <c r="L380" i="3"/>
  <c r="Q388" i="3"/>
  <c r="O396" i="3"/>
  <c r="L404" i="3"/>
  <c r="K412" i="3"/>
  <c r="J420" i="3"/>
  <c r="V427" i="3"/>
  <c r="T435" i="3"/>
  <c r="V442" i="3"/>
  <c r="Q449" i="3"/>
  <c r="K456" i="3"/>
  <c r="R462" i="3"/>
  <c r="M469" i="3"/>
  <c r="K99" i="3"/>
  <c r="Q346" i="3"/>
  <c r="N371" i="3"/>
  <c r="N225" i="3"/>
  <c r="K398" i="3"/>
  <c r="U476" i="3"/>
  <c r="U508" i="3"/>
  <c r="U221" i="3"/>
  <c r="M306" i="3"/>
  <c r="P347" i="3"/>
  <c r="J377" i="3"/>
  <c r="Q397" i="3"/>
  <c r="M417" i="3"/>
  <c r="V436" i="3"/>
  <c r="P283" i="3"/>
  <c r="U331" i="3"/>
  <c r="N367" i="3"/>
  <c r="S389" i="3"/>
  <c r="O409" i="3"/>
  <c r="K429" i="3"/>
  <c r="T448" i="3"/>
  <c r="P468" i="3"/>
  <c r="L488" i="3"/>
  <c r="U507" i="3"/>
  <c r="O237" i="3"/>
  <c r="P352" i="3"/>
  <c r="M392" i="3"/>
  <c r="S423" i="3"/>
  <c r="R452" i="3"/>
  <c r="U478" i="3"/>
  <c r="U306" i="3"/>
  <c r="M373" i="3"/>
  <c r="J406" i="3"/>
  <c r="R437" i="3"/>
  <c r="M464" i="3"/>
  <c r="P490" i="3"/>
  <c r="S516" i="3"/>
  <c r="J321" i="3"/>
  <c r="V378" i="3"/>
  <c r="L411" i="3"/>
  <c r="L442" i="3"/>
  <c r="O468" i="3"/>
  <c r="T484" i="3"/>
  <c r="T271" i="3"/>
  <c r="S312" i="3"/>
  <c r="U335" i="3"/>
  <c r="R356" i="3"/>
  <c r="V369" i="3"/>
  <c r="P381" i="3"/>
  <c r="Q390" i="3"/>
  <c r="P399" i="3"/>
  <c r="M407" i="3"/>
  <c r="L415" i="3"/>
  <c r="K423" i="3"/>
  <c r="J431" i="3"/>
  <c r="U438" i="3"/>
  <c r="Q445" i="3"/>
  <c r="K452" i="3"/>
  <c r="S458" i="3"/>
  <c r="M465" i="3"/>
  <c r="T471" i="3"/>
  <c r="O478" i="3"/>
  <c r="U217" i="3"/>
  <c r="J273" i="3"/>
  <c r="V304" i="3"/>
  <c r="R326" i="3"/>
  <c r="N346" i="3"/>
  <c r="Q361" i="3"/>
  <c r="Q372" i="3"/>
  <c r="R381" i="3"/>
  <c r="T389" i="3"/>
  <c r="R397" i="3"/>
  <c r="O405" i="3"/>
  <c r="N413" i="3"/>
  <c r="M421" i="3"/>
  <c r="L429" i="3"/>
  <c r="J437" i="3"/>
  <c r="J444" i="3"/>
  <c r="Q450" i="3"/>
  <c r="K457" i="3"/>
  <c r="S463" i="3"/>
  <c r="M470" i="3"/>
  <c r="T476" i="3"/>
  <c r="R302" i="3"/>
  <c r="M357" i="3"/>
  <c r="K384" i="3"/>
  <c r="T404" i="3"/>
  <c r="M426" i="3"/>
  <c r="U445" i="3"/>
  <c r="L463" i="3"/>
  <c r="K480" i="3"/>
  <c r="L490" i="3"/>
  <c r="R497" i="3"/>
  <c r="K505" i="3"/>
  <c r="S512" i="3"/>
  <c r="M520" i="3"/>
  <c r="K526" i="3"/>
  <c r="J531" i="3"/>
  <c r="V535" i="3"/>
  <c r="U540" i="3"/>
  <c r="T545" i="3"/>
  <c r="S550" i="3"/>
  <c r="R555" i="3"/>
  <c r="Q560" i="3"/>
  <c r="P565" i="3"/>
  <c r="O570" i="3"/>
  <c r="N575" i="3"/>
  <c r="M580" i="3"/>
  <c r="L585" i="3"/>
  <c r="K590" i="3"/>
  <c r="J595" i="3"/>
  <c r="V599" i="3"/>
  <c r="U604" i="3"/>
  <c r="T609" i="3"/>
  <c r="S614" i="3"/>
  <c r="R619" i="3"/>
  <c r="Q624" i="3"/>
  <c r="P629" i="3"/>
  <c r="O634" i="3"/>
  <c r="Y634" i="3" s="1"/>
  <c r="N639" i="3"/>
  <c r="M644" i="3"/>
  <c r="L649" i="3"/>
  <c r="K654" i="3"/>
  <c r="J659" i="3"/>
  <c r="N219" i="3"/>
  <c r="R319" i="3"/>
  <c r="M365" i="3"/>
  <c r="U389" i="3"/>
  <c r="S410" i="3"/>
  <c r="P431" i="3"/>
  <c r="S450" i="3"/>
  <c r="J468" i="3"/>
  <c r="N483" i="3"/>
  <c r="L492" i="3"/>
  <c r="S499" i="3"/>
  <c r="L507" i="3"/>
  <c r="S514" i="3"/>
  <c r="L522" i="3"/>
  <c r="O527" i="3"/>
  <c r="Y527" i="3" s="1"/>
  <c r="N532" i="3"/>
  <c r="M537" i="3"/>
  <c r="L542" i="3"/>
  <c r="K547" i="3"/>
  <c r="J552" i="3"/>
  <c r="V556" i="3"/>
  <c r="U561" i="3"/>
  <c r="T566" i="3"/>
  <c r="S571" i="3"/>
  <c r="R576" i="3"/>
  <c r="Q581" i="3"/>
  <c r="P586" i="3"/>
  <c r="O591" i="3"/>
  <c r="Y591" i="3" s="1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Y655" i="3" s="1"/>
  <c r="N660" i="3"/>
  <c r="T287" i="3"/>
  <c r="U346" i="3"/>
  <c r="S378" i="3"/>
  <c r="S400" i="3"/>
  <c r="O421" i="3"/>
  <c r="U441" i="3"/>
  <c r="S459" i="3"/>
  <c r="J477" i="3"/>
  <c r="P488" i="3"/>
  <c r="J496" i="3"/>
  <c r="P503" i="3"/>
  <c r="K511" i="3"/>
  <c r="Q518" i="3"/>
  <c r="J525" i="3"/>
  <c r="V529" i="3"/>
  <c r="U534" i="3"/>
  <c r="T539" i="3"/>
  <c r="S544" i="3"/>
  <c r="R549" i="3"/>
  <c r="Q554" i="3"/>
  <c r="P559" i="3"/>
  <c r="O564" i="3"/>
  <c r="N569" i="3"/>
  <c r="M574" i="3"/>
  <c r="L579" i="3"/>
  <c r="K584" i="3"/>
  <c r="J589" i="3"/>
  <c r="V593" i="3"/>
  <c r="U598" i="3"/>
  <c r="T603" i="3"/>
  <c r="S608" i="3"/>
  <c r="R613" i="3"/>
  <c r="Q618" i="3"/>
  <c r="P623" i="3"/>
  <c r="O628" i="3"/>
  <c r="Y628" i="3" s="1"/>
  <c r="N633" i="3"/>
  <c r="M638" i="3"/>
  <c r="L643" i="3"/>
  <c r="K648" i="3"/>
  <c r="J653" i="3"/>
  <c r="V657" i="3"/>
  <c r="N264" i="3"/>
  <c r="R334" i="3"/>
  <c r="U373" i="3"/>
  <c r="V395" i="3"/>
  <c r="S416" i="3"/>
  <c r="J438" i="3"/>
  <c r="S455" i="3"/>
  <c r="J473" i="3"/>
  <c r="L486" i="3"/>
  <c r="O494" i="3"/>
  <c r="Y494" i="3" s="1"/>
  <c r="U501" i="3"/>
  <c r="O509" i="3"/>
  <c r="Y509" i="3" s="1"/>
  <c r="V516" i="3"/>
  <c r="V523" i="3"/>
  <c r="U528" i="3"/>
  <c r="T533" i="3"/>
  <c r="S538" i="3"/>
  <c r="R543" i="3"/>
  <c r="Q548" i="3"/>
  <c r="P553" i="3"/>
  <c r="O558" i="3"/>
  <c r="N563" i="3"/>
  <c r="M568" i="3"/>
  <c r="L573" i="3"/>
  <c r="K578" i="3"/>
  <c r="J583" i="3"/>
  <c r="V587" i="3"/>
  <c r="U592" i="3"/>
  <c r="T597" i="3"/>
  <c r="S602" i="3"/>
  <c r="R607" i="3"/>
  <c r="Q612" i="3"/>
  <c r="P617" i="3"/>
  <c r="O622" i="3"/>
  <c r="Y622" i="3" s="1"/>
  <c r="N627" i="3"/>
  <c r="M632" i="3"/>
  <c r="L637" i="3"/>
  <c r="K642" i="3"/>
  <c r="J647" i="3"/>
  <c r="V651" i="3"/>
  <c r="U656" i="3"/>
  <c r="R195" i="3"/>
  <c r="S316" i="3"/>
  <c r="P363" i="3"/>
  <c r="K388" i="3"/>
  <c r="Q409" i="3"/>
  <c r="O430" i="3"/>
  <c r="Y430" i="3" s="1"/>
  <c r="M449" i="3"/>
  <c r="K467" i="3"/>
  <c r="Q482" i="3"/>
  <c r="S491" i="3"/>
  <c r="L499" i="3"/>
  <c r="S506" i="3"/>
  <c r="L514" i="3"/>
  <c r="S521" i="3"/>
  <c r="K527" i="3"/>
  <c r="J532" i="3"/>
  <c r="V536" i="3"/>
  <c r="U541" i="3"/>
  <c r="T546" i="3"/>
  <c r="S551" i="3"/>
  <c r="R556" i="3"/>
  <c r="Q561" i="3"/>
  <c r="M362" i="3"/>
  <c r="Q422" i="3"/>
  <c r="J472" i="3"/>
  <c r="V498" i="3"/>
  <c r="J519" i="3"/>
  <c r="O533" i="3"/>
  <c r="R546" i="3"/>
  <c r="T559" i="3"/>
  <c r="M570" i="3"/>
  <c r="K580" i="3"/>
  <c r="V589" i="3"/>
  <c r="T599" i="3"/>
  <c r="R609" i="3"/>
  <c r="P619" i="3"/>
  <c r="N629" i="3"/>
  <c r="L639" i="3"/>
  <c r="J649" i="3"/>
  <c r="U658" i="3"/>
  <c r="M665" i="3"/>
  <c r="L670" i="3"/>
  <c r="K675" i="3"/>
  <c r="U208" i="3"/>
  <c r="T380" i="3"/>
  <c r="N437" i="3"/>
  <c r="S482" i="3"/>
  <c r="K504" i="3"/>
  <c r="U523" i="3"/>
  <c r="J537" i="3"/>
  <c r="J550" i="3"/>
  <c r="V562" i="3"/>
  <c r="T572" i="3"/>
  <c r="R582" i="3"/>
  <c r="P592" i="3"/>
  <c r="N602" i="3"/>
  <c r="L612" i="3"/>
  <c r="J622" i="3"/>
  <c r="U631" i="3"/>
  <c r="S641" i="3"/>
  <c r="Q651" i="3"/>
  <c r="N661" i="3"/>
  <c r="Q666" i="3"/>
  <c r="P671" i="3"/>
  <c r="O676" i="3"/>
  <c r="Y676" i="3" s="1"/>
  <c r="N681" i="3"/>
  <c r="M686" i="3"/>
  <c r="L691" i="3"/>
  <c r="K696" i="3"/>
  <c r="J701" i="3"/>
  <c r="V705" i="3"/>
  <c r="U710" i="3"/>
  <c r="T715" i="3"/>
  <c r="S720" i="3"/>
  <c r="R725" i="3"/>
  <c r="Q730" i="3"/>
  <c r="P735" i="3"/>
  <c r="O740" i="3"/>
  <c r="N745" i="3"/>
  <c r="M750" i="3"/>
  <c r="L755" i="3"/>
  <c r="K760" i="3"/>
  <c r="J765" i="3"/>
  <c r="V769" i="3"/>
  <c r="U774" i="3"/>
  <c r="T779" i="3"/>
  <c r="S784" i="3"/>
  <c r="R789" i="3"/>
  <c r="Q794" i="3"/>
  <c r="P799" i="3"/>
  <c r="O804" i="3"/>
  <c r="Y804" i="3" s="1"/>
  <c r="N809" i="3"/>
  <c r="M814" i="3"/>
  <c r="K195" i="3"/>
  <c r="V214" i="3"/>
  <c r="L187" i="3"/>
  <c r="V254" i="3"/>
  <c r="J403" i="3"/>
  <c r="T481" i="3"/>
  <c r="K510" i="3"/>
  <c r="Q229" i="3"/>
  <c r="K309" i="3"/>
  <c r="V349" i="3"/>
  <c r="O378" i="3"/>
  <c r="Y378" i="3" s="1"/>
  <c r="T398" i="3"/>
  <c r="P418" i="3"/>
  <c r="L438" i="3"/>
  <c r="R287" i="3"/>
  <c r="N334" i="3"/>
  <c r="J369" i="3"/>
  <c r="V390" i="3"/>
  <c r="R410" i="3"/>
  <c r="N430" i="3"/>
  <c r="J450" i="3"/>
  <c r="S469" i="3"/>
  <c r="O489" i="3"/>
  <c r="K509" i="3"/>
  <c r="L252" i="3"/>
  <c r="L356" i="3"/>
  <c r="L394" i="3"/>
  <c r="R425" i="3"/>
  <c r="M454" i="3"/>
  <c r="P480" i="3"/>
  <c r="P312" i="3"/>
  <c r="P375" i="3"/>
  <c r="K408" i="3"/>
  <c r="R439" i="3"/>
  <c r="U465" i="3"/>
  <c r="K492" i="3"/>
  <c r="O518" i="3"/>
  <c r="V325" i="3"/>
  <c r="N381" i="3"/>
  <c r="L413" i="3"/>
  <c r="T443" i="3"/>
  <c r="J470" i="3"/>
  <c r="K488" i="3"/>
  <c r="J286" i="3"/>
  <c r="P315" i="3"/>
  <c r="N338" i="3"/>
  <c r="N358" i="3"/>
  <c r="P372" i="3"/>
  <c r="P382" i="3"/>
  <c r="R391" i="3"/>
  <c r="O400" i="3"/>
  <c r="Y400" i="3" s="1"/>
  <c r="N408" i="3"/>
  <c r="M416" i="3"/>
  <c r="K424" i="3"/>
  <c r="U431" i="3"/>
  <c r="T439" i="3"/>
  <c r="O446" i="3"/>
  <c r="V452" i="3"/>
  <c r="P459" i="3"/>
  <c r="K466" i="3"/>
  <c r="R472" i="3"/>
  <c r="L479" i="3"/>
  <c r="K226" i="3"/>
  <c r="V277" i="3"/>
  <c r="T307" i="3"/>
  <c r="K329" i="3"/>
  <c r="T348" i="3"/>
  <c r="M363" i="3"/>
  <c r="T373" i="3"/>
  <c r="S382" i="3"/>
  <c r="R390" i="3"/>
  <c r="Q398" i="3"/>
  <c r="P406" i="3"/>
  <c r="O414" i="3"/>
  <c r="Y414" i="3" s="1"/>
  <c r="M422" i="3"/>
  <c r="J430" i="3"/>
  <c r="V437" i="3"/>
  <c r="T444" i="3"/>
  <c r="O451" i="3"/>
  <c r="V457" i="3"/>
  <c r="P464" i="3"/>
  <c r="K471" i="3"/>
  <c r="J167" i="3"/>
  <c r="L311" i="3"/>
  <c r="P360" i="3"/>
  <c r="U386" i="3"/>
  <c r="S407" i="3"/>
  <c r="Q428" i="3"/>
  <c r="M448" i="3"/>
  <c r="Q465" i="3"/>
  <c r="S481" i="3"/>
  <c r="K491" i="3"/>
  <c r="Q498" i="3"/>
  <c r="L506" i="3"/>
  <c r="R513" i="3"/>
  <c r="K521" i="3"/>
  <c r="S526" i="3"/>
  <c r="R531" i="3"/>
  <c r="Q536" i="3"/>
  <c r="P541" i="3"/>
  <c r="O546" i="3"/>
  <c r="N551" i="3"/>
  <c r="M556" i="3"/>
  <c r="L561" i="3"/>
  <c r="K566" i="3"/>
  <c r="J571" i="3"/>
  <c r="V575" i="3"/>
  <c r="U580" i="3"/>
  <c r="T585" i="3"/>
  <c r="S590" i="3"/>
  <c r="R595" i="3"/>
  <c r="Q600" i="3"/>
  <c r="P605" i="3"/>
  <c r="O610" i="3"/>
  <c r="Y610" i="3" s="1"/>
  <c r="N615" i="3"/>
  <c r="M620" i="3"/>
  <c r="L625" i="3"/>
  <c r="K630" i="3"/>
  <c r="J635" i="3"/>
  <c r="V639" i="3"/>
  <c r="U644" i="3"/>
  <c r="T649" i="3"/>
  <c r="S654" i="3"/>
  <c r="R659" i="3"/>
  <c r="M235" i="3"/>
  <c r="K327" i="3"/>
  <c r="K369" i="3"/>
  <c r="K392" i="3"/>
  <c r="O413" i="3"/>
  <c r="Y413" i="3" s="1"/>
  <c r="M434" i="3"/>
  <c r="Q452" i="3"/>
  <c r="O470" i="3"/>
  <c r="Y470" i="3" s="1"/>
  <c r="O484" i="3"/>
  <c r="L493" i="3"/>
  <c r="R500" i="3"/>
  <c r="K508" i="3"/>
  <c r="Q515" i="3"/>
  <c r="V522" i="3"/>
  <c r="J528" i="3"/>
  <c r="V532" i="3"/>
  <c r="U537" i="3"/>
  <c r="T542" i="3"/>
  <c r="S547" i="3"/>
  <c r="R552" i="3"/>
  <c r="Q557" i="3"/>
  <c r="P562" i="3"/>
  <c r="O567" i="3"/>
  <c r="Y567" i="3" s="1"/>
  <c r="N572" i="3"/>
  <c r="M577" i="3"/>
  <c r="L582" i="3"/>
  <c r="K587" i="3"/>
  <c r="J592" i="3"/>
  <c r="V596" i="3"/>
  <c r="U601" i="3"/>
  <c r="T606" i="3"/>
  <c r="S611" i="3"/>
  <c r="R616" i="3"/>
  <c r="Q621" i="3"/>
  <c r="P626" i="3"/>
  <c r="O631" i="3"/>
  <c r="Y631" i="3" s="1"/>
  <c r="N636" i="3"/>
  <c r="M641" i="3"/>
  <c r="L646" i="3"/>
  <c r="K651" i="3"/>
  <c r="J656" i="3"/>
  <c r="V660" i="3"/>
  <c r="U295" i="3"/>
  <c r="S353" i="3"/>
  <c r="T381" i="3"/>
  <c r="U402" i="3"/>
  <c r="N424" i="3"/>
  <c r="L444" i="3"/>
  <c r="Q461" i="3"/>
  <c r="R478" i="3"/>
  <c r="P489" i="3"/>
  <c r="V496" i="3"/>
  <c r="P504" i="3"/>
  <c r="J512" i="3"/>
  <c r="P519" i="3"/>
  <c r="R525" i="3"/>
  <c r="Q530" i="3"/>
  <c r="P535" i="3"/>
  <c r="O540" i="3"/>
  <c r="N545" i="3"/>
  <c r="M550" i="3"/>
  <c r="L555" i="3"/>
  <c r="K560" i="3"/>
  <c r="J565" i="3"/>
  <c r="V569" i="3"/>
  <c r="U574" i="3"/>
  <c r="T579" i="3"/>
  <c r="S584" i="3"/>
  <c r="R589" i="3"/>
  <c r="Q594" i="3"/>
  <c r="P599" i="3"/>
  <c r="O604" i="3"/>
  <c r="Y604" i="3" s="1"/>
  <c r="N609" i="3"/>
  <c r="M614" i="3"/>
  <c r="L619" i="3"/>
  <c r="K624" i="3"/>
  <c r="J629" i="3"/>
  <c r="V633" i="3"/>
  <c r="U638" i="3"/>
  <c r="T643" i="3"/>
  <c r="S648" i="3"/>
  <c r="R653" i="3"/>
  <c r="Q658" i="3"/>
  <c r="J279" i="3"/>
  <c r="V341" i="3"/>
  <c r="O376" i="3"/>
  <c r="Y376" i="3" s="1"/>
  <c r="R398" i="3"/>
  <c r="P419" i="3"/>
  <c r="M440" i="3"/>
  <c r="K458" i="3"/>
  <c r="O475" i="3"/>
  <c r="R487" i="3"/>
  <c r="M495" i="3"/>
  <c r="U502" i="3"/>
  <c r="O510" i="3"/>
  <c r="Y510" i="3" s="1"/>
  <c r="U517" i="3"/>
  <c r="Q524" i="3"/>
  <c r="P529" i="3"/>
  <c r="O534" i="3"/>
  <c r="N539" i="3"/>
  <c r="M544" i="3"/>
  <c r="L549" i="3"/>
  <c r="K554" i="3"/>
  <c r="J559" i="3"/>
  <c r="V563" i="3"/>
  <c r="U568" i="3"/>
  <c r="T573" i="3"/>
  <c r="S578" i="3"/>
  <c r="R583" i="3"/>
  <c r="Q588" i="3"/>
  <c r="P593" i="3"/>
  <c r="O598" i="3"/>
  <c r="Y598" i="3" s="1"/>
  <c r="N603" i="3"/>
  <c r="M608" i="3"/>
  <c r="L613" i="3"/>
  <c r="K618" i="3"/>
  <c r="J623" i="3"/>
  <c r="V627" i="3"/>
  <c r="U632" i="3"/>
  <c r="T637" i="3"/>
  <c r="S642" i="3"/>
  <c r="R647" i="3"/>
  <c r="Q652" i="3"/>
  <c r="P657" i="3"/>
  <c r="Q227" i="3"/>
  <c r="N322" i="3"/>
  <c r="Q367" i="3"/>
  <c r="J391" i="3"/>
  <c r="T411" i="3"/>
  <c r="K433" i="3"/>
  <c r="Q451" i="3"/>
  <c r="V468" i="3"/>
  <c r="S483" i="3"/>
  <c r="R492" i="3"/>
  <c r="K500" i="3"/>
  <c r="Q507" i="3"/>
  <c r="L515" i="3"/>
  <c r="Q522" i="3"/>
  <c r="S527" i="3"/>
  <c r="R532" i="3"/>
  <c r="Q537" i="3"/>
  <c r="P542" i="3"/>
  <c r="O547" i="3"/>
  <c r="Y547" i="3" s="1"/>
  <c r="N552" i="3"/>
  <c r="M557" i="3"/>
  <c r="L562" i="3"/>
  <c r="R371" i="3"/>
  <c r="O429" i="3"/>
  <c r="Y429" i="3" s="1"/>
  <c r="U477" i="3"/>
  <c r="N501" i="3"/>
  <c r="P521" i="3"/>
  <c r="L535" i="3"/>
  <c r="L548" i="3"/>
  <c r="O561" i="3"/>
  <c r="Y561" i="3" s="1"/>
  <c r="P571" i="3"/>
  <c r="N581" i="3"/>
  <c r="L591" i="3"/>
  <c r="J601" i="3"/>
  <c r="U610" i="3"/>
  <c r="S620" i="3"/>
  <c r="Q630" i="3"/>
  <c r="O640" i="3"/>
  <c r="M650" i="3"/>
  <c r="K660" i="3"/>
  <c r="U665" i="3"/>
  <c r="T670" i="3"/>
  <c r="S675" i="3"/>
  <c r="M264" i="3"/>
  <c r="T388" i="3"/>
  <c r="O443" i="3"/>
  <c r="Y443" i="3" s="1"/>
  <c r="J486" i="3"/>
  <c r="T506" i="3"/>
  <c r="O525" i="3"/>
  <c r="R538" i="3"/>
  <c r="T551" i="3"/>
  <c r="L564" i="3"/>
  <c r="J574" i="3"/>
  <c r="U583" i="3"/>
  <c r="S593" i="3"/>
  <c r="Q603" i="3"/>
  <c r="O613" i="3"/>
  <c r="Y613" i="3" s="1"/>
  <c r="M623" i="3"/>
  <c r="K633" i="3"/>
  <c r="V642" i="3"/>
  <c r="T652" i="3"/>
  <c r="L662" i="3"/>
  <c r="L667" i="3"/>
  <c r="K672" i="3"/>
  <c r="J677" i="3"/>
  <c r="V681" i="3"/>
  <c r="U686" i="3"/>
  <c r="T691" i="3"/>
  <c r="S696" i="3"/>
  <c r="R701" i="3"/>
  <c r="Q706" i="3"/>
  <c r="P711" i="3"/>
  <c r="O716" i="3"/>
  <c r="N721" i="3"/>
  <c r="M726" i="3"/>
  <c r="L731" i="3"/>
  <c r="K736" i="3"/>
  <c r="J741" i="3"/>
  <c r="V745" i="3"/>
  <c r="U750" i="3"/>
  <c r="T755" i="3"/>
  <c r="S760" i="3"/>
  <c r="R765" i="3"/>
  <c r="Q770" i="3"/>
  <c r="P775" i="3"/>
  <c r="O780" i="3"/>
  <c r="Y780" i="3" s="1"/>
  <c r="N785" i="3"/>
  <c r="M790" i="3"/>
  <c r="L795" i="3"/>
  <c r="K800" i="3"/>
  <c r="J805" i="3"/>
  <c r="V809" i="3"/>
  <c r="U814" i="3"/>
  <c r="N212" i="3"/>
  <c r="Q301" i="3"/>
  <c r="S240" i="3"/>
  <c r="Q307" i="3"/>
  <c r="T417" i="3"/>
  <c r="K494" i="3"/>
  <c r="T513" i="3"/>
  <c r="J252" i="3"/>
  <c r="Q317" i="3"/>
  <c r="T356" i="3"/>
  <c r="R382" i="3"/>
  <c r="P402" i="3"/>
  <c r="L422" i="3"/>
  <c r="J192" i="3"/>
  <c r="V298" i="3"/>
  <c r="S341" i="3"/>
  <c r="S373" i="3"/>
  <c r="R394" i="3"/>
  <c r="N414" i="3"/>
  <c r="J434" i="3"/>
  <c r="S453" i="3"/>
  <c r="O473" i="3"/>
  <c r="Y473" i="3" s="1"/>
  <c r="K493" i="3"/>
  <c r="T512" i="3"/>
  <c r="L285" i="3"/>
  <c r="N365" i="3"/>
  <c r="K400" i="3"/>
  <c r="R431" i="3"/>
  <c r="L459" i="3"/>
  <c r="O485" i="3"/>
  <c r="Y485" i="3" s="1"/>
  <c r="N328" i="3"/>
  <c r="N382" i="3"/>
  <c r="V413" i="3"/>
  <c r="Q444" i="3"/>
  <c r="T470" i="3"/>
  <c r="J497" i="3"/>
  <c r="J183" i="3"/>
  <c r="S340" i="3"/>
  <c r="P387" i="3"/>
  <c r="V418" i="3"/>
  <c r="S448" i="3"/>
  <c r="V474" i="3"/>
  <c r="Q145" i="3"/>
  <c r="K290" i="3"/>
  <c r="N318" i="3"/>
  <c r="T340" i="3"/>
  <c r="O361" i="3"/>
  <c r="Y361" i="3" s="1"/>
  <c r="R373" i="3"/>
  <c r="S383" i="3"/>
  <c r="P392" i="3"/>
  <c r="P401" i="3"/>
  <c r="N409" i="3"/>
  <c r="K417" i="3"/>
  <c r="J425" i="3"/>
  <c r="V432" i="3"/>
  <c r="R440" i="3"/>
  <c r="L447" i="3"/>
  <c r="T453" i="3"/>
  <c r="N460" i="3"/>
  <c r="U466" i="3"/>
  <c r="P473" i="3"/>
  <c r="J480" i="3"/>
  <c r="T233" i="3"/>
  <c r="U282" i="3"/>
  <c r="Q310" i="3"/>
  <c r="Q331" i="3"/>
  <c r="M351" i="3"/>
  <c r="T364" i="3"/>
  <c r="S374" i="3"/>
  <c r="T383" i="3"/>
  <c r="S391" i="3"/>
  <c r="R399" i="3"/>
  <c r="P407" i="3"/>
  <c r="M415" i="3"/>
  <c r="L423" i="3"/>
  <c r="K431" i="3"/>
  <c r="J439" i="3"/>
  <c r="R445" i="3"/>
  <c r="L452" i="3"/>
  <c r="T458" i="3"/>
  <c r="N465" i="3"/>
  <c r="U471" i="3"/>
  <c r="V209" i="3"/>
  <c r="Q319" i="3"/>
  <c r="K365" i="3"/>
  <c r="L389" i="3"/>
  <c r="Q410" i="3"/>
  <c r="M431" i="3"/>
  <c r="K450" i="3"/>
  <c r="V467" i="3"/>
  <c r="U482" i="3"/>
  <c r="J492" i="3"/>
  <c r="Q499" i="3"/>
  <c r="K507" i="3"/>
  <c r="Q514" i="3"/>
  <c r="K522" i="3"/>
  <c r="N527" i="3"/>
  <c r="M532" i="3"/>
  <c r="L537" i="3"/>
  <c r="K542" i="3"/>
  <c r="J547" i="3"/>
  <c r="V551" i="3"/>
  <c r="U556" i="3"/>
  <c r="T561" i="3"/>
  <c r="S566" i="3"/>
  <c r="R571" i="3"/>
  <c r="Q576" i="3"/>
  <c r="P581" i="3"/>
  <c r="O586" i="3"/>
  <c r="Y586" i="3" s="1"/>
  <c r="N591" i="3"/>
  <c r="M596" i="3"/>
  <c r="L601" i="3"/>
  <c r="K606" i="3"/>
  <c r="J611" i="3"/>
  <c r="V615" i="3"/>
  <c r="U620" i="3"/>
  <c r="T625" i="3"/>
  <c r="S630" i="3"/>
  <c r="R635" i="3"/>
  <c r="Q640" i="3"/>
  <c r="P645" i="3"/>
  <c r="O650" i="3"/>
  <c r="Y650" i="3" s="1"/>
  <c r="N655" i="3"/>
  <c r="M660" i="3"/>
  <c r="S257" i="3"/>
  <c r="L332" i="3"/>
  <c r="R372" i="3"/>
  <c r="U394" i="3"/>
  <c r="S415" i="3"/>
  <c r="L437" i="3"/>
  <c r="U454" i="3"/>
  <c r="M472" i="3"/>
  <c r="U485" i="3"/>
  <c r="J494" i="3"/>
  <c r="Q501" i="3"/>
  <c r="J509" i="3"/>
  <c r="Q516" i="3"/>
  <c r="S523" i="3"/>
  <c r="R528" i="3"/>
  <c r="Q533" i="3"/>
  <c r="P538" i="3"/>
  <c r="O543" i="3"/>
  <c r="Y543" i="3" s="1"/>
  <c r="N548" i="3"/>
  <c r="M553" i="3"/>
  <c r="L558" i="3"/>
  <c r="K563" i="3"/>
  <c r="J568" i="3"/>
  <c r="V572" i="3"/>
  <c r="U577" i="3"/>
  <c r="T582" i="3"/>
  <c r="S587" i="3"/>
  <c r="R592" i="3"/>
  <c r="Q597" i="3"/>
  <c r="P602" i="3"/>
  <c r="O607" i="3"/>
  <c r="Y607" i="3" s="1"/>
  <c r="N612" i="3"/>
  <c r="M617" i="3"/>
  <c r="L622" i="3"/>
  <c r="K627" i="3"/>
  <c r="J632" i="3"/>
  <c r="V636" i="3"/>
  <c r="U641" i="3"/>
  <c r="T646" i="3"/>
  <c r="S651" i="3"/>
  <c r="R656" i="3"/>
  <c r="Q661" i="3"/>
  <c r="Q305" i="3"/>
  <c r="O357" i="3"/>
  <c r="V384" i="3"/>
  <c r="T405" i="3"/>
  <c r="Q426" i="3"/>
  <c r="Q446" i="3"/>
  <c r="U463" i="3"/>
  <c r="N480" i="3"/>
  <c r="N490" i="3"/>
  <c r="V497" i="3"/>
  <c r="P505" i="3"/>
  <c r="V512" i="3"/>
  <c r="O520" i="3"/>
  <c r="Y520" i="3" s="1"/>
  <c r="M526" i="3"/>
  <c r="L531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N649" i="3"/>
  <c r="M654" i="3"/>
  <c r="L659" i="3"/>
  <c r="J288" i="3"/>
  <c r="M349" i="3"/>
  <c r="Q379" i="3"/>
  <c r="V400" i="3"/>
  <c r="O422" i="3"/>
  <c r="Q442" i="3"/>
  <c r="V459" i="3"/>
  <c r="R477" i="3"/>
  <c r="S488" i="3"/>
  <c r="N496" i="3"/>
  <c r="T503" i="3"/>
  <c r="M511" i="3"/>
  <c r="T518" i="3"/>
  <c r="L525" i="3"/>
  <c r="K530" i="3"/>
  <c r="J535" i="3"/>
  <c r="V539" i="3"/>
  <c r="U544" i="3"/>
  <c r="T549" i="3"/>
  <c r="S554" i="3"/>
  <c r="R559" i="3"/>
  <c r="Q564" i="3"/>
  <c r="P569" i="3"/>
  <c r="O574" i="3"/>
  <c r="Y574" i="3" s="1"/>
  <c r="N579" i="3"/>
  <c r="M584" i="3"/>
  <c r="L589" i="3"/>
  <c r="K594" i="3"/>
  <c r="J599" i="3"/>
  <c r="V603" i="3"/>
  <c r="U608" i="3"/>
  <c r="T613" i="3"/>
  <c r="S618" i="3"/>
  <c r="R623" i="3"/>
  <c r="Q628" i="3"/>
  <c r="P633" i="3"/>
  <c r="O638" i="3"/>
  <c r="Y638" i="3" s="1"/>
  <c r="N643" i="3"/>
  <c r="M648" i="3"/>
  <c r="L653" i="3"/>
  <c r="K658" i="3"/>
  <c r="N249" i="3"/>
  <c r="R329" i="3"/>
  <c r="Q370" i="3"/>
  <c r="S393" i="3"/>
  <c r="Q414" i="3"/>
  <c r="O435" i="3"/>
  <c r="Y435" i="3" s="1"/>
  <c r="V453" i="3"/>
  <c r="M471" i="3"/>
  <c r="L485" i="3"/>
  <c r="Q493" i="3"/>
  <c r="J501" i="3"/>
  <c r="R508" i="3"/>
  <c r="K516" i="3"/>
  <c r="O523" i="3"/>
  <c r="Y523" i="3" s="1"/>
  <c r="N528" i="3"/>
  <c r="M533" i="3"/>
  <c r="L538" i="3"/>
  <c r="K543" i="3"/>
  <c r="J548" i="3"/>
  <c r="V552" i="3"/>
  <c r="U557" i="3"/>
  <c r="K192" i="3"/>
  <c r="R380" i="3"/>
  <c r="L436" i="3"/>
  <c r="K482" i="3"/>
  <c r="J504" i="3"/>
  <c r="Q523" i="3"/>
  <c r="T536" i="3"/>
  <c r="V549" i="3"/>
  <c r="U562" i="3"/>
  <c r="S572" i="3"/>
  <c r="Q582" i="3"/>
  <c r="O592" i="3"/>
  <c r="Y592" i="3" s="1"/>
  <c r="M602" i="3"/>
  <c r="K612" i="3"/>
  <c r="V621" i="3"/>
  <c r="T631" i="3"/>
  <c r="R641" i="3"/>
  <c r="P651" i="3"/>
  <c r="M661" i="3"/>
  <c r="P666" i="3"/>
  <c r="O671" i="3"/>
  <c r="Y671" i="3" s="1"/>
  <c r="N676" i="3"/>
  <c r="J292" i="3"/>
  <c r="T395" i="3"/>
  <c r="U449" i="3"/>
  <c r="K489" i="3"/>
  <c r="M509" i="3"/>
  <c r="L527" i="3"/>
  <c r="L540" i="3"/>
  <c r="O553" i="3"/>
  <c r="Y553" i="3" s="1"/>
  <c r="O565" i="3"/>
  <c r="Y565" i="3" s="1"/>
  <c r="M575" i="3"/>
  <c r="K585" i="3"/>
  <c r="V594" i="3"/>
  <c r="T604" i="3"/>
  <c r="R614" i="3"/>
  <c r="P624" i="3"/>
  <c r="N634" i="3"/>
  <c r="L644" i="3"/>
  <c r="J654" i="3"/>
  <c r="U662" i="3"/>
  <c r="T667" i="3"/>
  <c r="S672" i="3"/>
  <c r="R677" i="3"/>
  <c r="Q682" i="3"/>
  <c r="P687" i="3"/>
  <c r="O692" i="3"/>
  <c r="Y692" i="3" s="1"/>
  <c r="N697" i="3"/>
  <c r="M702" i="3"/>
  <c r="L707" i="3"/>
  <c r="K712" i="3"/>
  <c r="J717" i="3"/>
  <c r="V721" i="3"/>
  <c r="U726" i="3"/>
  <c r="T731" i="3"/>
  <c r="S736" i="3"/>
  <c r="R741" i="3"/>
  <c r="Q746" i="3"/>
  <c r="P751" i="3"/>
  <c r="O756" i="3"/>
  <c r="N761" i="3"/>
  <c r="M766" i="3"/>
  <c r="L771" i="3"/>
  <c r="K776" i="3"/>
  <c r="J781" i="3"/>
  <c r="V785" i="3"/>
  <c r="U790" i="3"/>
  <c r="T795" i="3"/>
  <c r="S800" i="3"/>
  <c r="R805" i="3"/>
  <c r="Q810" i="3"/>
  <c r="P815" i="3"/>
  <c r="Q240" i="3"/>
  <c r="L308" i="3"/>
  <c r="O253" i="3"/>
  <c r="U318" i="3"/>
  <c r="S422" i="3"/>
  <c r="N495" i="3"/>
  <c r="J515" i="3"/>
  <c r="L259" i="3"/>
  <c r="N320" i="3"/>
  <c r="U358" i="3"/>
  <c r="J384" i="3"/>
  <c r="S403" i="3"/>
  <c r="O423" i="3"/>
  <c r="Y423" i="3" s="1"/>
  <c r="J208" i="3"/>
  <c r="M302" i="3"/>
  <c r="L344" i="3"/>
  <c r="K375" i="3"/>
  <c r="U395" i="3"/>
  <c r="Q415" i="3"/>
  <c r="M435" i="3"/>
  <c r="V454" i="3"/>
  <c r="R474" i="3"/>
  <c r="N494" i="3"/>
  <c r="J514" i="3"/>
  <c r="V292" i="3"/>
  <c r="K368" i="3"/>
  <c r="K402" i="3"/>
  <c r="Q433" i="3"/>
  <c r="T460" i="3"/>
  <c r="K487" i="3"/>
  <c r="M333" i="3"/>
  <c r="O384" i="3"/>
  <c r="Y384" i="3" s="1"/>
  <c r="U415" i="3"/>
  <c r="L446" i="3"/>
  <c r="O472" i="3"/>
  <c r="Y472" i="3" s="1"/>
  <c r="S498" i="3"/>
  <c r="U214" i="3"/>
  <c r="R345" i="3"/>
  <c r="O389" i="3"/>
  <c r="Y389" i="3" s="1"/>
  <c r="J421" i="3"/>
  <c r="N450" i="3"/>
  <c r="T475" i="3"/>
  <c r="R183" i="3"/>
  <c r="V293" i="3"/>
  <c r="K321" i="3"/>
  <c r="S345" i="3"/>
  <c r="L363" i="3"/>
  <c r="R374" i="3"/>
  <c r="S384" i="3"/>
  <c r="Q393" i="3"/>
  <c r="N402" i="3"/>
  <c r="M410" i="3"/>
  <c r="L418" i="3"/>
  <c r="K426" i="3"/>
  <c r="V433" i="3"/>
  <c r="P441" i="3"/>
  <c r="J448" i="3"/>
  <c r="Q454" i="3"/>
  <c r="L461" i="3"/>
  <c r="S467" i="3"/>
  <c r="M474" i="3"/>
  <c r="U480" i="3"/>
  <c r="U240" i="3"/>
  <c r="K287" i="3"/>
  <c r="O313" i="3"/>
  <c r="Y313" i="3" s="1"/>
  <c r="J334" i="3"/>
  <c r="O353" i="3"/>
  <c r="J366" i="3"/>
  <c r="V375" i="3"/>
  <c r="U384" i="3"/>
  <c r="S392" i="3"/>
  <c r="P400" i="3"/>
  <c r="O408" i="3"/>
  <c r="Y408" i="3" s="1"/>
  <c r="N416" i="3"/>
  <c r="M424" i="3"/>
  <c r="K432" i="3"/>
  <c r="U439" i="3"/>
  <c r="P446" i="3"/>
  <c r="J453" i="3"/>
  <c r="Q459" i="3"/>
  <c r="L466" i="3"/>
  <c r="S472" i="3"/>
  <c r="L235" i="3"/>
  <c r="T324" i="3"/>
  <c r="V368" i="3"/>
  <c r="U391" i="3"/>
  <c r="S412" i="3"/>
  <c r="L434" i="3"/>
  <c r="O452" i="3"/>
  <c r="Y452" i="3" s="1"/>
  <c r="T469" i="3"/>
  <c r="N484" i="3"/>
  <c r="J493" i="3"/>
  <c r="Q500" i="3"/>
  <c r="J508" i="3"/>
  <c r="P515" i="3"/>
  <c r="U522" i="3"/>
  <c r="V527" i="3"/>
  <c r="U532" i="3"/>
  <c r="T537" i="3"/>
  <c r="S542" i="3"/>
  <c r="R547" i="3"/>
  <c r="Q552" i="3"/>
  <c r="P557" i="3"/>
  <c r="O562" i="3"/>
  <c r="Y562" i="3" s="1"/>
  <c r="N567" i="3"/>
  <c r="M572" i="3"/>
  <c r="L577" i="3"/>
  <c r="K582" i="3"/>
  <c r="J587" i="3"/>
  <c r="V591" i="3"/>
  <c r="U596" i="3"/>
  <c r="T601" i="3"/>
  <c r="S606" i="3"/>
  <c r="R611" i="3"/>
  <c r="Q616" i="3"/>
  <c r="P621" i="3"/>
  <c r="O626" i="3"/>
  <c r="N631" i="3"/>
  <c r="M636" i="3"/>
  <c r="L641" i="3"/>
  <c r="K646" i="3"/>
  <c r="J651" i="3"/>
  <c r="V655" i="3"/>
  <c r="U660" i="3"/>
  <c r="K274" i="3"/>
  <c r="P339" i="3"/>
  <c r="M375" i="3"/>
  <c r="T397" i="3"/>
  <c r="Q418" i="3"/>
  <c r="M439" i="3"/>
  <c r="M457" i="3"/>
  <c r="Q474" i="3"/>
  <c r="J487" i="3"/>
  <c r="J495" i="3"/>
  <c r="P502" i="3"/>
  <c r="V509" i="3"/>
  <c r="O517" i="3"/>
  <c r="Y517" i="3" s="1"/>
  <c r="N524" i="3"/>
  <c r="M529" i="3"/>
  <c r="L534" i="3"/>
  <c r="K539" i="3"/>
  <c r="J544" i="3"/>
  <c r="V548" i="3"/>
  <c r="U553" i="3"/>
  <c r="T558" i="3"/>
  <c r="S563" i="3"/>
  <c r="R568" i="3"/>
  <c r="Q573" i="3"/>
  <c r="P578" i="3"/>
  <c r="O583" i="3"/>
  <c r="Y583" i="3" s="1"/>
  <c r="N588" i="3"/>
  <c r="M593" i="3"/>
  <c r="L598" i="3"/>
  <c r="K603" i="3"/>
  <c r="J608" i="3"/>
  <c r="V612" i="3"/>
  <c r="U617" i="3"/>
  <c r="T622" i="3"/>
  <c r="S627" i="3"/>
  <c r="R632" i="3"/>
  <c r="Q637" i="3"/>
  <c r="P642" i="3"/>
  <c r="O647" i="3"/>
  <c r="N652" i="3"/>
  <c r="M657" i="3"/>
  <c r="R170" i="3"/>
  <c r="V313" i="3"/>
  <c r="L362" i="3"/>
  <c r="L387" i="3"/>
  <c r="P408" i="3"/>
  <c r="N429" i="3"/>
  <c r="O448" i="3"/>
  <c r="Y448" i="3" s="1"/>
  <c r="M466" i="3"/>
  <c r="V481" i="3"/>
  <c r="O491" i="3"/>
  <c r="U498" i="3"/>
  <c r="N506" i="3"/>
  <c r="U513" i="3"/>
  <c r="N521" i="3"/>
  <c r="U526" i="3"/>
  <c r="T531" i="3"/>
  <c r="S536" i="3"/>
  <c r="R541" i="3"/>
  <c r="Q546" i="3"/>
  <c r="P551" i="3"/>
  <c r="O556" i="3"/>
  <c r="N561" i="3"/>
  <c r="M566" i="3"/>
  <c r="L571" i="3"/>
  <c r="K576" i="3"/>
  <c r="J581" i="3"/>
  <c r="V585" i="3"/>
  <c r="U590" i="3"/>
  <c r="T595" i="3"/>
  <c r="S600" i="3"/>
  <c r="R605" i="3"/>
  <c r="Q610" i="3"/>
  <c r="P615" i="3"/>
  <c r="O620" i="3"/>
  <c r="Y620" i="3" s="1"/>
  <c r="N625" i="3"/>
  <c r="M630" i="3"/>
  <c r="L635" i="3"/>
  <c r="K640" i="3"/>
  <c r="J645" i="3"/>
  <c r="V649" i="3"/>
  <c r="U654" i="3"/>
  <c r="T659" i="3"/>
  <c r="N299" i="3"/>
  <c r="M354" i="3"/>
  <c r="V382" i="3"/>
  <c r="T403" i="3"/>
  <c r="P424" i="3"/>
  <c r="V444" i="3"/>
  <c r="M462" i="3"/>
  <c r="M479" i="3"/>
  <c r="S489" i="3"/>
  <c r="M497" i="3"/>
  <c r="S504" i="3"/>
  <c r="M512" i="3"/>
  <c r="S519" i="3"/>
  <c r="T525" i="3"/>
  <c r="S530" i="3"/>
  <c r="R535" i="3"/>
  <c r="Q540" i="3"/>
  <c r="P545" i="3"/>
  <c r="O550" i="3"/>
  <c r="N555" i="3"/>
  <c r="M560" i="3"/>
  <c r="L565" i="3"/>
  <c r="K570" i="3"/>
  <c r="J575" i="3"/>
  <c r="V579" i="3"/>
  <c r="U584" i="3"/>
  <c r="T589" i="3"/>
  <c r="S594" i="3"/>
  <c r="R599" i="3"/>
  <c r="Q604" i="3"/>
  <c r="P609" i="3"/>
  <c r="O614" i="3"/>
  <c r="Y614" i="3" s="1"/>
  <c r="N619" i="3"/>
  <c r="M624" i="3"/>
  <c r="L629" i="3"/>
  <c r="K634" i="3"/>
  <c r="J639" i="3"/>
  <c r="V643" i="3"/>
  <c r="U648" i="3"/>
  <c r="T653" i="3"/>
  <c r="S658" i="3"/>
  <c r="O264" i="3"/>
  <c r="Y264" i="3" s="1"/>
  <c r="V336" i="3"/>
  <c r="V373" i="3"/>
  <c r="J396" i="3"/>
  <c r="P417" i="3"/>
  <c r="M438" i="3"/>
  <c r="T455" i="3"/>
  <c r="R473" i="3"/>
  <c r="Q486" i="3"/>
  <c r="P494" i="3"/>
  <c r="J502" i="3"/>
  <c r="Q509" i="3"/>
  <c r="J517" i="3"/>
  <c r="J524" i="3"/>
  <c r="V528" i="3"/>
  <c r="U533" i="3"/>
  <c r="T538" i="3"/>
  <c r="S543" i="3"/>
  <c r="R548" i="3"/>
  <c r="Q553" i="3"/>
  <c r="P558" i="3"/>
  <c r="R250" i="3"/>
  <c r="V387" i="3"/>
  <c r="N443" i="3"/>
  <c r="N485" i="3"/>
  <c r="P506" i="3"/>
  <c r="N525" i="3"/>
  <c r="N538" i="3"/>
  <c r="Q551" i="3"/>
  <c r="K564" i="3"/>
  <c r="V573" i="3"/>
  <c r="T583" i="3"/>
  <c r="R593" i="3"/>
  <c r="P603" i="3"/>
  <c r="N613" i="3"/>
  <c r="L623" i="3"/>
  <c r="J633" i="3"/>
  <c r="U642" i="3"/>
  <c r="S652" i="3"/>
  <c r="J662" i="3"/>
  <c r="K667" i="3"/>
  <c r="J672" i="3"/>
  <c r="V676" i="3"/>
  <c r="T316" i="3"/>
  <c r="V401" i="3"/>
  <c r="R455" i="3"/>
  <c r="T491" i="3"/>
  <c r="R511" i="3"/>
  <c r="T528" i="3"/>
  <c r="V541" i="3"/>
  <c r="V554" i="3"/>
  <c r="R566" i="3"/>
  <c r="P576" i="3"/>
  <c r="N586" i="3"/>
  <c r="L596" i="3"/>
  <c r="J606" i="3"/>
  <c r="U615" i="3"/>
  <c r="S625" i="3"/>
  <c r="Q635" i="3"/>
  <c r="O645" i="3"/>
  <c r="M655" i="3"/>
  <c r="P663" i="3"/>
  <c r="O668" i="3"/>
  <c r="Y668" i="3" s="1"/>
  <c r="N673" i="3"/>
  <c r="M678" i="3"/>
  <c r="L683" i="3"/>
  <c r="K688" i="3"/>
  <c r="J693" i="3"/>
  <c r="V697" i="3"/>
  <c r="U702" i="3"/>
  <c r="T707" i="3"/>
  <c r="S712" i="3"/>
  <c r="R717" i="3"/>
  <c r="Q722" i="3"/>
  <c r="P727" i="3"/>
  <c r="O732" i="3"/>
  <c r="Y732" i="3" s="1"/>
  <c r="N737" i="3"/>
  <c r="M742" i="3"/>
  <c r="L747" i="3"/>
  <c r="K752" i="3"/>
  <c r="J757" i="3"/>
  <c r="V761" i="3"/>
  <c r="U766" i="3"/>
  <c r="T771" i="3"/>
  <c r="S776" i="3"/>
  <c r="R781" i="3"/>
  <c r="Q786" i="3"/>
  <c r="P791" i="3"/>
  <c r="O796" i="3"/>
  <c r="Y796" i="3" s="1"/>
  <c r="N801" i="3"/>
  <c r="M806" i="3"/>
  <c r="L811" i="3"/>
  <c r="K816" i="3"/>
  <c r="V226" i="3"/>
  <c r="O326" i="3"/>
  <c r="Y326" i="3" s="1"/>
  <c r="J265" i="3"/>
  <c r="R348" i="3"/>
  <c r="P437" i="3"/>
  <c r="J499" i="3"/>
  <c r="S518" i="3"/>
  <c r="O275" i="3"/>
  <c r="Y275" i="3" s="1"/>
  <c r="T327" i="3"/>
  <c r="S364" i="3"/>
  <c r="S387" i="3"/>
  <c r="O407" i="3"/>
  <c r="Y407" i="3" s="1"/>
  <c r="K427" i="3"/>
  <c r="U233" i="3"/>
  <c r="V310" i="3"/>
  <c r="Q351" i="3"/>
  <c r="N379" i="3"/>
  <c r="Q399" i="3"/>
  <c r="M419" i="3"/>
  <c r="V438" i="3"/>
  <c r="R458" i="3"/>
  <c r="N478" i="3"/>
  <c r="J498" i="3"/>
  <c r="S517" i="3"/>
  <c r="J312" i="3"/>
  <c r="N375" i="3"/>
  <c r="U407" i="3"/>
  <c r="P439" i="3"/>
  <c r="S465" i="3"/>
  <c r="N223" i="3"/>
  <c r="J348" i="3"/>
  <c r="O390" i="3"/>
  <c r="U421" i="3"/>
  <c r="K451" i="3"/>
  <c r="N477" i="3"/>
  <c r="R503" i="3"/>
  <c r="M261" i="3"/>
  <c r="M358" i="3"/>
  <c r="O395" i="3"/>
  <c r="Y395" i="3" s="1"/>
  <c r="U426" i="3"/>
  <c r="M455" i="3"/>
  <c r="R476" i="3"/>
  <c r="R215" i="3"/>
  <c r="S297" i="3"/>
  <c r="J326" i="3"/>
  <c r="L348" i="3"/>
  <c r="P364" i="3"/>
  <c r="U375" i="3"/>
  <c r="R385" i="3"/>
  <c r="Q394" i="3"/>
  <c r="O403" i="3"/>
  <c r="Y403" i="3" s="1"/>
  <c r="N411" i="3"/>
  <c r="L419" i="3"/>
  <c r="V426" i="3"/>
  <c r="U434" i="3"/>
  <c r="M442" i="3"/>
  <c r="U448" i="3"/>
  <c r="O455" i="3"/>
  <c r="Y455" i="3" s="1"/>
  <c r="V461" i="3"/>
  <c r="Q468" i="3"/>
  <c r="K475" i="3"/>
  <c r="R481" i="3"/>
  <c r="R248" i="3"/>
  <c r="V290" i="3"/>
  <c r="L316" i="3"/>
  <c r="P336" i="3"/>
  <c r="O355" i="3"/>
  <c r="Y355" i="3" s="1"/>
  <c r="P367" i="3"/>
  <c r="K377" i="3"/>
  <c r="S385" i="3"/>
  <c r="R393" i="3"/>
  <c r="Q401" i="3"/>
  <c r="P409" i="3"/>
  <c r="N417" i="3"/>
  <c r="K425" i="3"/>
  <c r="J433" i="3"/>
  <c r="S440" i="3"/>
  <c r="M447" i="3"/>
  <c r="U453" i="3"/>
  <c r="O460" i="3"/>
  <c r="Y460" i="3" s="1"/>
  <c r="V466" i="3"/>
  <c r="Q473" i="3"/>
  <c r="K257" i="3"/>
  <c r="K332" i="3"/>
  <c r="T371" i="3"/>
  <c r="T394" i="3"/>
  <c r="R415" i="3"/>
  <c r="O436" i="3"/>
  <c r="Y436" i="3" s="1"/>
  <c r="T454" i="3"/>
  <c r="K472" i="3"/>
  <c r="T485" i="3"/>
  <c r="V493" i="3"/>
  <c r="O501" i="3"/>
  <c r="Y501" i="3" s="1"/>
  <c r="V508" i="3"/>
  <c r="O516" i="3"/>
  <c r="Y516" i="3" s="1"/>
  <c r="R523" i="3"/>
  <c r="Q528" i="3"/>
  <c r="P533" i="3"/>
  <c r="O538" i="3"/>
  <c r="Y538" i="3" s="1"/>
  <c r="N543" i="3"/>
  <c r="M548" i="3"/>
  <c r="L553" i="3"/>
  <c r="K558" i="3"/>
  <c r="J563" i="3"/>
  <c r="V567" i="3"/>
  <c r="U572" i="3"/>
  <c r="T577" i="3"/>
  <c r="S582" i="3"/>
  <c r="R587" i="3"/>
  <c r="Q592" i="3"/>
  <c r="P597" i="3"/>
  <c r="O602" i="3"/>
  <c r="N607" i="3"/>
  <c r="M612" i="3"/>
  <c r="L617" i="3"/>
  <c r="K622" i="3"/>
  <c r="J627" i="3"/>
  <c r="V631" i="3"/>
  <c r="U636" i="3"/>
  <c r="T641" i="3"/>
  <c r="S646" i="3"/>
  <c r="R651" i="3"/>
  <c r="Q656" i="3"/>
  <c r="P661" i="3"/>
  <c r="K284" i="3"/>
  <c r="T346" i="3"/>
  <c r="Q378" i="3"/>
  <c r="U399" i="3"/>
  <c r="N421" i="3"/>
  <c r="S441" i="3"/>
  <c r="K459" i="3"/>
  <c r="V476" i="3"/>
  <c r="O488" i="3"/>
  <c r="Y488" i="3" s="1"/>
  <c r="U495" i="3"/>
  <c r="O503" i="3"/>
  <c r="Y503" i="3" s="1"/>
  <c r="U510" i="3"/>
  <c r="P518" i="3"/>
  <c r="V524" i="3"/>
  <c r="U529" i="3"/>
  <c r="T534" i="3"/>
  <c r="S539" i="3"/>
  <c r="R544" i="3"/>
  <c r="Q549" i="3"/>
  <c r="P554" i="3"/>
  <c r="O559" i="3"/>
  <c r="Y559" i="3" s="1"/>
  <c r="N564" i="3"/>
  <c r="M569" i="3"/>
  <c r="L574" i="3"/>
  <c r="K579" i="3"/>
  <c r="J584" i="3"/>
  <c r="V588" i="3"/>
  <c r="U593" i="3"/>
  <c r="T598" i="3"/>
  <c r="S603" i="3"/>
  <c r="R608" i="3"/>
  <c r="Q613" i="3"/>
  <c r="P618" i="3"/>
  <c r="O623" i="3"/>
  <c r="Y623" i="3" s="1"/>
  <c r="N628" i="3"/>
  <c r="M633" i="3"/>
  <c r="L638" i="3"/>
  <c r="K643" i="3"/>
  <c r="J648" i="3"/>
  <c r="V652" i="3"/>
  <c r="U657" i="3"/>
  <c r="O219" i="3"/>
  <c r="S319" i="3"/>
  <c r="K366" i="3"/>
  <c r="V389" i="3"/>
  <c r="T410" i="3"/>
  <c r="M432" i="3"/>
  <c r="T450" i="3"/>
  <c r="K468" i="3"/>
  <c r="O483" i="3"/>
  <c r="N492" i="3"/>
  <c r="T499" i="3"/>
  <c r="N507" i="3"/>
  <c r="T514" i="3"/>
  <c r="M522" i="3"/>
  <c r="P527" i="3"/>
  <c r="O532" i="3"/>
  <c r="Y532" i="3" s="1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N601" i="3"/>
  <c r="M606" i="3"/>
  <c r="L611" i="3"/>
  <c r="K616" i="3"/>
  <c r="J621" i="3"/>
  <c r="V625" i="3"/>
  <c r="U630" i="3"/>
  <c r="T635" i="3"/>
  <c r="S640" i="3"/>
  <c r="R645" i="3"/>
  <c r="Q650" i="3"/>
  <c r="P655" i="3"/>
  <c r="O660" i="3"/>
  <c r="Y660" i="3" s="1"/>
  <c r="N308" i="3"/>
  <c r="V358" i="3"/>
  <c r="K385" i="3"/>
  <c r="Q406" i="3"/>
  <c r="O427" i="3"/>
  <c r="Y427" i="3" s="1"/>
  <c r="T446" i="3"/>
  <c r="R464" i="3"/>
  <c r="V480" i="3"/>
  <c r="S490" i="3"/>
  <c r="L498" i="3"/>
  <c r="R505" i="3"/>
  <c r="K513" i="3"/>
  <c r="R520" i="3"/>
  <c r="O526" i="3"/>
  <c r="Y526" i="3" s="1"/>
  <c r="N531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Y654" i="3" s="1"/>
  <c r="N659" i="3"/>
  <c r="K279" i="3"/>
  <c r="J342" i="3"/>
  <c r="N377" i="3"/>
  <c r="U398" i="3"/>
  <c r="Q419" i="3"/>
  <c r="U440" i="3"/>
  <c r="L458" i="3"/>
  <c r="P475" i="3"/>
  <c r="S487" i="3"/>
  <c r="P495" i="3"/>
  <c r="J503" i="3"/>
  <c r="P510" i="3"/>
  <c r="V517" i="3"/>
  <c r="R524" i="3"/>
  <c r="Q529" i="3"/>
  <c r="P534" i="3"/>
  <c r="O539" i="3"/>
  <c r="Y539" i="3" s="1"/>
  <c r="N544" i="3"/>
  <c r="M549" i="3"/>
  <c r="L554" i="3"/>
  <c r="K559" i="3"/>
  <c r="V291" i="3"/>
  <c r="K394" i="3"/>
  <c r="J449" i="3"/>
  <c r="J489" i="3"/>
  <c r="T508" i="3"/>
  <c r="V526" i="3"/>
  <c r="K540" i="3"/>
  <c r="K553" i="3"/>
  <c r="N565" i="3"/>
  <c r="L575" i="3"/>
  <c r="J585" i="3"/>
  <c r="U594" i="3"/>
  <c r="S604" i="3"/>
  <c r="Q614" i="3"/>
  <c r="O624" i="3"/>
  <c r="Y624" i="3" s="1"/>
  <c r="M634" i="3"/>
  <c r="K644" i="3"/>
  <c r="V653" i="3"/>
  <c r="T662" i="3"/>
  <c r="S667" i="3"/>
  <c r="R672" i="3"/>
  <c r="Q677" i="3"/>
  <c r="Q334" i="3"/>
  <c r="R409" i="3"/>
  <c r="S460" i="3"/>
  <c r="M494" i="3"/>
  <c r="N514" i="3"/>
  <c r="N530" i="3"/>
  <c r="Q543" i="3"/>
  <c r="S556" i="3"/>
  <c r="U567" i="3"/>
  <c r="S577" i="3"/>
  <c r="Q587" i="3"/>
  <c r="O597" i="3"/>
  <c r="Y597" i="3" s="1"/>
  <c r="M607" i="3"/>
  <c r="K617" i="3"/>
  <c r="V626" i="3"/>
  <c r="T636" i="3"/>
  <c r="R646" i="3"/>
  <c r="P656" i="3"/>
  <c r="K664" i="3"/>
  <c r="J669" i="3"/>
  <c r="V673" i="3"/>
  <c r="U678" i="3"/>
  <c r="T683" i="3"/>
  <c r="S688" i="3"/>
  <c r="R693" i="3"/>
  <c r="Q698" i="3"/>
  <c r="P703" i="3"/>
  <c r="O708" i="3"/>
  <c r="Y708" i="3" s="1"/>
  <c r="N713" i="3"/>
  <c r="M718" i="3"/>
  <c r="L723" i="3"/>
  <c r="K728" i="3"/>
  <c r="J733" i="3"/>
  <c r="V737" i="3"/>
  <c r="U742" i="3"/>
  <c r="T747" i="3"/>
  <c r="S752" i="3"/>
  <c r="R757" i="3"/>
  <c r="Q762" i="3"/>
  <c r="P767" i="3"/>
  <c r="O772" i="3"/>
  <c r="Y772" i="3" s="1"/>
  <c r="N777" i="3"/>
  <c r="M782" i="3"/>
  <c r="L787" i="3"/>
  <c r="K792" i="3"/>
  <c r="J797" i="3"/>
  <c r="V801" i="3"/>
  <c r="U806" i="3"/>
  <c r="T811" i="3"/>
  <c r="S816" i="3"/>
  <c r="O318" i="3"/>
  <c r="V331" i="3"/>
  <c r="Q286" i="3"/>
  <c r="S357" i="3"/>
  <c r="O442" i="3"/>
  <c r="Y442" i="3" s="1"/>
  <c r="M500" i="3"/>
  <c r="V519" i="3"/>
  <c r="N280" i="3"/>
  <c r="M330" i="3"/>
  <c r="N366" i="3"/>
  <c r="V388" i="3"/>
  <c r="R408" i="3"/>
  <c r="N428" i="3"/>
  <c r="Q241" i="3"/>
  <c r="S313" i="3"/>
  <c r="J354" i="3"/>
  <c r="S380" i="3"/>
  <c r="T400" i="3"/>
  <c r="P420" i="3"/>
  <c r="L440" i="3"/>
  <c r="U459" i="3"/>
  <c r="Q479" i="3"/>
  <c r="M499" i="3"/>
  <c r="V518" i="3"/>
  <c r="R317" i="3"/>
  <c r="Q377" i="3"/>
  <c r="V409" i="3"/>
  <c r="K441" i="3"/>
  <c r="O467" i="3"/>
  <c r="K238" i="3"/>
  <c r="V352" i="3"/>
  <c r="N392" i="3"/>
  <c r="T423" i="3"/>
  <c r="S452" i="3"/>
  <c r="J479" i="3"/>
  <c r="M505" i="3"/>
  <c r="S271" i="3"/>
  <c r="N361" i="3"/>
  <c r="N397" i="3"/>
  <c r="T428" i="3"/>
  <c r="V456" i="3"/>
  <c r="Q481" i="3"/>
  <c r="P246" i="3"/>
  <c r="M304" i="3"/>
  <c r="P328" i="3"/>
  <c r="R350" i="3"/>
  <c r="V365" i="3"/>
  <c r="U376" i="3"/>
  <c r="S386" i="3"/>
  <c r="P395" i="3"/>
  <c r="O404" i="3"/>
  <c r="L412" i="3"/>
  <c r="K420" i="3"/>
  <c r="J428" i="3"/>
  <c r="V435" i="3"/>
  <c r="K443" i="3"/>
  <c r="R449" i="3"/>
  <c r="M456" i="3"/>
  <c r="T462" i="3"/>
  <c r="N469" i="3"/>
  <c r="V475" i="3"/>
  <c r="P158" i="3"/>
  <c r="M256" i="3"/>
  <c r="J295" i="3"/>
  <c r="J319" i="3"/>
  <c r="V338" i="3"/>
  <c r="J357" i="3"/>
  <c r="Q368" i="3"/>
  <c r="L378" i="3"/>
  <c r="T386" i="3"/>
  <c r="S394" i="3"/>
  <c r="Q402" i="3"/>
  <c r="N410" i="3"/>
  <c r="M418" i="3"/>
  <c r="L426" i="3"/>
  <c r="K434" i="3"/>
  <c r="Q441" i="3"/>
  <c r="K448" i="3"/>
  <c r="R454" i="3"/>
  <c r="M461" i="3"/>
  <c r="T467" i="3"/>
  <c r="N474" i="3"/>
  <c r="N269" i="3"/>
  <c r="O339" i="3"/>
  <c r="Y339" i="3" s="1"/>
  <c r="L375" i="3"/>
  <c r="J397" i="3"/>
  <c r="N418" i="3"/>
  <c r="L439" i="3"/>
  <c r="R456" i="3"/>
  <c r="P474" i="3"/>
  <c r="U486" i="3"/>
  <c r="U494" i="3"/>
  <c r="O502" i="3"/>
  <c r="U509" i="3"/>
  <c r="N517" i="3"/>
  <c r="M524" i="3"/>
  <c r="L529" i="3"/>
  <c r="K534" i="3"/>
  <c r="J539" i="3"/>
  <c r="V543" i="3"/>
  <c r="U548" i="3"/>
  <c r="T553" i="3"/>
  <c r="S558" i="3"/>
  <c r="R563" i="3"/>
  <c r="Q568" i="3"/>
  <c r="P573" i="3"/>
  <c r="O578" i="3"/>
  <c r="Y578" i="3" s="1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T295" i="3"/>
  <c r="U351" i="3"/>
  <c r="S381" i="3"/>
  <c r="T402" i="3"/>
  <c r="R423" i="3"/>
  <c r="K444" i="3"/>
  <c r="O461" i="3"/>
  <c r="Y461" i="3" s="1"/>
  <c r="Q478" i="3"/>
  <c r="N489" i="3"/>
  <c r="U496" i="3"/>
  <c r="N504" i="3"/>
  <c r="U511" i="3"/>
  <c r="O519" i="3"/>
  <c r="Y519" i="3" s="1"/>
  <c r="Q525" i="3"/>
  <c r="P530" i="3"/>
  <c r="O535" i="3"/>
  <c r="N540" i="3"/>
  <c r="M545" i="3"/>
  <c r="L550" i="3"/>
  <c r="K555" i="3"/>
  <c r="J560" i="3"/>
  <c r="V564" i="3"/>
  <c r="U569" i="3"/>
  <c r="T574" i="3"/>
  <c r="S579" i="3"/>
  <c r="R584" i="3"/>
  <c r="Q589" i="3"/>
  <c r="P594" i="3"/>
  <c r="O599" i="3"/>
  <c r="N604" i="3"/>
  <c r="M609" i="3"/>
  <c r="L614" i="3"/>
  <c r="K619" i="3"/>
  <c r="J624" i="3"/>
  <c r="V628" i="3"/>
  <c r="U633" i="3"/>
  <c r="T638" i="3"/>
  <c r="S643" i="3"/>
  <c r="R648" i="3"/>
  <c r="Q653" i="3"/>
  <c r="P658" i="3"/>
  <c r="L242" i="3"/>
  <c r="L327" i="3"/>
  <c r="L369" i="3"/>
  <c r="U392" i="3"/>
  <c r="R413" i="3"/>
  <c r="N434" i="3"/>
  <c r="L453" i="3"/>
  <c r="P470" i="3"/>
  <c r="Q484" i="3"/>
  <c r="M493" i="3"/>
  <c r="S500" i="3"/>
  <c r="L508" i="3"/>
  <c r="S515" i="3"/>
  <c r="K523" i="3"/>
  <c r="K528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Y636" i="3" s="1"/>
  <c r="N641" i="3"/>
  <c r="M646" i="3"/>
  <c r="L651" i="3"/>
  <c r="K656" i="3"/>
  <c r="K194" i="3"/>
  <c r="K314" i="3"/>
  <c r="O363" i="3"/>
  <c r="J388" i="3"/>
  <c r="U408" i="3"/>
  <c r="M430" i="3"/>
  <c r="K449" i="3"/>
  <c r="P466" i="3"/>
  <c r="P482" i="3"/>
  <c r="Q491" i="3"/>
  <c r="K499" i="3"/>
  <c r="Q506" i="3"/>
  <c r="K514" i="3"/>
  <c r="Q521" i="3"/>
  <c r="J527" i="3"/>
  <c r="V531" i="3"/>
  <c r="U536" i="3"/>
  <c r="T541" i="3"/>
  <c r="S546" i="3"/>
  <c r="R551" i="3"/>
  <c r="Q556" i="3"/>
  <c r="P561" i="3"/>
  <c r="O566" i="3"/>
  <c r="N571" i="3"/>
  <c r="M576" i="3"/>
  <c r="L581" i="3"/>
  <c r="K586" i="3"/>
  <c r="J591" i="3"/>
  <c r="V595" i="3"/>
  <c r="U600" i="3"/>
  <c r="T605" i="3"/>
  <c r="S610" i="3"/>
  <c r="R615" i="3"/>
  <c r="Q620" i="3"/>
  <c r="P625" i="3"/>
  <c r="O630" i="3"/>
  <c r="Y630" i="3" s="1"/>
  <c r="N635" i="3"/>
  <c r="M640" i="3"/>
  <c r="L645" i="3"/>
  <c r="K650" i="3"/>
  <c r="J655" i="3"/>
  <c r="V659" i="3"/>
  <c r="S291" i="3"/>
  <c r="N349" i="3"/>
  <c r="R379" i="3"/>
  <c r="R401" i="3"/>
  <c r="P422" i="3"/>
  <c r="S442" i="3"/>
  <c r="Q460" i="3"/>
  <c r="T477" i="3"/>
  <c r="V488" i="3"/>
  <c r="O496" i="3"/>
  <c r="Y496" i="3" s="1"/>
  <c r="U503" i="3"/>
  <c r="O511" i="3"/>
  <c r="Y511" i="3" s="1"/>
  <c r="U518" i="3"/>
  <c r="M525" i="3"/>
  <c r="L530" i="3"/>
  <c r="K535" i="3"/>
  <c r="J540" i="3"/>
  <c r="V544" i="3"/>
  <c r="U549" i="3"/>
  <c r="T554" i="3"/>
  <c r="S559" i="3"/>
  <c r="J314" i="3"/>
  <c r="S401" i="3"/>
  <c r="L454" i="3"/>
  <c r="P491" i="3"/>
  <c r="P511" i="3"/>
  <c r="P528" i="3"/>
  <c r="S541" i="3"/>
  <c r="U554" i="3"/>
  <c r="Q566" i="3"/>
  <c r="O576" i="3"/>
  <c r="Y576" i="3" s="1"/>
  <c r="M586" i="3"/>
  <c r="K596" i="3"/>
  <c r="V605" i="3"/>
  <c r="T615" i="3"/>
  <c r="R625" i="3"/>
  <c r="P635" i="3"/>
  <c r="N645" i="3"/>
  <c r="L655" i="3"/>
  <c r="O663" i="3"/>
  <c r="Y663" i="3" s="1"/>
  <c r="N668" i="3"/>
  <c r="M673" i="3"/>
  <c r="L678" i="3"/>
  <c r="S351" i="3"/>
  <c r="P416" i="3"/>
  <c r="L467" i="3"/>
  <c r="R496" i="3"/>
  <c r="T516" i="3"/>
  <c r="K532" i="3"/>
  <c r="K545" i="3"/>
  <c r="N558" i="3"/>
  <c r="K569" i="3"/>
  <c r="V578" i="3"/>
  <c r="T588" i="3"/>
  <c r="R598" i="3"/>
  <c r="P608" i="3"/>
  <c r="N618" i="3"/>
  <c r="L628" i="3"/>
  <c r="J638" i="3"/>
  <c r="U647" i="3"/>
  <c r="S657" i="3"/>
  <c r="S664" i="3"/>
  <c r="R669" i="3"/>
  <c r="Q674" i="3"/>
  <c r="P679" i="3"/>
  <c r="O684" i="3"/>
  <c r="Y684" i="3" s="1"/>
  <c r="N689" i="3"/>
  <c r="M694" i="3"/>
  <c r="L699" i="3"/>
  <c r="K704" i="3"/>
  <c r="J709" i="3"/>
  <c r="V713" i="3"/>
  <c r="U718" i="3"/>
  <c r="T723" i="3"/>
  <c r="S728" i="3"/>
  <c r="R733" i="3"/>
  <c r="Q738" i="3"/>
  <c r="P743" i="3"/>
  <c r="O748" i="3"/>
  <c r="Y748" i="3" s="1"/>
  <c r="N753" i="3"/>
  <c r="M758" i="3"/>
  <c r="L763" i="3"/>
  <c r="K768" i="3"/>
  <c r="J773" i="3"/>
  <c r="V777" i="3"/>
  <c r="U782" i="3"/>
  <c r="T787" i="3"/>
  <c r="S792" i="3"/>
  <c r="R797" i="3"/>
  <c r="Q802" i="3"/>
  <c r="P807" i="3"/>
  <c r="O812" i="3"/>
  <c r="Y812" i="3" s="1"/>
  <c r="N817" i="3"/>
  <c r="U361" i="3"/>
  <c r="L457" i="3"/>
  <c r="R337" i="3"/>
  <c r="J432" i="3"/>
  <c r="T384" i="3"/>
  <c r="Q463" i="3"/>
  <c r="T332" i="3"/>
  <c r="N472" i="3"/>
  <c r="T429" i="3"/>
  <c r="R297" i="3"/>
  <c r="U461" i="3"/>
  <c r="V330" i="3"/>
  <c r="Q387" i="3"/>
  <c r="L421" i="3"/>
  <c r="P450" i="3"/>
  <c r="S476" i="3"/>
  <c r="S321" i="3"/>
  <c r="O379" i="3"/>
  <c r="Y379" i="3" s="1"/>
  <c r="O411" i="3"/>
  <c r="Y411" i="3" s="1"/>
  <c r="N442" i="3"/>
  <c r="R468" i="3"/>
  <c r="M378" i="3"/>
  <c r="V458" i="3"/>
  <c r="M503" i="3"/>
  <c r="T529" i="3"/>
  <c r="P549" i="3"/>
  <c r="L569" i="3"/>
  <c r="U588" i="3"/>
  <c r="Q608" i="3"/>
  <c r="M628" i="3"/>
  <c r="V647" i="3"/>
  <c r="P305" i="3"/>
  <c r="N426" i="3"/>
  <c r="M490" i="3"/>
  <c r="N520" i="3"/>
  <c r="V540" i="3"/>
  <c r="R560" i="3"/>
  <c r="N580" i="3"/>
  <c r="J600" i="3"/>
  <c r="S619" i="3"/>
  <c r="O639" i="3"/>
  <c r="Y639" i="3" s="1"/>
  <c r="K659" i="3"/>
  <c r="V394" i="3"/>
  <c r="U472" i="3"/>
  <c r="L509" i="3"/>
  <c r="R533" i="3"/>
  <c r="N553" i="3"/>
  <c r="J573" i="3"/>
  <c r="S592" i="3"/>
  <c r="O612" i="3"/>
  <c r="Y612" i="3" s="1"/>
  <c r="K632" i="3"/>
  <c r="T651" i="3"/>
  <c r="R366" i="3"/>
  <c r="P451" i="3"/>
  <c r="J500" i="3"/>
  <c r="R527" i="3"/>
  <c r="N547" i="3"/>
  <c r="J567" i="3"/>
  <c r="S586" i="3"/>
  <c r="O606" i="3"/>
  <c r="K626" i="3"/>
  <c r="T645" i="3"/>
  <c r="O299" i="3"/>
  <c r="Y299" i="3" s="1"/>
  <c r="N425" i="3"/>
  <c r="U489" i="3"/>
  <c r="T519" i="3"/>
  <c r="R540" i="3"/>
  <c r="N560" i="3"/>
  <c r="U493" i="3"/>
  <c r="P556" i="3"/>
  <c r="N597" i="3"/>
  <c r="S636" i="3"/>
  <c r="V668" i="3"/>
  <c r="M423" i="3"/>
  <c r="S533" i="3"/>
  <c r="L580" i="3"/>
  <c r="Q619" i="3"/>
  <c r="V658" i="3"/>
  <c r="K680" i="3"/>
  <c r="T699" i="3"/>
  <c r="P719" i="3"/>
  <c r="L739" i="3"/>
  <c r="U758" i="3"/>
  <c r="Q778" i="3"/>
  <c r="M798" i="3"/>
  <c r="V817" i="3"/>
  <c r="U822" i="3"/>
  <c r="T827" i="3"/>
  <c r="S832" i="3"/>
  <c r="R837" i="3"/>
  <c r="Q842" i="3"/>
  <c r="P847" i="3"/>
  <c r="O852" i="3"/>
  <c r="Y852" i="3" s="1"/>
  <c r="L354" i="3"/>
  <c r="Q417" i="3"/>
  <c r="N467" i="3"/>
  <c r="K497" i="3"/>
  <c r="L517" i="3"/>
  <c r="L532" i="3"/>
  <c r="O545" i="3"/>
  <c r="Y545" i="3" s="1"/>
  <c r="Q558" i="3"/>
  <c r="O569" i="3"/>
  <c r="M579" i="3"/>
  <c r="K589" i="3"/>
  <c r="V598" i="3"/>
  <c r="T608" i="3"/>
  <c r="R618" i="3"/>
  <c r="P628" i="3"/>
  <c r="N638" i="3"/>
  <c r="L648" i="3"/>
  <c r="J658" i="3"/>
  <c r="T664" i="3"/>
  <c r="S669" i="3"/>
  <c r="R674" i="3"/>
  <c r="Q679" i="3"/>
  <c r="P684" i="3"/>
  <c r="O689" i="3"/>
  <c r="Y689" i="3" s="1"/>
  <c r="N694" i="3"/>
  <c r="M699" i="3"/>
  <c r="L704" i="3"/>
  <c r="K709" i="3"/>
  <c r="J714" i="3"/>
  <c r="V718" i="3"/>
  <c r="U723" i="3"/>
  <c r="T728" i="3"/>
  <c r="S733" i="3"/>
  <c r="R738" i="3"/>
  <c r="Q743" i="3"/>
  <c r="P748" i="3"/>
  <c r="O753" i="3"/>
  <c r="Y753" i="3" s="1"/>
  <c r="N758" i="3"/>
  <c r="M763" i="3"/>
  <c r="L768" i="3"/>
  <c r="K773" i="3"/>
  <c r="J778" i="3"/>
  <c r="N220" i="3"/>
  <c r="K383" i="3"/>
  <c r="K439" i="3"/>
  <c r="P483" i="3"/>
  <c r="V504" i="3"/>
  <c r="L524" i="3"/>
  <c r="O537" i="3"/>
  <c r="Y537" i="3" s="1"/>
  <c r="Q550" i="3"/>
  <c r="O563" i="3"/>
  <c r="Y563" i="3" s="1"/>
  <c r="M573" i="3"/>
  <c r="K583" i="3"/>
  <c r="V592" i="3"/>
  <c r="T602" i="3"/>
  <c r="R612" i="3"/>
  <c r="P622" i="3"/>
  <c r="N632" i="3"/>
  <c r="L642" i="3"/>
  <c r="J652" i="3"/>
  <c r="R661" i="3"/>
  <c r="S666" i="3"/>
  <c r="R671" i="3"/>
  <c r="Q676" i="3"/>
  <c r="P681" i="3"/>
  <c r="O686" i="3"/>
  <c r="Y686" i="3" s="1"/>
  <c r="N691" i="3"/>
  <c r="M696" i="3"/>
  <c r="L701" i="3"/>
  <c r="K706" i="3"/>
  <c r="J711" i="3"/>
  <c r="V715" i="3"/>
  <c r="U720" i="3"/>
  <c r="T725" i="3"/>
  <c r="S730" i="3"/>
  <c r="R735" i="3"/>
  <c r="Q740" i="3"/>
  <c r="L228" i="3"/>
  <c r="U383" i="3"/>
  <c r="K440" i="3"/>
  <c r="K484" i="3"/>
  <c r="J505" i="3"/>
  <c r="P524" i="3"/>
  <c r="R537" i="3"/>
  <c r="R550" i="3"/>
  <c r="P563" i="3"/>
  <c r="N573" i="3"/>
  <c r="L583" i="3"/>
  <c r="J593" i="3"/>
  <c r="U602" i="3"/>
  <c r="S612" i="3"/>
  <c r="Q622" i="3"/>
  <c r="O632" i="3"/>
  <c r="Y632" i="3" s="1"/>
  <c r="M642" i="3"/>
  <c r="K652" i="3"/>
  <c r="S661" i="3"/>
  <c r="T666" i="3"/>
  <c r="S671" i="3"/>
  <c r="R676" i="3"/>
  <c r="Q681" i="3"/>
  <c r="P686" i="3"/>
  <c r="O691" i="3"/>
  <c r="Y691" i="3" s="1"/>
  <c r="N696" i="3"/>
  <c r="M701" i="3"/>
  <c r="L706" i="3"/>
  <c r="K711" i="3"/>
  <c r="J716" i="3"/>
  <c r="V720" i="3"/>
  <c r="U725" i="3"/>
  <c r="T730" i="3"/>
  <c r="S735" i="3"/>
  <c r="R740" i="3"/>
  <c r="Q745" i="3"/>
  <c r="P750" i="3"/>
  <c r="O755" i="3"/>
  <c r="Y755" i="3" s="1"/>
  <c r="N760" i="3"/>
  <c r="M765" i="3"/>
  <c r="L770" i="3"/>
  <c r="K775" i="3"/>
  <c r="J780" i="3"/>
  <c r="V784" i="3"/>
  <c r="U789" i="3"/>
  <c r="T794" i="3"/>
  <c r="S799" i="3"/>
  <c r="R804" i="3"/>
  <c r="Q809" i="3"/>
  <c r="P814" i="3"/>
  <c r="O819" i="3"/>
  <c r="Y819" i="3" s="1"/>
  <c r="N824" i="3"/>
  <c r="M829" i="3"/>
  <c r="L834" i="3"/>
  <c r="K839" i="3"/>
  <c r="J844" i="3"/>
  <c r="V848" i="3"/>
  <c r="Q234" i="3"/>
  <c r="Q470" i="3"/>
  <c r="O528" i="3"/>
  <c r="Y528" i="3" s="1"/>
  <c r="Q563" i="3"/>
  <c r="S589" i="3"/>
  <c r="S615" i="3"/>
  <c r="N642" i="3"/>
  <c r="K665" i="3"/>
  <c r="K678" i="3"/>
  <c r="P688" i="3"/>
  <c r="N698" i="3"/>
  <c r="L708" i="3"/>
  <c r="J718" i="3"/>
  <c r="U727" i="3"/>
  <c r="S737" i="3"/>
  <c r="J747" i="3"/>
  <c r="V754" i="3"/>
  <c r="U762" i="3"/>
  <c r="S770" i="3"/>
  <c r="P778" i="3"/>
  <c r="T785" i="3"/>
  <c r="O792" i="3"/>
  <c r="Y792" i="3" s="1"/>
  <c r="V798" i="3"/>
  <c r="P805" i="3"/>
  <c r="K812" i="3"/>
  <c r="R818" i="3"/>
  <c r="L825" i="3"/>
  <c r="U405" i="3"/>
  <c r="U505" i="3"/>
  <c r="N546" i="3"/>
  <c r="K577" i="3"/>
  <c r="M603" i="3"/>
  <c r="M629" i="3"/>
  <c r="U655" i="3"/>
  <c r="U671" i="3"/>
  <c r="R683" i="3"/>
  <c r="P693" i="3"/>
  <c r="N703" i="3"/>
  <c r="L713" i="3"/>
  <c r="J723" i="3"/>
  <c r="U732" i="3"/>
  <c r="S742" i="3"/>
  <c r="L751" i="3"/>
  <c r="J759" i="3"/>
  <c r="T766" i="3"/>
  <c r="S774" i="3"/>
  <c r="R782" i="3"/>
  <c r="L789" i="3"/>
  <c r="S795" i="3"/>
  <c r="N802" i="3"/>
  <c r="U808" i="3"/>
  <c r="O815" i="3"/>
  <c r="Y815" i="3" s="1"/>
  <c r="J822" i="3"/>
  <c r="Q828" i="3"/>
  <c r="K835" i="3"/>
  <c r="S841" i="3"/>
  <c r="M848" i="3"/>
  <c r="Q854" i="3"/>
  <c r="P859" i="3"/>
  <c r="O864" i="3"/>
  <c r="Y864" i="3" s="1"/>
  <c r="N869" i="3"/>
  <c r="M874" i="3"/>
  <c r="L879" i="3"/>
  <c r="K884" i="3"/>
  <c r="J889" i="3"/>
  <c r="V893" i="3"/>
  <c r="U898" i="3"/>
  <c r="T903" i="3"/>
  <c r="S908" i="3"/>
  <c r="R913" i="3"/>
  <c r="Q918" i="3"/>
  <c r="P923" i="3"/>
  <c r="O928" i="3"/>
  <c r="Y928" i="3" s="1"/>
  <c r="N933" i="3"/>
  <c r="M938" i="3"/>
  <c r="L943" i="3"/>
  <c r="K948" i="3"/>
  <c r="J953" i="3"/>
  <c r="V957" i="3"/>
  <c r="U962" i="3"/>
  <c r="T967" i="3"/>
  <c r="S972" i="3"/>
  <c r="R977" i="3"/>
  <c r="Q982" i="3"/>
  <c r="P987" i="3"/>
  <c r="O992" i="3"/>
  <c r="Y992" i="3" s="1"/>
  <c r="N997" i="3"/>
  <c r="M903" i="3"/>
  <c r="N914" i="3"/>
  <c r="N427" i="3"/>
  <c r="N513" i="3"/>
  <c r="M551" i="3"/>
  <c r="T580" i="3"/>
  <c r="V606" i="3"/>
  <c r="V632" i="3"/>
  <c r="Q659" i="3"/>
  <c r="S673" i="3"/>
  <c r="V684" i="3"/>
  <c r="T694" i="3"/>
  <c r="R704" i="3"/>
  <c r="P714" i="3"/>
  <c r="N724" i="3"/>
  <c r="L734" i="3"/>
  <c r="J744" i="3"/>
  <c r="M752" i="3"/>
  <c r="J760" i="3"/>
  <c r="V767" i="3"/>
  <c r="U775" i="3"/>
  <c r="Q783" i="3"/>
  <c r="K790" i="3"/>
  <c r="S796" i="3"/>
  <c r="M803" i="3"/>
  <c r="T809" i="3"/>
  <c r="O816" i="3"/>
  <c r="Y816" i="3" s="1"/>
  <c r="V822" i="3"/>
  <c r="P829" i="3"/>
  <c r="K836" i="3"/>
  <c r="R842" i="3"/>
  <c r="L849" i="3"/>
  <c r="M855" i="3"/>
  <c r="L860" i="3"/>
  <c r="K865" i="3"/>
  <c r="R870" i="3"/>
  <c r="Q875" i="3"/>
  <c r="P880" i="3"/>
  <c r="O885" i="3"/>
  <c r="Y885" i="3" s="1"/>
  <c r="N890" i="3"/>
  <c r="M895" i="3"/>
  <c r="T900" i="3"/>
  <c r="Q907" i="3"/>
  <c r="L370" i="3"/>
  <c r="R493" i="3"/>
  <c r="P539" i="3"/>
  <c r="M571" i="3"/>
  <c r="M597" i="3"/>
  <c r="U623" i="3"/>
  <c r="J650" i="3"/>
  <c r="U668" i="3"/>
  <c r="R681" i="3"/>
  <c r="P691" i="3"/>
  <c r="N701" i="3"/>
  <c r="L711" i="3"/>
  <c r="J721" i="3"/>
  <c r="U730" i="3"/>
  <c r="S740" i="3"/>
  <c r="O749" i="3"/>
  <c r="Y749" i="3" s="1"/>
  <c r="N757" i="3"/>
  <c r="L765" i="3"/>
  <c r="V772" i="3"/>
  <c r="U780" i="3"/>
  <c r="S787" i="3"/>
  <c r="N794" i="3"/>
  <c r="U800" i="3"/>
  <c r="O807" i="3"/>
  <c r="Y807" i="3" s="1"/>
  <c r="J814" i="3"/>
  <c r="Q820" i="3"/>
  <c r="K827" i="3"/>
  <c r="S833" i="3"/>
  <c r="M840" i="3"/>
  <c r="T846" i="3"/>
  <c r="O853" i="3"/>
  <c r="Y853" i="3" s="1"/>
  <c r="O858" i="3"/>
  <c r="Y858" i="3" s="1"/>
  <c r="N863" i="3"/>
  <c r="M868" i="3"/>
  <c r="L873" i="3"/>
  <c r="K878" i="3"/>
  <c r="J883" i="3"/>
  <c r="V887" i="3"/>
  <c r="U892" i="3"/>
  <c r="T897" i="3"/>
  <c r="S902" i="3"/>
  <c r="R907" i="3"/>
  <c r="Q912" i="3"/>
  <c r="O428" i="3"/>
  <c r="Y428" i="3" s="1"/>
  <c r="O515" i="3"/>
  <c r="Y515" i="3" s="1"/>
  <c r="T552" i="3"/>
  <c r="M581" i="3"/>
  <c r="U607" i="3"/>
  <c r="J634" i="3"/>
  <c r="J660" i="3"/>
  <c r="M674" i="3"/>
  <c r="O685" i="3"/>
  <c r="Y685" i="3" s="1"/>
  <c r="M695" i="3"/>
  <c r="K705" i="3"/>
  <c r="V714" i="3"/>
  <c r="T724" i="3"/>
  <c r="R734" i="3"/>
  <c r="P744" i="3"/>
  <c r="P752" i="3"/>
  <c r="O760" i="3"/>
  <c r="Y760" i="3" s="1"/>
  <c r="M768" i="3"/>
  <c r="J776" i="3"/>
  <c r="T783" i="3"/>
  <c r="N790" i="3"/>
  <c r="U796" i="3"/>
  <c r="P803" i="3"/>
  <c r="J810" i="3"/>
  <c r="Q816" i="3"/>
  <c r="L823" i="3"/>
  <c r="S829" i="3"/>
  <c r="M836" i="3"/>
  <c r="U842" i="3"/>
  <c r="O849" i="3"/>
  <c r="Y849" i="3" s="1"/>
  <c r="O855" i="3"/>
  <c r="Y855" i="3" s="1"/>
  <c r="N860" i="3"/>
  <c r="M865" i="3"/>
  <c r="L870" i="3"/>
  <c r="K875" i="3"/>
  <c r="J880" i="3"/>
  <c r="V884" i="3"/>
  <c r="U889" i="3"/>
  <c r="T894" i="3"/>
  <c r="S899" i="3"/>
  <c r="R904" i="3"/>
  <c r="Q909" i="3"/>
  <c r="P914" i="3"/>
  <c r="O919" i="3"/>
  <c r="Y919" i="3" s="1"/>
  <c r="N924" i="3"/>
  <c r="M929" i="3"/>
  <c r="L934" i="3"/>
  <c r="K939" i="3"/>
  <c r="J944" i="3"/>
  <c r="V948" i="3"/>
  <c r="U953" i="3"/>
  <c r="T958" i="3"/>
  <c r="S963" i="3"/>
  <c r="R968" i="3"/>
  <c r="Q973" i="3"/>
  <c r="P978" i="3"/>
  <c r="O983" i="3"/>
  <c r="Y983" i="3" s="1"/>
  <c r="N988" i="3"/>
  <c r="M993" i="3"/>
  <c r="L998" i="3"/>
  <c r="O480" i="3"/>
  <c r="Y480" i="3" s="1"/>
  <c r="N582" i="3"/>
  <c r="O651" i="3"/>
  <c r="Y651" i="3" s="1"/>
  <c r="L689" i="3"/>
  <c r="K715" i="3"/>
  <c r="N741" i="3"/>
  <c r="P763" i="3"/>
  <c r="V783" i="3"/>
  <c r="M801" i="3"/>
  <c r="K819" i="3"/>
  <c r="M834" i="3"/>
  <c r="N847" i="3"/>
  <c r="T858" i="3"/>
  <c r="R868" i="3"/>
  <c r="P878" i="3"/>
  <c r="N888" i="3"/>
  <c r="L898" i="3"/>
  <c r="J908" i="3"/>
  <c r="J917" i="3"/>
  <c r="Q923" i="3"/>
  <c r="K930" i="3"/>
  <c r="S936" i="3"/>
  <c r="M943" i="3"/>
  <c r="T949" i="3"/>
  <c r="O956" i="3"/>
  <c r="Y956" i="3" s="1"/>
  <c r="V962" i="3"/>
  <c r="P969" i="3"/>
  <c r="K976" i="3"/>
  <c r="R982" i="3"/>
  <c r="L989" i="3"/>
  <c r="T995" i="3"/>
  <c r="N905" i="3"/>
  <c r="J970" i="3"/>
  <c r="S495" i="3"/>
  <c r="L814" i="3"/>
  <c r="S885" i="3"/>
  <c r="U934" i="3"/>
  <c r="Q963" i="3"/>
  <c r="L997" i="3"/>
  <c r="K708" i="3"/>
  <c r="M823" i="3"/>
  <c r="K882" i="3"/>
  <c r="L920" i="3"/>
  <c r="Q531" i="3"/>
  <c r="K609" i="3"/>
  <c r="L671" i="3"/>
  <c r="K699" i="3"/>
  <c r="N725" i="3"/>
  <c r="R750" i="3"/>
  <c r="P771" i="3"/>
  <c r="R790" i="3"/>
  <c r="P808" i="3"/>
  <c r="T825" i="3"/>
  <c r="R839" i="3"/>
  <c r="T852" i="3"/>
  <c r="U862" i="3"/>
  <c r="S872" i="3"/>
  <c r="Q882" i="3"/>
  <c r="O892" i="3"/>
  <c r="Y892" i="3" s="1"/>
  <c r="M902" i="3"/>
  <c r="K912" i="3"/>
  <c r="Q919" i="3"/>
  <c r="K926" i="3"/>
  <c r="R932" i="3"/>
  <c r="M939" i="3"/>
  <c r="T945" i="3"/>
  <c r="N952" i="3"/>
  <c r="V958" i="3"/>
  <c r="P965" i="3"/>
  <c r="J972" i="3"/>
  <c r="R978" i="3"/>
  <c r="L985" i="3"/>
  <c r="S991" i="3"/>
  <c r="N998" i="3"/>
  <c r="R898" i="3"/>
  <c r="L917" i="3"/>
  <c r="N930" i="3"/>
  <c r="R942" i="3"/>
  <c r="V954" i="3"/>
  <c r="O966" i="3"/>
  <c r="V977" i="3"/>
  <c r="M990" i="3"/>
  <c r="Q984" i="3"/>
  <c r="S997" i="3"/>
  <c r="V881" i="3"/>
  <c r="U902" i="3"/>
  <c r="Q921" i="3"/>
  <c r="L937" i="3"/>
  <c r="Q953" i="3"/>
  <c r="K974" i="3"/>
  <c r="K997" i="3"/>
  <c r="V650" i="3"/>
  <c r="M737" i="3"/>
  <c r="K801" i="3"/>
  <c r="V854" i="3"/>
  <c r="M883" i="3"/>
  <c r="J914" i="3"/>
  <c r="L933" i="3"/>
  <c r="T957" i="3"/>
  <c r="O982" i="3"/>
  <c r="Q615" i="3"/>
  <c r="P760" i="3"/>
  <c r="M847" i="3"/>
  <c r="O894" i="3"/>
  <c r="Y894" i="3" s="1"/>
  <c r="T930" i="3"/>
  <c r="T532" i="3"/>
  <c r="Q611" i="3"/>
  <c r="M671" i="3"/>
  <c r="P699" i="3"/>
  <c r="K726" i="3"/>
  <c r="S750" i="3"/>
  <c r="Q771" i="3"/>
  <c r="K793" i="3"/>
  <c r="V810" i="3"/>
  <c r="M828" i="3"/>
  <c r="O841" i="3"/>
  <c r="Y841" i="3" s="1"/>
  <c r="N854" i="3"/>
  <c r="O865" i="3"/>
  <c r="Y865" i="3" s="1"/>
  <c r="M875" i="3"/>
  <c r="N886" i="3"/>
  <c r="O897" i="3"/>
  <c r="Y897" i="3" s="1"/>
  <c r="O916" i="3"/>
  <c r="Y916" i="3" s="1"/>
  <c r="P929" i="3"/>
  <c r="P943" i="3"/>
  <c r="M958" i="3"/>
  <c r="T973" i="3"/>
  <c r="V986" i="3"/>
  <c r="K872" i="3"/>
  <c r="T989" i="3"/>
  <c r="R895" i="3"/>
  <c r="R488" i="3"/>
  <c r="S585" i="3"/>
  <c r="V654" i="3"/>
  <c r="O690" i="3"/>
  <c r="Y690" i="3" s="1"/>
  <c r="N716" i="3"/>
  <c r="Q742" i="3"/>
  <c r="N764" i="3"/>
  <c r="T784" i="3"/>
  <c r="K802" i="3"/>
  <c r="V819" i="3"/>
  <c r="V834" i="3"/>
  <c r="J848" i="3"/>
  <c r="N859" i="3"/>
  <c r="L869" i="3"/>
  <c r="J879" i="3"/>
  <c r="U888" i="3"/>
  <c r="S898" i="3"/>
  <c r="Q908" i="3"/>
  <c r="M917" i="3"/>
  <c r="U923" i="3"/>
  <c r="O930" i="3"/>
  <c r="Y930" i="3" s="1"/>
  <c r="V936" i="3"/>
  <c r="Q943" i="3"/>
  <c r="K950" i="3"/>
  <c r="R956" i="3"/>
  <c r="M963" i="3"/>
  <c r="T969" i="3"/>
  <c r="N976" i="3"/>
  <c r="V982" i="3"/>
  <c r="Q993" i="3"/>
  <c r="O954" i="3"/>
  <c r="Y954" i="3" s="1"/>
  <c r="O995" i="3"/>
  <c r="J731" i="3"/>
  <c r="V802" i="3"/>
  <c r="R858" i="3"/>
  <c r="T912" i="3"/>
  <c r="P945" i="3"/>
  <c r="P977" i="3"/>
  <c r="L705" i="3"/>
  <c r="K834" i="3"/>
  <c r="N899" i="3"/>
  <c r="M453" i="3"/>
  <c r="R578" i="3"/>
  <c r="S647" i="3"/>
  <c r="L687" i="3"/>
  <c r="T713" i="3"/>
  <c r="S739" i="3"/>
  <c r="S761" i="3"/>
  <c r="J783" i="3"/>
  <c r="O800" i="3"/>
  <c r="Y800" i="3" s="1"/>
  <c r="S817" i="3"/>
  <c r="O833" i="3"/>
  <c r="Y833" i="3" s="1"/>
  <c r="Q846" i="3"/>
  <c r="L858" i="3"/>
  <c r="J868" i="3"/>
  <c r="U877" i="3"/>
  <c r="S887" i="3"/>
  <c r="Q897" i="3"/>
  <c r="O907" i="3"/>
  <c r="Y907" i="3" s="1"/>
  <c r="Q916" i="3"/>
  <c r="L923" i="3"/>
  <c r="S929" i="3"/>
  <c r="M936" i="3"/>
  <c r="U942" i="3"/>
  <c r="O949" i="3"/>
  <c r="Y949" i="3" s="1"/>
  <c r="V955" i="3"/>
  <c r="Q962" i="3"/>
  <c r="K969" i="3"/>
  <c r="R975" i="3"/>
  <c r="M982" i="3"/>
  <c r="T988" i="3"/>
  <c r="N995" i="3"/>
  <c r="R414" i="3"/>
  <c r="S569" i="3"/>
  <c r="K641" i="3"/>
  <c r="N684" i="3"/>
  <c r="Q710" i="3"/>
  <c r="K740" i="3"/>
  <c r="O762" i="3"/>
  <c r="Y762" i="3" s="1"/>
  <c r="P785" i="3"/>
  <c r="U802" i="3"/>
  <c r="Q822" i="3"/>
  <c r="L837" i="3"/>
  <c r="N850" i="3"/>
  <c r="M862" i="3"/>
  <c r="Q874" i="3"/>
  <c r="J893" i="3"/>
  <c r="V913" i="3"/>
  <c r="N927" i="3"/>
  <c r="M941" i="3"/>
  <c r="P958" i="3"/>
  <c r="U979" i="3"/>
  <c r="O258" i="3"/>
  <c r="Y258" i="3" s="1"/>
  <c r="K462" i="3"/>
  <c r="K340" i="3"/>
  <c r="M433" i="3"/>
  <c r="J386" i="3"/>
  <c r="T464" i="3"/>
  <c r="S337" i="3"/>
  <c r="V473" i="3"/>
  <c r="S431" i="3"/>
  <c r="L304" i="3"/>
  <c r="P463" i="3"/>
  <c r="O333" i="3"/>
  <c r="Y333" i="3" s="1"/>
  <c r="R389" i="3"/>
  <c r="J422" i="3"/>
  <c r="N451" i="3"/>
  <c r="Q477" i="3"/>
  <c r="L324" i="3"/>
  <c r="O380" i="3"/>
  <c r="Y380" i="3" s="1"/>
  <c r="O412" i="3"/>
  <c r="Y412" i="3" s="1"/>
  <c r="L443" i="3"/>
  <c r="O469" i="3"/>
  <c r="Y469" i="3" s="1"/>
  <c r="U380" i="3"/>
  <c r="N461" i="3"/>
  <c r="M504" i="3"/>
  <c r="O530" i="3"/>
  <c r="Y530" i="3" s="1"/>
  <c r="K550" i="3"/>
  <c r="T569" i="3"/>
  <c r="P589" i="3"/>
  <c r="L609" i="3"/>
  <c r="U628" i="3"/>
  <c r="Q648" i="3"/>
  <c r="M311" i="3"/>
  <c r="M429" i="3"/>
  <c r="L491" i="3"/>
  <c r="M521" i="3"/>
  <c r="Q541" i="3"/>
  <c r="M561" i="3"/>
  <c r="V580" i="3"/>
  <c r="R600" i="3"/>
  <c r="N620" i="3"/>
  <c r="J640" i="3"/>
  <c r="S659" i="3"/>
  <c r="U397" i="3"/>
  <c r="S474" i="3"/>
  <c r="J510" i="3"/>
  <c r="M534" i="3"/>
  <c r="V553" i="3"/>
  <c r="R573" i="3"/>
  <c r="N593" i="3"/>
  <c r="J613" i="3"/>
  <c r="S632" i="3"/>
  <c r="O652" i="3"/>
  <c r="M370" i="3"/>
  <c r="N453" i="3"/>
  <c r="V500" i="3"/>
  <c r="M528" i="3"/>
  <c r="V547" i="3"/>
  <c r="R567" i="3"/>
  <c r="N587" i="3"/>
  <c r="J607" i="3"/>
  <c r="S626" i="3"/>
  <c r="O646" i="3"/>
  <c r="Y646" i="3" s="1"/>
  <c r="O308" i="3"/>
  <c r="Y308" i="3" s="1"/>
  <c r="P427" i="3"/>
  <c r="T490" i="3"/>
  <c r="S520" i="3"/>
  <c r="M541" i="3"/>
  <c r="V560" i="3"/>
  <c r="P496" i="3"/>
  <c r="J558" i="3"/>
  <c r="Q598" i="3"/>
  <c r="V637" i="3"/>
  <c r="Q669" i="3"/>
  <c r="P430" i="3"/>
  <c r="M535" i="3"/>
  <c r="O581" i="3"/>
  <c r="Y581" i="3" s="1"/>
  <c r="T620" i="3"/>
  <c r="L660" i="3"/>
  <c r="S680" i="3"/>
  <c r="O700" i="3"/>
  <c r="Y700" i="3" s="1"/>
  <c r="K720" i="3"/>
  <c r="T739" i="3"/>
  <c r="P759" i="3"/>
  <c r="L779" i="3"/>
  <c r="U798" i="3"/>
  <c r="Q818" i="3"/>
  <c r="P823" i="3"/>
  <c r="O828" i="3"/>
  <c r="Y828" i="3" s="1"/>
  <c r="N833" i="3"/>
  <c r="M838" i="3"/>
  <c r="L843" i="3"/>
  <c r="K848" i="3"/>
  <c r="J853" i="3"/>
  <c r="J365" i="3"/>
  <c r="O424" i="3"/>
  <c r="Y424" i="3" s="1"/>
  <c r="S473" i="3"/>
  <c r="O499" i="3"/>
  <c r="Y499" i="3" s="1"/>
  <c r="R519" i="3"/>
  <c r="V533" i="3"/>
  <c r="V546" i="3"/>
  <c r="L560" i="3"/>
  <c r="R570" i="3"/>
  <c r="P580" i="3"/>
  <c r="N590" i="3"/>
  <c r="L600" i="3"/>
  <c r="J610" i="3"/>
  <c r="U619" i="3"/>
  <c r="S629" i="3"/>
  <c r="Q639" i="3"/>
  <c r="O649" i="3"/>
  <c r="Y649" i="3" s="1"/>
  <c r="M659" i="3"/>
  <c r="O665" i="3"/>
  <c r="Y665" i="3" s="1"/>
  <c r="N670" i="3"/>
  <c r="M675" i="3"/>
  <c r="L680" i="3"/>
  <c r="K685" i="3"/>
  <c r="J690" i="3"/>
  <c r="V694" i="3"/>
  <c r="U699" i="3"/>
  <c r="T704" i="3"/>
  <c r="S709" i="3"/>
  <c r="R714" i="3"/>
  <c r="Q719" i="3"/>
  <c r="P724" i="3"/>
  <c r="O729" i="3"/>
  <c r="Y729" i="3" s="1"/>
  <c r="N734" i="3"/>
  <c r="M739" i="3"/>
  <c r="L744" i="3"/>
  <c r="K749" i="3"/>
  <c r="J754" i="3"/>
  <c r="V758" i="3"/>
  <c r="U763" i="3"/>
  <c r="T768" i="3"/>
  <c r="S773" i="3"/>
  <c r="R778" i="3"/>
  <c r="M269" i="3"/>
  <c r="J390" i="3"/>
  <c r="L445" i="3"/>
  <c r="T486" i="3"/>
  <c r="O507" i="3"/>
  <c r="V525" i="3"/>
  <c r="V538" i="3"/>
  <c r="L552" i="3"/>
  <c r="R564" i="3"/>
  <c r="P574" i="3"/>
  <c r="N584" i="3"/>
  <c r="L594" i="3"/>
  <c r="J604" i="3"/>
  <c r="U613" i="3"/>
  <c r="S623" i="3"/>
  <c r="Q633" i="3"/>
  <c r="O643" i="3"/>
  <c r="Y643" i="3" s="1"/>
  <c r="M653" i="3"/>
  <c r="N662" i="3"/>
  <c r="N667" i="3"/>
  <c r="M672" i="3"/>
  <c r="L677" i="3"/>
  <c r="K682" i="3"/>
  <c r="J687" i="3"/>
  <c r="V691" i="3"/>
  <c r="U696" i="3"/>
  <c r="T701" i="3"/>
  <c r="S706" i="3"/>
  <c r="R711" i="3"/>
  <c r="Q716" i="3"/>
  <c r="P721" i="3"/>
  <c r="O726" i="3"/>
  <c r="Y726" i="3" s="1"/>
  <c r="N731" i="3"/>
  <c r="M736" i="3"/>
  <c r="L741" i="3"/>
  <c r="M274" i="3"/>
  <c r="K391" i="3"/>
  <c r="T445" i="3"/>
  <c r="P487" i="3"/>
  <c r="T507" i="3"/>
  <c r="J526" i="3"/>
  <c r="M539" i="3"/>
  <c r="O552" i="3"/>
  <c r="Y552" i="3" s="1"/>
  <c r="S564" i="3"/>
  <c r="Q574" i="3"/>
  <c r="O584" i="3"/>
  <c r="Y584" i="3" s="1"/>
  <c r="M594" i="3"/>
  <c r="K604" i="3"/>
  <c r="V613" i="3"/>
  <c r="T623" i="3"/>
  <c r="R633" i="3"/>
  <c r="P643" i="3"/>
  <c r="N653" i="3"/>
  <c r="O662" i="3"/>
  <c r="Y662" i="3" s="1"/>
  <c r="O667" i="3"/>
  <c r="Y667" i="3" s="1"/>
  <c r="N672" i="3"/>
  <c r="M677" i="3"/>
  <c r="L682" i="3"/>
  <c r="K687" i="3"/>
  <c r="J692" i="3"/>
  <c r="V696" i="3"/>
  <c r="U701" i="3"/>
  <c r="T706" i="3"/>
  <c r="S711" i="3"/>
  <c r="R716" i="3"/>
  <c r="Q721" i="3"/>
  <c r="P726" i="3"/>
  <c r="O731" i="3"/>
  <c r="Y731" i="3" s="1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Y795" i="3" s="1"/>
  <c r="N800" i="3"/>
  <c r="M805" i="3"/>
  <c r="L810" i="3"/>
  <c r="K815" i="3"/>
  <c r="J820" i="3"/>
  <c r="V824" i="3"/>
  <c r="U829" i="3"/>
  <c r="T834" i="3"/>
  <c r="S839" i="3"/>
  <c r="R844" i="3"/>
  <c r="Q849" i="3"/>
  <c r="K311" i="3"/>
  <c r="L484" i="3"/>
  <c r="K533" i="3"/>
  <c r="P566" i="3"/>
  <c r="K593" i="3"/>
  <c r="M619" i="3"/>
  <c r="M645" i="3"/>
  <c r="U666" i="3"/>
  <c r="U679" i="3"/>
  <c r="S689" i="3"/>
  <c r="Q699" i="3"/>
  <c r="O709" i="3"/>
  <c r="Y709" i="3" s="1"/>
  <c r="M719" i="3"/>
  <c r="K729" i="3"/>
  <c r="V738" i="3"/>
  <c r="K748" i="3"/>
  <c r="V755" i="3"/>
  <c r="S763" i="3"/>
  <c r="R771" i="3"/>
  <c r="Q779" i="3"/>
  <c r="R786" i="3"/>
  <c r="L793" i="3"/>
  <c r="T799" i="3"/>
  <c r="N806" i="3"/>
  <c r="U812" i="3"/>
  <c r="P819" i="3"/>
  <c r="J826" i="3"/>
  <c r="R421" i="3"/>
  <c r="J513" i="3"/>
  <c r="L551" i="3"/>
  <c r="J580" i="3"/>
  <c r="R606" i="3"/>
  <c r="T632" i="3"/>
  <c r="T658" i="3"/>
  <c r="R673" i="3"/>
  <c r="U684" i="3"/>
  <c r="S694" i="3"/>
  <c r="Q704" i="3"/>
  <c r="O714" i="3"/>
  <c r="Y714" i="3" s="1"/>
  <c r="M724" i="3"/>
  <c r="K734" i="3"/>
  <c r="V743" i="3"/>
  <c r="J752" i="3"/>
  <c r="V759" i="3"/>
  <c r="U767" i="3"/>
  <c r="T775" i="3"/>
  <c r="O783" i="3"/>
  <c r="J790" i="3"/>
  <c r="Q796" i="3"/>
  <c r="K803" i="3"/>
  <c r="S809" i="3"/>
  <c r="M816" i="3"/>
  <c r="T822" i="3"/>
  <c r="O829" i="3"/>
  <c r="Y829" i="3" s="1"/>
  <c r="V835" i="3"/>
  <c r="P842" i="3"/>
  <c r="K849" i="3"/>
  <c r="L855" i="3"/>
  <c r="K860" i="3"/>
  <c r="J865" i="3"/>
  <c r="V869" i="3"/>
  <c r="U874" i="3"/>
  <c r="T879" i="3"/>
  <c r="S884" i="3"/>
  <c r="R889" i="3"/>
  <c r="Q894" i="3"/>
  <c r="P899" i="3"/>
  <c r="O904" i="3"/>
  <c r="Y904" i="3" s="1"/>
  <c r="N909" i="3"/>
  <c r="M914" i="3"/>
  <c r="L919" i="3"/>
  <c r="K924" i="3"/>
  <c r="J929" i="3"/>
  <c r="V933" i="3"/>
  <c r="U938" i="3"/>
  <c r="T943" i="3"/>
  <c r="S948" i="3"/>
  <c r="R953" i="3"/>
  <c r="Q958" i="3"/>
  <c r="P963" i="3"/>
  <c r="O968" i="3"/>
  <c r="Y968" i="3" s="1"/>
  <c r="N973" i="3"/>
  <c r="M978" i="3"/>
  <c r="L983" i="3"/>
  <c r="K988" i="3"/>
  <c r="J993" i="3"/>
  <c r="V997" i="3"/>
  <c r="S905" i="3"/>
  <c r="V914" i="3"/>
  <c r="P442" i="3"/>
  <c r="P520" i="3"/>
  <c r="K556" i="3"/>
  <c r="S583" i="3"/>
  <c r="N610" i="3"/>
  <c r="P636" i="3"/>
  <c r="V661" i="3"/>
  <c r="P675" i="3"/>
  <c r="L686" i="3"/>
  <c r="J696" i="3"/>
  <c r="U705" i="3"/>
  <c r="S715" i="3"/>
  <c r="Q725" i="3"/>
  <c r="O735" i="3"/>
  <c r="Y735" i="3" s="1"/>
  <c r="M745" i="3"/>
  <c r="L753" i="3"/>
  <c r="K761" i="3"/>
  <c r="J769" i="3"/>
  <c r="U776" i="3"/>
  <c r="O784" i="3"/>
  <c r="Y784" i="3" s="1"/>
  <c r="V790" i="3"/>
  <c r="P797" i="3"/>
  <c r="K804" i="3"/>
  <c r="R810" i="3"/>
  <c r="L817" i="3"/>
  <c r="T823" i="3"/>
  <c r="N830" i="3"/>
  <c r="U836" i="3"/>
  <c r="P843" i="3"/>
  <c r="J850" i="3"/>
  <c r="U855" i="3"/>
  <c r="T860" i="3"/>
  <c r="S865" i="3"/>
  <c r="M871" i="3"/>
  <c r="L876" i="3"/>
  <c r="K881" i="3"/>
  <c r="J886" i="3"/>
  <c r="V890" i="3"/>
  <c r="U895" i="3"/>
  <c r="O901" i="3"/>
  <c r="Y901" i="3" s="1"/>
  <c r="T908" i="3"/>
  <c r="T391" i="3"/>
  <c r="T500" i="3"/>
  <c r="L543" i="3"/>
  <c r="R574" i="3"/>
  <c r="T600" i="3"/>
  <c r="T626" i="3"/>
  <c r="O653" i="3"/>
  <c r="Y653" i="3" s="1"/>
  <c r="R670" i="3"/>
  <c r="U682" i="3"/>
  <c r="S692" i="3"/>
  <c r="Q702" i="3"/>
  <c r="O712" i="3"/>
  <c r="Y712" i="3" s="1"/>
  <c r="M722" i="3"/>
  <c r="K732" i="3"/>
  <c r="V741" i="3"/>
  <c r="O750" i="3"/>
  <c r="Y750" i="3" s="1"/>
  <c r="L758" i="3"/>
  <c r="K766" i="3"/>
  <c r="J774" i="3"/>
  <c r="V781" i="3"/>
  <c r="Q788" i="3"/>
  <c r="K795" i="3"/>
  <c r="S801" i="3"/>
  <c r="M808" i="3"/>
  <c r="T814" i="3"/>
  <c r="O821" i="3"/>
  <c r="Y821" i="3" s="1"/>
  <c r="V827" i="3"/>
  <c r="P834" i="3"/>
  <c r="K841" i="3"/>
  <c r="R847" i="3"/>
  <c r="K854" i="3"/>
  <c r="J859" i="3"/>
  <c r="V863" i="3"/>
  <c r="U868" i="3"/>
  <c r="T873" i="3"/>
  <c r="S878" i="3"/>
  <c r="R883" i="3"/>
  <c r="Q888" i="3"/>
  <c r="P893" i="3"/>
  <c r="O898" i="3"/>
  <c r="Y898" i="3" s="1"/>
  <c r="N903" i="3"/>
  <c r="M908" i="3"/>
  <c r="L913" i="3"/>
  <c r="P447" i="3"/>
  <c r="J521" i="3"/>
  <c r="O557" i="3"/>
  <c r="Y557" i="3" s="1"/>
  <c r="T584" i="3"/>
  <c r="T610" i="3"/>
  <c r="O637" i="3"/>
  <c r="Y637" i="3" s="1"/>
  <c r="Q662" i="3"/>
  <c r="R675" i="3"/>
  <c r="R686" i="3"/>
  <c r="P696" i="3"/>
  <c r="N706" i="3"/>
  <c r="L716" i="3"/>
  <c r="J726" i="3"/>
  <c r="U735" i="3"/>
  <c r="R745" i="3"/>
  <c r="P753" i="3"/>
  <c r="M761" i="3"/>
  <c r="L769" i="3"/>
  <c r="K777" i="3"/>
  <c r="Q784" i="3"/>
  <c r="L791" i="3"/>
  <c r="S797" i="3"/>
  <c r="M804" i="3"/>
  <c r="U810" i="3"/>
  <c r="O817" i="3"/>
  <c r="Y817" i="3" s="1"/>
  <c r="V823" i="3"/>
  <c r="Q830" i="3"/>
  <c r="K837" i="3"/>
  <c r="R843" i="3"/>
  <c r="M850" i="3"/>
  <c r="J856" i="3"/>
  <c r="V860" i="3"/>
  <c r="U865" i="3"/>
  <c r="T870" i="3"/>
  <c r="S875" i="3"/>
  <c r="R880" i="3"/>
  <c r="Q885" i="3"/>
  <c r="P890" i="3"/>
  <c r="O895" i="3"/>
  <c r="Y895" i="3" s="1"/>
  <c r="N900" i="3"/>
  <c r="M905" i="3"/>
  <c r="L910" i="3"/>
  <c r="K915" i="3"/>
  <c r="J920" i="3"/>
  <c r="V924" i="3"/>
  <c r="U929" i="3"/>
  <c r="T934" i="3"/>
  <c r="S939" i="3"/>
  <c r="R944" i="3"/>
  <c r="Q949" i="3"/>
  <c r="P954" i="3"/>
  <c r="O959" i="3"/>
  <c r="Y959" i="3" s="1"/>
  <c r="N964" i="3"/>
  <c r="M969" i="3"/>
  <c r="L974" i="3"/>
  <c r="K979" i="3"/>
  <c r="J984" i="3"/>
  <c r="V988" i="3"/>
  <c r="U993" i="3"/>
  <c r="T998" i="3"/>
  <c r="K498" i="3"/>
  <c r="U591" i="3"/>
  <c r="J661" i="3"/>
  <c r="K692" i="3"/>
  <c r="S718" i="3"/>
  <c r="R744" i="3"/>
  <c r="Q765" i="3"/>
  <c r="N786" i="3"/>
  <c r="R803" i="3"/>
  <c r="V820" i="3"/>
  <c r="U835" i="3"/>
  <c r="J849" i="3"/>
  <c r="J860" i="3"/>
  <c r="U869" i="3"/>
  <c r="S879" i="3"/>
  <c r="Q889" i="3"/>
  <c r="O899" i="3"/>
  <c r="Y899" i="3" s="1"/>
  <c r="M909" i="3"/>
  <c r="T917" i="3"/>
  <c r="O924" i="3"/>
  <c r="Y924" i="3" s="1"/>
  <c r="V930" i="3"/>
  <c r="P937" i="3"/>
  <c r="K944" i="3"/>
  <c r="R950" i="3"/>
  <c r="L957" i="3"/>
  <c r="T963" i="3"/>
  <c r="N970" i="3"/>
  <c r="U976" i="3"/>
  <c r="P983" i="3"/>
  <c r="J990" i="3"/>
  <c r="Q996" i="3"/>
  <c r="R930" i="3"/>
  <c r="V974" i="3"/>
  <c r="S605" i="3"/>
  <c r="K829" i="3"/>
  <c r="U891" i="3"/>
  <c r="T939" i="3"/>
  <c r="R967" i="3"/>
  <c r="K496" i="3"/>
  <c r="M721" i="3"/>
  <c r="S835" i="3"/>
  <c r="M888" i="3"/>
  <c r="K925" i="3"/>
  <c r="P544" i="3"/>
  <c r="L618" i="3"/>
  <c r="U674" i="3"/>
  <c r="S702" i="3"/>
  <c r="R728" i="3"/>
  <c r="U752" i="3"/>
  <c r="L774" i="3"/>
  <c r="J793" i="3"/>
  <c r="N810" i="3"/>
  <c r="L828" i="3"/>
  <c r="M841" i="3"/>
  <c r="M854" i="3"/>
  <c r="K864" i="3"/>
  <c r="V873" i="3"/>
  <c r="T883" i="3"/>
  <c r="R893" i="3"/>
  <c r="P903" i="3"/>
  <c r="N913" i="3"/>
  <c r="N920" i="3"/>
  <c r="V926" i="3"/>
  <c r="P933" i="3"/>
  <c r="J940" i="3"/>
  <c r="R946" i="3"/>
  <c r="L953" i="3"/>
  <c r="S959" i="3"/>
  <c r="N966" i="3"/>
  <c r="U972" i="3"/>
  <c r="O979" i="3"/>
  <c r="Y979" i="3" s="1"/>
  <c r="J986" i="3"/>
  <c r="Q992" i="3"/>
  <c r="K999" i="3"/>
  <c r="K901" i="3"/>
  <c r="U918" i="3"/>
  <c r="V931" i="3"/>
  <c r="M944" i="3"/>
  <c r="Q956" i="3"/>
  <c r="K968" i="3"/>
  <c r="Q979" i="3"/>
  <c r="U991" i="3"/>
  <c r="R988" i="3"/>
  <c r="N999" i="3"/>
  <c r="O884" i="3"/>
  <c r="Y884" i="3" s="1"/>
  <c r="T907" i="3"/>
  <c r="M923" i="3"/>
  <c r="T938" i="3"/>
  <c r="M955" i="3"/>
  <c r="O977" i="3"/>
  <c r="Y977" i="3" s="1"/>
  <c r="S998" i="3"/>
  <c r="Q664" i="3"/>
  <c r="U746" i="3"/>
  <c r="R807" i="3"/>
  <c r="O857" i="3"/>
  <c r="Y857" i="3" s="1"/>
  <c r="O889" i="3"/>
  <c r="T916" i="3"/>
  <c r="P936" i="3"/>
  <c r="S962" i="3"/>
  <c r="U984" i="3"/>
  <c r="M651" i="3"/>
  <c r="O773" i="3"/>
  <c r="Y773" i="3" s="1"/>
  <c r="T853" i="3"/>
  <c r="Q900" i="3"/>
  <c r="K934" i="3"/>
  <c r="T544" i="3"/>
  <c r="V618" i="3"/>
  <c r="K676" i="3"/>
  <c r="T702" i="3"/>
  <c r="J729" i="3"/>
  <c r="R753" i="3"/>
  <c r="L777" i="3"/>
  <c r="P795" i="3"/>
  <c r="T812" i="3"/>
  <c r="V829" i="3"/>
  <c r="J843" i="3"/>
  <c r="Q855" i="3"/>
  <c r="R866" i="3"/>
  <c r="P876" i="3"/>
  <c r="Q887" i="3"/>
  <c r="U899" i="3"/>
  <c r="J918" i="3"/>
  <c r="L931" i="3"/>
  <c r="K945" i="3"/>
  <c r="U959" i="3"/>
  <c r="P975" i="3"/>
  <c r="O989" i="3"/>
  <c r="Y989" i="3" s="1"/>
  <c r="Q976" i="3"/>
  <c r="R999" i="3"/>
  <c r="L909" i="3"/>
  <c r="S503" i="3"/>
  <c r="T594" i="3"/>
  <c r="L663" i="3"/>
  <c r="N693" i="3"/>
  <c r="V719" i="3"/>
  <c r="T745" i="3"/>
  <c r="R766" i="3"/>
  <c r="K787" i="3"/>
  <c r="P804" i="3"/>
  <c r="T821" i="3"/>
  <c r="Q836" i="3"/>
  <c r="S849" i="3"/>
  <c r="Q860" i="3"/>
  <c r="O870" i="3"/>
  <c r="Y870" i="3" s="1"/>
  <c r="M880" i="3"/>
  <c r="K890" i="3"/>
  <c r="V899" i="3"/>
  <c r="T909" i="3"/>
  <c r="K918" i="3"/>
  <c r="R924" i="3"/>
  <c r="M931" i="3"/>
  <c r="T937" i="3"/>
  <c r="N944" i="3"/>
  <c r="V950" i="3"/>
  <c r="P957" i="3"/>
  <c r="J964" i="3"/>
  <c r="R970" i="3"/>
  <c r="L977" i="3"/>
  <c r="S983" i="3"/>
  <c r="J996" i="3"/>
  <c r="T961" i="3"/>
  <c r="Q999" i="3"/>
  <c r="U740" i="3"/>
  <c r="U811" i="3"/>
  <c r="T864" i="3"/>
  <c r="R917" i="3"/>
  <c r="T948" i="3"/>
  <c r="R981" i="3"/>
  <c r="T727" i="3"/>
  <c r="V843" i="3"/>
  <c r="P905" i="3"/>
  <c r="Q490" i="3"/>
  <c r="J586" i="3"/>
  <c r="O657" i="3"/>
  <c r="Y657" i="3" s="1"/>
  <c r="P690" i="3"/>
  <c r="S716" i="3"/>
  <c r="N743" i="3"/>
  <c r="Q764" i="3"/>
  <c r="U784" i="3"/>
  <c r="S802" i="3"/>
  <c r="K820" i="3"/>
  <c r="J835" i="3"/>
  <c r="L848" i="3"/>
  <c r="O859" i="3"/>
  <c r="Y859" i="3" s="1"/>
  <c r="M869" i="3"/>
  <c r="K879" i="3"/>
  <c r="V888" i="3"/>
  <c r="T898" i="3"/>
  <c r="R908" i="3"/>
  <c r="O917" i="3"/>
  <c r="Y917" i="3" s="1"/>
  <c r="V923" i="3"/>
  <c r="Q930" i="3"/>
  <c r="K937" i="3"/>
  <c r="R943" i="3"/>
  <c r="M950" i="3"/>
  <c r="T956" i="3"/>
  <c r="N963" i="3"/>
  <c r="V969" i="3"/>
  <c r="P976" i="3"/>
  <c r="J983" i="3"/>
  <c r="R989" i="3"/>
  <c r="L996" i="3"/>
  <c r="U464" i="3"/>
  <c r="T578" i="3"/>
  <c r="P648" i="3"/>
  <c r="V687" i="3"/>
  <c r="U713" i="3"/>
  <c r="O743" i="3"/>
  <c r="Y743" i="3" s="1"/>
  <c r="S764" i="3"/>
  <c r="N787" i="3"/>
  <c r="L805" i="3"/>
  <c r="U824" i="3"/>
  <c r="T838" i="3"/>
  <c r="V851" i="3"/>
  <c r="P863" i="3"/>
  <c r="T875" i="3"/>
  <c r="S896" i="3"/>
  <c r="U915" i="3"/>
  <c r="T929" i="3"/>
  <c r="V942" i="3"/>
  <c r="V960" i="3"/>
  <c r="K983" i="3"/>
  <c r="L349" i="3"/>
  <c r="V503" i="3"/>
  <c r="M371" i="3"/>
  <c r="T263" i="3"/>
  <c r="P404" i="3"/>
  <c r="M483" i="3"/>
  <c r="N384" i="3"/>
  <c r="Q276" i="3"/>
  <c r="R457" i="3"/>
  <c r="S369" i="3"/>
  <c r="N482" i="3"/>
  <c r="K353" i="3"/>
  <c r="O397" i="3"/>
  <c r="Y397" i="3" s="1"/>
  <c r="J429" i="3"/>
  <c r="J457" i="3"/>
  <c r="M190" i="3"/>
  <c r="O341" i="3"/>
  <c r="Y341" i="3" s="1"/>
  <c r="T387" i="3"/>
  <c r="N419" i="3"/>
  <c r="V448" i="3"/>
  <c r="L475" i="3"/>
  <c r="T399" i="3"/>
  <c r="N476" i="3"/>
  <c r="T510" i="3"/>
  <c r="S534" i="3"/>
  <c r="O554" i="3"/>
  <c r="Y554" i="3" s="1"/>
  <c r="K574" i="3"/>
  <c r="T593" i="3"/>
  <c r="P613" i="3"/>
  <c r="L633" i="3"/>
  <c r="U652" i="3"/>
  <c r="N357" i="3"/>
  <c r="V445" i="3"/>
  <c r="S497" i="3"/>
  <c r="L526" i="3"/>
  <c r="U545" i="3"/>
  <c r="Q565" i="3"/>
  <c r="M585" i="3"/>
  <c r="V604" i="3"/>
  <c r="R624" i="3"/>
  <c r="N644" i="3"/>
  <c r="T257" i="3"/>
  <c r="O416" i="3"/>
  <c r="Y416" i="3" s="1"/>
  <c r="V485" i="3"/>
  <c r="R516" i="3"/>
  <c r="Q538" i="3"/>
  <c r="M558" i="3"/>
  <c r="V577" i="3"/>
  <c r="R597" i="3"/>
  <c r="N617" i="3"/>
  <c r="J637" i="3"/>
  <c r="S656" i="3"/>
  <c r="U390" i="3"/>
  <c r="T468" i="3"/>
  <c r="P507" i="3"/>
  <c r="Q532" i="3"/>
  <c r="M552" i="3"/>
  <c r="V571" i="3"/>
  <c r="R591" i="3"/>
  <c r="N611" i="3"/>
  <c r="J631" i="3"/>
  <c r="S650" i="3"/>
  <c r="P355" i="3"/>
  <c r="J445" i="3"/>
  <c r="N497" i="3"/>
  <c r="U525" i="3"/>
  <c r="Q545" i="3"/>
  <c r="J332" i="3"/>
  <c r="V513" i="3"/>
  <c r="T567" i="3"/>
  <c r="L607" i="3"/>
  <c r="Q646" i="3"/>
  <c r="U673" i="3"/>
  <c r="V472" i="3"/>
  <c r="U546" i="3"/>
  <c r="J590" i="3"/>
  <c r="O629" i="3"/>
  <c r="Y629" i="3" s="1"/>
  <c r="N665" i="3"/>
  <c r="J685" i="3"/>
  <c r="S704" i="3"/>
  <c r="O724" i="3"/>
  <c r="Y724" i="3" s="1"/>
  <c r="K744" i="3"/>
  <c r="T763" i="3"/>
  <c r="P783" i="3"/>
  <c r="L803" i="3"/>
  <c r="L819" i="3"/>
  <c r="K824" i="3"/>
  <c r="J829" i="3"/>
  <c r="V833" i="3"/>
  <c r="U838" i="3"/>
  <c r="T843" i="3"/>
  <c r="S848" i="3"/>
  <c r="R853" i="3"/>
  <c r="J374" i="3"/>
  <c r="L431" i="3"/>
  <c r="T478" i="3"/>
  <c r="L502" i="3"/>
  <c r="V521" i="3"/>
  <c r="Q535" i="3"/>
  <c r="S548" i="3"/>
  <c r="S561" i="3"/>
  <c r="U571" i="3"/>
  <c r="S581" i="3"/>
  <c r="Q591" i="3"/>
  <c r="O601" i="3"/>
  <c r="Y601" i="3" s="1"/>
  <c r="M611" i="3"/>
  <c r="K621" i="3"/>
  <c r="V630" i="3"/>
  <c r="T640" i="3"/>
  <c r="R650" i="3"/>
  <c r="P660" i="3"/>
  <c r="J666" i="3"/>
  <c r="V670" i="3"/>
  <c r="U675" i="3"/>
  <c r="T680" i="3"/>
  <c r="S685" i="3"/>
  <c r="R690" i="3"/>
  <c r="Q695" i="3"/>
  <c r="P700" i="3"/>
  <c r="O705" i="3"/>
  <c r="Y705" i="3" s="1"/>
  <c r="N710" i="3"/>
  <c r="M715" i="3"/>
  <c r="L720" i="3"/>
  <c r="K725" i="3"/>
  <c r="J730" i="3"/>
  <c r="V734" i="3"/>
  <c r="U739" i="3"/>
  <c r="T744" i="3"/>
  <c r="S749" i="3"/>
  <c r="R754" i="3"/>
  <c r="Q759" i="3"/>
  <c r="P764" i="3"/>
  <c r="O769" i="3"/>
  <c r="Y769" i="3" s="1"/>
  <c r="N774" i="3"/>
  <c r="M779" i="3"/>
  <c r="P302" i="3"/>
  <c r="T396" i="3"/>
  <c r="U450" i="3"/>
  <c r="V489" i="3"/>
  <c r="T509" i="3"/>
  <c r="Q527" i="3"/>
  <c r="S540" i="3"/>
  <c r="S553" i="3"/>
  <c r="U565" i="3"/>
  <c r="S575" i="3"/>
  <c r="Q585" i="3"/>
  <c r="O595" i="3"/>
  <c r="Y595" i="3" s="1"/>
  <c r="M605" i="3"/>
  <c r="K615" i="3"/>
  <c r="V624" i="3"/>
  <c r="T634" i="3"/>
  <c r="R644" i="3"/>
  <c r="P654" i="3"/>
  <c r="J663" i="3"/>
  <c r="V667" i="3"/>
  <c r="U672" i="3"/>
  <c r="T677" i="3"/>
  <c r="S682" i="3"/>
  <c r="R687" i="3"/>
  <c r="Q692" i="3"/>
  <c r="P697" i="3"/>
  <c r="O702" i="3"/>
  <c r="Y702" i="3" s="1"/>
  <c r="N707" i="3"/>
  <c r="M712" i="3"/>
  <c r="L717" i="3"/>
  <c r="K722" i="3"/>
  <c r="J727" i="3"/>
  <c r="V731" i="3"/>
  <c r="U736" i="3"/>
  <c r="T741" i="3"/>
  <c r="Q302" i="3"/>
  <c r="V397" i="3"/>
  <c r="S451" i="3"/>
  <c r="K490" i="3"/>
  <c r="M510" i="3"/>
  <c r="T527" i="3"/>
  <c r="T540" i="3"/>
  <c r="J554" i="3"/>
  <c r="V565" i="3"/>
  <c r="T575" i="3"/>
  <c r="R585" i="3"/>
  <c r="P595" i="3"/>
  <c r="N605" i="3"/>
  <c r="L615" i="3"/>
  <c r="J625" i="3"/>
  <c r="U634" i="3"/>
  <c r="S644" i="3"/>
  <c r="Q654" i="3"/>
  <c r="K663" i="3"/>
  <c r="J668" i="3"/>
  <c r="V672" i="3"/>
  <c r="U677" i="3"/>
  <c r="T682" i="3"/>
  <c r="S687" i="3"/>
  <c r="R692" i="3"/>
  <c r="Q697" i="3"/>
  <c r="P702" i="3"/>
  <c r="O707" i="3"/>
  <c r="Y707" i="3" s="1"/>
  <c r="N712" i="3"/>
  <c r="M717" i="3"/>
  <c r="L722" i="3"/>
  <c r="K727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Y835" i="3" s="1"/>
  <c r="N840" i="3"/>
  <c r="M845" i="3"/>
  <c r="L850" i="3"/>
  <c r="N360" i="3"/>
  <c r="V490" i="3"/>
  <c r="S537" i="3"/>
  <c r="J570" i="3"/>
  <c r="J596" i="3"/>
  <c r="R622" i="3"/>
  <c r="T648" i="3"/>
  <c r="M668" i="3"/>
  <c r="K681" i="3"/>
  <c r="V690" i="3"/>
  <c r="T700" i="3"/>
  <c r="R710" i="3"/>
  <c r="P720" i="3"/>
  <c r="N730" i="3"/>
  <c r="L740" i="3"/>
  <c r="V748" i="3"/>
  <c r="U756" i="3"/>
  <c r="T764" i="3"/>
  <c r="S772" i="3"/>
  <c r="Q780" i="3"/>
  <c r="P787" i="3"/>
  <c r="J794" i="3"/>
  <c r="Q800" i="3"/>
  <c r="L807" i="3"/>
  <c r="S813" i="3"/>
  <c r="M820" i="3"/>
  <c r="U826" i="3"/>
  <c r="J441" i="3"/>
  <c r="R518" i="3"/>
  <c r="U555" i="3"/>
  <c r="Q583" i="3"/>
  <c r="Q609" i="3"/>
  <c r="L636" i="3"/>
  <c r="U661" i="3"/>
  <c r="J675" i="3"/>
  <c r="K686" i="3"/>
  <c r="V695" i="3"/>
  <c r="T705" i="3"/>
  <c r="R715" i="3"/>
  <c r="P725" i="3"/>
  <c r="N735" i="3"/>
  <c r="L745" i="3"/>
  <c r="K753" i="3"/>
  <c r="J761" i="3"/>
  <c r="U768" i="3"/>
  <c r="R776" i="3"/>
  <c r="M784" i="3"/>
  <c r="T790" i="3"/>
  <c r="O797" i="3"/>
  <c r="Y797" i="3" s="1"/>
  <c r="V803" i="3"/>
  <c r="P810" i="3"/>
  <c r="K817" i="3"/>
  <c r="R823" i="3"/>
  <c r="L830" i="3"/>
  <c r="T836" i="3"/>
  <c r="N843" i="3"/>
  <c r="U849" i="3"/>
  <c r="T855" i="3"/>
  <c r="S860" i="3"/>
  <c r="R865" i="3"/>
  <c r="Q870" i="3"/>
  <c r="P875" i="3"/>
  <c r="O880" i="3"/>
  <c r="Y880" i="3" s="1"/>
  <c r="N885" i="3"/>
  <c r="M890" i="3"/>
  <c r="L895" i="3"/>
  <c r="K900" i="3"/>
  <c r="J905" i="3"/>
  <c r="V909" i="3"/>
  <c r="U914" i="3"/>
  <c r="T919" i="3"/>
  <c r="S924" i="3"/>
  <c r="R929" i="3"/>
  <c r="Q934" i="3"/>
  <c r="P939" i="3"/>
  <c r="O944" i="3"/>
  <c r="Y944" i="3" s="1"/>
  <c r="N949" i="3"/>
  <c r="M954" i="3"/>
  <c r="L959" i="3"/>
  <c r="K964" i="3"/>
  <c r="J969" i="3"/>
  <c r="V973" i="3"/>
  <c r="U978" i="3"/>
  <c r="T983" i="3"/>
  <c r="S988" i="3"/>
  <c r="R993" i="3"/>
  <c r="Q998" i="3"/>
  <c r="V906" i="3"/>
  <c r="Q915" i="3"/>
  <c r="U458" i="3"/>
  <c r="K525" i="3"/>
  <c r="T560" i="3"/>
  <c r="M587" i="3"/>
  <c r="M613" i="3"/>
  <c r="U639" i="3"/>
  <c r="U663" i="3"/>
  <c r="U676" i="3"/>
  <c r="O687" i="3"/>
  <c r="Y687" i="3" s="1"/>
  <c r="M697" i="3"/>
  <c r="K707" i="3"/>
  <c r="V716" i="3"/>
  <c r="T726" i="3"/>
  <c r="R736" i="3"/>
  <c r="N746" i="3"/>
  <c r="M754" i="3"/>
  <c r="K762" i="3"/>
  <c r="U769" i="3"/>
  <c r="T777" i="3"/>
  <c r="L785" i="3"/>
  <c r="T791" i="3"/>
  <c r="N798" i="3"/>
  <c r="U804" i="3"/>
  <c r="P811" i="3"/>
  <c r="J818" i="3"/>
  <c r="Q824" i="3"/>
  <c r="L831" i="3"/>
  <c r="S837" i="3"/>
  <c r="M844" i="3"/>
  <c r="U850" i="3"/>
  <c r="P856" i="3"/>
  <c r="O861" i="3"/>
  <c r="Y861" i="3" s="1"/>
  <c r="N866" i="3"/>
  <c r="U871" i="3"/>
  <c r="T876" i="3"/>
  <c r="S881" i="3"/>
  <c r="R886" i="3"/>
  <c r="Q891" i="3"/>
  <c r="P896" i="3"/>
  <c r="J902" i="3"/>
  <c r="J910" i="3"/>
  <c r="R407" i="3"/>
  <c r="V507" i="3"/>
  <c r="U547" i="3"/>
  <c r="Q577" i="3"/>
  <c r="L604" i="3"/>
  <c r="N630" i="3"/>
  <c r="N656" i="3"/>
  <c r="O672" i="3"/>
  <c r="Y672" i="3" s="1"/>
  <c r="K684" i="3"/>
  <c r="V693" i="3"/>
  <c r="T703" i="3"/>
  <c r="R713" i="3"/>
  <c r="P723" i="3"/>
  <c r="N733" i="3"/>
  <c r="L743" i="3"/>
  <c r="N751" i="3"/>
  <c r="M759" i="3"/>
  <c r="L767" i="3"/>
  <c r="J775" i="3"/>
  <c r="T782" i="3"/>
  <c r="O789" i="3"/>
  <c r="Y789" i="3" s="1"/>
  <c r="V795" i="3"/>
  <c r="P802" i="3"/>
  <c r="K809" i="3"/>
  <c r="R815" i="3"/>
  <c r="L822" i="3"/>
  <c r="T828" i="3"/>
  <c r="N835" i="3"/>
  <c r="U841" i="3"/>
  <c r="P848" i="3"/>
  <c r="S854" i="3"/>
  <c r="R859" i="3"/>
  <c r="Q864" i="3"/>
  <c r="P869" i="3"/>
  <c r="O874" i="3"/>
  <c r="Y874" i="3" s="1"/>
  <c r="N879" i="3"/>
  <c r="M884" i="3"/>
  <c r="L889" i="3"/>
  <c r="K894" i="3"/>
  <c r="J899" i="3"/>
  <c r="V903" i="3"/>
  <c r="U908" i="3"/>
  <c r="T913" i="3"/>
  <c r="J464" i="3"/>
  <c r="Q526" i="3"/>
  <c r="K561" i="3"/>
  <c r="L588" i="3"/>
  <c r="N614" i="3"/>
  <c r="N640" i="3"/>
  <c r="O664" i="3"/>
  <c r="Y664" i="3" s="1"/>
  <c r="O677" i="3"/>
  <c r="Y677" i="3" s="1"/>
  <c r="U687" i="3"/>
  <c r="S697" i="3"/>
  <c r="Q707" i="3"/>
  <c r="O717" i="3"/>
  <c r="Y717" i="3" s="1"/>
  <c r="M727" i="3"/>
  <c r="K737" i="3"/>
  <c r="P746" i="3"/>
  <c r="O754" i="3"/>
  <c r="Y754" i="3" s="1"/>
  <c r="N762" i="3"/>
  <c r="M770" i="3"/>
  <c r="K778" i="3"/>
  <c r="O785" i="3"/>
  <c r="Y785" i="3" s="1"/>
  <c r="V791" i="3"/>
  <c r="Q798" i="3"/>
  <c r="K805" i="3"/>
  <c r="R811" i="3"/>
  <c r="M818" i="3"/>
  <c r="T824" i="3"/>
  <c r="N831" i="3"/>
  <c r="V837" i="3"/>
  <c r="P844" i="3"/>
  <c r="J851" i="3"/>
  <c r="R856" i="3"/>
  <c r="Q861" i="3"/>
  <c r="P866" i="3"/>
  <c r="O871" i="3"/>
  <c r="Y871" i="3" s="1"/>
  <c r="N876" i="3"/>
  <c r="M881" i="3"/>
  <c r="L886" i="3"/>
  <c r="K891" i="3"/>
  <c r="J896" i="3"/>
  <c r="V900" i="3"/>
  <c r="U905" i="3"/>
  <c r="T910" i="3"/>
  <c r="S915" i="3"/>
  <c r="R920" i="3"/>
  <c r="Q925" i="3"/>
  <c r="P930" i="3"/>
  <c r="O935" i="3"/>
  <c r="Y935" i="3" s="1"/>
  <c r="N940" i="3"/>
  <c r="M945" i="3"/>
  <c r="L950" i="3"/>
  <c r="K955" i="3"/>
  <c r="J960" i="3"/>
  <c r="V964" i="3"/>
  <c r="U969" i="3"/>
  <c r="T974" i="3"/>
  <c r="S979" i="3"/>
  <c r="R984" i="3"/>
  <c r="Q989" i="3"/>
  <c r="P994" i="3"/>
  <c r="O999" i="3"/>
  <c r="Y999" i="3" s="1"/>
  <c r="L516" i="3"/>
  <c r="M599" i="3"/>
  <c r="M666" i="3"/>
  <c r="O695" i="3"/>
  <c r="Y695" i="3" s="1"/>
  <c r="R721" i="3"/>
  <c r="R747" i="3"/>
  <c r="P768" i="3"/>
  <c r="L788" i="3"/>
  <c r="J806" i="3"/>
  <c r="N823" i="3"/>
  <c r="P837" i="3"/>
  <c r="R850" i="3"/>
  <c r="M861" i="3"/>
  <c r="K871" i="3"/>
  <c r="V880" i="3"/>
  <c r="T890" i="3"/>
  <c r="R900" i="3"/>
  <c r="P910" i="3"/>
  <c r="R918" i="3"/>
  <c r="L925" i="3"/>
  <c r="T931" i="3"/>
  <c r="N938" i="3"/>
  <c r="U944" i="3"/>
  <c r="P951" i="3"/>
  <c r="J958" i="3"/>
  <c r="Q964" i="3"/>
  <c r="L971" i="3"/>
  <c r="S977" i="3"/>
  <c r="M984" i="3"/>
  <c r="U990" i="3"/>
  <c r="O997" i="3"/>
  <c r="Y997" i="3" s="1"/>
  <c r="K942" i="3"/>
  <c r="L978" i="3"/>
  <c r="O669" i="3"/>
  <c r="Y669" i="3" s="1"/>
  <c r="Q840" i="3"/>
  <c r="P900" i="3"/>
  <c r="J943" i="3"/>
  <c r="T971" i="3"/>
  <c r="T562" i="3"/>
  <c r="V740" i="3"/>
  <c r="N842" i="3"/>
  <c r="L893" i="3"/>
  <c r="R305" i="3"/>
  <c r="N554" i="3"/>
  <c r="U627" i="3"/>
  <c r="N679" i="3"/>
  <c r="R705" i="3"/>
  <c r="M732" i="3"/>
  <c r="R755" i="3"/>
  <c r="P776" i="3"/>
  <c r="N795" i="3"/>
  <c r="S812" i="3"/>
  <c r="T829" i="3"/>
  <c r="V842" i="3"/>
  <c r="P855" i="3"/>
  <c r="N865" i="3"/>
  <c r="L875" i="3"/>
  <c r="J885" i="3"/>
  <c r="U894" i="3"/>
  <c r="S904" i="3"/>
  <c r="O914" i="3"/>
  <c r="Y914" i="3" s="1"/>
  <c r="L921" i="3"/>
  <c r="S927" i="3"/>
  <c r="N934" i="3"/>
  <c r="U940" i="3"/>
  <c r="O947" i="3"/>
  <c r="Y947" i="3" s="1"/>
  <c r="J954" i="3"/>
  <c r="Q960" i="3"/>
  <c r="K967" i="3"/>
  <c r="S973" i="3"/>
  <c r="M980" i="3"/>
  <c r="T986" i="3"/>
  <c r="O993" i="3"/>
  <c r="Y993" i="3" s="1"/>
  <c r="V999" i="3"/>
  <c r="Q903" i="3"/>
  <c r="P920" i="3"/>
  <c r="R933" i="3"/>
  <c r="V945" i="3"/>
  <c r="O957" i="3"/>
  <c r="Y957" i="3" s="1"/>
  <c r="S969" i="3"/>
  <c r="L981" i="3"/>
  <c r="P993" i="3"/>
  <c r="N990" i="3"/>
  <c r="V1000" i="3"/>
  <c r="U886" i="3"/>
  <c r="M910" i="3"/>
  <c r="U924" i="3"/>
  <c r="P940" i="3"/>
  <c r="S957" i="3"/>
  <c r="R980" i="3"/>
  <c r="O377" i="3"/>
  <c r="Y377" i="3" s="1"/>
  <c r="V677" i="3"/>
  <c r="S754" i="3"/>
  <c r="J816" i="3"/>
  <c r="U859" i="3"/>
  <c r="R890" i="3"/>
  <c r="O918" i="3"/>
  <c r="Y918" i="3" s="1"/>
  <c r="V938" i="3"/>
  <c r="L965" i="3"/>
  <c r="N987" i="3"/>
  <c r="P669" i="3"/>
  <c r="S785" i="3"/>
  <c r="O862" i="3"/>
  <c r="Y862" i="3" s="1"/>
  <c r="M904" i="3"/>
  <c r="P308" i="3"/>
  <c r="S557" i="3"/>
  <c r="J628" i="3"/>
  <c r="T679" i="3"/>
  <c r="O706" i="3"/>
  <c r="Y706" i="3" s="1"/>
  <c r="N732" i="3"/>
  <c r="S755" i="3"/>
  <c r="P779" i="3"/>
  <c r="T797" i="3"/>
  <c r="L815" i="3"/>
  <c r="Q831" i="3"/>
  <c r="S844" i="3"/>
  <c r="T856" i="3"/>
  <c r="U867" i="3"/>
  <c r="S877" i="3"/>
  <c r="T888" i="3"/>
  <c r="N902" i="3"/>
  <c r="R919" i="3"/>
  <c r="T932" i="3"/>
  <c r="S946" i="3"/>
  <c r="P961" i="3"/>
  <c r="K977" i="3"/>
  <c r="J991" i="3"/>
  <c r="R510" i="3"/>
  <c r="T515" i="3"/>
  <c r="S917" i="3"/>
  <c r="L523" i="3"/>
  <c r="L602" i="3"/>
  <c r="R667" i="3"/>
  <c r="R696" i="3"/>
  <c r="U722" i="3"/>
  <c r="S748" i="3"/>
  <c r="P769" i="3"/>
  <c r="V788" i="3"/>
  <c r="T806" i="3"/>
  <c r="L824" i="3"/>
  <c r="L838" i="3"/>
  <c r="N851" i="3"/>
  <c r="T861" i="3"/>
  <c r="R871" i="3"/>
  <c r="P881" i="3"/>
  <c r="N891" i="3"/>
  <c r="L901" i="3"/>
  <c r="J911" i="3"/>
  <c r="V918" i="3"/>
  <c r="P925" i="3"/>
  <c r="J932" i="3"/>
  <c r="R938" i="3"/>
  <c r="L945" i="3"/>
  <c r="S951" i="3"/>
  <c r="N958" i="3"/>
  <c r="U964" i="3"/>
  <c r="O971" i="3"/>
  <c r="Y971" i="3" s="1"/>
  <c r="J978" i="3"/>
  <c r="O985" i="3"/>
  <c r="Y985" i="3" s="1"/>
  <c r="P998" i="3"/>
  <c r="Q967" i="3"/>
  <c r="P465" i="3"/>
  <c r="U751" i="3"/>
  <c r="T820" i="3"/>
  <c r="L872" i="3"/>
  <c r="S921" i="3"/>
  <c r="U952" i="3"/>
  <c r="Q986" i="3"/>
  <c r="T749" i="3"/>
  <c r="L852" i="3"/>
  <c r="K914" i="3"/>
  <c r="S508" i="3"/>
  <c r="Q595" i="3"/>
  <c r="M663" i="3"/>
  <c r="K694" i="3"/>
  <c r="J720" i="3"/>
  <c r="U745" i="3"/>
  <c r="N767" i="3"/>
  <c r="M787" i="3"/>
  <c r="Q804" i="3"/>
  <c r="O822" i="3"/>
  <c r="Y822" i="3" s="1"/>
  <c r="S836" i="3"/>
  <c r="T849" i="3"/>
  <c r="R860" i="3"/>
  <c r="P870" i="3"/>
  <c r="N880" i="3"/>
  <c r="L890" i="3"/>
  <c r="J900" i="3"/>
  <c r="U909" i="3"/>
  <c r="M918" i="3"/>
  <c r="T924" i="3"/>
  <c r="N931" i="3"/>
  <c r="V937" i="3"/>
  <c r="P944" i="3"/>
  <c r="J951" i="3"/>
  <c r="R957" i="3"/>
  <c r="L964" i="3"/>
  <c r="S970" i="3"/>
  <c r="N977" i="3"/>
  <c r="U983" i="3"/>
  <c r="O990" i="3"/>
  <c r="Y990" i="3" s="1"/>
  <c r="J997" i="3"/>
  <c r="U490" i="3"/>
  <c r="P588" i="3"/>
  <c r="Q657" i="3"/>
  <c r="U690" i="3"/>
  <c r="P717" i="3"/>
  <c r="S746" i="3"/>
  <c r="O767" i="3"/>
  <c r="Y767" i="3" s="1"/>
  <c r="S789" i="3"/>
  <c r="J807" i="3"/>
  <c r="S826" i="3"/>
  <c r="P840" i="3"/>
  <c r="U854" i="3"/>
  <c r="S864" i="3"/>
  <c r="M878" i="3"/>
  <c r="L899" i="3"/>
  <c r="P917" i="3"/>
  <c r="O931" i="3"/>
  <c r="Y931" i="3" s="1"/>
  <c r="O945" i="3"/>
  <c r="Y945" i="3" s="1"/>
  <c r="O963" i="3"/>
  <c r="Y963" i="3" s="1"/>
  <c r="T984" i="3"/>
  <c r="S354" i="3"/>
  <c r="L505" i="3"/>
  <c r="T372" i="3"/>
  <c r="S268" i="3"/>
  <c r="S405" i="3"/>
  <c r="P484" i="3"/>
  <c r="M386" i="3"/>
  <c r="U285" i="3"/>
  <c r="N459" i="3"/>
  <c r="O372" i="3"/>
  <c r="Y372" i="3" s="1"/>
  <c r="L483" i="3"/>
  <c r="M355" i="3"/>
  <c r="P398" i="3"/>
  <c r="V429" i="3"/>
  <c r="U457" i="3"/>
  <c r="S207" i="3"/>
  <c r="U343" i="3"/>
  <c r="S388" i="3"/>
  <c r="L420" i="3"/>
  <c r="S449" i="3"/>
  <c r="J476" i="3"/>
  <c r="S402" i="3"/>
  <c r="P478" i="3"/>
  <c r="S511" i="3"/>
  <c r="N535" i="3"/>
  <c r="J555" i="3"/>
  <c r="S574" i="3"/>
  <c r="O594" i="3"/>
  <c r="Y594" i="3" s="1"/>
  <c r="K614" i="3"/>
  <c r="T633" i="3"/>
  <c r="P653" i="3"/>
  <c r="V361" i="3"/>
  <c r="N448" i="3"/>
  <c r="T498" i="3"/>
  <c r="T526" i="3"/>
  <c r="P546" i="3"/>
  <c r="L566" i="3"/>
  <c r="U585" i="3"/>
  <c r="Q605" i="3"/>
  <c r="M625" i="3"/>
  <c r="V644" i="3"/>
  <c r="L274" i="3"/>
  <c r="S418" i="3"/>
  <c r="O487" i="3"/>
  <c r="Y487" i="3" s="1"/>
  <c r="R517" i="3"/>
  <c r="L539" i="3"/>
  <c r="U558" i="3"/>
  <c r="Q578" i="3"/>
  <c r="M598" i="3"/>
  <c r="V617" i="3"/>
  <c r="R637" i="3"/>
  <c r="N657" i="3"/>
  <c r="J393" i="3"/>
  <c r="L471" i="3"/>
  <c r="O508" i="3"/>
  <c r="Y508" i="3" s="1"/>
  <c r="L533" i="3"/>
  <c r="U552" i="3"/>
  <c r="Q572" i="3"/>
  <c r="M592" i="3"/>
  <c r="V611" i="3"/>
  <c r="R631" i="3"/>
  <c r="N651" i="3"/>
  <c r="L359" i="3"/>
  <c r="O447" i="3"/>
  <c r="M498" i="3"/>
  <c r="P526" i="3"/>
  <c r="L546" i="3"/>
  <c r="O349" i="3"/>
  <c r="Y349" i="3" s="1"/>
  <c r="N516" i="3"/>
  <c r="J569" i="3"/>
  <c r="O608" i="3"/>
  <c r="Y608" i="3" s="1"/>
  <c r="T647" i="3"/>
  <c r="P674" i="3"/>
  <c r="V477" i="3"/>
  <c r="P548" i="3"/>
  <c r="M591" i="3"/>
  <c r="R630" i="3"/>
  <c r="V665" i="3"/>
  <c r="R685" i="3"/>
  <c r="N705" i="3"/>
  <c r="J725" i="3"/>
  <c r="S744" i="3"/>
  <c r="O764" i="3"/>
  <c r="Y764" i="3" s="1"/>
  <c r="K784" i="3"/>
  <c r="T803" i="3"/>
  <c r="T819" i="3"/>
  <c r="S824" i="3"/>
  <c r="R829" i="3"/>
  <c r="Q834" i="3"/>
  <c r="P839" i="3"/>
  <c r="O844" i="3"/>
  <c r="Y844" i="3" s="1"/>
  <c r="N849" i="3"/>
  <c r="U209" i="3"/>
  <c r="J382" i="3"/>
  <c r="O438" i="3"/>
  <c r="Y438" i="3" s="1"/>
  <c r="T482" i="3"/>
  <c r="R504" i="3"/>
  <c r="K524" i="3"/>
  <c r="K537" i="3"/>
  <c r="N550" i="3"/>
  <c r="M563" i="3"/>
  <c r="K573" i="3"/>
  <c r="V582" i="3"/>
  <c r="T592" i="3"/>
  <c r="R602" i="3"/>
  <c r="P612" i="3"/>
  <c r="N622" i="3"/>
  <c r="L632" i="3"/>
  <c r="J642" i="3"/>
  <c r="U651" i="3"/>
  <c r="O661" i="3"/>
  <c r="Y661" i="3" s="1"/>
  <c r="R666" i="3"/>
  <c r="Q671" i="3"/>
  <c r="P676" i="3"/>
  <c r="O681" i="3"/>
  <c r="Y681" i="3" s="1"/>
  <c r="N686" i="3"/>
  <c r="M691" i="3"/>
  <c r="L696" i="3"/>
  <c r="K701" i="3"/>
  <c r="J706" i="3"/>
  <c r="V710" i="3"/>
  <c r="U715" i="3"/>
  <c r="T720" i="3"/>
  <c r="S725" i="3"/>
  <c r="R730" i="3"/>
  <c r="Q735" i="3"/>
  <c r="P740" i="3"/>
  <c r="O745" i="3"/>
  <c r="Y745" i="3" s="1"/>
  <c r="N750" i="3"/>
  <c r="M755" i="3"/>
  <c r="L760" i="3"/>
  <c r="K765" i="3"/>
  <c r="J770" i="3"/>
  <c r="V774" i="3"/>
  <c r="U779" i="3"/>
  <c r="L322" i="3"/>
  <c r="R404" i="3"/>
  <c r="P456" i="3"/>
  <c r="O492" i="3"/>
  <c r="Y492" i="3" s="1"/>
  <c r="O512" i="3"/>
  <c r="Y512" i="3" s="1"/>
  <c r="K529" i="3"/>
  <c r="N542" i="3"/>
  <c r="P555" i="3"/>
  <c r="K567" i="3"/>
  <c r="V576" i="3"/>
  <c r="T586" i="3"/>
  <c r="R596" i="3"/>
  <c r="P606" i="3"/>
  <c r="N616" i="3"/>
  <c r="L626" i="3"/>
  <c r="J636" i="3"/>
  <c r="U645" i="3"/>
  <c r="S655" i="3"/>
  <c r="R663" i="3"/>
  <c r="Q668" i="3"/>
  <c r="P673" i="3"/>
  <c r="O678" i="3"/>
  <c r="Y678" i="3" s="1"/>
  <c r="N683" i="3"/>
  <c r="M688" i="3"/>
  <c r="L693" i="3"/>
  <c r="K698" i="3"/>
  <c r="J703" i="3"/>
  <c r="V707" i="3"/>
  <c r="U712" i="3"/>
  <c r="T717" i="3"/>
  <c r="S722" i="3"/>
  <c r="R727" i="3"/>
  <c r="Q732" i="3"/>
  <c r="P737" i="3"/>
  <c r="O742" i="3"/>
  <c r="Y742" i="3" s="1"/>
  <c r="R324" i="3"/>
  <c r="S404" i="3"/>
  <c r="P457" i="3"/>
  <c r="S492" i="3"/>
  <c r="P512" i="3"/>
  <c r="O529" i="3"/>
  <c r="Y529" i="3" s="1"/>
  <c r="Q542" i="3"/>
  <c r="Q555" i="3"/>
  <c r="L567" i="3"/>
  <c r="J577" i="3"/>
  <c r="U586" i="3"/>
  <c r="S596" i="3"/>
  <c r="Q606" i="3"/>
  <c r="O616" i="3"/>
  <c r="Y616" i="3" s="1"/>
  <c r="M626" i="3"/>
  <c r="K636" i="3"/>
  <c r="V645" i="3"/>
  <c r="T655" i="3"/>
  <c r="S663" i="3"/>
  <c r="R668" i="3"/>
  <c r="Q673" i="3"/>
  <c r="P678" i="3"/>
  <c r="O683" i="3"/>
  <c r="Y683" i="3" s="1"/>
  <c r="N688" i="3"/>
  <c r="M693" i="3"/>
  <c r="L698" i="3"/>
  <c r="K703" i="3"/>
  <c r="J708" i="3"/>
  <c r="V712" i="3"/>
  <c r="U717" i="3"/>
  <c r="T722" i="3"/>
  <c r="S727" i="3"/>
  <c r="R732" i="3"/>
  <c r="Q737" i="3"/>
  <c r="P742" i="3"/>
  <c r="O747" i="3"/>
  <c r="Y747" i="3" s="1"/>
  <c r="N752" i="3"/>
  <c r="M757" i="3"/>
  <c r="L762" i="3"/>
  <c r="K767" i="3"/>
  <c r="J772" i="3"/>
  <c r="V776" i="3"/>
  <c r="U781" i="3"/>
  <c r="T786" i="3"/>
  <c r="S791" i="3"/>
  <c r="R796" i="3"/>
  <c r="Q801" i="3"/>
  <c r="P806" i="3"/>
  <c r="O811" i="3"/>
  <c r="Y811" i="3" s="1"/>
  <c r="N816" i="3"/>
  <c r="M821" i="3"/>
  <c r="L826" i="3"/>
  <c r="K831" i="3"/>
  <c r="J836" i="3"/>
  <c r="V840" i="3"/>
  <c r="U845" i="3"/>
  <c r="T850" i="3"/>
  <c r="J385" i="3"/>
  <c r="N498" i="3"/>
  <c r="O541" i="3"/>
  <c r="Y541" i="3" s="1"/>
  <c r="O573" i="3"/>
  <c r="Y573" i="3" s="1"/>
  <c r="Q599" i="3"/>
  <c r="Q625" i="3"/>
  <c r="L652" i="3"/>
  <c r="J670" i="3"/>
  <c r="N682" i="3"/>
  <c r="L692" i="3"/>
  <c r="J702" i="3"/>
  <c r="U711" i="3"/>
  <c r="S721" i="3"/>
  <c r="Q731" i="3"/>
  <c r="O741" i="3"/>
  <c r="Y741" i="3" s="1"/>
  <c r="J750" i="3"/>
  <c r="V757" i="3"/>
  <c r="T765" i="3"/>
  <c r="Q773" i="3"/>
  <c r="P781" i="3"/>
  <c r="M788" i="3"/>
  <c r="U794" i="3"/>
  <c r="O801" i="3"/>
  <c r="Y801" i="3" s="1"/>
  <c r="V807" i="3"/>
  <c r="Q814" i="3"/>
  <c r="K821" i="3"/>
  <c r="R827" i="3"/>
  <c r="M458" i="3"/>
  <c r="T524" i="3"/>
  <c r="Q559" i="3"/>
  <c r="V586" i="3"/>
  <c r="K613" i="3"/>
  <c r="K639" i="3"/>
  <c r="T663" i="3"/>
  <c r="T676" i="3"/>
  <c r="N687" i="3"/>
  <c r="L697" i="3"/>
  <c r="J707" i="3"/>
  <c r="U716" i="3"/>
  <c r="S726" i="3"/>
  <c r="Q736" i="3"/>
  <c r="M746" i="3"/>
  <c r="K754" i="3"/>
  <c r="U761" i="3"/>
  <c r="T769" i="3"/>
  <c r="S777" i="3"/>
  <c r="K785" i="3"/>
  <c r="R791" i="3"/>
  <c r="L798" i="3"/>
  <c r="T804" i="3"/>
  <c r="N811" i="3"/>
  <c r="U817" i="3"/>
  <c r="P824" i="3"/>
  <c r="J831" i="3"/>
  <c r="Q837" i="3"/>
  <c r="L844" i="3"/>
  <c r="S850" i="3"/>
  <c r="O856" i="3"/>
  <c r="Y856" i="3" s="1"/>
  <c r="N861" i="3"/>
  <c r="M866" i="3"/>
  <c r="L871" i="3"/>
  <c r="K876" i="3"/>
  <c r="J881" i="3"/>
  <c r="V885" i="3"/>
  <c r="U890" i="3"/>
  <c r="T895" i="3"/>
  <c r="S900" i="3"/>
  <c r="R905" i="3"/>
  <c r="Q910" i="3"/>
  <c r="P915" i="3"/>
  <c r="O920" i="3"/>
  <c r="Y920" i="3" s="1"/>
  <c r="N925" i="3"/>
  <c r="M930" i="3"/>
  <c r="L935" i="3"/>
  <c r="K940" i="3"/>
  <c r="J945" i="3"/>
  <c r="V949" i="3"/>
  <c r="U954" i="3"/>
  <c r="T959" i="3"/>
  <c r="S964" i="3"/>
  <c r="R969" i="3"/>
  <c r="Q974" i="3"/>
  <c r="P979" i="3"/>
  <c r="O984" i="3"/>
  <c r="Y984" i="3" s="1"/>
  <c r="N989" i="3"/>
  <c r="M994" i="3"/>
  <c r="L999" i="3"/>
  <c r="L908" i="3"/>
  <c r="J250" i="3"/>
  <c r="K476" i="3"/>
  <c r="S529" i="3"/>
  <c r="J564" i="3"/>
  <c r="R590" i="3"/>
  <c r="T616" i="3"/>
  <c r="T642" i="3"/>
  <c r="R665" i="3"/>
  <c r="R678" i="3"/>
  <c r="R688" i="3"/>
  <c r="P698" i="3"/>
  <c r="N708" i="3"/>
  <c r="L718" i="3"/>
  <c r="J728" i="3"/>
  <c r="U737" i="3"/>
  <c r="N747" i="3"/>
  <c r="K755" i="3"/>
  <c r="J763" i="3"/>
  <c r="V770" i="3"/>
  <c r="U778" i="3"/>
  <c r="J786" i="3"/>
  <c r="Q792" i="3"/>
  <c r="L799" i="3"/>
  <c r="S805" i="3"/>
  <c r="M812" i="3"/>
  <c r="U818" i="3"/>
  <c r="O825" i="3"/>
  <c r="Y825" i="3" s="1"/>
  <c r="V831" i="3"/>
  <c r="Q838" i="3"/>
  <c r="K845" i="3"/>
  <c r="R851" i="3"/>
  <c r="K857" i="3"/>
  <c r="J862" i="3"/>
  <c r="V866" i="3"/>
  <c r="P872" i="3"/>
  <c r="O877" i="3"/>
  <c r="Y877" i="3" s="1"/>
  <c r="N882" i="3"/>
  <c r="M887" i="3"/>
  <c r="L892" i="3"/>
  <c r="K897" i="3"/>
  <c r="R902" i="3"/>
  <c r="R910" i="3"/>
  <c r="L428" i="3"/>
  <c r="Q513" i="3"/>
  <c r="P552" i="3"/>
  <c r="K581" i="3"/>
  <c r="K607" i="3"/>
  <c r="S633" i="3"/>
  <c r="U659" i="3"/>
  <c r="T673" i="3"/>
  <c r="N685" i="3"/>
  <c r="L695" i="3"/>
  <c r="J705" i="3"/>
  <c r="U714" i="3"/>
  <c r="S724" i="3"/>
  <c r="Q734" i="3"/>
  <c r="O744" i="3"/>
  <c r="Y744" i="3" s="1"/>
  <c r="O752" i="3"/>
  <c r="Y752" i="3" s="1"/>
  <c r="M760" i="3"/>
  <c r="J768" i="3"/>
  <c r="V775" i="3"/>
  <c r="R783" i="3"/>
  <c r="L790" i="3"/>
  <c r="T796" i="3"/>
  <c r="N803" i="3"/>
  <c r="U809" i="3"/>
  <c r="P816" i="3"/>
  <c r="J823" i="3"/>
  <c r="Q829" i="3"/>
  <c r="L836" i="3"/>
  <c r="S842" i="3"/>
  <c r="M849" i="3"/>
  <c r="N855" i="3"/>
  <c r="M860" i="3"/>
  <c r="L865" i="3"/>
  <c r="K870" i="3"/>
  <c r="J875" i="3"/>
  <c r="V879" i="3"/>
  <c r="U884" i="3"/>
  <c r="T889" i="3"/>
  <c r="S894" i="3"/>
  <c r="R899" i="3"/>
  <c r="Q904" i="3"/>
  <c r="P909" i="3"/>
  <c r="V283" i="3"/>
  <c r="L477" i="3"/>
  <c r="M531" i="3"/>
  <c r="K565" i="3"/>
  <c r="K591" i="3"/>
  <c r="S617" i="3"/>
  <c r="U643" i="3"/>
  <c r="T665" i="3"/>
  <c r="L679" i="3"/>
  <c r="K689" i="3"/>
  <c r="V698" i="3"/>
  <c r="T708" i="3"/>
  <c r="R718" i="3"/>
  <c r="P728" i="3"/>
  <c r="N738" i="3"/>
  <c r="Q747" i="3"/>
  <c r="P755" i="3"/>
  <c r="N763" i="3"/>
  <c r="K771" i="3"/>
  <c r="J779" i="3"/>
  <c r="M786" i="3"/>
  <c r="T792" i="3"/>
  <c r="N799" i="3"/>
  <c r="V805" i="3"/>
  <c r="P812" i="3"/>
  <c r="J819" i="3"/>
  <c r="R825" i="3"/>
  <c r="L832" i="3"/>
  <c r="S838" i="3"/>
  <c r="N845" i="3"/>
  <c r="U851" i="3"/>
  <c r="M857" i="3"/>
  <c r="L862" i="3"/>
  <c r="K867" i="3"/>
  <c r="J872" i="3"/>
  <c r="V876" i="3"/>
  <c r="U881" i="3"/>
  <c r="T886" i="3"/>
  <c r="S891" i="3"/>
  <c r="R896" i="3"/>
  <c r="Q901" i="3"/>
  <c r="P906" i="3"/>
  <c r="O911" i="3"/>
  <c r="Y911" i="3" s="1"/>
  <c r="N916" i="3"/>
  <c r="M921" i="3"/>
  <c r="L926" i="3"/>
  <c r="K931" i="3"/>
  <c r="J936" i="3"/>
  <c r="V940" i="3"/>
  <c r="U945" i="3"/>
  <c r="T950" i="3"/>
  <c r="S955" i="3"/>
  <c r="R960" i="3"/>
  <c r="Q965" i="3"/>
  <c r="P970" i="3"/>
  <c r="O975" i="3"/>
  <c r="Y975" i="3" s="1"/>
  <c r="N980" i="3"/>
  <c r="M985" i="3"/>
  <c r="L990" i="3"/>
  <c r="K995" i="3"/>
  <c r="J1000" i="3"/>
  <c r="P531" i="3"/>
  <c r="N608" i="3"/>
  <c r="V669" i="3"/>
  <c r="J699" i="3"/>
  <c r="V724" i="3"/>
  <c r="V749" i="3"/>
  <c r="N771" i="3"/>
  <c r="Q790" i="3"/>
  <c r="U807" i="3"/>
  <c r="S825" i="3"/>
  <c r="L839" i="3"/>
  <c r="M852" i="3"/>
  <c r="P862" i="3"/>
  <c r="N872" i="3"/>
  <c r="L882" i="3"/>
  <c r="J892" i="3"/>
  <c r="U901" i="3"/>
  <c r="S911" i="3"/>
  <c r="P919" i="3"/>
  <c r="J926" i="3"/>
  <c r="Q932" i="3"/>
  <c r="L939" i="3"/>
  <c r="S945" i="3"/>
  <c r="M952" i="3"/>
  <c r="U958" i="3"/>
  <c r="O965" i="3"/>
  <c r="Y965" i="3" s="1"/>
  <c r="V971" i="3"/>
  <c r="Q978" i="3"/>
  <c r="K985" i="3"/>
  <c r="R991" i="3"/>
  <c r="M998" i="3"/>
  <c r="N950" i="3"/>
  <c r="P981" i="3"/>
  <c r="P701" i="3"/>
  <c r="K852" i="3"/>
  <c r="U907" i="3"/>
  <c r="N946" i="3"/>
  <c r="U975" i="3"/>
  <c r="P598" i="3"/>
  <c r="U754" i="3"/>
  <c r="P850" i="3"/>
  <c r="K898" i="3"/>
  <c r="V393" i="3"/>
  <c r="J566" i="3"/>
  <c r="M635" i="3"/>
  <c r="J683" i="3"/>
  <c r="V708" i="3"/>
  <c r="L735" i="3"/>
  <c r="Q758" i="3"/>
  <c r="N779" i="3"/>
  <c r="L797" i="3"/>
  <c r="J815" i="3"/>
  <c r="O831" i="3"/>
  <c r="Y831" i="3" s="1"/>
  <c r="Q844" i="3"/>
  <c r="S856" i="3"/>
  <c r="Q866" i="3"/>
  <c r="O876" i="3"/>
  <c r="Y876" i="3" s="1"/>
  <c r="M886" i="3"/>
  <c r="K896" i="3"/>
  <c r="V905" i="3"/>
  <c r="N915" i="3"/>
  <c r="J922" i="3"/>
  <c r="Q928" i="3"/>
  <c r="K935" i="3"/>
  <c r="S941" i="3"/>
  <c r="M948" i="3"/>
  <c r="T954" i="3"/>
  <c r="O961" i="3"/>
  <c r="Y961" i="3" s="1"/>
  <c r="V967" i="3"/>
  <c r="P974" i="3"/>
  <c r="K981" i="3"/>
  <c r="R987" i="3"/>
  <c r="L994" i="3"/>
  <c r="T1000" i="3"/>
  <c r="J906" i="3"/>
  <c r="K922" i="3"/>
  <c r="M935" i="3"/>
  <c r="Q947" i="3"/>
  <c r="J959" i="3"/>
  <c r="Q970" i="3"/>
  <c r="U982" i="3"/>
  <c r="L995" i="3"/>
  <c r="V991" i="3"/>
  <c r="L737" i="3"/>
  <c r="N889" i="3"/>
  <c r="S912" i="3"/>
  <c r="P926" i="3"/>
  <c r="S943" i="3"/>
  <c r="N959" i="3"/>
  <c r="N982" i="3"/>
  <c r="U539" i="3"/>
  <c r="S684" i="3"/>
  <c r="O765" i="3"/>
  <c r="Y765" i="3" s="1"/>
  <c r="J825" i="3"/>
  <c r="Q863" i="3"/>
  <c r="N894" i="3"/>
  <c r="U920" i="3"/>
  <c r="U943" i="3"/>
  <c r="P968" i="3"/>
  <c r="P991" i="3"/>
  <c r="O688" i="3"/>
  <c r="Y688" i="3" s="1"/>
  <c r="V796" i="3"/>
  <c r="K866" i="3"/>
  <c r="O910" i="3"/>
  <c r="Y910" i="3" s="1"/>
  <c r="J399" i="3"/>
  <c r="N566" i="3"/>
  <c r="S637" i="3"/>
  <c r="K683" i="3"/>
  <c r="N709" i="3"/>
  <c r="V735" i="3"/>
  <c r="R758" i="3"/>
  <c r="L782" i="3"/>
  <c r="R799" i="3"/>
  <c r="P817" i="3"/>
  <c r="L833" i="3"/>
  <c r="N846" i="3"/>
  <c r="J858" i="3"/>
  <c r="K869" i="3"/>
  <c r="V878" i="3"/>
  <c r="J890" i="3"/>
  <c r="T904" i="3"/>
  <c r="N921" i="3"/>
  <c r="O934" i="3"/>
  <c r="Y934" i="3" s="1"/>
  <c r="O948" i="3"/>
  <c r="Y948" i="3" s="1"/>
  <c r="L963" i="3"/>
  <c r="S978" i="3"/>
  <c r="S992" i="3"/>
  <c r="L847" i="3"/>
  <c r="K731" i="3"/>
  <c r="M924" i="3"/>
  <c r="L536" i="3"/>
  <c r="U611" i="3"/>
  <c r="N671" i="3"/>
  <c r="M700" i="3"/>
  <c r="L726" i="3"/>
  <c r="T750" i="3"/>
  <c r="M772" i="3"/>
  <c r="N791" i="3"/>
  <c r="R808" i="3"/>
  <c r="P826" i="3"/>
  <c r="U839" i="3"/>
  <c r="V852" i="3"/>
  <c r="J863" i="3"/>
  <c r="U872" i="3"/>
  <c r="S882" i="3"/>
  <c r="Q892" i="3"/>
  <c r="O902" i="3"/>
  <c r="Y902" i="3" s="1"/>
  <c r="M912" i="3"/>
  <c r="S919" i="3"/>
  <c r="N926" i="3"/>
  <c r="U932" i="3"/>
  <c r="O939" i="3"/>
  <c r="Y939" i="3" s="1"/>
  <c r="J946" i="3"/>
  <c r="Q952" i="3"/>
  <c r="K959" i="3"/>
  <c r="S965" i="3"/>
  <c r="M972" i="3"/>
  <c r="T978" i="3"/>
  <c r="L986" i="3"/>
  <c r="L1000" i="3"/>
  <c r="P972" i="3"/>
  <c r="M615" i="3"/>
  <c r="T759" i="3"/>
  <c r="N827" i="3"/>
  <c r="K877" i="3"/>
  <c r="J925" i="3"/>
  <c r="L956" i="3"/>
  <c r="R990" i="3"/>
  <c r="S762" i="3"/>
  <c r="V859" i="3"/>
  <c r="T921" i="3"/>
  <c r="P523" i="3"/>
  <c r="R604" i="3"/>
  <c r="K668" i="3"/>
  <c r="J697" i="3"/>
  <c r="R723" i="3"/>
  <c r="T748" i="3"/>
  <c r="R769" i="3"/>
  <c r="Q789" i="3"/>
  <c r="V806" i="3"/>
  <c r="M824" i="3"/>
  <c r="N838" i="3"/>
  <c r="P851" i="3"/>
  <c r="U861" i="3"/>
  <c r="S871" i="3"/>
  <c r="Q881" i="3"/>
  <c r="O891" i="3"/>
  <c r="Y891" i="3" s="1"/>
  <c r="M901" i="3"/>
  <c r="K911" i="3"/>
  <c r="J919" i="3"/>
  <c r="R925" i="3"/>
  <c r="L932" i="3"/>
  <c r="S938" i="3"/>
  <c r="N945" i="3"/>
  <c r="U951" i="3"/>
  <c r="O958" i="3"/>
  <c r="Y958" i="3" s="1"/>
  <c r="J965" i="3"/>
  <c r="Q971" i="3"/>
  <c r="K978" i="3"/>
  <c r="S984" i="3"/>
  <c r="M991" i="3"/>
  <c r="T997" i="3"/>
  <c r="Q510" i="3"/>
  <c r="U595" i="3"/>
  <c r="P664" i="3"/>
  <c r="L694" i="3"/>
  <c r="O720" i="3"/>
  <c r="Y720" i="3" s="1"/>
  <c r="U748" i="3"/>
  <c r="N770" i="3"/>
  <c r="J792" i="3"/>
  <c r="O809" i="3"/>
  <c r="Y809" i="3" s="1"/>
  <c r="V828" i="3"/>
  <c r="K842" i="3"/>
  <c r="K856" i="3"/>
  <c r="V865" i="3"/>
  <c r="S880" i="3"/>
  <c r="R901" i="3"/>
  <c r="K919" i="3"/>
  <c r="K933" i="3"/>
  <c r="J947" i="3"/>
  <c r="U965" i="3"/>
  <c r="M987" i="3"/>
  <c r="K325" i="3"/>
  <c r="N106" i="3"/>
  <c r="R392" i="3"/>
  <c r="J322" i="3"/>
  <c r="L424" i="3"/>
  <c r="V502" i="3"/>
  <c r="T415" i="3"/>
  <c r="Q362" i="3"/>
  <c r="V483" i="3"/>
  <c r="N403" i="3"/>
  <c r="M254" i="3"/>
  <c r="M367" i="3"/>
  <c r="N405" i="3"/>
  <c r="T436" i="3"/>
  <c r="R463" i="3"/>
  <c r="L263" i="3"/>
  <c r="P358" i="3"/>
  <c r="Q395" i="3"/>
  <c r="L427" i="3"/>
  <c r="P455" i="3"/>
  <c r="J284" i="3"/>
  <c r="R420" i="3"/>
  <c r="N488" i="3"/>
  <c r="M518" i="3"/>
  <c r="R539" i="3"/>
  <c r="N559" i="3"/>
  <c r="J579" i="3"/>
  <c r="S598" i="3"/>
  <c r="O618" i="3"/>
  <c r="Y618" i="3" s="1"/>
  <c r="K638" i="3"/>
  <c r="T657" i="3"/>
  <c r="M384" i="3"/>
  <c r="T463" i="3"/>
  <c r="N505" i="3"/>
  <c r="K531" i="3"/>
  <c r="T550" i="3"/>
  <c r="P570" i="3"/>
  <c r="L590" i="3"/>
  <c r="U609" i="3"/>
  <c r="Q629" i="3"/>
  <c r="M649" i="3"/>
  <c r="P334" i="3"/>
  <c r="M437" i="3"/>
  <c r="L494" i="3"/>
  <c r="T523" i="3"/>
  <c r="P543" i="3"/>
  <c r="L563" i="3"/>
  <c r="U582" i="3"/>
  <c r="Q602" i="3"/>
  <c r="M622" i="3"/>
  <c r="V641" i="3"/>
  <c r="T226" i="3"/>
  <c r="Q411" i="3"/>
  <c r="Q483" i="3"/>
  <c r="V514" i="3"/>
  <c r="P537" i="3"/>
  <c r="L557" i="3"/>
  <c r="U576" i="3"/>
  <c r="Q596" i="3"/>
  <c r="M616" i="3"/>
  <c r="V635" i="3"/>
  <c r="R655" i="3"/>
  <c r="J383" i="3"/>
  <c r="O462" i="3"/>
  <c r="Y462" i="3" s="1"/>
  <c r="U504" i="3"/>
  <c r="T530" i="3"/>
  <c r="P550" i="3"/>
  <c r="S408" i="3"/>
  <c r="M530" i="3"/>
  <c r="R577" i="3"/>
  <c r="J617" i="3"/>
  <c r="O656" i="3"/>
  <c r="Y656" i="3" s="1"/>
  <c r="T678" i="3"/>
  <c r="N499" i="3"/>
  <c r="U559" i="3"/>
  <c r="U599" i="3"/>
  <c r="M639" i="3"/>
  <c r="M670" i="3"/>
  <c r="V689" i="3"/>
  <c r="R709" i="3"/>
  <c r="N729" i="3"/>
  <c r="J749" i="3"/>
  <c r="S768" i="3"/>
  <c r="O788" i="3"/>
  <c r="Y788" i="3" s="1"/>
  <c r="K808" i="3"/>
  <c r="O820" i="3"/>
  <c r="Y820" i="3" s="1"/>
  <c r="N825" i="3"/>
  <c r="M830" i="3"/>
  <c r="L835" i="3"/>
  <c r="K840" i="3"/>
  <c r="J845" i="3"/>
  <c r="V849" i="3"/>
  <c r="L269" i="3"/>
  <c r="J389" i="3"/>
  <c r="N444" i="3"/>
  <c r="R486" i="3"/>
  <c r="V506" i="3"/>
  <c r="S525" i="3"/>
  <c r="U538" i="3"/>
  <c r="U551" i="3"/>
  <c r="P564" i="3"/>
  <c r="N574" i="3"/>
  <c r="L584" i="3"/>
  <c r="J594" i="3"/>
  <c r="U603" i="3"/>
  <c r="S613" i="3"/>
  <c r="Q623" i="3"/>
  <c r="O633" i="3"/>
  <c r="Y633" i="3" s="1"/>
  <c r="M643" i="3"/>
  <c r="K653" i="3"/>
  <c r="M662" i="3"/>
  <c r="M667" i="3"/>
  <c r="L672" i="3"/>
  <c r="K677" i="3"/>
  <c r="J682" i="3"/>
  <c r="V686" i="3"/>
  <c r="U691" i="3"/>
  <c r="T696" i="3"/>
  <c r="S701" i="3"/>
  <c r="R706" i="3"/>
  <c r="Q711" i="3"/>
  <c r="P716" i="3"/>
  <c r="O721" i="3"/>
  <c r="Y721" i="3" s="1"/>
  <c r="N726" i="3"/>
  <c r="M731" i="3"/>
  <c r="L736" i="3"/>
  <c r="K741" i="3"/>
  <c r="J746" i="3"/>
  <c r="V750" i="3"/>
  <c r="U755" i="3"/>
  <c r="T760" i="3"/>
  <c r="S765" i="3"/>
  <c r="R770" i="3"/>
  <c r="Q775" i="3"/>
  <c r="P780" i="3"/>
  <c r="K337" i="3"/>
  <c r="P411" i="3"/>
  <c r="J463" i="3"/>
  <c r="T494" i="3"/>
  <c r="U514" i="3"/>
  <c r="U530" i="3"/>
  <c r="U543" i="3"/>
  <c r="K557" i="3"/>
  <c r="N568" i="3"/>
  <c r="L578" i="3"/>
  <c r="J588" i="3"/>
  <c r="U597" i="3"/>
  <c r="S607" i="3"/>
  <c r="Q617" i="3"/>
  <c r="O627" i="3"/>
  <c r="Y627" i="3" s="1"/>
  <c r="M637" i="3"/>
  <c r="K647" i="3"/>
  <c r="V656" i="3"/>
  <c r="M664" i="3"/>
  <c r="L669" i="3"/>
  <c r="K674" i="3"/>
  <c r="J679" i="3"/>
  <c r="V683" i="3"/>
  <c r="U688" i="3"/>
  <c r="T693" i="3"/>
  <c r="S698" i="3"/>
  <c r="R703" i="3"/>
  <c r="Q708" i="3"/>
  <c r="P713" i="3"/>
  <c r="O718" i="3"/>
  <c r="Y718" i="3" s="1"/>
  <c r="N723" i="3"/>
  <c r="M728" i="3"/>
  <c r="L733" i="3"/>
  <c r="K738" i="3"/>
  <c r="J743" i="3"/>
  <c r="U341" i="3"/>
  <c r="Q412" i="3"/>
  <c r="K463" i="3"/>
  <c r="L495" i="3"/>
  <c r="N515" i="3"/>
  <c r="V530" i="3"/>
  <c r="L544" i="3"/>
  <c r="N557" i="3"/>
  <c r="O568" i="3"/>
  <c r="Y568" i="3" s="1"/>
  <c r="M578" i="3"/>
  <c r="K588" i="3"/>
  <c r="V597" i="3"/>
  <c r="T607" i="3"/>
  <c r="R617" i="3"/>
  <c r="P627" i="3"/>
  <c r="N637" i="3"/>
  <c r="L647" i="3"/>
  <c r="J657" i="3"/>
  <c r="N664" i="3"/>
  <c r="M669" i="3"/>
  <c r="L674" i="3"/>
  <c r="K679" i="3"/>
  <c r="J684" i="3"/>
  <c r="V688" i="3"/>
  <c r="U693" i="3"/>
  <c r="T698" i="3"/>
  <c r="S703" i="3"/>
  <c r="R708" i="3"/>
  <c r="Q713" i="3"/>
  <c r="P718" i="3"/>
  <c r="O723" i="3"/>
  <c r="Y723" i="3" s="1"/>
  <c r="N728" i="3"/>
  <c r="M733" i="3"/>
  <c r="L738" i="3"/>
  <c r="K743" i="3"/>
  <c r="J748" i="3"/>
  <c r="V752" i="3"/>
  <c r="U757" i="3"/>
  <c r="T762" i="3"/>
  <c r="S767" i="3"/>
  <c r="R772" i="3"/>
  <c r="Q777" i="3"/>
  <c r="P782" i="3"/>
  <c r="O787" i="3"/>
  <c r="Y787" i="3" s="1"/>
  <c r="N792" i="3"/>
  <c r="M797" i="3"/>
  <c r="L802" i="3"/>
  <c r="K807" i="3"/>
  <c r="J812" i="3"/>
  <c r="V816" i="3"/>
  <c r="U821" i="3"/>
  <c r="T826" i="3"/>
  <c r="S831" i="3"/>
  <c r="R836" i="3"/>
  <c r="Q841" i="3"/>
  <c r="P846" i="3"/>
  <c r="O851" i="3"/>
  <c r="Y851" i="3" s="1"/>
  <c r="U400" i="3"/>
  <c r="Q505" i="3"/>
  <c r="M546" i="3"/>
  <c r="N576" i="3"/>
  <c r="V602" i="3"/>
  <c r="K629" i="3"/>
  <c r="K655" i="3"/>
  <c r="T671" i="3"/>
  <c r="Q683" i="3"/>
  <c r="O693" i="3"/>
  <c r="Y693" i="3" s="1"/>
  <c r="M703" i="3"/>
  <c r="K713" i="3"/>
  <c r="V722" i="3"/>
  <c r="T732" i="3"/>
  <c r="R742" i="3"/>
  <c r="J751" i="3"/>
  <c r="T758" i="3"/>
  <c r="S766" i="3"/>
  <c r="R774" i="3"/>
  <c r="Q782" i="3"/>
  <c r="K789" i="3"/>
  <c r="R795" i="3"/>
  <c r="M802" i="3"/>
  <c r="T808" i="3"/>
  <c r="N815" i="3"/>
  <c r="V821" i="3"/>
  <c r="N242" i="3"/>
  <c r="O471" i="3"/>
  <c r="Y471" i="3" s="1"/>
  <c r="R529" i="3"/>
  <c r="U563" i="3"/>
  <c r="U589" i="3"/>
  <c r="P616" i="3"/>
  <c r="R642" i="3"/>
  <c r="L665" i="3"/>
  <c r="Q678" i="3"/>
  <c r="Q688" i="3"/>
  <c r="O698" i="3"/>
  <c r="Y698" i="3" s="1"/>
  <c r="M708" i="3"/>
  <c r="K718" i="3"/>
  <c r="V727" i="3"/>
  <c r="T737" i="3"/>
  <c r="K747" i="3"/>
  <c r="J755" i="3"/>
  <c r="V762" i="3"/>
  <c r="U770" i="3"/>
  <c r="S778" i="3"/>
  <c r="U785" i="3"/>
  <c r="P792" i="3"/>
  <c r="J799" i="3"/>
  <c r="Q805" i="3"/>
  <c r="L812" i="3"/>
  <c r="S818" i="3"/>
  <c r="M825" i="3"/>
  <c r="U831" i="3"/>
  <c r="O838" i="3"/>
  <c r="Y838" i="3" s="1"/>
  <c r="V844" i="3"/>
  <c r="Q851" i="3"/>
  <c r="J857" i="3"/>
  <c r="V861" i="3"/>
  <c r="U866" i="3"/>
  <c r="T871" i="3"/>
  <c r="S876" i="3"/>
  <c r="R881" i="3"/>
  <c r="Q886" i="3"/>
  <c r="P891" i="3"/>
  <c r="O896" i="3"/>
  <c r="Y896" i="3" s="1"/>
  <c r="N901" i="3"/>
  <c r="M906" i="3"/>
  <c r="L911" i="3"/>
  <c r="K916" i="3"/>
  <c r="J921" i="3"/>
  <c r="V925" i="3"/>
  <c r="U930" i="3"/>
  <c r="T935" i="3"/>
  <c r="S940" i="3"/>
  <c r="R945" i="3"/>
  <c r="Q950" i="3"/>
  <c r="P955" i="3"/>
  <c r="O960" i="3"/>
  <c r="Y960" i="3" s="1"/>
  <c r="N965" i="3"/>
  <c r="M970" i="3"/>
  <c r="L975" i="3"/>
  <c r="K980" i="3"/>
  <c r="J985" i="3"/>
  <c r="V989" i="3"/>
  <c r="U994" i="3"/>
  <c r="T999" i="3"/>
  <c r="O909" i="3"/>
  <c r="Y909" i="3" s="1"/>
  <c r="M327" i="3"/>
  <c r="M485" i="3"/>
  <c r="Q534" i="3"/>
  <c r="Q567" i="3"/>
  <c r="Q593" i="3"/>
  <c r="L620" i="3"/>
  <c r="N646" i="3"/>
  <c r="J667" i="3"/>
  <c r="J680" i="3"/>
  <c r="U689" i="3"/>
  <c r="S699" i="3"/>
  <c r="Q709" i="3"/>
  <c r="O719" i="3"/>
  <c r="Y719" i="3" s="1"/>
  <c r="M729" i="3"/>
  <c r="K739" i="3"/>
  <c r="M748" i="3"/>
  <c r="L756" i="3"/>
  <c r="K764" i="3"/>
  <c r="V771" i="3"/>
  <c r="S779" i="3"/>
  <c r="U786" i="3"/>
  <c r="O793" i="3"/>
  <c r="Y793" i="3" s="1"/>
  <c r="V799" i="3"/>
  <c r="Q806" i="3"/>
  <c r="K813" i="3"/>
  <c r="R819" i="3"/>
  <c r="M826" i="3"/>
  <c r="T832" i="3"/>
  <c r="N839" i="3"/>
  <c r="V845" i="3"/>
  <c r="P852" i="3"/>
  <c r="S857" i="3"/>
  <c r="R862" i="3"/>
  <c r="Q867" i="3"/>
  <c r="K873" i="3"/>
  <c r="J878" i="3"/>
  <c r="V882" i="3"/>
  <c r="U887" i="3"/>
  <c r="T892" i="3"/>
  <c r="N898" i="3"/>
  <c r="U903" i="3"/>
  <c r="U911" i="3"/>
  <c r="R446" i="3"/>
  <c r="V520" i="3"/>
  <c r="L556" i="3"/>
  <c r="P584" i="3"/>
  <c r="R610" i="3"/>
  <c r="R636" i="3"/>
  <c r="P662" i="3"/>
  <c r="Q675" i="3"/>
  <c r="Q686" i="3"/>
  <c r="O696" i="3"/>
  <c r="Y696" i="3" s="1"/>
  <c r="M706" i="3"/>
  <c r="K716" i="3"/>
  <c r="V725" i="3"/>
  <c r="T735" i="3"/>
  <c r="P745" i="3"/>
  <c r="M753" i="3"/>
  <c r="L761" i="3"/>
  <c r="K769" i="3"/>
  <c r="J777" i="3"/>
  <c r="P784" i="3"/>
  <c r="J791" i="3"/>
  <c r="Q797" i="3"/>
  <c r="L804" i="3"/>
  <c r="S810" i="3"/>
  <c r="M817" i="3"/>
  <c r="U823" i="3"/>
  <c r="O830" i="3"/>
  <c r="Y830" i="3" s="1"/>
  <c r="V836" i="3"/>
  <c r="Q843" i="3"/>
  <c r="K850" i="3"/>
  <c r="V855" i="3"/>
  <c r="U860" i="3"/>
  <c r="T865" i="3"/>
  <c r="S870" i="3"/>
  <c r="R875" i="3"/>
  <c r="Q880" i="3"/>
  <c r="P885" i="3"/>
  <c r="O890" i="3"/>
  <c r="Y890" i="3" s="1"/>
  <c r="N895" i="3"/>
  <c r="M900" i="3"/>
  <c r="L905" i="3"/>
  <c r="K910" i="3"/>
  <c r="N344" i="3"/>
  <c r="M488" i="3"/>
  <c r="V534" i="3"/>
  <c r="P568" i="3"/>
  <c r="R594" i="3"/>
  <c r="R620" i="3"/>
  <c r="M647" i="3"/>
  <c r="Q667" i="3"/>
  <c r="P680" i="3"/>
  <c r="N690" i="3"/>
  <c r="L700" i="3"/>
  <c r="J710" i="3"/>
  <c r="U719" i="3"/>
  <c r="S729" i="3"/>
  <c r="Q739" i="3"/>
  <c r="Q748" i="3"/>
  <c r="N756" i="3"/>
  <c r="M764" i="3"/>
  <c r="L772" i="3"/>
  <c r="K780" i="3"/>
  <c r="J787" i="3"/>
  <c r="R793" i="3"/>
  <c r="L800" i="3"/>
  <c r="S806" i="3"/>
  <c r="N813" i="3"/>
  <c r="U819" i="3"/>
  <c r="O826" i="3"/>
  <c r="Y826" i="3" s="1"/>
  <c r="J833" i="3"/>
  <c r="Q839" i="3"/>
  <c r="K846" i="3"/>
  <c r="S852" i="3"/>
  <c r="U857" i="3"/>
  <c r="T862" i="3"/>
  <c r="S867" i="3"/>
  <c r="R872" i="3"/>
  <c r="Q877" i="3"/>
  <c r="P882" i="3"/>
  <c r="O887" i="3"/>
  <c r="Y887" i="3" s="1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N956" i="3"/>
  <c r="M961" i="3"/>
  <c r="L966" i="3"/>
  <c r="K971" i="3"/>
  <c r="J976" i="3"/>
  <c r="V980" i="3"/>
  <c r="U985" i="3"/>
  <c r="T990" i="3"/>
  <c r="S995" i="3"/>
  <c r="R1000" i="3"/>
  <c r="N541" i="3"/>
  <c r="J618" i="3"/>
  <c r="O674" i="3"/>
  <c r="Y674" i="3" s="1"/>
  <c r="V701" i="3"/>
  <c r="Q728" i="3"/>
  <c r="R752" i="3"/>
  <c r="P773" i="3"/>
  <c r="U792" i="3"/>
  <c r="M810" i="3"/>
  <c r="Q827" i="3"/>
  <c r="T840" i="3"/>
  <c r="U853" i="3"/>
  <c r="S863" i="3"/>
  <c r="Q873" i="3"/>
  <c r="O883" i="3"/>
  <c r="Y883" i="3" s="1"/>
  <c r="M893" i="3"/>
  <c r="K903" i="3"/>
  <c r="V912" i="3"/>
  <c r="M920" i="3"/>
  <c r="U926" i="3"/>
  <c r="O933" i="3"/>
  <c r="Y933" i="3" s="1"/>
  <c r="V939" i="3"/>
  <c r="Q946" i="3"/>
  <c r="K953" i="3"/>
  <c r="R959" i="3"/>
  <c r="M966" i="3"/>
  <c r="T972" i="3"/>
  <c r="N979" i="3"/>
  <c r="V985" i="3"/>
  <c r="P992" i="3"/>
  <c r="J999" i="3"/>
  <c r="J956" i="3"/>
  <c r="O986" i="3"/>
  <c r="Y986" i="3" s="1"/>
  <c r="O727" i="3"/>
  <c r="Y727" i="3" s="1"/>
  <c r="N862" i="3"/>
  <c r="J915" i="3"/>
  <c r="M951" i="3"/>
  <c r="T980" i="3"/>
  <c r="L634" i="3"/>
  <c r="O768" i="3"/>
  <c r="Y768" i="3" s="1"/>
  <c r="S858" i="3"/>
  <c r="J903" i="3"/>
  <c r="K436" i="3"/>
  <c r="K575" i="3"/>
  <c r="T644" i="3"/>
  <c r="V685" i="3"/>
  <c r="Q712" i="3"/>
  <c r="P738" i="3"/>
  <c r="R760" i="3"/>
  <c r="K782" i="3"/>
  <c r="Q799" i="3"/>
  <c r="U816" i="3"/>
  <c r="K833" i="3"/>
  <c r="L846" i="3"/>
  <c r="V857" i="3"/>
  <c r="T867" i="3"/>
  <c r="R877" i="3"/>
  <c r="P887" i="3"/>
  <c r="N897" i="3"/>
  <c r="L907" i="3"/>
  <c r="M916" i="3"/>
  <c r="T922" i="3"/>
  <c r="O929" i="3"/>
  <c r="Y929" i="3" s="1"/>
  <c r="V935" i="3"/>
  <c r="P942" i="3"/>
  <c r="K949" i="3"/>
  <c r="R955" i="3"/>
  <c r="L962" i="3"/>
  <c r="T968" i="3"/>
  <c r="N975" i="3"/>
  <c r="U981" i="3"/>
  <c r="P988" i="3"/>
  <c r="J995" i="3"/>
  <c r="O774" i="3"/>
  <c r="Y774" i="3" s="1"/>
  <c r="P908" i="3"/>
  <c r="T923" i="3"/>
  <c r="U936" i="3"/>
  <c r="L949" i="3"/>
  <c r="S960" i="3"/>
  <c r="L972" i="3"/>
  <c r="P984" i="3"/>
  <c r="T996" i="3"/>
  <c r="T992" i="3"/>
  <c r="Q853" i="3"/>
  <c r="T891" i="3"/>
  <c r="T914" i="3"/>
  <c r="V928" i="3"/>
  <c r="L946" i="3"/>
  <c r="R962" i="3"/>
  <c r="Q985" i="3"/>
  <c r="R562" i="3"/>
  <c r="Q694" i="3"/>
  <c r="N773" i="3"/>
  <c r="S830" i="3"/>
  <c r="M867" i="3"/>
  <c r="J898" i="3"/>
  <c r="N923" i="3"/>
  <c r="V947" i="3"/>
  <c r="V970" i="3"/>
  <c r="S994" i="3"/>
  <c r="M698" i="3"/>
  <c r="T807" i="3"/>
  <c r="M872" i="3"/>
  <c r="L915" i="3"/>
  <c r="R447" i="3"/>
  <c r="U575" i="3"/>
  <c r="K645" i="3"/>
  <c r="S686" i="3"/>
  <c r="R712" i="3"/>
  <c r="U738" i="3"/>
  <c r="P761" i="3"/>
  <c r="R784" i="3"/>
  <c r="J802" i="3"/>
  <c r="N819" i="3"/>
  <c r="U834" i="3"/>
  <c r="V847" i="3"/>
  <c r="M859" i="3"/>
  <c r="N870" i="3"/>
  <c r="L880" i="3"/>
  <c r="M891" i="3"/>
  <c r="M907" i="3"/>
  <c r="V922" i="3"/>
  <c r="K936" i="3"/>
  <c r="J950" i="3"/>
  <c r="T964" i="3"/>
  <c r="O980" i="3"/>
  <c r="Y980" i="3" s="1"/>
  <c r="N994" i="3"/>
  <c r="Q911" i="3"/>
  <c r="O790" i="3"/>
  <c r="Y790" i="3" s="1"/>
  <c r="J930" i="3"/>
  <c r="J546" i="3"/>
  <c r="O621" i="3"/>
  <c r="Y621" i="3" s="1"/>
  <c r="L676" i="3"/>
  <c r="L703" i="3"/>
  <c r="T729" i="3"/>
  <c r="S753" i="3"/>
  <c r="Q774" i="3"/>
  <c r="S793" i="3"/>
  <c r="J811" i="3"/>
  <c r="N828" i="3"/>
  <c r="P841" i="3"/>
  <c r="O854" i="3"/>
  <c r="Y854" i="3" s="1"/>
  <c r="M864" i="3"/>
  <c r="K874" i="3"/>
  <c r="V883" i="3"/>
  <c r="T893" i="3"/>
  <c r="R903" i="3"/>
  <c r="P913" i="3"/>
  <c r="Q920" i="3"/>
  <c r="K927" i="3"/>
  <c r="S933" i="3"/>
  <c r="M940" i="3"/>
  <c r="T946" i="3"/>
  <c r="O953" i="3"/>
  <c r="Y953" i="3" s="1"/>
  <c r="V959" i="3"/>
  <c r="P966" i="3"/>
  <c r="K973" i="3"/>
  <c r="R979" i="3"/>
  <c r="J987" i="3"/>
  <c r="N775" i="3"/>
  <c r="J979" i="3"/>
  <c r="K673" i="3"/>
  <c r="R767" i="3"/>
  <c r="J834" i="3"/>
  <c r="J882" i="3"/>
  <c r="K929" i="3"/>
  <c r="K961" i="3"/>
  <c r="Q995" i="3"/>
  <c r="O778" i="3"/>
  <c r="Y778" i="3" s="1"/>
  <c r="N867" i="3"/>
  <c r="Q927" i="3"/>
  <c r="O536" i="3"/>
  <c r="Y536" i="3" s="1"/>
  <c r="J612" i="3"/>
  <c r="Q672" i="3"/>
  <c r="N700" i="3"/>
  <c r="Q726" i="3"/>
  <c r="R751" i="3"/>
  <c r="N772" i="3"/>
  <c r="O791" i="3"/>
  <c r="Y791" i="3" s="1"/>
  <c r="M809" i="3"/>
  <c r="R826" i="3"/>
  <c r="V839" i="3"/>
  <c r="K853" i="3"/>
  <c r="K863" i="3"/>
  <c r="V872" i="3"/>
  <c r="T882" i="3"/>
  <c r="R892" i="3"/>
  <c r="P902" i="3"/>
  <c r="N912" i="3"/>
  <c r="U919" i="3"/>
  <c r="O926" i="3"/>
  <c r="Y926" i="3" s="1"/>
  <c r="J933" i="3"/>
  <c r="Q939" i="3"/>
  <c r="K946" i="3"/>
  <c r="S952" i="3"/>
  <c r="M959" i="3"/>
  <c r="T965" i="3"/>
  <c r="O972" i="3"/>
  <c r="Y972" i="3" s="1"/>
  <c r="V978" i="3"/>
  <c r="P985" i="3"/>
  <c r="K992" i="3"/>
  <c r="R998" i="3"/>
  <c r="R526" i="3"/>
  <c r="O605" i="3"/>
  <c r="Y605" i="3" s="1"/>
  <c r="L668" i="3"/>
  <c r="T697" i="3"/>
  <c r="S723" i="3"/>
  <c r="T751" i="3"/>
  <c r="Q772" i="3"/>
  <c r="U793" i="3"/>
  <c r="Q813" i="3"/>
  <c r="R830" i="3"/>
  <c r="S843" i="3"/>
  <c r="N857" i="3"/>
  <c r="L867" i="3"/>
  <c r="L883" i="3"/>
  <c r="K904" i="3"/>
  <c r="T920" i="3"/>
  <c r="S934" i="3"/>
  <c r="R948" i="3"/>
  <c r="V334" i="3"/>
  <c r="Q413" i="3"/>
  <c r="R522" i="3"/>
  <c r="Q485" i="3"/>
  <c r="U309" i="3"/>
  <c r="V443" i="3"/>
  <c r="L360" i="3"/>
  <c r="J436" i="3"/>
  <c r="R441" i="3"/>
  <c r="M540" i="3"/>
  <c r="Q584" i="3"/>
  <c r="J643" i="3"/>
  <c r="R465" i="3"/>
  <c r="R536" i="3"/>
  <c r="K595" i="3"/>
  <c r="U649" i="3"/>
  <c r="N457" i="3"/>
  <c r="O548" i="3"/>
  <c r="Y548" i="3" s="1"/>
  <c r="L603" i="3"/>
  <c r="P647" i="3"/>
  <c r="Q492" i="3"/>
  <c r="T557" i="3"/>
  <c r="K602" i="3"/>
  <c r="Q660" i="3"/>
  <c r="S505" i="3"/>
  <c r="J556" i="3"/>
  <c r="P587" i="3"/>
  <c r="O679" i="3"/>
  <c r="Q571" i="3"/>
  <c r="L675" i="3"/>
  <c r="V729" i="3"/>
  <c r="M774" i="3"/>
  <c r="R821" i="3"/>
  <c r="T835" i="3"/>
  <c r="U846" i="3"/>
  <c r="Q403" i="3"/>
  <c r="R509" i="3"/>
  <c r="T543" i="3"/>
  <c r="T576" i="3"/>
  <c r="K605" i="3"/>
  <c r="M627" i="3"/>
  <c r="Q655" i="3"/>
  <c r="T672" i="3"/>
  <c r="U683" i="3"/>
  <c r="J698" i="3"/>
  <c r="L712" i="3"/>
  <c r="M723" i="3"/>
  <c r="O737" i="3"/>
  <c r="Y737" i="3" s="1"/>
  <c r="Q751" i="3"/>
  <c r="R762" i="3"/>
  <c r="T776" i="3"/>
  <c r="R417" i="3"/>
  <c r="M502" i="3"/>
  <c r="M547" i="3"/>
  <c r="O579" i="3"/>
  <c r="Y579" i="3" s="1"/>
  <c r="Q601" i="3"/>
  <c r="U629" i="3"/>
  <c r="L658" i="3"/>
  <c r="J671" i="3"/>
  <c r="L685" i="3"/>
  <c r="N699" i="3"/>
  <c r="O710" i="3"/>
  <c r="Y710" i="3" s="1"/>
  <c r="Q724" i="3"/>
  <c r="S738" i="3"/>
  <c r="L376" i="3"/>
  <c r="L500" i="3"/>
  <c r="S545" i="3"/>
  <c r="K572" i="3"/>
  <c r="O600" i="3"/>
  <c r="Y600" i="3" s="1"/>
  <c r="S628" i="3"/>
  <c r="U650" i="3"/>
  <c r="P670" i="3"/>
  <c r="R684" i="3"/>
  <c r="S695" i="3"/>
  <c r="U709" i="3"/>
  <c r="J724" i="3"/>
  <c r="K735" i="3"/>
  <c r="M749" i="3"/>
  <c r="O763" i="3"/>
  <c r="Y763" i="3" s="1"/>
  <c r="P774" i="3"/>
  <c r="R788" i="3"/>
  <c r="T802" i="3"/>
  <c r="U813" i="3"/>
  <c r="J828" i="3"/>
  <c r="L842" i="3"/>
  <c r="M853" i="3"/>
  <c r="R554" i="3"/>
  <c r="P632" i="3"/>
  <c r="S676" i="3"/>
  <c r="S705" i="3"/>
  <c r="J734" i="3"/>
  <c r="U753" i="3"/>
  <c r="Q776" i="3"/>
  <c r="P796" i="3"/>
  <c r="M811" i="3"/>
  <c r="O360" i="3"/>
  <c r="Y360" i="3" s="1"/>
  <c r="M567" i="3"/>
  <c r="N626" i="3"/>
  <c r="L681" i="3"/>
  <c r="P709" i="3"/>
  <c r="R731" i="3"/>
  <c r="V756" i="3"/>
  <c r="R779" i="3"/>
  <c r="V794" i="3"/>
  <c r="T813" i="3"/>
  <c r="R832" i="3"/>
  <c r="O847" i="3"/>
  <c r="Y847" i="3" s="1"/>
  <c r="L863" i="3"/>
  <c r="N877" i="3"/>
  <c r="O888" i="3"/>
  <c r="Y888" i="3" s="1"/>
  <c r="Q902" i="3"/>
  <c r="S916" i="3"/>
  <c r="T927" i="3"/>
  <c r="V941" i="3"/>
  <c r="K956" i="3"/>
  <c r="L967" i="3"/>
  <c r="N981" i="3"/>
  <c r="P995" i="3"/>
  <c r="S913" i="3"/>
  <c r="V542" i="3"/>
  <c r="K623" i="3"/>
  <c r="V671" i="3"/>
  <c r="L702" i="3"/>
  <c r="P730" i="3"/>
  <c r="M751" i="3"/>
  <c r="V773" i="3"/>
  <c r="M794" i="3"/>
  <c r="J809" i="3"/>
  <c r="U827" i="3"/>
  <c r="S846" i="3"/>
  <c r="Q859" i="3"/>
  <c r="N874" i="3"/>
  <c r="P888" i="3"/>
  <c r="L900" i="3"/>
  <c r="L476" i="3"/>
  <c r="O587" i="3"/>
  <c r="Y587" i="3" s="1"/>
  <c r="P646" i="3"/>
  <c r="J689" i="3"/>
  <c r="N717" i="3"/>
  <c r="P739" i="3"/>
  <c r="K763" i="3"/>
  <c r="M785" i="3"/>
  <c r="J800" i="3"/>
  <c r="V818" i="3"/>
  <c r="T837" i="3"/>
  <c r="Q852" i="3"/>
  <c r="J867" i="3"/>
  <c r="L881" i="3"/>
  <c r="M892" i="3"/>
  <c r="O906" i="3"/>
  <c r="Y906" i="3" s="1"/>
  <c r="R495" i="3"/>
  <c r="N578" i="3"/>
  <c r="S653" i="3"/>
  <c r="Q691" i="3"/>
  <c r="S713" i="3"/>
  <c r="J742" i="3"/>
  <c r="N765" i="3"/>
  <c r="V782" i="3"/>
  <c r="T801" i="3"/>
  <c r="S820" i="3"/>
  <c r="P835" i="3"/>
  <c r="L854" i="3"/>
  <c r="N868" i="3"/>
  <c r="O879" i="3"/>
  <c r="Y879" i="3" s="1"/>
  <c r="Q893" i="3"/>
  <c r="S907" i="3"/>
  <c r="T918" i="3"/>
  <c r="V932" i="3"/>
  <c r="K947" i="3"/>
  <c r="L958" i="3"/>
  <c r="N972" i="3"/>
  <c r="P986" i="3"/>
  <c r="Q997" i="3"/>
  <c r="V634" i="3"/>
  <c r="P731" i="3"/>
  <c r="O781" i="3"/>
  <c r="Y781" i="3" s="1"/>
  <c r="V830" i="3"/>
  <c r="V864" i="3"/>
  <c r="K887" i="3"/>
  <c r="M915" i="3"/>
  <c r="M934" i="3"/>
  <c r="J949" i="3"/>
  <c r="U967" i="3"/>
  <c r="S986" i="3"/>
  <c r="S811" i="3"/>
  <c r="O775" i="3"/>
  <c r="Y775" i="3" s="1"/>
  <c r="S953" i="3"/>
  <c r="S691" i="3"/>
  <c r="U912" i="3"/>
  <c r="U653" i="3"/>
  <c r="O722" i="3"/>
  <c r="Y722" i="3" s="1"/>
  <c r="O786" i="3"/>
  <c r="Y786" i="3" s="1"/>
  <c r="S834" i="3"/>
  <c r="R861" i="3"/>
  <c r="V889" i="3"/>
  <c r="K917" i="3"/>
  <c r="U931" i="3"/>
  <c r="S950" i="3"/>
  <c r="Q969" i="3"/>
  <c r="N984" i="3"/>
  <c r="R882" i="3"/>
  <c r="Q938" i="3"/>
  <c r="R965" i="3"/>
  <c r="M999" i="3"/>
  <c r="P895" i="3"/>
  <c r="Q935" i="3"/>
  <c r="P990" i="3"/>
  <c r="L781" i="3"/>
  <c r="Q879" i="3"/>
  <c r="K952" i="3"/>
  <c r="J715" i="3"/>
  <c r="P889" i="3"/>
  <c r="N592" i="3"/>
  <c r="M716" i="3"/>
  <c r="M769" i="3"/>
  <c r="J824" i="3"/>
  <c r="P860" i="3"/>
  <c r="K885" i="3"/>
  <c r="M926" i="3"/>
  <c r="M967" i="3"/>
  <c r="K1000" i="3"/>
  <c r="S399" i="3"/>
  <c r="Q680" i="3"/>
  <c r="R739" i="3"/>
  <c r="V797" i="3"/>
  <c r="K843" i="3"/>
  <c r="V867" i="3"/>
  <c r="M896" i="3"/>
  <c r="O921" i="3"/>
  <c r="Y921" i="3" s="1"/>
  <c r="L936" i="3"/>
  <c r="J955" i="3"/>
  <c r="U973" i="3"/>
  <c r="K991" i="3"/>
  <c r="S707" i="3"/>
  <c r="V886" i="3"/>
  <c r="M974" i="3"/>
  <c r="Q884" i="3"/>
  <c r="S621" i="3"/>
  <c r="L710" i="3"/>
  <c r="P777" i="3"/>
  <c r="P828" i="3"/>
  <c r="V856" i="3"/>
  <c r="M885" i="3"/>
  <c r="Q913" i="3"/>
  <c r="U928" i="3"/>
  <c r="T947" i="3"/>
  <c r="R966" i="3"/>
  <c r="O981" i="3"/>
  <c r="Y981" i="3" s="1"/>
  <c r="M1000" i="3"/>
  <c r="J673" i="3"/>
  <c r="Q733" i="3"/>
  <c r="R798" i="3"/>
  <c r="O845" i="3"/>
  <c r="Y845" i="3" s="1"/>
  <c r="N873" i="3"/>
  <c r="J924" i="3"/>
  <c r="N968" i="3"/>
  <c r="O420" i="3"/>
  <c r="Y420" i="3" s="1"/>
  <c r="T681" i="3"/>
  <c r="P762" i="3"/>
  <c r="R822" i="3"/>
  <c r="V870" i="3"/>
  <c r="O905" i="3"/>
  <c r="Y905" i="3" s="1"/>
  <c r="J934" i="3"/>
  <c r="R958" i="3"/>
  <c r="S985" i="3"/>
  <c r="N674" i="3"/>
  <c r="K788" i="3"/>
  <c r="L861" i="3"/>
  <c r="V993" i="3"/>
  <c r="N695" i="3"/>
  <c r="O805" i="3"/>
  <c r="Y805" i="3" s="1"/>
  <c r="J871" i="3"/>
  <c r="R911" i="3"/>
  <c r="R940" i="3"/>
  <c r="L993" i="3"/>
  <c r="T944" i="3"/>
  <c r="J948" i="3"/>
  <c r="Q1000" i="3"/>
  <c r="Q936" i="3"/>
  <c r="J939" i="3"/>
  <c r="Q959" i="3"/>
  <c r="P950" i="3"/>
  <c r="L984" i="3"/>
  <c r="V998" i="3"/>
  <c r="U261" i="3"/>
  <c r="N435" i="3"/>
  <c r="N650" i="3"/>
  <c r="J337" i="3"/>
  <c r="P596" i="3"/>
  <c r="S693" i="3"/>
  <c r="O761" i="3"/>
  <c r="Y761" i="3" s="1"/>
  <c r="K599" i="3"/>
  <c r="J695" i="3"/>
  <c r="R569" i="3"/>
  <c r="N680" i="3"/>
  <c r="K759" i="3"/>
  <c r="P798" i="3"/>
  <c r="O609" i="3"/>
  <c r="Y609" i="3" s="1"/>
  <c r="S790" i="3"/>
  <c r="K750" i="3"/>
  <c r="J873" i="3"/>
  <c r="R937" i="3"/>
  <c r="L991" i="3"/>
  <c r="N749" i="3"/>
  <c r="K822" i="3"/>
  <c r="S329" i="3"/>
  <c r="J737" i="3"/>
  <c r="J832" i="3"/>
  <c r="V392" i="3"/>
  <c r="O758" i="3"/>
  <c r="Y758" i="3" s="1"/>
  <c r="Q848" i="3"/>
  <c r="R928" i="3"/>
  <c r="L982" i="3"/>
  <c r="T816" i="3"/>
  <c r="N947" i="3"/>
  <c r="L924" i="3"/>
  <c r="Q821" i="3"/>
  <c r="U963" i="3"/>
  <c r="J877" i="3"/>
  <c r="S930" i="3"/>
  <c r="R763" i="3"/>
  <c r="K954" i="3"/>
  <c r="O782" i="3"/>
  <c r="Y782" i="3" s="1"/>
  <c r="M949" i="3"/>
  <c r="P845" i="3"/>
  <c r="O759" i="3"/>
  <c r="Y759" i="3" s="1"/>
  <c r="M927" i="3"/>
  <c r="N727" i="3"/>
  <c r="T952" i="3"/>
  <c r="T896" i="3"/>
  <c r="Q845" i="3"/>
  <c r="R931" i="3"/>
  <c r="O987" i="3"/>
  <c r="Y987" i="3" s="1"/>
  <c r="N412" i="3"/>
  <c r="K635" i="3"/>
  <c r="J481" i="3"/>
  <c r="R773" i="3"/>
  <c r="J542" i="3"/>
  <c r="M683" i="3"/>
  <c r="U747" i="3"/>
  <c r="J572" i="3"/>
  <c r="T709" i="3"/>
  <c r="U570" i="3"/>
  <c r="K695" i="3"/>
  <c r="S759" i="3"/>
  <c r="P838" i="3"/>
  <c r="R775" i="3"/>
  <c r="V679" i="3"/>
  <c r="V812" i="3"/>
  <c r="J913" i="3"/>
  <c r="S980" i="3"/>
  <c r="K723" i="3"/>
  <c r="J827" i="3"/>
  <c r="Q899" i="3"/>
  <c r="M738" i="3"/>
  <c r="U832" i="3"/>
  <c r="T905" i="3"/>
  <c r="P712" i="3"/>
  <c r="R834" i="3"/>
  <c r="L918" i="3"/>
  <c r="T982" i="3"/>
  <c r="N829" i="3"/>
  <c r="J967" i="3"/>
  <c r="V929" i="3"/>
  <c r="J784" i="3"/>
  <c r="J931" i="3"/>
  <c r="V963" i="3"/>
  <c r="O873" i="3"/>
  <c r="Y873" i="3" s="1"/>
  <c r="Q696" i="3"/>
  <c r="Q924" i="3"/>
  <c r="Q795" i="3"/>
  <c r="N935" i="3"/>
  <c r="S853" i="3"/>
  <c r="U815" i="3"/>
  <c r="V946" i="3"/>
  <c r="M730" i="3"/>
  <c r="U956" i="3"/>
  <c r="V902" i="3"/>
  <c r="J855" i="3"/>
  <c r="L929" i="3"/>
  <c r="S990" i="3"/>
  <c r="R377" i="3"/>
  <c r="P324" i="3"/>
  <c r="V121" i="3"/>
  <c r="L510" i="3"/>
  <c r="P368" i="3"/>
  <c r="S444" i="3"/>
  <c r="J370" i="3"/>
  <c r="N456" i="3"/>
  <c r="P443" i="3"/>
  <c r="Q544" i="3"/>
  <c r="N599" i="3"/>
  <c r="R643" i="3"/>
  <c r="M480" i="3"/>
  <c r="O551" i="3"/>
  <c r="Y551" i="3" s="1"/>
  <c r="S595" i="3"/>
  <c r="L654" i="3"/>
  <c r="K495" i="3"/>
  <c r="J549" i="3"/>
  <c r="P607" i="3"/>
  <c r="J243" i="3"/>
  <c r="O493" i="3"/>
  <c r="Y493" i="3" s="1"/>
  <c r="K562" i="3"/>
  <c r="U616" i="3"/>
  <c r="L661" i="3"/>
  <c r="N512" i="3"/>
  <c r="P415" i="3"/>
  <c r="S588" i="3"/>
  <c r="U363" i="3"/>
  <c r="K601" i="3"/>
  <c r="T675" i="3"/>
  <c r="M734" i="3"/>
  <c r="J789" i="3"/>
  <c r="M822" i="3"/>
  <c r="O836" i="3"/>
  <c r="Y836" i="3" s="1"/>
  <c r="Q850" i="3"/>
  <c r="S409" i="3"/>
  <c r="K512" i="3"/>
  <c r="R553" i="3"/>
  <c r="J578" i="3"/>
  <c r="N606" i="3"/>
  <c r="R634" i="3"/>
  <c r="T656" i="3"/>
  <c r="O673" i="3"/>
  <c r="Y673" i="3" s="1"/>
  <c r="Q687" i="3"/>
  <c r="R698" i="3"/>
  <c r="T712" i="3"/>
  <c r="V726" i="3"/>
  <c r="J738" i="3"/>
  <c r="L752" i="3"/>
  <c r="N766" i="3"/>
  <c r="O777" i="3"/>
  <c r="Y777" i="3" s="1"/>
  <c r="P425" i="3"/>
  <c r="M517" i="3"/>
  <c r="T548" i="3"/>
  <c r="R580" i="3"/>
  <c r="V608" i="3"/>
  <c r="K631" i="3"/>
  <c r="O659" i="3"/>
  <c r="Y659" i="3" s="1"/>
  <c r="S674" i="3"/>
  <c r="T685" i="3"/>
  <c r="V699" i="3"/>
  <c r="K714" i="3"/>
  <c r="L725" i="3"/>
  <c r="N739" i="3"/>
  <c r="O419" i="3"/>
  <c r="Y419" i="3" s="1"/>
  <c r="R502" i="3"/>
  <c r="P547" i="3"/>
  <c r="P579" i="3"/>
  <c r="R601" i="3"/>
  <c r="V629" i="3"/>
  <c r="M658" i="3"/>
  <c r="K671" i="3"/>
  <c r="M685" i="3"/>
  <c r="O699" i="3"/>
  <c r="Y699" i="3" s="1"/>
  <c r="P710" i="3"/>
  <c r="R724" i="3"/>
  <c r="T738" i="3"/>
  <c r="U749" i="3"/>
  <c r="J764" i="3"/>
  <c r="L778" i="3"/>
  <c r="M789" i="3"/>
  <c r="O803" i="3"/>
  <c r="Y803" i="3" s="1"/>
  <c r="Q817" i="3"/>
  <c r="R828" i="3"/>
  <c r="T842" i="3"/>
  <c r="Q420" i="3"/>
  <c r="M559" i="3"/>
  <c r="O635" i="3"/>
  <c r="Y635" i="3" s="1"/>
  <c r="T684" i="3"/>
  <c r="V706" i="3"/>
  <c r="M735" i="3"/>
  <c r="U759" i="3"/>
  <c r="R777" i="3"/>
  <c r="N797" i="3"/>
  <c r="L816" i="3"/>
  <c r="K386" i="3"/>
  <c r="L570" i="3"/>
  <c r="J646" i="3"/>
  <c r="O682" i="3"/>
  <c r="Y682" i="3" s="1"/>
  <c r="S710" i="3"/>
  <c r="J739" i="3"/>
  <c r="J758" i="3"/>
  <c r="S780" i="3"/>
  <c r="U799" i="3"/>
  <c r="R814" i="3"/>
  <c r="P833" i="3"/>
  <c r="N852" i="3"/>
  <c r="T863" i="3"/>
  <c r="V877" i="3"/>
  <c r="K892" i="3"/>
  <c r="L903" i="3"/>
  <c r="N917" i="3"/>
  <c r="P931" i="3"/>
  <c r="Q942" i="3"/>
  <c r="S956" i="3"/>
  <c r="U970" i="3"/>
  <c r="V981" i="3"/>
  <c r="K996" i="3"/>
  <c r="T367" i="3"/>
  <c r="Q547" i="3"/>
  <c r="R626" i="3"/>
  <c r="M681" i="3"/>
  <c r="O703" i="3"/>
  <c r="Y703" i="3" s="1"/>
  <c r="S731" i="3"/>
  <c r="L757" i="3"/>
  <c r="T774" i="3"/>
  <c r="J795" i="3"/>
  <c r="V813" i="3"/>
  <c r="S828" i="3"/>
  <c r="Q847" i="3"/>
  <c r="M863" i="3"/>
  <c r="V874" i="3"/>
  <c r="K889" i="3"/>
  <c r="P904" i="3"/>
  <c r="T487" i="3"/>
  <c r="V590" i="3"/>
  <c r="V663" i="3"/>
  <c r="M690" i="3"/>
  <c r="Q718" i="3"/>
  <c r="O746" i="3"/>
  <c r="Y746" i="3" s="1"/>
  <c r="L764" i="3"/>
  <c r="K786" i="3"/>
  <c r="V804" i="3"/>
  <c r="S819" i="3"/>
  <c r="R838" i="3"/>
  <c r="Q856" i="3"/>
  <c r="R867" i="3"/>
  <c r="T881" i="3"/>
  <c r="V895" i="3"/>
  <c r="J907" i="3"/>
  <c r="M501" i="3"/>
  <c r="J598" i="3"/>
  <c r="K657" i="3"/>
  <c r="T692" i="3"/>
  <c r="K721" i="3"/>
  <c r="M743" i="3"/>
  <c r="L766" i="3"/>
  <c r="U787" i="3"/>
  <c r="R802" i="3"/>
  <c r="P821" i="3"/>
  <c r="O840" i="3"/>
  <c r="Y840" i="3" s="1"/>
  <c r="T854" i="3"/>
  <c r="V868" i="3"/>
  <c r="K883" i="3"/>
  <c r="L894" i="3"/>
  <c r="N908" i="3"/>
  <c r="P922" i="3"/>
  <c r="Q933" i="3"/>
  <c r="S947" i="3"/>
  <c r="U961" i="3"/>
  <c r="V972" i="3"/>
  <c r="K987" i="3"/>
  <c r="U287" i="3"/>
  <c r="J644" i="3"/>
  <c r="T734" i="3"/>
  <c r="S794" i="3"/>
  <c r="Q832" i="3"/>
  <c r="L866" i="3"/>
  <c r="P894" i="3"/>
  <c r="L916" i="3"/>
  <c r="J935" i="3"/>
  <c r="V953" i="3"/>
  <c r="S968" i="3"/>
  <c r="Q987" i="3"/>
  <c r="L960" i="3"/>
  <c r="S798" i="3"/>
  <c r="J957" i="3"/>
  <c r="N781" i="3"/>
  <c r="U916" i="3"/>
  <c r="K661" i="3"/>
  <c r="K742" i="3"/>
  <c r="T788" i="3"/>
  <c r="N836" i="3"/>
  <c r="J869" i="3"/>
  <c r="L891" i="3"/>
  <c r="U917" i="3"/>
  <c r="T936" i="3"/>
  <c r="Q951" i="3"/>
  <c r="O970" i="3"/>
  <c r="Y970" i="3" s="1"/>
  <c r="M989" i="3"/>
  <c r="S893" i="3"/>
  <c r="N939" i="3"/>
  <c r="J973" i="3"/>
  <c r="U1000" i="3"/>
  <c r="V897" i="3"/>
  <c r="U947" i="3"/>
  <c r="T993" i="3"/>
  <c r="T789" i="3"/>
  <c r="S901" i="3"/>
  <c r="N955" i="3"/>
  <c r="R737" i="3"/>
  <c r="P918" i="3"/>
  <c r="J602" i="3"/>
  <c r="L719" i="3"/>
  <c r="P786" i="3"/>
  <c r="U825" i="3"/>
  <c r="S861" i="3"/>
  <c r="P892" i="3"/>
  <c r="U927" i="3"/>
  <c r="U968" i="3"/>
  <c r="M942" i="3"/>
  <c r="N452" i="3"/>
  <c r="P683" i="3"/>
  <c r="Q756" i="3"/>
  <c r="M800" i="3"/>
  <c r="T844" i="3"/>
  <c r="N875" i="3"/>
  <c r="P897" i="3"/>
  <c r="L922" i="3"/>
  <c r="K941" i="3"/>
  <c r="U955" i="3"/>
  <c r="S974" i="3"/>
  <c r="M894" i="3"/>
  <c r="Q717" i="3"/>
  <c r="Q895" i="3"/>
  <c r="P1000" i="3"/>
  <c r="S890" i="3"/>
  <c r="M631" i="3"/>
  <c r="U729" i="3"/>
  <c r="M780" i="3"/>
  <c r="K830" i="3"/>
  <c r="N864" i="3"/>
  <c r="P886" i="3"/>
  <c r="S914" i="3"/>
  <c r="T933" i="3"/>
  <c r="Q948" i="3"/>
  <c r="P967" i="3"/>
  <c r="N986" i="3"/>
  <c r="Q358" i="3"/>
  <c r="P677" i="3"/>
  <c r="P754" i="3"/>
  <c r="P800" i="3"/>
  <c r="J847" i="3"/>
  <c r="R885" i="3"/>
  <c r="S925" i="3"/>
  <c r="R971" i="3"/>
  <c r="U527" i="3"/>
  <c r="J688" i="3"/>
  <c r="O770" i="3"/>
  <c r="Y770" i="3" s="1"/>
  <c r="O832" i="3"/>
  <c r="Y832" i="3" s="1"/>
  <c r="R874" i="3"/>
  <c r="N910" i="3"/>
  <c r="R935" i="3"/>
  <c r="V961" i="3"/>
  <c r="J989" i="3"/>
  <c r="P685" i="3"/>
  <c r="L801" i="3"/>
  <c r="Q868" i="3"/>
  <c r="L528" i="3"/>
  <c r="O711" i="3"/>
  <c r="Y711" i="3" s="1"/>
  <c r="N814" i="3"/>
  <c r="V875" i="3"/>
  <c r="J916" i="3"/>
  <c r="M947" i="3"/>
  <c r="S999" i="3"/>
  <c r="Q977" i="3"/>
  <c r="R954" i="3"/>
  <c r="S935" i="3"/>
  <c r="S949" i="3"/>
  <c r="U971" i="3"/>
  <c r="N992" i="3"/>
  <c r="K957" i="3"/>
  <c r="Q945" i="3"/>
  <c r="M414" i="3"/>
  <c r="Q642" i="3"/>
  <c r="R561" i="3"/>
  <c r="R845" i="3"/>
  <c r="V646" i="3"/>
  <c r="K733" i="3"/>
  <c r="T570" i="3"/>
  <c r="L709" i="3"/>
  <c r="R479" i="3"/>
  <c r="L666" i="3"/>
  <c r="V744" i="3"/>
  <c r="S524" i="3"/>
  <c r="S769" i="3"/>
  <c r="O619" i="3"/>
  <c r="Y619" i="3" s="1"/>
  <c r="T772" i="3"/>
  <c r="U858" i="3"/>
  <c r="Q926" i="3"/>
  <c r="V505" i="3"/>
  <c r="U721" i="3"/>
  <c r="J841" i="3"/>
  <c r="T564" i="3"/>
  <c r="M756" i="3"/>
  <c r="V850" i="3"/>
  <c r="O571" i="3"/>
  <c r="Y571" i="3" s="1"/>
  <c r="O733" i="3"/>
  <c r="Y733" i="3" s="1"/>
  <c r="T833" i="3"/>
  <c r="Q917" i="3"/>
  <c r="N996" i="3"/>
  <c r="N856" i="3"/>
  <c r="J981" i="3"/>
  <c r="L877" i="3"/>
  <c r="L859" i="3"/>
  <c r="V944" i="3"/>
  <c r="Q988" i="3"/>
  <c r="S869" i="3"/>
  <c r="Q808" i="3"/>
  <c r="S732" i="3"/>
  <c r="P934" i="3"/>
  <c r="J966" i="3"/>
  <c r="P854" i="3"/>
  <c r="U960" i="3"/>
  <c r="L783" i="3"/>
  <c r="M996" i="3"/>
  <c r="K861" i="3"/>
  <c r="P765" i="3"/>
  <c r="T901" i="3"/>
  <c r="S981" i="3"/>
  <c r="U989" i="3"/>
  <c r="L504" i="3"/>
  <c r="T590" i="3"/>
  <c r="P601" i="3"/>
  <c r="U670" i="3"/>
  <c r="R494" i="3"/>
  <c r="K669" i="3"/>
  <c r="J762" i="3"/>
  <c r="N600" i="3"/>
  <c r="R695" i="3"/>
  <c r="U535" i="3"/>
  <c r="V680" i="3"/>
  <c r="J788" i="3"/>
  <c r="T612" i="3"/>
  <c r="Q791" i="3"/>
  <c r="K702" i="3"/>
  <c r="S827" i="3"/>
  <c r="V901" i="3"/>
  <c r="T991" i="3"/>
  <c r="Q670" i="3"/>
  <c r="N789" i="3"/>
  <c r="T884" i="3"/>
  <c r="V709" i="3"/>
  <c r="S851" i="3"/>
  <c r="V574" i="3"/>
  <c r="T740" i="3"/>
  <c r="P853" i="3"/>
  <c r="N932" i="3"/>
  <c r="S971" i="3"/>
  <c r="Q857" i="3"/>
  <c r="L948" i="3"/>
  <c r="U681" i="3"/>
  <c r="O860" i="3"/>
  <c r="Y860" i="3" s="1"/>
  <c r="R964" i="3"/>
  <c r="O998" i="3"/>
  <c r="Y998" i="3" s="1"/>
  <c r="L721" i="3"/>
  <c r="V584" i="3"/>
  <c r="T955" i="3"/>
  <c r="M833" i="3"/>
  <c r="V968" i="3"/>
  <c r="P873" i="3"/>
  <c r="S855" i="3"/>
  <c r="Q980" i="3"/>
  <c r="R869" i="3"/>
  <c r="O818" i="3"/>
  <c r="Y818" i="3" s="1"/>
  <c r="M776" i="3"/>
  <c r="V907" i="3"/>
  <c r="M988" i="3"/>
  <c r="O946" i="3"/>
  <c r="Y946" i="3" s="1"/>
  <c r="M383" i="3"/>
  <c r="K360" i="3"/>
  <c r="S417" i="3"/>
  <c r="T511" i="3"/>
  <c r="K378" i="3"/>
  <c r="O464" i="3"/>
  <c r="Y464" i="3" s="1"/>
  <c r="O371" i="3"/>
  <c r="Y371" i="3" s="1"/>
  <c r="J462" i="3"/>
  <c r="M489" i="3"/>
  <c r="L545" i="3"/>
  <c r="R603" i="3"/>
  <c r="O658" i="3"/>
  <c r="Y658" i="3" s="1"/>
  <c r="U481" i="3"/>
  <c r="S555" i="3"/>
  <c r="P610" i="3"/>
  <c r="T654" i="3"/>
  <c r="R501" i="3"/>
  <c r="T563" i="3"/>
  <c r="K608" i="3"/>
  <c r="M322" i="3"/>
  <c r="J516" i="3"/>
  <c r="S562" i="3"/>
  <c r="L621" i="3"/>
  <c r="V385" i="3"/>
  <c r="M513" i="3"/>
  <c r="R460" i="3"/>
  <c r="M618" i="3"/>
  <c r="K373" i="3"/>
  <c r="S609" i="3"/>
  <c r="Q690" i="3"/>
  <c r="U734" i="3"/>
  <c r="N793" i="3"/>
  <c r="V825" i="3"/>
  <c r="J837" i="3"/>
  <c r="L851" i="3"/>
  <c r="V449" i="3"/>
  <c r="P514" i="3"/>
  <c r="M555" i="3"/>
  <c r="O585" i="3"/>
  <c r="Y585" i="3" s="1"/>
  <c r="Q607" i="3"/>
  <c r="U635" i="3"/>
  <c r="V662" i="3"/>
  <c r="J674" i="3"/>
  <c r="L688" i="3"/>
  <c r="N702" i="3"/>
  <c r="O713" i="3"/>
  <c r="Y713" i="3" s="1"/>
  <c r="Q727" i="3"/>
  <c r="S741" i="3"/>
  <c r="T752" i="3"/>
  <c r="V766" i="3"/>
  <c r="K781" i="3"/>
  <c r="N432" i="3"/>
  <c r="U519" i="3"/>
  <c r="R558" i="3"/>
  <c r="U581" i="3"/>
  <c r="L610" i="3"/>
  <c r="P638" i="3"/>
  <c r="R660" i="3"/>
  <c r="N675" i="3"/>
  <c r="P689" i="3"/>
  <c r="Q700" i="3"/>
  <c r="S714" i="3"/>
  <c r="U728" i="3"/>
  <c r="V739" i="3"/>
  <c r="Q425" i="3"/>
  <c r="T517" i="3"/>
  <c r="K549" i="3"/>
  <c r="S580" i="3"/>
  <c r="J609" i="3"/>
  <c r="L631" i="3"/>
  <c r="P659" i="3"/>
  <c r="T674" i="3"/>
  <c r="U685" i="3"/>
  <c r="J700" i="3"/>
  <c r="L714" i="3"/>
  <c r="M725" i="3"/>
  <c r="O739" i="3"/>
  <c r="Y739" i="3" s="1"/>
  <c r="Q753" i="3"/>
  <c r="R764" i="3"/>
  <c r="T778" i="3"/>
  <c r="V792" i="3"/>
  <c r="J804" i="3"/>
  <c r="L818" i="3"/>
  <c r="N832" i="3"/>
  <c r="O843" i="3"/>
  <c r="Y843" i="3" s="1"/>
  <c r="V440" i="3"/>
  <c r="U579" i="3"/>
  <c r="V638" i="3"/>
  <c r="J686" i="3"/>
  <c r="N714" i="3"/>
  <c r="P736" i="3"/>
  <c r="U760" i="3"/>
  <c r="N783" i="3"/>
  <c r="K798" i="3"/>
  <c r="J817" i="3"/>
  <c r="V484" i="3"/>
  <c r="S573" i="3"/>
  <c r="V648" i="3"/>
  <c r="T689" i="3"/>
  <c r="V711" i="3"/>
  <c r="M740" i="3"/>
  <c r="V763" i="3"/>
  <c r="Q781" i="3"/>
  <c r="R800" i="3"/>
  <c r="Q819" i="3"/>
  <c r="N834" i="3"/>
  <c r="L853" i="3"/>
  <c r="P867" i="3"/>
  <c r="Q878" i="3"/>
  <c r="S892" i="3"/>
  <c r="U906" i="3"/>
  <c r="V917" i="3"/>
  <c r="K932" i="3"/>
  <c r="M946" i="3"/>
  <c r="N957" i="3"/>
  <c r="P971" i="3"/>
  <c r="R985" i="3"/>
  <c r="S996" i="3"/>
  <c r="L386" i="3"/>
  <c r="V570" i="3"/>
  <c r="J630" i="3"/>
  <c r="P682" i="3"/>
  <c r="T710" i="3"/>
  <c r="V732" i="3"/>
  <c r="K758" i="3"/>
  <c r="T780" i="3"/>
  <c r="U795" i="3"/>
  <c r="S814" i="3"/>
  <c r="R833" i="3"/>
  <c r="O848" i="3"/>
  <c r="Y848" i="3" s="1"/>
  <c r="U863" i="3"/>
  <c r="R878" i="3"/>
  <c r="S889" i="3"/>
  <c r="K905" i="3"/>
  <c r="N526" i="3"/>
  <c r="N594" i="3"/>
  <c r="S665" i="3"/>
  <c r="R697" i="3"/>
  <c r="T719" i="3"/>
  <c r="P747" i="3"/>
  <c r="K770" i="3"/>
  <c r="V786" i="3"/>
  <c r="T805" i="3"/>
  <c r="R824" i="3"/>
  <c r="O839" i="3"/>
  <c r="Y839" i="3" s="1"/>
  <c r="L857" i="3"/>
  <c r="N871" i="3"/>
  <c r="O882" i="3"/>
  <c r="Y882" i="3" s="1"/>
  <c r="Q896" i="3"/>
  <c r="S910" i="3"/>
  <c r="N508" i="3"/>
  <c r="V600" i="3"/>
  <c r="N669" i="3"/>
  <c r="J694" i="3"/>
  <c r="N722" i="3"/>
  <c r="P749" i="3"/>
  <c r="M767" i="3"/>
  <c r="S788" i="3"/>
  <c r="Q807" i="3"/>
  <c r="N822" i="3"/>
  <c r="L841" i="3"/>
  <c r="P858" i="3"/>
  <c r="Q869" i="3"/>
  <c r="S883" i="3"/>
  <c r="U897" i="3"/>
  <c r="V908" i="3"/>
  <c r="K923" i="3"/>
  <c r="M937" i="3"/>
  <c r="N948" i="3"/>
  <c r="P962" i="3"/>
  <c r="R976" i="3"/>
  <c r="S987" i="3"/>
  <c r="P379" i="3"/>
  <c r="M679" i="3"/>
  <c r="O738" i="3"/>
  <c r="Y738" i="3" s="1"/>
  <c r="K797" i="3"/>
  <c r="O842" i="3"/>
  <c r="Y842" i="3" s="1"/>
  <c r="O867" i="3"/>
  <c r="Y867" i="3" s="1"/>
  <c r="S895" i="3"/>
  <c r="K921" i="3"/>
  <c r="U935" i="3"/>
  <c r="S954" i="3"/>
  <c r="R973" i="3"/>
  <c r="O988" i="3"/>
  <c r="Y988" i="3" s="1"/>
  <c r="M964" i="3"/>
  <c r="P868" i="3"/>
  <c r="P959" i="3"/>
  <c r="T798" i="3"/>
  <c r="K481" i="3"/>
  <c r="N666" i="3"/>
  <c r="J745" i="3"/>
  <c r="U801" i="3"/>
  <c r="J838" i="3"/>
  <c r="M870" i="3"/>
  <c r="Q898" i="3"/>
  <c r="S918" i="3"/>
  <c r="Q937" i="3"/>
  <c r="P956" i="3"/>
  <c r="M971" i="3"/>
  <c r="K990" i="3"/>
  <c r="V910" i="3"/>
  <c r="J941" i="3"/>
  <c r="R974" i="3"/>
  <c r="O994" i="3"/>
  <c r="Y994" i="3" s="1"/>
  <c r="O900" i="3"/>
  <c r="Y900" i="3" s="1"/>
  <c r="P949" i="3"/>
  <c r="Q579" i="3"/>
  <c r="L792" i="3"/>
  <c r="R906" i="3"/>
  <c r="O973" i="3"/>
  <c r="Y973" i="3" s="1"/>
  <c r="V746" i="3"/>
  <c r="R922" i="3"/>
  <c r="R654" i="3"/>
  <c r="P722" i="3"/>
  <c r="U788" i="3"/>
  <c r="P836" i="3"/>
  <c r="L864" i="3"/>
  <c r="V894" i="3"/>
  <c r="S937" i="3"/>
  <c r="N971" i="3"/>
  <c r="O964" i="3"/>
  <c r="Y964" i="3" s="1"/>
  <c r="V557" i="3"/>
  <c r="T686" i="3"/>
  <c r="S758" i="3"/>
  <c r="O813" i="3"/>
  <c r="Y813" i="3" s="1"/>
  <c r="O846" i="3"/>
  <c r="Y846" i="3" s="1"/>
  <c r="Q876" i="3"/>
  <c r="U904" i="3"/>
  <c r="J923" i="3"/>
  <c r="U941" i="3"/>
  <c r="T960" i="3"/>
  <c r="Q975" i="3"/>
  <c r="L928" i="3"/>
  <c r="N778" i="3"/>
  <c r="L904" i="3"/>
  <c r="R469" i="3"/>
  <c r="M933" i="3"/>
  <c r="R638" i="3"/>
  <c r="P733" i="3"/>
  <c r="T793" i="3"/>
  <c r="T831" i="3"/>
  <c r="Q865" i="3"/>
  <c r="U893" i="3"/>
  <c r="T915" i="3"/>
  <c r="R934" i="3"/>
  <c r="P953" i="3"/>
  <c r="M968" i="3"/>
  <c r="L987" i="3"/>
  <c r="P536" i="3"/>
  <c r="J681" i="3"/>
  <c r="T756" i="3"/>
  <c r="V815" i="3"/>
  <c r="R848" i="3"/>
  <c r="K888" i="3"/>
  <c r="N936" i="3"/>
  <c r="M973" i="3"/>
  <c r="S549" i="3"/>
  <c r="U697" i="3"/>
  <c r="M783" i="3"/>
  <c r="N837" i="3"/>
  <c r="N878" i="3"/>
  <c r="V915" i="3"/>
  <c r="K938" i="3"/>
  <c r="U966" i="3"/>
  <c r="K993" i="3"/>
  <c r="Q701" i="3"/>
  <c r="K810" i="3"/>
  <c r="S874" i="3"/>
  <c r="K541" i="3"/>
  <c r="U724" i="3"/>
  <c r="K825" i="3"/>
  <c r="N883" i="3"/>
  <c r="V920" i="3"/>
  <c r="T953" i="3"/>
  <c r="K975" i="3"/>
  <c r="L952" i="3"/>
  <c r="L961" i="3"/>
  <c r="U948" i="3"/>
  <c r="T962" i="3"/>
  <c r="K966" i="3"/>
  <c r="K989" i="3"/>
  <c r="R963" i="3"/>
  <c r="O978" i="3"/>
  <c r="Y978" i="3" s="1"/>
  <c r="Q298" i="3"/>
  <c r="J576" i="3"/>
  <c r="O542" i="3"/>
  <c r="Y542" i="3" s="1"/>
  <c r="P641" i="3"/>
  <c r="J664" i="3"/>
  <c r="N769" i="3"/>
  <c r="P540" i="3"/>
  <c r="P668" i="3"/>
  <c r="M747" i="3"/>
  <c r="T535" i="3"/>
  <c r="U680" i="3"/>
  <c r="J356" i="3"/>
  <c r="O648" i="3"/>
  <c r="Y648" i="3" s="1"/>
  <c r="U733" i="3"/>
  <c r="S823" i="3"/>
  <c r="V751" i="3"/>
  <c r="K670" i="3"/>
  <c r="T845" i="3"/>
  <c r="T951" i="3"/>
  <c r="Q693" i="3"/>
  <c r="N858" i="3"/>
  <c r="S708" i="3"/>
  <c r="S862" i="3"/>
  <c r="M711" i="3"/>
  <c r="J864" i="3"/>
  <c r="J968" i="3"/>
  <c r="R884" i="3"/>
  <c r="T660" i="3"/>
  <c r="N881" i="3"/>
  <c r="N962" i="3"/>
  <c r="R879" i="3"/>
  <c r="Q914" i="3"/>
  <c r="R915" i="3"/>
  <c r="L559" i="3"/>
  <c r="J942" i="3"/>
  <c r="P911" i="3"/>
  <c r="P927" i="3"/>
  <c r="M856" i="3"/>
  <c r="N951" i="3"/>
  <c r="U301" i="3"/>
  <c r="J536" i="3"/>
  <c r="U646" i="3"/>
  <c r="J543" i="3"/>
  <c r="U578" i="3"/>
  <c r="L715" i="3"/>
  <c r="M846" i="3"/>
  <c r="S597" i="3"/>
  <c r="O697" i="3"/>
  <c r="Y697" i="3" s="1"/>
  <c r="L776" i="3"/>
  <c r="R628" i="3"/>
  <c r="V723" i="3"/>
  <c r="L599" i="3"/>
  <c r="N720" i="3"/>
  <c r="M813" i="3"/>
  <c r="V674" i="3"/>
  <c r="O810" i="3"/>
  <c r="Y810" i="3" s="1"/>
  <c r="O730" i="3"/>
  <c r="Y730" i="3" s="1"/>
  <c r="R846" i="3"/>
  <c r="L927" i="3"/>
  <c r="P912" i="3"/>
  <c r="L750" i="3"/>
  <c r="V858" i="3"/>
  <c r="T687" i="3"/>
  <c r="K818" i="3"/>
  <c r="R412" i="3"/>
  <c r="J782" i="3"/>
  <c r="V892" i="3"/>
  <c r="V996" i="3"/>
  <c r="L914" i="3"/>
  <c r="S906" i="3"/>
  <c r="U949" i="3"/>
  <c r="J988" i="3"/>
  <c r="Q766" i="3"/>
  <c r="O344" i="3"/>
  <c r="Y344" i="3" s="1"/>
  <c r="J895" i="3"/>
  <c r="K970" i="3"/>
  <c r="J884" i="3"/>
  <c r="Q631" i="3"/>
  <c r="N1000" i="3"/>
  <c r="Q931" i="3"/>
  <c r="R794" i="3"/>
  <c r="J994" i="3"/>
  <c r="M176" i="3"/>
  <c r="J362" i="3"/>
  <c r="J446" i="3"/>
  <c r="M405" i="3"/>
  <c r="M379" i="3"/>
  <c r="L470" i="3"/>
  <c r="R396" i="3"/>
  <c r="U462" i="3"/>
  <c r="T495" i="3"/>
  <c r="V559" i="3"/>
  <c r="M604" i="3"/>
  <c r="S662" i="3"/>
  <c r="M506" i="3"/>
  <c r="N556" i="3"/>
  <c r="T614" i="3"/>
  <c r="Q339" i="3"/>
  <c r="Q502" i="3"/>
  <c r="K568" i="3"/>
  <c r="U622" i="3"/>
  <c r="Q329" i="3"/>
  <c r="P522" i="3"/>
  <c r="P577" i="3"/>
  <c r="T621" i="3"/>
  <c r="V403" i="3"/>
  <c r="O531" i="3"/>
  <c r="Y531" i="3" s="1"/>
  <c r="N466" i="3"/>
  <c r="U626" i="3"/>
  <c r="T501" i="3"/>
  <c r="V610" i="3"/>
  <c r="U694" i="3"/>
  <c r="R749" i="3"/>
  <c r="V793" i="3"/>
  <c r="Q826" i="3"/>
  <c r="S840" i="3"/>
  <c r="T851" i="3"/>
  <c r="O456" i="3"/>
  <c r="Y456" i="3" s="1"/>
  <c r="M527" i="3"/>
  <c r="T556" i="3"/>
  <c r="R586" i="3"/>
  <c r="V614" i="3"/>
  <c r="K637" i="3"/>
  <c r="Q663" i="3"/>
  <c r="S677" i="3"/>
  <c r="T688" i="3"/>
  <c r="V702" i="3"/>
  <c r="K717" i="3"/>
  <c r="L728" i="3"/>
  <c r="N742" i="3"/>
  <c r="P756" i="3"/>
  <c r="Q767" i="3"/>
  <c r="S781" i="3"/>
  <c r="S468" i="3"/>
  <c r="N522" i="3"/>
  <c r="O560" i="3"/>
  <c r="Y560" i="3" s="1"/>
  <c r="M589" i="3"/>
  <c r="O611" i="3"/>
  <c r="Y611" i="3" s="1"/>
  <c r="S639" i="3"/>
  <c r="U664" i="3"/>
  <c r="V675" i="3"/>
  <c r="K690" i="3"/>
  <c r="M704" i="3"/>
  <c r="N715" i="3"/>
  <c r="P729" i="3"/>
  <c r="R743" i="3"/>
  <c r="N433" i="3"/>
  <c r="K520" i="3"/>
  <c r="V558" i="3"/>
  <c r="V581" i="3"/>
  <c r="M610" i="3"/>
  <c r="Q638" i="3"/>
  <c r="S660" i="3"/>
  <c r="O675" i="3"/>
  <c r="Y675" i="3" s="1"/>
  <c r="Q689" i="3"/>
  <c r="R700" i="3"/>
  <c r="T714" i="3"/>
  <c r="V728" i="3"/>
  <c r="J740" i="3"/>
  <c r="L754" i="3"/>
  <c r="N768" i="3"/>
  <c r="O779" i="3"/>
  <c r="Y779" i="3" s="1"/>
  <c r="Q793" i="3"/>
  <c r="S807" i="3"/>
  <c r="T818" i="3"/>
  <c r="V832" i="3"/>
  <c r="K847" i="3"/>
  <c r="J454" i="3"/>
  <c r="M583" i="3"/>
  <c r="R658" i="3"/>
  <c r="M687" i="3"/>
  <c r="Q715" i="3"/>
  <c r="U743" i="3"/>
  <c r="T761" i="3"/>
  <c r="L784" i="3"/>
  <c r="J803" i="3"/>
  <c r="T817" i="3"/>
  <c r="T492" i="3"/>
  <c r="O593" i="3"/>
  <c r="Y593" i="3" s="1"/>
  <c r="P652" i="3"/>
  <c r="J691" i="3"/>
  <c r="N719" i="3"/>
  <c r="P741" i="3"/>
  <c r="U764" i="3"/>
  <c r="S786" i="3"/>
  <c r="P801" i="3"/>
  <c r="N820" i="3"/>
  <c r="M839" i="3"/>
  <c r="V853" i="3"/>
  <c r="K868" i="3"/>
  <c r="M882" i="3"/>
  <c r="N893" i="3"/>
  <c r="P907" i="3"/>
  <c r="R921" i="3"/>
  <c r="S932" i="3"/>
  <c r="U946" i="3"/>
  <c r="J961" i="3"/>
  <c r="K972" i="3"/>
  <c r="M986" i="3"/>
  <c r="O1000" i="3"/>
  <c r="Y1000" i="3" s="1"/>
  <c r="U406" i="3"/>
  <c r="U573" i="3"/>
  <c r="S649" i="3"/>
  <c r="S683" i="3"/>
  <c r="J712" i="3"/>
  <c r="N740" i="3"/>
  <c r="L759" i="3"/>
  <c r="T781" i="3"/>
  <c r="T800" i="3"/>
  <c r="Q815" i="3"/>
  <c r="O834" i="3"/>
  <c r="Y834" i="3" s="1"/>
  <c r="N853" i="3"/>
  <c r="P864" i="3"/>
  <c r="M879" i="3"/>
  <c r="O893" i="3"/>
  <c r="Y893" i="3" s="1"/>
  <c r="N906" i="3"/>
  <c r="J530" i="3"/>
  <c r="J614" i="3"/>
  <c r="P667" i="3"/>
  <c r="U698" i="3"/>
  <c r="L727" i="3"/>
  <c r="N748" i="3"/>
  <c r="J771" i="3"/>
  <c r="U791" i="3"/>
  <c r="R806" i="3"/>
  <c r="P825" i="3"/>
  <c r="N844" i="3"/>
  <c r="T857" i="3"/>
  <c r="V871" i="3"/>
  <c r="K886" i="3"/>
  <c r="L897" i="3"/>
  <c r="N911" i="3"/>
  <c r="Q539" i="3"/>
  <c r="P604" i="3"/>
  <c r="S670" i="3"/>
  <c r="O701" i="3"/>
  <c r="Y701" i="3" s="1"/>
  <c r="Q723" i="3"/>
  <c r="Q750" i="3"/>
  <c r="L773" i="3"/>
  <c r="P789" i="3"/>
  <c r="O808" i="3"/>
  <c r="Y808" i="3" s="1"/>
  <c r="M827" i="3"/>
  <c r="J842" i="3"/>
  <c r="K859" i="3"/>
  <c r="M873" i="3"/>
  <c r="N884" i="3"/>
  <c r="P898" i="3"/>
  <c r="R912" i="3"/>
  <c r="S923" i="3"/>
  <c r="U937" i="3"/>
  <c r="J952" i="3"/>
  <c r="K963" i="3"/>
  <c r="M977" i="3"/>
  <c r="O991" i="3"/>
  <c r="Y991" i="3" s="1"/>
  <c r="L435" i="3"/>
  <c r="M682" i="3"/>
  <c r="Q755" i="3"/>
  <c r="O799" i="3"/>
  <c r="Y799" i="3" s="1"/>
  <c r="K844" i="3"/>
  <c r="T874" i="3"/>
  <c r="V896" i="3"/>
  <c r="V921" i="3"/>
  <c r="T940" i="3"/>
  <c r="Q955" i="3"/>
  <c r="O974" i="3"/>
  <c r="Y974" i="3" s="1"/>
  <c r="N993" i="3"/>
  <c r="S966" i="3"/>
  <c r="U875" i="3"/>
  <c r="K984" i="3"/>
  <c r="V811" i="3"/>
  <c r="K503" i="3"/>
  <c r="M689" i="3"/>
  <c r="S747" i="3"/>
  <c r="S803" i="3"/>
  <c r="U847" i="3"/>
  <c r="P871" i="3"/>
  <c r="T899" i="3"/>
  <c r="R923" i="3"/>
  <c r="O938" i="3"/>
  <c r="Y938" i="3" s="1"/>
  <c r="M957" i="3"/>
  <c r="L976" i="3"/>
  <c r="V990" i="3"/>
  <c r="O913" i="3"/>
  <c r="Y913" i="3" s="1"/>
  <c r="U950" i="3"/>
  <c r="M976" i="3"/>
  <c r="M995" i="3"/>
  <c r="R916" i="3"/>
  <c r="V951" i="3"/>
  <c r="N598" i="3"/>
  <c r="R835" i="3"/>
  <c r="K909" i="3"/>
  <c r="S976" i="3"/>
  <c r="P818" i="3"/>
  <c r="S926" i="3"/>
  <c r="R662" i="3"/>
  <c r="L742" i="3"/>
  <c r="M791" i="3"/>
  <c r="K838" i="3"/>
  <c r="Q871" i="3"/>
  <c r="L896" i="3"/>
  <c r="L940" i="3"/>
  <c r="J982" i="3"/>
  <c r="N978" i="3"/>
  <c r="T568" i="3"/>
  <c r="P706" i="3"/>
  <c r="R761" i="3"/>
  <c r="M815" i="3"/>
  <c r="R855" i="3"/>
  <c r="T877" i="3"/>
  <c r="K906" i="3"/>
  <c r="V927" i="3"/>
  <c r="S942" i="3"/>
  <c r="Q961" i="3"/>
  <c r="P980" i="3"/>
  <c r="Q944" i="3"/>
  <c r="R785" i="3"/>
  <c r="O932" i="3"/>
  <c r="Y932" i="3" s="1"/>
  <c r="J665" i="3"/>
  <c r="V346" i="3"/>
  <c r="M676" i="3"/>
  <c r="O736" i="3"/>
  <c r="Y736" i="3" s="1"/>
  <c r="L796" i="3"/>
  <c r="R841" i="3"/>
  <c r="T866" i="3"/>
  <c r="K895" i="3"/>
  <c r="S920" i="3"/>
  <c r="P935" i="3"/>
  <c r="N954" i="3"/>
  <c r="L973" i="3"/>
  <c r="V987" i="3"/>
  <c r="O549" i="3"/>
  <c r="Y549" i="3" s="1"/>
  <c r="S700" i="3"/>
  <c r="R759" i="3"/>
  <c r="N818" i="3"/>
  <c r="Q858" i="3"/>
  <c r="Q890" i="3"/>
  <c r="J938" i="3"/>
  <c r="S975" i="3"/>
  <c r="L572" i="3"/>
  <c r="N711" i="3"/>
  <c r="V787" i="3"/>
  <c r="M842" i="3"/>
  <c r="P884" i="3"/>
  <c r="M919" i="3"/>
  <c r="Q940" i="3"/>
  <c r="N969" i="3"/>
  <c r="O996" i="3"/>
  <c r="Y996" i="3" s="1"/>
  <c r="V717" i="3"/>
  <c r="R816" i="3"/>
  <c r="U880" i="3"/>
  <c r="J553" i="3"/>
  <c r="Q744" i="3"/>
  <c r="P832" i="3"/>
  <c r="J887" i="3"/>
  <c r="O923" i="3"/>
  <c r="Y923" i="3" s="1"/>
  <c r="N960" i="3"/>
  <c r="T994" i="3"/>
  <c r="Q991" i="3"/>
  <c r="S967" i="3"/>
  <c r="O955" i="3"/>
  <c r="Y955" i="3" s="1"/>
  <c r="V975" i="3"/>
  <c r="N942" i="3"/>
  <c r="V984" i="3"/>
  <c r="L970" i="3"/>
  <c r="R972" i="3"/>
  <c r="K445" i="3"/>
  <c r="J440" i="3"/>
  <c r="K551" i="3"/>
  <c r="R813" i="3"/>
  <c r="L568" i="3"/>
  <c r="U707" i="3"/>
  <c r="P366" i="3"/>
  <c r="M621" i="3"/>
  <c r="O734" i="3"/>
  <c r="Y734" i="3" s="1"/>
  <c r="T591" i="3"/>
  <c r="P694" i="3"/>
  <c r="M773" i="3"/>
  <c r="U837" i="3"/>
  <c r="O725" i="3"/>
  <c r="Y725" i="3" s="1"/>
  <c r="O824" i="3"/>
  <c r="Y824" i="3" s="1"/>
  <c r="U700" i="3"/>
  <c r="J808" i="3"/>
  <c r="L887" i="3"/>
  <c r="V965" i="3"/>
  <c r="P600" i="3"/>
  <c r="P788" i="3"/>
  <c r="L884" i="3"/>
  <c r="O680" i="3"/>
  <c r="Y680" i="3" s="1"/>
  <c r="L813" i="3"/>
  <c r="J891" i="3"/>
  <c r="P630" i="3"/>
  <c r="K796" i="3"/>
  <c r="L878" i="3"/>
  <c r="T942" i="3"/>
  <c r="O776" i="3"/>
  <c r="Y776" i="3" s="1"/>
  <c r="T906" i="3"/>
  <c r="U999" i="3"/>
  <c r="Q768" i="3"/>
  <c r="L930" i="3"/>
  <c r="J927" i="3"/>
  <c r="T970" i="3"/>
  <c r="P433" i="3"/>
  <c r="M851" i="3"/>
  <c r="O878" i="3"/>
  <c r="Y878" i="3" s="1"/>
  <c r="R831" i="3"/>
  <c r="L968" i="3"/>
  <c r="U820" i="3"/>
  <c r="R876" i="3"/>
  <c r="Q994" i="3"/>
  <c r="O868" i="3"/>
  <c r="Y868" i="3" s="1"/>
  <c r="P809" i="3"/>
  <c r="J582" i="3"/>
  <c r="K625" i="3"/>
  <c r="V934" i="3"/>
  <c r="O937" i="3"/>
  <c r="Y937" i="3" s="1"/>
  <c r="K307" i="3"/>
  <c r="K544" i="3"/>
  <c r="O555" i="3"/>
  <c r="Y555" i="3" s="1"/>
  <c r="J821" i="3"/>
  <c r="Q575" i="3"/>
  <c r="P708" i="3"/>
  <c r="J375" i="3"/>
  <c r="T650" i="3"/>
  <c r="S367" i="3"/>
  <c r="N621" i="3"/>
  <c r="M709" i="3"/>
  <c r="U773" i="3"/>
  <c r="R852" i="3"/>
  <c r="R726" i="3"/>
  <c r="R542" i="3"/>
  <c r="T773" i="3"/>
  <c r="R873" i="3"/>
  <c r="O952" i="3"/>
  <c r="Y952" i="3" s="1"/>
  <c r="M538" i="3"/>
  <c r="U772" i="3"/>
  <c r="S873" i="3"/>
  <c r="Q643" i="3"/>
  <c r="M799" i="3"/>
  <c r="O866" i="3"/>
  <c r="Y866" i="3" s="1"/>
  <c r="L650" i="3"/>
  <c r="J801" i="3"/>
  <c r="R864" i="3"/>
  <c r="O943" i="3"/>
  <c r="Y943" i="3" s="1"/>
  <c r="O625" i="3"/>
  <c r="Y625" i="3" s="1"/>
  <c r="U885" i="3"/>
  <c r="T981" i="3"/>
  <c r="S601" i="3"/>
  <c r="S888" i="3"/>
  <c r="Q983" i="3"/>
  <c r="P879" i="3"/>
  <c r="P572" i="3"/>
  <c r="U852" i="3"/>
  <c r="R997" i="3"/>
  <c r="S866" i="3"/>
  <c r="P989" i="3"/>
  <c r="U706" i="3"/>
  <c r="L906" i="3"/>
  <c r="P999" i="3"/>
  <c r="O922" i="3"/>
  <c r="Y922" i="3" s="1"/>
  <c r="J866" i="3"/>
  <c r="Q641" i="3"/>
  <c r="R863" i="3"/>
  <c r="P941" i="3"/>
  <c r="P964" i="3"/>
  <c r="T292" i="3"/>
  <c r="O425" i="3"/>
  <c r="Y425" i="3" s="1"/>
  <c r="S447" i="3"/>
  <c r="T434" i="3"/>
  <c r="O406" i="3"/>
  <c r="Y406" i="3" s="1"/>
  <c r="J471" i="3"/>
  <c r="P403" i="3"/>
  <c r="S295" i="3"/>
  <c r="S496" i="3"/>
  <c r="M564" i="3"/>
  <c r="J619" i="3"/>
  <c r="M168" i="3"/>
  <c r="U512" i="3"/>
  <c r="K571" i="3"/>
  <c r="O615" i="3"/>
  <c r="Y615" i="3" s="1"/>
  <c r="U372" i="3"/>
  <c r="O524" i="3"/>
  <c r="Y524" i="3" s="1"/>
  <c r="S568" i="3"/>
  <c r="L627" i="3"/>
  <c r="P414" i="3"/>
  <c r="N523" i="3"/>
  <c r="T581" i="3"/>
  <c r="Q636" i="3"/>
  <c r="R406" i="3"/>
  <c r="S535" i="3"/>
  <c r="U531" i="3"/>
  <c r="K628" i="3"/>
  <c r="K519" i="3"/>
  <c r="P640" i="3"/>
  <c r="P695" i="3"/>
  <c r="V753" i="3"/>
  <c r="S808" i="3"/>
  <c r="L827" i="3"/>
  <c r="N841" i="3"/>
  <c r="L299" i="3"/>
  <c r="L462" i="3"/>
  <c r="J529" i="3"/>
  <c r="S565" i="3"/>
  <c r="U587" i="3"/>
  <c r="L616" i="3"/>
  <c r="P644" i="3"/>
  <c r="L664" i="3"/>
  <c r="N678" i="3"/>
  <c r="P692" i="3"/>
  <c r="Q703" i="3"/>
  <c r="S717" i="3"/>
  <c r="U731" i="3"/>
  <c r="V742" i="3"/>
  <c r="K757" i="3"/>
  <c r="M771" i="3"/>
  <c r="N782" i="3"/>
  <c r="U473" i="3"/>
  <c r="P532" i="3"/>
  <c r="J562" i="3"/>
  <c r="P590" i="3"/>
  <c r="T618" i="3"/>
  <c r="V640" i="3"/>
  <c r="P665" i="3"/>
  <c r="R679" i="3"/>
  <c r="S690" i="3"/>
  <c r="U704" i="3"/>
  <c r="J719" i="3"/>
  <c r="K730" i="3"/>
  <c r="M744" i="3"/>
  <c r="Q469" i="3"/>
  <c r="S522" i="3"/>
  <c r="P560" i="3"/>
  <c r="N589" i="3"/>
  <c r="P611" i="3"/>
  <c r="T639" i="3"/>
  <c r="V664" i="3"/>
  <c r="J676" i="3"/>
  <c r="L690" i="3"/>
  <c r="N704" i="3"/>
  <c r="O715" i="3"/>
  <c r="Y715" i="3" s="1"/>
  <c r="Q729" i="3"/>
  <c r="S743" i="3"/>
  <c r="T754" i="3"/>
  <c r="V768" i="3"/>
  <c r="K783" i="3"/>
  <c r="L794" i="3"/>
  <c r="N808" i="3"/>
  <c r="P822" i="3"/>
  <c r="Q833" i="3"/>
  <c r="S847" i="3"/>
  <c r="L511" i="3"/>
  <c r="L586" i="3"/>
  <c r="T661" i="3"/>
  <c r="R694" i="3"/>
  <c r="T716" i="3"/>
  <c r="K745" i="3"/>
  <c r="T767" i="3"/>
  <c r="J785" i="3"/>
  <c r="U803" i="3"/>
  <c r="S822" i="3"/>
  <c r="P498" i="3"/>
  <c r="T596" i="3"/>
  <c r="V666" i="3"/>
  <c r="M692" i="3"/>
  <c r="Q720" i="3"/>
  <c r="L748" i="3"/>
  <c r="V765" i="3"/>
  <c r="Q787" i="3"/>
  <c r="O806" i="3"/>
  <c r="Y806" i="3" s="1"/>
  <c r="L821" i="3"/>
  <c r="J840" i="3"/>
  <c r="R857" i="3"/>
  <c r="S868" i="3"/>
  <c r="U882" i="3"/>
  <c r="J897" i="3"/>
  <c r="K908" i="3"/>
  <c r="M922" i="3"/>
  <c r="O936" i="3"/>
  <c r="Y936" i="3" s="1"/>
  <c r="P947" i="3"/>
  <c r="R961" i="3"/>
  <c r="T975" i="3"/>
  <c r="U986" i="3"/>
  <c r="T868" i="3"/>
  <c r="N493" i="3"/>
  <c r="O577" i="3"/>
  <c r="Y577" i="3" s="1"/>
  <c r="R652" i="3"/>
  <c r="K691" i="3"/>
  <c r="M713" i="3"/>
  <c r="Q741" i="3"/>
  <c r="V764" i="3"/>
  <c r="S782" i="3"/>
  <c r="R801" i="3"/>
  <c r="P820" i="3"/>
  <c r="M835" i="3"/>
  <c r="J854" i="3"/>
  <c r="L868" i="3"/>
  <c r="U879" i="3"/>
  <c r="J894" i="3"/>
  <c r="K913" i="3"/>
  <c r="R534" i="3"/>
  <c r="V616" i="3"/>
  <c r="N677" i="3"/>
  <c r="K700" i="3"/>
  <c r="O728" i="3"/>
  <c r="Y728" i="3" s="1"/>
  <c r="N754" i="3"/>
  <c r="K772" i="3"/>
  <c r="R792" i="3"/>
  <c r="Q811" i="3"/>
  <c r="N826" i="3"/>
  <c r="L845" i="3"/>
  <c r="P861" i="3"/>
  <c r="Q872" i="3"/>
  <c r="S886" i="3"/>
  <c r="U900" i="3"/>
  <c r="V911" i="3"/>
  <c r="O544" i="3"/>
  <c r="Y544" i="3" s="1"/>
  <c r="L624" i="3"/>
  <c r="P672" i="3"/>
  <c r="R702" i="3"/>
  <c r="V730" i="3"/>
  <c r="O751" i="3"/>
  <c r="Y751" i="3" s="1"/>
  <c r="K774" i="3"/>
  <c r="O794" i="3"/>
  <c r="Y794" i="3" s="1"/>
  <c r="L809" i="3"/>
  <c r="K828" i="3"/>
  <c r="V846" i="3"/>
  <c r="S859" i="3"/>
  <c r="U873" i="3"/>
  <c r="J888" i="3"/>
  <c r="K899" i="3"/>
  <c r="M913" i="3"/>
  <c r="O927" i="3"/>
  <c r="Y927" i="3" s="1"/>
  <c r="P938" i="3"/>
  <c r="R952" i="3"/>
  <c r="T966" i="3"/>
  <c r="U977" i="3"/>
  <c r="J992" i="3"/>
  <c r="M554" i="3"/>
  <c r="Q685" i="3"/>
  <c r="T757" i="3"/>
  <c r="Q812" i="3"/>
  <c r="S845" i="3"/>
  <c r="J876" i="3"/>
  <c r="N904" i="3"/>
  <c r="S922" i="3"/>
  <c r="R941" i="3"/>
  <c r="P960" i="3"/>
  <c r="M975" i="3"/>
  <c r="K994" i="3"/>
  <c r="S989" i="3"/>
  <c r="T880" i="3"/>
  <c r="L988" i="3"/>
  <c r="U864" i="3"/>
  <c r="J518" i="3"/>
  <c r="U692" i="3"/>
  <c r="Q763" i="3"/>
  <c r="K806" i="3"/>
  <c r="P849" i="3"/>
  <c r="U878" i="3"/>
  <c r="J901" i="3"/>
  <c r="P924" i="3"/>
  <c r="N943" i="3"/>
  <c r="K958" i="3"/>
  <c r="V976" i="3"/>
  <c r="U995" i="3"/>
  <c r="O915" i="3"/>
  <c r="Y915" i="3" s="1"/>
  <c r="P952" i="3"/>
  <c r="K986" i="3"/>
  <c r="U996" i="3"/>
  <c r="N918" i="3"/>
  <c r="K965" i="3"/>
  <c r="S631" i="3"/>
  <c r="U843" i="3"/>
  <c r="T925" i="3"/>
  <c r="V979" i="3"/>
  <c r="P827" i="3"/>
  <c r="M481" i="3"/>
  <c r="O666" i="3"/>
  <c r="Y666" i="3" s="1"/>
  <c r="S745" i="3"/>
  <c r="N804" i="3"/>
  <c r="T839" i="3"/>
  <c r="T872" i="3"/>
  <c r="S909" i="3"/>
  <c r="T941" i="3"/>
  <c r="R983" i="3"/>
  <c r="T830" i="3"/>
  <c r="L576" i="3"/>
  <c r="K710" i="3"/>
  <c r="M777" i="3"/>
  <c r="R817" i="3"/>
  <c r="U856" i="3"/>
  <c r="L885" i="3"/>
  <c r="N907" i="3"/>
  <c r="T928" i="3"/>
  <c r="R947" i="3"/>
  <c r="O962" i="3"/>
  <c r="Y962" i="3" s="1"/>
  <c r="M981" i="3"/>
  <c r="V983" i="3"/>
  <c r="P794" i="3"/>
  <c r="N937" i="3"/>
  <c r="M792" i="3"/>
  <c r="T413" i="3"/>
  <c r="R680" i="3"/>
  <c r="T753" i="3"/>
  <c r="J798" i="3"/>
  <c r="M843" i="3"/>
  <c r="L874" i="3"/>
  <c r="N896" i="3"/>
  <c r="P921" i="3"/>
  <c r="O940" i="3"/>
  <c r="Y940" i="3" s="1"/>
  <c r="L955" i="3"/>
  <c r="J974" i="3"/>
  <c r="U992" i="3"/>
  <c r="N562" i="3"/>
  <c r="J704" i="3"/>
  <c r="M778" i="3"/>
  <c r="L820" i="3"/>
  <c r="T859" i="3"/>
  <c r="Q906" i="3"/>
  <c r="R939" i="3"/>
  <c r="N991" i="3"/>
  <c r="R588" i="3"/>
  <c r="K724" i="3"/>
  <c r="N796" i="3"/>
  <c r="T848" i="3"/>
  <c r="L888" i="3"/>
  <c r="Q922" i="3"/>
  <c r="S944" i="3"/>
  <c r="Q972" i="3"/>
  <c r="U998" i="3"/>
  <c r="S734" i="3"/>
  <c r="L829" i="3"/>
  <c r="N919" i="3"/>
  <c r="O589" i="3"/>
  <c r="Y589" i="3" s="1"/>
  <c r="Q757" i="3"/>
  <c r="R840" i="3"/>
  <c r="V891" i="3"/>
  <c r="U925" i="3"/>
  <c r="V966" i="3"/>
  <c r="K943" i="3"/>
  <c r="U939" i="3"/>
  <c r="N974" i="3"/>
  <c r="J962" i="3"/>
  <c r="R995" i="3"/>
  <c r="U957" i="3"/>
  <c r="V952" i="3"/>
  <c r="T976" i="3"/>
  <c r="L938" i="3"/>
  <c r="M398" i="3"/>
  <c r="N529" i="3"/>
  <c r="O479" i="3"/>
  <c r="Y479" i="3" s="1"/>
  <c r="P831" i="3"/>
  <c r="T624" i="3"/>
  <c r="J722" i="3"/>
  <c r="P497" i="3"/>
  <c r="Q649" i="3"/>
  <c r="M720" i="3"/>
  <c r="K620" i="3"/>
  <c r="Q705" i="3"/>
  <c r="N784" i="3"/>
  <c r="J852" i="3"/>
  <c r="L673" i="3"/>
  <c r="R809" i="3"/>
  <c r="L729" i="3"/>
  <c r="V826" i="3"/>
  <c r="O912" i="3"/>
  <c r="Y912" i="3" s="1"/>
  <c r="J977" i="3"/>
  <c r="T668" i="3"/>
  <c r="N807" i="3"/>
  <c r="J870" i="3"/>
  <c r="L640" i="3"/>
  <c r="O798" i="3"/>
  <c r="Y798" i="3" s="1"/>
  <c r="U876" i="3"/>
  <c r="V682" i="3"/>
  <c r="V814" i="3"/>
  <c r="M889" i="3"/>
  <c r="V956" i="3"/>
  <c r="U708" i="3"/>
  <c r="P928" i="3"/>
  <c r="U997" i="3"/>
  <c r="L592" i="3"/>
  <c r="R909" i="3"/>
  <c r="P997" i="3"/>
  <c r="M932" i="3"/>
  <c r="T522" i="3"/>
  <c r="O881" i="3"/>
  <c r="Y881" i="3" s="1"/>
  <c r="U637" i="3"/>
  <c r="P865" i="3"/>
  <c r="U987" i="3"/>
  <c r="V703" i="3"/>
  <c r="V904" i="3"/>
  <c r="T979" i="3"/>
  <c r="U833" i="3"/>
  <c r="T743" i="3"/>
  <c r="L979" i="3"/>
  <c r="U783" i="3"/>
  <c r="O969" i="3"/>
  <c r="Y969" i="3" s="1"/>
  <c r="M965" i="3"/>
  <c r="M400" i="3"/>
  <c r="O588" i="3"/>
  <c r="Y588" i="3" s="1"/>
  <c r="R664" i="3"/>
  <c r="S396" i="3"/>
  <c r="N654" i="3"/>
  <c r="T736" i="3"/>
  <c r="R545" i="3"/>
  <c r="Q684" i="3"/>
  <c r="Q497" i="3"/>
  <c r="R649" i="3"/>
  <c r="P734" i="3"/>
  <c r="K799" i="3"/>
  <c r="V550" i="3"/>
  <c r="J753" i="3"/>
  <c r="V622" i="3"/>
  <c r="K794" i="3"/>
  <c r="T887" i="3"/>
  <c r="Q966" i="3"/>
  <c r="V700" i="3"/>
  <c r="T841" i="3"/>
  <c r="S567" i="3"/>
  <c r="V779" i="3"/>
  <c r="P877" i="3"/>
  <c r="L684" i="3"/>
  <c r="T815" i="3"/>
  <c r="T878" i="3"/>
  <c r="Q957" i="3"/>
  <c r="T711" i="3"/>
  <c r="N929" i="3"/>
  <c r="Q749" i="3"/>
  <c r="T718" i="3"/>
  <c r="U910" i="3"/>
  <c r="V862" i="3"/>
  <c r="U933" i="3"/>
  <c r="T885" i="3"/>
  <c r="U883" i="3"/>
  <c r="J736" i="3"/>
  <c r="P916" i="3"/>
  <c r="R691" i="3"/>
  <c r="M775" i="3"/>
  <c r="S961" i="3"/>
  <c r="Q835" i="3"/>
  <c r="N658" i="3"/>
  <c r="Q954" i="3"/>
  <c r="M960" i="3"/>
  <c r="R986" i="3"/>
  <c r="K998" i="3"/>
  <c r="U296" i="3"/>
  <c r="U443" i="3"/>
  <c r="R365" i="3"/>
  <c r="S436" i="3"/>
  <c r="M413" i="3"/>
  <c r="K268" i="3"/>
  <c r="Q404" i="3"/>
  <c r="P344" i="3"/>
  <c r="M519" i="3"/>
  <c r="U564" i="3"/>
  <c r="N623" i="3"/>
  <c r="V386" i="3"/>
  <c r="S513" i="3"/>
  <c r="O575" i="3"/>
  <c r="Y575" i="3" s="1"/>
  <c r="L630" i="3"/>
  <c r="K376" i="3"/>
  <c r="S528" i="3"/>
  <c r="P583" i="3"/>
  <c r="T627" i="3"/>
  <c r="O432" i="3"/>
  <c r="Y432" i="3" s="1"/>
  <c r="K538" i="3"/>
  <c r="O582" i="3"/>
  <c r="Y582" i="3" s="1"/>
  <c r="U640" i="3"/>
  <c r="S464" i="3"/>
  <c r="N536" i="3"/>
  <c r="M543" i="3"/>
  <c r="R657" i="3"/>
  <c r="U521" i="3"/>
  <c r="K649" i="3"/>
  <c r="M710" i="3"/>
  <c r="Q754" i="3"/>
  <c r="J813" i="3"/>
  <c r="U830" i="3"/>
  <c r="V841" i="3"/>
  <c r="V316" i="3"/>
  <c r="Q489" i="3"/>
  <c r="R530" i="3"/>
  <c r="V566" i="3"/>
  <c r="M595" i="3"/>
  <c r="O617" i="3"/>
  <c r="Y617" i="3" s="1"/>
  <c r="S645" i="3"/>
  <c r="U667" i="3"/>
  <c r="V678" i="3"/>
  <c r="K693" i="3"/>
  <c r="M707" i="3"/>
  <c r="N718" i="3"/>
  <c r="P732" i="3"/>
  <c r="R746" i="3"/>
  <c r="S757" i="3"/>
  <c r="U771" i="3"/>
  <c r="Q355" i="3"/>
  <c r="P479" i="3"/>
  <c r="J534" i="3"/>
  <c r="Q569" i="3"/>
  <c r="S591" i="3"/>
  <c r="J620" i="3"/>
  <c r="N648" i="3"/>
  <c r="K666" i="3"/>
  <c r="M680" i="3"/>
  <c r="O694" i="3"/>
  <c r="Y694" i="3" s="1"/>
  <c r="P705" i="3"/>
  <c r="R719" i="3"/>
  <c r="T733" i="3"/>
  <c r="U744" i="3"/>
  <c r="N475" i="3"/>
  <c r="S532" i="3"/>
  <c r="M562" i="3"/>
  <c r="Q590" i="3"/>
  <c r="U618" i="3"/>
  <c r="J641" i="3"/>
  <c r="Q665" i="3"/>
  <c r="S679" i="3"/>
  <c r="T690" i="3"/>
  <c r="V704" i="3"/>
  <c r="K719" i="3"/>
  <c r="L730" i="3"/>
  <c r="N744" i="3"/>
  <c r="P758" i="3"/>
  <c r="Q769" i="3"/>
  <c r="S783" i="3"/>
  <c r="U797" i="3"/>
  <c r="V808" i="3"/>
  <c r="K823" i="3"/>
  <c r="M837" i="3"/>
  <c r="N848" i="3"/>
  <c r="L518" i="3"/>
  <c r="U605" i="3"/>
  <c r="N663" i="3"/>
  <c r="U695" i="3"/>
  <c r="L724" i="3"/>
  <c r="K746" i="3"/>
  <c r="R768" i="3"/>
  <c r="V789" i="3"/>
  <c r="S804" i="3"/>
  <c r="Q823" i="3"/>
  <c r="N533" i="3"/>
  <c r="S599" i="3"/>
  <c r="S668" i="3"/>
  <c r="R699" i="3"/>
  <c r="T721" i="3"/>
  <c r="L749" i="3"/>
  <c r="S771" i="3"/>
  <c r="N788" i="3"/>
  <c r="M807" i="3"/>
  <c r="K826" i="3"/>
  <c r="U840" i="3"/>
  <c r="M858" i="3"/>
  <c r="O872" i="3"/>
  <c r="Y872" i="3" s="1"/>
  <c r="P883" i="3"/>
  <c r="R897" i="3"/>
  <c r="T911" i="3"/>
  <c r="U922" i="3"/>
  <c r="J937" i="3"/>
  <c r="L951" i="3"/>
  <c r="M962" i="3"/>
  <c r="O976" i="3"/>
  <c r="Y976" i="3" s="1"/>
  <c r="Q990" i="3"/>
  <c r="S897" i="3"/>
  <c r="O500" i="3"/>
  <c r="Y500" i="3" s="1"/>
  <c r="K597" i="3"/>
  <c r="L656" i="3"/>
  <c r="N692" i="3"/>
  <c r="R720" i="3"/>
  <c r="T742" i="3"/>
  <c r="J766" i="3"/>
  <c r="R787" i="3"/>
  <c r="O802" i="3"/>
  <c r="Y802" i="3" s="1"/>
  <c r="N821" i="3"/>
  <c r="L840" i="3"/>
  <c r="R854" i="3"/>
  <c r="O869" i="3"/>
  <c r="Y869" i="3" s="1"/>
  <c r="Q883" i="3"/>
  <c r="R894" i="3"/>
  <c r="L279" i="3"/>
  <c r="J561" i="3"/>
  <c r="P620" i="3"/>
  <c r="S678" i="3"/>
  <c r="P707" i="3"/>
  <c r="R729" i="3"/>
  <c r="N755" i="3"/>
  <c r="U777" i="3"/>
  <c r="P793" i="3"/>
  <c r="N812" i="3"/>
  <c r="M831" i="3"/>
  <c r="J846" i="3"/>
  <c r="K862" i="3"/>
  <c r="M876" i="3"/>
  <c r="N887" i="3"/>
  <c r="P901" i="3"/>
  <c r="Q371" i="3"/>
  <c r="K548" i="3"/>
  <c r="Q627" i="3"/>
  <c r="S681" i="3"/>
  <c r="U703" i="3"/>
  <c r="L732" i="3"/>
  <c r="O757" i="3"/>
  <c r="Y757" i="3" s="1"/>
  <c r="L775" i="3"/>
  <c r="M795" i="3"/>
  <c r="K814" i="3"/>
  <c r="U828" i="3"/>
  <c r="T847" i="3"/>
  <c r="O863" i="3"/>
  <c r="Y863" i="3" s="1"/>
  <c r="P874" i="3"/>
  <c r="R888" i="3"/>
  <c r="T902" i="3"/>
  <c r="U913" i="3"/>
  <c r="J928" i="3"/>
  <c r="L942" i="3"/>
  <c r="M953" i="3"/>
  <c r="O967" i="3"/>
  <c r="Y967" i="3" s="1"/>
  <c r="Q981" i="3"/>
  <c r="R992" i="3"/>
  <c r="M565" i="3"/>
  <c r="M705" i="3"/>
  <c r="Q760" i="3"/>
  <c r="O814" i="3"/>
  <c r="Y814" i="3" s="1"/>
  <c r="K855" i="3"/>
  <c r="M877" i="3"/>
  <c r="Q905" i="3"/>
  <c r="R927" i="3"/>
  <c r="O942" i="3"/>
  <c r="Y942" i="3" s="1"/>
  <c r="N961" i="3"/>
  <c r="L980" i="3"/>
  <c r="V994" i="3"/>
  <c r="R994" i="3"/>
  <c r="K920" i="3"/>
  <c r="M992" i="3"/>
  <c r="T869" i="3"/>
  <c r="P582" i="3"/>
  <c r="T695" i="3"/>
  <c r="O766" i="3"/>
  <c r="Y766" i="3" s="1"/>
  <c r="M819" i="3"/>
  <c r="K851" i="3"/>
  <c r="K880" i="3"/>
  <c r="O908" i="3"/>
  <c r="Y908" i="3" s="1"/>
  <c r="M925" i="3"/>
  <c r="L944" i="3"/>
  <c r="J963" i="3"/>
  <c r="T977" i="3"/>
  <c r="R996" i="3"/>
  <c r="O925" i="3"/>
  <c r="Y925" i="3" s="1"/>
  <c r="N953" i="3"/>
  <c r="T987" i="3"/>
  <c r="U870" i="3"/>
  <c r="V919" i="3"/>
  <c r="L969" i="3"/>
  <c r="O704" i="3"/>
  <c r="Y704" i="3" s="1"/>
  <c r="O850" i="3"/>
  <c r="Y850" i="3" s="1"/>
  <c r="M928" i="3"/>
  <c r="J998" i="3"/>
  <c r="J839" i="3"/>
  <c r="L503" i="3"/>
  <c r="R689" i="3"/>
  <c r="V747" i="3"/>
  <c r="L806" i="3"/>
  <c r="R849" i="3"/>
  <c r="J874" i="3"/>
  <c r="L912" i="3"/>
  <c r="R951" i="3"/>
  <c r="N985" i="3"/>
  <c r="P857" i="3"/>
  <c r="T628" i="3"/>
  <c r="J713" i="3"/>
  <c r="L780" i="3"/>
  <c r="J830" i="3"/>
  <c r="K858" i="3"/>
  <c r="O886" i="3"/>
  <c r="Y886" i="3" s="1"/>
  <c r="R914" i="3"/>
  <c r="Q929" i="3"/>
  <c r="P948" i="3"/>
  <c r="N967" i="3"/>
  <c r="K982" i="3"/>
  <c r="U988" i="3"/>
  <c r="V838" i="3"/>
  <c r="O941" i="3"/>
  <c r="Y941" i="3" s="1"/>
  <c r="Q803" i="3"/>
  <c r="N549" i="3"/>
  <c r="M684" i="3"/>
  <c r="S756" i="3"/>
  <c r="K811" i="3"/>
  <c r="U844" i="3"/>
  <c r="O875" i="3"/>
  <c r="Y875" i="3" s="1"/>
  <c r="S903" i="3"/>
  <c r="N922" i="3"/>
  <c r="L941" i="3"/>
  <c r="K960" i="3"/>
  <c r="U974" i="3"/>
  <c r="S993" i="3"/>
  <c r="P614" i="3"/>
  <c r="R707" i="3"/>
  <c r="N780" i="3"/>
  <c r="M832" i="3"/>
  <c r="J861" i="3"/>
  <c r="J909" i="3"/>
  <c r="K951" i="3"/>
  <c r="V992" i="3"/>
  <c r="N624" i="3"/>
  <c r="V733" i="3"/>
  <c r="N805" i="3"/>
  <c r="L856" i="3"/>
  <c r="K893" i="3"/>
  <c r="R926" i="3"/>
  <c r="L947" i="3"/>
  <c r="J975" i="3"/>
  <c r="P377" i="3"/>
  <c r="Q752" i="3"/>
  <c r="O837" i="3"/>
  <c r="Y837" i="3" s="1"/>
  <c r="P932" i="3"/>
  <c r="L608" i="3"/>
  <c r="P770" i="3"/>
  <c r="U848" i="3"/>
  <c r="U896" i="3"/>
  <c r="N928" i="3"/>
  <c r="P973" i="3"/>
  <c r="M956" i="3"/>
  <c r="T985" i="3"/>
  <c r="U980" i="3"/>
  <c r="Q968" i="3"/>
  <c r="P996" i="3"/>
  <c r="M997" i="3"/>
  <c r="M979" i="3"/>
  <c r="N983" i="3"/>
  <c r="J971" i="3"/>
  <c r="U393" i="3"/>
  <c r="K428" i="3"/>
  <c r="T351" i="3"/>
  <c r="U524" i="3"/>
  <c r="R579" i="3"/>
  <c r="V623" i="3"/>
  <c r="R405" i="3"/>
  <c r="S531" i="3"/>
  <c r="P634" i="3"/>
  <c r="T587" i="3"/>
  <c r="L597" i="3"/>
  <c r="J545" i="3"/>
  <c r="Q714" i="3"/>
  <c r="V491" i="3"/>
  <c r="R682" i="3"/>
  <c r="P772" i="3"/>
  <c r="T669" i="3"/>
  <c r="N534" i="3"/>
  <c r="S719" i="3"/>
  <c r="R812" i="3"/>
  <c r="K697" i="3"/>
  <c r="J538" i="3"/>
  <c r="M793" i="3"/>
  <c r="M898" i="3"/>
  <c r="M911" i="3"/>
  <c r="J767" i="3"/>
  <c r="V898" i="3"/>
  <c r="V778" i="3"/>
  <c r="K902" i="3"/>
  <c r="V780" i="3"/>
  <c r="O903" i="3"/>
  <c r="Y903" i="3" s="1"/>
  <c r="R572" i="3"/>
  <c r="K962" i="3"/>
  <c r="P715" i="3"/>
  <c r="S982" i="3"/>
  <c r="M714" i="3"/>
  <c r="V692" i="3"/>
  <c r="V995" i="3"/>
  <c r="R887" i="3"/>
  <c r="L992" i="3"/>
  <c r="P813" i="3"/>
  <c r="U621" i="3"/>
  <c r="O641" i="3"/>
  <c r="Y641" i="3" s="1"/>
  <c r="O950" i="3"/>
  <c r="Y950" i="3" s="1"/>
  <c r="M899" i="3"/>
  <c r="J980" i="3"/>
  <c r="S958" i="3"/>
  <c r="U437" i="3"/>
  <c r="V434" i="3"/>
  <c r="P423" i="3"/>
  <c r="P525" i="3"/>
  <c r="V583" i="3"/>
  <c r="S638" i="3"/>
  <c r="T407" i="3"/>
  <c r="J455" i="3"/>
  <c r="J485" i="3"/>
  <c r="M656" i="3"/>
  <c r="N570" i="3"/>
  <c r="K832" i="3"/>
  <c r="J626" i="3"/>
  <c r="R722" i="3"/>
  <c r="V499" i="3"/>
  <c r="O670" i="3"/>
  <c r="Y670" i="3" s="1"/>
  <c r="J735" i="3"/>
  <c r="U669" i="3"/>
  <c r="R748" i="3"/>
  <c r="O827" i="3"/>
  <c r="Y827" i="3" s="1"/>
  <c r="P704" i="3"/>
  <c r="S324" i="3"/>
  <c r="K756" i="3"/>
  <c r="Q862" i="3"/>
  <c r="N941" i="3"/>
  <c r="O603" i="3"/>
  <c r="Y603" i="3" s="1"/>
  <c r="L808" i="3"/>
  <c r="T459" i="3"/>
  <c r="M762" i="3"/>
  <c r="R891" i="3"/>
  <c r="N759" i="3"/>
  <c r="J904" i="3"/>
  <c r="K779" i="3"/>
  <c r="S1000" i="3"/>
  <c r="O823" i="3"/>
  <c r="Y823" i="3" s="1"/>
  <c r="S928" i="3"/>
  <c r="R949" i="3"/>
  <c r="S821" i="3"/>
  <c r="Q647" i="3"/>
  <c r="L954" i="3"/>
  <c r="V568" i="3"/>
  <c r="K928" i="3"/>
  <c r="M796" i="3"/>
  <c r="P757" i="3"/>
  <c r="M983" i="3"/>
  <c r="J678" i="3"/>
  <c r="P982" i="3"/>
  <c r="V943" i="3"/>
  <c r="Y34" i="3"/>
  <c r="Y23" i="3"/>
  <c r="R17" i="1"/>
  <c r="Y26" i="3"/>
  <c r="Y31" i="3"/>
  <c r="Y43" i="3"/>
  <c r="Y59" i="3"/>
  <c r="Y64" i="3"/>
  <c r="Y79" i="3"/>
  <c r="Y62" i="3"/>
  <c r="Y21" i="3"/>
  <c r="Y45" i="3"/>
  <c r="Y104" i="3"/>
  <c r="Y8" i="3"/>
  <c r="Y99" i="3"/>
  <c r="Y75" i="3"/>
  <c r="Y37" i="3"/>
  <c r="Y73" i="3"/>
  <c r="Y93" i="3"/>
  <c r="Y30" i="3"/>
  <c r="Y182" i="3"/>
  <c r="Y187" i="3"/>
  <c r="Y143" i="3"/>
  <c r="Y71" i="3"/>
  <c r="Y116" i="3"/>
  <c r="Y168" i="3"/>
  <c r="Y110" i="3"/>
  <c r="Y69" i="3"/>
  <c r="Y155" i="3"/>
  <c r="Y14" i="3"/>
  <c r="Y123" i="3"/>
  <c r="Y183" i="3"/>
  <c r="Y160" i="3"/>
  <c r="Y100" i="3"/>
  <c r="Y125" i="3"/>
  <c r="Y244" i="3"/>
  <c r="Y207" i="3"/>
  <c r="Y170" i="3"/>
  <c r="Y105" i="3"/>
  <c r="Y77" i="3"/>
  <c r="Y151" i="3"/>
  <c r="Y164" i="3"/>
  <c r="Y147" i="3"/>
  <c r="Y163" i="3"/>
  <c r="Y162" i="3"/>
  <c r="Y203" i="3"/>
  <c r="Y159" i="3"/>
  <c r="Y236" i="3"/>
  <c r="Y173" i="3"/>
  <c r="Y184" i="3"/>
  <c r="Y252" i="3"/>
  <c r="Y177" i="3"/>
  <c r="Y301" i="3"/>
  <c r="Y298" i="3"/>
  <c r="Y117" i="3"/>
  <c r="Y240" i="3"/>
  <c r="Y277" i="3"/>
  <c r="Y243" i="3"/>
  <c r="Y149" i="3"/>
  <c r="Y248" i="3"/>
  <c r="Y369" i="3"/>
  <c r="Y370" i="3"/>
  <c r="Y434" i="3"/>
  <c r="Y280" i="3"/>
  <c r="Y309" i="3"/>
  <c r="Y295" i="3"/>
  <c r="Y345" i="3"/>
  <c r="Y121" i="3"/>
  <c r="Y296" i="3"/>
  <c r="Y357" i="3"/>
  <c r="Y323" i="3"/>
  <c r="Y114" i="3"/>
  <c r="Y214" i="3"/>
  <c r="Y253" i="3"/>
  <c r="Y226" i="3"/>
  <c r="Y270" i="3"/>
  <c r="Y383" i="3"/>
  <c r="Y354" i="3"/>
  <c r="Y109" i="3"/>
  <c r="Y218" i="3"/>
  <c r="Y256" i="3"/>
  <c r="Y234" i="3"/>
  <c r="Y190" i="3"/>
  <c r="Y259" i="3"/>
  <c r="Y451" i="3"/>
  <c r="Y332" i="3"/>
  <c r="Y457" i="3"/>
  <c r="Y504" i="3"/>
  <c r="Y318" i="3"/>
  <c r="Y495" i="3"/>
  <c r="Y291" i="3"/>
  <c r="Y394" i="3"/>
  <c r="Y356" i="3"/>
  <c r="Y398" i="3"/>
  <c r="Y366" i="3"/>
  <c r="Y316" i="3"/>
  <c r="Y391" i="3"/>
  <c r="Y481" i="3"/>
  <c r="Y204" i="3"/>
  <c r="Y281" i="3"/>
  <c r="Y402" i="3"/>
  <c r="Y474" i="3"/>
  <c r="Y390" i="3"/>
  <c r="Y319" i="3"/>
  <c r="Y368" i="3"/>
  <c r="Y399" i="3"/>
  <c r="Y196" i="3"/>
  <c r="Y363" i="3"/>
  <c r="Y468" i="3"/>
  <c r="Y404" i="3"/>
  <c r="Y534" i="3"/>
  <c r="Y558" i="3"/>
  <c r="Y328" i="3"/>
  <c r="Y505" i="3"/>
  <c r="Y518" i="3"/>
  <c r="Y375" i="3"/>
  <c r="Y396" i="3"/>
  <c r="Y447" i="3"/>
  <c r="Y606" i="3"/>
  <c r="Y640" i="3"/>
  <c r="Y570" i="3"/>
  <c r="Y540" i="3"/>
  <c r="Y276" i="3"/>
  <c r="Y450" i="3"/>
  <c r="Y484" i="3"/>
  <c r="Y463" i="3"/>
  <c r="Y489" i="3"/>
  <c r="Y347" i="3"/>
  <c r="Y626" i="3"/>
  <c r="Y783" i="3"/>
  <c r="Y756" i="3"/>
  <c r="Y966" i="3"/>
  <c r="Y647" i="3"/>
  <c r="Y596" i="3"/>
  <c r="Y716" i="3"/>
  <c r="Y982" i="3"/>
  <c r="Y522" i="3"/>
  <c r="Y740" i="3"/>
  <c r="Y453" i="3"/>
  <c r="Y446" i="3"/>
  <c r="Y569" i="3"/>
  <c r="Y477" i="3"/>
  <c r="Y602" i="3"/>
  <c r="Y302" i="3"/>
  <c r="Y564" i="3"/>
  <c r="Y478" i="3"/>
  <c r="Y889" i="3"/>
  <c r="Y644" i="3"/>
  <c r="Y546" i="3"/>
  <c r="Y13" i="3"/>
  <c r="Y53" i="3"/>
  <c r="Y50" i="3"/>
  <c r="Y7" i="3"/>
  <c r="Y55" i="3"/>
  <c r="Y74" i="3"/>
  <c r="Y17" i="3"/>
  <c r="Y19" i="3"/>
  <c r="Y101" i="3"/>
  <c r="Y56" i="3"/>
  <c r="Y9" i="3"/>
  <c r="Y84" i="3"/>
  <c r="Y108" i="3"/>
  <c r="Y80" i="3"/>
  <c r="Y88" i="3"/>
  <c r="Y52" i="3"/>
  <c r="Y51" i="3"/>
  <c r="Y144" i="3"/>
  <c r="Y137" i="3"/>
  <c r="Y152" i="3"/>
  <c r="Y148" i="3"/>
  <c r="Y98" i="3"/>
  <c r="Y212" i="3"/>
  <c r="Y260" i="3"/>
  <c r="Y257" i="3"/>
  <c r="Y230" i="3"/>
  <c r="Y238" i="3"/>
  <c r="Y211" i="3"/>
  <c r="Y205" i="3"/>
  <c r="Y202" i="3"/>
  <c r="Y235" i="3"/>
  <c r="Y331" i="3"/>
  <c r="Y304" i="3"/>
  <c r="Y320" i="3"/>
  <c r="Y229" i="3"/>
  <c r="Y269" i="3"/>
  <c r="Y274" i="3"/>
  <c r="Y314" i="3"/>
  <c r="Y279" i="3"/>
  <c r="Y210" i="3"/>
  <c r="Y268" i="3"/>
  <c r="Y263" i="3"/>
  <c r="Y373" i="3"/>
  <c r="Y348" i="3"/>
  <c r="Y353" i="3"/>
  <c r="Y346" i="3"/>
  <c r="Y289" i="3"/>
  <c r="Y465" i="3"/>
  <c r="Y278" i="3"/>
  <c r="Y440" i="3"/>
  <c r="Y566" i="3"/>
  <c r="Y418" i="3"/>
  <c r="Y491" i="3"/>
  <c r="Y507" i="3"/>
  <c r="Y362" i="3"/>
  <c r="Y409" i="3"/>
  <c r="Y533" i="3"/>
  <c r="Y445" i="3"/>
  <c r="Y482" i="3"/>
  <c r="Y490" i="3"/>
  <c r="Y459" i="3"/>
  <c r="Y535" i="3"/>
  <c r="Y590" i="3"/>
  <c r="Y421" i="3"/>
  <c r="Y476" i="3"/>
  <c r="Y556" i="3"/>
  <c r="Y599" i="3"/>
  <c r="Y995" i="3"/>
  <c r="Y40" i="3"/>
  <c r="Y219" i="3"/>
  <c r="Y197" i="3"/>
  <c r="Y245" i="3"/>
  <c r="Y18" i="3"/>
  <c r="Y42" i="3"/>
  <c r="Y35" i="3"/>
  <c r="Y70" i="3"/>
  <c r="Y78" i="3"/>
  <c r="Y28" i="3"/>
  <c r="I45" i="3" a="1"/>
  <c r="I45" i="3" s="1"/>
  <c r="Y41" i="3"/>
  <c r="Y92" i="3"/>
  <c r="Y133" i="3"/>
  <c r="Y141" i="3"/>
  <c r="Y90" i="3"/>
  <c r="Y129" i="3"/>
  <c r="Y111" i="3"/>
  <c r="Y180" i="3"/>
  <c r="Y103" i="3"/>
  <c r="Y126" i="3"/>
  <c r="Y130" i="3"/>
  <c r="Y140" i="3"/>
  <c r="Y178" i="3"/>
  <c r="Y288" i="3"/>
  <c r="Y91" i="3"/>
  <c r="Y167" i="3"/>
  <c r="Y213" i="3"/>
  <c r="Y237" i="3"/>
  <c r="Y285" i="3"/>
  <c r="Y86" i="3"/>
  <c r="Y228" i="3"/>
  <c r="Y340" i="3"/>
  <c r="Y222" i="3"/>
  <c r="Y290" i="3"/>
  <c r="Y306" i="3"/>
  <c r="Y405" i="3"/>
  <c r="Y198" i="3"/>
  <c r="Y266" i="3"/>
  <c r="Y330" i="3"/>
  <c r="Y87" i="3"/>
  <c r="Y271" i="3"/>
  <c r="Y303" i="3"/>
  <c r="Y449" i="3"/>
  <c r="Y422" i="3"/>
  <c r="Y466" i="3"/>
  <c r="Y467" i="3"/>
  <c r="Y486" i="3"/>
  <c r="Y502" i="3"/>
  <c r="Y550" i="3"/>
  <c r="Y475" i="3"/>
  <c r="Y483" i="3"/>
  <c r="Y525" i="3"/>
  <c r="Y645" i="3"/>
  <c r="Y283" i="3"/>
  <c r="Y652" i="3"/>
  <c r="Y679" i="3"/>
  <c r="Y112" i="3"/>
  <c r="Y325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<sst xmlns="http://schemas.openxmlformats.org/spreadsheetml/2006/main" count="494" uniqueCount="281">
  <si>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</si>
  <si>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</si>
  <si>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</si>
  <si>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</si>
  <si>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</si>
  <si>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</si>
  <si>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</si>
  <si>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</si>
  <si>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</si>
  <si>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</si>
  <si>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</si>
  <si>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</si>
  <si>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</si>
  <si>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</si>
  <si>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</si>
  <si>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</si>
  <si>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</si>
  <si>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</si>
  <si>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</si>
  <si>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</si>
  <si>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</si>
  <si>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</si>
  <si>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</si>
  <si>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</si>
  <si>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</si>
  <si>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</si>
  <si>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</si>
  <si>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</si>
  <si>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</si>
  <si>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</si>
  <si>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</si>
  <si>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</si>
  <si>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</si>
  <si>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</si>
  <si>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</si>
  <si>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</si>
  <si>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</si>
  <si>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</si>
  <si>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</si>
  <si>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</si>
  <si>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</si>
  <si>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</si>
  <si>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</si>
  <si>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</si>
  <si>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</si>
  <si>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</si>
  <si>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</si>
  <si>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</si>
  <si>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</si>
  <si>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</si>
  <si>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</si>
  <si>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</si>
  <si>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</si>
  <si>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</si>
  <si>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</si>
  <si>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</si>
  <si>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</si>
  <si>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</si>
  <si>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</si>
  <si>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</si>
  <si>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</si>
  <si>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</si>
  <si>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</si>
  <si>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</si>
  <si>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</si>
  <si>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</si>
  <si>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</si>
  <si>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</si>
  <si>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</si>
  <si>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</si>
  <si>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</si>
  <si>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</si>
  <si>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</si>
  <si>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</si>
  <si>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</si>
  <si>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</si>
  <si>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</si>
  <si>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</si>
  <si>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</si>
  <si>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</si>
  <si>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</si>
  <si>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</si>
  <si>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</si>
  <si>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</si>
  <si>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</si>
  <si>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</si>
  <si>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</si>
  <si>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</si>
  <si>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</si>
  <si>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</si>
  <si>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</si>
  <si>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</si>
  <si>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</si>
  <si>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</si>
  <si>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</si>
  <si>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</si>
  <si>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</si>
  <si>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</si>
  <si>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</si>
  <si>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</si>
  <si>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</si>
  <si>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</si>
  <si>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</si>
  <si>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</si>
  <si>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</si>
  <si>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</si>
  <si>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</si>
  <si>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</si>
  <si>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</si>
  <si>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</si>
  <si>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</si>
  <si>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</si>
  <si>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</si>
  <si>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</si>
  <si>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</si>
  <si>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</si>
  <si>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</si>
  <si>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</si>
  <si>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</si>
  <si>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</si>
  <si>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</si>
  <si>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</si>
  <si>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</si>
  <si>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</si>
  <si>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</si>
  <si>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</si>
  <si>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</si>
  <si>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</si>
  <si>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</si>
  <si>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</si>
  <si>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</si>
  <si>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</si>
  <si>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</si>
  <si>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</si>
  <si>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</si>
  <si>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</si>
  <si>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</si>
  <si>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</si>
  <si>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</si>
  <si>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</si>
  <si>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</si>
  <si>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</si>
  <si>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</si>
  <si>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</si>
  <si>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</si>
  <si>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</si>
  <si>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</si>
  <si>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</si>
  <si>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</si>
  <si>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</si>
  <si>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</si>
  <si>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</si>
  <si>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</si>
  <si>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</si>
  <si>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</si>
  <si>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</si>
  <si>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</si>
  <si>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</si>
  <si>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</si>
  <si>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</si>
  <si>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</si>
  <si>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</si>
  <si>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</si>
  <si>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</si>
  <si>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</si>
  <si>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</si>
  <si>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</si>
  <si>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</si>
  <si>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</si>
  <si>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</si>
  <si>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</si>
  <si>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</si>
  <si>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</si>
  <si>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</si>
  <si>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</si>
  <si>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</si>
  <si>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</si>
  <si>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</si>
  <si>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</si>
  <si>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</si>
  <si>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</si>
  <si>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</si>
  <si>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</si>
  <si>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</si>
  <si>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</si>
  <si>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</si>
  <si>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</si>
  <si>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</si>
  <si>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</si>
  <si>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</si>
  <si>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</si>
  <si>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</si>
  <si>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</si>
  <si>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</si>
  <si>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</si>
  <si>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</si>
  <si>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</si>
  <si>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</si>
  <si>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</si>
  <si>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</si>
  <si>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</si>
  <si>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</si>
  <si>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</si>
  <si>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</si>
  <si>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</si>
  <si>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</si>
  <si>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</si>
  <si>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</si>
  <si>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</si>
  <si>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</si>
  <si>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</si>
  <si>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</si>
  <si>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</si>
  <si>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</si>
  <si>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</si>
  <si>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</si>
  <si>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</si>
  <si>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</si>
  <si>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</si>
  <si>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</si>
  <si>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</si>
  <si>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</si>
  <si>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</si>
  <si>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</si>
  <si>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</si>
  <si>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</si>
  <si>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</si>
  <si>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</si>
  <si>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</si>
  <si>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</si>
  <si>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</si>
  <si>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</si>
  <si>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</si>
  <si>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</si>
  <si>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</si>
  <si>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</si>
  <si>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</si>
  <si>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</si>
  <si>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</si>
  <si>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</si>
  <si>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</si>
  <si>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</si>
  <si>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</si>
  <si>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</si>
  <si>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</si>
  <si>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</si>
  <si>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</si>
  <si>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</si>
  <si>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</si>
  <si>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</si>
  <si>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</si>
  <si>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</si>
  <si>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</si>
  <si>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</si>
  <si>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</si>
  <si>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</si>
  <si>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</si>
  <si>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</si>
  <si>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</si>
  <si>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</si>
  <si>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</si>
  <si>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</si>
  <si>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</si>
  <si>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</si>
  <si>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</si>
  <si>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</si>
  <si>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</si>
  <si>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</si>
  <si>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</si>
  <si>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</si>
  <si>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</si>
  <si>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</si>
  <si>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</si>
  <si>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</si>
  <si>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Green manure</t>
  </si>
  <si>
    <t>linocln</t>
  </si>
  <si>
    <t>pukekohe</t>
  </si>
  <si>
    <t>hastings</t>
  </si>
  <si>
    <t>gore</t>
  </si>
  <si>
    <t>levin</t>
  </si>
  <si>
    <t>Green_manure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</si>
</sst>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13.182322969874184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36.489002113413072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117.89819650922655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185.83962661801661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167.16170094497593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2.026289583284667</c:v>
                </c:pt>
                <c:pt idx="1">
                  <c:v>178.27882738099373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31.603973944812481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2.0262895832845516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145.6</c:v>
                </c:pt>
                <c:pt idx="1">
                  <c:v>0</c:v>
                </c:pt>
                <c:pt idx="2">
                  <c:v>2.026289583284667</c:v>
                </c:pt>
                <c:pt idx="3">
                  <c:v>2.026289583284667</c:v>
                </c:pt>
                <c:pt idx="4">
                  <c:v>2.026289583284667</c:v>
                </c:pt>
                <c:pt idx="5">
                  <c:v>2.026289583284667</c:v>
                </c:pt>
                <c:pt idx="6">
                  <c:v>2.026289583284667</c:v>
                </c:pt>
                <c:pt idx="7">
                  <c:v>2.026289583284667</c:v>
                </c:pt>
                <c:pt idx="8">
                  <c:v>2.026289583284667</c:v>
                </c:pt>
                <c:pt idx="9">
                  <c:v>2.026289583284667</c:v>
                </c:pt>
                <c:pt idx="10">
                  <c:v>2.026289583284667</c:v>
                </c:pt>
                <c:pt idx="11">
                  <c:v>2.026289583284667</c:v>
                </c:pt>
                <c:pt idx="12">
                  <c:v>2.026289583284667</c:v>
                </c:pt>
                <c:pt idx="13">
                  <c:v>2.026289583284667</c:v>
                </c:pt>
                <c:pt idx="14">
                  <c:v>2.026289583284667</c:v>
                </c:pt>
                <c:pt idx="15">
                  <c:v>2.026289583284667</c:v>
                </c:pt>
                <c:pt idx="16">
                  <c:v>2.0735733315503353</c:v>
                </c:pt>
                <c:pt idx="17">
                  <c:v>2.1513855493116947</c:v>
                </c:pt>
                <c:pt idx="18">
                  <c:v>2.2304832977741338</c:v>
                </c:pt>
                <c:pt idx="19">
                  <c:v>2.3149305638677991</c:v>
                </c:pt>
                <c:pt idx="20">
                  <c:v>2.4046513196343935</c:v>
                </c:pt>
                <c:pt idx="21">
                  <c:v>2.501620832506255</c:v>
                </c:pt>
                <c:pt idx="22">
                  <c:v>2.6048410138743985</c:v>
                </c:pt>
                <c:pt idx="23">
                  <c:v>2.702923485952367</c:v>
                </c:pt>
                <c:pt idx="24">
                  <c:v>2.8004082425420838</c:v>
                </c:pt>
                <c:pt idx="25">
                  <c:v>2.9021459133889906</c:v>
                </c:pt>
                <c:pt idx="26">
                  <c:v>3.0064016689173978</c:v>
                </c:pt>
                <c:pt idx="27">
                  <c:v>3.1130646489057789</c:v>
                </c:pt>
                <c:pt idx="28">
                  <c:v>3.2200508062765505</c:v>
                </c:pt>
                <c:pt idx="29">
                  <c:v>3.3318092218458655</c:v>
                </c:pt>
                <c:pt idx="30">
                  <c:v>3.4494922403842119</c:v>
                </c:pt>
                <c:pt idx="31">
                  <c:v>3.5669569281702875</c:v>
                </c:pt>
                <c:pt idx="32">
                  <c:v>3.6847436838983509</c:v>
                </c:pt>
                <c:pt idx="33">
                  <c:v>3.8003254920921443</c:v>
                </c:pt>
                <c:pt idx="34">
                  <c:v>3.921413233888726</c:v>
                </c:pt>
                <c:pt idx="35">
                  <c:v>4.0507462447642792</c:v>
                </c:pt>
                <c:pt idx="36">
                  <c:v>4.1893486471540928</c:v>
                </c:pt>
                <c:pt idx="37">
                  <c:v>4.3313156114683427</c:v>
                </c:pt>
                <c:pt idx="38">
                  <c:v>4.4724452245557256</c:v>
                </c:pt>
                <c:pt idx="39">
                  <c:v>4.6167081137226011</c:v>
                </c:pt>
                <c:pt idx="40">
                  <c:v>4.7657297550632975</c:v>
                </c:pt>
                <c:pt idx="41">
                  <c:v>4.9120689489622595</c:v>
                </c:pt>
                <c:pt idx="42">
                  <c:v>5.0601551077699609</c:v>
                </c:pt>
                <c:pt idx="43">
                  <c:v>5.2220596999167599</c:v>
                </c:pt>
                <c:pt idx="44">
                  <c:v>5.3880366380138645</c:v>
                </c:pt>
                <c:pt idx="45">
                  <c:v>5.5652586319202522</c:v>
                </c:pt>
                <c:pt idx="46">
                  <c:v>5.7367544038053966</c:v>
                </c:pt>
                <c:pt idx="47">
                  <c:v>5.9080993106644009</c:v>
                </c:pt>
                <c:pt idx="48">
                  <c:v>6.0828578445542565</c:v>
                </c:pt>
                <c:pt idx="49">
                  <c:v>6.2692612448365406</c:v>
                </c:pt>
                <c:pt idx="50">
                  <c:v>6.4709529403938149</c:v>
                </c:pt>
                <c:pt idx="51">
                  <c:v>6.6634850863948198</c:v>
                </c:pt>
                <c:pt idx="52">
                  <c:v>6.8428767776836574</c:v>
                </c:pt>
                <c:pt idx="53">
                  <c:v>7.0172570605133409</c:v>
                </c:pt>
                <c:pt idx="54">
                  <c:v>7.2040542060993289</c:v>
                </c:pt>
                <c:pt idx="55">
                  <c:v>7.3876849775958604</c:v>
                </c:pt>
                <c:pt idx="56">
                  <c:v>7.5767257632849994</c:v>
                </c:pt>
                <c:pt idx="57">
                  <c:v>7.7658355080123336</c:v>
                </c:pt>
                <c:pt idx="58">
                  <c:v>7.9435146095252112</c:v>
                </c:pt>
                <c:pt idx="59">
                  <c:v>8.128480962882751</c:v>
                </c:pt>
                <c:pt idx="60">
                  <c:v>8.3216638154764695</c:v>
                </c:pt>
                <c:pt idx="61">
                  <c:v>8.51740149887606</c:v>
                </c:pt>
                <c:pt idx="62">
                  <c:v>8.7211768099296378</c:v>
                </c:pt>
                <c:pt idx="63">
                  <c:v>8.9393161076042578</c:v>
                </c:pt>
                <c:pt idx="64">
                  <c:v>9.1760313898446739</c:v>
                </c:pt>
                <c:pt idx="65">
                  <c:v>9.4195135057114072</c:v>
                </c:pt>
                <c:pt idx="66">
                  <c:v>9.6713961290808097</c:v>
                </c:pt>
                <c:pt idx="67">
                  <c:v>9.9231631504095503</c:v>
                </c:pt>
                <c:pt idx="68">
                  <c:v>10.174094743298031</c:v>
                </c:pt>
                <c:pt idx="69">
                  <c:v>10.40916673083912</c:v>
                </c:pt>
                <c:pt idx="70">
                  <c:v>10.651835245461614</c:v>
                </c:pt>
                <c:pt idx="71">
                  <c:v>10.877020116604237</c:v>
                </c:pt>
                <c:pt idx="72">
                  <c:v>11.109655126271177</c:v>
                </c:pt>
                <c:pt idx="73">
                  <c:v>11.369277071892537</c:v>
                </c:pt>
                <c:pt idx="74">
                  <c:v>11.619727038430462</c:v>
                </c:pt>
                <c:pt idx="75">
                  <c:v>11.882467409648141</c:v>
                </c:pt>
                <c:pt idx="76">
                  <c:v>12.155818538498815</c:v>
                </c:pt>
                <c:pt idx="77">
                  <c:v>12.419660764114807</c:v>
                </c:pt>
                <c:pt idx="78">
                  <c:v>12.676871506330469</c:v>
                </c:pt>
                <c:pt idx="79">
                  <c:v>12.944394234386008</c:v>
                </c:pt>
                <c:pt idx="80">
                  <c:v>13.225542981175868</c:v>
                </c:pt>
                <c:pt idx="81">
                  <c:v>13.494219943269753</c:v>
                </c:pt>
                <c:pt idx="82">
                  <c:v>13.773132918359519</c:v>
                </c:pt>
                <c:pt idx="83">
                  <c:v>14.051367194279958</c:v>
                </c:pt>
                <c:pt idx="84">
                  <c:v>14.340177829695367</c:v>
                </c:pt>
                <c:pt idx="85">
                  <c:v>14.639428197136636</c:v>
                </c:pt>
                <c:pt idx="86">
                  <c:v>14.911422403826544</c:v>
                </c:pt>
                <c:pt idx="87">
                  <c:v>15.161687908477383</c:v>
                </c:pt>
                <c:pt idx="88">
                  <c:v>15.423219716535739</c:v>
                </c:pt>
                <c:pt idx="89">
                  <c:v>15.716404384679816</c:v>
                </c:pt>
                <c:pt idx="90">
                  <c:v>16.043940857286078</c:v>
                </c:pt>
                <c:pt idx="91">
                  <c:v>16.374945545920514</c:v>
                </c:pt>
                <c:pt idx="92">
                  <c:v>16.708750775812494</c:v>
                </c:pt>
                <c:pt idx="93">
                  <c:v>17.030467341386256</c:v>
                </c:pt>
                <c:pt idx="94">
                  <c:v>17.367411153316098</c:v>
                </c:pt>
                <c:pt idx="95">
                  <c:v>17.66911652412594</c:v>
                </c:pt>
                <c:pt idx="96">
                  <c:v>17.952419240982771</c:v>
                </c:pt>
                <c:pt idx="97">
                  <c:v>18.259033526148773</c:v>
                </c:pt>
                <c:pt idx="98">
                  <c:v>18.582571476838648</c:v>
                </c:pt>
                <c:pt idx="99">
                  <c:v>18.883621320940236</c:v>
                </c:pt>
                <c:pt idx="100">
                  <c:v>19.251303926085118</c:v>
                </c:pt>
                <c:pt idx="101">
                  <c:v>19.665781252062249</c:v>
                </c:pt>
                <c:pt idx="102">
                  <c:v>20.070587644245506</c:v>
                </c:pt>
                <c:pt idx="103">
                  <c:v>20.45606067754051</c:v>
                </c:pt>
                <c:pt idx="104">
                  <c:v>20.838721499095385</c:v>
                </c:pt>
                <c:pt idx="105">
                  <c:v>21.264342879015928</c:v>
                </c:pt>
                <c:pt idx="106">
                  <c:v>21.660192907948129</c:v>
                </c:pt>
                <c:pt idx="107">
                  <c:v>22.108344726468591</c:v>
                </c:pt>
                <c:pt idx="108">
                  <c:v>22.553822515952419</c:v>
                </c:pt>
                <c:pt idx="109">
                  <c:v>23.010799832954497</c:v>
                </c:pt>
                <c:pt idx="110">
                  <c:v>23.428997730696032</c:v>
                </c:pt>
                <c:pt idx="111">
                  <c:v>23.845727669666353</c:v>
                </c:pt>
                <c:pt idx="112">
                  <c:v>24.305182642374501</c:v>
                </c:pt>
                <c:pt idx="113">
                  <c:v>24.780550472249324</c:v>
                </c:pt>
                <c:pt idx="114">
                  <c:v>25.281238432117714</c:v>
                </c:pt>
                <c:pt idx="115">
                  <c:v>25.790199911278375</c:v>
                </c:pt>
                <c:pt idx="116">
                  <c:v>26.316723126211496</c:v>
                </c:pt>
                <c:pt idx="117">
                  <c:v>26.85764298155603</c:v>
                </c:pt>
                <c:pt idx="118">
                  <c:v>27.441076528539639</c:v>
                </c:pt>
                <c:pt idx="119">
                  <c:v>28.029072317007731</c:v>
                </c:pt>
                <c:pt idx="120">
                  <c:v>28.619417908478773</c:v>
                </c:pt>
                <c:pt idx="121">
                  <c:v>29.191546539911087</c:v>
                </c:pt>
                <c:pt idx="122">
                  <c:v>29.765640660571549</c:v>
                </c:pt>
                <c:pt idx="123">
                  <c:v>30.361286290585038</c:v>
                </c:pt>
                <c:pt idx="124">
                  <c:v>30.966433965126342</c:v>
                </c:pt>
                <c:pt idx="125">
                  <c:v>31.596340726570048</c:v>
                </c:pt>
                <c:pt idx="126">
                  <c:v>32.213262914107034</c:v>
                </c:pt>
                <c:pt idx="127">
                  <c:v>32.869956741315839</c:v>
                </c:pt>
                <c:pt idx="128">
                  <c:v>33.506389364659874</c:v>
                </c:pt>
                <c:pt idx="129">
                  <c:v>34.180302945779523</c:v>
                </c:pt>
                <c:pt idx="130">
                  <c:v>34.850648500452415</c:v>
                </c:pt>
                <c:pt idx="131">
                  <c:v>35.466349211119123</c:v>
                </c:pt>
                <c:pt idx="132">
                  <c:v>36.095117005303301</c:v>
                </c:pt>
                <c:pt idx="133">
                  <c:v>36.718659008295589</c:v>
                </c:pt>
                <c:pt idx="134">
                  <c:v>37.351463871524757</c:v>
                </c:pt>
                <c:pt idx="135">
                  <c:v>38.001257613883361</c:v>
                </c:pt>
                <c:pt idx="136">
                  <c:v>38.696911473019547</c:v>
                </c:pt>
                <c:pt idx="137">
                  <c:v>39.440198815992851</c:v>
                </c:pt>
                <c:pt idx="138">
                  <c:v>40.212960164417268</c:v>
                </c:pt>
                <c:pt idx="139">
                  <c:v>41.03247806005399</c:v>
                </c:pt>
                <c:pt idx="140">
                  <c:v>41.867416625464976</c:v>
                </c:pt>
                <c:pt idx="141">
                  <c:v>42.743294424524969</c:v>
                </c:pt>
                <c:pt idx="142">
                  <c:v>43.61439773589256</c:v>
                </c:pt>
                <c:pt idx="143">
                  <c:v>44.495851577503473</c:v>
                </c:pt>
                <c:pt idx="144">
                  <c:v>45.341743722188802</c:v>
                </c:pt>
                <c:pt idx="145">
                  <c:v>46.197839276678842</c:v>
                </c:pt>
                <c:pt idx="146">
                  <c:v>47.08847436856707</c:v>
                </c:pt>
                <c:pt idx="147">
                  <c:v>48.002354801422541</c:v>
                </c:pt>
                <c:pt idx="148">
                  <c:v>48.906999562687353</c:v>
                </c:pt>
                <c:pt idx="149">
                  <c:v>49.834930876143801</c:v>
                </c:pt>
                <c:pt idx="150">
                  <c:v>50.870952587237852</c:v>
                </c:pt>
                <c:pt idx="151">
                  <c:v>51.940579069761512</c:v>
                </c:pt>
                <c:pt idx="152">
                  <c:v>53.059818033067749</c:v>
                </c:pt>
                <c:pt idx="153">
                  <c:v>54.189437560717622</c:v>
                </c:pt>
                <c:pt idx="154">
                  <c:v>55.287533483232835</c:v>
                </c:pt>
                <c:pt idx="155">
                  <c:v>56.480263508996785</c:v>
                </c:pt>
                <c:pt idx="156">
                  <c:v>57.628324795096141</c:v>
                </c:pt>
                <c:pt idx="157">
                  <c:v>58.821390807458066</c:v>
                </c:pt>
                <c:pt idx="158">
                  <c:v>60.058934573929406</c:v>
                </c:pt>
                <c:pt idx="159">
                  <c:v>61.390962728041409</c:v>
                </c:pt>
                <c:pt idx="160">
                  <c:v>62.697252197089547</c:v>
                </c:pt>
                <c:pt idx="161">
                  <c:v>64.056861421978226</c:v>
                </c:pt>
                <c:pt idx="162">
                  <c:v>65.498877135179086</c:v>
                </c:pt>
                <c:pt idx="163">
                  <c:v>67.002230926499436</c:v>
                </c:pt>
                <c:pt idx="164">
                  <c:v>68.509807065833002</c:v>
                </c:pt>
                <c:pt idx="165">
                  <c:v>69.995844985460749</c:v>
                </c:pt>
                <c:pt idx="166">
                  <c:v>71.485440627950467</c:v>
                </c:pt>
                <c:pt idx="167">
                  <c:v>72.984057580596286</c:v>
                </c:pt>
                <c:pt idx="168">
                  <c:v>74.482446157713653</c:v>
                </c:pt>
                <c:pt idx="169">
                  <c:v>76.034148927645916</c:v>
                </c:pt>
                <c:pt idx="170">
                  <c:v>77.635945160245299</c:v>
                </c:pt>
                <c:pt idx="171">
                  <c:v>79.358391177550061</c:v>
                </c:pt>
                <c:pt idx="172">
                  <c:v>81.037034326394803</c:v>
                </c:pt>
                <c:pt idx="173">
                  <c:v>82.717297343881825</c:v>
                </c:pt>
                <c:pt idx="174">
                  <c:v>84.507823139638845</c:v>
                </c:pt>
                <c:pt idx="175">
                  <c:v>86.397600569004808</c:v>
                </c:pt>
                <c:pt idx="176">
                  <c:v>88.394065563738707</c:v>
                </c:pt>
                <c:pt idx="177">
                  <c:v>90.390653950900074</c:v>
                </c:pt>
                <c:pt idx="178">
                  <c:v>92.351395028287115</c:v>
                </c:pt>
                <c:pt idx="179">
                  <c:v>94.315865342130465</c:v>
                </c:pt>
                <c:pt idx="180">
                  <c:v>96.378514472311025</c:v>
                </c:pt>
                <c:pt idx="181">
                  <c:v>98.36568445176357</c:v>
                </c:pt>
                <c:pt idx="182">
                  <c:v>100.38161355777969</c:v>
                </c:pt>
                <c:pt idx="183">
                  <c:v>102.44932432725265</c:v>
                </c:pt>
                <c:pt idx="184">
                  <c:v>104.47468350352786</c:v>
                </c:pt>
                <c:pt idx="185">
                  <c:v>106.70937700109857</c:v>
                </c:pt>
                <c:pt idx="186">
                  <c:v>109.02174071192127</c:v>
                </c:pt>
                <c:pt idx="187">
                  <c:v>111.15887470986787</c:v>
                </c:pt>
                <c:pt idx="188">
                  <c:v>113.38677511500163</c:v>
                </c:pt>
                <c:pt idx="189">
                  <c:v>115.77209769272666</c:v>
                </c:pt>
                <c:pt idx="190">
                  <c:v>118.15419666530916</c:v>
                </c:pt>
                <c:pt idx="191">
                  <c:v>120.46196660419476</c:v>
                </c:pt>
                <c:pt idx="192">
                  <c:v>122.70372022456043</c:v>
                </c:pt>
                <c:pt idx="193">
                  <c:v>124.97265677166874</c:v>
                </c:pt>
                <c:pt idx="194">
                  <c:v>127.42072002576568</c:v>
                </c:pt>
                <c:pt idx="195">
                  <c:v>129.74245493198413</c:v>
                </c:pt>
                <c:pt idx="196">
                  <c:v>132.00329375840045</c:v>
                </c:pt>
                <c:pt idx="197">
                  <c:v>134.23859091609319</c:v>
                </c:pt>
                <c:pt idx="198">
                  <c:v>136.61363565614994</c:v>
                </c:pt>
                <c:pt idx="199">
                  <c:v>139.07672069570648</c:v>
                </c:pt>
                <c:pt idx="200">
                  <c:v>141.65325710567407</c:v>
                </c:pt>
                <c:pt idx="201">
                  <c:v>144.06471329081361</c:v>
                </c:pt>
                <c:pt idx="202">
                  <c:v>146.61029289270937</c:v>
                </c:pt>
                <c:pt idx="203">
                  <c:v>149.24267637471431</c:v>
                </c:pt>
                <c:pt idx="204">
                  <c:v>152.09679983677546</c:v>
                </c:pt>
                <c:pt idx="205">
                  <c:v>154.78516083420845</c:v>
                </c:pt>
                <c:pt idx="206">
                  <c:v>157.4771646833897</c:v>
                </c:pt>
                <c:pt idx="207">
                  <c:v>160.28961248574143</c:v>
                </c:pt>
                <c:pt idx="208">
                  <c:v>163.04111537968168</c:v>
                </c:pt>
                <c:pt idx="209">
                  <c:v>165.64402848592408</c:v>
                </c:pt>
                <c:pt idx="210">
                  <c:v>168.25564526724861</c:v>
                </c:pt>
                <c:pt idx="211">
                  <c:v>170.82574750064052</c:v>
                </c:pt>
                <c:pt idx="212">
                  <c:v>173.44412286814267</c:v>
                </c:pt>
                <c:pt idx="213">
                  <c:v>176.14789259984525</c:v>
                </c:pt>
                <c:pt idx="214">
                  <c:v>178.72610046357423</c:v>
                </c:pt>
                <c:pt idx="215">
                  <c:v>181.3744102076916</c:v>
                </c:pt>
                <c:pt idx="216">
                  <c:v>184.07565056025962</c:v>
                </c:pt>
                <c:pt idx="217">
                  <c:v>186.65648616874356</c:v>
                </c:pt>
                <c:pt idx="218">
                  <c:v>189.31097981726569</c:v>
                </c:pt>
                <c:pt idx="219">
                  <c:v>191.96773502268979</c:v>
                </c:pt>
                <c:pt idx="220">
                  <c:v>194.58982512664596</c:v>
                </c:pt>
                <c:pt idx="221">
                  <c:v>197.12336983442813</c:v>
                </c:pt>
                <c:pt idx="222">
                  <c:v>199.61599070842368</c:v>
                </c:pt>
                <c:pt idx="223">
                  <c:v>202.16994625375867</c:v>
                </c:pt>
                <c:pt idx="224">
                  <c:v>204.77555788746787</c:v>
                </c:pt>
                <c:pt idx="225">
                  <c:v>207.25034184446835</c:v>
                </c:pt>
                <c:pt idx="226">
                  <c:v>209.59960143890888</c:v>
                </c:pt>
                <c:pt idx="227">
                  <c:v>211.90909090909088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143.83962661801661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50.626388012632596</c:v>
                </c:pt>
                <c:pt idx="2">
                  <c:v>51.366725651340047</c:v>
                </c:pt>
                <c:pt idx="3">
                  <c:v>52.225966194795426</c:v>
                </c:pt>
                <c:pt idx="4">
                  <c:v>53.167748503895105</c:v>
                </c:pt>
                <c:pt idx="5">
                  <c:v>54.162680154343619</c:v>
                </c:pt>
                <c:pt idx="6">
                  <c:v>55.225465141339299</c:v>
                </c:pt>
                <c:pt idx="7">
                  <c:v>56.367523304616412</c:v>
                </c:pt>
                <c:pt idx="8">
                  <c:v>57.160592372168871</c:v>
                </c:pt>
                <c:pt idx="9">
                  <c:v>58.145821867974057</c:v>
                </c:pt>
                <c:pt idx="10">
                  <c:v>58.827193278480777</c:v>
                </c:pt>
                <c:pt idx="11">
                  <c:v>59.855292204709166</c:v>
                </c:pt>
                <c:pt idx="12">
                  <c:v>60.871976665966052</c:v>
                </c:pt>
                <c:pt idx="13">
                  <c:v>62.121635270834474</c:v>
                </c:pt>
                <c:pt idx="14">
                  <c:v>63.467548014194094</c:v>
                </c:pt>
                <c:pt idx="15">
                  <c:v>64.302731961739809</c:v>
                </c:pt>
                <c:pt idx="16">
                  <c:v>64.938052903794031</c:v>
                </c:pt>
                <c:pt idx="17">
                  <c:v>66.144551229632896</c:v>
                </c:pt>
                <c:pt idx="18">
                  <c:v>66.373206895292455</c:v>
                </c:pt>
                <c:pt idx="19">
                  <c:v>65.554851339455809</c:v>
                </c:pt>
                <c:pt idx="20">
                  <c:v>66.313216580758208</c:v>
                </c:pt>
                <c:pt idx="21">
                  <c:v>67.258085302335274</c:v>
                </c:pt>
                <c:pt idx="22">
                  <c:v>67.748913478908236</c:v>
                </c:pt>
                <c:pt idx="23">
                  <c:v>68.384611353993449</c:v>
                </c:pt>
                <c:pt idx="24">
                  <c:v>68.251931710250204</c:v>
                </c:pt>
                <c:pt idx="25">
                  <c:v>68.811744168231883</c:v>
                </c:pt>
                <c:pt idx="26">
                  <c:v>67.749940234176407</c:v>
                </c:pt>
                <c:pt idx="27">
                  <c:v>68.522741596585675</c:v>
                </c:pt>
                <c:pt idx="28">
                  <c:v>69.417272148050756</c:v>
                </c:pt>
                <c:pt idx="29">
                  <c:v>69.872578583561804</c:v>
                </c:pt>
                <c:pt idx="30">
                  <c:v>70.132492071829517</c:v>
                </c:pt>
                <c:pt idx="31">
                  <c:v>71.172794356267076</c:v>
                </c:pt>
                <c:pt idx="32">
                  <c:v>71.415260320457989</c:v>
                </c:pt>
                <c:pt idx="33">
                  <c:v>72.074155294816833</c:v>
                </c:pt>
                <c:pt idx="34">
                  <c:v>72.270509646727277</c:v>
                </c:pt>
                <c:pt idx="35">
                  <c:v>72.928376358371153</c:v>
                </c:pt>
                <c:pt idx="36">
                  <c:v>72.886431055749057</c:v>
                </c:pt>
                <c:pt idx="37">
                  <c:v>73.001478013410349</c:v>
                </c:pt>
                <c:pt idx="38">
                  <c:v>73.292006008876882</c:v>
                </c:pt>
                <c:pt idx="39">
                  <c:v>72.989641519195899</c:v>
                </c:pt>
                <c:pt idx="40">
                  <c:v>72.673020223290195</c:v>
                </c:pt>
                <c:pt idx="41">
                  <c:v>72.402782431886877</c:v>
                </c:pt>
                <c:pt idx="42">
                  <c:v>72.184571026670056</c:v>
                </c:pt>
                <c:pt idx="43">
                  <c:v>73.016591462233919</c:v>
                </c:pt>
                <c:pt idx="44">
                  <c:v>72.105442734195066</c:v>
                </c:pt>
                <c:pt idx="45">
                  <c:v>71.089725913355011</c:v>
                </c:pt>
                <c:pt idx="46">
                  <c:v>70.214325654497983</c:v>
                </c:pt>
                <c:pt idx="47">
                  <c:v>67.917405629576777</c:v>
                </c:pt>
                <c:pt idx="48">
                  <c:v>66.841072638444899</c:v>
                </c:pt>
                <c:pt idx="49">
                  <c:v>65.505617085750202</c:v>
                </c:pt>
                <c:pt idx="50">
                  <c:v>63.785037095411198</c:v>
                </c:pt>
                <c:pt idx="51">
                  <c:v>63.211029520250392</c:v>
                </c:pt>
                <c:pt idx="52">
                  <c:v>62.819885871689792</c:v>
                </c:pt>
                <c:pt idx="53">
                  <c:v>61.898319153804998</c:v>
                </c:pt>
                <c:pt idx="54">
                  <c:v>60.769727435975817</c:v>
                </c:pt>
                <c:pt idx="55">
                  <c:v>59.580830687239391</c:v>
                </c:pt>
                <c:pt idx="56">
                  <c:v>58.964277179864766</c:v>
                </c:pt>
                <c:pt idx="57">
                  <c:v>57.971410409778557</c:v>
                </c:pt>
                <c:pt idx="58">
                  <c:v>57.97396425585714</c:v>
                </c:pt>
                <c:pt idx="59">
                  <c:v>57.275051394682933</c:v>
                </c:pt>
                <c:pt idx="60">
                  <c:v>56.977210565156795</c:v>
                </c:pt>
                <c:pt idx="61">
                  <c:v>56.624520184827539</c:v>
                </c:pt>
                <c:pt idx="62">
                  <c:v>56.434336139286046</c:v>
                </c:pt>
                <c:pt idx="63">
                  <c:v>56.369324986796066</c:v>
                </c:pt>
                <c:pt idx="64">
                  <c:v>55.38222531136023</c:v>
                </c:pt>
                <c:pt idx="65">
                  <c:v>53.644938743826351</c:v>
                </c:pt>
                <c:pt idx="66">
                  <c:v>52.805073231161295</c:v>
                </c:pt>
                <c:pt idx="67">
                  <c:v>52.220356753866291</c:v>
                </c:pt>
                <c:pt idx="68">
                  <c:v>51.885500068307884</c:v>
                </c:pt>
                <c:pt idx="69">
                  <c:v>51.594230973847161</c:v>
                </c:pt>
                <c:pt idx="70">
                  <c:v>50.207262657003582</c:v>
                </c:pt>
                <c:pt idx="71">
                  <c:v>49.591186976521172</c:v>
                </c:pt>
                <c:pt idx="72">
                  <c:v>48.811331078179371</c:v>
                </c:pt>
                <c:pt idx="73">
                  <c:v>47.971910078097345</c:v>
                </c:pt>
                <c:pt idx="74">
                  <c:v>47.360137557192822</c:v>
                </c:pt>
                <c:pt idx="75">
                  <c:v>46.214775690524476</c:v>
                </c:pt>
                <c:pt idx="76">
                  <c:v>46.27016238067737</c:v>
                </c:pt>
                <c:pt idx="77">
                  <c:v>46.322040708115267</c:v>
                </c:pt>
                <c:pt idx="78">
                  <c:v>45.466068346786436</c:v>
                </c:pt>
                <c:pt idx="79">
                  <c:v>44.145517752859483</c:v>
                </c:pt>
                <c:pt idx="80">
                  <c:v>42.248036699785246</c:v>
                </c:pt>
                <c:pt idx="81">
                  <c:v>41.825150850983448</c:v>
                </c:pt>
                <c:pt idx="82">
                  <c:v>41.724470127062411</c:v>
                </c:pt>
                <c:pt idx="83">
                  <c:v>40.76079766145196</c:v>
                </c:pt>
                <c:pt idx="84">
                  <c:v>39.920969437305303</c:v>
                </c:pt>
                <c:pt idx="85">
                  <c:v>38.51779322826939</c:v>
                </c:pt>
                <c:pt idx="86">
                  <c:v>38.215993046544099</c:v>
                </c:pt>
                <c:pt idx="87">
                  <c:v>61.221708469677175</c:v>
                </c:pt>
                <c:pt idx="88">
                  <c:v>60.61715082817669</c:v>
                </c:pt>
                <c:pt idx="89">
                  <c:v>59.200765921837224</c:v>
                </c:pt>
                <c:pt idx="90">
                  <c:v>58.797117422832507</c:v>
                </c:pt>
                <c:pt idx="91">
                  <c:v>57.741883020327748</c:v>
                </c:pt>
                <c:pt idx="92">
                  <c:v>57.360735550009295</c:v>
                </c:pt>
                <c:pt idx="93">
                  <c:v>56.588188283033759</c:v>
                </c:pt>
                <c:pt idx="94">
                  <c:v>55.549577256448011</c:v>
                </c:pt>
                <c:pt idx="95">
                  <c:v>55.412833888820707</c:v>
                </c:pt>
                <c:pt idx="96">
                  <c:v>54.566703889132569</c:v>
                </c:pt>
                <c:pt idx="97">
                  <c:v>52.602199545533999</c:v>
                </c:pt>
                <c:pt idx="98">
                  <c:v>52.324827796633507</c:v>
                </c:pt>
                <c:pt idx="99">
                  <c:v>51.314013881005984</c:v>
                </c:pt>
                <c:pt idx="100">
                  <c:v>49.684693680805431</c:v>
                </c:pt>
                <c:pt idx="101">
                  <c:v>48.476432372514346</c:v>
                </c:pt>
                <c:pt idx="102">
                  <c:v>46.496732105437054</c:v>
                </c:pt>
                <c:pt idx="103">
                  <c:v>44.575303085411988</c:v>
                </c:pt>
                <c:pt idx="104">
                  <c:v>43.778890179607757</c:v>
                </c:pt>
                <c:pt idx="105">
                  <c:v>43.429135044729883</c:v>
                </c:pt>
                <c:pt idx="106">
                  <c:v>42.507372775226983</c:v>
                </c:pt>
                <c:pt idx="107">
                  <c:v>41.365088353518409</c:v>
                </c:pt>
                <c:pt idx="108">
                  <c:v>39.560120409194781</c:v>
                </c:pt>
                <c:pt idx="109">
                  <c:v>38.830369295256446</c:v>
                </c:pt>
                <c:pt idx="110">
                  <c:v>37.955336234885102</c:v>
                </c:pt>
                <c:pt idx="111">
                  <c:v>37.449310942850026</c:v>
                </c:pt>
                <c:pt idx="112">
                  <c:v>36.496139082292629</c:v>
                </c:pt>
                <c:pt idx="113">
                  <c:v>36.006685490053115</c:v>
                </c:pt>
                <c:pt idx="114">
                  <c:v>34.970191068337648</c:v>
                </c:pt>
                <c:pt idx="115">
                  <c:v>34.630573075665758</c:v>
                </c:pt>
                <c:pt idx="116">
                  <c:v>33.906181721211922</c:v>
                </c:pt>
                <c:pt idx="117">
                  <c:v>33.302729207561363</c:v>
                </c:pt>
                <c:pt idx="118">
                  <c:v>32.253658024058204</c:v>
                </c:pt>
                <c:pt idx="119">
                  <c:v>31.780061536086297</c:v>
                </c:pt>
                <c:pt idx="120">
                  <c:v>30.913559820552088</c:v>
                </c:pt>
                <c:pt idx="121">
                  <c:v>47.665935756995495</c:v>
                </c:pt>
                <c:pt idx="122">
                  <c:v>46.699434832130144</c:v>
                </c:pt>
                <c:pt idx="123">
                  <c:v>46.022813675024068</c:v>
                </c:pt>
                <c:pt idx="124">
                  <c:v>45.71211884018291</c:v>
                </c:pt>
                <c:pt idx="125">
                  <c:v>44.657095197903899</c:v>
                </c:pt>
                <c:pt idx="126">
                  <c:v>43.682394042046376</c:v>
                </c:pt>
                <c:pt idx="127">
                  <c:v>42.347087828807986</c:v>
                </c:pt>
                <c:pt idx="128">
                  <c:v>41.566342937727534</c:v>
                </c:pt>
                <c:pt idx="129">
                  <c:v>40.623281693956116</c:v>
                </c:pt>
                <c:pt idx="130">
                  <c:v>39.525028969654393</c:v>
                </c:pt>
                <c:pt idx="131">
                  <c:v>38.466777186320257</c:v>
                </c:pt>
                <c:pt idx="132">
                  <c:v>37.60928467779074</c:v>
                </c:pt>
                <c:pt idx="133">
                  <c:v>36.581867342616292</c:v>
                </c:pt>
                <c:pt idx="134">
                  <c:v>35.886504308190744</c:v>
                </c:pt>
                <c:pt idx="135">
                  <c:v>35.261932569348886</c:v>
                </c:pt>
                <c:pt idx="136">
                  <c:v>34.305793155336758</c:v>
                </c:pt>
                <c:pt idx="137">
                  <c:v>33.526188964135564</c:v>
                </c:pt>
                <c:pt idx="138">
                  <c:v>32.768492712652652</c:v>
                </c:pt>
                <c:pt idx="139">
                  <c:v>32.164467915791121</c:v>
                </c:pt>
                <c:pt idx="140">
                  <c:v>31.543467723108311</c:v>
                </c:pt>
                <c:pt idx="141">
                  <c:v>30.050704376782477</c:v>
                </c:pt>
                <c:pt idx="142">
                  <c:v>29.155130728167389</c:v>
                </c:pt>
                <c:pt idx="143">
                  <c:v>28.589174603533824</c:v>
                </c:pt>
                <c:pt idx="144">
                  <c:v>28.164184614191011</c:v>
                </c:pt>
                <c:pt idx="145">
                  <c:v>27.74002523576436</c:v>
                </c:pt>
                <c:pt idx="146">
                  <c:v>27.110611355961936</c:v>
                </c:pt>
                <c:pt idx="147">
                  <c:v>26.176631648681859</c:v>
                </c:pt>
                <c:pt idx="148">
                  <c:v>25.580021225175894</c:v>
                </c:pt>
                <c:pt idx="149">
                  <c:v>24.999511737937528</c:v>
                </c:pt>
                <c:pt idx="150">
                  <c:v>24.449952110577073</c:v>
                </c:pt>
                <c:pt idx="151">
                  <c:v>23.609018190665221</c:v>
                </c:pt>
                <c:pt idx="152">
                  <c:v>22.429910094447362</c:v>
                </c:pt>
                <c:pt idx="153">
                  <c:v>21.555779751529066</c:v>
                </c:pt>
                <c:pt idx="154">
                  <c:v>20.879099059246563</c:v>
                </c:pt>
                <c:pt idx="155">
                  <c:v>19.925406224587444</c:v>
                </c:pt>
                <c:pt idx="156">
                  <c:v>19.087337823198101</c:v>
                </c:pt>
                <c:pt idx="157">
                  <c:v>18.404180007480964</c:v>
                </c:pt>
                <c:pt idx="158">
                  <c:v>17.667628801504524</c:v>
                </c:pt>
                <c:pt idx="159">
                  <c:v>16.692818180405428</c:v>
                </c:pt>
                <c:pt idx="160">
                  <c:v>15.59478041099451</c:v>
                </c:pt>
                <c:pt idx="161">
                  <c:v>14.64946813934548</c:v>
                </c:pt>
                <c:pt idx="162">
                  <c:v>156.55637190353053</c:v>
                </c:pt>
                <c:pt idx="163">
                  <c:v>154.184791041278</c:v>
                </c:pt>
                <c:pt idx="164">
                  <c:v>152.88068918255865</c:v>
                </c:pt>
                <c:pt idx="165">
                  <c:v>151.81371342016214</c:v>
                </c:pt>
                <c:pt idx="166">
                  <c:v>149.49881096301149</c:v>
                </c:pt>
                <c:pt idx="167">
                  <c:v>148.518264038463</c:v>
                </c:pt>
                <c:pt idx="168">
                  <c:v>147.3772926928053</c:v>
                </c:pt>
                <c:pt idx="169">
                  <c:v>144.57531339617546</c:v>
                </c:pt>
                <c:pt idx="170">
                  <c:v>142.56649072100925</c:v>
                </c:pt>
                <c:pt idx="171">
                  <c:v>139.40004550480009</c:v>
                </c:pt>
                <c:pt idx="172">
                  <c:v>137.48945511982751</c:v>
                </c:pt>
                <c:pt idx="173">
                  <c:v>134.63173033253881</c:v>
                </c:pt>
                <c:pt idx="174">
                  <c:v>133.21866441243719</c:v>
                </c:pt>
                <c:pt idx="175">
                  <c:v>130.24116914531868</c:v>
                </c:pt>
                <c:pt idx="176">
                  <c:v>127.8967412970636</c:v>
                </c:pt>
                <c:pt idx="177">
                  <c:v>124.01255107994747</c:v>
                </c:pt>
                <c:pt idx="178">
                  <c:v>118.86523545032665</c:v>
                </c:pt>
                <c:pt idx="179">
                  <c:v>115.97210932338916</c:v>
                </c:pt>
                <c:pt idx="180">
                  <c:v>112.70455330636635</c:v>
                </c:pt>
                <c:pt idx="181">
                  <c:v>111.27710505910515</c:v>
                </c:pt>
                <c:pt idx="182">
                  <c:v>109.22055357889026</c:v>
                </c:pt>
                <c:pt idx="183">
                  <c:v>107.7194659424425</c:v>
                </c:pt>
                <c:pt idx="184">
                  <c:v>106.24854749698201</c:v>
                </c:pt>
                <c:pt idx="185">
                  <c:v>103.89150018588379</c:v>
                </c:pt>
                <c:pt idx="186">
                  <c:v>101.09866764894396</c:v>
                </c:pt>
                <c:pt idx="187">
                  <c:v>98.348558178808901</c:v>
                </c:pt>
                <c:pt idx="188">
                  <c:v>96.697517985210382</c:v>
                </c:pt>
                <c:pt idx="189">
                  <c:v>93.627430158687289</c:v>
                </c:pt>
                <c:pt idx="190">
                  <c:v>90.587845562096433</c:v>
                </c:pt>
                <c:pt idx="191">
                  <c:v>87.168271219718577</c:v>
                </c:pt>
                <c:pt idx="192">
                  <c:v>83.869860565647869</c:v>
                </c:pt>
                <c:pt idx="193">
                  <c:v>82.106037179606147</c:v>
                </c:pt>
                <c:pt idx="194">
                  <c:v>80.149270307135225</c:v>
                </c:pt>
                <c:pt idx="195">
                  <c:v>78.032897244791215</c:v>
                </c:pt>
                <c:pt idx="196">
                  <c:v>76.332651600435213</c:v>
                </c:pt>
                <c:pt idx="197">
                  <c:v>74.644912244753243</c:v>
                </c:pt>
                <c:pt idx="198">
                  <c:v>72.839886629325946</c:v>
                </c:pt>
                <c:pt idx="199">
                  <c:v>70.966834317115371</c:v>
                </c:pt>
                <c:pt idx="200">
                  <c:v>69.000565403809986</c:v>
                </c:pt>
                <c:pt idx="201">
                  <c:v>67.168844239535929</c:v>
                </c:pt>
                <c:pt idx="202">
                  <c:v>65.218787411841831</c:v>
                </c:pt>
                <c:pt idx="203">
                  <c:v>63.163008494947462</c:v>
                </c:pt>
                <c:pt idx="204">
                  <c:v>60.925634988466612</c:v>
                </c:pt>
                <c:pt idx="205">
                  <c:v>58.842273416143179</c:v>
                </c:pt>
                <c:pt idx="206">
                  <c:v>56.746922503504386</c:v>
                </c:pt>
                <c:pt idx="207">
                  <c:v>54.534995927348859</c:v>
                </c:pt>
                <c:pt idx="208">
                  <c:v>52.34746085730032</c:v>
                </c:pt>
                <c:pt idx="209">
                  <c:v>50.266043185331071</c:v>
                </c:pt>
                <c:pt idx="210">
                  <c:v>48.145393923725997</c:v>
                </c:pt>
                <c:pt idx="211">
                  <c:v>46.052884283050247</c:v>
                </c:pt>
                <c:pt idx="212">
                  <c:v>43.919643069210117</c:v>
                </c:pt>
                <c:pt idx="213">
                  <c:v>41.750265645843996</c:v>
                </c:pt>
                <c:pt idx="214">
                  <c:v>39.696963493031795</c:v>
                </c:pt>
                <c:pt idx="215">
                  <c:v>37.599270017530358</c:v>
                </c:pt>
                <c:pt idx="216">
                  <c:v>35.460253188637864</c:v>
                </c:pt>
                <c:pt idx="217">
                  <c:v>33.424791375297097</c:v>
                </c:pt>
                <c:pt idx="218">
                  <c:v>31.319652844828362</c:v>
                </c:pt>
                <c:pt idx="219">
                  <c:v>29.192519877683861</c:v>
                </c:pt>
                <c:pt idx="220">
                  <c:v>27.100990557828869</c:v>
                </c:pt>
                <c:pt idx="221">
                  <c:v>25.079181810506011</c:v>
                </c:pt>
                <c:pt idx="222">
                  <c:v>23.089249748206971</c:v>
                </c:pt>
                <c:pt idx="223">
                  <c:v>21.032519045998637</c:v>
                </c:pt>
                <c:pt idx="224">
                  <c:v>18.947040532140292</c:v>
                </c:pt>
                <c:pt idx="225">
                  <c:v>16.957945667807984</c:v>
                </c:pt>
                <c:pt idx="226">
                  <c:v>15.062298325732304</c:v>
                </c:pt>
                <c:pt idx="227">
                  <c:v>13.182322969874184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-0.37133825804668619</c:v>
                </c:pt>
                <c:pt idx="9">
                  <c:v>-0.57592540906363188</c:v>
                </c:pt>
                <c:pt idx="10">
                  <c:v>-1.1679012762400505</c:v>
                </c:pt>
                <c:pt idx="11">
                  <c:v>-1.4206236211043757</c:v>
                </c:pt>
                <c:pt idx="12">
                  <c:v>-1.7119073020392945</c:v>
                </c:pt>
                <c:pt idx="13">
                  <c:v>-1.7687370943055776</c:v>
                </c:pt>
                <c:pt idx="14">
                  <c:v>-1.7687370943055776</c:v>
                </c:pt>
                <c:pt idx="15">
                  <c:v>-2.2779379777421562</c:v>
                </c:pt>
                <c:pt idx="16">
                  <c:v>-2.8765706209923176</c:v>
                </c:pt>
                <c:pt idx="17">
                  <c:v>-2.8951890872643622</c:v>
                </c:pt>
                <c:pt idx="18">
                  <c:v>-3.876037589161466</c:v>
                </c:pt>
                <c:pt idx="19">
                  <c:v>-5.9288756190692382</c:v>
                </c:pt>
                <c:pt idx="20">
                  <c:v>-6.4235230938605214</c:v>
                </c:pt>
                <c:pt idx="21">
                  <c:v>-6.7642973927256866</c:v>
                </c:pt>
                <c:pt idx="22">
                  <c:v>-7.5747751354548498</c:v>
                </c:pt>
                <c:pt idx="23">
                  <c:v>-8.1474329364599569</c:v>
                </c:pt>
                <c:pt idx="24">
                  <c:v>-9.4442196389547117</c:v>
                </c:pt>
                <c:pt idx="25">
                  <c:v>-10.04466582140047</c:v>
                </c:pt>
                <c:pt idx="26">
                  <c:v>-12.247291656124915</c:v>
                </c:pt>
                <c:pt idx="27">
                  <c:v>-12.594473546880952</c:v>
                </c:pt>
                <c:pt idx="28">
                  <c:v>-12.784985393776157</c:v>
                </c:pt>
                <c:pt idx="29">
                  <c:v>-13.409439216450728</c:v>
                </c:pt>
                <c:pt idx="30">
                  <c:v>-14.228690623837954</c:v>
                </c:pt>
                <c:pt idx="31">
                  <c:v>-14.228690623837954</c:v>
                </c:pt>
                <c:pt idx="32">
                  <c:v>-14.993246310492138</c:v>
                </c:pt>
                <c:pt idx="33">
                  <c:v>-15.297559410625807</c:v>
                </c:pt>
                <c:pt idx="34">
                  <c:v>-16.060414790230151</c:v>
                </c:pt>
                <c:pt idx="35">
                  <c:v>-16.368334601521052</c:v>
                </c:pt>
                <c:pt idx="36">
                  <c:v>-17.383885540897825</c:v>
                </c:pt>
                <c:pt idx="37">
                  <c:v>-18.221239531296092</c:v>
                </c:pt>
                <c:pt idx="38">
                  <c:v>-18.845307389867973</c:v>
                </c:pt>
                <c:pt idx="39">
                  <c:v>-20.04206717877716</c:v>
                </c:pt>
                <c:pt idx="40">
                  <c:v>-21.238749578454005</c:v>
                </c:pt>
                <c:pt idx="41">
                  <c:v>-22.349461892649838</c:v>
                </c:pt>
                <c:pt idx="42">
                  <c:v>-23.385711512277148</c:v>
                </c:pt>
                <c:pt idx="43">
                  <c:v>-23.385711512277148</c:v>
                </c:pt>
                <c:pt idx="44">
                  <c:v>-25.110735421248606</c:v>
                </c:pt>
                <c:pt idx="45">
                  <c:v>-26.94169080643924</c:v>
                </c:pt>
                <c:pt idx="46">
                  <c:v>-28.587046504276312</c:v>
                </c:pt>
                <c:pt idx="47">
                  <c:v>-31.626727725120034</c:v>
                </c:pt>
                <c:pt idx="48">
                  <c:v>-33.428218412490267</c:v>
                </c:pt>
                <c:pt idx="49">
                  <c:v>-35.48873398993203</c:v>
                </c:pt>
                <c:pt idx="50">
                  <c:v>-37.939496859664601</c:v>
                </c:pt>
                <c:pt idx="51">
                  <c:v>-39.198332806814179</c:v>
                </c:pt>
                <c:pt idx="52">
                  <c:v>-40.228346268865927</c:v>
                </c:pt>
                <c:pt idx="53">
                  <c:v>-41.761590559609068</c:v>
                </c:pt>
                <c:pt idx="54">
                  <c:v>-43.50208056798833</c:v>
                </c:pt>
                <c:pt idx="55">
                  <c:v>-45.279796019900928</c:v>
                </c:pt>
                <c:pt idx="56">
                  <c:v>-46.474805370746189</c:v>
                </c:pt>
                <c:pt idx="57">
                  <c:v>-48.029083296510585</c:v>
                </c:pt>
                <c:pt idx="58">
                  <c:v>-48.559437710258614</c:v>
                </c:pt>
                <c:pt idx="59">
                  <c:v>-49.784699550464872</c:v>
                </c:pt>
                <c:pt idx="60">
                  <c:v>-50.602639062133569</c:v>
                </c:pt>
                <c:pt idx="61">
                  <c:v>-51.463331768942943</c:v>
                </c:pt>
                <c:pt idx="62">
                  <c:v>-52.154338862559534</c:v>
                </c:pt>
                <c:pt idx="63">
                  <c:v>-52.717614561872033</c:v>
                </c:pt>
                <c:pt idx="64">
                  <c:v>-54.2024735582755</c:v>
                </c:pt>
                <c:pt idx="65">
                  <c:v>-56.425956926727949</c:v>
                </c:pt>
                <c:pt idx="66">
                  <c:v>-57.741389973219768</c:v>
                </c:pt>
                <c:pt idx="67">
                  <c:v>-58.785023473382218</c:v>
                </c:pt>
                <c:pt idx="68">
                  <c:v>-59.56272946885052</c:v>
                </c:pt>
                <c:pt idx="69">
                  <c:v>-60.274347676800915</c:v>
                </c:pt>
                <c:pt idx="70">
                  <c:v>-62.07269744404492</c:v>
                </c:pt>
                <c:pt idx="71">
                  <c:v>-63.081235250297063</c:v>
                </c:pt>
                <c:pt idx="72">
                  <c:v>-64.245656670573183</c:v>
                </c:pt>
                <c:pt idx="73">
                  <c:v>-65.46769666137746</c:v>
                </c:pt>
                <c:pt idx="74">
                  <c:v>-66.447525285060721</c:v>
                </c:pt>
                <c:pt idx="75">
                  <c:v>-67.953271143392357</c:v>
                </c:pt>
                <c:pt idx="76">
                  <c:v>-68.249571553600475</c:v>
                </c:pt>
                <c:pt idx="77">
                  <c:v>-68.536425079763319</c:v>
                </c:pt>
                <c:pt idx="78">
                  <c:v>-69.72022678523706</c:v>
                </c:pt>
                <c:pt idx="79">
                  <c:v>-71.360478022632194</c:v>
                </c:pt>
                <c:pt idx="80">
                  <c:v>-73.569424445190961</c:v>
                </c:pt>
                <c:pt idx="81">
                  <c:v>-74.293464278811314</c:v>
                </c:pt>
                <c:pt idx="82">
                  <c:v>-74.686910578602053</c:v>
                </c:pt>
                <c:pt idx="83">
                  <c:v>-75.934643884794269</c:v>
                </c:pt>
                <c:pt idx="84">
                  <c:v>-77.049917486518694</c:v>
                </c:pt>
                <c:pt idx="85">
                  <c:v>-78.719592493717457</c:v>
                </c:pt>
                <c:pt idx="86">
                  <c:v>-79.281650672931633</c:v>
                </c:pt>
                <c:pt idx="87">
                  <c:v>-80.532126326899942</c:v>
                </c:pt>
                <c:pt idx="88">
                  <c:v>-81.385256597815015</c:v>
                </c:pt>
                <c:pt idx="89">
                  <c:v>-83.039150587994342</c:v>
                </c:pt>
                <c:pt idx="90">
                  <c:v>-83.66806197731708</c:v>
                </c:pt>
                <c:pt idx="91">
                  <c:v>-84.939880415546298</c:v>
                </c:pt>
                <c:pt idx="92">
                  <c:v>-85.529208861530478</c:v>
                </c:pt>
                <c:pt idx="93">
                  <c:v>-86.504831144706486</c:v>
                </c:pt>
                <c:pt idx="94">
                  <c:v>-87.736180107224413</c:v>
                </c:pt>
                <c:pt idx="95">
                  <c:v>-88.067630946966801</c:v>
                </c:pt>
                <c:pt idx="96">
                  <c:v>-89.108238200022896</c:v>
                </c:pt>
                <c:pt idx="97">
                  <c:v>-91.255187233325799</c:v>
                </c:pt>
                <c:pt idx="98">
                  <c:v>-91.704405569742818</c:v>
                </c:pt>
                <c:pt idx="99">
                  <c:v>-92.888809030877738</c:v>
                </c:pt>
                <c:pt idx="100">
                  <c:v>-94.664944821274531</c:v>
                </c:pt>
                <c:pt idx="101">
                  <c:v>-95.998764880887165</c:v>
                </c:pt>
                <c:pt idx="102">
                  <c:v>-98.099383911339473</c:v>
                </c:pt>
                <c:pt idx="103">
                  <c:v>-100.14142807379673</c:v>
                </c:pt>
                <c:pt idx="104">
                  <c:v>-101.05332614183419</c:v>
                </c:pt>
                <c:pt idx="105">
                  <c:v>-101.49646416793875</c:v>
                </c:pt>
                <c:pt idx="106">
                  <c:v>-102.51648367983022</c:v>
                </c:pt>
                <c:pt idx="107">
                  <c:v>-103.73031921695957</c:v>
                </c:pt>
                <c:pt idx="108">
                  <c:v>-105.60107335542105</c:v>
                </c:pt>
                <c:pt idx="109">
                  <c:v>-106.38530299900266</c:v>
                </c:pt>
                <c:pt idx="110">
                  <c:v>-107.3254707350727</c:v>
                </c:pt>
                <c:pt idx="111">
                  <c:v>-107.89206493952285</c:v>
                </c:pt>
                <c:pt idx="112">
                  <c:v>-108.88083996688201</c:v>
                </c:pt>
                <c:pt idx="113">
                  <c:v>-109.3926683332184</c:v>
                </c:pt>
                <c:pt idx="114">
                  <c:v>-110.43361435401924</c:v>
                </c:pt>
                <c:pt idx="115">
                  <c:v>-110.76747873074501</c:v>
                </c:pt>
                <c:pt idx="116">
                  <c:v>-111.47134594758721</c:v>
                </c:pt>
                <c:pt idx="117">
                  <c:v>-112.04082261703651</c:v>
                </c:pt>
                <c:pt idx="118">
                  <c:v>-113.02814292655074</c:v>
                </c:pt>
                <c:pt idx="119">
                  <c:v>-113.4306903726745</c:v>
                </c:pt>
                <c:pt idx="120">
                  <c:v>-114.21818468543657</c:v>
                </c:pt>
                <c:pt idx="121">
                  <c:v>-115.39017427149533</c:v>
                </c:pt>
                <c:pt idx="122">
                  <c:v>-116.27417727678058</c:v>
                </c:pt>
                <c:pt idx="123">
                  <c:v>-116.85065563177662</c:v>
                </c:pt>
                <c:pt idx="124">
                  <c:v>-117.0500959132349</c:v>
                </c:pt>
                <c:pt idx="125">
                  <c:v>-117.97400159388486</c:v>
                </c:pt>
                <c:pt idx="126">
                  <c:v>-118.81933681192076</c:v>
                </c:pt>
                <c:pt idx="127">
                  <c:v>-119.9964290124956</c:v>
                </c:pt>
                <c:pt idx="128">
                  <c:v>-120.62531238620159</c:v>
                </c:pt>
                <c:pt idx="129">
                  <c:v>-121.38857871225136</c:v>
                </c:pt>
                <c:pt idx="130">
                  <c:v>-122.30365632739695</c:v>
                </c:pt>
                <c:pt idx="131">
                  <c:v>-123.20776806082061</c:v>
                </c:pt>
                <c:pt idx="132">
                  <c:v>-123.89852525606936</c:v>
                </c:pt>
                <c:pt idx="133">
                  <c:v>-124.75833462701841</c:v>
                </c:pt>
                <c:pt idx="134">
                  <c:v>-125.2760306799088</c:v>
                </c:pt>
                <c:pt idx="135">
                  <c:v>-125.70779345425794</c:v>
                </c:pt>
                <c:pt idx="136">
                  <c:v>-126.43685508805542</c:v>
                </c:pt>
                <c:pt idx="137">
                  <c:v>-126.95353091131382</c:v>
                </c:pt>
                <c:pt idx="138">
                  <c:v>-127.42394082892213</c:v>
                </c:pt>
                <c:pt idx="139">
                  <c:v>-127.70460559340214</c:v>
                </c:pt>
                <c:pt idx="140">
                  <c:v>-127.98651073272013</c:v>
                </c:pt>
                <c:pt idx="141">
                  <c:v>-129.10729070706901</c:v>
                </c:pt>
                <c:pt idx="142">
                  <c:v>-129.62841167334358</c:v>
                </c:pt>
                <c:pt idx="143">
                  <c:v>-129.80746461502719</c:v>
                </c:pt>
                <c:pt idx="144">
                  <c:v>-129.86494041399911</c:v>
                </c:pt>
                <c:pt idx="145">
                  <c:v>-129.90983815854736</c:v>
                </c:pt>
                <c:pt idx="146">
                  <c:v>-130.13114107494937</c:v>
                </c:pt>
                <c:pt idx="147">
                  <c:v>-130.63586531333098</c:v>
                </c:pt>
                <c:pt idx="148">
                  <c:v>-130.80507241669454</c:v>
                </c:pt>
                <c:pt idx="149">
                  <c:v>-130.93701428420033</c:v>
                </c:pt>
                <c:pt idx="150">
                  <c:v>-130.95594035824149</c:v>
                </c:pt>
                <c:pt idx="151">
                  <c:v>-131.23671279309417</c:v>
                </c:pt>
                <c:pt idx="152">
                  <c:v>-131.81440758863783</c:v>
                </c:pt>
                <c:pt idx="153">
                  <c:v>-132.07379547164791</c:v>
                </c:pt>
                <c:pt idx="154">
                  <c:v>-132.15313604807304</c:v>
                </c:pt>
                <c:pt idx="155">
                  <c:v>-132.43496984944971</c:v>
                </c:pt>
                <c:pt idx="156">
                  <c:v>-132.62838820605813</c:v>
                </c:pt>
                <c:pt idx="157">
                  <c:v>-132.62838820605813</c:v>
                </c:pt>
                <c:pt idx="158">
                  <c:v>-132.64338918761163</c:v>
                </c:pt>
                <c:pt idx="159">
                  <c:v>-132.82076583709156</c:v>
                </c:pt>
                <c:pt idx="160">
                  <c:v>-133.13462523247432</c:v>
                </c:pt>
                <c:pt idx="161">
                  <c:v>-133.25008474432812</c:v>
                </c:pt>
                <c:pt idx="162">
                  <c:v>-134.28507838865178</c:v>
                </c:pt>
                <c:pt idx="163">
                  <c:v>-135.70643374013972</c:v>
                </c:pt>
                <c:pt idx="164">
                  <c:v>-136.05069840318785</c:v>
                </c:pt>
                <c:pt idx="165">
                  <c:v>-136.1682134628353</c:v>
                </c:pt>
                <c:pt idx="166">
                  <c:v>-137.52533044679953</c:v>
                </c:pt>
                <c:pt idx="167">
                  <c:v>-137.53578173204667</c:v>
                </c:pt>
                <c:pt idx="168">
                  <c:v>-137.70171764678227</c:v>
                </c:pt>
                <c:pt idx="169">
                  <c:v>-139.48213585804999</c:v>
                </c:pt>
                <c:pt idx="170">
                  <c:v>-140.42518679296748</c:v>
                </c:pt>
                <c:pt idx="171">
                  <c:v>-142.42635189065862</c:v>
                </c:pt>
                <c:pt idx="172">
                  <c:v>-143.20036660096284</c:v>
                </c:pt>
                <c:pt idx="173">
                  <c:v>-144.91517593656877</c:v>
                </c:pt>
                <c:pt idx="174">
                  <c:v>-145.0932942249128</c:v>
                </c:pt>
                <c:pt idx="175">
                  <c:v>-146.75218082006373</c:v>
                </c:pt>
                <c:pt idx="176">
                  <c:v>-147.68819548970447</c:v>
                </c:pt>
                <c:pt idx="177">
                  <c:v>-150.15788247917439</c:v>
                </c:pt>
                <c:pt idx="178">
                  <c:v>-153.91358367779193</c:v>
                </c:pt>
                <c:pt idx="179">
                  <c:v>-155.40704673007869</c:v>
                </c:pt>
                <c:pt idx="180">
                  <c:v>-157.19153549076282</c:v>
                </c:pt>
                <c:pt idx="181">
                  <c:v>-157.19153549076282</c:v>
                </c:pt>
                <c:pt idx="182">
                  <c:v>-157.79308280465301</c:v>
                </c:pt>
                <c:pt idx="183">
                  <c:v>-157.79308280465301</c:v>
                </c:pt>
                <c:pt idx="184">
                  <c:v>-157.79308280465301</c:v>
                </c:pt>
                <c:pt idx="185">
                  <c:v>-158.50580599920366</c:v>
                </c:pt>
                <c:pt idx="186">
                  <c:v>-159.58718730353755</c:v>
                </c:pt>
                <c:pt idx="187">
                  <c:v>-160.76372746249146</c:v>
                </c:pt>
                <c:pt idx="188">
                  <c:v>-160.76372746249146</c:v>
                </c:pt>
                <c:pt idx="189">
                  <c:v>-162.0512169886253</c:v>
                </c:pt>
                <c:pt idx="190">
                  <c:v>-163.30703293654724</c:v>
                </c:pt>
                <c:pt idx="191">
                  <c:v>-165.00003447090356</c:v>
                </c:pt>
                <c:pt idx="192">
                  <c:v>-166.62307158740543</c:v>
                </c:pt>
                <c:pt idx="193">
                  <c:v>-166.68662774211114</c:v>
                </c:pt>
                <c:pt idx="194">
                  <c:v>-166.79379028500327</c:v>
                </c:pt>
                <c:pt idx="195">
                  <c:v>-167.16170094497593</c:v>
                </c:pt>
                <c:pt idx="196">
                  <c:v>-167.16170094497593</c:v>
                </c:pt>
                <c:pt idx="197">
                  <c:v>-167.16170094497593</c:v>
                </c:pt>
                <c:pt idx="198">
                  <c:v>-167.16170094497593</c:v>
                </c:pt>
                <c:pt idx="199">
                  <c:v>-167.16170094497593</c:v>
                </c:pt>
                <c:pt idx="200">
                  <c:v>-167.16170094497593</c:v>
                </c:pt>
                <c:pt idx="201">
                  <c:v>-167.16170094497593</c:v>
                </c:pt>
                <c:pt idx="202">
                  <c:v>-167.16170094497593</c:v>
                </c:pt>
                <c:pt idx="203">
                  <c:v>-167.16170094497593</c:v>
                </c:pt>
                <c:pt idx="204">
                  <c:v>-167.16170094497593</c:v>
                </c:pt>
                <c:pt idx="205">
                  <c:v>-167.16170094497593</c:v>
                </c:pt>
                <c:pt idx="206">
                  <c:v>-167.16170094497593</c:v>
                </c:pt>
                <c:pt idx="207">
                  <c:v>-167.16170094497593</c:v>
                </c:pt>
                <c:pt idx="208">
                  <c:v>-167.16170094497593</c:v>
                </c:pt>
                <c:pt idx="209">
                  <c:v>-167.16170094497593</c:v>
                </c:pt>
                <c:pt idx="210">
                  <c:v>-167.16170094497593</c:v>
                </c:pt>
                <c:pt idx="211">
                  <c:v>-167.16170094497593</c:v>
                </c:pt>
                <c:pt idx="212">
                  <c:v>-167.16170094497593</c:v>
                </c:pt>
                <c:pt idx="213">
                  <c:v>-167.16170094497593</c:v>
                </c:pt>
                <c:pt idx="214">
                  <c:v>-167.16170094497593</c:v>
                </c:pt>
                <c:pt idx="215">
                  <c:v>-167.16170094497593</c:v>
                </c:pt>
                <c:pt idx="216">
                  <c:v>-167.16170094497593</c:v>
                </c:pt>
                <c:pt idx="217">
                  <c:v>-167.16170094497593</c:v>
                </c:pt>
                <c:pt idx="218">
                  <c:v>-167.16170094497593</c:v>
                </c:pt>
                <c:pt idx="219">
                  <c:v>-167.16170094497593</c:v>
                </c:pt>
                <c:pt idx="220">
                  <c:v>-167.16170094497593</c:v>
                </c:pt>
                <c:pt idx="221">
                  <c:v>-167.16170094497593</c:v>
                </c:pt>
                <c:pt idx="222">
                  <c:v>-167.16170094497593</c:v>
                </c:pt>
                <c:pt idx="223">
                  <c:v>-167.16170094497593</c:v>
                </c:pt>
                <c:pt idx="224">
                  <c:v>-167.16170094497593</c:v>
                </c:pt>
                <c:pt idx="225">
                  <c:v>-167.16170094497593</c:v>
                </c:pt>
                <c:pt idx="226">
                  <c:v>-167.16170094497593</c:v>
                </c:pt>
                <c:pt idx="227">
                  <c:v>-167.16170094497593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0.67824532837476781</c:v>
                </c:pt>
                <c:pt idx="1">
                  <c:v>1.3512754435924919</c:v>
                </c:pt>
                <c:pt idx="2">
                  <c:v>2.0230620540605093</c:v>
                </c:pt>
                <c:pt idx="3">
                  <c:v>2.7174255990638363</c:v>
                </c:pt>
                <c:pt idx="4">
                  <c:v>3.4104020191937048</c:v>
                </c:pt>
                <c:pt idx="5">
                  <c:v>4.0882787075714653</c:v>
                </c:pt>
                <c:pt idx="6">
                  <c:v>4.7689365513838107</c:v>
                </c:pt>
                <c:pt idx="7">
                  <c:v>5.4641669891470412</c:v>
                </c:pt>
                <c:pt idx="8">
                  <c:v>6.1420436775248017</c:v>
                </c:pt>
                <c:pt idx="9">
                  <c:v>6.8099649534671247</c:v>
                </c:pt>
                <c:pt idx="10">
                  <c:v>7.5057595823538863</c:v>
                </c:pt>
                <c:pt idx="11">
                  <c:v>8.1875318082893607</c:v>
                </c:pt>
                <c:pt idx="12">
                  <c:v>8.86986163676902</c:v>
                </c:pt>
                <c:pt idx="13">
                  <c:v>9.5394359824688095</c:v>
                </c:pt>
                <c:pt idx="14">
                  <c:v>10.221208208404283</c:v>
                </c:pt>
                <c:pt idx="15">
                  <c:v>10.894649306299488</c:v>
                </c:pt>
                <c:pt idx="16">
                  <c:v>11.528424824721958</c:v>
                </c:pt>
                <c:pt idx="17">
                  <c:v>12.170231921545245</c:v>
                </c:pt>
                <c:pt idx="18">
                  <c:v>12.801876052125477</c:v>
                </c:pt>
                <c:pt idx="19">
                  <c:v>13.448531578392522</c:v>
                </c:pt>
                <c:pt idx="20">
                  <c:v>14.107678104979142</c:v>
                </c:pt>
                <c:pt idx="21">
                  <c:v>14.788893002697563</c:v>
                </c:pt>
                <c:pt idx="22">
                  <c:v>15.483559524038419</c:v>
                </c:pt>
                <c:pt idx="23">
                  <c:v>16.128057461618397</c:v>
                </c:pt>
                <c:pt idx="24">
                  <c:v>16.751219650789835</c:v>
                </c:pt>
                <c:pt idx="25">
                  <c:v>17.378084106443357</c:v>
                </c:pt>
                <c:pt idx="26">
                  <c:v>17.999663695073963</c:v>
                </c:pt>
                <c:pt idx="27">
                  <c:v>18.615461373701983</c:v>
                </c:pt>
                <c:pt idx="28">
                  <c:v>19.216689911440874</c:v>
                </c:pt>
                <c:pt idx="29">
                  <c:v>19.822578160404962</c:v>
                </c:pt>
                <c:pt idx="30">
                  <c:v>20.436804667907378</c:v>
                </c:pt>
                <c:pt idx="31">
                  <c:v>21.034424183803061</c:v>
                </c:pt>
                <c:pt idx="32">
                  <c:v>21.618755047029484</c:v>
                </c:pt>
                <c:pt idx="33">
                  <c:v>22.182005821452385</c:v>
                </c:pt>
                <c:pt idx="34">
                  <c:v>22.751730494123585</c:v>
                </c:pt>
                <c:pt idx="35">
                  <c:v>23.336061357350008</c:v>
                </c:pt>
                <c:pt idx="36">
                  <c:v>23.936773506593767</c:v>
                </c:pt>
                <c:pt idx="37">
                  <c:v>24.533364314666681</c:v>
                </c:pt>
                <c:pt idx="38">
                  <c:v>25.11313789845217</c:v>
                </c:pt>
                <c:pt idx="39">
                  <c:v>25.688878952072077</c:v>
                </c:pt>
                <c:pt idx="40">
                  <c:v>26.26512312615522</c:v>
                </c:pt>
                <c:pt idx="41">
                  <c:v>26.821452943033055</c:v>
                </c:pt>
                <c:pt idx="42">
                  <c:v>27.370914548508448</c:v>
                </c:pt>
                <c:pt idx="43">
                  <c:v>27.944144051605246</c:v>
                </c:pt>
                <c:pt idx="44">
                  <c:v>28.514868754795469</c:v>
                </c:pt>
                <c:pt idx="45">
                  <c:v>29.1002153225662</c:v>
                </c:pt>
                <c:pt idx="46">
                  <c:v>29.659010851024171</c:v>
                </c:pt>
                <c:pt idx="47">
                  <c:v>30.206032292156099</c:v>
                </c:pt>
                <c:pt idx="48">
                  <c:v>30.749648782743055</c:v>
                </c:pt>
                <c:pt idx="49">
                  <c:v>31.306964076718589</c:v>
                </c:pt>
                <c:pt idx="50">
                  <c:v>31.884215302292542</c:v>
                </c:pt>
                <c:pt idx="51">
                  <c:v>32.430749516408689</c:v>
                </c:pt>
                <c:pt idx="52">
                  <c:v>32.942439598278398</c:v>
                </c:pt>
                <c:pt idx="53">
                  <c:v>33.43701168318433</c:v>
                </c:pt>
                <c:pt idx="54">
                  <c:v>33.945435311471016</c:v>
                </c:pt>
                <c:pt idx="55">
                  <c:v>34.440465265558188</c:v>
                </c:pt>
                <c:pt idx="56">
                  <c:v>34.93687041809315</c:v>
                </c:pt>
                <c:pt idx="57">
                  <c:v>35.425968740294017</c:v>
                </c:pt>
                <c:pt idx="58">
                  <c:v>35.890905900039371</c:v>
                </c:pt>
                <c:pt idx="59">
                  <c:v>36.360702455309955</c:v>
                </c:pt>
                <c:pt idx="60">
                  <c:v>36.836282984905729</c:v>
                </c:pt>
                <c:pt idx="61">
                  <c:v>37.309188456953621</c:v>
                </c:pt>
                <c:pt idx="62">
                  <c:v>37.787005450104843</c:v>
                </c:pt>
                <c:pt idx="63">
                  <c:v>38.277924122048546</c:v>
                </c:pt>
                <c:pt idx="64">
                  <c:v>38.786813588006986</c:v>
                </c:pt>
                <c:pt idx="65">
                  <c:v>39.296635527733088</c:v>
                </c:pt>
                <c:pt idx="66">
                  <c:v>39.809261278497871</c:v>
                </c:pt>
                <c:pt idx="67">
                  <c:v>40.313504338203344</c:v>
                </c:pt>
                <c:pt idx="68">
                  <c:v>40.808992426599673</c:v>
                </c:pt>
                <c:pt idx="69">
                  <c:v>41.278788981870257</c:v>
                </c:pt>
                <c:pt idx="70">
                  <c:v>41.751249533073526</c:v>
                </c:pt>
                <c:pt idx="71">
                  <c:v>42.19878376158708</c:v>
                </c:pt>
                <c:pt idx="72">
                  <c:v>42.649333266727751</c:v>
                </c:pt>
                <c:pt idx="73">
                  <c:v>43.123129370672622</c:v>
                </c:pt>
                <c:pt idx="74">
                  <c:v>43.581491302561446</c:v>
                </c:pt>
                <c:pt idx="75">
                  <c:v>44.046868911182322</c:v>
                </c:pt>
                <c:pt idx="76">
                  <c:v>44.51710880772923</c:v>
                </c:pt>
                <c:pt idx="77">
                  <c:v>44.972422493319421</c:v>
                </c:pt>
                <c:pt idx="78">
                  <c:v>45.416526360901216</c:v>
                </c:pt>
                <c:pt idx="79">
                  <c:v>45.865351283002042</c:v>
                </c:pt>
                <c:pt idx="80">
                  <c:v>46.321534586129133</c:v>
                </c:pt>
                <c:pt idx="81">
                  <c:v>46.761799251788069</c:v>
                </c:pt>
                <c:pt idx="82">
                  <c:v>47.206331001083555</c:v>
                </c:pt>
                <c:pt idx="83">
                  <c:v>47.645745377169028</c:v>
                </c:pt>
                <c:pt idx="84">
                  <c:v>48.089421623889081</c:v>
                </c:pt>
                <c:pt idx="85">
                  <c:v>48.536955852402635</c:v>
                </c:pt>
                <c:pt idx="86">
                  <c:v>48.95875425395414</c:v>
                </c:pt>
                <c:pt idx="87">
                  <c:v>49.360978586049214</c:v>
                </c:pt>
                <c:pt idx="88">
                  <c:v>49.76844566226913</c:v>
                </c:pt>
                <c:pt idx="89">
                  <c:v>50.195647725801706</c:v>
                </c:pt>
                <c:pt idx="90">
                  <c:v>50.644042155468739</c:v>
                </c:pt>
                <c:pt idx="91">
                  <c:v>51.090288040941111</c:v>
                </c:pt>
                <c:pt idx="92">
                  <c:v>51.533964287661163</c:v>
                </c:pt>
                <c:pt idx="93">
                  <c:v>51.964933003293297</c:v>
                </c:pt>
                <c:pt idx="94">
                  <c:v>52.402226211846013</c:v>
                </c:pt>
                <c:pt idx="95">
                  <c:v>52.812534295488959</c:v>
                </c:pt>
                <c:pt idx="96">
                  <c:v>53.208365521711642</c:v>
                </c:pt>
                <c:pt idx="97">
                  <c:v>53.615832597931558</c:v>
                </c:pt>
                <c:pt idx="98">
                  <c:v>54.030630612463526</c:v>
                </c:pt>
                <c:pt idx="99">
                  <c:v>54.428851569647122</c:v>
                </c:pt>
                <c:pt idx="100">
                  <c:v>54.864030115716538</c:v>
                </c:pt>
                <c:pt idx="101">
                  <c:v>55.323702370350269</c:v>
                </c:pt>
                <c:pt idx="102">
                  <c:v>55.772527292451095</c:v>
                </c:pt>
                <c:pt idx="103">
                  <c:v>56.205597675940176</c:v>
                </c:pt>
                <c:pt idx="104">
                  <c:v>56.63321721900261</c:v>
                </c:pt>
                <c:pt idx="105">
                  <c:v>57.081181417487116</c:v>
                </c:pt>
                <c:pt idx="106">
                  <c:v>57.508383481019692</c:v>
                </c:pt>
                <c:pt idx="107">
                  <c:v>57.960229168515696</c:v>
                </c:pt>
                <c:pt idx="108">
                  <c:v>58.406046128465405</c:v>
                </c:pt>
                <c:pt idx="109">
                  <c:v>58.853580356978959</c:v>
                </c:pt>
                <c:pt idx="110">
                  <c:v>59.277036763735765</c:v>
                </c:pt>
                <c:pt idx="111">
                  <c:v>59.696355916036147</c:v>
                </c:pt>
                <c:pt idx="112">
                  <c:v>60.133225671852458</c:v>
                </c:pt>
                <c:pt idx="113">
                  <c:v>60.573915873009881</c:v>
                </c:pt>
                <c:pt idx="114">
                  <c:v>61.022740795110707</c:v>
                </c:pt>
                <c:pt idx="115">
                  <c:v>61.47113522477774</c:v>
                </c:pt>
                <c:pt idx="116">
                  <c:v>61.923413496140313</c:v>
                </c:pt>
                <c:pt idx="117">
                  <c:v>62.377858611710401</c:v>
                </c:pt>
                <c:pt idx="118">
                  <c:v>62.847212088836585</c:v>
                </c:pt>
                <c:pt idx="119">
                  <c:v>63.313471383521112</c:v>
                </c:pt>
                <c:pt idx="120">
                  <c:v>63.775771365826586</c:v>
                </c:pt>
                <c:pt idx="121">
                  <c:v>64.225458056707296</c:v>
                </c:pt>
                <c:pt idx="122">
                  <c:v>64.671703942179676</c:v>
                </c:pt>
                <c:pt idx="123">
                  <c:v>65.122685246604036</c:v>
                </c:pt>
                <c:pt idx="124">
                  <c:v>65.573234751744707</c:v>
                </c:pt>
                <c:pt idx="125">
                  <c:v>66.029418054871797</c:v>
                </c:pt>
                <c:pt idx="126">
                  <c:v>66.47609312691911</c:v>
                </c:pt>
                <c:pt idx="127">
                  <c:v>66.934018808910267</c:v>
                </c:pt>
                <c:pt idx="128">
                  <c:v>67.379835768859976</c:v>
                </c:pt>
                <c:pt idx="129">
                  <c:v>67.835584132259612</c:v>
                </c:pt>
                <c:pt idx="130">
                  <c:v>68.285702099565555</c:v>
                </c:pt>
                <c:pt idx="131">
                  <c:v>68.712486942770141</c:v>
                </c:pt>
                <c:pt idx="132">
                  <c:v>69.140524224606608</c:v>
                </c:pt>
                <c:pt idx="133">
                  <c:v>69.563565741940806</c:v>
                </c:pt>
                <c:pt idx="134">
                  <c:v>69.986607259275004</c:v>
                </c:pt>
                <c:pt idx="135">
                  <c:v>70.412141996283296</c:v>
                </c:pt>
                <c:pt idx="136">
                  <c:v>70.849435204836013</c:v>
                </c:pt>
                <c:pt idx="137">
                  <c:v>71.298690880661539</c:v>
                </c:pt>
                <c:pt idx="138">
                  <c:v>71.753570150321508</c:v>
                </c:pt>
                <c:pt idx="139">
                  <c:v>72.219388470576249</c:v>
                </c:pt>
                <c:pt idx="140">
                  <c:v>72.685647765260768</c:v>
                </c:pt>
                <c:pt idx="141">
                  <c:v>73.160335554957399</c:v>
                </c:pt>
                <c:pt idx="142">
                  <c:v>73.628803665042042</c:v>
                </c:pt>
                <c:pt idx="143">
                  <c:v>74.095945697124066</c:v>
                </c:pt>
                <c:pt idx="144">
                  <c:v>74.548223968486639</c:v>
                </c:pt>
                <c:pt idx="145">
                  <c:v>74.999637333682998</c:v>
                </c:pt>
                <c:pt idx="146">
                  <c:v>75.457127027887722</c:v>
                </c:pt>
                <c:pt idx="147">
                  <c:v>75.917236581248318</c:v>
                </c:pt>
                <c:pt idx="148">
                  <c:v>76.370814174004053</c:v>
                </c:pt>
                <c:pt idx="149">
                  <c:v>76.826997477131144</c:v>
                </c:pt>
                <c:pt idx="150">
                  <c:v>77.308856726552548</c:v>
                </c:pt>
                <c:pt idx="151">
                  <c:v>77.79523246380981</c:v>
                </c:pt>
                <c:pt idx="152">
                  <c:v>78.290262417896983</c:v>
                </c:pt>
                <c:pt idx="153">
                  <c:v>78.783005676671905</c:v>
                </c:pt>
                <c:pt idx="154">
                  <c:v>79.262616588691614</c:v>
                </c:pt>
                <c:pt idx="155">
                  <c:v>79.762239822246585</c:v>
                </c:pt>
                <c:pt idx="156">
                  <c:v>80.245451243197707</c:v>
                </c:pt>
                <c:pt idx="157">
                  <c:v>80.735459210772675</c:v>
                </c:pt>
                <c:pt idx="158">
                  <c:v>81.231864363307636</c:v>
                </c:pt>
                <c:pt idx="159">
                  <c:v>81.746833948699148</c:v>
                </c:pt>
                <c:pt idx="160">
                  <c:v>82.25015091782835</c:v>
                </c:pt>
                <c:pt idx="161">
                  <c:v>82.761373564754919</c:v>
                </c:pt>
                <c:pt idx="162">
                  <c:v>83.287210679927284</c:v>
                </c:pt>
                <c:pt idx="163">
                  <c:v>83.822131944389824</c:v>
                </c:pt>
                <c:pt idx="164">
                  <c:v>84.352260037546159</c:v>
                </c:pt>
                <c:pt idx="165">
                  <c:v>84.871937287462927</c:v>
                </c:pt>
                <c:pt idx="166">
                  <c:v>85.387376439303495</c:v>
                </c:pt>
                <c:pt idx="167">
                  <c:v>85.900002190068278</c:v>
                </c:pt>
                <c:pt idx="168">
                  <c:v>86.407960246781045</c:v>
                </c:pt>
                <c:pt idx="169">
                  <c:v>86.922929832172557</c:v>
                </c:pt>
                <c:pt idx="170">
                  <c:v>87.444024583932901</c:v>
                </c:pt>
                <c:pt idx="171">
                  <c:v>87.986185836250613</c:v>
                </c:pt>
                <c:pt idx="172">
                  <c:v>88.513927378691591</c:v>
                </c:pt>
                <c:pt idx="173">
                  <c:v>89.037389973183053</c:v>
                </c:pt>
                <c:pt idx="174">
                  <c:v>89.579066682698766</c:v>
                </c:pt>
                <c:pt idx="175">
                  <c:v>90.136381976674301</c:v>
                </c:pt>
                <c:pt idx="176">
                  <c:v>90.710615289724885</c:v>
                </c:pt>
                <c:pt idx="177">
                  <c:v>91.279341011244611</c:v>
                </c:pt>
                <c:pt idx="178">
                  <c:v>91.835670828122446</c:v>
                </c:pt>
                <c:pt idx="179">
                  <c:v>92.388069498941178</c:v>
                </c:pt>
                <c:pt idx="180">
                  <c:v>92.955298817086558</c:v>
                </c:pt>
                <c:pt idx="181">
                  <c:v>93.503295518017424</c:v>
                </c:pt>
                <c:pt idx="182">
                  <c:v>94.052757123492825</c:v>
                </c:pt>
                <c:pt idx="183">
                  <c:v>94.608102539728051</c:v>
                </c:pt>
                <c:pt idx="184">
                  <c:v>95.151719030315007</c:v>
                </c:pt>
                <c:pt idx="185">
                  <c:v>95.730987601843808</c:v>
                </c:pt>
                <c:pt idx="186">
                  <c:v>96.320918239261687</c:v>
                </c:pt>
                <c:pt idx="187">
                  <c:v>96.874298082690075</c:v>
                </c:pt>
                <c:pt idx="188">
                  <c:v>97.441029139165622</c:v>
                </c:pt>
                <c:pt idx="189">
                  <c:v>98.033515960698352</c:v>
                </c:pt>
                <c:pt idx="190">
                  <c:v>98.621916138092161</c:v>
                </c:pt>
                <c:pt idx="191">
                  <c:v>99.193641951378922</c:v>
                </c:pt>
                <c:pt idx="192">
                  <c:v>99.750957245354456</c:v>
                </c:pt>
                <c:pt idx="193">
                  <c:v>100.31074094301174</c:v>
                </c:pt>
                <c:pt idx="194">
                  <c:v>100.90016115626648</c:v>
                </c:pt>
                <c:pt idx="195">
                  <c:v>101.46490186262849</c:v>
                </c:pt>
                <c:pt idx="196">
                  <c:v>102.01730053344723</c:v>
                </c:pt>
                <c:pt idx="197">
                  <c:v>102.55691311948502</c:v>
                </c:pt>
                <c:pt idx="198">
                  <c:v>103.11891378292968</c:v>
                </c:pt>
                <c:pt idx="199">
                  <c:v>103.70095803412396</c:v>
                </c:pt>
                <c:pt idx="200">
                  <c:v>104.30322016300913</c:v>
                </c:pt>
                <c:pt idx="201">
                  <c:v>104.87544693625114</c:v>
                </c:pt>
                <c:pt idx="202">
                  <c:v>105.46339933282829</c:v>
                </c:pt>
                <c:pt idx="203">
                  <c:v>106.03245842332481</c:v>
                </c:pt>
                <c:pt idx="204">
                  <c:v>106.64144422135108</c:v>
                </c:pt>
                <c:pt idx="205">
                  <c:v>107.23915804028877</c:v>
                </c:pt>
                <c:pt idx="206">
                  <c:v>107.82868463043644</c:v>
                </c:pt>
                <c:pt idx="207">
                  <c:v>108.42203586871489</c:v>
                </c:pt>
                <c:pt idx="208">
                  <c:v>108.97909351033437</c:v>
                </c:pt>
                <c:pt idx="209">
                  <c:v>109.49406162312781</c:v>
                </c:pt>
                <c:pt idx="210">
                  <c:v>109.97862071391472</c:v>
                </c:pt>
                <c:pt idx="211">
                  <c:v>110.44999416917464</c:v>
                </c:pt>
                <c:pt idx="212">
                  <c:v>110.92895710453377</c:v>
                </c:pt>
                <c:pt idx="213">
                  <c:v>111.45716782471125</c:v>
                </c:pt>
                <c:pt idx="214">
                  <c:v>111.97619012723705</c:v>
                </c:pt>
                <c:pt idx="215">
                  <c:v>112.520927155195</c:v>
                </c:pt>
                <c:pt idx="216">
                  <c:v>113.07729765881474</c:v>
                </c:pt>
                <c:pt idx="217">
                  <c:v>113.61708841241261</c:v>
                </c:pt>
                <c:pt idx="218">
                  <c:v>114.16084850597971</c:v>
                </c:pt>
                <c:pt idx="219">
                  <c:v>114.6849611453494</c:v>
                </c:pt>
                <c:pt idx="220">
                  <c:v>115.2101446309066</c:v>
                </c:pt>
                <c:pt idx="221">
                  <c:v>115.71670290911391</c:v>
                </c:pt>
                <c:pt idx="222">
                  <c:v>116.21434188468679</c:v>
                </c:pt>
                <c:pt idx="223">
                  <c:v>116.70650356209212</c:v>
                </c:pt>
                <c:pt idx="224">
                  <c:v>117.22156908278508</c:v>
                </c:pt>
                <c:pt idx="225">
                  <c:v>117.70242886213246</c:v>
                </c:pt>
                <c:pt idx="226">
                  <c:v>118.15143249877764</c:v>
                </c:pt>
                <c:pt idx="227">
                  <c:v>118.57644183760132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-4.6642102585129436E-2</c:v>
                </c:pt>
                <c:pt idx="2">
                  <c:v>2.1908925654306854E-2</c:v>
                </c:pt>
                <c:pt idx="3">
                  <c:v>0.18678592410635531</c:v>
                </c:pt>
                <c:pt idx="4">
                  <c:v>0.43559181307616923</c:v>
                </c:pt>
                <c:pt idx="5">
                  <c:v>0.7526467751469248</c:v>
                </c:pt>
                <c:pt idx="6">
                  <c:v>1.1347739183302556</c:v>
                </c:pt>
                <c:pt idx="7">
                  <c:v>1.5816016438441398</c:v>
                </c:pt>
                <c:pt idx="8">
                  <c:v>2.0681322810655214</c:v>
                </c:pt>
                <c:pt idx="9">
                  <c:v>2.5900276519453342</c:v>
                </c:pt>
                <c:pt idx="10">
                  <c:v>3.1675803007417112</c:v>
                </c:pt>
                <c:pt idx="11">
                  <c:v>3.7666293458989482</c:v>
                </c:pt>
                <c:pt idx="12">
                  <c:v>4.3922676596110906</c:v>
                </c:pt>
                <c:pt idx="13">
                  <c:v>5.0291817110460038</c:v>
                </c:pt>
                <c:pt idx="14">
                  <c:v>5.6933222284701461</c:v>
                </c:pt>
                <c:pt idx="15">
                  <c:v>6.3642659615572388</c:v>
                </c:pt>
                <c:pt idx="16">
                  <c:v>7.0117277767048147</c:v>
                </c:pt>
                <c:pt idx="17">
                  <c:v>7.6728496897538019</c:v>
                </c:pt>
                <c:pt idx="18">
                  <c:v>8.3298074751926823</c:v>
                </c:pt>
                <c:pt idx="19">
                  <c:v>9.0020816890904296</c:v>
                </c:pt>
                <c:pt idx="20">
                  <c:v>9.6856686343640757</c:v>
                </c:pt>
                <c:pt idx="21">
                  <c:v>10.387066269959764</c:v>
                </c:pt>
                <c:pt idx="22">
                  <c:v>11.096925849289168</c:v>
                </c:pt>
                <c:pt idx="23">
                  <c:v>11.75886605987748</c:v>
                </c:pt>
                <c:pt idx="24">
                  <c:v>12.397295686047274</c:v>
                </c:pt>
                <c:pt idx="25">
                  <c:v>13.032427541668092</c:v>
                </c:pt>
                <c:pt idx="26">
                  <c:v>13.655925609234867</c:v>
                </c:pt>
                <c:pt idx="27">
                  <c:v>14.26677416376052</c:v>
                </c:pt>
                <c:pt idx="28">
                  <c:v>14.857574181752687</c:v>
                </c:pt>
                <c:pt idx="29">
                  <c:v>15.443204606543524</c:v>
                </c:pt>
                <c:pt idx="30">
                  <c:v>16.02582601323439</c:v>
                </c:pt>
                <c:pt idx="31">
                  <c:v>16.585973469562344</c:v>
                </c:pt>
                <c:pt idx="32">
                  <c:v>17.126451012909079</c:v>
                </c:pt>
                <c:pt idx="33">
                  <c:v>17.641990121172483</c:v>
                </c:pt>
                <c:pt idx="34">
                  <c:v>18.15256292181266</c:v>
                </c:pt>
                <c:pt idx="35">
                  <c:v>18.663351592396562</c:v>
                </c:pt>
                <c:pt idx="36">
                  <c:v>19.17484748229727</c:v>
                </c:pt>
                <c:pt idx="37">
                  <c:v>19.672624586598165</c:v>
                </c:pt>
                <c:pt idx="38">
                  <c:v>20.148576469938458</c:v>
                </c:pt>
                <c:pt idx="39">
                  <c:v>20.611493604713633</c:v>
                </c:pt>
                <c:pt idx="40">
                  <c:v>21.064332175742319</c:v>
                </c:pt>
                <c:pt idx="41">
                  <c:v>21.494816075555967</c:v>
                </c:pt>
                <c:pt idx="42">
                  <c:v>21.911478843298756</c:v>
                </c:pt>
                <c:pt idx="43">
                  <c:v>22.332174367912621</c:v>
                </c:pt>
                <c:pt idx="44">
                  <c:v>22.741301783752096</c:v>
                </c:pt>
                <c:pt idx="45">
                  <c:v>23.148415774238334</c:v>
                </c:pt>
                <c:pt idx="46">
                  <c:v>23.531071456645549</c:v>
                </c:pt>
                <c:pt idx="47">
                  <c:v>23.89815611829513</c:v>
                </c:pt>
                <c:pt idx="48">
                  <c:v>24.254455857836387</c:v>
                </c:pt>
                <c:pt idx="49">
                  <c:v>24.608603988890206</c:v>
                </c:pt>
                <c:pt idx="50">
                  <c:v>24.963227338267085</c:v>
                </c:pt>
                <c:pt idx="51">
                  <c:v>25.2940536421407</c:v>
                </c:pt>
                <c:pt idx="52">
                  <c:v>25.600625065050977</c:v>
                </c:pt>
                <c:pt idx="53">
                  <c:v>25.892110835833073</c:v>
                </c:pt>
                <c:pt idx="54">
                  <c:v>26.182382643682455</c:v>
                </c:pt>
                <c:pt idx="55">
                  <c:v>26.45980216426798</c:v>
                </c:pt>
                <c:pt idx="56">
                  <c:v>26.730893640892791</c:v>
                </c:pt>
                <c:pt idx="57">
                  <c:v>26.99231621909744</c:v>
                </c:pt>
                <c:pt idx="58">
                  <c:v>27.237966420691574</c:v>
                </c:pt>
                <c:pt idx="59">
                  <c:v>27.479485197810575</c:v>
                </c:pt>
                <c:pt idx="60">
                  <c:v>27.717186202951083</c:v>
                </c:pt>
                <c:pt idx="61">
                  <c:v>27.948020740782905</c:v>
                </c:pt>
                <c:pt idx="62">
                  <c:v>28.174802106760353</c:v>
                </c:pt>
                <c:pt idx="63">
                  <c:v>28.40028727931379</c:v>
                </c:pt>
                <c:pt idx="64">
                  <c:v>28.625872416563404</c:v>
                </c:pt>
                <c:pt idx="65">
                  <c:v>28.845729393622605</c:v>
                </c:pt>
                <c:pt idx="66">
                  <c:v>29.060553800053988</c:v>
                </c:pt>
                <c:pt idx="67">
                  <c:v>29.2669947845447</c:v>
                </c:pt>
                <c:pt idx="68">
                  <c:v>29.465287598946745</c:v>
                </c:pt>
                <c:pt idx="69">
                  <c:v>29.650912144706918</c:v>
                </c:pt>
                <c:pt idx="70">
                  <c:v>29.832501558526566</c:v>
                </c:pt>
                <c:pt idx="71">
                  <c:v>30.002614326925372</c:v>
                </c:pt>
                <c:pt idx="72">
                  <c:v>30.16926535338596</c:v>
                </c:pt>
                <c:pt idx="73">
                  <c:v>30.33771018578469</c:v>
                </c:pt>
                <c:pt idx="74">
                  <c:v>30.497854323212518</c:v>
                </c:pt>
                <c:pt idx="75">
                  <c:v>30.655601077472618</c:v>
                </c:pt>
                <c:pt idx="76">
                  <c:v>30.810399410137386</c:v>
                </c:pt>
                <c:pt idx="77">
                  <c:v>30.957659803763928</c:v>
                </c:pt>
                <c:pt idx="78">
                  <c:v>31.098596022542701</c:v>
                </c:pt>
                <c:pt idx="79">
                  <c:v>31.236994471965595</c:v>
                </c:pt>
                <c:pt idx="80">
                  <c:v>31.373425285112905</c:v>
                </c:pt>
                <c:pt idx="81">
                  <c:v>31.502991566366418</c:v>
                </c:pt>
                <c:pt idx="82">
                  <c:v>31.630138368030412</c:v>
                </c:pt>
                <c:pt idx="83">
                  <c:v>31.753019108447152</c:v>
                </c:pt>
                <c:pt idx="84">
                  <c:v>31.873598874720265</c:v>
                </c:pt>
                <c:pt idx="85">
                  <c:v>31.991813811810822</c:v>
                </c:pt>
                <c:pt idx="86">
                  <c:v>32.102267614438112</c:v>
                </c:pt>
                <c:pt idx="87">
                  <c:v>32.206499864095257</c:v>
                </c:pt>
                <c:pt idx="88">
                  <c:v>32.309137225348294</c:v>
                </c:pt>
                <c:pt idx="89">
                  <c:v>32.412628913799658</c:v>
                </c:pt>
                <c:pt idx="90">
                  <c:v>32.517033847056915</c:v>
                </c:pt>
                <c:pt idx="91">
                  <c:v>32.618376685943439</c:v>
                </c:pt>
                <c:pt idx="92">
                  <c:v>32.716686644781085</c:v>
                </c:pt>
                <c:pt idx="93">
                  <c:v>32.81050951092319</c:v>
                </c:pt>
                <c:pt idx="94">
                  <c:v>32.902898050232494</c:v>
                </c:pt>
                <c:pt idx="95">
                  <c:v>32.989002809514474</c:v>
                </c:pt>
                <c:pt idx="96">
                  <c:v>33.070951553516572</c:v>
                </c:pt>
                <c:pt idx="97">
                  <c:v>33.152543452167002</c:v>
                </c:pt>
                <c:pt idx="98">
                  <c:v>33.233129975841443</c:v>
                </c:pt>
                <c:pt idx="99">
                  <c:v>33.309548408266835</c:v>
                </c:pt>
                <c:pt idx="100">
                  <c:v>33.388868057538538</c:v>
                </c:pt>
                <c:pt idx="101">
                  <c:v>33.469231880203481</c:v>
                </c:pt>
                <c:pt idx="102">
                  <c:v>33.546132113660917</c:v>
                </c:pt>
                <c:pt idx="103">
                  <c:v>33.619149905899029</c:v>
                </c:pt>
                <c:pt idx="104">
                  <c:v>33.689676346624701</c:v>
                </c:pt>
                <c:pt idx="105">
                  <c:v>33.760716419287419</c:v>
                </c:pt>
                <c:pt idx="106">
                  <c:v>33.827621627075615</c:v>
                </c:pt>
                <c:pt idx="107">
                  <c:v>33.895478873520858</c:v>
                </c:pt>
                <c:pt idx="108">
                  <c:v>33.960925897192823</c:v>
                </c:pt>
                <c:pt idx="109">
                  <c:v>34.024847515324616</c:v>
                </c:pt>
                <c:pt idx="110">
                  <c:v>34.084723682008047</c:v>
                </c:pt>
                <c:pt idx="111">
                  <c:v>34.142703381093064</c:v>
                </c:pt>
                <c:pt idx="112">
                  <c:v>34.200891764786654</c:v>
                </c:pt>
                <c:pt idx="113">
                  <c:v>34.257944167600932</c:v>
                </c:pt>
                <c:pt idx="114">
                  <c:v>34.314258804453878</c:v>
                </c:pt>
                <c:pt idx="115">
                  <c:v>34.369072238001387</c:v>
                </c:pt>
                <c:pt idx="116">
                  <c:v>34.422793043960297</c:v>
                </c:pt>
                <c:pt idx="117">
                  <c:v>34.475291939533484</c:v>
                </c:pt>
                <c:pt idx="118">
                  <c:v>34.527621135401972</c:v>
                </c:pt>
                <c:pt idx="119">
                  <c:v>34.578308587337389</c:v>
                </c:pt>
                <c:pt idx="120">
                  <c:v>34.627346793730808</c:v>
                </c:pt>
                <c:pt idx="121">
                  <c:v>34.674154256784576</c:v>
                </c:pt>
                <c:pt idx="122">
                  <c:v>34.719504572392566</c:v>
                </c:pt>
                <c:pt idx="123">
                  <c:v>34.764026095871671</c:v>
                </c:pt>
                <c:pt idx="124">
                  <c:v>34.807369711889422</c:v>
                </c:pt>
                <c:pt idx="125">
                  <c:v>34.849975208576993</c:v>
                </c:pt>
                <c:pt idx="126">
                  <c:v>34.890856386245041</c:v>
                </c:pt>
                <c:pt idx="127">
                  <c:v>34.931410518799133</c:v>
                </c:pt>
                <c:pt idx="128">
                  <c:v>34.970164664818995</c:v>
                </c:pt>
                <c:pt idx="129">
                  <c:v>35.008534964817358</c:v>
                </c:pt>
                <c:pt idx="130">
                  <c:v>35.045587443028175</c:v>
                </c:pt>
                <c:pt idx="131">
                  <c:v>35.080363260579816</c:v>
                </c:pt>
                <c:pt idx="132">
                  <c:v>35.114358459646766</c:v>
                </c:pt>
                <c:pt idx="133">
                  <c:v>35.147250981079466</c:v>
                </c:pt>
                <c:pt idx="134">
                  <c:v>35.179347345439275</c:v>
                </c:pt>
                <c:pt idx="135">
                  <c:v>35.210797386296868</c:v>
                </c:pt>
                <c:pt idx="136">
                  <c:v>35.242080256665702</c:v>
                </c:pt>
                <c:pt idx="137">
                  <c:v>35.273183555870681</c:v>
                </c:pt>
                <c:pt idx="138">
                  <c:v>35.303779300760525</c:v>
                </c:pt>
                <c:pt idx="139">
                  <c:v>35.334118843760997</c:v>
                </c:pt>
                <c:pt idx="140">
                  <c:v>35.363703061122649</c:v>
                </c:pt>
                <c:pt idx="141">
                  <c:v>35.392909698509065</c:v>
                </c:pt>
                <c:pt idx="142">
                  <c:v>35.421092217451502</c:v>
                </c:pt>
                <c:pt idx="143">
                  <c:v>35.448500844030434</c:v>
                </c:pt>
                <c:pt idx="144">
                  <c:v>35.4746005269823</c:v>
                </c:pt>
                <c:pt idx="145">
                  <c:v>35.500021082397588</c:v>
                </c:pt>
                <c:pt idx="146">
                  <c:v>35.525055516680673</c:v>
                </c:pt>
                <c:pt idx="147">
                  <c:v>35.549570927277088</c:v>
                </c:pt>
                <c:pt idx="148">
                  <c:v>35.573234775643762</c:v>
                </c:pt>
                <c:pt idx="149">
                  <c:v>35.596415166240533</c:v>
                </c:pt>
                <c:pt idx="150">
                  <c:v>35.619944074593874</c:v>
                </c:pt>
                <c:pt idx="151">
                  <c:v>35.64303333480111</c:v>
                </c:pt>
                <c:pt idx="152">
                  <c:v>35.665829043345965</c:v>
                </c:pt>
                <c:pt idx="153">
                  <c:v>35.687962852312694</c:v>
                </c:pt>
                <c:pt idx="154">
                  <c:v>35.709107746950835</c:v>
                </c:pt>
                <c:pt idx="155">
                  <c:v>35.73035550587737</c:v>
                </c:pt>
                <c:pt idx="156">
                  <c:v>35.750555326244665</c:v>
                </c:pt>
                <c:pt idx="157">
                  <c:v>35.770455555314484</c:v>
                </c:pt>
                <c:pt idx="158">
                  <c:v>35.790043944827914</c:v>
                </c:pt>
                <c:pt idx="159">
                  <c:v>35.809668541929241</c:v>
                </c:pt>
                <c:pt idx="160">
                  <c:v>35.828462667820013</c:v>
                </c:pt>
                <c:pt idx="161">
                  <c:v>35.846996485986899</c:v>
                </c:pt>
                <c:pt idx="162">
                  <c:v>35.865445874507508</c:v>
                </c:pt>
                <c:pt idx="163">
                  <c:v>35.883652890600715</c:v>
                </c:pt>
                <c:pt idx="164">
                  <c:v>35.901263741106732</c:v>
                </c:pt>
                <c:pt idx="165">
                  <c:v>35.918163708068683</c:v>
                </c:pt>
                <c:pt idx="166">
                  <c:v>35.934534725531435</c:v>
                </c:pt>
                <c:pt idx="167">
                  <c:v>35.950430288111129</c:v>
                </c:pt>
                <c:pt idx="168">
                  <c:v>35.96582537759361</c:v>
                </c:pt>
                <c:pt idx="169">
                  <c:v>35.980997476772224</c:v>
                </c:pt>
                <c:pt idx="170">
                  <c:v>35.995927217362556</c:v>
                </c:pt>
                <c:pt idx="171">
                  <c:v>36.010931863831587</c:v>
                </c:pt>
                <c:pt idx="172">
                  <c:v>36.025257795566986</c:v>
                </c:pt>
                <c:pt idx="173">
                  <c:v>36.039142766879763</c:v>
                </c:pt>
                <c:pt idx="174">
                  <c:v>36.053044221363471</c:v>
                </c:pt>
                <c:pt idx="175">
                  <c:v>36.066897684786291</c:v>
                </c:pt>
                <c:pt idx="176">
                  <c:v>36.080716187855252</c:v>
                </c:pt>
                <c:pt idx="177">
                  <c:v>36.094075625850685</c:v>
                </c:pt>
                <c:pt idx="178">
                  <c:v>36.106872455356623</c:v>
                </c:pt>
                <c:pt idx="179">
                  <c:v>36.119281023730508</c:v>
                </c:pt>
                <c:pt idx="180">
                  <c:v>36.131633579427017</c:v>
                </c:pt>
                <c:pt idx="181">
                  <c:v>36.1433586106875</c:v>
                </c:pt>
                <c:pt idx="182">
                  <c:v>36.15482194490351</c:v>
                </c:pt>
                <c:pt idx="183">
                  <c:v>36.16609966169348</c:v>
                </c:pt>
                <c:pt idx="184">
                  <c:v>36.176923901921235</c:v>
                </c:pt>
                <c:pt idx="185">
                  <c:v>36.188024711415586</c:v>
                </c:pt>
                <c:pt idx="186">
                  <c:v>36.199006552214463</c:v>
                </c:pt>
                <c:pt idx="187">
                  <c:v>36.209191395551521</c:v>
                </c:pt>
                <c:pt idx="188">
                  <c:v>36.219320550611201</c:v>
                </c:pt>
                <c:pt idx="189">
                  <c:v>36.229558006414237</c:v>
                </c:pt>
                <c:pt idx="190">
                  <c:v>36.239488152934015</c:v>
                </c:pt>
                <c:pt idx="191">
                  <c:v>36.248959470511316</c:v>
                </c:pt>
                <c:pt idx="192">
                  <c:v>36.258024259332643</c:v>
                </c:pt>
                <c:pt idx="193">
                  <c:v>36.266909877447652</c:v>
                </c:pt>
                <c:pt idx="194">
                  <c:v>36.275948588711067</c:v>
                </c:pt>
                <c:pt idx="195">
                  <c:v>36.284480386196158</c:v>
                </c:pt>
                <c:pt idx="196">
                  <c:v>36.292674897437749</c:v>
                </c:pt>
                <c:pt idx="197">
                  <c:v>36.300620113410723</c:v>
                </c:pt>
                <c:pt idx="198">
                  <c:v>36.308638574595513</c:v>
                </c:pt>
                <c:pt idx="199">
                  <c:v>36.316627050747215</c:v>
                </c:pt>
                <c:pt idx="200">
                  <c:v>36.324632418524246</c:v>
                </c:pt>
                <c:pt idx="201">
                  <c:v>36.332140666147716</c:v>
                </c:pt>
                <c:pt idx="202">
                  <c:v>36.339711043772219</c:v>
                </c:pt>
                <c:pt idx="203">
                  <c:v>36.34725651838626</c:v>
                </c:pt>
                <c:pt idx="204">
                  <c:v>36.355020675940295</c:v>
                </c:pt>
                <c:pt idx="205">
                  <c:v>36.362306282112158</c:v>
                </c:pt>
                <c:pt idx="206">
                  <c:v>36.369432628506942</c:v>
                </c:pt>
                <c:pt idx="207">
                  <c:v>36.376602616424698</c:v>
                </c:pt>
                <c:pt idx="208">
                  <c:v>36.383512798696941</c:v>
                </c:pt>
                <c:pt idx="209">
                  <c:v>36.39004012017665</c:v>
                </c:pt>
                <c:pt idx="210">
                  <c:v>36.396448549109195</c:v>
                </c:pt>
                <c:pt idx="211">
                  <c:v>36.402667686565437</c:v>
                </c:pt>
                <c:pt idx="212">
                  <c:v>36.408838904868333</c:v>
                </c:pt>
                <c:pt idx="213">
                  <c:v>36.415020493027299</c:v>
                </c:pt>
                <c:pt idx="214">
                  <c:v>36.420903901418278</c:v>
                </c:pt>
                <c:pt idx="215">
                  <c:v>36.426783142076268</c:v>
                </c:pt>
                <c:pt idx="216">
                  <c:v>36.432636162132049</c:v>
                </c:pt>
                <c:pt idx="217">
                  <c:v>36.438219203677349</c:v>
                </c:pt>
                <c:pt idx="218">
                  <c:v>36.443814228163646</c:v>
                </c:pt>
                <c:pt idx="219">
                  <c:v>36.449323827073563</c:v>
                </c:pt>
                <c:pt idx="220">
                  <c:v>36.454701125617547</c:v>
                </c:pt>
                <c:pt idx="221">
                  <c:v>36.459878807869558</c:v>
                </c:pt>
                <c:pt idx="222">
                  <c:v>36.464928643993183</c:v>
                </c:pt>
                <c:pt idx="223">
                  <c:v>36.4699918097145</c:v>
                </c:pt>
                <c:pt idx="224">
                  <c:v>36.475059408872404</c:v>
                </c:pt>
                <c:pt idx="225">
                  <c:v>36.479888722193202</c:v>
                </c:pt>
                <c:pt idx="226">
                  <c:v>36.48449733791287</c:v>
                </c:pt>
                <c:pt idx="227">
                  <c:v>36.489002113413072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1.539611058845207</c:v>
                </c:pt>
                <c:pt idx="15">
                  <c:v>1.6089279739078004</c:v>
                </c:pt>
                <c:pt idx="16">
                  <c:v>1.6814750343119274</c:v>
                </c:pt>
                <c:pt idx="17">
                  <c:v>1.7548537263812132</c:v>
                </c:pt>
                <c:pt idx="18">
                  <c:v>1.8311658692030757</c:v>
                </c:pt>
                <c:pt idx="19">
                  <c:v>1.9130900889075992</c:v>
                </c:pt>
                <c:pt idx="20">
                  <c:v>1.9981711421274431</c:v>
                </c:pt>
                <c:pt idx="21">
                  <c:v>2.089975702996349</c:v>
                </c:pt>
                <c:pt idx="22">
                  <c:v>2.1886096062101243</c:v>
                </c:pt>
                <c:pt idx="23">
                  <c:v>2.2904602477945568</c:v>
                </c:pt>
                <c:pt idx="24">
                  <c:v>2.3964932943243089</c:v>
                </c:pt>
                <c:pt idx="25">
                  <c:v>2.5063220911258766</c:v>
                </c:pt>
                <c:pt idx="26">
                  <c:v>2.6218136428043075</c:v>
                </c:pt>
                <c:pt idx="27">
                  <c:v>2.7428485733072248</c:v>
                </c:pt>
                <c:pt idx="28">
                  <c:v>2.8671348476044991</c:v>
                </c:pt>
                <c:pt idx="29">
                  <c:v>2.9983930704255082</c:v>
                </c:pt>
                <c:pt idx="30">
                  <c:v>3.1378799534927544</c:v>
                </c:pt>
                <c:pt idx="31">
                  <c:v>3.2837576571207214</c:v>
                </c:pt>
                <c:pt idx="32">
                  <c:v>3.4377517699296685</c:v>
                </c:pt>
                <c:pt idx="33">
                  <c:v>3.5952657906369696</c:v>
                </c:pt>
                <c:pt idx="34">
                  <c:v>3.7612502083002428</c:v>
                </c:pt>
                <c:pt idx="35">
                  <c:v>3.9373329005919699</c:v>
                </c:pt>
                <c:pt idx="36">
                  <c:v>4.1183784906929768</c:v>
                </c:pt>
                <c:pt idx="37">
                  <c:v>4.3083705476482583</c:v>
                </c:pt>
                <c:pt idx="38">
                  <c:v>4.516362555880665</c:v>
                </c:pt>
                <c:pt idx="39">
                  <c:v>4.7382493396508467</c:v>
                </c:pt>
                <c:pt idx="40">
                  <c:v>4.9678098520543355</c:v>
                </c:pt>
                <c:pt idx="41">
                  <c:v>5.203484044500498</c:v>
                </c:pt>
                <c:pt idx="42">
                  <c:v>5.4483564781647891</c:v>
                </c:pt>
                <c:pt idx="43">
                  <c:v>5.7037063498280505</c:v>
                </c:pt>
                <c:pt idx="44">
                  <c:v>5.97641892729688</c:v>
                </c:pt>
                <c:pt idx="45">
                  <c:v>6.2588732584040709</c:v>
                </c:pt>
                <c:pt idx="46">
                  <c:v>6.5583349517866365</c:v>
                </c:pt>
                <c:pt idx="47">
                  <c:v>6.8643967043849301</c:v>
                </c:pt>
                <c:pt idx="48">
                  <c:v>7.1857421717832999</c:v>
                </c:pt>
                <c:pt idx="49">
                  <c:v>7.5301198361657464</c:v>
                </c:pt>
                <c:pt idx="50">
                  <c:v>7.8946469829049848</c:v>
                </c:pt>
                <c:pt idx="51">
                  <c:v>8.2808025865973391</c:v>
                </c:pt>
                <c:pt idx="52">
                  <c:v>8.6815180082088084</c:v>
                </c:pt>
                <c:pt idx="53">
                  <c:v>9.0947500448230443</c:v>
                </c:pt>
                <c:pt idx="54">
                  <c:v>9.5296789412216079</c:v>
                </c:pt>
                <c:pt idx="55">
                  <c:v>9.9884858610688383</c:v>
                </c:pt>
                <c:pt idx="56">
                  <c:v>10.474128393127312</c:v>
                </c:pt>
                <c:pt idx="57">
                  <c:v>10.981314494240499</c:v>
                </c:pt>
                <c:pt idx="58">
                  <c:v>11.511129496088504</c:v>
                </c:pt>
                <c:pt idx="59">
                  <c:v>12.058349524809739</c:v>
                </c:pt>
                <c:pt idx="60">
                  <c:v>12.631593581372705</c:v>
                </c:pt>
                <c:pt idx="61">
                  <c:v>13.239965343507583</c:v>
                </c:pt>
                <c:pt idx="62">
                  <c:v>13.873253357902632</c:v>
                </c:pt>
                <c:pt idx="63">
                  <c:v>14.543022924918443</c:v>
                </c:pt>
                <c:pt idx="64">
                  <c:v>15.246138337197117</c:v>
                </c:pt>
                <c:pt idx="65">
                  <c:v>15.981393275612412</c:v>
                </c:pt>
                <c:pt idx="66">
                  <c:v>16.750855105294814</c:v>
                </c:pt>
                <c:pt idx="67">
                  <c:v>17.564077344387471</c:v>
                </c:pt>
                <c:pt idx="68">
                  <c:v>18.418598059198658</c:v>
                </c:pt>
                <c:pt idx="69">
                  <c:v>19.295246328530745</c:v>
                </c:pt>
                <c:pt idx="70">
                  <c:v>20.217260905298524</c:v>
                </c:pt>
                <c:pt idx="71">
                  <c:v>21.190925459314634</c:v>
                </c:pt>
                <c:pt idx="72">
                  <c:v>22.219038249839052</c:v>
                </c:pt>
                <c:pt idx="73">
                  <c:v>23.2878599691864</c:v>
                </c:pt>
                <c:pt idx="74">
                  <c:v>24.407533643311591</c:v>
                </c:pt>
                <c:pt idx="75">
                  <c:v>25.560799570272842</c:v>
                </c:pt>
                <c:pt idx="76">
                  <c:v>26.747329437856568</c:v>
                </c:pt>
                <c:pt idx="77">
                  <c:v>27.94069919510412</c:v>
                </c:pt>
                <c:pt idx="78">
                  <c:v>29.21097840990771</c:v>
                </c:pt>
                <c:pt idx="79">
                  <c:v>30.521425077511267</c:v>
                </c:pt>
                <c:pt idx="80">
                  <c:v>31.8888272098316</c:v>
                </c:pt>
                <c:pt idx="81">
                  <c:v>33.305217446637201</c:v>
                </c:pt>
                <c:pt idx="82">
                  <c:v>34.783031193398166</c:v>
                </c:pt>
                <c:pt idx="83">
                  <c:v>36.343560920764659</c:v>
                </c:pt>
                <c:pt idx="84">
                  <c:v>37.975657345720997</c:v>
                </c:pt>
                <c:pt idx="85">
                  <c:v>39.659156304243339</c:v>
                </c:pt>
                <c:pt idx="86">
                  <c:v>41.382409368166222</c:v>
                </c:pt>
                <c:pt idx="87">
                  <c:v>43.164469791102519</c:v>
                </c:pt>
                <c:pt idx="88">
                  <c:v>44.9820075825819</c:v>
                </c:pt>
                <c:pt idx="89">
                  <c:v>46.845977384041923</c:v>
                </c:pt>
                <c:pt idx="90">
                  <c:v>48.767689998617712</c:v>
                </c:pt>
                <c:pt idx="91">
                  <c:v>50.759697023712043</c:v>
                </c:pt>
                <c:pt idx="92">
                  <c:v>52.807980538437931</c:v>
                </c:pt>
                <c:pt idx="93">
                  <c:v>54.921983145084035</c:v>
                </c:pt>
                <c:pt idx="94">
                  <c:v>57.083835043183633</c:v>
                </c:pt>
                <c:pt idx="95">
                  <c:v>59.27598709377672</c:v>
                </c:pt>
                <c:pt idx="96">
                  <c:v>61.519356546556857</c:v>
                </c:pt>
                <c:pt idx="97">
                  <c:v>63.762037308342947</c:v>
                </c:pt>
                <c:pt idx="98">
                  <c:v>65.992082434790618</c:v>
                </c:pt>
                <c:pt idx="99">
                  <c:v>68.279846376986185</c:v>
                </c:pt>
                <c:pt idx="100">
                  <c:v>70.624614546170349</c:v>
                </c:pt>
                <c:pt idx="101">
                  <c:v>72.976075508607394</c:v>
                </c:pt>
                <c:pt idx="102">
                  <c:v>75.374252442622222</c:v>
                </c:pt>
                <c:pt idx="103">
                  <c:v>77.861796023052307</c:v>
                </c:pt>
                <c:pt idx="104">
                  <c:v>80.393965558186395</c:v>
                </c:pt>
                <c:pt idx="105">
                  <c:v>82.859949145281362</c:v>
                </c:pt>
                <c:pt idx="106">
                  <c:v>85.344199605240021</c:v>
                </c:pt>
                <c:pt idx="107">
                  <c:v>87.912871913182499</c:v>
                </c:pt>
                <c:pt idx="108">
                  <c:v>90.426011643139859</c:v>
                </c:pt>
                <c:pt idx="109">
                  <c:v>93.010498305342978</c:v>
                </c:pt>
                <c:pt idx="110">
                  <c:v>95.648920207991836</c:v>
                </c:pt>
                <c:pt idx="111">
                  <c:v>98.263694209298095</c:v>
                </c:pt>
                <c:pt idx="112">
                  <c:v>100.86722332416819</c:v>
                </c:pt>
                <c:pt idx="113">
                  <c:v>103.50738957149667</c:v>
                </c:pt>
                <c:pt idx="114">
                  <c:v>106.10094422510899</c:v>
                </c:pt>
                <c:pt idx="115">
                  <c:v>108.69885689337971</c:v>
                </c:pt>
                <c:pt idx="116">
                  <c:v>111.27479066887825</c:v>
                </c:pt>
                <c:pt idx="117">
                  <c:v>113.86982739944514</c:v>
                </c:pt>
                <c:pt idx="118">
                  <c:v>116.45764959303058</c:v>
                </c:pt>
                <c:pt idx="119">
                  <c:v>119.02668725698234</c:v>
                </c:pt>
                <c:pt idx="120">
                  <c:v>121.52064781665622</c:v>
                </c:pt>
                <c:pt idx="121">
                  <c:v>124.00991072605858</c:v>
                </c:pt>
                <c:pt idx="122">
                  <c:v>126.52479291178861</c:v>
                </c:pt>
                <c:pt idx="123">
                  <c:v>129.00650109285746</c:v>
                </c:pt>
                <c:pt idx="124">
                  <c:v>131.42050884854885</c:v>
                </c:pt>
                <c:pt idx="125">
                  <c:v>133.80209999536484</c:v>
                </c:pt>
                <c:pt idx="126">
                  <c:v>136.16328778231568</c:v>
                </c:pt>
                <c:pt idx="127">
                  <c:v>138.50877785408468</c:v>
                </c:pt>
                <c:pt idx="128">
                  <c:v>140.84707330016872</c:v>
                </c:pt>
                <c:pt idx="129">
                  <c:v>143.14618842578835</c:v>
                </c:pt>
                <c:pt idx="130">
                  <c:v>145.44017270248492</c:v>
                </c:pt>
                <c:pt idx="131">
                  <c:v>147.67441750514132</c:v>
                </c:pt>
                <c:pt idx="132">
                  <c:v>149.84600375522979</c:v>
                </c:pt>
                <c:pt idx="133">
                  <c:v>151.94612356656512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12.832866081482575</c:v>
                </c:pt>
                <c:pt idx="1">
                  <c:v>12.531584064602043</c:v>
                </c:pt>
                <c:pt idx="2">
                  <c:v>12.28855882816905</c:v>
                </c:pt>
                <c:pt idx="3">
                  <c:v>12.088830126363538</c:v>
                </c:pt>
                <c:pt idx="4">
                  <c:v>11.928252746750934</c:v>
                </c:pt>
                <c:pt idx="5">
                  <c:v>11.803824129736338</c:v>
                </c:pt>
                <c:pt idx="6">
                  <c:v>11.711495705496722</c:v>
                </c:pt>
                <c:pt idx="7">
                  <c:v>11.66432878967556</c:v>
                </c:pt>
                <c:pt idx="8">
                  <c:v>11.674307125330346</c:v>
                </c:pt>
                <c:pt idx="9">
                  <c:v>11.714129301919613</c:v>
                </c:pt>
                <c:pt idx="10">
                  <c:v>11.786995849381036</c:v>
                </c:pt>
                <c:pt idx="11">
                  <c:v>11.878368444040495</c:v>
                </c:pt>
                <c:pt idx="12">
                  <c:v>12.041412166981823</c:v>
                </c:pt>
                <c:pt idx="13">
                  <c:v>12.222778176231419</c:v>
                </c:pt>
                <c:pt idx="14">
                  <c:v>12.483276968364258</c:v>
                </c:pt>
                <c:pt idx="15">
                  <c:v>12.725473632291617</c:v>
                </c:pt>
                <c:pt idx="16">
                  <c:v>12.997500466895152</c:v>
                </c:pt>
                <c:pt idx="17">
                  <c:v>13.285550293942228</c:v>
                </c:pt>
                <c:pt idx="18">
                  <c:v>13.575120043380965</c:v>
                </c:pt>
                <c:pt idx="19">
                  <c:v>13.864808241398443</c:v>
                </c:pt>
                <c:pt idx="20">
                  <c:v>14.164966977884312</c:v>
                </c:pt>
                <c:pt idx="21">
                  <c:v>14.464375796086877</c:v>
                </c:pt>
                <c:pt idx="22">
                  <c:v>14.777074226858678</c:v>
                </c:pt>
                <c:pt idx="23">
                  <c:v>15.079584014903389</c:v>
                </c:pt>
                <c:pt idx="24">
                  <c:v>15.41026922921637</c:v>
                </c:pt>
                <c:pt idx="25">
                  <c:v>15.740681460003652</c:v>
                </c:pt>
                <c:pt idx="26">
                  <c:v>16.119391670934878</c:v>
                </c:pt>
                <c:pt idx="27">
                  <c:v>16.53229361277225</c:v>
                </c:pt>
                <c:pt idx="28">
                  <c:v>16.962390927602701</c:v>
                </c:pt>
                <c:pt idx="29">
                  <c:v>17.419733426150415</c:v>
                </c:pt>
                <c:pt idx="30">
                  <c:v>17.859183652950392</c:v>
                </c:pt>
                <c:pt idx="31">
                  <c:v>18.311594353027242</c:v>
                </c:pt>
                <c:pt idx="32">
                  <c:v>18.747276837527536</c:v>
                </c:pt>
                <c:pt idx="33">
                  <c:v>19.15684098995871</c:v>
                </c:pt>
                <c:pt idx="34">
                  <c:v>19.575617668678344</c:v>
                </c:pt>
                <c:pt idx="35">
                  <c:v>20.027564561069735</c:v>
                </c:pt>
                <c:pt idx="36">
                  <c:v>20.433212704451076</c:v>
                </c:pt>
                <c:pt idx="37">
                  <c:v>20.821377056991459</c:v>
                </c:pt>
                <c:pt idx="38">
                  <c:v>21.200622958451749</c:v>
                </c:pt>
                <c:pt idx="39">
                  <c:v>21.587895245677547</c:v>
                </c:pt>
                <c:pt idx="40">
                  <c:v>21.988900272989664</c:v>
                </c:pt>
                <c:pt idx="41">
                  <c:v>22.465194391406058</c:v>
                </c:pt>
                <c:pt idx="42">
                  <c:v>22.913007801165552</c:v>
                </c:pt>
                <c:pt idx="43">
                  <c:v>23.338115285723831</c:v>
                </c:pt>
                <c:pt idx="44">
                  <c:v>23.732201102867435</c:v>
                </c:pt>
                <c:pt idx="45">
                  <c:v>24.078430213371675</c:v>
                </c:pt>
                <c:pt idx="46">
                  <c:v>24.391923854362883</c:v>
                </c:pt>
                <c:pt idx="47">
                  <c:v>24.659473495403113</c:v>
                </c:pt>
                <c:pt idx="48">
                  <c:v>24.899860308965469</c:v>
                </c:pt>
                <c:pt idx="49">
                  <c:v>25.121244690253732</c:v>
                </c:pt>
                <c:pt idx="50">
                  <c:v>25.332422228008763</c:v>
                </c:pt>
                <c:pt idx="51">
                  <c:v>25.534510343876921</c:v>
                </c:pt>
                <c:pt idx="52">
                  <c:v>25.692842570256886</c:v>
                </c:pt>
                <c:pt idx="53">
                  <c:v>25.806064418973715</c:v>
                </c:pt>
                <c:pt idx="54">
                  <c:v>25.87706183630775</c:v>
                </c:pt>
                <c:pt idx="55">
                  <c:v>25.940065716015692</c:v>
                </c:pt>
                <c:pt idx="56">
                  <c:v>25.971533393343829</c:v>
                </c:pt>
                <c:pt idx="57">
                  <c:v>25.954624232622365</c:v>
                </c:pt>
                <c:pt idx="58">
                  <c:v>25.915718321649294</c:v>
                </c:pt>
                <c:pt idx="59">
                  <c:v>25.851145352597658</c:v>
                </c:pt>
                <c:pt idx="60">
                  <c:v>25.754108901319775</c:v>
                </c:pt>
                <c:pt idx="61">
                  <c:v>25.62616317587873</c:v>
                </c:pt>
                <c:pt idx="62">
                  <c:v>25.451994647160078</c:v>
                </c:pt>
                <c:pt idx="63">
                  <c:v>25.330802870866798</c:v>
                </c:pt>
                <c:pt idx="64">
                  <c:v>25.190827086225948</c:v>
                </c:pt>
                <c:pt idx="65">
                  <c:v>25.009919829271077</c:v>
                </c:pt>
                <c:pt idx="66">
                  <c:v>24.803428619657538</c:v>
                </c:pt>
                <c:pt idx="67">
                  <c:v>24.573175135820509</c:v>
                </c:pt>
                <c:pt idx="68">
                  <c:v>24.279773764883284</c:v>
                </c:pt>
                <c:pt idx="69">
                  <c:v>23.948647642586678</c:v>
                </c:pt>
                <c:pt idx="70">
                  <c:v>23.564550670431668</c:v>
                </c:pt>
                <c:pt idx="71">
                  <c:v>23.130493488745874</c:v>
                </c:pt>
                <c:pt idx="72">
                  <c:v>22.659442322520668</c:v>
                </c:pt>
                <c:pt idx="73">
                  <c:v>22.147880306202406</c:v>
                </c:pt>
                <c:pt idx="74">
                  <c:v>21.567836093964679</c:v>
                </c:pt>
                <c:pt idx="75">
                  <c:v>20.969262537173474</c:v>
                </c:pt>
                <c:pt idx="76">
                  <c:v>20.306514344699671</c:v>
                </c:pt>
                <c:pt idx="77">
                  <c:v>19.64627912849047</c:v>
                </c:pt>
                <c:pt idx="78">
                  <c:v>18.922424121951551</c:v>
                </c:pt>
                <c:pt idx="79">
                  <c:v>18.122410578573355</c:v>
                </c:pt>
                <c:pt idx="80">
                  <c:v>17.24897798174495</c:v>
                </c:pt>
                <c:pt idx="81">
                  <c:v>16.324812307472147</c:v>
                </c:pt>
                <c:pt idx="82">
                  <c:v>15.330217592909509</c:v>
                </c:pt>
                <c:pt idx="83">
                  <c:v>14.258488132809694</c:v>
                </c:pt>
                <c:pt idx="84">
                  <c:v>13.125935242749957</c:v>
                </c:pt>
                <c:pt idx="85">
                  <c:v>11.946955575617963</c:v>
                </c:pt>
                <c:pt idx="86">
                  <c:v>10.701865254583614</c:v>
                </c:pt>
                <c:pt idx="87">
                  <c:v>9.397695747360638</c:v>
                </c:pt>
                <c:pt idx="88">
                  <c:v>8.0610803647180607</c:v>
                </c:pt>
                <c:pt idx="89">
                  <c:v>6.6717008549813244</c:v>
                </c:pt>
                <c:pt idx="90">
                  <c:v>5.2570113354155001</c:v>
                </c:pt>
                <c:pt idx="91">
                  <c:v>3.7656246002882234</c:v>
                </c:pt>
                <c:pt idx="92">
                  <c:v>2.2087242771642321</c:v>
                </c:pt>
                <c:pt idx="93">
                  <c:v>0.61200004568666255</c:v>
                </c:pt>
                <c:pt idx="94">
                  <c:v>-1.0257766861401858</c:v>
                </c:pt>
                <c:pt idx="95">
                  <c:v>-2.7129637095642849</c:v>
                </c:pt>
                <c:pt idx="96">
                  <c:v>-4.4416695208785768</c:v>
                </c:pt>
                <c:pt idx="97">
                  <c:v>-6.1938410144443363</c:v>
                </c:pt>
                <c:pt idx="98">
                  <c:v>-7.9644229808520288</c:v>
                </c:pt>
                <c:pt idx="99">
                  <c:v>-9.7911712552395151</c:v>
                </c:pt>
                <c:pt idx="100">
                  <c:v>-11.678758654796537</c:v>
                </c:pt>
                <c:pt idx="101">
                  <c:v>-13.566228704042722</c:v>
                </c:pt>
                <c:pt idx="102">
                  <c:v>-15.474897136072428</c:v>
                </c:pt>
                <c:pt idx="103">
                  <c:v>-17.459166510486263</c:v>
                </c:pt>
                <c:pt idx="104">
                  <c:v>-19.471882404653982</c:v>
                </c:pt>
                <c:pt idx="105">
                  <c:v>-21.41162267298283</c:v>
                </c:pt>
                <c:pt idx="106">
                  <c:v>-23.376569618411942</c:v>
                </c:pt>
                <c:pt idx="107">
                  <c:v>-25.416378460429812</c:v>
                </c:pt>
                <c:pt idx="108">
                  <c:v>-27.421876645540753</c:v>
                </c:pt>
                <c:pt idx="109">
                  <c:v>-29.507603749239383</c:v>
                </c:pt>
                <c:pt idx="110">
                  <c:v>-31.630036765817415</c:v>
                </c:pt>
                <c:pt idx="111">
                  <c:v>-33.75181342816213</c:v>
                </c:pt>
                <c:pt idx="112">
                  <c:v>-35.817080299087394</c:v>
                </c:pt>
                <c:pt idx="113">
                  <c:v>-37.911978404135006</c:v>
                </c:pt>
                <c:pt idx="114">
                  <c:v>-39.991383563100946</c:v>
                </c:pt>
                <c:pt idx="115">
                  <c:v>-42.087661354006791</c:v>
                </c:pt>
                <c:pt idx="116">
                  <c:v>-44.164139606084504</c:v>
                </c:pt>
                <c:pt idx="117">
                  <c:v>-46.253548540357343</c:v>
                </c:pt>
                <c:pt idx="118">
                  <c:v>-48.33963074009587</c:v>
                </c:pt>
                <c:pt idx="119">
                  <c:v>-50.42309102657056</c:v>
                </c:pt>
                <c:pt idx="120">
                  <c:v>-52.462316041818141</c:v>
                </c:pt>
                <c:pt idx="121">
                  <c:v>-54.484236229481823</c:v>
                </c:pt>
                <c:pt idx="122">
                  <c:v>-56.544423855823091</c:v>
                </c:pt>
                <c:pt idx="123">
                  <c:v>-58.571699478813393</c:v>
                </c:pt>
                <c:pt idx="124">
                  <c:v>-60.538308570854525</c:v>
                </c:pt>
                <c:pt idx="125">
                  <c:v>-62.483980458579268</c:v>
                </c:pt>
                <c:pt idx="126">
                  <c:v>-64.417067562683187</c:v>
                </c:pt>
                <c:pt idx="127">
                  <c:v>-66.32152897807147</c:v>
                </c:pt>
                <c:pt idx="128">
                  <c:v>-68.231379238676709</c:v>
                </c:pt>
                <c:pt idx="129">
                  <c:v>-70.104208443641397</c:v>
                </c:pt>
                <c:pt idx="130">
                  <c:v>-71.96099678066534</c:v>
                </c:pt>
                <c:pt idx="131">
                  <c:v>-73.778667398817177</c:v>
                </c:pt>
                <c:pt idx="132">
                  <c:v>-75.534146854894615</c:v>
                </c:pt>
                <c:pt idx="133">
                  <c:v>-77.233926511306265</c:v>
                </c:pt>
                <c:pt idx="134">
                  <c:v>-78.880434478612884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0.43958070182911374</c:v>
                </c:pt>
                <c:pt idx="1">
                  <c:v>0.88722357180423028</c:v>
                </c:pt>
                <c:pt idx="2">
                  <c:v>1.3621302042181549</c:v>
                </c:pt>
                <c:pt idx="3">
                  <c:v>1.849542838790734</c:v>
                </c:pt>
                <c:pt idx="4">
                  <c:v>2.3289945059559134</c:v>
                </c:pt>
                <c:pt idx="5">
                  <c:v>2.8323038772311828</c:v>
                </c:pt>
                <c:pt idx="6">
                  <c:v>3.3304574802676945</c:v>
                </c:pt>
                <c:pt idx="7">
                  <c:v>3.8230598917893936</c:v>
                </c:pt>
                <c:pt idx="8">
                  <c:v>4.3361630923869283</c:v>
                </c:pt>
                <c:pt idx="9">
                  <c:v>4.8506832860193514</c:v>
                </c:pt>
                <c:pt idx="10">
                  <c:v>5.3758548694866457</c:v>
                </c:pt>
                <c:pt idx="11">
                  <c:v>5.8962593221521429</c:v>
                </c:pt>
                <c:pt idx="12">
                  <c:v>6.469589718093081</c:v>
                </c:pt>
                <c:pt idx="13">
                  <c:v>7.0387889323446933</c:v>
                </c:pt>
                <c:pt idx="14">
                  <c:v>7.6589183930897047</c:v>
                </c:pt>
                <c:pt idx="15">
                  <c:v>8.2981515710770086</c:v>
                </c:pt>
                <c:pt idx="16">
                  <c:v>8.9452726897139421</c:v>
                </c:pt>
                <c:pt idx="17">
                  <c:v>9.5753558508028895</c:v>
                </c:pt>
                <c:pt idx="18">
                  <c:v>10.187547210503244</c:v>
                </c:pt>
                <c:pt idx="19">
                  <c:v>10.792242324459746</c:v>
                </c:pt>
                <c:pt idx="20">
                  <c:v>11.388948947906792</c:v>
                </c:pt>
                <c:pt idx="21">
                  <c:v>11.97963151020657</c:v>
                </c:pt>
                <c:pt idx="22">
                  <c:v>12.576701667061851</c:v>
                </c:pt>
                <c:pt idx="23">
                  <c:v>13.145025295337216</c:v>
                </c:pt>
                <c:pt idx="24">
                  <c:v>13.727385057118225</c:v>
                </c:pt>
                <c:pt idx="25">
                  <c:v>14.295607330886011</c:v>
                </c:pt>
                <c:pt idx="26">
                  <c:v>14.903522627239747</c:v>
                </c:pt>
                <c:pt idx="27">
                  <c:v>15.537144216348512</c:v>
                </c:pt>
                <c:pt idx="28">
                  <c:v>16.176088518209021</c:v>
                </c:pt>
                <c:pt idx="29">
                  <c:v>16.837942170241821</c:v>
                </c:pt>
                <c:pt idx="30">
                  <c:v>17.479552374551723</c:v>
                </c:pt>
                <c:pt idx="31">
                  <c:v>18.129154131543807</c:v>
                </c:pt>
                <c:pt idx="32">
                  <c:v>18.75991622194956</c:v>
                </c:pt>
                <c:pt idx="33">
                  <c:v>19.357254172209426</c:v>
                </c:pt>
                <c:pt idx="34">
                  <c:v>19.963444701093174</c:v>
                </c:pt>
                <c:pt idx="35">
                  <c:v>20.60449579181644</c:v>
                </c:pt>
                <c:pt idx="36">
                  <c:v>21.195939305590439</c:v>
                </c:pt>
                <c:pt idx="37">
                  <c:v>21.771428626902814</c:v>
                </c:pt>
                <c:pt idx="38">
                  <c:v>22.348313063871363</c:v>
                </c:pt>
                <c:pt idx="39">
                  <c:v>22.939456779195321</c:v>
                </c:pt>
                <c:pt idx="40">
                  <c:v>23.545523339438468</c:v>
                </c:pt>
                <c:pt idx="41">
                  <c:v>24.227607283294041</c:v>
                </c:pt>
                <c:pt idx="42">
                  <c:v>24.88528319593868</c:v>
                </c:pt>
                <c:pt idx="43">
                  <c:v>25.525946996387756</c:v>
                </c:pt>
                <c:pt idx="44">
                  <c:v>26.147239776912109</c:v>
                </c:pt>
                <c:pt idx="45">
                  <c:v>26.72671644010979</c:v>
                </c:pt>
                <c:pt idx="46">
                  <c:v>27.285666175950603</c:v>
                </c:pt>
                <c:pt idx="47">
                  <c:v>27.803281276167553</c:v>
                </c:pt>
                <c:pt idx="48">
                  <c:v>28.305535949260829</c:v>
                </c:pt>
                <c:pt idx="49">
                  <c:v>28.806959950968782</c:v>
                </c:pt>
                <c:pt idx="50">
                  <c:v>29.314557377198351</c:v>
                </c:pt>
                <c:pt idx="51">
                  <c:v>29.831036796102033</c:v>
                </c:pt>
                <c:pt idx="52">
                  <c:v>30.316806256146108</c:v>
                </c:pt>
                <c:pt idx="53">
                  <c:v>30.771588582555985</c:v>
                </c:pt>
                <c:pt idx="54">
                  <c:v>31.209207570602963</c:v>
                </c:pt>
                <c:pt idx="55">
                  <c:v>31.658821782718338</c:v>
                </c:pt>
                <c:pt idx="56">
                  <c:v>32.104560812492565</c:v>
                </c:pt>
                <c:pt idx="57">
                  <c:v>32.528756272856739</c:v>
                </c:pt>
                <c:pt idx="58">
                  <c:v>32.952815921875754</c:v>
                </c:pt>
                <c:pt idx="59">
                  <c:v>33.369264955423567</c:v>
                </c:pt>
                <c:pt idx="60">
                  <c:v>33.780654385955188</c:v>
                </c:pt>
                <c:pt idx="61">
                  <c:v>34.196121568958553</c:v>
                </c:pt>
                <c:pt idx="62">
                  <c:v>34.59516167860199</c:v>
                </c:pt>
                <c:pt idx="63">
                  <c:v>35.062904961117624</c:v>
                </c:pt>
                <c:pt idx="64">
                  <c:v>35.54206339896885</c:v>
                </c:pt>
                <c:pt idx="65">
                  <c:v>36.014305341424866</c:v>
                </c:pt>
                <c:pt idx="66">
                  <c:v>36.493343364699292</c:v>
                </c:pt>
                <c:pt idx="67">
                  <c:v>36.988757901461412</c:v>
                </c:pt>
                <c:pt idx="68">
                  <c:v>37.467650321935189</c:v>
                </c:pt>
                <c:pt idx="69">
                  <c:v>37.933522154627475</c:v>
                </c:pt>
                <c:pt idx="70">
                  <c:v>38.394299245758901</c:v>
                </c:pt>
                <c:pt idx="71">
                  <c:v>38.857501314316359</c:v>
                </c:pt>
                <c:pt idx="72">
                  <c:v>39.33530989926043</c:v>
                </c:pt>
                <c:pt idx="73">
                  <c:v>39.81342910495021</c:v>
                </c:pt>
                <c:pt idx="74">
                  <c:v>40.278722344295403</c:v>
                </c:pt>
                <c:pt idx="75">
                  <c:v>40.755278132022063</c:v>
                </c:pt>
                <c:pt idx="76">
                  <c:v>41.207584494757</c:v>
                </c:pt>
                <c:pt idx="77">
                  <c:v>41.665496175522527</c:v>
                </c:pt>
                <c:pt idx="78">
                  <c:v>42.135876633313146</c:v>
                </c:pt>
                <c:pt idx="79">
                  <c:v>42.578315336909817</c:v>
                </c:pt>
                <c:pt idx="80">
                  <c:v>43.008946816278161</c:v>
                </c:pt>
                <c:pt idx="81">
                  <c:v>43.438594992664186</c:v>
                </c:pt>
                <c:pt idx="82">
                  <c:v>43.86230454331357</c:v>
                </c:pt>
                <c:pt idx="83">
                  <c:v>44.292233461139411</c:v>
                </c:pt>
                <c:pt idx="84">
                  <c:v>44.731594868623546</c:v>
                </c:pt>
                <c:pt idx="85">
                  <c:v>45.174968554589476</c:v>
                </c:pt>
                <c:pt idx="86">
                  <c:v>45.597761561855783</c:v>
                </c:pt>
                <c:pt idx="87">
                  <c:v>46.020851627021003</c:v>
                </c:pt>
                <c:pt idx="88">
                  <c:v>46.445765355098764</c:v>
                </c:pt>
                <c:pt idx="89">
                  <c:v>46.865844018761663</c:v>
                </c:pt>
                <c:pt idx="90">
                  <c:v>47.311876622793363</c:v>
                </c:pt>
                <c:pt idx="91">
                  <c:v>47.753926939375816</c:v>
                </c:pt>
                <c:pt idx="92">
                  <c:v>48.189259165524454</c:v>
                </c:pt>
                <c:pt idx="93">
                  <c:v>48.64600811134585</c:v>
                </c:pt>
                <c:pt idx="94">
                  <c:v>49.108656178956558</c:v>
                </c:pt>
                <c:pt idx="95">
                  <c:v>49.555955054350136</c:v>
                </c:pt>
                <c:pt idx="96">
                  <c:v>50.011696468792053</c:v>
                </c:pt>
                <c:pt idx="97">
                  <c:v>50.447253611278711</c:v>
                </c:pt>
                <c:pt idx="98">
                  <c:v>50.856816289380461</c:v>
                </c:pt>
                <c:pt idx="99">
                  <c:v>51.268499254528002</c:v>
                </c:pt>
                <c:pt idx="100">
                  <c:v>51.677961824035464</c:v>
                </c:pt>
                <c:pt idx="101">
                  <c:v>52.092608641132443</c:v>
                </c:pt>
                <c:pt idx="102">
                  <c:v>52.5289435176146</c:v>
                </c:pt>
                <c:pt idx="103">
                  <c:v>52.978365314548455</c:v>
                </c:pt>
                <c:pt idx="104">
                  <c:v>53.442132815205674</c:v>
                </c:pt>
                <c:pt idx="105">
                  <c:v>53.912699120339752</c:v>
                </c:pt>
                <c:pt idx="106">
                  <c:v>54.377582395778411</c:v>
                </c:pt>
                <c:pt idx="107">
                  <c:v>54.851437283873793</c:v>
                </c:pt>
                <c:pt idx="108">
                  <c:v>55.307131158359518</c:v>
                </c:pt>
                <c:pt idx="109">
                  <c:v>55.755933598302995</c:v>
                </c:pt>
                <c:pt idx="110">
                  <c:v>56.220665166800359</c:v>
                </c:pt>
                <c:pt idx="111">
                  <c:v>56.665954401139878</c:v>
                </c:pt>
                <c:pt idx="112">
                  <c:v>57.155338847472336</c:v>
                </c:pt>
                <c:pt idx="113">
                  <c:v>57.652018540657849</c:v>
                </c:pt>
                <c:pt idx="114">
                  <c:v>58.119674576872576</c:v>
                </c:pt>
                <c:pt idx="115">
                  <c:v>58.57565980970142</c:v>
                </c:pt>
                <c:pt idx="116">
                  <c:v>59.030789298582391</c:v>
                </c:pt>
                <c:pt idx="117">
                  <c:v>59.492476317989968</c:v>
                </c:pt>
                <c:pt idx="118">
                  <c:v>59.951145896728796</c:v>
                </c:pt>
                <c:pt idx="119">
                  <c:v>60.394791107626688</c:v>
                </c:pt>
                <c:pt idx="120">
                  <c:v>60.811346128420794</c:v>
                </c:pt>
                <c:pt idx="121">
                  <c:v>61.239611843628708</c:v>
                </c:pt>
                <c:pt idx="122">
                  <c:v>61.657892908820209</c:v>
                </c:pt>
                <c:pt idx="123">
                  <c:v>62.076294818281006</c:v>
                </c:pt>
                <c:pt idx="124">
                  <c:v>62.488473520523961</c:v>
                </c:pt>
                <c:pt idx="125">
                  <c:v>62.890943879545461</c:v>
                </c:pt>
                <c:pt idx="126">
                  <c:v>63.287065033303136</c:v>
                </c:pt>
                <c:pt idx="127">
                  <c:v>63.695175895952417</c:v>
                </c:pt>
                <c:pt idx="128">
                  <c:v>64.09293320768964</c:v>
                </c:pt>
                <c:pt idx="129">
                  <c:v>64.489105441979575</c:v>
                </c:pt>
                <c:pt idx="130">
                  <c:v>64.895717027202238</c:v>
                </c:pt>
                <c:pt idx="131">
                  <c:v>65.284182213646531</c:v>
                </c:pt>
                <c:pt idx="132">
                  <c:v>65.672247243134535</c:v>
                </c:pt>
                <c:pt idx="133">
                  <c:v>66.046228593820601</c:v>
                </c:pt>
                <c:pt idx="134">
                  <c:v>66.426675621164236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-0.78903759022072251</c:v>
                </c:pt>
                <c:pt idx="2">
                  <c:v>-1.5379624770763698</c:v>
                </c:pt>
                <c:pt idx="3">
                  <c:v>-2.2558943459232879</c:v>
                </c:pt>
                <c:pt idx="4">
                  <c:v>-2.9430356823013781</c:v>
                </c:pt>
                <c:pt idx="5">
                  <c:v>-3.5830647290791617</c:v>
                </c:pt>
                <c:pt idx="6">
                  <c:v>-4.2108027173690274</c:v>
                </c:pt>
                <c:pt idx="7">
                  <c:v>-4.8012847446451552</c:v>
                </c:pt>
                <c:pt idx="8">
                  <c:v>-5.3410540719880153</c:v>
                </c:pt>
                <c:pt idx="9">
                  <c:v>-5.8441789369307635</c:v>
                </c:pt>
                <c:pt idx="10">
                  <c:v>-6.3188769539739198</c:v>
                </c:pt>
                <c:pt idx="11">
                  <c:v>-6.7711819899797909</c:v>
                </c:pt>
                <c:pt idx="12">
                  <c:v>-7.2002138479858289</c:v>
                </c:pt>
                <c:pt idx="13">
                  <c:v>-7.6105005209854397</c:v>
                </c:pt>
                <c:pt idx="14">
                  <c:v>-7.9983337259874574</c:v>
                </c:pt>
                <c:pt idx="15">
                  <c:v>-8.3579643945996303</c:v>
                </c:pt>
                <c:pt idx="16">
                  <c:v>-8.6856839935969816</c:v>
                </c:pt>
                <c:pt idx="17">
                  <c:v>-8.9882312172262537</c:v>
                </c:pt>
                <c:pt idx="18">
                  <c:v>-9.2568858591988423</c:v>
                </c:pt>
                <c:pt idx="19">
                  <c:v>-9.5031953266385969</c:v>
                </c:pt>
                <c:pt idx="20">
                  <c:v>-9.7362780228730976</c:v>
                </c:pt>
                <c:pt idx="21">
                  <c:v>-9.9477448566144311</c:v>
                </c:pt>
                <c:pt idx="22">
                  <c:v>-10.147214039842737</c:v>
                </c:pt>
                <c:pt idx="23">
                  <c:v>-10.332951862712441</c:v>
                </c:pt>
                <c:pt idx="24">
                  <c:v>-10.496915061358663</c:v>
                </c:pt>
                <c:pt idx="25">
                  <c:v>-10.642556562296939</c:v>
                </c:pt>
                <c:pt idx="26">
                  <c:v>-10.770537808475876</c:v>
                </c:pt>
                <c:pt idx="27">
                  <c:v>-10.884251342219954</c:v>
                </c:pt>
                <c:pt idx="28">
                  <c:v>-10.983936058988427</c:v>
                </c:pt>
                <c:pt idx="29">
                  <c:v>-11.068496771721211</c:v>
                </c:pt>
                <c:pt idx="30">
                  <c:v>-11.141749702385287</c:v>
                </c:pt>
                <c:pt idx="31">
                  <c:v>-11.204422796827966</c:v>
                </c:pt>
                <c:pt idx="32">
                  <c:v>-11.255736150115233</c:v>
                </c:pt>
                <c:pt idx="33">
                  <c:v>-11.296821643211743</c:v>
                </c:pt>
                <c:pt idx="34">
                  <c:v>-11.327081420333137</c:v>
                </c:pt>
                <c:pt idx="35">
                  <c:v>-11.348510852833975</c:v>
                </c:pt>
                <c:pt idx="36">
                  <c:v>-11.361532358874118</c:v>
                </c:pt>
                <c:pt idx="37">
                  <c:v>-11.366282139165769</c:v>
                </c:pt>
                <c:pt idx="38">
                  <c:v>-11.363615050982482</c:v>
                </c:pt>
                <c:pt idx="39">
                  <c:v>-11.353261578258333</c:v>
                </c:pt>
                <c:pt idx="40">
                  <c:v>-11.335246222586314</c:v>
                </c:pt>
                <c:pt idx="41">
                  <c:v>-11.310747243113855</c:v>
                </c:pt>
                <c:pt idx="42">
                  <c:v>-11.28086287610687</c:v>
                </c:pt>
                <c:pt idx="43">
                  <c:v>-11.245852945327723</c:v>
                </c:pt>
                <c:pt idx="44">
                  <c:v>-11.206059389555261</c:v>
                </c:pt>
                <c:pt idx="45">
                  <c:v>-11.160553775467179</c:v>
                </c:pt>
                <c:pt idx="46">
                  <c:v>-11.111346997053431</c:v>
                </c:pt>
                <c:pt idx="47">
                  <c:v>-11.057341398520471</c:v>
                </c:pt>
                <c:pt idx="48">
                  <c:v>-11.001345105098899</c:v>
                </c:pt>
                <c:pt idx="49">
                  <c:v>-10.941867497231449</c:v>
                </c:pt>
                <c:pt idx="50">
                  <c:v>-10.877529453268689</c:v>
                </c:pt>
                <c:pt idx="51">
                  <c:v>-10.809422195003989</c:v>
                </c:pt>
                <c:pt idx="52">
                  <c:v>-10.737657894347159</c:v>
                </c:pt>
                <c:pt idx="53">
                  <c:v>-10.664379706399799</c:v>
                </c:pt>
                <c:pt idx="54">
                  <c:v>-10.592708147478611</c:v>
                </c:pt>
                <c:pt idx="55">
                  <c:v>-10.524400821792995</c:v>
                </c:pt>
                <c:pt idx="56">
                  <c:v>-10.452204234353196</c:v>
                </c:pt>
                <c:pt idx="57">
                  <c:v>-10.380833054740812</c:v>
                </c:pt>
                <c:pt idx="58">
                  <c:v>-10.314751574713267</c:v>
                </c:pt>
                <c:pt idx="59">
                  <c:v>-10.247902132857348</c:v>
                </c:pt>
                <c:pt idx="60">
                  <c:v>-10.181704106735559</c:v>
                </c:pt>
                <c:pt idx="61">
                  <c:v>-10.116885931982097</c:v>
                </c:pt>
                <c:pt idx="62">
                  <c:v>-10.051927078291634</c:v>
                </c:pt>
                <c:pt idx="63">
                  <c:v>-9.9918477022586742</c:v>
                </c:pt>
                <c:pt idx="64">
                  <c:v>-9.9110131940517761</c:v>
                </c:pt>
                <c:pt idx="65">
                  <c:v>-9.827032004265174</c:v>
                </c:pt>
                <c:pt idx="66">
                  <c:v>-9.7449262652607658</c:v>
                </c:pt>
                <c:pt idx="67">
                  <c:v>-9.6609936684663253</c:v>
                </c:pt>
                <c:pt idx="68">
                  <c:v>-9.5734394499728168</c:v>
                </c:pt>
                <c:pt idx="69">
                  <c:v>-9.4912125265726317</c:v>
                </c:pt>
                <c:pt idx="70">
                  <c:v>-9.411562212229434</c:v>
                </c:pt>
                <c:pt idx="71">
                  <c:v>-9.3344216987480912</c:v>
                </c:pt>
                <c:pt idx="72">
                  <c:v>-9.2580163949752361</c:v>
                </c:pt>
                <c:pt idx="73">
                  <c:v>-9.1787633556200916</c:v>
                </c:pt>
                <c:pt idx="74">
                  <c:v>-9.0996228582807852</c:v>
                </c:pt>
                <c:pt idx="75">
                  <c:v>-9.0252866357385138</c:v>
                </c:pt>
                <c:pt idx="76">
                  <c:v>-8.9471500532951325</c:v>
                </c:pt>
                <c:pt idx="77">
                  <c:v>-8.8756747409201466</c:v>
                </c:pt>
                <c:pt idx="78">
                  <c:v>-8.8004518806473193</c:v>
                </c:pt>
                <c:pt idx="79">
                  <c:v>-8.7244081301732663</c:v>
                </c:pt>
                <c:pt idx="80">
                  <c:v>-8.656413709544573</c:v>
                </c:pt>
                <c:pt idx="81">
                  <c:v>-8.5930756534209891</c:v>
                </c:pt>
                <c:pt idx="82">
                  <c:v>-8.5304992672742159</c:v>
                </c:pt>
                <c:pt idx="83">
                  <c:v>-8.4709897857252727</c:v>
                </c:pt>
                <c:pt idx="84">
                  <c:v>-8.4121184362844375</c:v>
                </c:pt>
                <c:pt idx="85">
                  <c:v>-8.35193630887197</c:v>
                </c:pt>
                <c:pt idx="86">
                  <c:v>-8.2907907034475485</c:v>
                </c:pt>
                <c:pt idx="87">
                  <c:v>-8.2354209678253234</c:v>
                </c:pt>
                <c:pt idx="88">
                  <c:v>-8.1806201172772219</c:v>
                </c:pt>
                <c:pt idx="89">
                  <c:v>-8.1246114365181796</c:v>
                </c:pt>
                <c:pt idx="90">
                  <c:v>-8.0700998084577904</c:v>
                </c:pt>
                <c:pt idx="91">
                  <c:v>-8.0091093174795276</c:v>
                </c:pt>
                <c:pt idx="92">
                  <c:v>-7.9505393440949277</c:v>
                </c:pt>
                <c:pt idx="93">
                  <c:v>-7.8944883786416682</c:v>
                </c:pt>
                <c:pt idx="94">
                  <c:v>-7.8339589492945265</c:v>
                </c:pt>
                <c:pt idx="95">
                  <c:v>-7.7725318506324825</c:v>
                </c:pt>
                <c:pt idx="96">
                  <c:v>-7.714865698857075</c:v>
                </c:pt>
                <c:pt idx="97">
                  <c:v>-7.6559434718331438</c:v>
                </c:pt>
                <c:pt idx="98">
                  <c:v>-7.6009913460994696</c:v>
                </c:pt>
                <c:pt idx="99">
                  <c:v>-7.5510908641612389</c:v>
                </c:pt>
                <c:pt idx="100">
                  <c:v>-7.5017581615006996</c:v>
                </c:pt>
                <c:pt idx="101">
                  <c:v>-7.4540399613810209</c:v>
                </c:pt>
                <c:pt idx="102">
                  <c:v>-7.4046958652871382</c:v>
                </c:pt>
                <c:pt idx="103">
                  <c:v>-7.3515222397841704</c:v>
                </c:pt>
                <c:pt idx="104">
                  <c:v>-7.2976698307017713</c:v>
                </c:pt>
                <c:pt idx="105">
                  <c:v>-7.2419836903926225</c:v>
                </c:pt>
                <c:pt idx="106">
                  <c:v>-7.1863066767605766</c:v>
                </c:pt>
                <c:pt idx="107">
                  <c:v>-7.1318864376696851</c:v>
                </c:pt>
                <c:pt idx="108">
                  <c:v>-7.076877859840458</c:v>
                </c:pt>
                <c:pt idx="109">
                  <c:v>-7.0249301894797682</c:v>
                </c:pt>
                <c:pt idx="110">
                  <c:v>-6.9749730709187574</c:v>
                </c:pt>
                <c:pt idx="111">
                  <c:v>-6.9237157533452951</c:v>
                </c:pt>
                <c:pt idx="112">
                  <c:v>-6.8760076487232666</c:v>
                </c:pt>
                <c:pt idx="113">
                  <c:v>-6.8271298511108895</c:v>
                </c:pt>
                <c:pt idx="114">
                  <c:v>-6.7785414020155343</c:v>
                </c:pt>
                <c:pt idx="115">
                  <c:v>-6.7320479435838863</c:v>
                </c:pt>
                <c:pt idx="116">
                  <c:v>-6.6863982990478519</c:v>
                </c:pt>
                <c:pt idx="117">
                  <c:v>-6.6420722645079948</c:v>
                </c:pt>
                <c:pt idx="118">
                  <c:v>-6.5981314876215222</c:v>
                </c:pt>
                <c:pt idx="119">
                  <c:v>-6.5550610725134426</c:v>
                </c:pt>
                <c:pt idx="120">
                  <c:v>-6.5131289059342592</c:v>
                </c:pt>
                <c:pt idx="121">
                  <c:v>-6.4749483823020633</c:v>
                </c:pt>
                <c:pt idx="122">
                  <c:v>-6.4358713757712991</c:v>
                </c:pt>
                <c:pt idx="123">
                  <c:v>-6.3994578815740368</c:v>
                </c:pt>
                <c:pt idx="124">
                  <c:v>-6.3634272329562833</c:v>
                </c:pt>
                <c:pt idx="125">
                  <c:v>-6.3282072715489868</c:v>
                </c:pt>
                <c:pt idx="126">
                  <c:v>-6.294758371479233</c:v>
                </c:pt>
                <c:pt idx="127">
                  <c:v>-6.262778842389995</c:v>
                </c:pt>
                <c:pt idx="128">
                  <c:v>-6.2298610486585488</c:v>
                </c:pt>
                <c:pt idx="129">
                  <c:v>-6.1991731749169858</c:v>
                </c:pt>
                <c:pt idx="130">
                  <c:v>-6.1690594885519801</c:v>
                </c:pt>
                <c:pt idx="131">
                  <c:v>-6.1384751341020305</c:v>
                </c:pt>
                <c:pt idx="132">
                  <c:v>-6.1103661360417547</c:v>
                </c:pt>
                <c:pt idx="133">
                  <c:v>-6.0823243715187303</c:v>
                </c:pt>
                <c:pt idx="134">
                  <c:v>-6.0559655672811061</c:v>
                </c:pt>
                <c:pt idx="135">
                  <c:v>-6.02904412849648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107.57111111111111</c:v>
                </c:pt>
                <c:pt idx="2">
                  <c:v>109.36299104480628</c:v>
                </c:pt>
                <c:pt idx="3">
                  <c:v>114.75575813979675</c:v>
                </c:pt>
                <c:pt idx="4">
                  <c:v>115.67436969296257</c:v>
                </c:pt>
                <c:pt idx="5">
                  <c:v>116.38055409557167</c:v>
                </c:pt>
                <c:pt idx="6">
                  <c:v>119.94977660652944</c:v>
                </c:pt>
                <c:pt idx="7">
                  <c:v>119.77431922472539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118.68888888888888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119.91111111111113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119.17777777777778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120</c:v>
                </c:pt>
                <c:pt idx="157">
                  <c:v>118.11111111111111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120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120</c:v>
                </c:pt>
                <c:pt idx="172">
                  <c:v>120</c:v>
                </c:pt>
                <c:pt idx="173">
                  <c:v>120</c:v>
                </c:pt>
                <c:pt idx="174">
                  <c:v>120</c:v>
                </c:pt>
                <c:pt idx="175">
                  <c:v>120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120</c:v>
                </c:pt>
                <c:pt idx="180">
                  <c:v>120</c:v>
                </c:pt>
                <c:pt idx="181">
                  <c:v>119.37777777777778</c:v>
                </c:pt>
                <c:pt idx="182">
                  <c:v>120</c:v>
                </c:pt>
                <c:pt idx="183">
                  <c:v>119.55555555555554</c:v>
                </c:pt>
                <c:pt idx="184">
                  <c:v>119.09261597043376</c:v>
                </c:pt>
                <c:pt idx="185">
                  <c:v>120</c:v>
                </c:pt>
                <c:pt idx="186">
                  <c:v>120</c:v>
                </c:pt>
                <c:pt idx="187">
                  <c:v>120</c:v>
                </c:pt>
                <c:pt idx="188">
                  <c:v>118.84444444444443</c:v>
                </c:pt>
                <c:pt idx="189">
                  <c:v>120</c:v>
                </c:pt>
                <c:pt idx="190">
                  <c:v>120</c:v>
                </c:pt>
                <c:pt idx="191">
                  <c:v>120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117.77777777777779</c:v>
                </c:pt>
                <c:pt idx="197">
                  <c:v>114.03993708715646</c:v>
                </c:pt>
                <c:pt idx="198">
                  <c:v>114.03730475560705</c:v>
                </c:pt>
                <c:pt idx="199">
                  <c:v>115.05598468169366</c:v>
                </c:pt>
                <c:pt idx="200">
                  <c:v>117.4966266456633</c:v>
                </c:pt>
                <c:pt idx="201">
                  <c:v>117.62653658856334</c:v>
                </c:pt>
                <c:pt idx="202">
                  <c:v>114.11164272257571</c:v>
                </c:pt>
                <c:pt idx="203">
                  <c:v>108.62183723217558</c:v>
                </c:pt>
                <c:pt idx="204">
                  <c:v>108.97218441940731</c:v>
                </c:pt>
                <c:pt idx="205">
                  <c:v>111.75483104924845</c:v>
                </c:pt>
                <c:pt idx="206">
                  <c:v>110.27879852284858</c:v>
                </c:pt>
                <c:pt idx="207">
                  <c:v>107.45914461326907</c:v>
                </c:pt>
                <c:pt idx="208">
                  <c:v>103.02779738170457</c:v>
                </c:pt>
                <c:pt idx="209">
                  <c:v>99.584781474027352</c:v>
                </c:pt>
                <c:pt idx="210">
                  <c:v>93.502070801679153</c:v>
                </c:pt>
                <c:pt idx="211">
                  <c:v>91.83826456505912</c:v>
                </c:pt>
                <c:pt idx="212">
                  <c:v>91.659353074577211</c:v>
                </c:pt>
                <c:pt idx="213">
                  <c:v>97.930652643734561</c:v>
                </c:pt>
                <c:pt idx="214">
                  <c:v>99.36203939165506</c:v>
                </c:pt>
                <c:pt idx="215">
                  <c:v>101.41318102842008</c:v>
                </c:pt>
                <c:pt idx="216">
                  <c:v>101.34799532439921</c:v>
                </c:pt>
                <c:pt idx="217">
                  <c:v>101.35035781963741</c:v>
                </c:pt>
                <c:pt idx="218">
                  <c:v>99.296199648285551</c:v>
                </c:pt>
                <c:pt idx="219">
                  <c:v>95.12920829254098</c:v>
                </c:pt>
                <c:pt idx="220">
                  <c:v>95.546959706311739</c:v>
                </c:pt>
                <c:pt idx="221">
                  <c:v>93.999770329569742</c:v>
                </c:pt>
                <c:pt idx="222">
                  <c:v>92.757581649264182</c:v>
                </c:pt>
                <c:pt idx="223">
                  <c:v>89.073346922130412</c:v>
                </c:pt>
                <c:pt idx="224">
                  <c:v>90.728027745251367</c:v>
                </c:pt>
                <c:pt idx="225">
                  <c:v>87.340613280211613</c:v>
                </c:pt>
                <c:pt idx="226">
                  <c:v>83.943416184460986</c:v>
                </c:pt>
                <c:pt idx="227">
                  <c:v>79.216976715483639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0.92317309339172482</c:v>
                </c:pt>
                <c:pt idx="9">
                  <c:v>1.4231730933917248</c:v>
                </c:pt>
                <c:pt idx="10">
                  <c:v>2.8531730933917316</c:v>
                </c:pt>
                <c:pt idx="11">
                  <c:v>3.453173093391726</c:v>
                </c:pt>
                <c:pt idx="12">
                  <c:v>4.1331730933917257</c:v>
                </c:pt>
                <c:pt idx="13">
                  <c:v>4.2631730933917282</c:v>
                </c:pt>
                <c:pt idx="14">
                  <c:v>4.2631730933917282</c:v>
                </c:pt>
                <c:pt idx="15">
                  <c:v>5.3884771564297012</c:v>
                </c:pt>
                <c:pt idx="16">
                  <c:v>6.6984771564297034</c:v>
                </c:pt>
                <c:pt idx="17">
                  <c:v>6.7384771564297026</c:v>
                </c:pt>
                <c:pt idx="18">
                  <c:v>8.8384771564297111</c:v>
                </c:pt>
                <c:pt idx="19">
                  <c:v>13.288477156429707</c:v>
                </c:pt>
                <c:pt idx="20">
                  <c:v>14.348477156429702</c:v>
                </c:pt>
                <c:pt idx="21">
                  <c:v>15.068477156429701</c:v>
                </c:pt>
                <c:pt idx="22">
                  <c:v>16.768477156429704</c:v>
                </c:pt>
                <c:pt idx="23">
                  <c:v>17.958477156429701</c:v>
                </c:pt>
                <c:pt idx="24">
                  <c:v>20.658477156429704</c:v>
                </c:pt>
                <c:pt idx="25">
                  <c:v>21.898477156429706</c:v>
                </c:pt>
                <c:pt idx="26">
                  <c:v>26.518477156429704</c:v>
                </c:pt>
                <c:pt idx="27">
                  <c:v>27.23847715642971</c:v>
                </c:pt>
                <c:pt idx="28">
                  <c:v>27.62847715642971</c:v>
                </c:pt>
                <c:pt idx="29">
                  <c:v>28.898477156429706</c:v>
                </c:pt>
                <c:pt idx="30">
                  <c:v>30.55847715642971</c:v>
                </c:pt>
                <c:pt idx="31">
                  <c:v>30.55847715642971</c:v>
                </c:pt>
                <c:pt idx="32">
                  <c:v>32.079824086530223</c:v>
                </c:pt>
                <c:pt idx="33">
                  <c:v>32.679824086530218</c:v>
                </c:pt>
                <c:pt idx="34">
                  <c:v>34.179824086530218</c:v>
                </c:pt>
                <c:pt idx="35">
                  <c:v>34.779824086530219</c:v>
                </c:pt>
                <c:pt idx="36">
                  <c:v>36.759824086530223</c:v>
                </c:pt>
                <c:pt idx="37">
                  <c:v>38.389824086530226</c:v>
                </c:pt>
                <c:pt idx="38">
                  <c:v>39.599824086530226</c:v>
                </c:pt>
                <c:pt idx="39">
                  <c:v>41.929824086530225</c:v>
                </c:pt>
                <c:pt idx="40">
                  <c:v>44.269824086530228</c:v>
                </c:pt>
                <c:pt idx="41">
                  <c:v>46.449824086530228</c:v>
                </c:pt>
                <c:pt idx="42">
                  <c:v>48.489824086530227</c:v>
                </c:pt>
                <c:pt idx="43">
                  <c:v>48.489824086530227</c:v>
                </c:pt>
                <c:pt idx="44">
                  <c:v>51.889497776097592</c:v>
                </c:pt>
                <c:pt idx="45">
                  <c:v>55.549497776097596</c:v>
                </c:pt>
                <c:pt idx="46">
                  <c:v>58.879497776097601</c:v>
                </c:pt>
                <c:pt idx="47">
                  <c:v>65.239497776097593</c:v>
                </c:pt>
                <c:pt idx="48">
                  <c:v>69.069497776097592</c:v>
                </c:pt>
                <c:pt idx="49">
                  <c:v>73.539497776097591</c:v>
                </c:pt>
                <c:pt idx="50">
                  <c:v>78.999497776097584</c:v>
                </c:pt>
                <c:pt idx="51">
                  <c:v>81.829497776097583</c:v>
                </c:pt>
                <c:pt idx="52">
                  <c:v>84.159497776097595</c:v>
                </c:pt>
                <c:pt idx="53">
                  <c:v>87.679497776097605</c:v>
                </c:pt>
                <c:pt idx="54">
                  <c:v>91.749497776097598</c:v>
                </c:pt>
                <c:pt idx="55">
                  <c:v>95.989497776097608</c:v>
                </c:pt>
                <c:pt idx="56">
                  <c:v>98.869497776097603</c:v>
                </c:pt>
                <c:pt idx="57">
                  <c:v>102.67949777609761</c:v>
                </c:pt>
                <c:pt idx="58">
                  <c:v>103.97949777609762</c:v>
                </c:pt>
                <c:pt idx="59">
                  <c:v>107.01949777609762</c:v>
                </c:pt>
                <c:pt idx="60">
                  <c:v>109.05949777609763</c:v>
                </c:pt>
                <c:pt idx="61">
                  <c:v>111.21949777609763</c:v>
                </c:pt>
                <c:pt idx="62">
                  <c:v>112.95949777609762</c:v>
                </c:pt>
                <c:pt idx="63">
                  <c:v>114.37949777609762</c:v>
                </c:pt>
                <c:pt idx="64">
                  <c:v>118.18949777609762</c:v>
                </c:pt>
                <c:pt idx="65">
                  <c:v>124.07949777609764</c:v>
                </c:pt>
                <c:pt idx="66">
                  <c:v>127.61949777609763</c:v>
                </c:pt>
                <c:pt idx="67">
                  <c:v>130.45949777609763</c:v>
                </c:pt>
                <c:pt idx="68">
                  <c:v>132.58949777609763</c:v>
                </c:pt>
                <c:pt idx="69">
                  <c:v>134.54949777609764</c:v>
                </c:pt>
                <c:pt idx="70">
                  <c:v>139.63949777609764</c:v>
                </c:pt>
                <c:pt idx="71">
                  <c:v>142.52949777609763</c:v>
                </c:pt>
                <c:pt idx="72">
                  <c:v>145.91949777609761</c:v>
                </c:pt>
                <c:pt idx="73">
                  <c:v>149.53949777609762</c:v>
                </c:pt>
                <c:pt idx="74">
                  <c:v>152.47949777609762</c:v>
                </c:pt>
                <c:pt idx="75">
                  <c:v>157.10949777609761</c:v>
                </c:pt>
                <c:pt idx="76">
                  <c:v>158.01949777609761</c:v>
                </c:pt>
                <c:pt idx="77">
                  <c:v>158.8994977760976</c:v>
                </c:pt>
                <c:pt idx="78">
                  <c:v>162.59949777609762</c:v>
                </c:pt>
                <c:pt idx="79">
                  <c:v>167.87949777609762</c:v>
                </c:pt>
                <c:pt idx="80">
                  <c:v>175.30949777609763</c:v>
                </c:pt>
                <c:pt idx="81">
                  <c:v>177.76949777609764</c:v>
                </c:pt>
                <c:pt idx="82">
                  <c:v>179.10949777609764</c:v>
                </c:pt>
                <c:pt idx="83">
                  <c:v>183.45949777609763</c:v>
                </c:pt>
                <c:pt idx="84">
                  <c:v>187.42949777609763</c:v>
                </c:pt>
                <c:pt idx="85">
                  <c:v>193.58949777609763</c:v>
                </c:pt>
                <c:pt idx="86">
                  <c:v>195.67949777609763</c:v>
                </c:pt>
                <c:pt idx="87">
                  <c:v>198.61949777609763</c:v>
                </c:pt>
                <c:pt idx="88">
                  <c:v>200.61949777609763</c:v>
                </c:pt>
                <c:pt idx="89">
                  <c:v>204.58949777609763</c:v>
                </c:pt>
                <c:pt idx="90">
                  <c:v>206.10949777609764</c:v>
                </c:pt>
                <c:pt idx="91">
                  <c:v>209.23949777609764</c:v>
                </c:pt>
                <c:pt idx="92">
                  <c:v>210.69949777609764</c:v>
                </c:pt>
                <c:pt idx="93">
                  <c:v>213.14949777609763</c:v>
                </c:pt>
                <c:pt idx="94">
                  <c:v>216.29949777609764</c:v>
                </c:pt>
                <c:pt idx="95">
                  <c:v>217.14949777609763</c:v>
                </c:pt>
                <c:pt idx="96">
                  <c:v>219.85949777609764</c:v>
                </c:pt>
                <c:pt idx="97">
                  <c:v>225.65949777609765</c:v>
                </c:pt>
                <c:pt idx="98">
                  <c:v>226.87949777609765</c:v>
                </c:pt>
                <c:pt idx="99">
                  <c:v>230.15949777609765</c:v>
                </c:pt>
                <c:pt idx="100">
                  <c:v>235.23949777609764</c:v>
                </c:pt>
                <c:pt idx="101">
                  <c:v>239.14949777609763</c:v>
                </c:pt>
                <c:pt idx="102">
                  <c:v>245.56949777609765</c:v>
                </c:pt>
                <c:pt idx="103">
                  <c:v>252.07949777609764</c:v>
                </c:pt>
                <c:pt idx="104">
                  <c:v>255.03949777609765</c:v>
                </c:pt>
                <c:pt idx="105">
                  <c:v>256.48949777609766</c:v>
                </c:pt>
                <c:pt idx="106">
                  <c:v>259.89949777609769</c:v>
                </c:pt>
                <c:pt idx="107">
                  <c:v>264.06949777609771</c:v>
                </c:pt>
                <c:pt idx="108">
                  <c:v>270.78949777609773</c:v>
                </c:pt>
                <c:pt idx="109">
                  <c:v>273.65949777609774</c:v>
                </c:pt>
                <c:pt idx="110">
                  <c:v>277.17949777609772</c:v>
                </c:pt>
                <c:pt idx="111">
                  <c:v>279.3294977760977</c:v>
                </c:pt>
                <c:pt idx="112">
                  <c:v>283.17949777609772</c:v>
                </c:pt>
                <c:pt idx="113">
                  <c:v>285.1994977760977</c:v>
                </c:pt>
                <c:pt idx="114">
                  <c:v>289.42949777609772</c:v>
                </c:pt>
                <c:pt idx="115">
                  <c:v>290.79949777609772</c:v>
                </c:pt>
                <c:pt idx="116">
                  <c:v>293.74949777609771</c:v>
                </c:pt>
                <c:pt idx="117">
                  <c:v>296.17949777609772</c:v>
                </c:pt>
                <c:pt idx="118">
                  <c:v>300.52949777609774</c:v>
                </c:pt>
                <c:pt idx="119">
                  <c:v>302.32949777609775</c:v>
                </c:pt>
                <c:pt idx="120">
                  <c:v>305.94949777609776</c:v>
                </c:pt>
                <c:pt idx="121">
                  <c:v>309.49949777609777</c:v>
                </c:pt>
                <c:pt idx="122">
                  <c:v>312.18949777609777</c:v>
                </c:pt>
                <c:pt idx="123">
                  <c:v>313.9694977760978</c:v>
                </c:pt>
                <c:pt idx="124">
                  <c:v>314.5894977760978</c:v>
                </c:pt>
                <c:pt idx="125">
                  <c:v>317.5294977760978</c:v>
                </c:pt>
                <c:pt idx="126">
                  <c:v>320.2794977760978</c:v>
                </c:pt>
                <c:pt idx="127">
                  <c:v>324.22949777609779</c:v>
                </c:pt>
                <c:pt idx="128">
                  <c:v>326.37949777609776</c:v>
                </c:pt>
                <c:pt idx="129">
                  <c:v>329.04949777609778</c:v>
                </c:pt>
                <c:pt idx="130">
                  <c:v>332.3394977760978</c:v>
                </c:pt>
                <c:pt idx="131">
                  <c:v>335.67949777609783</c:v>
                </c:pt>
                <c:pt idx="132">
                  <c:v>338.28949777609785</c:v>
                </c:pt>
                <c:pt idx="133">
                  <c:v>341.62949777609788</c:v>
                </c:pt>
                <c:pt idx="134">
                  <c:v>343.67949777609789</c:v>
                </c:pt>
                <c:pt idx="135">
                  <c:v>345.4194977760979</c:v>
                </c:pt>
                <c:pt idx="136">
                  <c:v>348.43949777609788</c:v>
                </c:pt>
                <c:pt idx="137">
                  <c:v>350.62949777609788</c:v>
                </c:pt>
                <c:pt idx="138">
                  <c:v>352.6694977760979</c:v>
                </c:pt>
                <c:pt idx="139">
                  <c:v>353.90949777609791</c:v>
                </c:pt>
                <c:pt idx="140">
                  <c:v>355.17949777609789</c:v>
                </c:pt>
                <c:pt idx="141">
                  <c:v>360.4794977760979</c:v>
                </c:pt>
                <c:pt idx="142">
                  <c:v>363.01949777609792</c:v>
                </c:pt>
                <c:pt idx="143">
                  <c:v>363.90949777609791</c:v>
                </c:pt>
                <c:pt idx="144">
                  <c:v>364.19949777609793</c:v>
                </c:pt>
                <c:pt idx="145">
                  <c:v>364.42949777609795</c:v>
                </c:pt>
                <c:pt idx="146">
                  <c:v>365.58949777609791</c:v>
                </c:pt>
                <c:pt idx="147">
                  <c:v>368.32949777609792</c:v>
                </c:pt>
                <c:pt idx="148">
                  <c:v>369.26949777609792</c:v>
                </c:pt>
                <c:pt idx="149">
                  <c:v>370.01949777609792</c:v>
                </c:pt>
                <c:pt idx="150">
                  <c:v>370.12949777609794</c:v>
                </c:pt>
                <c:pt idx="151">
                  <c:v>371.81949777609793</c:v>
                </c:pt>
                <c:pt idx="152">
                  <c:v>375.4794977760979</c:v>
                </c:pt>
                <c:pt idx="153">
                  <c:v>377.18949777609788</c:v>
                </c:pt>
                <c:pt idx="154">
                  <c:v>377.7294977760979</c:v>
                </c:pt>
                <c:pt idx="155">
                  <c:v>379.73949777609789</c:v>
                </c:pt>
                <c:pt idx="156">
                  <c:v>381.17949777609789</c:v>
                </c:pt>
                <c:pt idx="157">
                  <c:v>381.17949777609789</c:v>
                </c:pt>
                <c:pt idx="158">
                  <c:v>381.30015451250745</c:v>
                </c:pt>
                <c:pt idx="159">
                  <c:v>382.81015451250744</c:v>
                </c:pt>
                <c:pt idx="160">
                  <c:v>385.67015451250745</c:v>
                </c:pt>
                <c:pt idx="161">
                  <c:v>386.79015451250746</c:v>
                </c:pt>
                <c:pt idx="162">
                  <c:v>387.73015451250745</c:v>
                </c:pt>
                <c:pt idx="163">
                  <c:v>389.04015451250746</c:v>
                </c:pt>
                <c:pt idx="164">
                  <c:v>389.36015451250745</c:v>
                </c:pt>
                <c:pt idx="165">
                  <c:v>389.47015451250746</c:v>
                </c:pt>
                <c:pt idx="166">
                  <c:v>390.76015451250748</c:v>
                </c:pt>
                <c:pt idx="167">
                  <c:v>390.77015451250747</c:v>
                </c:pt>
                <c:pt idx="168">
                  <c:v>390.93015451250744</c:v>
                </c:pt>
                <c:pt idx="169">
                  <c:v>392.68015451250744</c:v>
                </c:pt>
                <c:pt idx="170">
                  <c:v>393.62015451250744</c:v>
                </c:pt>
                <c:pt idx="171">
                  <c:v>395.66015451250746</c:v>
                </c:pt>
                <c:pt idx="172">
                  <c:v>396.46015451250747</c:v>
                </c:pt>
                <c:pt idx="173">
                  <c:v>398.27015451250747</c:v>
                </c:pt>
                <c:pt idx="174">
                  <c:v>398.46015451250747</c:v>
                </c:pt>
                <c:pt idx="175">
                  <c:v>400.27015451250747</c:v>
                </c:pt>
                <c:pt idx="176">
                  <c:v>401.31015451250749</c:v>
                </c:pt>
                <c:pt idx="177">
                  <c:v>404.14015451250748</c:v>
                </c:pt>
                <c:pt idx="178">
                  <c:v>408.63015451250749</c:v>
                </c:pt>
                <c:pt idx="179">
                  <c:v>410.46015451250747</c:v>
                </c:pt>
                <c:pt idx="180">
                  <c:v>412.71015451250747</c:v>
                </c:pt>
                <c:pt idx="181">
                  <c:v>412.71015451250747</c:v>
                </c:pt>
                <c:pt idx="182">
                  <c:v>413.49281891532564</c:v>
                </c:pt>
                <c:pt idx="183">
                  <c:v>413.49281891532564</c:v>
                </c:pt>
                <c:pt idx="184">
                  <c:v>413.49281891532564</c:v>
                </c:pt>
                <c:pt idx="185">
                  <c:v>414.46769864022269</c:v>
                </c:pt>
                <c:pt idx="186">
                  <c:v>415.98769864022267</c:v>
                </c:pt>
                <c:pt idx="187">
                  <c:v>417.68769864022266</c:v>
                </c:pt>
                <c:pt idx="188">
                  <c:v>417.68769864022266</c:v>
                </c:pt>
                <c:pt idx="189">
                  <c:v>419.64181654791474</c:v>
                </c:pt>
                <c:pt idx="190">
                  <c:v>421.61181654791471</c:v>
                </c:pt>
                <c:pt idx="191">
                  <c:v>424.3718165479147</c:v>
                </c:pt>
                <c:pt idx="192">
                  <c:v>427.1218165479147</c:v>
                </c:pt>
                <c:pt idx="193">
                  <c:v>427.23181654791472</c:v>
                </c:pt>
                <c:pt idx="194">
                  <c:v>427.42181654791472</c:v>
                </c:pt>
                <c:pt idx="195">
                  <c:v>428.09181654791473</c:v>
                </c:pt>
                <c:pt idx="196">
                  <c:v>428.09181654791473</c:v>
                </c:pt>
                <c:pt idx="197">
                  <c:v>428.09181654791473</c:v>
                </c:pt>
                <c:pt idx="198">
                  <c:v>428.09181654791473</c:v>
                </c:pt>
                <c:pt idx="199">
                  <c:v>428.09181654791473</c:v>
                </c:pt>
                <c:pt idx="200">
                  <c:v>428.09181654791473</c:v>
                </c:pt>
                <c:pt idx="201">
                  <c:v>428.09181654791473</c:v>
                </c:pt>
                <c:pt idx="202">
                  <c:v>428.09181654791473</c:v>
                </c:pt>
                <c:pt idx="203">
                  <c:v>428.09181654791473</c:v>
                </c:pt>
                <c:pt idx="204">
                  <c:v>428.09181654791473</c:v>
                </c:pt>
                <c:pt idx="205">
                  <c:v>428.09181654791473</c:v>
                </c:pt>
                <c:pt idx="206">
                  <c:v>428.09181654791473</c:v>
                </c:pt>
                <c:pt idx="207">
                  <c:v>428.09181654791473</c:v>
                </c:pt>
                <c:pt idx="208">
                  <c:v>428.09181654791473</c:v>
                </c:pt>
                <c:pt idx="209">
                  <c:v>428.09181654791473</c:v>
                </c:pt>
                <c:pt idx="210">
                  <c:v>428.09181654791473</c:v>
                </c:pt>
                <c:pt idx="211">
                  <c:v>428.09181654791473</c:v>
                </c:pt>
                <c:pt idx="212">
                  <c:v>428.09181654791473</c:v>
                </c:pt>
                <c:pt idx="213">
                  <c:v>428.09181654791473</c:v>
                </c:pt>
                <c:pt idx="214">
                  <c:v>428.09181654791473</c:v>
                </c:pt>
                <c:pt idx="215">
                  <c:v>428.09181654791473</c:v>
                </c:pt>
                <c:pt idx="216">
                  <c:v>428.09181654791473</c:v>
                </c:pt>
                <c:pt idx="217">
                  <c:v>428.09181654791473</c:v>
                </c:pt>
                <c:pt idx="218">
                  <c:v>428.09181654791473</c:v>
                </c:pt>
                <c:pt idx="219">
                  <c:v>428.09181654791473</c:v>
                </c:pt>
                <c:pt idx="220">
                  <c:v>428.09181654791473</c:v>
                </c:pt>
                <c:pt idx="221">
                  <c:v>428.09181654791473</c:v>
                </c:pt>
                <c:pt idx="222">
                  <c:v>428.09181654791473</c:v>
                </c:pt>
                <c:pt idx="223">
                  <c:v>428.09181654791473</c:v>
                </c:pt>
                <c:pt idx="224">
                  <c:v>428.09181654791473</c:v>
                </c:pt>
                <c:pt idx="225">
                  <c:v>428.09181654791473</c:v>
                </c:pt>
                <c:pt idx="226">
                  <c:v>428.09181654791473</c:v>
                </c:pt>
                <c:pt idx="227">
                  <c:v>428.09181654791473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0.99998457105749694</c:v>
                </c:pt>
                <c:pt idx="1">
                  <c:v>0</c:v>
                </c:pt>
                <c:pt idx="2">
                  <c:v>6.0235658318563701E-3</c:v>
                </c:pt>
                <c:pt idx="3">
                  <c:v>6.0235658318563701E-3</c:v>
                </c:pt>
                <c:pt idx="4">
                  <c:v>6.0235658318563701E-3</c:v>
                </c:pt>
                <c:pt idx="5">
                  <c:v>6.0235658318563701E-3</c:v>
                </c:pt>
                <c:pt idx="6">
                  <c:v>6.0235658318563701E-3</c:v>
                </c:pt>
                <c:pt idx="7">
                  <c:v>6.0235658318563701E-3</c:v>
                </c:pt>
                <c:pt idx="8">
                  <c:v>6.0235658318563701E-3</c:v>
                </c:pt>
                <c:pt idx="9">
                  <c:v>6.0235658318563701E-3</c:v>
                </c:pt>
                <c:pt idx="10">
                  <c:v>6.0235658318563701E-3</c:v>
                </c:pt>
                <c:pt idx="11">
                  <c:v>6.0235658318563701E-3</c:v>
                </c:pt>
                <c:pt idx="12">
                  <c:v>6.0235658318563701E-3</c:v>
                </c:pt>
                <c:pt idx="13">
                  <c:v>6.0235658318563701E-3</c:v>
                </c:pt>
                <c:pt idx="14">
                  <c:v>6.0235658318563701E-3</c:v>
                </c:pt>
                <c:pt idx="15">
                  <c:v>6.0235658318563701E-3</c:v>
                </c:pt>
                <c:pt idx="16">
                  <c:v>6.2716804085214189E-3</c:v>
                </c:pt>
                <c:pt idx="17">
                  <c:v>6.6892228642108191E-3</c:v>
                </c:pt>
                <c:pt idx="18">
                  <c:v>7.1253283038264364E-3</c:v>
                </c:pt>
                <c:pt idx="19">
                  <c:v>7.6037693774976692E-3</c:v>
                </c:pt>
                <c:pt idx="20">
                  <c:v>8.1264569344763164E-3</c:v>
                </c:pt>
                <c:pt idx="21">
                  <c:v>8.7078285039246823E-3</c:v>
                </c:pt>
                <c:pt idx="22">
                  <c:v>9.3452308299822925E-3</c:v>
                </c:pt>
                <c:pt idx="23">
                  <c:v>9.9684211327432035E-3</c:v>
                </c:pt>
                <c:pt idx="24">
                  <c:v>1.060452288967458E-2</c:v>
                </c:pt>
                <c:pt idx="25">
                  <c:v>1.128593164717759E-2</c:v>
                </c:pt>
                <c:pt idx="26">
                  <c:v>1.2002589025265561E-2</c:v>
                </c:pt>
                <c:pt idx="27">
                  <c:v>1.2754820940806247E-2</c:v>
                </c:pt>
                <c:pt idx="28">
                  <c:v>1.3528431950854422E-2</c:v>
                </c:pt>
                <c:pt idx="29">
                  <c:v>1.4356730576076587E-2</c:v>
                </c:pt>
                <c:pt idx="30">
                  <c:v>1.5250951134814245E-2</c:v>
                </c:pt>
                <c:pt idx="31">
                  <c:v>1.6165744130427723E-2</c:v>
                </c:pt>
                <c:pt idx="32">
                  <c:v>1.7105061790093922E-2</c:v>
                </c:pt>
                <c:pt idx="33">
                  <c:v>1.8047955775277021E-2</c:v>
                </c:pt>
                <c:pt idx="34">
                  <c:v>1.9057961966144621E-2</c:v>
                </c:pt>
                <c:pt idx="35">
                  <c:v>2.0161499674722489E-2</c:v>
                </c:pt>
                <c:pt idx="36">
                  <c:v>2.1372122536390498E-2</c:v>
                </c:pt>
                <c:pt idx="37">
                  <c:v>2.2641721650499689E-2</c:v>
                </c:pt>
                <c:pt idx="38">
                  <c:v>2.3933067516537634E-2</c:v>
                </c:pt>
                <c:pt idx="39">
                  <c:v>2.5282753057522318E-2</c:v>
                </c:pt>
                <c:pt idx="40">
                  <c:v>2.6707970716833708E-2</c:v>
                </c:pt>
                <c:pt idx="41">
                  <c:v>2.8137722031985817E-2</c:v>
                </c:pt>
                <c:pt idx="42">
                  <c:v>2.9614511044700691E-2</c:v>
                </c:pt>
                <c:pt idx="43">
                  <c:v>3.1263038513740578E-2</c:v>
                </c:pt>
                <c:pt idx="44">
                  <c:v>3.2989195412943664E-2</c:v>
                </c:pt>
                <c:pt idx="45">
                  <c:v>3.4871979122080198E-2</c:v>
                </c:pt>
                <c:pt idx="46">
                  <c:v>3.6732208493494858E-2</c:v>
                </c:pt>
                <c:pt idx="47">
                  <c:v>3.8627682857562018E-2</c:v>
                </c:pt>
                <c:pt idx="48">
                  <c:v>4.0598162835183034E-2</c:v>
                </c:pt>
                <c:pt idx="49">
                  <c:v>4.274056721622653E-2</c:v>
                </c:pt>
                <c:pt idx="50">
                  <c:v>4.5104908671332516E-2</c:v>
                </c:pt>
                <c:pt idx="51">
                  <c:v>4.7405696116920269E-2</c:v>
                </c:pt>
                <c:pt idx="52">
                  <c:v>4.958711025657709E-2</c:v>
                </c:pt>
                <c:pt idx="53">
                  <c:v>5.1741651135361798E-2</c:v>
                </c:pt>
                <c:pt idx="54">
                  <c:v>5.4086054623650417E-2</c:v>
                </c:pt>
                <c:pt idx="55">
                  <c:v>5.6426650378636811E-2</c:v>
                </c:pt>
                <c:pt idx="56">
                  <c:v>5.8872557624017018E-2</c:v>
                </c:pt>
                <c:pt idx="57">
                  <c:v>6.1355389203838283E-2</c:v>
                </c:pt>
                <c:pt idx="58">
                  <c:v>6.3720205546995076E-2</c:v>
                </c:pt>
                <c:pt idx="59">
                  <c:v>6.6214217807569323E-2</c:v>
                </c:pt>
                <c:pt idx="60">
                  <c:v>6.8853233255252722E-2</c:v>
                </c:pt>
                <c:pt idx="61">
                  <c:v>7.1561886536650743E-2</c:v>
                </c:pt>
                <c:pt idx="62">
                  <c:v>7.4417908296097221E-2</c:v>
                </c:pt>
                <c:pt idx="63">
                  <c:v>7.751493325613297E-2</c:v>
                </c:pt>
                <c:pt idx="64">
                  <c:v>8.0920662583854913E-2</c:v>
                </c:pt>
                <c:pt idx="65">
                  <c:v>8.4470927878004476E-2</c:v>
                </c:pt>
                <c:pt idx="66">
                  <c:v>8.8192196076200921E-2</c:v>
                </c:pt>
                <c:pt idx="67">
                  <c:v>9.1959176651384048E-2</c:v>
                </c:pt>
                <c:pt idx="68">
                  <c:v>9.5758962047095095E-2</c:v>
                </c:pt>
                <c:pt idx="69">
                  <c:v>9.9357985999534076E-2</c:v>
                </c:pt>
                <c:pt idx="70">
                  <c:v>0.10311167289569151</c:v>
                </c:pt>
                <c:pt idx="71">
                  <c:v>0.10662837073419798</c:v>
                </c:pt>
                <c:pt idx="72">
                  <c:v>0.11029384046451601</c:v>
                </c:pt>
                <c:pt idx="73">
                  <c:v>0.1144217369514853</c:v>
                </c:pt>
                <c:pt idx="74">
                  <c:v>0.11843926863522952</c:v>
                </c:pt>
                <c:pt idx="75">
                  <c:v>0.12268951467067314</c:v>
                </c:pt>
                <c:pt idx="76">
                  <c:v>0.12714801375432142</c:v>
                </c:pt>
                <c:pt idx="77">
                  <c:v>0.13148484787895393</c:v>
                </c:pt>
                <c:pt idx="78">
                  <c:v>0.13574246420159888</c:v>
                </c:pt>
                <c:pt idx="79">
                  <c:v>0.14020010751330264</c:v>
                </c:pt>
                <c:pt idx="80">
                  <c:v>0.14491497063822259</c:v>
                </c:pt>
                <c:pt idx="81">
                  <c:v>0.14944761464742648</c:v>
                </c:pt>
                <c:pt idx="82">
                  <c:v>0.15417876856878157</c:v>
                </c:pt>
                <c:pt idx="83">
                  <c:v>0.15892262082518185</c:v>
                </c:pt>
                <c:pt idx="84">
                  <c:v>0.16387025421830079</c:v>
                </c:pt>
                <c:pt idx="85">
                  <c:v>0.16901965132386748</c:v>
                </c:pt>
                <c:pt idx="86">
                  <c:v>0.17371831234579307</c:v>
                </c:pt>
                <c:pt idx="87">
                  <c:v>0.17805545077762031</c:v>
                </c:pt>
                <c:pt idx="88">
                  <c:v>0.18260053697251247</c:v>
                </c:pt>
                <c:pt idx="89">
                  <c:v>0.1877093487412588</c:v>
                </c:pt>
                <c:pt idx="90">
                  <c:v>0.19343140344549814</c:v>
                </c:pt>
                <c:pt idx="91">
                  <c:v>0.1992270628834463</c:v>
                </c:pt>
                <c:pt idx="92">
                  <c:v>0.2050822284088325</c:v>
                </c:pt>
                <c:pt idx="93">
                  <c:v>0.21073275556477916</c:v>
                </c:pt>
                <c:pt idx="94">
                  <c:v>0.21665591213579199</c:v>
                </c:pt>
                <c:pt idx="95">
                  <c:v>0.22196198726051627</c:v>
                </c:pt>
                <c:pt idx="96">
                  <c:v>0.22694476320199111</c:v>
                </c:pt>
                <c:pt idx="97">
                  <c:v>0.23233619113935719</c:v>
                </c:pt>
                <c:pt idx="98">
                  <c:v>0.23802173361247408</c:v>
                </c:pt>
                <c:pt idx="99">
                  <c:v>0.24330713175952423</c:v>
                </c:pt>
                <c:pt idx="100">
                  <c:v>0.2497535179379666</c:v>
                </c:pt>
                <c:pt idx="101">
                  <c:v>0.25700538670148554</c:v>
                </c:pt>
                <c:pt idx="102">
                  <c:v>0.26406925198296044</c:v>
                </c:pt>
                <c:pt idx="103">
                  <c:v>0.27077536878517006</c:v>
                </c:pt>
                <c:pt idx="104">
                  <c:v>0.27741011128304294</c:v>
                </c:pt>
                <c:pt idx="105">
                  <c:v>0.28476029978518752</c:v>
                </c:pt>
                <c:pt idx="106">
                  <c:v>0.29156570103975971</c:v>
                </c:pt>
                <c:pt idx="107">
                  <c:v>0.29923131407482684</c:v>
                </c:pt>
                <c:pt idx="108">
                  <c:v>0.30680687797115253</c:v>
                </c:pt>
                <c:pt idx="109">
                  <c:v>0.31452872578845603</c:v>
                </c:pt>
                <c:pt idx="110">
                  <c:v>0.32154883426638353</c:v>
                </c:pt>
                <c:pt idx="111">
                  <c:v>0.32849776509404549</c:v>
                </c:pt>
                <c:pt idx="112">
                  <c:v>0.33610273430910426</c:v>
                </c:pt>
                <c:pt idx="113">
                  <c:v>0.34390610998144583</c:v>
                </c:pt>
                <c:pt idx="114">
                  <c:v>0.35205072583939773</c:v>
                </c:pt>
                <c:pt idx="115">
                  <c:v>0.36024877748549411</c:v>
                </c:pt>
                <c:pt idx="116">
                  <c:v>0.36864070940459881</c:v>
                </c:pt>
                <c:pt idx="117">
                  <c:v>0.37716502543890135</c:v>
                </c:pt>
                <c:pt idx="118">
                  <c:v>0.3862460408091713</c:v>
                </c:pt>
                <c:pt idx="119">
                  <c:v>0.39527628523545227</c:v>
                </c:pt>
                <c:pt idx="120">
                  <c:v>0.40421707900122023</c:v>
                </c:pt>
                <c:pt idx="121">
                  <c:v>0.41275989784548811</c:v>
                </c:pt>
                <c:pt idx="122">
                  <c:v>0.42120960158389281</c:v>
                </c:pt>
                <c:pt idx="123">
                  <c:v>0.42984539456837223</c:v>
                </c:pt>
                <c:pt idx="124">
                  <c:v>0.43848100801867751</c:v>
                </c:pt>
                <c:pt idx="125">
                  <c:v>0.44732128245164154</c:v>
                </c:pt>
                <c:pt idx="126">
                  <c:v>0.45583170327483219</c:v>
                </c:pt>
                <c:pt idx="127">
                  <c:v>0.464729885428603</c:v>
                </c:pt>
                <c:pt idx="128">
                  <c:v>0.47319517351843282</c:v>
                </c:pt>
                <c:pt idx="129">
                  <c:v>0.48198936885210641</c:v>
                </c:pt>
                <c:pt idx="130">
                  <c:v>0.49056450527284995</c:v>
                </c:pt>
                <c:pt idx="131">
                  <c:v>0.49828981163233876</c:v>
                </c:pt>
                <c:pt idx="132">
                  <c:v>0.5060309984048974</c:v>
                </c:pt>
                <c:pt idx="133">
                  <c:v>0.51356118867470346</c:v>
                </c:pt>
                <c:pt idx="134">
                  <c:v>0.52105523203062754</c:v>
                </c:pt>
                <c:pt idx="135">
                  <c:v>0.52859685326491967</c:v>
                </c:pt>
                <c:pt idx="136">
                  <c:v>0.53650019001479854</c:v>
                </c:pt>
                <c:pt idx="137">
                  <c:v>0.5447523696457347</c:v>
                </c:pt>
                <c:pt idx="138">
                  <c:v>0.55312428577501693</c:v>
                </c:pt>
                <c:pt idx="139">
                  <c:v>0.56177557968950353</c:v>
                </c:pt>
                <c:pt idx="140">
                  <c:v>0.57035371315240169</c:v>
                </c:pt>
                <c:pt idx="141">
                  <c:v>0.57910182334862781</c:v>
                </c:pt>
                <c:pt idx="142">
                  <c:v>0.58755338385764222</c:v>
                </c:pt>
                <c:pt idx="143">
                  <c:v>0.59585872900891834</c:v>
                </c:pt>
                <c:pt idx="144">
                  <c:v>0.60360139663743284</c:v>
                </c:pt>
                <c:pt idx="145">
                  <c:v>0.61121617001623729</c:v>
                </c:pt>
                <c:pt idx="146">
                  <c:v>0.61890800315886796</c:v>
                </c:pt>
                <c:pt idx="147">
                  <c:v>0.62656324916468342</c:v>
                </c:pt>
                <c:pt idx="148">
                  <c:v>0.63391107786443945</c:v>
                </c:pt>
                <c:pt idx="149">
                  <c:v>0.64121722787657642</c:v>
                </c:pt>
                <c:pt idx="150">
                  <c:v>0.64910687465414862</c:v>
                </c:pt>
                <c:pt idx="151">
                  <c:v>0.6569661966074074</c:v>
                </c:pt>
                <c:pt idx="152">
                  <c:v>0.6648899769489528</c:v>
                </c:pt>
                <c:pt idx="153">
                  <c:v>0.67258783287045365</c:v>
                </c:pt>
                <c:pt idx="154">
                  <c:v>0.67979366408881647</c:v>
                </c:pt>
                <c:pt idx="155">
                  <c:v>0.68732319426037425</c:v>
                </c:pt>
                <c:pt idx="156">
                  <c:v>0.69429013558226527</c:v>
                </c:pt>
                <c:pt idx="157">
                  <c:v>0.70125073001120575</c:v>
                </c:pt>
                <c:pt idx="158">
                  <c:v>0.70818267438287796</c:v>
                </c:pt>
                <c:pt idx="159">
                  <c:v>0.71533071908324097</c:v>
                </c:pt>
                <c:pt idx="160">
                  <c:v>0.72203998032699446</c:v>
                </c:pt>
                <c:pt idx="161">
                  <c:v>0.72872207676739764</c:v>
                </c:pt>
                <c:pt idx="162">
                  <c:v>0.7354902276155415</c:v>
                </c:pt>
                <c:pt idx="163">
                  <c:v>0.74221478049055711</c:v>
                </c:pt>
                <c:pt idx="164">
                  <c:v>0.7486365730270661</c:v>
                </c:pt>
                <c:pt idx="165">
                  <c:v>0.75466839905958039</c:v>
                </c:pt>
                <c:pt idx="166">
                  <c:v>0.76043348156625035</c:v>
                </c:pt>
                <c:pt idx="167">
                  <c:v>0.76596457886739677</c:v>
                </c:pt>
                <c:pt idx="168">
                  <c:v>0.77123958738825948</c:v>
                </c:pt>
                <c:pt idx="169">
                  <c:v>0.77644778153931859</c:v>
                </c:pt>
                <c:pt idx="170">
                  <c:v>0.78156738399341674</c:v>
                </c:pt>
                <c:pt idx="171">
                  <c:v>0.78679821279709994</c:v>
                </c:pt>
                <c:pt idx="172">
                  <c:v>0.79163835868544152</c:v>
                </c:pt>
                <c:pt idx="173">
                  <c:v>0.79624343693026922</c:v>
                </c:pt>
                <c:pt idx="174">
                  <c:v>0.80090233491225793</c:v>
                </c:pt>
                <c:pt idx="175">
                  <c:v>0.80555846791741803</c:v>
                </c:pt>
                <c:pt idx="176">
                  <c:v>0.81020490584675076</c:v>
                </c:pt>
                <c:pt idx="177">
                  <c:v>0.81458995134097334</c:v>
                </c:pt>
                <c:pt idx="178">
                  <c:v>0.81865835222221861</c:v>
                </c:pt>
                <c:pt idx="179">
                  <c:v>0.82251339873697493</c:v>
                </c:pt>
                <c:pt idx="180">
                  <c:v>0.82633840352397747</c:v>
                </c:pt>
                <c:pt idx="181">
                  <c:v>0.82982160510189418</c:v>
                </c:pt>
                <c:pt idx="182">
                  <c:v>0.83316587177602042</c:v>
                </c:pt>
                <c:pt idx="183">
                  <c:v>0.83641057035313726</c:v>
                </c:pt>
                <c:pt idx="184">
                  <c:v>0.83941829514079991</c:v>
                </c:pt>
                <c:pt idx="185">
                  <c:v>0.84255381068154611</c:v>
                </c:pt>
                <c:pt idx="186">
                  <c:v>0.84560958989482826</c:v>
                </c:pt>
                <c:pt idx="187">
                  <c:v>0.84827458343565487</c:v>
                </c:pt>
                <c:pt idx="188">
                  <c:v>0.85090072041497622</c:v>
                </c:pt>
                <c:pt idx="189">
                  <c:v>0.85355175489142399</c:v>
                </c:pt>
                <c:pt idx="190">
                  <c:v>0.85604461518212538</c:v>
                </c:pt>
                <c:pt idx="191">
                  <c:v>0.85832232220561699</c:v>
                </c:pt>
                <c:pt idx="192">
                  <c:v>0.86041390867460088</c:v>
                </c:pt>
                <c:pt idx="193">
                  <c:v>0.86241720518859744</c:v>
                </c:pt>
                <c:pt idx="194">
                  <c:v>0.86445865410804734</c:v>
                </c:pt>
                <c:pt idx="195">
                  <c:v>0.8662870572885657</c:v>
                </c:pt>
                <c:pt idx="196">
                  <c:v>0.86797313124193098</c:v>
                </c:pt>
                <c:pt idx="197">
                  <c:v>0.86955417639338783</c:v>
                </c:pt>
                <c:pt idx="198">
                  <c:v>0.87114606086940038</c:v>
                </c:pt>
                <c:pt idx="199">
                  <c:v>0.8727070717888693</c:v>
                </c:pt>
                <c:pt idx="200">
                  <c:v>0.87424828019940182</c:v>
                </c:pt>
                <c:pt idx="201">
                  <c:v>0.8756111661611663</c:v>
                </c:pt>
                <c:pt idx="202">
                  <c:v>0.8769716466646168</c:v>
                </c:pt>
                <c:pt idx="203">
                  <c:v>0.87829934690162881</c:v>
                </c:pt>
                <c:pt idx="204">
                  <c:v>0.87965389165300234</c:v>
                </c:pt>
                <c:pt idx="205">
                  <c:v>0.88085421982644185</c:v>
                </c:pt>
                <c:pt idx="206">
                  <c:v>0.88198755217991986</c:v>
                </c:pt>
                <c:pt idx="207">
                  <c:v>0.88310296805617439</c:v>
                </c:pt>
                <c:pt idx="208">
                  <c:v>0.88413070034436392</c:v>
                </c:pt>
                <c:pt idx="209">
                  <c:v>0.88504873649097893</c:v>
                </c:pt>
                <c:pt idx="210">
                  <c:v>0.88592008872092853</c:v>
                </c:pt>
                <c:pt idx="211">
                  <c:v>0.88673177904684475</c:v>
                </c:pt>
                <c:pt idx="212">
                  <c:v>0.88751468904097652</c:v>
                </c:pt>
                <c:pt idx="213">
                  <c:v>0.88827919982431314</c:v>
                </c:pt>
                <c:pt idx="214">
                  <c:v>0.88896901505661141</c:v>
                </c:pt>
                <c:pt idx="215">
                  <c:v>0.88964001925589442</c:v>
                </c:pt>
                <c:pt idx="216">
                  <c:v>0.89028742134639727</c:v>
                </c:pt>
                <c:pt idx="217">
                  <c:v>0.89087299386987695</c:v>
                </c:pt>
                <c:pt idx="218">
                  <c:v>0.89144351918011733</c:v>
                </c:pt>
                <c:pt idx="219">
                  <c:v>0.89198403222795009</c:v>
                </c:pt>
                <c:pt idx="220">
                  <c:v>0.89248919026094187</c:v>
                </c:pt>
                <c:pt idx="221">
                  <c:v>0.8929519864145008</c:v>
                </c:pt>
                <c:pt idx="222">
                  <c:v>0.89338427580268787</c:v>
                </c:pt>
                <c:pt idx="223">
                  <c:v>0.89380469424447073</c:v>
                </c:pt>
                <c:pt idx="224">
                  <c:v>0.89421131234063533</c:v>
                </c:pt>
                <c:pt idx="225">
                  <c:v>0.89457768581431996</c:v>
                </c:pt>
                <c:pt idx="226">
                  <c:v>0.89490845509500394</c:v>
                </c:pt>
                <c:pt idx="227">
                  <c:v>0.89521819789393153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16.18</c:v>
                </c:pt>
                <c:pt idx="1">
                  <c:v>17.16</c:v>
                </c:pt>
                <c:pt idx="2">
                  <c:v>16.809999999999999</c:v>
                </c:pt>
                <c:pt idx="3">
                  <c:v>15.77</c:v>
                </c:pt>
                <c:pt idx="4">
                  <c:v>16.05</c:v>
                </c:pt>
                <c:pt idx="5">
                  <c:v>16.2</c:v>
                </c:pt>
                <c:pt idx="6">
                  <c:v>17.399999999999999</c:v>
                </c:pt>
                <c:pt idx="7">
                  <c:v>17.100000000000001</c:v>
                </c:pt>
                <c:pt idx="8">
                  <c:v>16.21</c:v>
                </c:pt>
                <c:pt idx="9">
                  <c:v>15.89</c:v>
                </c:pt>
                <c:pt idx="10">
                  <c:v>16.25</c:v>
                </c:pt>
                <c:pt idx="11">
                  <c:v>16.66</c:v>
                </c:pt>
                <c:pt idx="12">
                  <c:v>16.829999999999998</c:v>
                </c:pt>
                <c:pt idx="13">
                  <c:v>16.84</c:v>
                </c:pt>
                <c:pt idx="14">
                  <c:v>17.34</c:v>
                </c:pt>
                <c:pt idx="15">
                  <c:v>16.829999999999998</c:v>
                </c:pt>
                <c:pt idx="16">
                  <c:v>16.72</c:v>
                </c:pt>
                <c:pt idx="17">
                  <c:v>17.3</c:v>
                </c:pt>
                <c:pt idx="18">
                  <c:v>17.05</c:v>
                </c:pt>
                <c:pt idx="19">
                  <c:v>15.94</c:v>
                </c:pt>
                <c:pt idx="20">
                  <c:v>17.48</c:v>
                </c:pt>
                <c:pt idx="21">
                  <c:v>18.25</c:v>
                </c:pt>
                <c:pt idx="22">
                  <c:v>17.18</c:v>
                </c:pt>
                <c:pt idx="23">
                  <c:v>16.84</c:v>
                </c:pt>
                <c:pt idx="24">
                  <c:v>16.690000000000001</c:v>
                </c:pt>
                <c:pt idx="25">
                  <c:v>16.43</c:v>
                </c:pt>
                <c:pt idx="26">
                  <c:v>16.329999999999998</c:v>
                </c:pt>
                <c:pt idx="27">
                  <c:v>17.04</c:v>
                </c:pt>
                <c:pt idx="28">
                  <c:v>17.48</c:v>
                </c:pt>
                <c:pt idx="29">
                  <c:v>18.010000000000002</c:v>
                </c:pt>
                <c:pt idx="30">
                  <c:v>18.13</c:v>
                </c:pt>
                <c:pt idx="31">
                  <c:v>17.559999999999999</c:v>
                </c:pt>
                <c:pt idx="32">
                  <c:v>16.53</c:v>
                </c:pt>
                <c:pt idx="33">
                  <c:v>16.34</c:v>
                </c:pt>
                <c:pt idx="34">
                  <c:v>17.920000000000002</c:v>
                </c:pt>
                <c:pt idx="35">
                  <c:v>16.079999999999998</c:v>
                </c:pt>
                <c:pt idx="36">
                  <c:v>16.54</c:v>
                </c:pt>
                <c:pt idx="37">
                  <c:v>16.53</c:v>
                </c:pt>
                <c:pt idx="38">
                  <c:v>16.86</c:v>
                </c:pt>
                <c:pt idx="39">
                  <c:v>16.96</c:v>
                </c:pt>
                <c:pt idx="40">
                  <c:v>16.87</c:v>
                </c:pt>
                <c:pt idx="41">
                  <c:v>17.489999999999998</c:v>
                </c:pt>
                <c:pt idx="42">
                  <c:v>17.98</c:v>
                </c:pt>
                <c:pt idx="43">
                  <c:v>16.399999999999999</c:v>
                </c:pt>
                <c:pt idx="44">
                  <c:v>15.89</c:v>
                </c:pt>
                <c:pt idx="45">
                  <c:v>15.47</c:v>
                </c:pt>
                <c:pt idx="46">
                  <c:v>16.04</c:v>
                </c:pt>
                <c:pt idx="47">
                  <c:v>17.16</c:v>
                </c:pt>
                <c:pt idx="48">
                  <c:v>17.57</c:v>
                </c:pt>
                <c:pt idx="49">
                  <c:v>16.989999999999998</c:v>
                </c:pt>
                <c:pt idx="50">
                  <c:v>16.66</c:v>
                </c:pt>
                <c:pt idx="51">
                  <c:v>16.7</c:v>
                </c:pt>
                <c:pt idx="52">
                  <c:v>16.39</c:v>
                </c:pt>
                <c:pt idx="53">
                  <c:v>16.09</c:v>
                </c:pt>
                <c:pt idx="54">
                  <c:v>16.78</c:v>
                </c:pt>
                <c:pt idx="55">
                  <c:v>16.190000000000001</c:v>
                </c:pt>
                <c:pt idx="56">
                  <c:v>16.190000000000001</c:v>
                </c:pt>
                <c:pt idx="57">
                  <c:v>16.21</c:v>
                </c:pt>
                <c:pt idx="58">
                  <c:v>16.079999999999998</c:v>
                </c:pt>
                <c:pt idx="59">
                  <c:v>16.260000000000002</c:v>
                </c:pt>
                <c:pt idx="60">
                  <c:v>15.97</c:v>
                </c:pt>
                <c:pt idx="61">
                  <c:v>15.22</c:v>
                </c:pt>
                <c:pt idx="62">
                  <c:v>14.61</c:v>
                </c:pt>
                <c:pt idx="63">
                  <c:v>15.77</c:v>
                </c:pt>
                <c:pt idx="64">
                  <c:v>16</c:v>
                </c:pt>
                <c:pt idx="65">
                  <c:v>15.02</c:v>
                </c:pt>
                <c:pt idx="66">
                  <c:v>15.33</c:v>
                </c:pt>
                <c:pt idx="67">
                  <c:v>14.63</c:v>
                </c:pt>
                <c:pt idx="68">
                  <c:v>15.79</c:v>
                </c:pt>
                <c:pt idx="69">
                  <c:v>15.06</c:v>
                </c:pt>
                <c:pt idx="70">
                  <c:v>14.96</c:v>
                </c:pt>
                <c:pt idx="71">
                  <c:v>15.21</c:v>
                </c:pt>
                <c:pt idx="72">
                  <c:v>14.89</c:v>
                </c:pt>
                <c:pt idx="73">
                  <c:v>14.98</c:v>
                </c:pt>
                <c:pt idx="74">
                  <c:v>15</c:v>
                </c:pt>
                <c:pt idx="75">
                  <c:v>14.82</c:v>
                </c:pt>
                <c:pt idx="76">
                  <c:v>13.74</c:v>
                </c:pt>
                <c:pt idx="77">
                  <c:v>14.59</c:v>
                </c:pt>
                <c:pt idx="78">
                  <c:v>15.36</c:v>
                </c:pt>
                <c:pt idx="79">
                  <c:v>14.95</c:v>
                </c:pt>
                <c:pt idx="80">
                  <c:v>14.54</c:v>
                </c:pt>
                <c:pt idx="81">
                  <c:v>13.98</c:v>
                </c:pt>
                <c:pt idx="82">
                  <c:v>14.1</c:v>
                </c:pt>
                <c:pt idx="83">
                  <c:v>14.4</c:v>
                </c:pt>
                <c:pt idx="84">
                  <c:v>13.61</c:v>
                </c:pt>
                <c:pt idx="85">
                  <c:v>14.47</c:v>
                </c:pt>
                <c:pt idx="86">
                  <c:v>14.93</c:v>
                </c:pt>
                <c:pt idx="87">
                  <c:v>14.87</c:v>
                </c:pt>
                <c:pt idx="88">
                  <c:v>14.94</c:v>
                </c:pt>
                <c:pt idx="89">
                  <c:v>14.03</c:v>
                </c:pt>
                <c:pt idx="90">
                  <c:v>13.46</c:v>
                </c:pt>
                <c:pt idx="91">
                  <c:v>14.02</c:v>
                </c:pt>
                <c:pt idx="92">
                  <c:v>13.61</c:v>
                </c:pt>
                <c:pt idx="93">
                  <c:v>13.09</c:v>
                </c:pt>
                <c:pt idx="94">
                  <c:v>12.85</c:v>
                </c:pt>
                <c:pt idx="95">
                  <c:v>12.99</c:v>
                </c:pt>
                <c:pt idx="96">
                  <c:v>12.89</c:v>
                </c:pt>
                <c:pt idx="97">
                  <c:v>12.92</c:v>
                </c:pt>
                <c:pt idx="98">
                  <c:v>12.36</c:v>
                </c:pt>
                <c:pt idx="99">
                  <c:v>11.36</c:v>
                </c:pt>
                <c:pt idx="100">
                  <c:v>11.6</c:v>
                </c:pt>
                <c:pt idx="101">
                  <c:v>11.45</c:v>
                </c:pt>
                <c:pt idx="102">
                  <c:v>11.9</c:v>
                </c:pt>
                <c:pt idx="103">
                  <c:v>11.5</c:v>
                </c:pt>
                <c:pt idx="104">
                  <c:v>12.46</c:v>
                </c:pt>
                <c:pt idx="105">
                  <c:v>12.08</c:v>
                </c:pt>
                <c:pt idx="106">
                  <c:v>12.31</c:v>
                </c:pt>
                <c:pt idx="107">
                  <c:v>11.6</c:v>
                </c:pt>
                <c:pt idx="108">
                  <c:v>11.71</c:v>
                </c:pt>
                <c:pt idx="109">
                  <c:v>12.09</c:v>
                </c:pt>
                <c:pt idx="110">
                  <c:v>11.19</c:v>
                </c:pt>
                <c:pt idx="111">
                  <c:v>11</c:v>
                </c:pt>
                <c:pt idx="112">
                  <c:v>11.59</c:v>
                </c:pt>
                <c:pt idx="113">
                  <c:v>11</c:v>
                </c:pt>
                <c:pt idx="114">
                  <c:v>11.55</c:v>
                </c:pt>
                <c:pt idx="115">
                  <c:v>11.7</c:v>
                </c:pt>
                <c:pt idx="116">
                  <c:v>11.83</c:v>
                </c:pt>
                <c:pt idx="117">
                  <c:v>12.13</c:v>
                </c:pt>
                <c:pt idx="118">
                  <c:v>10.83</c:v>
                </c:pt>
                <c:pt idx="119">
                  <c:v>10.55</c:v>
                </c:pt>
                <c:pt idx="120">
                  <c:v>10.199999999999999</c:v>
                </c:pt>
                <c:pt idx="121">
                  <c:v>10.32</c:v>
                </c:pt>
                <c:pt idx="122">
                  <c:v>10.27</c:v>
                </c:pt>
                <c:pt idx="123">
                  <c:v>10.81</c:v>
                </c:pt>
                <c:pt idx="124">
                  <c:v>10.77</c:v>
                </c:pt>
                <c:pt idx="125">
                  <c:v>11.58</c:v>
                </c:pt>
                <c:pt idx="126">
                  <c:v>11.14</c:v>
                </c:pt>
                <c:pt idx="127">
                  <c:v>10.08</c:v>
                </c:pt>
                <c:pt idx="128">
                  <c:v>10.23</c:v>
                </c:pt>
                <c:pt idx="129">
                  <c:v>10.1</c:v>
                </c:pt>
                <c:pt idx="130">
                  <c:v>10.44</c:v>
                </c:pt>
                <c:pt idx="131">
                  <c:v>10.8</c:v>
                </c:pt>
                <c:pt idx="132">
                  <c:v>10.15</c:v>
                </c:pt>
                <c:pt idx="133">
                  <c:v>10.029999999999999</c:v>
                </c:pt>
                <c:pt idx="134">
                  <c:v>9.6199999999999992</c:v>
                </c:pt>
                <c:pt idx="135">
                  <c:v>10.18</c:v>
                </c:pt>
                <c:pt idx="136">
                  <c:v>9.2799999999999994</c:v>
                </c:pt>
                <c:pt idx="137">
                  <c:v>9.0500000000000007</c:v>
                </c:pt>
                <c:pt idx="138">
                  <c:v>9.36</c:v>
                </c:pt>
                <c:pt idx="139">
                  <c:v>9.44</c:v>
                </c:pt>
                <c:pt idx="140">
                  <c:v>9.17</c:v>
                </c:pt>
                <c:pt idx="141">
                  <c:v>8.35</c:v>
                </c:pt>
                <c:pt idx="142">
                  <c:v>9.01</c:v>
                </c:pt>
                <c:pt idx="143">
                  <c:v>8.7899999999999991</c:v>
                </c:pt>
                <c:pt idx="144">
                  <c:v>8.3699999999999992</c:v>
                </c:pt>
                <c:pt idx="145">
                  <c:v>8.56</c:v>
                </c:pt>
                <c:pt idx="146">
                  <c:v>8.4600000000000009</c:v>
                </c:pt>
                <c:pt idx="147">
                  <c:v>8.19</c:v>
                </c:pt>
                <c:pt idx="148">
                  <c:v>8.3800000000000008</c:v>
                </c:pt>
                <c:pt idx="149">
                  <c:v>7.92</c:v>
                </c:pt>
                <c:pt idx="150">
                  <c:v>7.97</c:v>
                </c:pt>
                <c:pt idx="151">
                  <c:v>8.07</c:v>
                </c:pt>
                <c:pt idx="152">
                  <c:v>7.75</c:v>
                </c:pt>
                <c:pt idx="153">
                  <c:v>7.45</c:v>
                </c:pt>
                <c:pt idx="154">
                  <c:v>7.27</c:v>
                </c:pt>
                <c:pt idx="155">
                  <c:v>7.2</c:v>
                </c:pt>
                <c:pt idx="156">
                  <c:v>6.86</c:v>
                </c:pt>
                <c:pt idx="157">
                  <c:v>7.08</c:v>
                </c:pt>
                <c:pt idx="158">
                  <c:v>7.62</c:v>
                </c:pt>
                <c:pt idx="159">
                  <c:v>7.83</c:v>
                </c:pt>
                <c:pt idx="160">
                  <c:v>7.83</c:v>
                </c:pt>
                <c:pt idx="161">
                  <c:v>7.61</c:v>
                </c:pt>
                <c:pt idx="162">
                  <c:v>7.7</c:v>
                </c:pt>
                <c:pt idx="163">
                  <c:v>6.87</c:v>
                </c:pt>
                <c:pt idx="164">
                  <c:v>7.23</c:v>
                </c:pt>
                <c:pt idx="165">
                  <c:v>7.34</c:v>
                </c:pt>
                <c:pt idx="166">
                  <c:v>6.66</c:v>
                </c:pt>
                <c:pt idx="167">
                  <c:v>6.02</c:v>
                </c:pt>
                <c:pt idx="168">
                  <c:v>6.48</c:v>
                </c:pt>
                <c:pt idx="169">
                  <c:v>6.38</c:v>
                </c:pt>
                <c:pt idx="170">
                  <c:v>6.44</c:v>
                </c:pt>
                <c:pt idx="171">
                  <c:v>6.56</c:v>
                </c:pt>
                <c:pt idx="172">
                  <c:v>6.14</c:v>
                </c:pt>
                <c:pt idx="173">
                  <c:v>6.21</c:v>
                </c:pt>
                <c:pt idx="174">
                  <c:v>6.51</c:v>
                </c:pt>
                <c:pt idx="175">
                  <c:v>6.44</c:v>
                </c:pt>
                <c:pt idx="176">
                  <c:v>6.69</c:v>
                </c:pt>
                <c:pt idx="177">
                  <c:v>6.18</c:v>
                </c:pt>
                <c:pt idx="178">
                  <c:v>5.92</c:v>
                </c:pt>
                <c:pt idx="179">
                  <c:v>6.15</c:v>
                </c:pt>
                <c:pt idx="180">
                  <c:v>6.49</c:v>
                </c:pt>
                <c:pt idx="181">
                  <c:v>5.8</c:v>
                </c:pt>
                <c:pt idx="182">
                  <c:v>5.47</c:v>
                </c:pt>
                <c:pt idx="183">
                  <c:v>6.01</c:v>
                </c:pt>
                <c:pt idx="184">
                  <c:v>6.27</c:v>
                </c:pt>
                <c:pt idx="185">
                  <c:v>6.54</c:v>
                </c:pt>
                <c:pt idx="186">
                  <c:v>6.33</c:v>
                </c:pt>
                <c:pt idx="187">
                  <c:v>5.57</c:v>
                </c:pt>
                <c:pt idx="188">
                  <c:v>5.22</c:v>
                </c:pt>
                <c:pt idx="189">
                  <c:v>5.46</c:v>
                </c:pt>
                <c:pt idx="190">
                  <c:v>5.67</c:v>
                </c:pt>
                <c:pt idx="191">
                  <c:v>5.58</c:v>
                </c:pt>
                <c:pt idx="192">
                  <c:v>5.82</c:v>
                </c:pt>
                <c:pt idx="193">
                  <c:v>5.9</c:v>
                </c:pt>
                <c:pt idx="194">
                  <c:v>6.16</c:v>
                </c:pt>
                <c:pt idx="195">
                  <c:v>5.86</c:v>
                </c:pt>
                <c:pt idx="196">
                  <c:v>6.33</c:v>
                </c:pt>
                <c:pt idx="197">
                  <c:v>6.44</c:v>
                </c:pt>
                <c:pt idx="198">
                  <c:v>6.32</c:v>
                </c:pt>
                <c:pt idx="199">
                  <c:v>6.53</c:v>
                </c:pt>
                <c:pt idx="200">
                  <c:v>6.71</c:v>
                </c:pt>
                <c:pt idx="201">
                  <c:v>6.29</c:v>
                </c:pt>
                <c:pt idx="202">
                  <c:v>6.58</c:v>
                </c:pt>
                <c:pt idx="203">
                  <c:v>6.84</c:v>
                </c:pt>
                <c:pt idx="204">
                  <c:v>6.72</c:v>
                </c:pt>
                <c:pt idx="205">
                  <c:v>6.81</c:v>
                </c:pt>
                <c:pt idx="206">
                  <c:v>6.76</c:v>
                </c:pt>
                <c:pt idx="207">
                  <c:v>7.1</c:v>
                </c:pt>
                <c:pt idx="208">
                  <c:v>7.03</c:v>
                </c:pt>
                <c:pt idx="209">
                  <c:v>7.45</c:v>
                </c:pt>
                <c:pt idx="210">
                  <c:v>6.84</c:v>
                </c:pt>
                <c:pt idx="211">
                  <c:v>7.19</c:v>
                </c:pt>
                <c:pt idx="212">
                  <c:v>7.41</c:v>
                </c:pt>
                <c:pt idx="213">
                  <c:v>7.14</c:v>
                </c:pt>
                <c:pt idx="214">
                  <c:v>6.77</c:v>
                </c:pt>
                <c:pt idx="215">
                  <c:v>7.2</c:v>
                </c:pt>
                <c:pt idx="216">
                  <c:v>7.37</c:v>
                </c:pt>
                <c:pt idx="217">
                  <c:v>7.46</c:v>
                </c:pt>
                <c:pt idx="218">
                  <c:v>7.59</c:v>
                </c:pt>
                <c:pt idx="219">
                  <c:v>7.33</c:v>
                </c:pt>
                <c:pt idx="220">
                  <c:v>6.63</c:v>
                </c:pt>
                <c:pt idx="221">
                  <c:v>7.07</c:v>
                </c:pt>
                <c:pt idx="222">
                  <c:v>7.51</c:v>
                </c:pt>
                <c:pt idx="223">
                  <c:v>7.74</c:v>
                </c:pt>
                <c:pt idx="224">
                  <c:v>7.44</c:v>
                </c:pt>
                <c:pt idx="225">
                  <c:v>7.32</c:v>
                </c:pt>
                <c:pt idx="226">
                  <c:v>6.96</c:v>
                </c:pt>
                <c:pt idx="227">
                  <c:v>7.19</c:v>
                </c:pt>
                <c:pt idx="228">
                  <c:v>7.74</c:v>
                </c:pt>
                <c:pt idx="229">
                  <c:v>7.8</c:v>
                </c:pt>
                <c:pt idx="230">
                  <c:v>7.52</c:v>
                </c:pt>
                <c:pt idx="231">
                  <c:v>7.57</c:v>
                </c:pt>
                <c:pt idx="232">
                  <c:v>7.26</c:v>
                </c:pt>
                <c:pt idx="233">
                  <c:v>7.51</c:v>
                </c:pt>
                <c:pt idx="234">
                  <c:v>7.64</c:v>
                </c:pt>
                <c:pt idx="235">
                  <c:v>8.1</c:v>
                </c:pt>
                <c:pt idx="236">
                  <c:v>8.3000000000000007</c:v>
                </c:pt>
                <c:pt idx="237">
                  <c:v>8.24</c:v>
                </c:pt>
                <c:pt idx="238">
                  <c:v>8.25</c:v>
                </c:pt>
                <c:pt idx="239">
                  <c:v>8.56</c:v>
                </c:pt>
                <c:pt idx="240">
                  <c:v>8.2100000000000009</c:v>
                </c:pt>
                <c:pt idx="241">
                  <c:v>8.8000000000000007</c:v>
                </c:pt>
                <c:pt idx="242">
                  <c:v>7.9</c:v>
                </c:pt>
                <c:pt idx="243">
                  <c:v>8.58</c:v>
                </c:pt>
                <c:pt idx="244">
                  <c:v>9.0299999999999994</c:v>
                </c:pt>
                <c:pt idx="245">
                  <c:v>8.75</c:v>
                </c:pt>
                <c:pt idx="246">
                  <c:v>8.7200000000000006</c:v>
                </c:pt>
                <c:pt idx="247">
                  <c:v>8.48</c:v>
                </c:pt>
                <c:pt idx="248">
                  <c:v>8.91</c:v>
                </c:pt>
                <c:pt idx="249">
                  <c:v>8.9700000000000006</c:v>
                </c:pt>
                <c:pt idx="250">
                  <c:v>8.6</c:v>
                </c:pt>
                <c:pt idx="251">
                  <c:v>8.02</c:v>
                </c:pt>
                <c:pt idx="252">
                  <c:v>9.01</c:v>
                </c:pt>
                <c:pt idx="253">
                  <c:v>9.7100000000000009</c:v>
                </c:pt>
                <c:pt idx="254">
                  <c:v>9.6199999999999992</c:v>
                </c:pt>
                <c:pt idx="255">
                  <c:v>9.3800000000000008</c:v>
                </c:pt>
                <c:pt idx="256">
                  <c:v>9.86</c:v>
                </c:pt>
                <c:pt idx="257">
                  <c:v>10.65</c:v>
                </c:pt>
                <c:pt idx="258">
                  <c:v>10.48</c:v>
                </c:pt>
                <c:pt idx="259">
                  <c:v>9.85</c:v>
                </c:pt>
                <c:pt idx="260">
                  <c:v>9.6</c:v>
                </c:pt>
                <c:pt idx="261">
                  <c:v>9.8800000000000008</c:v>
                </c:pt>
                <c:pt idx="262">
                  <c:v>9.5</c:v>
                </c:pt>
                <c:pt idx="263">
                  <c:v>9.9700000000000006</c:v>
                </c:pt>
                <c:pt idx="264">
                  <c:v>9.6300000000000008</c:v>
                </c:pt>
                <c:pt idx="265">
                  <c:v>9.43</c:v>
                </c:pt>
                <c:pt idx="266">
                  <c:v>9.92</c:v>
                </c:pt>
                <c:pt idx="267">
                  <c:v>9.44</c:v>
                </c:pt>
                <c:pt idx="268">
                  <c:v>10.24</c:v>
                </c:pt>
                <c:pt idx="269">
                  <c:v>10.45</c:v>
                </c:pt>
                <c:pt idx="270">
                  <c:v>10.199999999999999</c:v>
                </c:pt>
                <c:pt idx="271">
                  <c:v>10.07</c:v>
                </c:pt>
                <c:pt idx="272">
                  <c:v>11.25</c:v>
                </c:pt>
                <c:pt idx="273">
                  <c:v>11.29</c:v>
                </c:pt>
                <c:pt idx="274">
                  <c:v>11.59</c:v>
                </c:pt>
                <c:pt idx="275">
                  <c:v>10.85</c:v>
                </c:pt>
                <c:pt idx="276">
                  <c:v>10.58</c:v>
                </c:pt>
                <c:pt idx="277">
                  <c:v>10.5</c:v>
                </c:pt>
                <c:pt idx="278">
                  <c:v>11.08</c:v>
                </c:pt>
                <c:pt idx="279">
                  <c:v>11.16</c:v>
                </c:pt>
                <c:pt idx="280">
                  <c:v>10.44</c:v>
                </c:pt>
                <c:pt idx="281">
                  <c:v>10.130000000000001</c:v>
                </c:pt>
                <c:pt idx="282">
                  <c:v>10.06</c:v>
                </c:pt>
                <c:pt idx="283">
                  <c:v>10.75</c:v>
                </c:pt>
                <c:pt idx="284">
                  <c:v>12.01</c:v>
                </c:pt>
                <c:pt idx="285">
                  <c:v>11.45</c:v>
                </c:pt>
                <c:pt idx="286">
                  <c:v>11.09</c:v>
                </c:pt>
                <c:pt idx="287">
                  <c:v>10.82</c:v>
                </c:pt>
                <c:pt idx="288">
                  <c:v>11.38</c:v>
                </c:pt>
                <c:pt idx="289">
                  <c:v>12.17</c:v>
                </c:pt>
                <c:pt idx="290">
                  <c:v>11.56</c:v>
                </c:pt>
                <c:pt idx="291">
                  <c:v>11.53</c:v>
                </c:pt>
                <c:pt idx="292">
                  <c:v>11.59</c:v>
                </c:pt>
                <c:pt idx="293">
                  <c:v>12.67</c:v>
                </c:pt>
                <c:pt idx="294">
                  <c:v>11.6</c:v>
                </c:pt>
                <c:pt idx="295">
                  <c:v>11.53</c:v>
                </c:pt>
                <c:pt idx="296">
                  <c:v>11.61</c:v>
                </c:pt>
                <c:pt idx="297">
                  <c:v>11.82</c:v>
                </c:pt>
                <c:pt idx="298">
                  <c:v>12.87</c:v>
                </c:pt>
                <c:pt idx="299">
                  <c:v>12.39</c:v>
                </c:pt>
                <c:pt idx="300">
                  <c:v>13.02</c:v>
                </c:pt>
                <c:pt idx="301">
                  <c:v>13.21</c:v>
                </c:pt>
                <c:pt idx="302">
                  <c:v>12.87</c:v>
                </c:pt>
                <c:pt idx="303">
                  <c:v>12.8</c:v>
                </c:pt>
                <c:pt idx="304">
                  <c:v>13.44</c:v>
                </c:pt>
                <c:pt idx="305">
                  <c:v>12.76</c:v>
                </c:pt>
                <c:pt idx="306">
                  <c:v>12.96</c:v>
                </c:pt>
                <c:pt idx="307">
                  <c:v>13.02</c:v>
                </c:pt>
                <c:pt idx="308">
                  <c:v>12.84</c:v>
                </c:pt>
                <c:pt idx="309">
                  <c:v>12.32</c:v>
                </c:pt>
                <c:pt idx="310">
                  <c:v>12.6</c:v>
                </c:pt>
                <c:pt idx="311">
                  <c:v>12.55</c:v>
                </c:pt>
                <c:pt idx="312">
                  <c:v>12.82</c:v>
                </c:pt>
                <c:pt idx="313">
                  <c:v>14.33</c:v>
                </c:pt>
                <c:pt idx="314">
                  <c:v>13.66</c:v>
                </c:pt>
                <c:pt idx="315">
                  <c:v>13.3</c:v>
                </c:pt>
                <c:pt idx="316">
                  <c:v>12.42</c:v>
                </c:pt>
                <c:pt idx="317">
                  <c:v>13</c:v>
                </c:pt>
                <c:pt idx="318">
                  <c:v>13.43</c:v>
                </c:pt>
                <c:pt idx="319">
                  <c:v>13.77</c:v>
                </c:pt>
                <c:pt idx="320">
                  <c:v>12.89</c:v>
                </c:pt>
                <c:pt idx="321">
                  <c:v>12.36</c:v>
                </c:pt>
                <c:pt idx="322">
                  <c:v>12.16</c:v>
                </c:pt>
                <c:pt idx="323">
                  <c:v>13.05</c:v>
                </c:pt>
                <c:pt idx="324">
                  <c:v>12.96</c:v>
                </c:pt>
                <c:pt idx="325">
                  <c:v>12.27</c:v>
                </c:pt>
                <c:pt idx="326">
                  <c:v>13.61</c:v>
                </c:pt>
                <c:pt idx="327">
                  <c:v>13.9</c:v>
                </c:pt>
                <c:pt idx="328">
                  <c:v>14.23</c:v>
                </c:pt>
                <c:pt idx="329">
                  <c:v>13.94</c:v>
                </c:pt>
                <c:pt idx="330">
                  <c:v>13.62</c:v>
                </c:pt>
                <c:pt idx="331">
                  <c:v>13.41</c:v>
                </c:pt>
                <c:pt idx="332">
                  <c:v>13.12</c:v>
                </c:pt>
                <c:pt idx="333">
                  <c:v>13.53</c:v>
                </c:pt>
                <c:pt idx="334">
                  <c:v>14.52</c:v>
                </c:pt>
                <c:pt idx="335">
                  <c:v>14.79</c:v>
                </c:pt>
                <c:pt idx="336">
                  <c:v>15.43</c:v>
                </c:pt>
                <c:pt idx="337">
                  <c:v>15</c:v>
                </c:pt>
                <c:pt idx="338">
                  <c:v>14.9</c:v>
                </c:pt>
                <c:pt idx="339">
                  <c:v>14.3</c:v>
                </c:pt>
                <c:pt idx="340">
                  <c:v>14.83</c:v>
                </c:pt>
                <c:pt idx="341">
                  <c:v>14.88</c:v>
                </c:pt>
                <c:pt idx="342">
                  <c:v>14.22</c:v>
                </c:pt>
                <c:pt idx="343">
                  <c:v>14.91</c:v>
                </c:pt>
                <c:pt idx="344">
                  <c:v>15.94</c:v>
                </c:pt>
                <c:pt idx="345">
                  <c:v>16.63</c:v>
                </c:pt>
                <c:pt idx="346">
                  <c:v>15.62</c:v>
                </c:pt>
                <c:pt idx="347">
                  <c:v>14.89</c:v>
                </c:pt>
                <c:pt idx="348">
                  <c:v>16</c:v>
                </c:pt>
                <c:pt idx="349">
                  <c:v>15.56</c:v>
                </c:pt>
                <c:pt idx="350">
                  <c:v>15.25</c:v>
                </c:pt>
                <c:pt idx="351">
                  <c:v>15.5</c:v>
                </c:pt>
                <c:pt idx="352">
                  <c:v>15.52</c:v>
                </c:pt>
                <c:pt idx="353">
                  <c:v>15.19</c:v>
                </c:pt>
                <c:pt idx="354">
                  <c:v>14.99</c:v>
                </c:pt>
                <c:pt idx="355">
                  <c:v>15.32</c:v>
                </c:pt>
                <c:pt idx="356">
                  <c:v>15.1</c:v>
                </c:pt>
                <c:pt idx="357">
                  <c:v>15.75</c:v>
                </c:pt>
                <c:pt idx="358">
                  <c:v>15.8</c:v>
                </c:pt>
                <c:pt idx="359">
                  <c:v>15.14</c:v>
                </c:pt>
                <c:pt idx="360">
                  <c:v>16.899999999999999</c:v>
                </c:pt>
                <c:pt idx="361">
                  <c:v>17.14</c:v>
                </c:pt>
                <c:pt idx="362">
                  <c:v>15.8</c:v>
                </c:pt>
                <c:pt idx="363">
                  <c:v>16.34</c:v>
                </c:pt>
                <c:pt idx="364">
                  <c:v>15.83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</c:v>
                </c:pt>
                <c:pt idx="1">
                  <c:v>1.57</c:v>
                </c:pt>
                <c:pt idx="2">
                  <c:v>2.35</c:v>
                </c:pt>
                <c:pt idx="3">
                  <c:v>1.96</c:v>
                </c:pt>
                <c:pt idx="4">
                  <c:v>1.56</c:v>
                </c:pt>
                <c:pt idx="5">
                  <c:v>0.44</c:v>
                </c:pt>
                <c:pt idx="6">
                  <c:v>0.93</c:v>
                </c:pt>
                <c:pt idx="7">
                  <c:v>2.3199999999999998</c:v>
                </c:pt>
                <c:pt idx="8">
                  <c:v>0.91</c:v>
                </c:pt>
                <c:pt idx="9">
                  <c:v>2.7</c:v>
                </c:pt>
                <c:pt idx="10">
                  <c:v>2.35</c:v>
                </c:pt>
                <c:pt idx="11">
                  <c:v>2.75</c:v>
                </c:pt>
                <c:pt idx="12">
                  <c:v>1.29</c:v>
                </c:pt>
                <c:pt idx="13">
                  <c:v>0.94</c:v>
                </c:pt>
                <c:pt idx="14">
                  <c:v>1.0900000000000001</c:v>
                </c:pt>
                <c:pt idx="15">
                  <c:v>0.78</c:v>
                </c:pt>
                <c:pt idx="16">
                  <c:v>0.56999999999999995</c:v>
                </c:pt>
                <c:pt idx="17">
                  <c:v>3.49</c:v>
                </c:pt>
                <c:pt idx="18">
                  <c:v>0.99</c:v>
                </c:pt>
                <c:pt idx="19">
                  <c:v>0.26</c:v>
                </c:pt>
                <c:pt idx="20">
                  <c:v>0.36</c:v>
                </c:pt>
                <c:pt idx="21">
                  <c:v>1.95</c:v>
                </c:pt>
                <c:pt idx="22">
                  <c:v>0.74</c:v>
                </c:pt>
                <c:pt idx="23">
                  <c:v>1.41</c:v>
                </c:pt>
                <c:pt idx="24">
                  <c:v>1.26</c:v>
                </c:pt>
                <c:pt idx="25">
                  <c:v>0.91</c:v>
                </c:pt>
                <c:pt idx="26">
                  <c:v>2.34</c:v>
                </c:pt>
                <c:pt idx="27">
                  <c:v>1.03</c:v>
                </c:pt>
                <c:pt idx="28">
                  <c:v>0.06</c:v>
                </c:pt>
                <c:pt idx="29">
                  <c:v>0.61</c:v>
                </c:pt>
                <c:pt idx="30">
                  <c:v>1.01</c:v>
                </c:pt>
                <c:pt idx="31">
                  <c:v>0.27</c:v>
                </c:pt>
                <c:pt idx="32">
                  <c:v>1.22</c:v>
                </c:pt>
                <c:pt idx="33">
                  <c:v>0.72</c:v>
                </c:pt>
                <c:pt idx="34">
                  <c:v>1.75</c:v>
                </c:pt>
                <c:pt idx="35">
                  <c:v>2.21</c:v>
                </c:pt>
                <c:pt idx="36">
                  <c:v>0.49</c:v>
                </c:pt>
                <c:pt idx="37">
                  <c:v>1.98</c:v>
                </c:pt>
                <c:pt idx="38">
                  <c:v>0.79</c:v>
                </c:pt>
                <c:pt idx="39">
                  <c:v>1.1399999999999999</c:v>
                </c:pt>
                <c:pt idx="40">
                  <c:v>0.78</c:v>
                </c:pt>
                <c:pt idx="41">
                  <c:v>1.05</c:v>
                </c:pt>
                <c:pt idx="42">
                  <c:v>2.17</c:v>
                </c:pt>
                <c:pt idx="43">
                  <c:v>1.78</c:v>
                </c:pt>
                <c:pt idx="44">
                  <c:v>2.56</c:v>
                </c:pt>
                <c:pt idx="45">
                  <c:v>2.2599999999999998</c:v>
                </c:pt>
                <c:pt idx="46">
                  <c:v>1.35</c:v>
                </c:pt>
                <c:pt idx="47">
                  <c:v>1.38</c:v>
                </c:pt>
                <c:pt idx="48">
                  <c:v>2.15</c:v>
                </c:pt>
                <c:pt idx="49">
                  <c:v>0.64</c:v>
                </c:pt>
                <c:pt idx="50">
                  <c:v>2.57</c:v>
                </c:pt>
                <c:pt idx="51">
                  <c:v>0.76</c:v>
                </c:pt>
                <c:pt idx="52">
                  <c:v>1.53</c:v>
                </c:pt>
                <c:pt idx="53">
                  <c:v>1.79</c:v>
                </c:pt>
                <c:pt idx="54">
                  <c:v>1.68</c:v>
                </c:pt>
                <c:pt idx="55">
                  <c:v>0.59</c:v>
                </c:pt>
                <c:pt idx="56">
                  <c:v>1.93</c:v>
                </c:pt>
                <c:pt idx="57">
                  <c:v>1.17</c:v>
                </c:pt>
                <c:pt idx="58">
                  <c:v>1.34</c:v>
                </c:pt>
                <c:pt idx="59">
                  <c:v>0.48</c:v>
                </c:pt>
                <c:pt idx="60">
                  <c:v>1.65</c:v>
                </c:pt>
                <c:pt idx="61">
                  <c:v>3.53</c:v>
                </c:pt>
                <c:pt idx="62">
                  <c:v>2.12</c:v>
                </c:pt>
                <c:pt idx="63">
                  <c:v>2.56</c:v>
                </c:pt>
                <c:pt idx="64">
                  <c:v>0.5</c:v>
                </c:pt>
                <c:pt idx="65">
                  <c:v>0.88</c:v>
                </c:pt>
                <c:pt idx="66">
                  <c:v>0.99</c:v>
                </c:pt>
                <c:pt idx="67">
                  <c:v>0.82</c:v>
                </c:pt>
                <c:pt idx="68">
                  <c:v>1.49</c:v>
                </c:pt>
                <c:pt idx="69">
                  <c:v>1.94</c:v>
                </c:pt>
                <c:pt idx="70">
                  <c:v>3.25</c:v>
                </c:pt>
                <c:pt idx="71">
                  <c:v>2.91</c:v>
                </c:pt>
                <c:pt idx="72">
                  <c:v>2.2999999999999998</c:v>
                </c:pt>
                <c:pt idx="73">
                  <c:v>0.34</c:v>
                </c:pt>
                <c:pt idx="74">
                  <c:v>1.35</c:v>
                </c:pt>
                <c:pt idx="75">
                  <c:v>1.49</c:v>
                </c:pt>
                <c:pt idx="76">
                  <c:v>1.85</c:v>
                </c:pt>
                <c:pt idx="77">
                  <c:v>1.1599999999999999</c:v>
                </c:pt>
                <c:pt idx="78">
                  <c:v>0.66</c:v>
                </c:pt>
                <c:pt idx="79">
                  <c:v>0.96</c:v>
                </c:pt>
                <c:pt idx="80">
                  <c:v>1.08</c:v>
                </c:pt>
                <c:pt idx="81">
                  <c:v>2.19</c:v>
                </c:pt>
                <c:pt idx="82">
                  <c:v>1.02</c:v>
                </c:pt>
                <c:pt idx="83">
                  <c:v>2.09</c:v>
                </c:pt>
                <c:pt idx="84">
                  <c:v>0.37</c:v>
                </c:pt>
                <c:pt idx="85">
                  <c:v>1.08</c:v>
                </c:pt>
                <c:pt idx="86">
                  <c:v>0.95</c:v>
                </c:pt>
                <c:pt idx="87">
                  <c:v>1.06</c:v>
                </c:pt>
                <c:pt idx="88">
                  <c:v>2.79</c:v>
                </c:pt>
                <c:pt idx="89">
                  <c:v>1.88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1.49</c:v>
                </c:pt>
                <c:pt idx="93">
                  <c:v>1.73</c:v>
                </c:pt>
                <c:pt idx="94">
                  <c:v>1.34</c:v>
                </c:pt>
                <c:pt idx="95">
                  <c:v>2.29</c:v>
                </c:pt>
                <c:pt idx="96">
                  <c:v>3.51</c:v>
                </c:pt>
                <c:pt idx="97">
                  <c:v>2.1</c:v>
                </c:pt>
                <c:pt idx="98">
                  <c:v>2.81</c:v>
                </c:pt>
                <c:pt idx="99">
                  <c:v>2.0699999999999998</c:v>
                </c:pt>
                <c:pt idx="100">
                  <c:v>1.38</c:v>
                </c:pt>
                <c:pt idx="101">
                  <c:v>1.81</c:v>
                </c:pt>
                <c:pt idx="102">
                  <c:v>1.41</c:v>
                </c:pt>
                <c:pt idx="103">
                  <c:v>1.26</c:v>
                </c:pt>
                <c:pt idx="104">
                  <c:v>0.49</c:v>
                </c:pt>
                <c:pt idx="105">
                  <c:v>1.1599999999999999</c:v>
                </c:pt>
                <c:pt idx="106">
                  <c:v>1.69</c:v>
                </c:pt>
                <c:pt idx="107">
                  <c:v>1.19</c:v>
                </c:pt>
                <c:pt idx="108">
                  <c:v>0.88</c:v>
                </c:pt>
                <c:pt idx="109">
                  <c:v>1.61</c:v>
                </c:pt>
                <c:pt idx="110">
                  <c:v>1.64</c:v>
                </c:pt>
                <c:pt idx="111">
                  <c:v>0.81</c:v>
                </c:pt>
                <c:pt idx="112">
                  <c:v>0.77</c:v>
                </c:pt>
                <c:pt idx="113">
                  <c:v>1.75</c:v>
                </c:pt>
                <c:pt idx="114">
                  <c:v>1.7</c:v>
                </c:pt>
                <c:pt idx="115">
                  <c:v>0.41</c:v>
                </c:pt>
                <c:pt idx="116">
                  <c:v>1.8</c:v>
                </c:pt>
                <c:pt idx="117">
                  <c:v>2.16</c:v>
                </c:pt>
                <c:pt idx="118">
                  <c:v>5.44</c:v>
                </c:pt>
                <c:pt idx="119">
                  <c:v>2.59</c:v>
                </c:pt>
                <c:pt idx="120">
                  <c:v>1.01</c:v>
                </c:pt>
                <c:pt idx="121">
                  <c:v>0.91</c:v>
                </c:pt>
                <c:pt idx="122">
                  <c:v>0.92</c:v>
                </c:pt>
                <c:pt idx="123">
                  <c:v>1.79</c:v>
                </c:pt>
                <c:pt idx="124">
                  <c:v>1.0900000000000001</c:v>
                </c:pt>
                <c:pt idx="125">
                  <c:v>3.26</c:v>
                </c:pt>
                <c:pt idx="126">
                  <c:v>1.1200000000000001</c:v>
                </c:pt>
                <c:pt idx="127">
                  <c:v>3.06</c:v>
                </c:pt>
                <c:pt idx="128">
                  <c:v>0.78</c:v>
                </c:pt>
                <c:pt idx="129">
                  <c:v>1.99</c:v>
                </c:pt>
                <c:pt idx="130">
                  <c:v>0.92</c:v>
                </c:pt>
                <c:pt idx="131">
                  <c:v>1.74</c:v>
                </c:pt>
                <c:pt idx="132">
                  <c:v>1.23</c:v>
                </c:pt>
                <c:pt idx="133">
                  <c:v>1.7</c:v>
                </c:pt>
                <c:pt idx="134">
                  <c:v>1.52</c:v>
                </c:pt>
                <c:pt idx="135">
                  <c:v>2.0099999999999998</c:v>
                </c:pt>
                <c:pt idx="136">
                  <c:v>2.72</c:v>
                </c:pt>
                <c:pt idx="137">
                  <c:v>1.5</c:v>
                </c:pt>
                <c:pt idx="138">
                  <c:v>1.57</c:v>
                </c:pt>
                <c:pt idx="139">
                  <c:v>1.94</c:v>
                </c:pt>
                <c:pt idx="140">
                  <c:v>2.35</c:v>
                </c:pt>
                <c:pt idx="141">
                  <c:v>1.59</c:v>
                </c:pt>
                <c:pt idx="142">
                  <c:v>1.62</c:v>
                </c:pt>
                <c:pt idx="143">
                  <c:v>3.38</c:v>
                </c:pt>
                <c:pt idx="144">
                  <c:v>1.91</c:v>
                </c:pt>
                <c:pt idx="145">
                  <c:v>4.38</c:v>
                </c:pt>
                <c:pt idx="146">
                  <c:v>1</c:v>
                </c:pt>
                <c:pt idx="147">
                  <c:v>2.37</c:v>
                </c:pt>
                <c:pt idx="148">
                  <c:v>2.75</c:v>
                </c:pt>
                <c:pt idx="149">
                  <c:v>1.53</c:v>
                </c:pt>
                <c:pt idx="150">
                  <c:v>0.65</c:v>
                </c:pt>
                <c:pt idx="151">
                  <c:v>2.66</c:v>
                </c:pt>
                <c:pt idx="152">
                  <c:v>1.68</c:v>
                </c:pt>
                <c:pt idx="153">
                  <c:v>1.91</c:v>
                </c:pt>
                <c:pt idx="154">
                  <c:v>2.0499999999999998</c:v>
                </c:pt>
                <c:pt idx="155">
                  <c:v>1.23</c:v>
                </c:pt>
                <c:pt idx="156">
                  <c:v>1.35</c:v>
                </c:pt>
                <c:pt idx="157">
                  <c:v>2.14</c:v>
                </c:pt>
                <c:pt idx="158">
                  <c:v>2.0699999999999998</c:v>
                </c:pt>
                <c:pt idx="159">
                  <c:v>1.48</c:v>
                </c:pt>
                <c:pt idx="160">
                  <c:v>1.88</c:v>
                </c:pt>
                <c:pt idx="161">
                  <c:v>1.28</c:v>
                </c:pt>
                <c:pt idx="162">
                  <c:v>3.91</c:v>
                </c:pt>
                <c:pt idx="163">
                  <c:v>2.0299999999999998</c:v>
                </c:pt>
                <c:pt idx="164">
                  <c:v>1.56</c:v>
                </c:pt>
                <c:pt idx="165">
                  <c:v>3.42</c:v>
                </c:pt>
                <c:pt idx="166">
                  <c:v>2.57</c:v>
                </c:pt>
                <c:pt idx="167">
                  <c:v>3.01</c:v>
                </c:pt>
                <c:pt idx="168">
                  <c:v>2.27</c:v>
                </c:pt>
                <c:pt idx="169">
                  <c:v>2.19</c:v>
                </c:pt>
                <c:pt idx="170">
                  <c:v>2.11</c:v>
                </c:pt>
                <c:pt idx="171">
                  <c:v>2.0299999999999998</c:v>
                </c:pt>
                <c:pt idx="172">
                  <c:v>2.09</c:v>
                </c:pt>
                <c:pt idx="173">
                  <c:v>1.42</c:v>
                </c:pt>
                <c:pt idx="174">
                  <c:v>1.78</c:v>
                </c:pt>
                <c:pt idx="175">
                  <c:v>1.49</c:v>
                </c:pt>
                <c:pt idx="176">
                  <c:v>1.31</c:v>
                </c:pt>
                <c:pt idx="177">
                  <c:v>1.81</c:v>
                </c:pt>
                <c:pt idx="178">
                  <c:v>1.71</c:v>
                </c:pt>
                <c:pt idx="179">
                  <c:v>3.15</c:v>
                </c:pt>
                <c:pt idx="180">
                  <c:v>2.1800000000000002</c:v>
                </c:pt>
                <c:pt idx="181">
                  <c:v>1.36</c:v>
                </c:pt>
                <c:pt idx="182">
                  <c:v>1.66</c:v>
                </c:pt>
                <c:pt idx="183">
                  <c:v>1.73</c:v>
                </c:pt>
                <c:pt idx="184">
                  <c:v>1.39</c:v>
                </c:pt>
                <c:pt idx="185">
                  <c:v>1.2</c:v>
                </c:pt>
                <c:pt idx="186">
                  <c:v>3.25</c:v>
                </c:pt>
                <c:pt idx="187">
                  <c:v>1.1200000000000001</c:v>
                </c:pt>
                <c:pt idx="188">
                  <c:v>1.79</c:v>
                </c:pt>
                <c:pt idx="189">
                  <c:v>1.32</c:v>
                </c:pt>
                <c:pt idx="190">
                  <c:v>1.1299999999999999</c:v>
                </c:pt>
                <c:pt idx="191">
                  <c:v>1.72</c:v>
                </c:pt>
                <c:pt idx="192">
                  <c:v>1.27</c:v>
                </c:pt>
                <c:pt idx="193">
                  <c:v>1.45</c:v>
                </c:pt>
                <c:pt idx="194">
                  <c:v>0.93</c:v>
                </c:pt>
                <c:pt idx="195">
                  <c:v>0.95</c:v>
                </c:pt>
                <c:pt idx="196">
                  <c:v>1.9</c:v>
                </c:pt>
                <c:pt idx="197">
                  <c:v>2.35</c:v>
                </c:pt>
                <c:pt idx="198">
                  <c:v>3.6</c:v>
                </c:pt>
                <c:pt idx="199">
                  <c:v>1.92</c:v>
                </c:pt>
                <c:pt idx="200">
                  <c:v>1.77</c:v>
                </c:pt>
                <c:pt idx="201">
                  <c:v>2.1</c:v>
                </c:pt>
                <c:pt idx="202">
                  <c:v>2.5499999999999998</c:v>
                </c:pt>
                <c:pt idx="203">
                  <c:v>0.85</c:v>
                </c:pt>
                <c:pt idx="204">
                  <c:v>0.63</c:v>
                </c:pt>
                <c:pt idx="205">
                  <c:v>2.64</c:v>
                </c:pt>
                <c:pt idx="206">
                  <c:v>1.5</c:v>
                </c:pt>
                <c:pt idx="207">
                  <c:v>2.4300000000000002</c:v>
                </c:pt>
                <c:pt idx="208">
                  <c:v>0.79</c:v>
                </c:pt>
                <c:pt idx="209">
                  <c:v>0.8</c:v>
                </c:pt>
                <c:pt idx="210">
                  <c:v>1.59</c:v>
                </c:pt>
                <c:pt idx="211">
                  <c:v>0.86</c:v>
                </c:pt>
                <c:pt idx="212">
                  <c:v>1.78</c:v>
                </c:pt>
                <c:pt idx="213">
                  <c:v>1.47</c:v>
                </c:pt>
                <c:pt idx="214">
                  <c:v>0.77</c:v>
                </c:pt>
                <c:pt idx="215">
                  <c:v>1.47</c:v>
                </c:pt>
                <c:pt idx="216">
                  <c:v>1.76</c:v>
                </c:pt>
                <c:pt idx="217">
                  <c:v>0.61</c:v>
                </c:pt>
                <c:pt idx="218">
                  <c:v>3.38</c:v>
                </c:pt>
                <c:pt idx="219">
                  <c:v>3.24</c:v>
                </c:pt>
                <c:pt idx="220">
                  <c:v>1.55</c:v>
                </c:pt>
                <c:pt idx="221">
                  <c:v>1.45</c:v>
                </c:pt>
                <c:pt idx="222">
                  <c:v>1.6</c:v>
                </c:pt>
                <c:pt idx="223">
                  <c:v>1.2</c:v>
                </c:pt>
                <c:pt idx="224">
                  <c:v>2.02</c:v>
                </c:pt>
                <c:pt idx="225">
                  <c:v>2.21</c:v>
                </c:pt>
                <c:pt idx="226">
                  <c:v>2.0499999999999998</c:v>
                </c:pt>
                <c:pt idx="227">
                  <c:v>2.0299999999999998</c:v>
                </c:pt>
                <c:pt idx="228">
                  <c:v>2.4900000000000002</c:v>
                </c:pt>
                <c:pt idx="229">
                  <c:v>2.4700000000000002</c:v>
                </c:pt>
                <c:pt idx="230">
                  <c:v>2.04</c:v>
                </c:pt>
                <c:pt idx="231">
                  <c:v>1.28</c:v>
                </c:pt>
                <c:pt idx="232">
                  <c:v>2.78</c:v>
                </c:pt>
                <c:pt idx="233">
                  <c:v>3.63</c:v>
                </c:pt>
                <c:pt idx="234">
                  <c:v>2.08</c:v>
                </c:pt>
                <c:pt idx="235">
                  <c:v>0.32</c:v>
                </c:pt>
                <c:pt idx="236">
                  <c:v>1.34</c:v>
                </c:pt>
                <c:pt idx="237">
                  <c:v>2.4700000000000002</c:v>
                </c:pt>
                <c:pt idx="238">
                  <c:v>2.92</c:v>
                </c:pt>
                <c:pt idx="239">
                  <c:v>1.87</c:v>
                </c:pt>
                <c:pt idx="240">
                  <c:v>2.13</c:v>
                </c:pt>
                <c:pt idx="241">
                  <c:v>1.31</c:v>
                </c:pt>
                <c:pt idx="242">
                  <c:v>0.73</c:v>
                </c:pt>
                <c:pt idx="243">
                  <c:v>1.66</c:v>
                </c:pt>
                <c:pt idx="244">
                  <c:v>1.24</c:v>
                </c:pt>
                <c:pt idx="245">
                  <c:v>1.07</c:v>
                </c:pt>
                <c:pt idx="246">
                  <c:v>1.0900000000000001</c:v>
                </c:pt>
                <c:pt idx="247">
                  <c:v>0.95</c:v>
                </c:pt>
                <c:pt idx="248">
                  <c:v>1.42</c:v>
                </c:pt>
                <c:pt idx="249">
                  <c:v>0.52</c:v>
                </c:pt>
                <c:pt idx="250">
                  <c:v>1.08</c:v>
                </c:pt>
                <c:pt idx="251">
                  <c:v>1.0900000000000001</c:v>
                </c:pt>
                <c:pt idx="252">
                  <c:v>1.08</c:v>
                </c:pt>
                <c:pt idx="253">
                  <c:v>2.04</c:v>
                </c:pt>
                <c:pt idx="254">
                  <c:v>1.44</c:v>
                </c:pt>
                <c:pt idx="255">
                  <c:v>1.52</c:v>
                </c:pt>
                <c:pt idx="256">
                  <c:v>1.01</c:v>
                </c:pt>
                <c:pt idx="257">
                  <c:v>0.69</c:v>
                </c:pt>
                <c:pt idx="258">
                  <c:v>0.11</c:v>
                </c:pt>
                <c:pt idx="259">
                  <c:v>0.27</c:v>
                </c:pt>
                <c:pt idx="260">
                  <c:v>1.32</c:v>
                </c:pt>
                <c:pt idx="261">
                  <c:v>1.84</c:v>
                </c:pt>
                <c:pt idx="262">
                  <c:v>1.47</c:v>
                </c:pt>
                <c:pt idx="263">
                  <c:v>1.39</c:v>
                </c:pt>
                <c:pt idx="264">
                  <c:v>1.41</c:v>
                </c:pt>
                <c:pt idx="265">
                  <c:v>0.86</c:v>
                </c:pt>
                <c:pt idx="266">
                  <c:v>2.15</c:v>
                </c:pt>
                <c:pt idx="267">
                  <c:v>2.44</c:v>
                </c:pt>
                <c:pt idx="268">
                  <c:v>1.54</c:v>
                </c:pt>
                <c:pt idx="269">
                  <c:v>0.38</c:v>
                </c:pt>
                <c:pt idx="270">
                  <c:v>2.64</c:v>
                </c:pt>
                <c:pt idx="271">
                  <c:v>2.2200000000000002</c:v>
                </c:pt>
                <c:pt idx="272">
                  <c:v>0.34</c:v>
                </c:pt>
                <c:pt idx="273">
                  <c:v>0.36</c:v>
                </c:pt>
                <c:pt idx="274">
                  <c:v>0.87</c:v>
                </c:pt>
                <c:pt idx="275">
                  <c:v>2.93</c:v>
                </c:pt>
                <c:pt idx="276">
                  <c:v>3.02</c:v>
                </c:pt>
                <c:pt idx="277">
                  <c:v>1.51</c:v>
                </c:pt>
                <c:pt idx="278">
                  <c:v>0.87</c:v>
                </c:pt>
                <c:pt idx="279">
                  <c:v>1.1399999999999999</c:v>
                </c:pt>
                <c:pt idx="280">
                  <c:v>3.97</c:v>
                </c:pt>
                <c:pt idx="281">
                  <c:v>2.94</c:v>
                </c:pt>
                <c:pt idx="282">
                  <c:v>2.59</c:v>
                </c:pt>
                <c:pt idx="283">
                  <c:v>1.82</c:v>
                </c:pt>
                <c:pt idx="284">
                  <c:v>1.74</c:v>
                </c:pt>
                <c:pt idx="285">
                  <c:v>3.23</c:v>
                </c:pt>
                <c:pt idx="286">
                  <c:v>1.81</c:v>
                </c:pt>
                <c:pt idx="287">
                  <c:v>1.17</c:v>
                </c:pt>
                <c:pt idx="288">
                  <c:v>0.98</c:v>
                </c:pt>
                <c:pt idx="289">
                  <c:v>1.93</c:v>
                </c:pt>
                <c:pt idx="290">
                  <c:v>0.9</c:v>
                </c:pt>
                <c:pt idx="291">
                  <c:v>2.16</c:v>
                </c:pt>
                <c:pt idx="292">
                  <c:v>0.69</c:v>
                </c:pt>
                <c:pt idx="293">
                  <c:v>0.92</c:v>
                </c:pt>
                <c:pt idx="294">
                  <c:v>1.08</c:v>
                </c:pt>
                <c:pt idx="295">
                  <c:v>1.58</c:v>
                </c:pt>
                <c:pt idx="296">
                  <c:v>0.95</c:v>
                </c:pt>
                <c:pt idx="297">
                  <c:v>0.13</c:v>
                </c:pt>
                <c:pt idx="298">
                  <c:v>1.04</c:v>
                </c:pt>
                <c:pt idx="299">
                  <c:v>1.66</c:v>
                </c:pt>
                <c:pt idx="300">
                  <c:v>1.68</c:v>
                </c:pt>
                <c:pt idx="301">
                  <c:v>1</c:v>
                </c:pt>
                <c:pt idx="302">
                  <c:v>1.45</c:v>
                </c:pt>
                <c:pt idx="303">
                  <c:v>0.39</c:v>
                </c:pt>
                <c:pt idx="304">
                  <c:v>0.82</c:v>
                </c:pt>
                <c:pt idx="305">
                  <c:v>1.57</c:v>
                </c:pt>
                <c:pt idx="306">
                  <c:v>0.87</c:v>
                </c:pt>
                <c:pt idx="307">
                  <c:v>0.97</c:v>
                </c:pt>
                <c:pt idx="308">
                  <c:v>1.71</c:v>
                </c:pt>
                <c:pt idx="309">
                  <c:v>1.2</c:v>
                </c:pt>
                <c:pt idx="310">
                  <c:v>2.31</c:v>
                </c:pt>
                <c:pt idx="311">
                  <c:v>0.93</c:v>
                </c:pt>
                <c:pt idx="312">
                  <c:v>1.02</c:v>
                </c:pt>
                <c:pt idx="313">
                  <c:v>0.52</c:v>
                </c:pt>
                <c:pt idx="314">
                  <c:v>0.91</c:v>
                </c:pt>
                <c:pt idx="315">
                  <c:v>2.2599999999999998</c:v>
                </c:pt>
                <c:pt idx="316">
                  <c:v>1.18</c:v>
                </c:pt>
                <c:pt idx="317">
                  <c:v>0.32</c:v>
                </c:pt>
                <c:pt idx="318">
                  <c:v>0.47</c:v>
                </c:pt>
                <c:pt idx="319">
                  <c:v>1.8</c:v>
                </c:pt>
                <c:pt idx="320">
                  <c:v>1.47</c:v>
                </c:pt>
                <c:pt idx="321">
                  <c:v>2.62</c:v>
                </c:pt>
                <c:pt idx="322">
                  <c:v>2.78</c:v>
                </c:pt>
                <c:pt idx="323">
                  <c:v>1.5</c:v>
                </c:pt>
                <c:pt idx="324">
                  <c:v>2.87</c:v>
                </c:pt>
                <c:pt idx="325">
                  <c:v>1.44</c:v>
                </c:pt>
                <c:pt idx="326">
                  <c:v>0.91</c:v>
                </c:pt>
                <c:pt idx="327">
                  <c:v>1.1000000000000001</c:v>
                </c:pt>
                <c:pt idx="328">
                  <c:v>2.99</c:v>
                </c:pt>
                <c:pt idx="329">
                  <c:v>1.87</c:v>
                </c:pt>
                <c:pt idx="330">
                  <c:v>0.89</c:v>
                </c:pt>
                <c:pt idx="331">
                  <c:v>2.8</c:v>
                </c:pt>
                <c:pt idx="332">
                  <c:v>1.1299999999999999</c:v>
                </c:pt>
                <c:pt idx="333">
                  <c:v>1.66</c:v>
                </c:pt>
                <c:pt idx="334">
                  <c:v>1.1499999999999999</c:v>
                </c:pt>
                <c:pt idx="335">
                  <c:v>0.68</c:v>
                </c:pt>
                <c:pt idx="336">
                  <c:v>0.94</c:v>
                </c:pt>
                <c:pt idx="337">
                  <c:v>0.99</c:v>
                </c:pt>
                <c:pt idx="338">
                  <c:v>1.58</c:v>
                </c:pt>
                <c:pt idx="339">
                  <c:v>1.85</c:v>
                </c:pt>
                <c:pt idx="340">
                  <c:v>1.1200000000000001</c:v>
                </c:pt>
                <c:pt idx="341">
                  <c:v>2.82</c:v>
                </c:pt>
                <c:pt idx="342">
                  <c:v>0.49</c:v>
                </c:pt>
                <c:pt idx="343">
                  <c:v>0.68</c:v>
                </c:pt>
                <c:pt idx="344">
                  <c:v>0.22</c:v>
                </c:pt>
                <c:pt idx="345">
                  <c:v>1.22</c:v>
                </c:pt>
                <c:pt idx="346">
                  <c:v>2.6</c:v>
                </c:pt>
                <c:pt idx="347">
                  <c:v>1.05</c:v>
                </c:pt>
                <c:pt idx="348">
                  <c:v>1.04</c:v>
                </c:pt>
                <c:pt idx="349">
                  <c:v>1.93</c:v>
                </c:pt>
                <c:pt idx="350">
                  <c:v>2.41</c:v>
                </c:pt>
                <c:pt idx="351">
                  <c:v>1.94</c:v>
                </c:pt>
                <c:pt idx="352">
                  <c:v>1.78</c:v>
                </c:pt>
                <c:pt idx="353">
                  <c:v>4.17</c:v>
                </c:pt>
                <c:pt idx="354">
                  <c:v>2.6</c:v>
                </c:pt>
                <c:pt idx="355">
                  <c:v>2.13</c:v>
                </c:pt>
                <c:pt idx="356">
                  <c:v>1.76</c:v>
                </c:pt>
                <c:pt idx="357">
                  <c:v>0.45</c:v>
                </c:pt>
                <c:pt idx="358">
                  <c:v>0.87</c:v>
                </c:pt>
                <c:pt idx="359">
                  <c:v>0.68</c:v>
                </c:pt>
                <c:pt idx="360">
                  <c:v>1.1200000000000001</c:v>
                </c:pt>
                <c:pt idx="361">
                  <c:v>2.97</c:v>
                </c:pt>
                <c:pt idx="362">
                  <c:v>1.01</c:v>
                </c:pt>
                <c:pt idx="363">
                  <c:v>2.57</c:v>
                </c:pt>
                <c:pt idx="364">
                  <c:v>1.01</c:v>
                </c:pt>
                <c:pt idx="365">
                  <c:v>2.4900000000000002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5.67</c:v>
                </c:pt>
                <c:pt idx="1">
                  <c:v>5.47</c:v>
                </c:pt>
                <c:pt idx="2">
                  <c:v>5.51</c:v>
                </c:pt>
                <c:pt idx="3">
                  <c:v>5</c:v>
                </c:pt>
                <c:pt idx="4">
                  <c:v>5.15</c:v>
                </c:pt>
                <c:pt idx="5">
                  <c:v>5.13</c:v>
                </c:pt>
                <c:pt idx="6">
                  <c:v>5.45</c:v>
                </c:pt>
                <c:pt idx="7">
                  <c:v>5.58</c:v>
                </c:pt>
                <c:pt idx="8">
                  <c:v>5.15</c:v>
                </c:pt>
                <c:pt idx="9">
                  <c:v>4.74</c:v>
                </c:pt>
                <c:pt idx="10">
                  <c:v>4.6500000000000004</c:v>
                </c:pt>
                <c:pt idx="11">
                  <c:v>4.87</c:v>
                </c:pt>
                <c:pt idx="12">
                  <c:v>5.16</c:v>
                </c:pt>
                <c:pt idx="13">
                  <c:v>5.39</c:v>
                </c:pt>
                <c:pt idx="14">
                  <c:v>5.84</c:v>
                </c:pt>
                <c:pt idx="15">
                  <c:v>5.66</c:v>
                </c:pt>
                <c:pt idx="16">
                  <c:v>5.33</c:v>
                </c:pt>
                <c:pt idx="17">
                  <c:v>5.0199999999999996</c:v>
                </c:pt>
                <c:pt idx="18">
                  <c:v>5.37</c:v>
                </c:pt>
                <c:pt idx="19">
                  <c:v>5.35</c:v>
                </c:pt>
                <c:pt idx="20">
                  <c:v>5.39</c:v>
                </c:pt>
                <c:pt idx="21">
                  <c:v>5.52</c:v>
                </c:pt>
                <c:pt idx="22">
                  <c:v>5.21</c:v>
                </c:pt>
                <c:pt idx="23">
                  <c:v>4.71</c:v>
                </c:pt>
                <c:pt idx="24">
                  <c:v>4.33</c:v>
                </c:pt>
                <c:pt idx="25">
                  <c:v>4.7300000000000004</c:v>
                </c:pt>
                <c:pt idx="26">
                  <c:v>4.92</c:v>
                </c:pt>
                <c:pt idx="27">
                  <c:v>5</c:v>
                </c:pt>
                <c:pt idx="28">
                  <c:v>5.2</c:v>
                </c:pt>
                <c:pt idx="29">
                  <c:v>5.3</c:v>
                </c:pt>
                <c:pt idx="30">
                  <c:v>5.63</c:v>
                </c:pt>
                <c:pt idx="31">
                  <c:v>5.57</c:v>
                </c:pt>
                <c:pt idx="32">
                  <c:v>4.8899999999999997</c:v>
                </c:pt>
                <c:pt idx="33">
                  <c:v>4.5999999999999996</c:v>
                </c:pt>
                <c:pt idx="34">
                  <c:v>5.28</c:v>
                </c:pt>
                <c:pt idx="35">
                  <c:v>4.2699999999999996</c:v>
                </c:pt>
                <c:pt idx="36">
                  <c:v>4.96</c:v>
                </c:pt>
                <c:pt idx="37">
                  <c:v>4.6900000000000004</c:v>
                </c:pt>
                <c:pt idx="38">
                  <c:v>5.0199999999999996</c:v>
                </c:pt>
                <c:pt idx="39">
                  <c:v>4.6100000000000003</c:v>
                </c:pt>
                <c:pt idx="40">
                  <c:v>4.41</c:v>
                </c:pt>
                <c:pt idx="41">
                  <c:v>4.47</c:v>
                </c:pt>
                <c:pt idx="42">
                  <c:v>4.3600000000000003</c:v>
                </c:pt>
                <c:pt idx="43">
                  <c:v>3.98</c:v>
                </c:pt>
                <c:pt idx="44">
                  <c:v>3.67</c:v>
                </c:pt>
                <c:pt idx="45">
                  <c:v>4.01</c:v>
                </c:pt>
                <c:pt idx="46">
                  <c:v>4.22</c:v>
                </c:pt>
                <c:pt idx="47">
                  <c:v>4.47</c:v>
                </c:pt>
                <c:pt idx="48">
                  <c:v>4.9000000000000004</c:v>
                </c:pt>
                <c:pt idx="49">
                  <c:v>4.37</c:v>
                </c:pt>
                <c:pt idx="50">
                  <c:v>4.66</c:v>
                </c:pt>
                <c:pt idx="51">
                  <c:v>4.47</c:v>
                </c:pt>
                <c:pt idx="52">
                  <c:v>4.41</c:v>
                </c:pt>
                <c:pt idx="53">
                  <c:v>3.91</c:v>
                </c:pt>
                <c:pt idx="54">
                  <c:v>4.83</c:v>
                </c:pt>
                <c:pt idx="55">
                  <c:v>4.4800000000000004</c:v>
                </c:pt>
                <c:pt idx="56">
                  <c:v>4.3899999999999997</c:v>
                </c:pt>
                <c:pt idx="57">
                  <c:v>4.0999999999999996</c:v>
                </c:pt>
                <c:pt idx="58">
                  <c:v>4.12</c:v>
                </c:pt>
                <c:pt idx="59">
                  <c:v>4.4800000000000004</c:v>
                </c:pt>
                <c:pt idx="60">
                  <c:v>4.33</c:v>
                </c:pt>
                <c:pt idx="61">
                  <c:v>3.81</c:v>
                </c:pt>
                <c:pt idx="62">
                  <c:v>3.89</c:v>
                </c:pt>
                <c:pt idx="63">
                  <c:v>4.1100000000000003</c:v>
                </c:pt>
                <c:pt idx="64">
                  <c:v>4.08</c:v>
                </c:pt>
                <c:pt idx="65">
                  <c:v>3.89</c:v>
                </c:pt>
                <c:pt idx="66">
                  <c:v>3.69</c:v>
                </c:pt>
                <c:pt idx="67">
                  <c:v>3.55</c:v>
                </c:pt>
                <c:pt idx="68">
                  <c:v>3.72</c:v>
                </c:pt>
                <c:pt idx="69">
                  <c:v>3.25</c:v>
                </c:pt>
                <c:pt idx="70">
                  <c:v>3.18</c:v>
                </c:pt>
                <c:pt idx="71">
                  <c:v>3.31</c:v>
                </c:pt>
                <c:pt idx="72">
                  <c:v>3.33</c:v>
                </c:pt>
                <c:pt idx="73">
                  <c:v>3.93</c:v>
                </c:pt>
                <c:pt idx="74">
                  <c:v>3.46</c:v>
                </c:pt>
                <c:pt idx="75">
                  <c:v>3.65</c:v>
                </c:pt>
                <c:pt idx="76">
                  <c:v>3.24</c:v>
                </c:pt>
                <c:pt idx="77">
                  <c:v>3.55</c:v>
                </c:pt>
                <c:pt idx="78">
                  <c:v>3.67</c:v>
                </c:pt>
                <c:pt idx="79">
                  <c:v>3.28</c:v>
                </c:pt>
                <c:pt idx="80">
                  <c:v>3.21</c:v>
                </c:pt>
                <c:pt idx="81">
                  <c:v>2.97</c:v>
                </c:pt>
                <c:pt idx="82">
                  <c:v>3.17</c:v>
                </c:pt>
                <c:pt idx="83">
                  <c:v>3.16</c:v>
                </c:pt>
                <c:pt idx="84">
                  <c:v>2.98</c:v>
                </c:pt>
                <c:pt idx="85">
                  <c:v>2.83</c:v>
                </c:pt>
                <c:pt idx="86">
                  <c:v>3.22</c:v>
                </c:pt>
                <c:pt idx="87">
                  <c:v>3.25</c:v>
                </c:pt>
                <c:pt idx="88">
                  <c:v>3.41</c:v>
                </c:pt>
                <c:pt idx="89">
                  <c:v>3.06</c:v>
                </c:pt>
                <c:pt idx="90">
                  <c:v>3.01</c:v>
                </c:pt>
                <c:pt idx="91">
                  <c:v>3.22</c:v>
                </c:pt>
                <c:pt idx="92">
                  <c:v>3.07</c:v>
                </c:pt>
                <c:pt idx="93">
                  <c:v>2.78</c:v>
                </c:pt>
                <c:pt idx="94">
                  <c:v>2.61</c:v>
                </c:pt>
                <c:pt idx="95">
                  <c:v>2.5499999999999998</c:v>
                </c:pt>
                <c:pt idx="96">
                  <c:v>2.59</c:v>
                </c:pt>
                <c:pt idx="97">
                  <c:v>2.69</c:v>
                </c:pt>
                <c:pt idx="98">
                  <c:v>2.27</c:v>
                </c:pt>
                <c:pt idx="99">
                  <c:v>2.4300000000000002</c:v>
                </c:pt>
                <c:pt idx="100">
                  <c:v>2.31</c:v>
                </c:pt>
                <c:pt idx="101">
                  <c:v>2.13</c:v>
                </c:pt>
                <c:pt idx="102">
                  <c:v>2.29</c:v>
                </c:pt>
                <c:pt idx="103">
                  <c:v>2.17</c:v>
                </c:pt>
                <c:pt idx="104">
                  <c:v>2.65</c:v>
                </c:pt>
                <c:pt idx="105">
                  <c:v>2.1800000000000002</c:v>
                </c:pt>
                <c:pt idx="106">
                  <c:v>2.08</c:v>
                </c:pt>
                <c:pt idx="107">
                  <c:v>1.83</c:v>
                </c:pt>
                <c:pt idx="108">
                  <c:v>1.99</c:v>
                </c:pt>
                <c:pt idx="109">
                  <c:v>2.3199999999999998</c:v>
                </c:pt>
                <c:pt idx="110">
                  <c:v>1.88</c:v>
                </c:pt>
                <c:pt idx="111">
                  <c:v>1.92</c:v>
                </c:pt>
                <c:pt idx="112">
                  <c:v>2.11</c:v>
                </c:pt>
                <c:pt idx="113">
                  <c:v>1.82</c:v>
                </c:pt>
                <c:pt idx="114">
                  <c:v>1.88</c:v>
                </c:pt>
                <c:pt idx="115">
                  <c:v>1.89</c:v>
                </c:pt>
                <c:pt idx="116">
                  <c:v>1.76</c:v>
                </c:pt>
                <c:pt idx="117">
                  <c:v>1.95</c:v>
                </c:pt>
                <c:pt idx="118">
                  <c:v>1.64</c:v>
                </c:pt>
                <c:pt idx="119">
                  <c:v>1.65</c:v>
                </c:pt>
                <c:pt idx="120">
                  <c:v>1.59</c:v>
                </c:pt>
                <c:pt idx="121">
                  <c:v>1.53</c:v>
                </c:pt>
                <c:pt idx="122">
                  <c:v>1.76</c:v>
                </c:pt>
                <c:pt idx="123">
                  <c:v>1.87</c:v>
                </c:pt>
                <c:pt idx="124">
                  <c:v>1.58</c:v>
                </c:pt>
                <c:pt idx="125">
                  <c:v>1.93</c:v>
                </c:pt>
                <c:pt idx="126">
                  <c:v>1.69</c:v>
                </c:pt>
                <c:pt idx="127">
                  <c:v>1.7</c:v>
                </c:pt>
                <c:pt idx="128">
                  <c:v>1.61</c:v>
                </c:pt>
                <c:pt idx="129">
                  <c:v>1.41</c:v>
                </c:pt>
                <c:pt idx="130">
                  <c:v>1.66</c:v>
                </c:pt>
                <c:pt idx="131">
                  <c:v>1.57</c:v>
                </c:pt>
                <c:pt idx="132">
                  <c:v>1.63</c:v>
                </c:pt>
                <c:pt idx="133">
                  <c:v>1.61</c:v>
                </c:pt>
                <c:pt idx="134">
                  <c:v>1.6</c:v>
                </c:pt>
                <c:pt idx="135">
                  <c:v>1.76</c:v>
                </c:pt>
                <c:pt idx="136">
                  <c:v>1.51</c:v>
                </c:pt>
                <c:pt idx="137">
                  <c:v>1.43</c:v>
                </c:pt>
                <c:pt idx="138">
                  <c:v>1.43</c:v>
                </c:pt>
                <c:pt idx="139">
                  <c:v>1.41</c:v>
                </c:pt>
                <c:pt idx="140">
                  <c:v>1.28</c:v>
                </c:pt>
                <c:pt idx="141">
                  <c:v>1.1599999999999999</c:v>
                </c:pt>
                <c:pt idx="142">
                  <c:v>1.39</c:v>
                </c:pt>
                <c:pt idx="143">
                  <c:v>1.28</c:v>
                </c:pt>
                <c:pt idx="144">
                  <c:v>1.29</c:v>
                </c:pt>
                <c:pt idx="145">
                  <c:v>1.34</c:v>
                </c:pt>
                <c:pt idx="146">
                  <c:v>1.46</c:v>
                </c:pt>
                <c:pt idx="147">
                  <c:v>1.61</c:v>
                </c:pt>
                <c:pt idx="148">
                  <c:v>1.41</c:v>
                </c:pt>
                <c:pt idx="149">
                  <c:v>1.22</c:v>
                </c:pt>
                <c:pt idx="150">
                  <c:v>1.41</c:v>
                </c:pt>
                <c:pt idx="151">
                  <c:v>1.36</c:v>
                </c:pt>
                <c:pt idx="152">
                  <c:v>1.1299999999999999</c:v>
                </c:pt>
                <c:pt idx="153">
                  <c:v>1.25</c:v>
                </c:pt>
                <c:pt idx="154">
                  <c:v>1.24</c:v>
                </c:pt>
                <c:pt idx="155">
                  <c:v>1.18</c:v>
                </c:pt>
                <c:pt idx="156">
                  <c:v>1.1200000000000001</c:v>
                </c:pt>
                <c:pt idx="157">
                  <c:v>1.22</c:v>
                </c:pt>
                <c:pt idx="158">
                  <c:v>1.27</c:v>
                </c:pt>
                <c:pt idx="159">
                  <c:v>1.24</c:v>
                </c:pt>
                <c:pt idx="160">
                  <c:v>1.0900000000000001</c:v>
                </c:pt>
                <c:pt idx="161">
                  <c:v>1.26</c:v>
                </c:pt>
                <c:pt idx="162">
                  <c:v>1.31</c:v>
                </c:pt>
                <c:pt idx="163">
                  <c:v>1.1499999999999999</c:v>
                </c:pt>
                <c:pt idx="164">
                  <c:v>1.26</c:v>
                </c:pt>
                <c:pt idx="165">
                  <c:v>1.17</c:v>
                </c:pt>
                <c:pt idx="166">
                  <c:v>1.06</c:v>
                </c:pt>
                <c:pt idx="167">
                  <c:v>1.07</c:v>
                </c:pt>
                <c:pt idx="168">
                  <c:v>1.1299999999999999</c:v>
                </c:pt>
                <c:pt idx="169">
                  <c:v>1.1000000000000001</c:v>
                </c:pt>
                <c:pt idx="170">
                  <c:v>1.1000000000000001</c:v>
                </c:pt>
                <c:pt idx="171">
                  <c:v>1.06</c:v>
                </c:pt>
                <c:pt idx="172">
                  <c:v>1.02</c:v>
                </c:pt>
                <c:pt idx="173">
                  <c:v>1.17</c:v>
                </c:pt>
                <c:pt idx="174">
                  <c:v>1.05</c:v>
                </c:pt>
                <c:pt idx="175">
                  <c:v>1.1200000000000001</c:v>
                </c:pt>
                <c:pt idx="176">
                  <c:v>1.1599999999999999</c:v>
                </c:pt>
                <c:pt idx="177">
                  <c:v>1.08</c:v>
                </c:pt>
                <c:pt idx="178">
                  <c:v>1.01</c:v>
                </c:pt>
                <c:pt idx="179">
                  <c:v>1.04</c:v>
                </c:pt>
                <c:pt idx="180">
                  <c:v>1.22</c:v>
                </c:pt>
                <c:pt idx="181">
                  <c:v>1.0900000000000001</c:v>
                </c:pt>
                <c:pt idx="182">
                  <c:v>1.1000000000000001</c:v>
                </c:pt>
                <c:pt idx="183">
                  <c:v>1.17</c:v>
                </c:pt>
                <c:pt idx="184">
                  <c:v>1.1399999999999999</c:v>
                </c:pt>
                <c:pt idx="185">
                  <c:v>1.31</c:v>
                </c:pt>
                <c:pt idx="186">
                  <c:v>1.1499999999999999</c:v>
                </c:pt>
                <c:pt idx="187">
                  <c:v>1.19</c:v>
                </c:pt>
                <c:pt idx="188">
                  <c:v>1.08</c:v>
                </c:pt>
                <c:pt idx="189">
                  <c:v>1.1599999999999999</c:v>
                </c:pt>
                <c:pt idx="190">
                  <c:v>1.18</c:v>
                </c:pt>
                <c:pt idx="191">
                  <c:v>1.1399999999999999</c:v>
                </c:pt>
                <c:pt idx="192">
                  <c:v>1.24</c:v>
                </c:pt>
                <c:pt idx="193">
                  <c:v>1.2</c:v>
                </c:pt>
                <c:pt idx="194">
                  <c:v>1.08</c:v>
                </c:pt>
                <c:pt idx="195">
                  <c:v>1.05</c:v>
                </c:pt>
                <c:pt idx="196">
                  <c:v>1.0900000000000001</c:v>
                </c:pt>
                <c:pt idx="197">
                  <c:v>0.99</c:v>
                </c:pt>
                <c:pt idx="198">
                  <c:v>1.01</c:v>
                </c:pt>
                <c:pt idx="199">
                  <c:v>1</c:v>
                </c:pt>
                <c:pt idx="200">
                  <c:v>1.18</c:v>
                </c:pt>
                <c:pt idx="201">
                  <c:v>1.0900000000000001</c:v>
                </c:pt>
                <c:pt idx="202">
                  <c:v>1.23</c:v>
                </c:pt>
                <c:pt idx="203">
                  <c:v>1.38</c:v>
                </c:pt>
                <c:pt idx="204">
                  <c:v>1.32</c:v>
                </c:pt>
                <c:pt idx="205">
                  <c:v>1.45</c:v>
                </c:pt>
                <c:pt idx="206">
                  <c:v>1.61</c:v>
                </c:pt>
                <c:pt idx="207">
                  <c:v>1.56</c:v>
                </c:pt>
                <c:pt idx="208">
                  <c:v>1.48</c:v>
                </c:pt>
                <c:pt idx="209">
                  <c:v>1.54</c:v>
                </c:pt>
                <c:pt idx="210">
                  <c:v>1.61</c:v>
                </c:pt>
                <c:pt idx="211">
                  <c:v>1.7</c:v>
                </c:pt>
                <c:pt idx="212">
                  <c:v>1.58</c:v>
                </c:pt>
                <c:pt idx="213">
                  <c:v>1.51</c:v>
                </c:pt>
                <c:pt idx="214">
                  <c:v>1.28</c:v>
                </c:pt>
                <c:pt idx="215">
                  <c:v>1.34</c:v>
                </c:pt>
                <c:pt idx="216">
                  <c:v>1.55</c:v>
                </c:pt>
                <c:pt idx="217">
                  <c:v>1.5</c:v>
                </c:pt>
                <c:pt idx="218">
                  <c:v>1.52</c:v>
                </c:pt>
                <c:pt idx="219">
                  <c:v>1.72</c:v>
                </c:pt>
                <c:pt idx="220">
                  <c:v>1.46</c:v>
                </c:pt>
                <c:pt idx="221">
                  <c:v>1.43</c:v>
                </c:pt>
                <c:pt idx="222">
                  <c:v>1.46</c:v>
                </c:pt>
                <c:pt idx="223">
                  <c:v>1.64</c:v>
                </c:pt>
                <c:pt idx="224">
                  <c:v>1.72</c:v>
                </c:pt>
                <c:pt idx="225">
                  <c:v>1.68</c:v>
                </c:pt>
                <c:pt idx="226">
                  <c:v>1.65</c:v>
                </c:pt>
                <c:pt idx="227">
                  <c:v>1.72</c:v>
                </c:pt>
                <c:pt idx="228">
                  <c:v>1.84</c:v>
                </c:pt>
                <c:pt idx="229">
                  <c:v>1.66</c:v>
                </c:pt>
                <c:pt idx="230">
                  <c:v>1.83</c:v>
                </c:pt>
                <c:pt idx="231">
                  <c:v>1.87</c:v>
                </c:pt>
                <c:pt idx="232">
                  <c:v>1.73</c:v>
                </c:pt>
                <c:pt idx="233">
                  <c:v>1.77</c:v>
                </c:pt>
                <c:pt idx="234">
                  <c:v>1.86</c:v>
                </c:pt>
                <c:pt idx="235">
                  <c:v>1.91</c:v>
                </c:pt>
                <c:pt idx="236">
                  <c:v>1.94</c:v>
                </c:pt>
                <c:pt idx="237">
                  <c:v>1.71</c:v>
                </c:pt>
                <c:pt idx="238">
                  <c:v>1.93</c:v>
                </c:pt>
                <c:pt idx="239">
                  <c:v>2.0099999999999998</c:v>
                </c:pt>
                <c:pt idx="240">
                  <c:v>1.9</c:v>
                </c:pt>
                <c:pt idx="241">
                  <c:v>2.02</c:v>
                </c:pt>
                <c:pt idx="242">
                  <c:v>2.14</c:v>
                </c:pt>
                <c:pt idx="243">
                  <c:v>2.4300000000000002</c:v>
                </c:pt>
                <c:pt idx="244">
                  <c:v>2.2799999999999998</c:v>
                </c:pt>
                <c:pt idx="245">
                  <c:v>2.14</c:v>
                </c:pt>
                <c:pt idx="246">
                  <c:v>2.2000000000000002</c:v>
                </c:pt>
                <c:pt idx="247">
                  <c:v>2.0099999999999998</c:v>
                </c:pt>
                <c:pt idx="248">
                  <c:v>2.44</c:v>
                </c:pt>
                <c:pt idx="249">
                  <c:v>2.46</c:v>
                </c:pt>
                <c:pt idx="250">
                  <c:v>2.5099999999999998</c:v>
                </c:pt>
                <c:pt idx="251">
                  <c:v>2.29</c:v>
                </c:pt>
                <c:pt idx="252">
                  <c:v>2.63</c:v>
                </c:pt>
                <c:pt idx="253">
                  <c:v>2.8</c:v>
                </c:pt>
                <c:pt idx="254">
                  <c:v>2.66</c:v>
                </c:pt>
                <c:pt idx="255">
                  <c:v>2.31</c:v>
                </c:pt>
                <c:pt idx="256">
                  <c:v>2.72</c:v>
                </c:pt>
                <c:pt idx="257">
                  <c:v>2.88</c:v>
                </c:pt>
                <c:pt idx="258">
                  <c:v>2.9</c:v>
                </c:pt>
                <c:pt idx="259">
                  <c:v>2.72</c:v>
                </c:pt>
                <c:pt idx="260">
                  <c:v>2.68</c:v>
                </c:pt>
                <c:pt idx="261">
                  <c:v>2.84</c:v>
                </c:pt>
                <c:pt idx="262">
                  <c:v>2.76</c:v>
                </c:pt>
                <c:pt idx="263">
                  <c:v>2.94</c:v>
                </c:pt>
                <c:pt idx="264">
                  <c:v>2.87</c:v>
                </c:pt>
                <c:pt idx="265">
                  <c:v>2.85</c:v>
                </c:pt>
                <c:pt idx="266">
                  <c:v>2.76</c:v>
                </c:pt>
                <c:pt idx="267">
                  <c:v>2.58</c:v>
                </c:pt>
                <c:pt idx="268">
                  <c:v>3.08</c:v>
                </c:pt>
                <c:pt idx="269">
                  <c:v>3.04</c:v>
                </c:pt>
                <c:pt idx="270">
                  <c:v>2.92</c:v>
                </c:pt>
                <c:pt idx="271">
                  <c:v>3.01</c:v>
                </c:pt>
                <c:pt idx="272">
                  <c:v>3.41</c:v>
                </c:pt>
                <c:pt idx="273">
                  <c:v>3.46</c:v>
                </c:pt>
                <c:pt idx="274">
                  <c:v>3.42</c:v>
                </c:pt>
                <c:pt idx="275">
                  <c:v>3.28</c:v>
                </c:pt>
                <c:pt idx="276">
                  <c:v>2.94</c:v>
                </c:pt>
                <c:pt idx="277">
                  <c:v>3.38</c:v>
                </c:pt>
                <c:pt idx="278">
                  <c:v>3.38</c:v>
                </c:pt>
                <c:pt idx="279">
                  <c:v>3.45</c:v>
                </c:pt>
                <c:pt idx="280">
                  <c:v>3.07</c:v>
                </c:pt>
                <c:pt idx="281">
                  <c:v>2.89</c:v>
                </c:pt>
                <c:pt idx="282">
                  <c:v>2.97</c:v>
                </c:pt>
                <c:pt idx="283">
                  <c:v>3.34</c:v>
                </c:pt>
                <c:pt idx="284">
                  <c:v>3.87</c:v>
                </c:pt>
                <c:pt idx="285">
                  <c:v>3.77</c:v>
                </c:pt>
                <c:pt idx="286">
                  <c:v>3.58</c:v>
                </c:pt>
                <c:pt idx="287">
                  <c:v>3.51</c:v>
                </c:pt>
                <c:pt idx="288">
                  <c:v>3.67</c:v>
                </c:pt>
                <c:pt idx="289">
                  <c:v>4.42</c:v>
                </c:pt>
                <c:pt idx="290">
                  <c:v>4.16</c:v>
                </c:pt>
                <c:pt idx="291">
                  <c:v>4.16</c:v>
                </c:pt>
                <c:pt idx="292">
                  <c:v>4.1399999999999997</c:v>
                </c:pt>
                <c:pt idx="293">
                  <c:v>4.25</c:v>
                </c:pt>
                <c:pt idx="294">
                  <c:v>3.89</c:v>
                </c:pt>
                <c:pt idx="295">
                  <c:v>3.75</c:v>
                </c:pt>
                <c:pt idx="296">
                  <c:v>3.99</c:v>
                </c:pt>
                <c:pt idx="297">
                  <c:v>3.95</c:v>
                </c:pt>
                <c:pt idx="298">
                  <c:v>4.24</c:v>
                </c:pt>
                <c:pt idx="299">
                  <c:v>3.99</c:v>
                </c:pt>
                <c:pt idx="300">
                  <c:v>4.07</c:v>
                </c:pt>
                <c:pt idx="301">
                  <c:v>3.86</c:v>
                </c:pt>
                <c:pt idx="302">
                  <c:v>4.22</c:v>
                </c:pt>
                <c:pt idx="303">
                  <c:v>4.4000000000000004</c:v>
                </c:pt>
                <c:pt idx="304">
                  <c:v>4.6100000000000003</c:v>
                </c:pt>
                <c:pt idx="305">
                  <c:v>4.41</c:v>
                </c:pt>
                <c:pt idx="306">
                  <c:v>4.74</c:v>
                </c:pt>
                <c:pt idx="307">
                  <c:v>4.68</c:v>
                </c:pt>
                <c:pt idx="308">
                  <c:v>4.67</c:v>
                </c:pt>
                <c:pt idx="309">
                  <c:v>4.22</c:v>
                </c:pt>
                <c:pt idx="310">
                  <c:v>4.3099999999999996</c:v>
                </c:pt>
                <c:pt idx="311">
                  <c:v>4.13</c:v>
                </c:pt>
                <c:pt idx="312">
                  <c:v>4.3899999999999997</c:v>
                </c:pt>
                <c:pt idx="313">
                  <c:v>5.19</c:v>
                </c:pt>
                <c:pt idx="314">
                  <c:v>4.8899999999999997</c:v>
                </c:pt>
                <c:pt idx="315">
                  <c:v>4.53</c:v>
                </c:pt>
                <c:pt idx="316">
                  <c:v>4.3499999999999996</c:v>
                </c:pt>
                <c:pt idx="317">
                  <c:v>4.6399999999999997</c:v>
                </c:pt>
                <c:pt idx="318">
                  <c:v>5.05</c:v>
                </c:pt>
                <c:pt idx="319">
                  <c:v>4.8099999999999996</c:v>
                </c:pt>
                <c:pt idx="320">
                  <c:v>4.49</c:v>
                </c:pt>
                <c:pt idx="321">
                  <c:v>4.3</c:v>
                </c:pt>
                <c:pt idx="322">
                  <c:v>4.12</c:v>
                </c:pt>
                <c:pt idx="323">
                  <c:v>4.58</c:v>
                </c:pt>
                <c:pt idx="324">
                  <c:v>4.21</c:v>
                </c:pt>
                <c:pt idx="325">
                  <c:v>4.38</c:v>
                </c:pt>
                <c:pt idx="326">
                  <c:v>4.84</c:v>
                </c:pt>
                <c:pt idx="327">
                  <c:v>4.9000000000000004</c:v>
                </c:pt>
                <c:pt idx="328">
                  <c:v>4.53</c:v>
                </c:pt>
                <c:pt idx="329">
                  <c:v>4.7</c:v>
                </c:pt>
                <c:pt idx="330">
                  <c:v>4.7</c:v>
                </c:pt>
                <c:pt idx="331">
                  <c:v>4.67</c:v>
                </c:pt>
                <c:pt idx="332">
                  <c:v>4.5199999999999996</c:v>
                </c:pt>
                <c:pt idx="333">
                  <c:v>4.4000000000000004</c:v>
                </c:pt>
                <c:pt idx="334">
                  <c:v>4.9000000000000004</c:v>
                </c:pt>
                <c:pt idx="335">
                  <c:v>4.43</c:v>
                </c:pt>
                <c:pt idx="336">
                  <c:v>4.87</c:v>
                </c:pt>
                <c:pt idx="337">
                  <c:v>5.21</c:v>
                </c:pt>
                <c:pt idx="338">
                  <c:v>4.66</c:v>
                </c:pt>
                <c:pt idx="339">
                  <c:v>4.1900000000000004</c:v>
                </c:pt>
                <c:pt idx="340">
                  <c:v>4.79</c:v>
                </c:pt>
                <c:pt idx="341">
                  <c:v>4.79</c:v>
                </c:pt>
                <c:pt idx="342">
                  <c:v>4.82</c:v>
                </c:pt>
                <c:pt idx="343">
                  <c:v>4.3899999999999997</c:v>
                </c:pt>
                <c:pt idx="344">
                  <c:v>5.27</c:v>
                </c:pt>
                <c:pt idx="345">
                  <c:v>5.25</c:v>
                </c:pt>
                <c:pt idx="346">
                  <c:v>5.03</c:v>
                </c:pt>
                <c:pt idx="347">
                  <c:v>5.1100000000000003</c:v>
                </c:pt>
                <c:pt idx="348">
                  <c:v>5.45</c:v>
                </c:pt>
                <c:pt idx="349">
                  <c:v>4.59</c:v>
                </c:pt>
                <c:pt idx="350">
                  <c:v>4.7699999999999996</c:v>
                </c:pt>
                <c:pt idx="351">
                  <c:v>5.03</c:v>
                </c:pt>
                <c:pt idx="352">
                  <c:v>4.99</c:v>
                </c:pt>
                <c:pt idx="353">
                  <c:v>4.9800000000000004</c:v>
                </c:pt>
                <c:pt idx="354">
                  <c:v>5.3</c:v>
                </c:pt>
                <c:pt idx="355">
                  <c:v>5.28</c:v>
                </c:pt>
                <c:pt idx="356">
                  <c:v>4.92</c:v>
                </c:pt>
                <c:pt idx="357">
                  <c:v>5.22</c:v>
                </c:pt>
                <c:pt idx="358">
                  <c:v>5.49</c:v>
                </c:pt>
                <c:pt idx="359">
                  <c:v>4.92</c:v>
                </c:pt>
                <c:pt idx="360">
                  <c:v>5.72</c:v>
                </c:pt>
                <c:pt idx="361">
                  <c:v>5.78</c:v>
                </c:pt>
                <c:pt idx="362">
                  <c:v>4.88</c:v>
                </c:pt>
                <c:pt idx="363">
                  <c:v>4.8099999999999996</c:v>
                </c:pt>
                <c:pt idx="364">
                  <c:v>5.38</c:v>
                </c:pt>
                <c:pt idx="365">
                  <c:v>5.48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</xdr:colOff>
      <xdr:row>6</xdr:row>
      <xdr:rowOff>41909</xdr:rowOff>
    </xdr:from>
    <xdr:to>
      <xdr:col>6</xdr:col>
      <xdr:colOff>584835</xdr:colOff>
      <xdr:row>24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</xdr:colOff>
      <xdr:row>6</xdr:row>
      <xdr:rowOff>43815</xdr:rowOff>
    </xdr:from>
    <xdr:to>
      <xdr:col>14</xdr:col>
      <xdr:colOff>291465</xdr:colOff>
      <xdr:row>24</xdr:row>
      <xdr:rowOff>81916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457200</xdr:colOff>
      <xdr:row>6</xdr:row>
      <xdr:rowOff>38100</xdr:rowOff>
    </xdr:from>
    <xdr:to>
      <xdr:col>21</xdr:col>
      <xdr:colOff>504825</xdr:colOff>
      <xdr:row>24</xdr:row>
      <xdr:rowOff>76201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H1" zoomScaleNormal="100" workbookViewId="0">
      <selection activeCell="F51" sqref="F51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276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65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60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Fresh</v>
      </c>
      <c r="E7" s="92" t="s">
        <v>259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Carrot Vegetable Fresh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45389</v>
      </c>
      <c r="E9" s="67">
        <v>45389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45614</v>
      </c>
      <c r="E10" s="67">
        <v>45614</v>
      </c>
      <c r="F10" s="57" t="s">
        <v>147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100</v>
      </c>
      <c r="E12" s="69">
        <v>100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88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100</v>
      </c>
      <c r="C14" s="64" t="str">
        <f>"Yield "&amp;CurrentYield_tperHa&amp;" (t/ha)"</f>
        <v>Yield 100 (t/ha)</v>
      </c>
      <c r="D14" s="90" t="str">
        <f ca="1">"requires "&amp;ROUND(SUM('Model Interface'!P4:Q4),0)&amp;" kg N/ha from all sources"</f>
        <v>requires 210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45387</v>
      </c>
      <c r="Z14"/>
      <c r="AA14"/>
      <c r="AB14"/>
      <c r="AC14"/>
    </row>
    <row r="15" spans="2:34" s="55" customFormat="1" ht="16.2" thickBot="1">
      <c r="B15" s="55">
        <f ca="1">SUMIF(B29:B43,1,G29:G43)</f>
        <v>143.83962661801661</v>
      </c>
      <c r="C15" s="105" t="s">
        <v>221</v>
      </c>
      <c r="D15" s="106" t="str">
        <f ca="1">SUMIF(B29:B43,1,G29:G43)&amp;" Kg/ha"</f>
        <v>143.839626618017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223</v>
      </c>
      <c r="S15" s="122"/>
      <c r="T15" s="122"/>
      <c r="U15" s="122"/>
      <c r="V15" s="122"/>
      <c r="W15" s="115"/>
      <c r="X15" s="115"/>
      <c r="Y15" s="115"/>
      <c r="Z15" s="120" t="s">
        <v>222</v>
      </c>
      <c r="AA15" s="120"/>
      <c r="AB15" s="120"/>
      <c r="AC15" s="120"/>
      <c r="AD15" s="121" t="s">
        <v>224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45387</v>
      </c>
      <c r="S18" s="55">
        <f ca="1">IF(R18&gt;1,R18,"")</f>
        <v>45387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145.6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0.67824532837476781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0.99998457105749694</v>
      </c>
      <c r="AD18" s="83">
        <f t="array" aca="1" ref="AD18:AD662" ca="1">_xlfn._xlws.FILTER('Model Interface'!X7:X1000,('Model Interface'!X7:X1000&gt;=CurrentHarvestDate+1)*('Model Interface'!X7:X1000&lt;=FollowingHarvestDate),"")</f>
        <v>45615</v>
      </c>
      <c r="AE18" s="55">
        <f ca="1">IF(AD18&gt;1,AD18,"")</f>
        <v>45615</v>
      </c>
      <c r="AF18" s="55">
        <f t="shared" ref="AF18:AF20" ca="1" si="6">VLOOKUP(AE18,ModelOutputs,2,FALSE)</f>
        <v>12.832866081482575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0.43958070182911374</v>
      </c>
      <c r="AK18" s="55">
        <f t="shared" ref="AK18" ca="1" si="10">VLOOKUP(AE18,ModelOutputs,4,FALSE)</f>
        <v>-0.78903759022072251</v>
      </c>
    </row>
    <row r="19" spans="1:37" s="55" customFormat="1">
      <c r="C19" s="57" t="s">
        <v>218</v>
      </c>
      <c r="D19" s="85">
        <f>IF(E19="",60,E19)</f>
        <v>55</v>
      </c>
      <c r="E19" s="16">
        <v>55</v>
      </c>
      <c r="F19" s="94" t="str">
        <f ca="1">ROUND('Model Interface'!N3,0)&amp;" kg N/ha available from SOM mineralisation"</f>
        <v>118 kg N/ha available from SOM mineralisation</v>
      </c>
      <c r="R19" s="83">
        <f ca="1"/>
        <v>45388</v>
      </c>
      <c r="S19" s="55">
        <f t="shared" ref="S19:S82" ca="1" si="11">IF(R19&gt;1,R19,"")</f>
        <v>45388</v>
      </c>
      <c r="T19" s="55">
        <f t="shared" ca="1" si="0"/>
        <v>50.626388012632596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1.3512754435924919</v>
      </c>
      <c r="Y19" s="55">
        <f t="shared" ref="Y19:Y82" ca="1" si="14">VLOOKUP(S19,ModelOutputs,4,FALSE)+Y18</f>
        <v>-4.6642102585129436E-2</v>
      </c>
      <c r="Z19">
        <f t="shared" ca="1" si="3"/>
        <v>107.57111111111111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45616</v>
      </c>
      <c r="AE19" s="55">
        <f t="shared" ref="AE19:AE20" ca="1" si="16">IF(AD19&gt;1,AD19,"")</f>
        <v>45616</v>
      </c>
      <c r="AF19" s="55">
        <f t="shared" ca="1" si="6"/>
        <v>12.531584064602043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0.88722357180423028</v>
      </c>
      <c r="AK19" s="55">
        <f t="shared" ref="AK19:AK82" ca="1" si="19">VLOOKUP(AE19,ModelOutputs,4,FALSE)+AK18</f>
        <v>-1.5379624770763698</v>
      </c>
    </row>
    <row r="20" spans="1:37" s="55" customFormat="1">
      <c r="C20" s="57" t="s">
        <v>227</v>
      </c>
      <c r="D20" s="85" t="str">
        <f>IF(E20="","Sedementary",E20)</f>
        <v>Volcanic</v>
      </c>
      <c r="E20" s="16" t="s">
        <v>228</v>
      </c>
      <c r="F20" s="94"/>
      <c r="R20" s="83">
        <f ca="1"/>
        <v>45389</v>
      </c>
      <c r="S20" s="55">
        <f t="shared" ca="1" si="11"/>
        <v>45389</v>
      </c>
      <c r="T20" s="55">
        <f t="shared" ca="1" si="0"/>
        <v>51.366725651340047</v>
      </c>
      <c r="U20" s="55">
        <f t="shared" ca="1" si="1"/>
        <v>2.026289583284667</v>
      </c>
      <c r="V20" s="55">
        <f t="shared" ca="1" si="2"/>
        <v>0</v>
      </c>
      <c r="W20" s="55">
        <f t="shared" ca="1" si="12"/>
        <v>0</v>
      </c>
      <c r="X20" s="55">
        <f t="shared" ca="1" si="13"/>
        <v>2.0230620540605093</v>
      </c>
      <c r="Y20" s="55">
        <f t="shared" ca="1" si="14"/>
        <v>2.1908925654306854E-2</v>
      </c>
      <c r="Z20">
        <f t="shared" ca="1" si="3"/>
        <v>109.36299104480628</v>
      </c>
      <c r="AA20">
        <f t="shared" ca="1" si="15"/>
        <v>0</v>
      </c>
      <c r="AB20">
        <f t="shared" ca="1" si="4"/>
        <v>0</v>
      </c>
      <c r="AC20">
        <f t="shared" ca="1" si="5"/>
        <v>6.0235658318563701E-3</v>
      </c>
      <c r="AD20" s="83">
        <f ca="1"/>
        <v>45617</v>
      </c>
      <c r="AE20" s="55">
        <f t="shared" ca="1" si="16"/>
        <v>45617</v>
      </c>
      <c r="AF20" s="55">
        <f t="shared" ca="1" si="6"/>
        <v>12.28855882816905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1.3621302042181549</v>
      </c>
      <c r="AK20" s="55">
        <f t="shared" ca="1" si="19"/>
        <v>-2.2558943459232879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264</v>
      </c>
      <c r="F21" s="94"/>
      <c r="R21" s="83">
        <f ca="1"/>
        <v>45390</v>
      </c>
      <c r="S21" s="55">
        <f t="shared" ca="1" si="11"/>
        <v>45390</v>
      </c>
      <c r="T21" s="55">
        <f t="shared" ca="1" si="0"/>
        <v>52.225966194795426</v>
      </c>
      <c r="U21" s="55">
        <f t="shared" ca="1" si="1"/>
        <v>2.026289583284667</v>
      </c>
      <c r="V21" s="55">
        <f t="shared" ca="1" si="2"/>
        <v>0</v>
      </c>
      <c r="W21" s="55">
        <f t="shared" ca="1" si="12"/>
        <v>0</v>
      </c>
      <c r="X21" s="55">
        <f t="shared" ca="1" si="13"/>
        <v>2.7174255990638363</v>
      </c>
      <c r="Y21" s="55">
        <f t="shared" ca="1" si="14"/>
        <v>0.18678592410635531</v>
      </c>
      <c r="Z21">
        <f t="shared" ca="1" si="3"/>
        <v>114.75575813979675</v>
      </c>
      <c r="AA21">
        <f t="shared" ca="1" si="15"/>
        <v>0</v>
      </c>
      <c r="AB21">
        <f t="shared" ca="1" si="4"/>
        <v>0</v>
      </c>
      <c r="AC21">
        <f t="shared" ca="1" si="5"/>
        <v>6.0235658318563701E-3</v>
      </c>
      <c r="AD21" s="83">
        <f ca="1"/>
        <v>45618</v>
      </c>
      <c r="AE21" s="55">
        <f t="shared" ref="AE21:AE84" ca="1" si="20">IF(AD21&gt;1,AD21,"")</f>
        <v>45618</v>
      </c>
      <c r="AF21" s="55">
        <f t="shared" ref="AF21:AF84" ca="1" si="21">VLOOKUP(AE21,ModelOutputs,2,FALSE)</f>
        <v>12.088830126363538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1.849542838790734</v>
      </c>
      <c r="AK21" s="55">
        <f t="shared" ca="1" si="19"/>
        <v>-2.9430356823013781</v>
      </c>
    </row>
    <row r="22" spans="1:37" s="55" customFormat="1" ht="15" customHeight="1">
      <c r="C22" s="57" t="s">
        <v>210</v>
      </c>
      <c r="D22" s="85" t="str">
        <f>IF(E22="","loam",E22)</f>
        <v>ClayLoam</v>
      </c>
      <c r="E22" s="16" t="s">
        <v>272</v>
      </c>
      <c r="F22" s="94"/>
      <c r="R22" s="83">
        <f ca="1"/>
        <v>45391</v>
      </c>
      <c r="S22" s="55">
        <f t="shared" ca="1" si="11"/>
        <v>45391</v>
      </c>
      <c r="T22" s="55">
        <f t="shared" ca="1" si="0"/>
        <v>53.167748503895105</v>
      </c>
      <c r="U22" s="55">
        <f t="shared" ca="1" si="1"/>
        <v>2.026289583284667</v>
      </c>
      <c r="V22" s="55">
        <f t="shared" ca="1" si="2"/>
        <v>0</v>
      </c>
      <c r="W22" s="55">
        <f t="shared" ca="1" si="12"/>
        <v>0</v>
      </c>
      <c r="X22" s="55">
        <f t="shared" ca="1" si="13"/>
        <v>3.4104020191937048</v>
      </c>
      <c r="Y22" s="55">
        <f t="shared" ca="1" si="14"/>
        <v>0.43559181307616923</v>
      </c>
      <c r="Z22">
        <f t="shared" ca="1" si="3"/>
        <v>115.67436969296257</v>
      </c>
      <c r="AA22">
        <f t="shared" ca="1" si="15"/>
        <v>0</v>
      </c>
      <c r="AB22">
        <f t="shared" ca="1" si="4"/>
        <v>0</v>
      </c>
      <c r="AC22">
        <f t="shared" ca="1" si="5"/>
        <v>6.0235658318563701E-3</v>
      </c>
      <c r="AD22" s="83">
        <f ca="1"/>
        <v>45619</v>
      </c>
      <c r="AE22" s="55">
        <f t="shared" ca="1" si="20"/>
        <v>45619</v>
      </c>
      <c r="AF22" s="55">
        <f t="shared" ca="1" si="21"/>
        <v>11.928252746750934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2.3289945059559134</v>
      </c>
      <c r="AK22" s="55">
        <f t="shared" ca="1" si="19"/>
        <v>-3.5830647290791617</v>
      </c>
    </row>
    <row r="23" spans="1:37" s="55" customFormat="1">
      <c r="C23" s="57"/>
      <c r="D23" s="85"/>
      <c r="E23" s="113"/>
      <c r="F23" s="94"/>
      <c r="R23" s="83">
        <f ca="1"/>
        <v>45392</v>
      </c>
      <c r="S23" s="55">
        <f t="shared" ca="1" si="11"/>
        <v>45392</v>
      </c>
      <c r="T23" s="55">
        <f t="shared" ca="1" si="0"/>
        <v>54.162680154343619</v>
      </c>
      <c r="U23" s="55">
        <f t="shared" ca="1" si="1"/>
        <v>2.026289583284667</v>
      </c>
      <c r="V23" s="55">
        <f t="shared" ca="1" si="2"/>
        <v>0</v>
      </c>
      <c r="W23" s="55">
        <f t="shared" ca="1" si="12"/>
        <v>0</v>
      </c>
      <c r="X23" s="55">
        <f t="shared" ca="1" si="13"/>
        <v>4.0882787075714653</v>
      </c>
      <c r="Y23" s="55">
        <f t="shared" ca="1" si="14"/>
        <v>0.7526467751469248</v>
      </c>
      <c r="Z23">
        <f t="shared" ca="1" si="3"/>
        <v>116.38055409557167</v>
      </c>
      <c r="AA23">
        <f t="shared" ca="1" si="15"/>
        <v>0</v>
      </c>
      <c r="AB23">
        <f t="shared" ca="1" si="4"/>
        <v>0</v>
      </c>
      <c r="AC23">
        <f t="shared" ca="1" si="5"/>
        <v>6.0235658318563701E-3</v>
      </c>
      <c r="AD23" s="83">
        <f ca="1"/>
        <v>45620</v>
      </c>
      <c r="AE23" s="55">
        <f t="shared" ca="1" si="20"/>
        <v>45620</v>
      </c>
      <c r="AF23" s="55">
        <f t="shared" ca="1" si="21"/>
        <v>11.803824129736338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2.8323038772311828</v>
      </c>
      <c r="AK23" s="55">
        <f t="shared" ca="1" si="19"/>
        <v>-4.2108027173690274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45393</v>
      </c>
      <c r="S24" s="55">
        <f t="shared" ca="1" si="11"/>
        <v>45393</v>
      </c>
      <c r="T24" s="55">
        <f t="shared" ca="1" si="0"/>
        <v>55.225465141339299</v>
      </c>
      <c r="U24" s="55">
        <f t="shared" ca="1" si="1"/>
        <v>2.026289583284667</v>
      </c>
      <c r="V24" s="55">
        <f t="shared" ca="1" si="2"/>
        <v>0</v>
      </c>
      <c r="W24" s="55">
        <f t="shared" ca="1" si="12"/>
        <v>0</v>
      </c>
      <c r="X24" s="55">
        <f t="shared" ca="1" si="13"/>
        <v>4.7689365513838107</v>
      </c>
      <c r="Y24" s="55">
        <f t="shared" ca="1" si="14"/>
        <v>1.1347739183302556</v>
      </c>
      <c r="Z24">
        <f t="shared" ca="1" si="3"/>
        <v>119.94977660652944</v>
      </c>
      <c r="AA24">
        <f t="shared" ca="1" si="15"/>
        <v>0</v>
      </c>
      <c r="AB24">
        <f t="shared" ca="1" si="4"/>
        <v>0</v>
      </c>
      <c r="AC24">
        <f t="shared" ca="1" si="5"/>
        <v>6.0235658318563701E-3</v>
      </c>
      <c r="AD24" s="83">
        <f ca="1"/>
        <v>45621</v>
      </c>
      <c r="AE24" s="55">
        <f t="shared" ca="1" si="20"/>
        <v>45621</v>
      </c>
      <c r="AF24" s="55">
        <f t="shared" ca="1" si="21"/>
        <v>11.711495705496722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3.3304574802676945</v>
      </c>
      <c r="AK24" s="55">
        <f t="shared" ca="1" si="19"/>
        <v>-4.8012847446451552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1</v>
      </c>
      <c r="E25" s="98">
        <v>1</v>
      </c>
      <c r="R25" s="83">
        <f ca="1"/>
        <v>45394</v>
      </c>
      <c r="S25" s="55">
        <f t="shared" ca="1" si="11"/>
        <v>45394</v>
      </c>
      <c r="T25" s="55">
        <f t="shared" ca="1" si="0"/>
        <v>56.367523304616412</v>
      </c>
      <c r="U25" s="55">
        <f t="shared" ca="1" si="1"/>
        <v>2.026289583284667</v>
      </c>
      <c r="V25" s="55">
        <f t="shared" ca="1" si="2"/>
        <v>0</v>
      </c>
      <c r="W25" s="55">
        <f t="shared" ca="1" si="12"/>
        <v>0</v>
      </c>
      <c r="X25" s="55">
        <f t="shared" ca="1" si="13"/>
        <v>5.4641669891470412</v>
      </c>
      <c r="Y25" s="55">
        <f t="shared" ca="1" si="14"/>
        <v>1.5816016438441398</v>
      </c>
      <c r="Z25">
        <f t="shared" ca="1" si="3"/>
        <v>119.77431922472539</v>
      </c>
      <c r="AA25">
        <f t="shared" ca="1" si="15"/>
        <v>0</v>
      </c>
      <c r="AB25">
        <f t="shared" ca="1" si="4"/>
        <v>0</v>
      </c>
      <c r="AC25">
        <f t="shared" ca="1" si="5"/>
        <v>6.0235658318563701E-3</v>
      </c>
      <c r="AD25" s="83">
        <f ca="1"/>
        <v>45622</v>
      </c>
      <c r="AE25" s="55">
        <f t="shared" ca="1" si="20"/>
        <v>45622</v>
      </c>
      <c r="AF25" s="55">
        <f t="shared" ca="1" si="21"/>
        <v>11.66432878967556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3.8230598917893936</v>
      </c>
      <c r="AK25" s="55">
        <f t="shared" ca="1" si="19"/>
        <v>-5.3410540719880153</v>
      </c>
    </row>
    <row r="26" spans="1:37" s="55" customFormat="1" ht="15" thickBot="1">
      <c r="C26" s="56"/>
      <c r="D26" s="56"/>
      <c r="E26" s="56"/>
      <c r="F26" s="56"/>
      <c r="R26" s="83">
        <f ca="1"/>
        <v>45395</v>
      </c>
      <c r="S26" s="55">
        <f t="shared" ca="1" si="11"/>
        <v>45395</v>
      </c>
      <c r="T26" s="55">
        <f t="shared" ca="1" si="0"/>
        <v>57.160592372168871</v>
      </c>
      <c r="U26" s="55">
        <f t="shared" ca="1" si="1"/>
        <v>2.026289583284667</v>
      </c>
      <c r="V26" s="55">
        <f t="shared" ca="1" si="2"/>
        <v>0</v>
      </c>
      <c r="W26" s="55">
        <f t="shared" ca="1" si="12"/>
        <v>-0.37133825804668619</v>
      </c>
      <c r="X26" s="55">
        <f t="shared" ca="1" si="13"/>
        <v>6.1420436775248017</v>
      </c>
      <c r="Y26" s="55">
        <f t="shared" ca="1" si="14"/>
        <v>2.0681322810655214</v>
      </c>
      <c r="Z26">
        <f t="shared" ca="1" si="3"/>
        <v>120</v>
      </c>
      <c r="AA26">
        <f t="shared" ca="1" si="15"/>
        <v>0.92317309339172482</v>
      </c>
      <c r="AB26">
        <f t="shared" ca="1" si="4"/>
        <v>0</v>
      </c>
      <c r="AC26">
        <f t="shared" ca="1" si="5"/>
        <v>6.0235658318563701E-3</v>
      </c>
      <c r="AD26" s="83">
        <f ca="1"/>
        <v>45623</v>
      </c>
      <c r="AE26" s="55">
        <f t="shared" ca="1" si="20"/>
        <v>45623</v>
      </c>
      <c r="AF26" s="55">
        <f t="shared" ca="1" si="21"/>
        <v>11.674307125330346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4.3361630923869283</v>
      </c>
      <c r="AK26" s="55">
        <f t="shared" ca="1" si="19"/>
        <v>-5.8441789369307635</v>
      </c>
    </row>
    <row r="27" spans="1:37" s="55" customFormat="1" ht="15" thickBot="1">
      <c r="C27" s="132" t="s">
        <v>138</v>
      </c>
      <c r="D27" s="133"/>
      <c r="E27" s="60"/>
      <c r="F27" s="134" t="s">
        <v>145</v>
      </c>
      <c r="G27" s="135"/>
      <c r="R27" s="83">
        <f ca="1"/>
        <v>45396</v>
      </c>
      <c r="S27" s="55">
        <f t="shared" ca="1" si="11"/>
        <v>45396</v>
      </c>
      <c r="T27" s="55">
        <f t="shared" ca="1" si="0"/>
        <v>58.145821867974057</v>
      </c>
      <c r="U27" s="55">
        <f t="shared" ca="1" si="1"/>
        <v>2.026289583284667</v>
      </c>
      <c r="V27" s="55">
        <f t="shared" ca="1" si="2"/>
        <v>0</v>
      </c>
      <c r="W27" s="55">
        <f t="shared" ca="1" si="12"/>
        <v>-0.57592540906363188</v>
      </c>
      <c r="X27" s="55">
        <f t="shared" ca="1" si="13"/>
        <v>6.8099649534671247</v>
      </c>
      <c r="Y27" s="55">
        <f t="shared" ca="1" si="14"/>
        <v>2.5900276519453342</v>
      </c>
      <c r="Z27">
        <f t="shared" ca="1" si="3"/>
        <v>120</v>
      </c>
      <c r="AA27">
        <f t="shared" ca="1" si="15"/>
        <v>1.4231730933917248</v>
      </c>
      <c r="AB27">
        <f t="shared" ca="1" si="4"/>
        <v>0</v>
      </c>
      <c r="AC27">
        <f t="shared" ca="1" si="5"/>
        <v>6.0235658318563701E-3</v>
      </c>
      <c r="AD27" s="83">
        <f ca="1"/>
        <v>45624</v>
      </c>
      <c r="AE27" s="55">
        <f t="shared" ca="1" si="20"/>
        <v>45624</v>
      </c>
      <c r="AF27" s="55">
        <f t="shared" ca="1" si="21"/>
        <v>11.714129301919613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4.8506832860193514</v>
      </c>
      <c r="AK27" s="55">
        <f t="shared" ca="1" si="19"/>
        <v>-6.3188769539739198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45397</v>
      </c>
      <c r="S28" s="55">
        <f t="shared" ca="1" si="11"/>
        <v>45397</v>
      </c>
      <c r="T28" s="55">
        <f t="shared" ca="1" si="0"/>
        <v>58.827193278480777</v>
      </c>
      <c r="U28" s="55">
        <f t="shared" ca="1" si="1"/>
        <v>2.026289583284667</v>
      </c>
      <c r="V28" s="55">
        <f t="shared" ca="1" si="2"/>
        <v>0</v>
      </c>
      <c r="W28" s="55">
        <f t="shared" ca="1" si="12"/>
        <v>-1.1679012762400505</v>
      </c>
      <c r="X28" s="55">
        <f t="shared" ca="1" si="13"/>
        <v>7.5057595823538863</v>
      </c>
      <c r="Y28" s="55">
        <f t="shared" ca="1" si="14"/>
        <v>3.1675803007417112</v>
      </c>
      <c r="Z28">
        <f t="shared" ca="1" si="3"/>
        <v>120</v>
      </c>
      <c r="AA28">
        <f t="shared" ca="1" si="15"/>
        <v>2.8531730933917316</v>
      </c>
      <c r="AB28">
        <f t="shared" ca="1" si="4"/>
        <v>0</v>
      </c>
      <c r="AC28">
        <f t="shared" ca="1" si="5"/>
        <v>6.0235658318563701E-3</v>
      </c>
      <c r="AD28" s="83">
        <f ca="1"/>
        <v>45625</v>
      </c>
      <c r="AE28" s="55">
        <f t="shared" ca="1" si="20"/>
        <v>45625</v>
      </c>
      <c r="AF28" s="55">
        <f t="shared" ca="1" si="21"/>
        <v>11.786995849381036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5.3758548694866457</v>
      </c>
      <c r="AK28" s="55">
        <f t="shared" ca="1" si="19"/>
        <v>-6.7711819899797909</v>
      </c>
    </row>
    <row r="29" spans="1:37" s="55" customFormat="1">
      <c r="A29" s="83">
        <f t="array" aca="1" ref="A29:A43" ca="1">_xlfn._xlws.FILTER('Model Interface'!X7:X496,'Model Interface'!Y7:Y496&gt;0,"")</f>
        <v>45474</v>
      </c>
      <c r="B29" s="55">
        <f t="shared" ref="B29:B43" ca="1" si="24">IF(AND(NOT(F29=""),F29&gt;=StartSchedullingDate),1,0)</f>
        <v>0</v>
      </c>
      <c r="C29" s="78">
        <v>45474</v>
      </c>
      <c r="D29" s="80">
        <v>24</v>
      </c>
      <c r="F29" s="74">
        <f ca="1">A29</f>
        <v>45474</v>
      </c>
      <c r="G29" s="76">
        <f ca="1">IFERROR(VLOOKUP(F29,'Model Interface'!$J$7:$O$496,6,FALSE),"")</f>
        <v>24</v>
      </c>
      <c r="H29" s="55" t="str">
        <f ca="1">IF(B29=1,"Suggested","Applied or Planned")</f>
        <v>Applied or Planned</v>
      </c>
      <c r="R29" s="83">
        <f ca="1"/>
        <v>45398</v>
      </c>
      <c r="S29" s="55">
        <f t="shared" ca="1" si="11"/>
        <v>45398</v>
      </c>
      <c r="T29" s="55">
        <f t="shared" ca="1" si="0"/>
        <v>59.855292204709166</v>
      </c>
      <c r="U29" s="55">
        <f t="shared" ca="1" si="1"/>
        <v>2.026289583284667</v>
      </c>
      <c r="V29" s="55">
        <f t="shared" ca="1" si="2"/>
        <v>0</v>
      </c>
      <c r="W29" s="55">
        <f t="shared" ca="1" si="12"/>
        <v>-1.4206236211043757</v>
      </c>
      <c r="X29" s="55">
        <f t="shared" ca="1" si="13"/>
        <v>8.1875318082893607</v>
      </c>
      <c r="Y29" s="55">
        <f t="shared" ca="1" si="14"/>
        <v>3.7666293458989482</v>
      </c>
      <c r="Z29">
        <f t="shared" ca="1" si="3"/>
        <v>120</v>
      </c>
      <c r="AA29">
        <f t="shared" ca="1" si="15"/>
        <v>3.453173093391726</v>
      </c>
      <c r="AB29">
        <f t="shared" ca="1" si="4"/>
        <v>0</v>
      </c>
      <c r="AC29">
        <f t="shared" ca="1" si="5"/>
        <v>6.0235658318563701E-3</v>
      </c>
      <c r="AD29" s="83">
        <f ca="1"/>
        <v>45626</v>
      </c>
      <c r="AE29" s="55">
        <f t="shared" ca="1" si="20"/>
        <v>45626</v>
      </c>
      <c r="AF29" s="55">
        <f t="shared" ca="1" si="21"/>
        <v>11.878368444040495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5.8962593221521429</v>
      </c>
      <c r="AK29" s="55">
        <f t="shared" ca="1" si="19"/>
        <v>-7.2002138479858289</v>
      </c>
    </row>
    <row r="30" spans="1:37" s="55" customFormat="1">
      <c r="A30" s="83">
        <f ca="1"/>
        <v>45508</v>
      </c>
      <c r="B30" s="55">
        <f t="shared" ca="1" si="24"/>
        <v>0</v>
      </c>
      <c r="C30" s="78">
        <v>45508</v>
      </c>
      <c r="D30" s="81">
        <v>18</v>
      </c>
      <c r="F30" s="74">
        <f t="shared" ref="F30:F43" ca="1" si="25">IFERROR(IF(A30=A29,"",A30),"")</f>
        <v>45508</v>
      </c>
      <c r="G30" s="76">
        <f ca="1">IFERROR(VLOOKUP(F30,'Model Interface'!$J$7:$O$496,6,FALSE),"")</f>
        <v>18</v>
      </c>
      <c r="H30" s="55" t="str">
        <f t="shared" ref="H30:H43" ca="1" si="26">IF(F30="","",IF(F30&lt;=StartSchedullingDate,"Applied or Planned","Suggested"))</f>
        <v>Applied or Planned</v>
      </c>
      <c r="R30" s="83">
        <f ca="1"/>
        <v>45399</v>
      </c>
      <c r="S30" s="55">
        <f t="shared" ca="1" si="11"/>
        <v>45399</v>
      </c>
      <c r="T30" s="55">
        <f t="shared" ca="1" si="0"/>
        <v>60.871976665966052</v>
      </c>
      <c r="U30" s="55">
        <f t="shared" ca="1" si="1"/>
        <v>2.026289583284667</v>
      </c>
      <c r="V30" s="55">
        <f t="shared" ca="1" si="2"/>
        <v>0</v>
      </c>
      <c r="W30" s="55">
        <f t="shared" ca="1" si="12"/>
        <v>-1.7119073020392945</v>
      </c>
      <c r="X30" s="55">
        <f t="shared" ca="1" si="13"/>
        <v>8.86986163676902</v>
      </c>
      <c r="Y30" s="55">
        <f t="shared" ca="1" si="14"/>
        <v>4.3922676596110906</v>
      </c>
      <c r="Z30">
        <f t="shared" ca="1" si="3"/>
        <v>120</v>
      </c>
      <c r="AA30">
        <f t="shared" ca="1" si="15"/>
        <v>4.1331730933917257</v>
      </c>
      <c r="AB30">
        <f t="shared" ca="1" si="4"/>
        <v>0</v>
      </c>
      <c r="AC30">
        <f t="shared" ca="1" si="5"/>
        <v>6.0235658318563701E-3</v>
      </c>
      <c r="AD30" s="83">
        <f ca="1"/>
        <v>45627</v>
      </c>
      <c r="AE30" s="55">
        <f t="shared" ca="1" si="20"/>
        <v>45627</v>
      </c>
      <c r="AF30" s="55">
        <f t="shared" ca="1" si="21"/>
        <v>12.041412166981823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6.469589718093081</v>
      </c>
      <c r="AK30" s="55">
        <f t="shared" ca="1" si="19"/>
        <v>-7.6105005209854397</v>
      </c>
    </row>
    <row r="31" spans="1:37" s="55" customFormat="1">
      <c r="A31" s="83">
        <f ca="1"/>
        <v>45549</v>
      </c>
      <c r="B31" s="55">
        <f t="shared" ca="1" si="24"/>
        <v>1</v>
      </c>
      <c r="C31" s="78"/>
      <c r="D31" s="81"/>
      <c r="F31" s="74">
        <f t="shared" ca="1" si="25"/>
        <v>45549</v>
      </c>
      <c r="G31" s="76">
        <f ca="1">IFERROR(VLOOKUP(F31,'Model Interface'!$J$7:$O$496,6,FALSE),"")</f>
        <v>143.83962661801661</v>
      </c>
      <c r="H31" s="55" t="str">
        <f t="shared" ca="1" si="26"/>
        <v>Suggested</v>
      </c>
      <c r="R31" s="83">
        <f ca="1"/>
        <v>45400</v>
      </c>
      <c r="S31" s="55">
        <f t="shared" ca="1" si="11"/>
        <v>45400</v>
      </c>
      <c r="T31" s="55">
        <f t="shared" ca="1" si="0"/>
        <v>62.121635270834474</v>
      </c>
      <c r="U31" s="55">
        <f t="shared" ca="1" si="1"/>
        <v>2.026289583284667</v>
      </c>
      <c r="V31" s="55">
        <f t="shared" ca="1" si="2"/>
        <v>0</v>
      </c>
      <c r="W31" s="55">
        <f t="shared" ca="1" si="12"/>
        <v>-1.7687370943055776</v>
      </c>
      <c r="X31" s="55">
        <f t="shared" ca="1" si="13"/>
        <v>9.5394359824688095</v>
      </c>
      <c r="Y31" s="55">
        <f t="shared" ca="1" si="14"/>
        <v>5.0291817110460038</v>
      </c>
      <c r="Z31">
        <f t="shared" ca="1" si="3"/>
        <v>120</v>
      </c>
      <c r="AA31">
        <f t="shared" ca="1" si="15"/>
        <v>4.2631730933917282</v>
      </c>
      <c r="AB31">
        <f t="shared" ca="1" si="4"/>
        <v>0</v>
      </c>
      <c r="AC31">
        <f t="shared" ca="1" si="5"/>
        <v>6.0235658318563701E-3</v>
      </c>
      <c r="AD31" s="83">
        <f ca="1"/>
        <v>45628</v>
      </c>
      <c r="AE31" s="55">
        <f t="shared" ca="1" si="20"/>
        <v>45628</v>
      </c>
      <c r="AF31" s="55">
        <f t="shared" ca="1" si="21"/>
        <v>12.222778176231419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7.0387889323446933</v>
      </c>
      <c r="AK31" s="55">
        <f t="shared" ca="1" si="19"/>
        <v>-7.9983337259874574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45401</v>
      </c>
      <c r="S32" s="55">
        <f t="shared" ca="1" si="11"/>
        <v>45401</v>
      </c>
      <c r="T32" s="55">
        <f t="shared" ca="1" si="0"/>
        <v>63.467548014194094</v>
      </c>
      <c r="U32" s="55">
        <f t="shared" ca="1" si="1"/>
        <v>2.026289583284667</v>
      </c>
      <c r="V32" s="55">
        <f t="shared" ca="1" si="2"/>
        <v>0</v>
      </c>
      <c r="W32" s="55">
        <f t="shared" ca="1" si="12"/>
        <v>-1.7687370943055776</v>
      </c>
      <c r="X32" s="55">
        <f t="shared" ca="1" si="13"/>
        <v>10.221208208404283</v>
      </c>
      <c r="Y32" s="55">
        <f t="shared" ca="1" si="14"/>
        <v>5.6933222284701461</v>
      </c>
      <c r="Z32">
        <f t="shared" ca="1" si="3"/>
        <v>118.68888888888888</v>
      </c>
      <c r="AA32">
        <f t="shared" ca="1" si="15"/>
        <v>4.2631730933917282</v>
      </c>
      <c r="AB32">
        <f t="shared" ca="1" si="4"/>
        <v>0</v>
      </c>
      <c r="AC32">
        <f t="shared" ca="1" si="5"/>
        <v>6.0235658318563701E-3</v>
      </c>
      <c r="AD32" s="83">
        <f ca="1"/>
        <v>45629</v>
      </c>
      <c r="AE32" s="55">
        <f t="shared" ca="1" si="20"/>
        <v>45629</v>
      </c>
      <c r="AF32" s="55">
        <f t="shared" ca="1" si="21"/>
        <v>12.483276968364258</v>
      </c>
      <c r="AG32" s="55">
        <f t="shared" ca="1" si="22"/>
        <v>1.539611058845207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7.6589183930897047</v>
      </c>
      <c r="AK32" s="55">
        <f t="shared" ca="1" si="19"/>
        <v>-8.3579643945996303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45402</v>
      </c>
      <c r="S33" s="55">
        <f t="shared" ca="1" si="11"/>
        <v>45402</v>
      </c>
      <c r="T33" s="55">
        <f t="shared" ca="1" si="0"/>
        <v>64.302731961739809</v>
      </c>
      <c r="U33" s="55">
        <f t="shared" ca="1" si="1"/>
        <v>2.026289583284667</v>
      </c>
      <c r="V33" s="55">
        <f t="shared" ca="1" si="2"/>
        <v>0</v>
      </c>
      <c r="W33" s="55">
        <f t="shared" ca="1" si="12"/>
        <v>-2.2779379777421562</v>
      </c>
      <c r="X33" s="55">
        <f t="shared" ca="1" si="13"/>
        <v>10.894649306299488</v>
      </c>
      <c r="Y33" s="55">
        <f t="shared" ca="1" si="14"/>
        <v>6.3642659615572388</v>
      </c>
      <c r="Z33">
        <f t="shared" ca="1" si="3"/>
        <v>120</v>
      </c>
      <c r="AA33">
        <f t="shared" ca="1" si="15"/>
        <v>5.3884771564297012</v>
      </c>
      <c r="AB33">
        <f t="shared" ca="1" si="4"/>
        <v>0</v>
      </c>
      <c r="AC33">
        <f t="shared" ca="1" si="5"/>
        <v>6.0235658318563701E-3</v>
      </c>
      <c r="AD33" s="83">
        <f ca="1"/>
        <v>45630</v>
      </c>
      <c r="AE33" s="55">
        <f t="shared" ca="1" si="20"/>
        <v>45630</v>
      </c>
      <c r="AF33" s="55">
        <f t="shared" ca="1" si="21"/>
        <v>12.725473632291617</v>
      </c>
      <c r="AG33" s="55">
        <f t="shared" ca="1" si="22"/>
        <v>1.6089279739078004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8.2981515710770086</v>
      </c>
      <c r="AK33" s="55">
        <f t="shared" ca="1" si="19"/>
        <v>-8.6856839935969816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45403</v>
      </c>
      <c r="S34" s="55">
        <f t="shared" ca="1" si="11"/>
        <v>45403</v>
      </c>
      <c r="T34" s="55">
        <f t="shared" ca="1" si="0"/>
        <v>64.938052903794031</v>
      </c>
      <c r="U34" s="55">
        <f t="shared" ca="1" si="1"/>
        <v>2.0735733315503353</v>
      </c>
      <c r="V34" s="55">
        <f t="shared" ca="1" si="2"/>
        <v>0</v>
      </c>
      <c r="W34" s="55">
        <f t="shared" ca="1" si="12"/>
        <v>-2.8765706209923176</v>
      </c>
      <c r="X34" s="55">
        <f t="shared" ca="1" si="13"/>
        <v>11.528424824721958</v>
      </c>
      <c r="Y34" s="55">
        <f t="shared" ca="1" si="14"/>
        <v>7.0117277767048147</v>
      </c>
      <c r="Z34">
        <f t="shared" ca="1" si="3"/>
        <v>120</v>
      </c>
      <c r="AA34">
        <f t="shared" ca="1" si="15"/>
        <v>6.6984771564297034</v>
      </c>
      <c r="AB34">
        <f t="shared" ca="1" si="4"/>
        <v>0</v>
      </c>
      <c r="AC34">
        <f t="shared" ca="1" si="5"/>
        <v>6.2716804085214189E-3</v>
      </c>
      <c r="AD34" s="83">
        <f ca="1"/>
        <v>45631</v>
      </c>
      <c r="AE34" s="55">
        <f t="shared" ca="1" si="20"/>
        <v>45631</v>
      </c>
      <c r="AF34" s="55">
        <f t="shared" ca="1" si="21"/>
        <v>12.997500466895152</v>
      </c>
      <c r="AG34" s="55">
        <f t="shared" ca="1" si="22"/>
        <v>1.6814750343119274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8.9452726897139421</v>
      </c>
      <c r="AK34" s="55">
        <f t="shared" ca="1" si="19"/>
        <v>-8.9882312172262537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45404</v>
      </c>
      <c r="S35" s="55">
        <f t="shared" ca="1" si="11"/>
        <v>45404</v>
      </c>
      <c r="T35" s="55">
        <f t="shared" ca="1" si="0"/>
        <v>66.144551229632896</v>
      </c>
      <c r="U35" s="55">
        <f t="shared" ca="1" si="1"/>
        <v>2.1513855493116947</v>
      </c>
      <c r="V35" s="55">
        <f t="shared" ca="1" si="2"/>
        <v>0</v>
      </c>
      <c r="W35" s="55">
        <f t="shared" ca="1" si="12"/>
        <v>-2.8951890872643622</v>
      </c>
      <c r="X35" s="55">
        <f t="shared" ca="1" si="13"/>
        <v>12.170231921545245</v>
      </c>
      <c r="Y35" s="55">
        <f t="shared" ca="1" si="14"/>
        <v>7.6728496897538019</v>
      </c>
      <c r="Z35">
        <f t="shared" ca="1" si="3"/>
        <v>120</v>
      </c>
      <c r="AA35">
        <f t="shared" ca="1" si="15"/>
        <v>6.7384771564297026</v>
      </c>
      <c r="AB35">
        <f t="shared" ca="1" si="4"/>
        <v>0</v>
      </c>
      <c r="AC35">
        <f t="shared" ca="1" si="5"/>
        <v>6.6892228642108191E-3</v>
      </c>
      <c r="AD35" s="83">
        <f ca="1"/>
        <v>45632</v>
      </c>
      <c r="AE35" s="55">
        <f t="shared" ca="1" si="20"/>
        <v>45632</v>
      </c>
      <c r="AF35" s="55">
        <f t="shared" ca="1" si="21"/>
        <v>13.285550293942228</v>
      </c>
      <c r="AG35" s="55">
        <f t="shared" ca="1" si="22"/>
        <v>1.7548537263812132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9.5753558508028895</v>
      </c>
      <c r="AK35" s="55">
        <f t="shared" ca="1" si="19"/>
        <v>-9.2568858591988423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45405</v>
      </c>
      <c r="S36" s="55">
        <f t="shared" ca="1" si="11"/>
        <v>45405</v>
      </c>
      <c r="T36" s="55">
        <f t="shared" ca="1" si="0"/>
        <v>66.373206895292455</v>
      </c>
      <c r="U36" s="55">
        <f t="shared" ca="1" si="1"/>
        <v>2.2304832977741338</v>
      </c>
      <c r="V36" s="55">
        <f t="shared" ca="1" si="2"/>
        <v>0</v>
      </c>
      <c r="W36" s="55">
        <f t="shared" ca="1" si="12"/>
        <v>-3.876037589161466</v>
      </c>
      <c r="X36" s="55">
        <f t="shared" ca="1" si="13"/>
        <v>12.801876052125477</v>
      </c>
      <c r="Y36" s="55">
        <f t="shared" ca="1" si="14"/>
        <v>8.3298074751926823</v>
      </c>
      <c r="Z36">
        <f t="shared" ca="1" si="3"/>
        <v>120</v>
      </c>
      <c r="AA36">
        <f t="shared" ca="1" si="15"/>
        <v>8.8384771564297111</v>
      </c>
      <c r="AB36">
        <f t="shared" ca="1" si="4"/>
        <v>0</v>
      </c>
      <c r="AC36">
        <f t="shared" ca="1" si="5"/>
        <v>7.1253283038264364E-3</v>
      </c>
      <c r="AD36" s="83">
        <f ca="1"/>
        <v>45633</v>
      </c>
      <c r="AE36" s="55">
        <f t="shared" ca="1" si="20"/>
        <v>45633</v>
      </c>
      <c r="AF36" s="55">
        <f t="shared" ca="1" si="21"/>
        <v>13.575120043380965</v>
      </c>
      <c r="AG36" s="55">
        <f t="shared" ca="1" si="22"/>
        <v>1.8311658692030757</v>
      </c>
      <c r="AH36" s="55">
        <f t="shared" ca="1" si="23"/>
        <v>0</v>
      </c>
      <c r="AI36" s="55">
        <f t="shared" ca="1" si="17"/>
        <v>0</v>
      </c>
      <c r="AJ36" s="55">
        <f t="shared" ca="1" si="18"/>
        <v>10.187547210503244</v>
      </c>
      <c r="AK36" s="55">
        <f t="shared" ca="1" si="19"/>
        <v>-9.5031953266385969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45406</v>
      </c>
      <c r="S37" s="55">
        <f t="shared" ca="1" si="11"/>
        <v>45406</v>
      </c>
      <c r="T37" s="55">
        <f t="shared" ca="1" si="0"/>
        <v>65.554851339455809</v>
      </c>
      <c r="U37" s="55">
        <f t="shared" ca="1" si="1"/>
        <v>2.3149305638677991</v>
      </c>
      <c r="V37" s="55">
        <f t="shared" ca="1" si="2"/>
        <v>0</v>
      </c>
      <c r="W37" s="55">
        <f t="shared" ca="1" si="12"/>
        <v>-5.9288756190692382</v>
      </c>
      <c r="X37" s="55">
        <f t="shared" ca="1" si="13"/>
        <v>13.448531578392522</v>
      </c>
      <c r="Y37" s="55">
        <f t="shared" ca="1" si="14"/>
        <v>9.0020816890904296</v>
      </c>
      <c r="Z37">
        <f t="shared" ca="1" si="3"/>
        <v>120</v>
      </c>
      <c r="AA37">
        <f t="shared" ca="1" si="15"/>
        <v>13.288477156429707</v>
      </c>
      <c r="AB37">
        <f t="shared" ca="1" si="4"/>
        <v>0</v>
      </c>
      <c r="AC37">
        <f t="shared" ca="1" si="5"/>
        <v>7.6037693774976692E-3</v>
      </c>
      <c r="AD37" s="83">
        <f ca="1"/>
        <v>45634</v>
      </c>
      <c r="AE37" s="55">
        <f t="shared" ca="1" si="20"/>
        <v>45634</v>
      </c>
      <c r="AF37" s="55">
        <f t="shared" ca="1" si="21"/>
        <v>13.864808241398443</v>
      </c>
      <c r="AG37" s="55">
        <f t="shared" ca="1" si="22"/>
        <v>1.9130900889075992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10.792242324459746</v>
      </c>
      <c r="AK37" s="55">
        <f t="shared" ca="1" si="19"/>
        <v>-9.7362780228730976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45407</v>
      </c>
      <c r="S38" s="55">
        <f t="shared" ca="1" si="11"/>
        <v>45407</v>
      </c>
      <c r="T38" s="55">
        <f t="shared" ca="1" si="0"/>
        <v>66.313216580758208</v>
      </c>
      <c r="U38" s="55">
        <f t="shared" ca="1" si="1"/>
        <v>2.4046513196343935</v>
      </c>
      <c r="V38" s="55">
        <f t="shared" ca="1" si="2"/>
        <v>0</v>
      </c>
      <c r="W38" s="55">
        <f t="shared" ca="1" si="12"/>
        <v>-6.4235230938605214</v>
      </c>
      <c r="X38" s="55">
        <f t="shared" ca="1" si="13"/>
        <v>14.107678104979142</v>
      </c>
      <c r="Y38" s="55">
        <f t="shared" ca="1" si="14"/>
        <v>9.6856686343640757</v>
      </c>
      <c r="Z38">
        <f t="shared" ca="1" si="3"/>
        <v>120</v>
      </c>
      <c r="AA38">
        <f t="shared" ca="1" si="15"/>
        <v>14.348477156429702</v>
      </c>
      <c r="AB38">
        <f t="shared" ca="1" si="4"/>
        <v>0</v>
      </c>
      <c r="AC38">
        <f t="shared" ca="1" si="5"/>
        <v>8.1264569344763164E-3</v>
      </c>
      <c r="AD38" s="83">
        <f ca="1"/>
        <v>45635</v>
      </c>
      <c r="AE38" s="55">
        <f t="shared" ca="1" si="20"/>
        <v>45635</v>
      </c>
      <c r="AF38" s="55">
        <f t="shared" ca="1" si="21"/>
        <v>14.164966977884312</v>
      </c>
      <c r="AG38" s="55">
        <f t="shared" ca="1" si="22"/>
        <v>1.9981711421274431</v>
      </c>
      <c r="AH38" s="55">
        <f t="shared" ca="1" si="23"/>
        <v>0</v>
      </c>
      <c r="AI38" s="55">
        <f t="shared" ca="1" si="17"/>
        <v>0</v>
      </c>
      <c r="AJ38" s="55">
        <f t="shared" ca="1" si="18"/>
        <v>11.388948947906792</v>
      </c>
      <c r="AK38" s="55">
        <f t="shared" ca="1" si="19"/>
        <v>-9.9477448566144311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45408</v>
      </c>
      <c r="S39" s="55">
        <f t="shared" ca="1" si="11"/>
        <v>45408</v>
      </c>
      <c r="T39" s="55">
        <f t="shared" ca="1" si="0"/>
        <v>67.258085302335274</v>
      </c>
      <c r="U39" s="55">
        <f t="shared" ca="1" si="1"/>
        <v>2.501620832506255</v>
      </c>
      <c r="V39" s="55">
        <f t="shared" ca="1" si="2"/>
        <v>0</v>
      </c>
      <c r="W39" s="55">
        <f t="shared" ca="1" si="12"/>
        <v>-6.7642973927256866</v>
      </c>
      <c r="X39" s="55">
        <f t="shared" ca="1" si="13"/>
        <v>14.788893002697563</v>
      </c>
      <c r="Y39" s="55">
        <f t="shared" ca="1" si="14"/>
        <v>10.387066269959764</v>
      </c>
      <c r="Z39">
        <f t="shared" ca="1" si="3"/>
        <v>120</v>
      </c>
      <c r="AA39">
        <f t="shared" ca="1" si="15"/>
        <v>15.068477156429701</v>
      </c>
      <c r="AB39">
        <f t="shared" ca="1" si="4"/>
        <v>0</v>
      </c>
      <c r="AC39">
        <f t="shared" ca="1" si="5"/>
        <v>8.7078285039246823E-3</v>
      </c>
      <c r="AD39" s="83">
        <f ca="1"/>
        <v>45636</v>
      </c>
      <c r="AE39" s="55">
        <f t="shared" ca="1" si="20"/>
        <v>45636</v>
      </c>
      <c r="AF39" s="55">
        <f t="shared" ca="1" si="21"/>
        <v>14.464375796086877</v>
      </c>
      <c r="AG39" s="55">
        <f t="shared" ca="1" si="22"/>
        <v>2.089975702996349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11.97963151020657</v>
      </c>
      <c r="AK39" s="55">
        <f t="shared" ca="1" si="19"/>
        <v>-10.147214039842737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45409</v>
      </c>
      <c r="S40" s="55">
        <f t="shared" ca="1" si="11"/>
        <v>45409</v>
      </c>
      <c r="T40" s="55">
        <f t="shared" ca="1" si="0"/>
        <v>67.748913478908236</v>
      </c>
      <c r="U40" s="55">
        <f t="shared" ca="1" si="1"/>
        <v>2.6048410138743985</v>
      </c>
      <c r="V40" s="55">
        <f t="shared" ca="1" si="2"/>
        <v>0</v>
      </c>
      <c r="W40" s="55">
        <f t="shared" ca="1" si="12"/>
        <v>-7.5747751354548498</v>
      </c>
      <c r="X40" s="55">
        <f t="shared" ca="1" si="13"/>
        <v>15.483559524038419</v>
      </c>
      <c r="Y40" s="55">
        <f t="shared" ca="1" si="14"/>
        <v>11.096925849289168</v>
      </c>
      <c r="Z40">
        <f t="shared" ca="1" si="3"/>
        <v>120</v>
      </c>
      <c r="AA40">
        <f t="shared" ca="1" si="15"/>
        <v>16.768477156429704</v>
      </c>
      <c r="AB40">
        <f t="shared" ca="1" si="4"/>
        <v>0</v>
      </c>
      <c r="AC40">
        <f t="shared" ca="1" si="5"/>
        <v>9.3452308299822925E-3</v>
      </c>
      <c r="AD40" s="83">
        <f ca="1"/>
        <v>45637</v>
      </c>
      <c r="AE40" s="55">
        <f t="shared" ca="1" si="20"/>
        <v>45637</v>
      </c>
      <c r="AF40" s="55">
        <f t="shared" ca="1" si="21"/>
        <v>14.777074226858678</v>
      </c>
      <c r="AG40" s="55">
        <f t="shared" ca="1" si="22"/>
        <v>2.1886096062101243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12.576701667061851</v>
      </c>
      <c r="AK40" s="55">
        <f t="shared" ca="1" si="19"/>
        <v>-10.332951862712441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45410</v>
      </c>
      <c r="S41" s="55">
        <f t="shared" ca="1" si="11"/>
        <v>45410</v>
      </c>
      <c r="T41" s="55">
        <f t="shared" ca="1" si="0"/>
        <v>68.384611353993449</v>
      </c>
      <c r="U41" s="55">
        <f t="shared" ca="1" si="1"/>
        <v>2.702923485952367</v>
      </c>
      <c r="V41" s="55">
        <f t="shared" ca="1" si="2"/>
        <v>0</v>
      </c>
      <c r="W41" s="55">
        <f t="shared" ca="1" si="12"/>
        <v>-8.1474329364599569</v>
      </c>
      <c r="X41" s="55">
        <f t="shared" ca="1" si="13"/>
        <v>16.128057461618397</v>
      </c>
      <c r="Y41" s="55">
        <f t="shared" ca="1" si="14"/>
        <v>11.75886605987748</v>
      </c>
      <c r="Z41">
        <f t="shared" ca="1" si="3"/>
        <v>120</v>
      </c>
      <c r="AA41">
        <f t="shared" ca="1" si="15"/>
        <v>17.958477156429701</v>
      </c>
      <c r="AB41">
        <f t="shared" ca="1" si="4"/>
        <v>0</v>
      </c>
      <c r="AC41">
        <f t="shared" ca="1" si="5"/>
        <v>9.9684211327432035E-3</v>
      </c>
      <c r="AD41" s="83">
        <f ca="1"/>
        <v>45638</v>
      </c>
      <c r="AE41" s="55">
        <f t="shared" ca="1" si="20"/>
        <v>45638</v>
      </c>
      <c r="AF41" s="55">
        <f t="shared" ca="1" si="21"/>
        <v>15.079584014903389</v>
      </c>
      <c r="AG41" s="55">
        <f t="shared" ca="1" si="22"/>
        <v>2.2904602477945568</v>
      </c>
      <c r="AH41" s="55">
        <f t="shared" ca="1" si="23"/>
        <v>0</v>
      </c>
      <c r="AI41" s="55">
        <f t="shared" ca="1" si="17"/>
        <v>0</v>
      </c>
      <c r="AJ41" s="55">
        <f t="shared" ca="1" si="18"/>
        <v>13.145025295337216</v>
      </c>
      <c r="AK41" s="55">
        <f t="shared" ca="1" si="19"/>
        <v>-10.496915061358663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45411</v>
      </c>
      <c r="S42" s="55">
        <f t="shared" ca="1" si="11"/>
        <v>45411</v>
      </c>
      <c r="T42" s="55">
        <f t="shared" ca="1" si="0"/>
        <v>68.251931710250204</v>
      </c>
      <c r="U42" s="55">
        <f t="shared" ca="1" si="1"/>
        <v>2.8004082425420838</v>
      </c>
      <c r="V42" s="55">
        <f t="shared" ca="1" si="2"/>
        <v>0</v>
      </c>
      <c r="W42" s="55">
        <f t="shared" ca="1" si="12"/>
        <v>-9.4442196389547117</v>
      </c>
      <c r="X42" s="55">
        <f t="shared" ca="1" si="13"/>
        <v>16.751219650789835</v>
      </c>
      <c r="Y42" s="55">
        <f t="shared" ca="1" si="14"/>
        <v>12.397295686047274</v>
      </c>
      <c r="Z42">
        <f t="shared" ca="1" si="3"/>
        <v>120</v>
      </c>
      <c r="AA42">
        <f t="shared" ca="1" si="15"/>
        <v>20.658477156429704</v>
      </c>
      <c r="AB42">
        <f t="shared" ca="1" si="4"/>
        <v>0</v>
      </c>
      <c r="AC42">
        <f t="shared" ca="1" si="5"/>
        <v>1.060452288967458E-2</v>
      </c>
      <c r="AD42" s="83">
        <f ca="1"/>
        <v>45639</v>
      </c>
      <c r="AE42" s="55">
        <f t="shared" ca="1" si="20"/>
        <v>45639</v>
      </c>
      <c r="AF42" s="55">
        <f t="shared" ca="1" si="21"/>
        <v>15.41026922921637</v>
      </c>
      <c r="AG42" s="55">
        <f t="shared" ca="1" si="22"/>
        <v>2.3964932943243089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13.727385057118225</v>
      </c>
      <c r="AK42" s="55">
        <f t="shared" ca="1" si="19"/>
        <v>-10.642556562296939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45412</v>
      </c>
      <c r="S43" s="55">
        <f t="shared" ca="1" si="11"/>
        <v>45412</v>
      </c>
      <c r="T43" s="55">
        <f t="shared" ca="1" si="0"/>
        <v>68.811744168231883</v>
      </c>
      <c r="U43" s="55">
        <f t="shared" ca="1" si="1"/>
        <v>2.9021459133889906</v>
      </c>
      <c r="V43" s="55">
        <f t="shared" ca="1" si="2"/>
        <v>0</v>
      </c>
      <c r="W43" s="55">
        <f t="shared" ca="1" si="12"/>
        <v>-10.04466582140047</v>
      </c>
      <c r="X43" s="55">
        <f t="shared" ca="1" si="13"/>
        <v>17.378084106443357</v>
      </c>
      <c r="Y43" s="55">
        <f t="shared" ca="1" si="14"/>
        <v>13.032427541668092</v>
      </c>
      <c r="Z43">
        <f t="shared" ca="1" si="3"/>
        <v>120</v>
      </c>
      <c r="AA43">
        <f t="shared" ca="1" si="15"/>
        <v>21.898477156429706</v>
      </c>
      <c r="AB43">
        <f t="shared" ca="1" si="4"/>
        <v>0</v>
      </c>
      <c r="AC43">
        <f t="shared" ca="1" si="5"/>
        <v>1.128593164717759E-2</v>
      </c>
      <c r="AD43" s="83">
        <f ca="1"/>
        <v>45640</v>
      </c>
      <c r="AE43" s="55">
        <f t="shared" ca="1" si="20"/>
        <v>45640</v>
      </c>
      <c r="AF43" s="55">
        <f t="shared" ca="1" si="21"/>
        <v>15.740681460003652</v>
      </c>
      <c r="AG43" s="55">
        <f t="shared" ca="1" si="22"/>
        <v>2.5063220911258766</v>
      </c>
      <c r="AH43" s="55">
        <f t="shared" ca="1" si="23"/>
        <v>0</v>
      </c>
      <c r="AI43" s="55">
        <f t="shared" ca="1" si="17"/>
        <v>0</v>
      </c>
      <c r="AJ43" s="55">
        <f t="shared" ca="1" si="18"/>
        <v>14.295607330886011</v>
      </c>
      <c r="AK43" s="55">
        <f t="shared" ca="1" si="19"/>
        <v>-10.770537808475876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45389</v>
      </c>
      <c r="C44" s="94" t="s">
        <v>150</v>
      </c>
      <c r="D44" s="96">
        <f ca="1">MAX(CurrentEstablishDate,C38:C43,MAX(C29:C34)+1)</f>
        <v>45509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45413</v>
      </c>
      <c r="S44" s="55">
        <f t="shared" ca="1" si="11"/>
        <v>45413</v>
      </c>
      <c r="T44" s="55">
        <f t="shared" ca="1" si="0"/>
        <v>67.749940234176407</v>
      </c>
      <c r="U44" s="55">
        <f t="shared" ca="1" si="1"/>
        <v>3.0064016689173978</v>
      </c>
      <c r="V44" s="55">
        <f t="shared" ca="1" si="2"/>
        <v>0</v>
      </c>
      <c r="W44" s="55">
        <f t="shared" ca="1" si="12"/>
        <v>-12.247291656124915</v>
      </c>
      <c r="X44" s="55">
        <f t="shared" ca="1" si="13"/>
        <v>17.999663695073963</v>
      </c>
      <c r="Y44" s="55">
        <f t="shared" ca="1" si="14"/>
        <v>13.655925609234867</v>
      </c>
      <c r="Z44">
        <f t="shared" ca="1" si="3"/>
        <v>120</v>
      </c>
      <c r="AA44">
        <f t="shared" ca="1" si="15"/>
        <v>26.518477156429704</v>
      </c>
      <c r="AB44">
        <f t="shared" ca="1" si="4"/>
        <v>0</v>
      </c>
      <c r="AC44">
        <f t="shared" ca="1" si="5"/>
        <v>1.2002589025265561E-2</v>
      </c>
      <c r="AD44" s="83">
        <f ca="1"/>
        <v>45641</v>
      </c>
      <c r="AE44" s="55">
        <f t="shared" ca="1" si="20"/>
        <v>45641</v>
      </c>
      <c r="AF44" s="55">
        <f t="shared" ca="1" si="21"/>
        <v>16.119391670934878</v>
      </c>
      <c r="AG44" s="55">
        <f t="shared" ca="1" si="22"/>
        <v>2.6218136428043075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14.903522627239747</v>
      </c>
      <c r="AK44" s="55">
        <f t="shared" ca="1" si="19"/>
        <v>-10.884251342219954</v>
      </c>
    </row>
    <row r="45" spans="1:37" s="55" customFormat="1">
      <c r="R45" s="83">
        <f ca="1"/>
        <v>45414</v>
      </c>
      <c r="S45" s="55">
        <f t="shared" ca="1" si="11"/>
        <v>45414</v>
      </c>
      <c r="T45" s="55">
        <f t="shared" ca="1" si="0"/>
        <v>68.522741596585675</v>
      </c>
      <c r="U45" s="55">
        <f t="shared" ca="1" si="1"/>
        <v>3.1130646489057789</v>
      </c>
      <c r="V45" s="55">
        <f t="shared" ca="1" si="2"/>
        <v>0</v>
      </c>
      <c r="W45" s="55">
        <f t="shared" ca="1" si="12"/>
        <v>-12.594473546880952</v>
      </c>
      <c r="X45" s="55">
        <f t="shared" ca="1" si="13"/>
        <v>18.615461373701983</v>
      </c>
      <c r="Y45" s="55">
        <f t="shared" ca="1" si="14"/>
        <v>14.26677416376052</v>
      </c>
      <c r="Z45">
        <f t="shared" ca="1" si="3"/>
        <v>120</v>
      </c>
      <c r="AA45">
        <f t="shared" ca="1" si="15"/>
        <v>27.23847715642971</v>
      </c>
      <c r="AB45">
        <f t="shared" ca="1" si="4"/>
        <v>0</v>
      </c>
      <c r="AC45">
        <f t="shared" ca="1" si="5"/>
        <v>1.2754820940806247E-2</v>
      </c>
      <c r="AD45" s="83">
        <f ca="1"/>
        <v>45642</v>
      </c>
      <c r="AE45" s="55">
        <f t="shared" ca="1" si="20"/>
        <v>45642</v>
      </c>
      <c r="AF45" s="55">
        <f t="shared" ca="1" si="21"/>
        <v>16.53229361277225</v>
      </c>
      <c r="AG45" s="55">
        <f t="shared" ca="1" si="22"/>
        <v>2.7428485733072248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15.537144216348512</v>
      </c>
      <c r="AK45" s="55">
        <f t="shared" ca="1" si="19"/>
        <v>-10.983936058988427</v>
      </c>
    </row>
    <row r="46" spans="1:37" s="55" customFormat="1" ht="15" thickBot="1">
      <c r="C46" s="129" t="s">
        <v>154</v>
      </c>
      <c r="D46" s="129"/>
      <c r="E46" s="129"/>
      <c r="F46" s="129"/>
      <c r="G46" s="129"/>
      <c r="H46" s="129"/>
      <c r="R46" s="83">
        <f ca="1"/>
        <v>45415</v>
      </c>
      <c r="S46" s="55">
        <f t="shared" ca="1" si="11"/>
        <v>45415</v>
      </c>
      <c r="T46" s="55">
        <f t="shared" ca="1" si="0"/>
        <v>69.417272148050756</v>
      </c>
      <c r="U46" s="55">
        <f t="shared" ca="1" si="1"/>
        <v>3.2200508062765505</v>
      </c>
      <c r="V46" s="55">
        <f t="shared" ca="1" si="2"/>
        <v>0</v>
      </c>
      <c r="W46" s="55">
        <f t="shared" ca="1" si="12"/>
        <v>-12.784985393776157</v>
      </c>
      <c r="X46" s="55">
        <f t="shared" ca="1" si="13"/>
        <v>19.216689911440874</v>
      </c>
      <c r="Y46" s="55">
        <f t="shared" ca="1" si="14"/>
        <v>14.857574181752687</v>
      </c>
      <c r="Z46">
        <f t="shared" ca="1" si="3"/>
        <v>120</v>
      </c>
      <c r="AA46">
        <f t="shared" ca="1" si="15"/>
        <v>27.62847715642971</v>
      </c>
      <c r="AB46">
        <f t="shared" ca="1" si="4"/>
        <v>0</v>
      </c>
      <c r="AC46">
        <f t="shared" ca="1" si="5"/>
        <v>1.3528431950854422E-2</v>
      </c>
      <c r="AD46" s="83">
        <f ca="1"/>
        <v>45643</v>
      </c>
      <c r="AE46" s="55">
        <f t="shared" ca="1" si="20"/>
        <v>45643</v>
      </c>
      <c r="AF46" s="55">
        <f t="shared" ca="1" si="21"/>
        <v>16.962390927602701</v>
      </c>
      <c r="AG46" s="55">
        <f t="shared" ca="1" si="22"/>
        <v>2.8671348476044991</v>
      </c>
      <c r="AH46" s="55">
        <f t="shared" ca="1" si="23"/>
        <v>0</v>
      </c>
      <c r="AI46" s="55">
        <f t="shared" ca="1" si="17"/>
        <v>0</v>
      </c>
      <c r="AJ46" s="55">
        <f t="shared" ca="1" si="18"/>
        <v>16.176088518209021</v>
      </c>
      <c r="AK46" s="55">
        <f t="shared" ca="1" si="19"/>
        <v>-11.068496771721211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274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45416</v>
      </c>
      <c r="S47" s="55">
        <f t="shared" ca="1" si="11"/>
        <v>45416</v>
      </c>
      <c r="T47" s="55">
        <f t="shared" ca="1" si="0"/>
        <v>69.872578583561804</v>
      </c>
      <c r="U47" s="55">
        <f t="shared" ca="1" si="1"/>
        <v>3.3318092218458655</v>
      </c>
      <c r="V47" s="55">
        <f t="shared" ca="1" si="2"/>
        <v>0</v>
      </c>
      <c r="W47" s="55">
        <f t="shared" ca="1" si="12"/>
        <v>-13.409439216450728</v>
      </c>
      <c r="X47" s="55">
        <f t="shared" ca="1" si="13"/>
        <v>19.822578160404962</v>
      </c>
      <c r="Y47" s="55">
        <f t="shared" ca="1" si="14"/>
        <v>15.443204606543524</v>
      </c>
      <c r="Z47">
        <f t="shared" ca="1" si="3"/>
        <v>120</v>
      </c>
      <c r="AA47">
        <f t="shared" ca="1" si="15"/>
        <v>28.898477156429706</v>
      </c>
      <c r="AB47">
        <f t="shared" ca="1" si="4"/>
        <v>0</v>
      </c>
      <c r="AC47">
        <f t="shared" ca="1" si="5"/>
        <v>1.4356730576076587E-2</v>
      </c>
      <c r="AD47" s="83">
        <f ca="1"/>
        <v>45644</v>
      </c>
      <c r="AE47" s="55">
        <f t="shared" ca="1" si="20"/>
        <v>45644</v>
      </c>
      <c r="AF47" s="55">
        <f t="shared" ca="1" si="21"/>
        <v>17.419733426150415</v>
      </c>
      <c r="AG47" s="55">
        <f t="shared" ca="1" si="22"/>
        <v>2.9983930704255082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16.837942170241821</v>
      </c>
      <c r="AK47" s="55">
        <f t="shared" ca="1" si="19"/>
        <v>-11.141749702385287</v>
      </c>
    </row>
    <row r="48" spans="1:37" s="55" customFormat="1">
      <c r="C48" s="61" t="s">
        <v>95</v>
      </c>
      <c r="D48" s="84" t="s">
        <v>56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45417</v>
      </c>
      <c r="S48" s="55">
        <f t="shared" ca="1" si="11"/>
        <v>45417</v>
      </c>
      <c r="T48" s="55">
        <f t="shared" ca="1" si="0"/>
        <v>70.132492071829517</v>
      </c>
      <c r="U48" s="55">
        <f t="shared" ca="1" si="1"/>
        <v>3.4494922403842119</v>
      </c>
      <c r="V48" s="55">
        <f t="shared" ca="1" si="2"/>
        <v>0</v>
      </c>
      <c r="W48" s="55">
        <f t="shared" ca="1" si="12"/>
        <v>-14.228690623837954</v>
      </c>
      <c r="X48" s="55">
        <f t="shared" ca="1" si="13"/>
        <v>20.436804667907378</v>
      </c>
      <c r="Y48" s="55">
        <f t="shared" ca="1" si="14"/>
        <v>16.02582601323439</v>
      </c>
      <c r="Z48">
        <f t="shared" ca="1" si="3"/>
        <v>120</v>
      </c>
      <c r="AA48">
        <f t="shared" ca="1" si="15"/>
        <v>30.55847715642971</v>
      </c>
      <c r="AB48">
        <f t="shared" ca="1" si="4"/>
        <v>0</v>
      </c>
      <c r="AC48">
        <f t="shared" ca="1" si="5"/>
        <v>1.5250951134814245E-2</v>
      </c>
      <c r="AD48" s="83">
        <f ca="1"/>
        <v>45645</v>
      </c>
      <c r="AE48" s="55">
        <f t="shared" ca="1" si="20"/>
        <v>45645</v>
      </c>
      <c r="AF48" s="55">
        <f t="shared" ca="1" si="21"/>
        <v>17.859183652950392</v>
      </c>
      <c r="AG48" s="55">
        <f t="shared" ca="1" si="22"/>
        <v>3.1378799534927544</v>
      </c>
      <c r="AH48" s="55">
        <f t="shared" ca="1" si="23"/>
        <v>0</v>
      </c>
      <c r="AI48" s="55">
        <f t="shared" ca="1" si="17"/>
        <v>0</v>
      </c>
      <c r="AJ48" s="55">
        <f t="shared" ca="1" si="18"/>
        <v>17.479552374551723</v>
      </c>
      <c r="AK48" s="55">
        <f t="shared" ca="1" si="19"/>
        <v>-11.204422796827966</v>
      </c>
    </row>
    <row r="49" spans="2:37" s="55" customFormat="1">
      <c r="C49" s="61" t="s">
        <v>96</v>
      </c>
      <c r="D49" s="84" t="str">
        <f>IF(E49="","General",E49)</f>
        <v>General</v>
      </c>
      <c r="E49" s="66" t="s">
        <v>29</v>
      </c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45418</v>
      </c>
      <c r="S49" s="55">
        <f t="shared" ca="1" si="11"/>
        <v>45418</v>
      </c>
      <c r="T49" s="55">
        <f t="shared" ca="1" si="0"/>
        <v>71.172794356267076</v>
      </c>
      <c r="U49" s="55">
        <f t="shared" ca="1" si="1"/>
        <v>3.5669569281702875</v>
      </c>
      <c r="V49" s="55">
        <f t="shared" ca="1" si="2"/>
        <v>0</v>
      </c>
      <c r="W49" s="55">
        <f t="shared" ca="1" si="12"/>
        <v>-14.228690623837954</v>
      </c>
      <c r="X49" s="55">
        <f t="shared" ca="1" si="13"/>
        <v>21.034424183803061</v>
      </c>
      <c r="Y49" s="55">
        <f t="shared" ca="1" si="14"/>
        <v>16.585973469562344</v>
      </c>
      <c r="Z49">
        <f t="shared" ca="1" si="3"/>
        <v>119.91111111111113</v>
      </c>
      <c r="AA49">
        <f t="shared" ca="1" si="15"/>
        <v>30.55847715642971</v>
      </c>
      <c r="AB49">
        <f t="shared" ca="1" si="4"/>
        <v>0</v>
      </c>
      <c r="AC49">
        <f t="shared" ca="1" si="5"/>
        <v>1.6165744130427723E-2</v>
      </c>
      <c r="AD49" s="83">
        <f ca="1"/>
        <v>45646</v>
      </c>
      <c r="AE49" s="55">
        <f t="shared" ca="1" si="20"/>
        <v>45646</v>
      </c>
      <c r="AF49" s="55">
        <f t="shared" ca="1" si="21"/>
        <v>18.311594353027242</v>
      </c>
      <c r="AG49" s="55">
        <f t="shared" ca="1" si="22"/>
        <v>3.2837576571207214</v>
      </c>
      <c r="AH49" s="55">
        <f t="shared" ca="1" si="23"/>
        <v>0</v>
      </c>
      <c r="AI49" s="55">
        <f t="shared" ca="1" si="17"/>
        <v>0</v>
      </c>
      <c r="AJ49" s="55">
        <f t="shared" ca="1" si="18"/>
        <v>18.129154131543807</v>
      </c>
      <c r="AK49" s="55">
        <f t="shared" ca="1" si="19"/>
        <v>-11.255736150115233</v>
      </c>
    </row>
    <row r="50" spans="2:37" s="55" customFormat="1">
      <c r="B50" s="90">
        <f>IF(PriorUnits="kg/head",PriorYield*PriorPopulation/1000,IF(PriorUnits="kg/ha",PriorYield/1000,PriorYield))</f>
        <v>7</v>
      </c>
      <c r="C50" s="64" t="s">
        <v>151</v>
      </c>
      <c r="D50" s="65" t="str">
        <f>PriorCropName&amp;" "&amp;PriorCropType&amp;" "&amp;PriorCropVariety</f>
        <v>Mustard Green manure General</v>
      </c>
      <c r="F50" s="56"/>
      <c r="R50" s="83">
        <f ca="1"/>
        <v>45419</v>
      </c>
      <c r="S50" s="55">
        <f t="shared" ca="1" si="11"/>
        <v>45419</v>
      </c>
      <c r="T50" s="55">
        <f t="shared" ca="1" si="0"/>
        <v>71.415260320457989</v>
      </c>
      <c r="U50" s="55">
        <f t="shared" ca="1" si="1"/>
        <v>3.6847436838983509</v>
      </c>
      <c r="V50" s="55">
        <f t="shared" ca="1" si="2"/>
        <v>0</v>
      </c>
      <c r="W50" s="55">
        <f t="shared" ca="1" si="12"/>
        <v>-14.993246310492138</v>
      </c>
      <c r="X50" s="55">
        <f t="shared" ca="1" si="13"/>
        <v>21.618755047029484</v>
      </c>
      <c r="Y50" s="55">
        <f t="shared" ca="1" si="14"/>
        <v>17.126451012909079</v>
      </c>
      <c r="Z50">
        <f t="shared" ca="1" si="3"/>
        <v>120</v>
      </c>
      <c r="AA50">
        <f t="shared" ca="1" si="15"/>
        <v>32.079824086530223</v>
      </c>
      <c r="AB50">
        <f t="shared" ca="1" si="4"/>
        <v>0</v>
      </c>
      <c r="AC50">
        <f t="shared" ca="1" si="5"/>
        <v>1.7105061790093922E-2</v>
      </c>
      <c r="AD50" s="83">
        <f ca="1"/>
        <v>45647</v>
      </c>
      <c r="AE50" s="55">
        <f t="shared" ca="1" si="20"/>
        <v>45647</v>
      </c>
      <c r="AF50" s="55">
        <f t="shared" ca="1" si="21"/>
        <v>18.747276837527536</v>
      </c>
      <c r="AG50" s="55">
        <f t="shared" ca="1" si="22"/>
        <v>3.4377517699296685</v>
      </c>
      <c r="AH50" s="55">
        <f t="shared" ca="1" si="23"/>
        <v>0</v>
      </c>
      <c r="AI50" s="55">
        <f t="shared" ca="1" si="17"/>
        <v>0</v>
      </c>
      <c r="AJ50" s="55">
        <f t="shared" ca="1" si="18"/>
        <v>18.75991622194956</v>
      </c>
      <c r="AK50" s="55">
        <f t="shared" ca="1" si="19"/>
        <v>-11.296821643211743</v>
      </c>
    </row>
    <row r="51" spans="2:37" s="55" customFormat="1">
      <c r="C51" s="61" t="s">
        <v>4</v>
      </c>
      <c r="D51" s="68">
        <f>IF(E51="",CurrentEstablishDate-60,E51)</f>
        <v>45262</v>
      </c>
      <c r="E51" s="67">
        <v>45262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45420</v>
      </c>
      <c r="S51" s="55">
        <f t="shared" ca="1" si="11"/>
        <v>45420</v>
      </c>
      <c r="T51" s="55">
        <f t="shared" ca="1" si="0"/>
        <v>72.074155294816833</v>
      </c>
      <c r="U51" s="55">
        <f t="shared" ca="1" si="1"/>
        <v>3.8003254920921443</v>
      </c>
      <c r="V51" s="55">
        <f t="shared" ca="1" si="2"/>
        <v>0</v>
      </c>
      <c r="W51" s="55">
        <f t="shared" ca="1" si="12"/>
        <v>-15.297559410625807</v>
      </c>
      <c r="X51" s="55">
        <f t="shared" ca="1" si="13"/>
        <v>22.182005821452385</v>
      </c>
      <c r="Y51" s="55">
        <f t="shared" ca="1" si="14"/>
        <v>17.641990121172483</v>
      </c>
      <c r="Z51">
        <f t="shared" ca="1" si="3"/>
        <v>120</v>
      </c>
      <c r="AA51">
        <f t="shared" ca="1" si="15"/>
        <v>32.679824086530218</v>
      </c>
      <c r="AB51">
        <f t="shared" ca="1" si="4"/>
        <v>0</v>
      </c>
      <c r="AC51">
        <f t="shared" ca="1" si="5"/>
        <v>1.8047955775277021E-2</v>
      </c>
      <c r="AD51" s="83">
        <f ca="1"/>
        <v>45648</v>
      </c>
      <c r="AE51" s="55">
        <f t="shared" ca="1" si="20"/>
        <v>45648</v>
      </c>
      <c r="AF51" s="55">
        <f t="shared" ca="1" si="21"/>
        <v>19.15684098995871</v>
      </c>
      <c r="AG51" s="55">
        <f t="shared" ca="1" si="22"/>
        <v>3.5952657906369696</v>
      </c>
      <c r="AH51" s="55">
        <f t="shared" ca="1" si="23"/>
        <v>0</v>
      </c>
      <c r="AI51" s="55">
        <f t="shared" ca="1" si="17"/>
        <v>0</v>
      </c>
      <c r="AJ51" s="55">
        <f t="shared" ca="1" si="18"/>
        <v>19.357254172209426</v>
      </c>
      <c r="AK51" s="55">
        <f t="shared" ca="1" si="19"/>
        <v>-11.327081420333137</v>
      </c>
    </row>
    <row r="52" spans="2:37" s="55" customFormat="1">
      <c r="C52" s="61" t="s">
        <v>5</v>
      </c>
      <c r="D52" s="68">
        <f>IF(E52="",CurrentEstablishDate-15,E52)</f>
        <v>45387</v>
      </c>
      <c r="E52" s="67">
        <v>45387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45421</v>
      </c>
      <c r="S52" s="55">
        <f t="shared" ca="1" si="11"/>
        <v>45421</v>
      </c>
      <c r="T52" s="55">
        <f t="shared" ca="1" si="0"/>
        <v>72.270509646727277</v>
      </c>
      <c r="U52" s="55">
        <f t="shared" ca="1" si="1"/>
        <v>3.921413233888726</v>
      </c>
      <c r="V52" s="55">
        <f t="shared" ca="1" si="2"/>
        <v>0</v>
      </c>
      <c r="W52" s="55">
        <f t="shared" ca="1" si="12"/>
        <v>-16.060414790230151</v>
      </c>
      <c r="X52" s="55">
        <f t="shared" ca="1" si="13"/>
        <v>22.751730494123585</v>
      </c>
      <c r="Y52" s="55">
        <f t="shared" ca="1" si="14"/>
        <v>18.15256292181266</v>
      </c>
      <c r="Z52">
        <f t="shared" ca="1" si="3"/>
        <v>120</v>
      </c>
      <c r="AA52">
        <f t="shared" ca="1" si="15"/>
        <v>34.179824086530218</v>
      </c>
      <c r="AB52">
        <f t="shared" ca="1" si="4"/>
        <v>0</v>
      </c>
      <c r="AC52">
        <f t="shared" ca="1" si="5"/>
        <v>1.9057961966144621E-2</v>
      </c>
      <c r="AD52" s="83">
        <f ca="1"/>
        <v>45649</v>
      </c>
      <c r="AE52" s="55">
        <f t="shared" ca="1" si="20"/>
        <v>45649</v>
      </c>
      <c r="AF52" s="55">
        <f t="shared" ca="1" si="21"/>
        <v>19.575617668678344</v>
      </c>
      <c r="AG52" s="55">
        <f t="shared" ca="1" si="22"/>
        <v>3.7612502083002428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19.963444701093174</v>
      </c>
      <c r="AK52" s="55">
        <f t="shared" ca="1" si="19"/>
        <v>-11.348510852833975</v>
      </c>
    </row>
    <row r="53" spans="2:37" s="55" customFormat="1">
      <c r="B53" s="55">
        <f>PriorHarvestDate-PriorEstablishDate</f>
        <v>125</v>
      </c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45422</v>
      </c>
      <c r="S53" s="55">
        <f t="shared" ca="1" si="11"/>
        <v>45422</v>
      </c>
      <c r="T53" s="55">
        <f t="shared" ca="1" si="0"/>
        <v>72.928376358371153</v>
      </c>
      <c r="U53" s="55">
        <f t="shared" ca="1" si="1"/>
        <v>4.0507462447642792</v>
      </c>
      <c r="V53" s="55">
        <f t="shared" ca="1" si="2"/>
        <v>0</v>
      </c>
      <c r="W53" s="55">
        <f t="shared" ca="1" si="12"/>
        <v>-16.368334601521052</v>
      </c>
      <c r="X53" s="55">
        <f t="shared" ca="1" si="13"/>
        <v>23.336061357350008</v>
      </c>
      <c r="Y53" s="55">
        <f t="shared" ca="1" si="14"/>
        <v>18.663351592396562</v>
      </c>
      <c r="Z53">
        <f t="shared" ca="1" si="3"/>
        <v>120</v>
      </c>
      <c r="AA53">
        <f t="shared" ca="1" si="15"/>
        <v>34.779824086530219</v>
      </c>
      <c r="AB53">
        <f t="shared" ca="1" si="4"/>
        <v>0</v>
      </c>
      <c r="AC53">
        <f t="shared" ca="1" si="5"/>
        <v>2.0161499674722489E-2</v>
      </c>
      <c r="AD53" s="83">
        <f ca="1"/>
        <v>45650</v>
      </c>
      <c r="AE53" s="55">
        <f t="shared" ca="1" si="20"/>
        <v>45650</v>
      </c>
      <c r="AF53" s="55">
        <f t="shared" ca="1" si="21"/>
        <v>20.027564561069735</v>
      </c>
      <c r="AG53" s="55">
        <f t="shared" ca="1" si="22"/>
        <v>3.9373329005919699</v>
      </c>
      <c r="AH53" s="55">
        <f t="shared" ca="1" si="23"/>
        <v>0</v>
      </c>
      <c r="AI53" s="55">
        <f t="shared" ca="1" si="17"/>
        <v>0</v>
      </c>
      <c r="AJ53" s="55">
        <f t="shared" ca="1" si="18"/>
        <v>20.60449579181644</v>
      </c>
      <c r="AK53" s="55">
        <f t="shared" ca="1" si="19"/>
        <v>-11.361532358874118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7</v>
      </c>
      <c r="E54" s="69">
        <v>7</v>
      </c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45423</v>
      </c>
      <c r="S54" s="55">
        <f t="shared" ca="1" si="11"/>
        <v>45423</v>
      </c>
      <c r="T54" s="55">
        <f t="shared" ca="1" si="0"/>
        <v>72.886431055749057</v>
      </c>
      <c r="U54" s="55">
        <f t="shared" ca="1" si="1"/>
        <v>4.1893486471540928</v>
      </c>
      <c r="V54" s="55">
        <f t="shared" ca="1" si="2"/>
        <v>0</v>
      </c>
      <c r="W54" s="55">
        <f t="shared" ca="1" si="12"/>
        <v>-17.383885540897825</v>
      </c>
      <c r="X54" s="55">
        <f t="shared" ca="1" si="13"/>
        <v>23.936773506593767</v>
      </c>
      <c r="Y54" s="55">
        <f t="shared" ca="1" si="14"/>
        <v>19.17484748229727</v>
      </c>
      <c r="Z54">
        <f t="shared" ca="1" si="3"/>
        <v>120</v>
      </c>
      <c r="AA54">
        <f t="shared" ca="1" si="15"/>
        <v>36.759824086530223</v>
      </c>
      <c r="AB54">
        <f t="shared" ca="1" si="4"/>
        <v>0</v>
      </c>
      <c r="AC54">
        <f t="shared" ca="1" si="5"/>
        <v>2.1372122536390498E-2</v>
      </c>
      <c r="AD54" s="83">
        <f ca="1"/>
        <v>45651</v>
      </c>
      <c r="AE54" s="55">
        <f t="shared" ca="1" si="20"/>
        <v>45651</v>
      </c>
      <c r="AF54" s="55">
        <f t="shared" ca="1" si="21"/>
        <v>20.433212704451076</v>
      </c>
      <c r="AG54" s="55">
        <f t="shared" ca="1" si="22"/>
        <v>4.1183784906929768</v>
      </c>
      <c r="AH54" s="55">
        <f t="shared" ca="1" si="23"/>
        <v>0</v>
      </c>
      <c r="AI54" s="55">
        <f t="shared" ca="1" si="17"/>
        <v>0</v>
      </c>
      <c r="AJ54" s="55">
        <f t="shared" ca="1" si="18"/>
        <v>21.195939305590439</v>
      </c>
      <c r="AK54" s="55">
        <f t="shared" ca="1" si="19"/>
        <v>-11.366282139165769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45424</v>
      </c>
      <c r="S55" s="55">
        <f t="shared" ca="1" si="11"/>
        <v>45424</v>
      </c>
      <c r="T55" s="55">
        <f t="shared" ca="1" si="0"/>
        <v>73.001478013410349</v>
      </c>
      <c r="U55" s="55">
        <f t="shared" ca="1" si="1"/>
        <v>4.3313156114683427</v>
      </c>
      <c r="V55" s="55">
        <f t="shared" ca="1" si="2"/>
        <v>0</v>
      </c>
      <c r="W55" s="55">
        <f t="shared" ca="1" si="12"/>
        <v>-18.221239531296092</v>
      </c>
      <c r="X55" s="55">
        <f t="shared" ca="1" si="13"/>
        <v>24.533364314666681</v>
      </c>
      <c r="Y55" s="55">
        <f t="shared" ca="1" si="14"/>
        <v>19.672624586598165</v>
      </c>
      <c r="Z55">
        <f t="shared" ca="1" si="3"/>
        <v>120</v>
      </c>
      <c r="AA55">
        <f t="shared" ca="1" si="15"/>
        <v>38.389824086530226</v>
      </c>
      <c r="AB55">
        <f t="shared" ca="1" si="4"/>
        <v>0</v>
      </c>
      <c r="AC55">
        <f t="shared" ca="1" si="5"/>
        <v>2.2641721650499689E-2</v>
      </c>
      <c r="AD55" s="83">
        <f ca="1"/>
        <v>45652</v>
      </c>
      <c r="AE55" s="55">
        <f t="shared" ca="1" si="20"/>
        <v>45652</v>
      </c>
      <c r="AF55" s="55">
        <f t="shared" ca="1" si="21"/>
        <v>20.821377056991459</v>
      </c>
      <c r="AG55" s="55">
        <f t="shared" ca="1" si="22"/>
        <v>4.3083705476482583</v>
      </c>
      <c r="AH55" s="55">
        <f t="shared" ca="1" si="23"/>
        <v>0</v>
      </c>
      <c r="AI55" s="55">
        <f t="shared" ca="1" si="17"/>
        <v>0</v>
      </c>
      <c r="AJ55" s="55">
        <f t="shared" ca="1" si="18"/>
        <v>21.771428626902814</v>
      </c>
      <c r="AK55" s="55">
        <f t="shared" ca="1" si="19"/>
        <v>-11.363615050982482</v>
      </c>
    </row>
    <row r="56" spans="2:37" s="55" customFormat="1">
      <c r="C56" s="64" t="str">
        <f>"Yield "&amp;ROUND(PriorYield_tperHa,0)&amp;" (t/ha)"</f>
        <v>Yield 7 (t/ha)</v>
      </c>
      <c r="D56" s="90" t="str">
        <f ca="1">"Previous crop residues are providing "&amp;ROUND('Model Interface'!M5,0)&amp;" kg N/ha to the current crop"</f>
        <v>Previous crop residues are providing 36 kg N/ha to the current crop</v>
      </c>
      <c r="R56" s="83">
        <f ca="1"/>
        <v>45425</v>
      </c>
      <c r="S56" s="55">
        <f t="shared" ca="1" si="11"/>
        <v>45425</v>
      </c>
      <c r="T56" s="55">
        <f t="shared" ca="1" si="0"/>
        <v>73.292006008876882</v>
      </c>
      <c r="U56" s="55">
        <f t="shared" ca="1" si="1"/>
        <v>4.4724452245557256</v>
      </c>
      <c r="V56" s="55">
        <f t="shared" ca="1" si="2"/>
        <v>0</v>
      </c>
      <c r="W56" s="55">
        <f t="shared" ca="1" si="12"/>
        <v>-18.845307389867973</v>
      </c>
      <c r="X56" s="55">
        <f t="shared" ca="1" si="13"/>
        <v>25.11313789845217</v>
      </c>
      <c r="Y56" s="55">
        <f t="shared" ca="1" si="14"/>
        <v>20.148576469938458</v>
      </c>
      <c r="Z56">
        <f t="shared" ca="1" si="3"/>
        <v>120</v>
      </c>
      <c r="AA56">
        <f t="shared" ca="1" si="15"/>
        <v>39.599824086530226</v>
      </c>
      <c r="AB56">
        <f t="shared" ca="1" si="4"/>
        <v>0</v>
      </c>
      <c r="AC56">
        <f t="shared" ca="1" si="5"/>
        <v>2.3933067516537634E-2</v>
      </c>
      <c r="AD56" s="83">
        <f ca="1"/>
        <v>45653</v>
      </c>
      <c r="AE56" s="55">
        <f t="shared" ca="1" si="20"/>
        <v>45653</v>
      </c>
      <c r="AF56" s="55">
        <f t="shared" ca="1" si="21"/>
        <v>21.200622958451749</v>
      </c>
      <c r="AG56" s="55">
        <f t="shared" ca="1" si="22"/>
        <v>4.516362555880665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22.348313063871363</v>
      </c>
      <c r="AK56" s="55">
        <f t="shared" ca="1" si="19"/>
        <v>-11.353261578258333</v>
      </c>
    </row>
    <row r="57" spans="2:37" s="55" customFormat="1" ht="15" thickBot="1">
      <c r="C57" s="129" t="s">
        <v>155</v>
      </c>
      <c r="D57" s="129"/>
      <c r="E57" s="129"/>
      <c r="F57" s="129"/>
      <c r="G57" s="129"/>
      <c r="H57" s="129"/>
      <c r="R57" s="83">
        <f ca="1"/>
        <v>45426</v>
      </c>
      <c r="S57" s="55">
        <f t="shared" ca="1" si="11"/>
        <v>45426</v>
      </c>
      <c r="T57" s="55">
        <f t="shared" ca="1" si="0"/>
        <v>72.989641519195899</v>
      </c>
      <c r="U57" s="55">
        <f t="shared" ca="1" si="1"/>
        <v>4.6167081137226011</v>
      </c>
      <c r="V57" s="55">
        <f t="shared" ca="1" si="2"/>
        <v>0</v>
      </c>
      <c r="W57" s="55">
        <f t="shared" ca="1" si="12"/>
        <v>-20.04206717877716</v>
      </c>
      <c r="X57" s="55">
        <f t="shared" ca="1" si="13"/>
        <v>25.688878952072077</v>
      </c>
      <c r="Y57" s="55">
        <f t="shared" ca="1" si="14"/>
        <v>20.611493604713633</v>
      </c>
      <c r="Z57">
        <f t="shared" ca="1" si="3"/>
        <v>120</v>
      </c>
      <c r="AA57">
        <f t="shared" ca="1" si="15"/>
        <v>41.929824086530225</v>
      </c>
      <c r="AB57">
        <f t="shared" ca="1" si="4"/>
        <v>0</v>
      </c>
      <c r="AC57">
        <f t="shared" ca="1" si="5"/>
        <v>2.5282753057522318E-2</v>
      </c>
      <c r="AD57" s="83">
        <f ca="1"/>
        <v>45654</v>
      </c>
      <c r="AE57" s="55">
        <f t="shared" ca="1" si="20"/>
        <v>45654</v>
      </c>
      <c r="AF57" s="55">
        <f t="shared" ca="1" si="21"/>
        <v>21.587895245677547</v>
      </c>
      <c r="AG57" s="55">
        <f t="shared" ca="1" si="22"/>
        <v>4.7382493396508467</v>
      </c>
      <c r="AH57" s="55">
        <f t="shared" ca="1" si="23"/>
        <v>0</v>
      </c>
      <c r="AI57" s="55">
        <f t="shared" ca="1" si="17"/>
        <v>0</v>
      </c>
      <c r="AJ57" s="55">
        <f t="shared" ca="1" si="18"/>
        <v>22.939456779195321</v>
      </c>
      <c r="AK57" s="55">
        <f t="shared" ca="1" si="19"/>
        <v>-11.335246222586314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45427</v>
      </c>
      <c r="S58" s="55">
        <f t="shared" ca="1" si="11"/>
        <v>45427</v>
      </c>
      <c r="T58" s="55">
        <f t="shared" ca="1" si="0"/>
        <v>72.673020223290195</v>
      </c>
      <c r="U58" s="55">
        <f t="shared" ca="1" si="1"/>
        <v>4.7657297550632975</v>
      </c>
      <c r="V58" s="55">
        <f t="shared" ca="1" si="2"/>
        <v>0</v>
      </c>
      <c r="W58" s="55">
        <f t="shared" ca="1" si="12"/>
        <v>-21.238749578454005</v>
      </c>
      <c r="X58" s="55">
        <f t="shared" ca="1" si="13"/>
        <v>26.26512312615522</v>
      </c>
      <c r="Y58" s="55">
        <f t="shared" ca="1" si="14"/>
        <v>21.064332175742319</v>
      </c>
      <c r="Z58">
        <f t="shared" ca="1" si="3"/>
        <v>120</v>
      </c>
      <c r="AA58">
        <f t="shared" ca="1" si="15"/>
        <v>44.269824086530228</v>
      </c>
      <c r="AB58">
        <f t="shared" ca="1" si="4"/>
        <v>0</v>
      </c>
      <c r="AC58">
        <f t="shared" ca="1" si="5"/>
        <v>2.6707970716833708E-2</v>
      </c>
      <c r="AD58" s="83">
        <f ca="1"/>
        <v>45655</v>
      </c>
      <c r="AE58" s="55">
        <f t="shared" ca="1" si="20"/>
        <v>45655</v>
      </c>
      <c r="AF58" s="55">
        <f t="shared" ca="1" si="21"/>
        <v>21.988900272989664</v>
      </c>
      <c r="AG58" s="55">
        <f t="shared" ca="1" si="22"/>
        <v>4.9678098520543355</v>
      </c>
      <c r="AH58" s="55">
        <f t="shared" ca="1" si="23"/>
        <v>0</v>
      </c>
      <c r="AI58" s="55">
        <f t="shared" ca="1" si="17"/>
        <v>0</v>
      </c>
      <c r="AJ58" s="55">
        <f t="shared" ca="1" si="18"/>
        <v>23.545523339438468</v>
      </c>
      <c r="AK58" s="55">
        <f t="shared" ca="1" si="19"/>
        <v>-11.310747243113855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45428</v>
      </c>
      <c r="S59" s="55">
        <f t="shared" ca="1" si="11"/>
        <v>45428</v>
      </c>
      <c r="T59" s="55">
        <f t="shared" ca="1" si="0"/>
        <v>72.402782431886877</v>
      </c>
      <c r="U59" s="55">
        <f t="shared" ca="1" si="1"/>
        <v>4.9120689489622595</v>
      </c>
      <c r="V59" s="55">
        <f t="shared" ca="1" si="2"/>
        <v>0</v>
      </c>
      <c r="W59" s="55">
        <f t="shared" ca="1" si="12"/>
        <v>-22.349461892649838</v>
      </c>
      <c r="X59" s="55">
        <f t="shared" ca="1" si="13"/>
        <v>26.821452943033055</v>
      </c>
      <c r="Y59" s="55">
        <f t="shared" ca="1" si="14"/>
        <v>21.494816075555967</v>
      </c>
      <c r="Z59">
        <f t="shared" ca="1" si="3"/>
        <v>120</v>
      </c>
      <c r="AA59">
        <f t="shared" ca="1" si="15"/>
        <v>46.449824086530228</v>
      </c>
      <c r="AB59">
        <f t="shared" ca="1" si="4"/>
        <v>0</v>
      </c>
      <c r="AC59">
        <f t="shared" ca="1" si="5"/>
        <v>2.8137722031985817E-2</v>
      </c>
      <c r="AD59" s="83">
        <f ca="1"/>
        <v>45656</v>
      </c>
      <c r="AE59" s="55">
        <f t="shared" ca="1" si="20"/>
        <v>45656</v>
      </c>
      <c r="AF59" s="55">
        <f t="shared" ca="1" si="21"/>
        <v>22.465194391406058</v>
      </c>
      <c r="AG59" s="55">
        <f t="shared" ca="1" si="22"/>
        <v>5.203484044500498</v>
      </c>
      <c r="AH59" s="55">
        <f t="shared" ca="1" si="23"/>
        <v>0</v>
      </c>
      <c r="AI59" s="55">
        <f t="shared" ca="1" si="17"/>
        <v>0</v>
      </c>
      <c r="AJ59" s="55">
        <f t="shared" ca="1" si="18"/>
        <v>24.227607283294041</v>
      </c>
      <c r="AK59" s="55">
        <f t="shared" ca="1" si="19"/>
        <v>-11.28086287610687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45429</v>
      </c>
      <c r="S60" s="55">
        <f t="shared" ca="1" si="11"/>
        <v>45429</v>
      </c>
      <c r="T60" s="55">
        <f t="shared" ca="1" si="0"/>
        <v>72.184571026670056</v>
      </c>
      <c r="U60" s="55">
        <f t="shared" ca="1" si="1"/>
        <v>5.0601551077699609</v>
      </c>
      <c r="V60" s="55">
        <f t="shared" ca="1" si="2"/>
        <v>0</v>
      </c>
      <c r="W60" s="55">
        <f t="shared" ca="1" si="12"/>
        <v>-23.385711512277148</v>
      </c>
      <c r="X60" s="55">
        <f t="shared" ca="1" si="13"/>
        <v>27.370914548508448</v>
      </c>
      <c r="Y60" s="55">
        <f t="shared" ca="1" si="14"/>
        <v>21.911478843298756</v>
      </c>
      <c r="Z60">
        <f t="shared" ca="1" si="3"/>
        <v>120</v>
      </c>
      <c r="AA60">
        <f t="shared" ca="1" si="15"/>
        <v>48.489824086530227</v>
      </c>
      <c r="AB60">
        <f t="shared" ca="1" si="4"/>
        <v>0</v>
      </c>
      <c r="AC60">
        <f t="shared" ca="1" si="5"/>
        <v>2.9614511044700691E-2</v>
      </c>
      <c r="AD60" s="83">
        <f ca="1"/>
        <v>45657</v>
      </c>
      <c r="AE60" s="55">
        <f t="shared" ca="1" si="20"/>
        <v>45657</v>
      </c>
      <c r="AF60" s="55">
        <f t="shared" ca="1" si="21"/>
        <v>22.913007801165552</v>
      </c>
      <c r="AG60" s="55">
        <f t="shared" ca="1" si="22"/>
        <v>5.4483564781647891</v>
      </c>
      <c r="AH60" s="55">
        <f t="shared" ca="1" si="23"/>
        <v>0</v>
      </c>
      <c r="AI60" s="55">
        <f t="shared" ca="1" si="17"/>
        <v>0</v>
      </c>
      <c r="AJ60" s="55">
        <f t="shared" ca="1" si="18"/>
        <v>24.88528319593868</v>
      </c>
      <c r="AK60" s="55">
        <f t="shared" ca="1" si="19"/>
        <v>-11.245852945327723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45430</v>
      </c>
      <c r="S61" s="55">
        <f t="shared" ca="1" si="11"/>
        <v>45430</v>
      </c>
      <c r="T61" s="55">
        <f t="shared" ca="1" si="0"/>
        <v>73.016591462233919</v>
      </c>
      <c r="U61" s="55">
        <f t="shared" ca="1" si="1"/>
        <v>5.2220596999167599</v>
      </c>
      <c r="V61" s="55">
        <f t="shared" ca="1" si="2"/>
        <v>0</v>
      </c>
      <c r="W61" s="55">
        <f t="shared" ca="1" si="12"/>
        <v>-23.385711512277148</v>
      </c>
      <c r="X61" s="55">
        <f t="shared" ca="1" si="13"/>
        <v>27.944144051605246</v>
      </c>
      <c r="Y61" s="55">
        <f t="shared" ca="1" si="14"/>
        <v>22.332174367912621</v>
      </c>
      <c r="Z61">
        <f t="shared" ca="1" si="3"/>
        <v>119.17777777777778</v>
      </c>
      <c r="AA61">
        <f t="shared" ca="1" si="15"/>
        <v>48.489824086530227</v>
      </c>
      <c r="AB61">
        <f t="shared" ca="1" si="4"/>
        <v>0</v>
      </c>
      <c r="AC61">
        <f t="shared" ca="1" si="5"/>
        <v>3.1263038513740578E-2</v>
      </c>
      <c r="AD61" s="83">
        <f ca="1"/>
        <v>45658</v>
      </c>
      <c r="AE61" s="55">
        <f t="shared" ca="1" si="20"/>
        <v>45658</v>
      </c>
      <c r="AF61" s="55">
        <f t="shared" ca="1" si="21"/>
        <v>23.338115285723831</v>
      </c>
      <c r="AG61" s="55">
        <f t="shared" ca="1" si="22"/>
        <v>5.7037063498280505</v>
      </c>
      <c r="AH61" s="55">
        <f t="shared" ca="1" si="23"/>
        <v>0</v>
      </c>
      <c r="AI61" s="55">
        <f t="shared" ca="1" si="17"/>
        <v>0</v>
      </c>
      <c r="AJ61" s="55">
        <f t="shared" ca="1" si="18"/>
        <v>25.525946996387756</v>
      </c>
      <c r="AK61" s="55">
        <f t="shared" ca="1" si="19"/>
        <v>-11.206059389555261</v>
      </c>
    </row>
    <row r="62" spans="2:37" s="55" customFormat="1">
      <c r="C62" s="61" t="s">
        <v>4</v>
      </c>
      <c r="D62" s="68">
        <f>IF(E62="",CurrentHarvestDate+15,E62)</f>
        <v>45629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45431</v>
      </c>
      <c r="S62" s="55">
        <f t="shared" ca="1" si="11"/>
        <v>45431</v>
      </c>
      <c r="T62" s="55">
        <f t="shared" ca="1" si="0"/>
        <v>72.105442734195066</v>
      </c>
      <c r="U62" s="55">
        <f t="shared" ca="1" si="1"/>
        <v>5.3880366380138645</v>
      </c>
      <c r="V62" s="55">
        <f t="shared" ca="1" si="2"/>
        <v>0</v>
      </c>
      <c r="W62" s="55">
        <f t="shared" ca="1" si="12"/>
        <v>-25.110735421248606</v>
      </c>
      <c r="X62" s="55">
        <f t="shared" ca="1" si="13"/>
        <v>28.514868754795469</v>
      </c>
      <c r="Y62" s="55">
        <f t="shared" ca="1" si="14"/>
        <v>22.741301783752096</v>
      </c>
      <c r="Z62">
        <f t="shared" ca="1" si="3"/>
        <v>120</v>
      </c>
      <c r="AA62">
        <f t="shared" ca="1" si="15"/>
        <v>51.889497776097592</v>
      </c>
      <c r="AB62">
        <f t="shared" ca="1" si="4"/>
        <v>0</v>
      </c>
      <c r="AC62">
        <f t="shared" ca="1" si="5"/>
        <v>3.2989195412943664E-2</v>
      </c>
      <c r="AD62" s="83">
        <f ca="1"/>
        <v>45659</v>
      </c>
      <c r="AE62" s="55">
        <f t="shared" ca="1" si="20"/>
        <v>45659</v>
      </c>
      <c r="AF62" s="55">
        <f t="shared" ca="1" si="21"/>
        <v>23.732201102867435</v>
      </c>
      <c r="AG62" s="55">
        <f t="shared" ca="1" si="22"/>
        <v>5.97641892729688</v>
      </c>
      <c r="AH62" s="55">
        <f t="shared" ca="1" si="23"/>
        <v>0</v>
      </c>
      <c r="AI62" s="55">
        <f t="shared" ca="1" si="17"/>
        <v>0</v>
      </c>
      <c r="AJ62" s="55">
        <f t="shared" ca="1" si="18"/>
        <v>26.147239776912109</v>
      </c>
      <c r="AK62" s="55">
        <f t="shared" ca="1" si="19"/>
        <v>-11.160553775467179</v>
      </c>
    </row>
    <row r="63" spans="2:37" s="55" customFormat="1">
      <c r="C63" s="61" t="s">
        <v>5</v>
      </c>
      <c r="D63" s="68">
        <f>IF(E63="",FollowingEstablishDate+120,E63)</f>
        <v>45749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45432</v>
      </c>
      <c r="S63" s="55">
        <f t="shared" ca="1" si="11"/>
        <v>45432</v>
      </c>
      <c r="T63" s="55">
        <f t="shared" ca="1" si="0"/>
        <v>71.089725913355011</v>
      </c>
      <c r="U63" s="55">
        <f t="shared" ca="1" si="1"/>
        <v>5.5652586319202522</v>
      </c>
      <c r="V63" s="55">
        <f t="shared" ca="1" si="2"/>
        <v>0</v>
      </c>
      <c r="W63" s="55">
        <f t="shared" ca="1" si="12"/>
        <v>-26.94169080643924</v>
      </c>
      <c r="X63" s="55">
        <f t="shared" ca="1" si="13"/>
        <v>29.1002153225662</v>
      </c>
      <c r="Y63" s="55">
        <f t="shared" ca="1" si="14"/>
        <v>23.148415774238334</v>
      </c>
      <c r="Z63">
        <f t="shared" ca="1" si="3"/>
        <v>120</v>
      </c>
      <c r="AA63">
        <f t="shared" ca="1" si="15"/>
        <v>55.549497776097596</v>
      </c>
      <c r="AB63">
        <f t="shared" ca="1" si="4"/>
        <v>0</v>
      </c>
      <c r="AC63">
        <f t="shared" ca="1" si="5"/>
        <v>3.4871979122080198E-2</v>
      </c>
      <c r="AD63" s="83">
        <f ca="1"/>
        <v>45660</v>
      </c>
      <c r="AE63" s="55">
        <f t="shared" ca="1" si="20"/>
        <v>45660</v>
      </c>
      <c r="AF63" s="55">
        <f t="shared" ca="1" si="21"/>
        <v>24.078430213371675</v>
      </c>
      <c r="AG63" s="55">
        <f t="shared" ca="1" si="22"/>
        <v>6.2588732584040709</v>
      </c>
      <c r="AH63" s="55">
        <f t="shared" ca="1" si="23"/>
        <v>0</v>
      </c>
      <c r="AI63" s="55">
        <f t="shared" ca="1" si="17"/>
        <v>0</v>
      </c>
      <c r="AJ63" s="55">
        <f t="shared" ca="1" si="18"/>
        <v>26.72671644010979</v>
      </c>
      <c r="AK63" s="55">
        <f t="shared" ca="1" si="19"/>
        <v>-11.111346997053431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45433</v>
      </c>
      <c r="S64" s="55">
        <f t="shared" ca="1" si="11"/>
        <v>45433</v>
      </c>
      <c r="T64" s="55">
        <f t="shared" ca="1" si="0"/>
        <v>70.214325654497983</v>
      </c>
      <c r="U64" s="55">
        <f t="shared" ca="1" si="1"/>
        <v>5.7367544038053966</v>
      </c>
      <c r="V64" s="55">
        <f t="shared" ca="1" si="2"/>
        <v>0</v>
      </c>
      <c r="W64" s="55">
        <f t="shared" ca="1" si="12"/>
        <v>-28.587046504276312</v>
      </c>
      <c r="X64" s="55">
        <f t="shared" ca="1" si="13"/>
        <v>29.659010851024171</v>
      </c>
      <c r="Y64" s="55">
        <f t="shared" ca="1" si="14"/>
        <v>23.531071456645549</v>
      </c>
      <c r="Z64">
        <f t="shared" ca="1" si="3"/>
        <v>120</v>
      </c>
      <c r="AA64">
        <f t="shared" ca="1" si="15"/>
        <v>58.879497776097601</v>
      </c>
      <c r="AB64">
        <f t="shared" ca="1" si="4"/>
        <v>0</v>
      </c>
      <c r="AC64">
        <f t="shared" ca="1" si="5"/>
        <v>3.6732208493494858E-2</v>
      </c>
      <c r="AD64" s="83">
        <f ca="1"/>
        <v>45661</v>
      </c>
      <c r="AE64" s="55">
        <f t="shared" ca="1" si="20"/>
        <v>45661</v>
      </c>
      <c r="AF64" s="55">
        <f t="shared" ca="1" si="21"/>
        <v>24.391923854362883</v>
      </c>
      <c r="AG64" s="55">
        <f t="shared" ca="1" si="22"/>
        <v>6.5583349517866365</v>
      </c>
      <c r="AH64" s="55">
        <f t="shared" ca="1" si="23"/>
        <v>0</v>
      </c>
      <c r="AI64" s="55">
        <f t="shared" ca="1" si="17"/>
        <v>0</v>
      </c>
      <c r="AJ64" s="55">
        <f t="shared" ca="1" si="18"/>
        <v>27.285666175950603</v>
      </c>
      <c r="AK64" s="55">
        <f t="shared" ca="1" si="19"/>
        <v>-11.057341398520471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45434</v>
      </c>
      <c r="S65" s="55">
        <f t="shared" ca="1" si="11"/>
        <v>45434</v>
      </c>
      <c r="T65" s="55">
        <f t="shared" ca="1" si="0"/>
        <v>67.917405629576777</v>
      </c>
      <c r="U65" s="55">
        <f t="shared" ca="1" si="1"/>
        <v>5.9080993106644009</v>
      </c>
      <c r="V65" s="55">
        <f t="shared" ca="1" si="2"/>
        <v>0</v>
      </c>
      <c r="W65" s="55">
        <f t="shared" ca="1" si="12"/>
        <v>-31.626727725120034</v>
      </c>
      <c r="X65" s="55">
        <f t="shared" ca="1" si="13"/>
        <v>30.206032292156099</v>
      </c>
      <c r="Y65" s="55">
        <f t="shared" ca="1" si="14"/>
        <v>23.89815611829513</v>
      </c>
      <c r="Z65">
        <f t="shared" ca="1" si="3"/>
        <v>120</v>
      </c>
      <c r="AA65">
        <f t="shared" ca="1" si="15"/>
        <v>65.239497776097593</v>
      </c>
      <c r="AB65">
        <f t="shared" ca="1" si="4"/>
        <v>0</v>
      </c>
      <c r="AC65">
        <f t="shared" ca="1" si="5"/>
        <v>3.8627682857562018E-2</v>
      </c>
      <c r="AD65" s="83">
        <f ca="1"/>
        <v>45662</v>
      </c>
      <c r="AE65" s="55">
        <f t="shared" ca="1" si="20"/>
        <v>45662</v>
      </c>
      <c r="AF65" s="55">
        <f t="shared" ca="1" si="21"/>
        <v>24.659473495403113</v>
      </c>
      <c r="AG65" s="55">
        <f t="shared" ca="1" si="22"/>
        <v>6.8643967043849301</v>
      </c>
      <c r="AH65" s="55">
        <f t="shared" ca="1" si="23"/>
        <v>0</v>
      </c>
      <c r="AI65" s="55">
        <f t="shared" ca="1" si="17"/>
        <v>0</v>
      </c>
      <c r="AJ65" s="55">
        <f t="shared" ca="1" si="18"/>
        <v>27.803281276167553</v>
      </c>
      <c r="AK65" s="55">
        <f t="shared" ca="1" si="19"/>
        <v>-11.001345105098899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45435</v>
      </c>
      <c r="S66" s="55">
        <f t="shared" ca="1" si="11"/>
        <v>45435</v>
      </c>
      <c r="T66" s="55">
        <f t="shared" ca="1" si="0"/>
        <v>66.841072638444899</v>
      </c>
      <c r="U66" s="55">
        <f t="shared" ca="1" si="1"/>
        <v>6.0828578445542565</v>
      </c>
      <c r="V66" s="55">
        <f t="shared" ca="1" si="2"/>
        <v>0</v>
      </c>
      <c r="W66" s="55">
        <f t="shared" ca="1" si="12"/>
        <v>-33.428218412490267</v>
      </c>
      <c r="X66" s="55">
        <f t="shared" ca="1" si="13"/>
        <v>30.749648782743055</v>
      </c>
      <c r="Y66" s="55">
        <f t="shared" ca="1" si="14"/>
        <v>24.254455857836387</v>
      </c>
      <c r="Z66">
        <f t="shared" ca="1" si="3"/>
        <v>120</v>
      </c>
      <c r="AA66">
        <f t="shared" ca="1" si="15"/>
        <v>69.069497776097592</v>
      </c>
      <c r="AB66">
        <f t="shared" ca="1" si="4"/>
        <v>0</v>
      </c>
      <c r="AC66">
        <f t="shared" ca="1" si="5"/>
        <v>4.0598162835183034E-2</v>
      </c>
      <c r="AD66" s="83">
        <f ca="1"/>
        <v>45663</v>
      </c>
      <c r="AE66" s="55">
        <f t="shared" ca="1" si="20"/>
        <v>45663</v>
      </c>
      <c r="AF66" s="55">
        <f t="shared" ca="1" si="21"/>
        <v>24.899860308965469</v>
      </c>
      <c r="AG66" s="55">
        <f t="shared" ca="1" si="22"/>
        <v>7.1857421717832999</v>
      </c>
      <c r="AH66" s="55">
        <f t="shared" ca="1" si="23"/>
        <v>0</v>
      </c>
      <c r="AI66" s="55">
        <f t="shared" ca="1" si="17"/>
        <v>0</v>
      </c>
      <c r="AJ66" s="55">
        <f t="shared" ca="1" si="18"/>
        <v>28.305535949260829</v>
      </c>
      <c r="AK66" s="55">
        <f t="shared" ca="1" si="19"/>
        <v>-10.941867497231449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155 kg N/ha</v>
      </c>
      <c r="R67" s="83">
        <f ca="1"/>
        <v>45436</v>
      </c>
      <c r="S67" s="55">
        <f t="shared" ca="1" si="11"/>
        <v>45436</v>
      </c>
      <c r="T67" s="55">
        <f t="shared" ca="1" si="0"/>
        <v>65.505617085750202</v>
      </c>
      <c r="U67" s="55">
        <f t="shared" ca="1" si="1"/>
        <v>6.2692612448365406</v>
      </c>
      <c r="V67" s="55">
        <f t="shared" ca="1" si="2"/>
        <v>0</v>
      </c>
      <c r="W67" s="55">
        <f t="shared" ca="1" si="12"/>
        <v>-35.48873398993203</v>
      </c>
      <c r="X67" s="55">
        <f t="shared" ca="1" si="13"/>
        <v>31.306964076718589</v>
      </c>
      <c r="Y67" s="55">
        <f t="shared" ca="1" si="14"/>
        <v>24.608603988890206</v>
      </c>
      <c r="Z67">
        <f t="shared" ca="1" si="3"/>
        <v>120</v>
      </c>
      <c r="AA67">
        <f t="shared" ca="1" si="15"/>
        <v>73.539497776097591</v>
      </c>
      <c r="AB67">
        <f t="shared" ca="1" si="4"/>
        <v>0</v>
      </c>
      <c r="AC67">
        <f t="shared" ca="1" si="5"/>
        <v>4.274056721622653E-2</v>
      </c>
      <c r="AD67" s="83">
        <f ca="1"/>
        <v>45664</v>
      </c>
      <c r="AE67" s="55">
        <f t="shared" ca="1" si="20"/>
        <v>45664</v>
      </c>
      <c r="AF67" s="55">
        <f t="shared" ca="1" si="21"/>
        <v>25.121244690253732</v>
      </c>
      <c r="AG67" s="55">
        <f t="shared" ca="1" si="22"/>
        <v>7.5301198361657464</v>
      </c>
      <c r="AH67" s="55">
        <f t="shared" ca="1" si="23"/>
        <v>0</v>
      </c>
      <c r="AI67" s="55">
        <f t="shared" ca="1" si="17"/>
        <v>0</v>
      </c>
      <c r="AJ67" s="55">
        <f t="shared" ca="1" si="18"/>
        <v>28.806959950968782</v>
      </c>
      <c r="AK67" s="55">
        <f t="shared" ca="1" si="19"/>
        <v>-10.877529453268689</v>
      </c>
    </row>
    <row r="68" spans="2:37" ht="15" thickBot="1">
      <c r="C68" s="131" t="s">
        <v>186</v>
      </c>
      <c r="D68" s="131"/>
      <c r="E68" s="131"/>
      <c r="F68" s="131"/>
      <c r="G68" s="131"/>
      <c r="H68" s="131"/>
      <c r="R68" s="83">
        <f ca="1"/>
        <v>45437</v>
      </c>
      <c r="S68" s="55">
        <f t="shared" ca="1" si="11"/>
        <v>45437</v>
      </c>
      <c r="T68" s="55">
        <f t="shared" ca="1" si="0"/>
        <v>63.785037095411198</v>
      </c>
      <c r="U68" s="55">
        <f t="shared" ca="1" si="1"/>
        <v>6.4709529403938149</v>
      </c>
      <c r="V68" s="55">
        <f t="shared" ca="1" si="2"/>
        <v>0</v>
      </c>
      <c r="W68" s="55">
        <f t="shared" ca="1" si="12"/>
        <v>-37.939496859664601</v>
      </c>
      <c r="X68" s="55">
        <f t="shared" ca="1" si="13"/>
        <v>31.884215302292542</v>
      </c>
      <c r="Y68" s="55">
        <f t="shared" ca="1" si="14"/>
        <v>24.963227338267085</v>
      </c>
      <c r="Z68">
        <f t="shared" ca="1" si="3"/>
        <v>120</v>
      </c>
      <c r="AA68">
        <f t="shared" ca="1" si="15"/>
        <v>78.999497776097584</v>
      </c>
      <c r="AB68">
        <f t="shared" ca="1" si="4"/>
        <v>0</v>
      </c>
      <c r="AC68">
        <f t="shared" ca="1" si="5"/>
        <v>4.5104908671332516E-2</v>
      </c>
      <c r="AD68" s="83">
        <f ca="1"/>
        <v>45665</v>
      </c>
      <c r="AE68" s="55">
        <f t="shared" ca="1" si="20"/>
        <v>45665</v>
      </c>
      <c r="AF68" s="55">
        <f t="shared" ca="1" si="21"/>
        <v>25.332422228008763</v>
      </c>
      <c r="AG68" s="55">
        <f t="shared" ca="1" si="22"/>
        <v>7.8946469829049848</v>
      </c>
      <c r="AH68" s="55">
        <f t="shared" ca="1" si="23"/>
        <v>0</v>
      </c>
      <c r="AI68" s="55">
        <f t="shared" ca="1" si="17"/>
        <v>0</v>
      </c>
      <c r="AJ68" s="55">
        <f t="shared" ca="1" si="18"/>
        <v>29.314557377198351</v>
      </c>
      <c r="AK68" s="55">
        <f t="shared" ca="1" si="19"/>
        <v>-10.809422195003989</v>
      </c>
    </row>
    <row r="69" spans="2:37">
      <c r="C69" s="61"/>
      <c r="D69" s="88"/>
      <c r="E69" s="99"/>
      <c r="R69" s="83">
        <f ca="1"/>
        <v>45438</v>
      </c>
      <c r="S69" s="55">
        <f t="shared" ca="1" si="11"/>
        <v>45438</v>
      </c>
      <c r="T69" s="55">
        <f t="shared" ca="1" si="0"/>
        <v>63.211029520250392</v>
      </c>
      <c r="U69" s="55">
        <f t="shared" ca="1" si="1"/>
        <v>6.6634850863948198</v>
      </c>
      <c r="V69" s="55">
        <f t="shared" ca="1" si="2"/>
        <v>0</v>
      </c>
      <c r="W69" s="55">
        <f t="shared" ca="1" si="12"/>
        <v>-39.198332806814179</v>
      </c>
      <c r="X69" s="55">
        <f t="shared" ca="1" si="13"/>
        <v>32.430749516408689</v>
      </c>
      <c r="Y69" s="55">
        <f t="shared" ca="1" si="14"/>
        <v>25.2940536421407</v>
      </c>
      <c r="Z69">
        <f t="shared" ca="1" si="3"/>
        <v>120</v>
      </c>
      <c r="AA69">
        <f t="shared" ca="1" si="15"/>
        <v>81.829497776097583</v>
      </c>
      <c r="AB69">
        <f t="shared" ca="1" si="4"/>
        <v>0</v>
      </c>
      <c r="AC69">
        <f t="shared" ca="1" si="5"/>
        <v>4.7405696116920269E-2</v>
      </c>
      <c r="AD69" s="83">
        <f ca="1"/>
        <v>45666</v>
      </c>
      <c r="AE69" s="55">
        <f t="shared" ca="1" si="20"/>
        <v>45666</v>
      </c>
      <c r="AF69" s="55">
        <f t="shared" ca="1" si="21"/>
        <v>25.534510343876921</v>
      </c>
      <c r="AG69" s="55">
        <f t="shared" ca="1" si="22"/>
        <v>8.2808025865973391</v>
      </c>
      <c r="AH69" s="55">
        <f t="shared" ca="1" si="23"/>
        <v>0</v>
      </c>
      <c r="AI69" s="55">
        <f t="shared" ca="1" si="17"/>
        <v>0</v>
      </c>
      <c r="AJ69" s="55">
        <f t="shared" ca="1" si="18"/>
        <v>29.831036796102033</v>
      </c>
      <c r="AK69" s="55">
        <f t="shared" ca="1" si="19"/>
        <v>-10.737657894347159</v>
      </c>
    </row>
    <row r="70" spans="2:37">
      <c r="C70" s="61"/>
      <c r="D70" s="84"/>
      <c r="E70" s="69"/>
      <c r="R70" s="83">
        <f ca="1"/>
        <v>45439</v>
      </c>
      <c r="S70" s="55">
        <f t="shared" ca="1" si="11"/>
        <v>45439</v>
      </c>
      <c r="T70" s="55">
        <f t="shared" ca="1" si="0"/>
        <v>62.819885871689792</v>
      </c>
      <c r="U70" s="55">
        <f t="shared" ca="1" si="1"/>
        <v>6.8428767776836574</v>
      </c>
      <c r="V70" s="55">
        <f t="shared" ca="1" si="2"/>
        <v>0</v>
      </c>
      <c r="W70" s="55">
        <f t="shared" ca="1" si="12"/>
        <v>-40.228346268865927</v>
      </c>
      <c r="X70" s="55">
        <f t="shared" ca="1" si="13"/>
        <v>32.942439598278398</v>
      </c>
      <c r="Y70" s="55">
        <f t="shared" ca="1" si="14"/>
        <v>25.600625065050977</v>
      </c>
      <c r="Z70">
        <f t="shared" ca="1" si="3"/>
        <v>120</v>
      </c>
      <c r="AA70">
        <f t="shared" ca="1" si="15"/>
        <v>84.159497776097595</v>
      </c>
      <c r="AB70">
        <f t="shared" ca="1" si="4"/>
        <v>0</v>
      </c>
      <c r="AC70">
        <f t="shared" ca="1" si="5"/>
        <v>4.958711025657709E-2</v>
      </c>
      <c r="AD70" s="83">
        <f ca="1"/>
        <v>45667</v>
      </c>
      <c r="AE70" s="55">
        <f t="shared" ca="1" si="20"/>
        <v>45667</v>
      </c>
      <c r="AF70" s="55">
        <f t="shared" ca="1" si="21"/>
        <v>25.692842570256886</v>
      </c>
      <c r="AG70" s="55">
        <f t="shared" ca="1" si="22"/>
        <v>8.6815180082088084</v>
      </c>
      <c r="AH70" s="55">
        <f t="shared" ca="1" si="23"/>
        <v>0</v>
      </c>
      <c r="AI70" s="55">
        <f t="shared" ca="1" si="17"/>
        <v>0</v>
      </c>
      <c r="AJ70" s="55">
        <f t="shared" ca="1" si="18"/>
        <v>30.316806256146108</v>
      </c>
      <c r="AK70" s="55">
        <f t="shared" ca="1" si="19"/>
        <v>-10.664379706399799</v>
      </c>
    </row>
    <row r="71" spans="2:37">
      <c r="C71" s="61"/>
      <c r="D71" s="84"/>
      <c r="E71" s="69"/>
      <c r="R71" s="83">
        <f ca="1"/>
        <v>45440</v>
      </c>
      <c r="S71" s="55">
        <f t="shared" ca="1" si="11"/>
        <v>45440</v>
      </c>
      <c r="T71" s="55">
        <f t="shared" ca="1" si="0"/>
        <v>61.898319153804998</v>
      </c>
      <c r="U71" s="55">
        <f t="shared" ca="1" si="1"/>
        <v>7.0172570605133409</v>
      </c>
      <c r="V71" s="55">
        <f t="shared" ca="1" si="2"/>
        <v>0</v>
      </c>
      <c r="W71" s="55">
        <f t="shared" ca="1" si="12"/>
        <v>-41.761590559609068</v>
      </c>
      <c r="X71" s="55">
        <f t="shared" ca="1" si="13"/>
        <v>33.43701168318433</v>
      </c>
      <c r="Y71" s="55">
        <f t="shared" ca="1" si="14"/>
        <v>25.892110835833073</v>
      </c>
      <c r="Z71">
        <f t="shared" ca="1" si="3"/>
        <v>120</v>
      </c>
      <c r="AA71">
        <f t="shared" ca="1" si="15"/>
        <v>87.679497776097605</v>
      </c>
      <c r="AB71">
        <f t="shared" ca="1" si="4"/>
        <v>0</v>
      </c>
      <c r="AC71">
        <f t="shared" ca="1" si="5"/>
        <v>5.1741651135361798E-2</v>
      </c>
      <c r="AD71" s="83">
        <f ca="1"/>
        <v>45668</v>
      </c>
      <c r="AE71" s="55">
        <f t="shared" ca="1" si="20"/>
        <v>45668</v>
      </c>
      <c r="AF71" s="55">
        <f t="shared" ca="1" si="21"/>
        <v>25.806064418973715</v>
      </c>
      <c r="AG71" s="55">
        <f t="shared" ca="1" si="22"/>
        <v>9.0947500448230443</v>
      </c>
      <c r="AH71" s="55">
        <f t="shared" ca="1" si="23"/>
        <v>0</v>
      </c>
      <c r="AI71" s="55">
        <f t="shared" ca="1" si="17"/>
        <v>0</v>
      </c>
      <c r="AJ71" s="55">
        <f t="shared" ca="1" si="18"/>
        <v>30.771588582555985</v>
      </c>
      <c r="AK71" s="55">
        <f t="shared" ca="1" si="19"/>
        <v>-10.592708147478611</v>
      </c>
    </row>
    <row r="72" spans="2:37">
      <c r="C72" s="61"/>
      <c r="D72" s="84">
        <v>120</v>
      </c>
      <c r="E72" s="69">
        <v>120</v>
      </c>
      <c r="R72" s="83">
        <f ca="1"/>
        <v>45441</v>
      </c>
      <c r="S72" s="55">
        <f t="shared" ca="1" si="11"/>
        <v>45441</v>
      </c>
      <c r="T72" s="55">
        <f t="shared" ca="1" si="0"/>
        <v>60.769727435975817</v>
      </c>
      <c r="U72" s="55">
        <f t="shared" ca="1" si="1"/>
        <v>7.2040542060993289</v>
      </c>
      <c r="V72" s="55">
        <f t="shared" ca="1" si="2"/>
        <v>0</v>
      </c>
      <c r="W72" s="55">
        <f t="shared" ca="1" si="12"/>
        <v>-43.50208056798833</v>
      </c>
      <c r="X72" s="55">
        <f t="shared" ca="1" si="13"/>
        <v>33.945435311471016</v>
      </c>
      <c r="Y72" s="55">
        <f t="shared" ca="1" si="14"/>
        <v>26.182382643682455</v>
      </c>
      <c r="Z72">
        <f t="shared" ca="1" si="3"/>
        <v>120</v>
      </c>
      <c r="AA72">
        <f t="shared" ca="1" si="15"/>
        <v>91.749497776097598</v>
      </c>
      <c r="AB72">
        <f t="shared" ca="1" si="4"/>
        <v>0</v>
      </c>
      <c r="AC72">
        <f t="shared" ca="1" si="5"/>
        <v>5.4086054623650417E-2</v>
      </c>
      <c r="AD72" s="83">
        <f ca="1"/>
        <v>45669</v>
      </c>
      <c r="AE72" s="55">
        <f t="shared" ca="1" si="20"/>
        <v>45669</v>
      </c>
      <c r="AF72" s="55">
        <f t="shared" ca="1" si="21"/>
        <v>25.87706183630775</v>
      </c>
      <c r="AG72" s="55">
        <f t="shared" ca="1" si="22"/>
        <v>9.5296789412216079</v>
      </c>
      <c r="AH72" s="55">
        <f t="shared" ca="1" si="23"/>
        <v>0</v>
      </c>
      <c r="AI72" s="55">
        <f t="shared" ca="1" si="17"/>
        <v>0</v>
      </c>
      <c r="AJ72" s="55">
        <f t="shared" ca="1" si="18"/>
        <v>31.209207570602963</v>
      </c>
      <c r="AK72" s="55">
        <f t="shared" ca="1" si="19"/>
        <v>-10.524400821792995</v>
      </c>
    </row>
    <row r="73" spans="2:37">
      <c r="R73" s="83">
        <f ca="1"/>
        <v>45442</v>
      </c>
      <c r="S73" s="55">
        <f t="shared" ca="1" si="11"/>
        <v>45442</v>
      </c>
      <c r="T73" s="55">
        <f t="shared" ca="1" si="0"/>
        <v>59.580830687239391</v>
      </c>
      <c r="U73" s="55">
        <f t="shared" ca="1" si="1"/>
        <v>7.3876849775958604</v>
      </c>
      <c r="V73" s="55">
        <f t="shared" ca="1" si="2"/>
        <v>0</v>
      </c>
      <c r="W73" s="55">
        <f t="shared" ca="1" si="12"/>
        <v>-45.279796019900928</v>
      </c>
      <c r="X73" s="55">
        <f t="shared" ca="1" si="13"/>
        <v>34.440465265558188</v>
      </c>
      <c r="Y73" s="55">
        <f t="shared" ca="1" si="14"/>
        <v>26.45980216426798</v>
      </c>
      <c r="Z73">
        <f t="shared" ca="1" si="3"/>
        <v>120</v>
      </c>
      <c r="AA73">
        <f t="shared" ca="1" si="15"/>
        <v>95.989497776097608</v>
      </c>
      <c r="AB73">
        <f t="shared" ca="1" si="4"/>
        <v>0</v>
      </c>
      <c r="AC73">
        <f t="shared" ca="1" si="5"/>
        <v>5.6426650378636811E-2</v>
      </c>
      <c r="AD73" s="83">
        <f ca="1"/>
        <v>45670</v>
      </c>
      <c r="AE73" s="55">
        <f t="shared" ca="1" si="20"/>
        <v>45670</v>
      </c>
      <c r="AF73" s="55">
        <f t="shared" ca="1" si="21"/>
        <v>25.940065716015692</v>
      </c>
      <c r="AG73" s="55">
        <f t="shared" ca="1" si="22"/>
        <v>9.9884858610688383</v>
      </c>
      <c r="AH73" s="55">
        <f t="shared" ca="1" si="23"/>
        <v>0</v>
      </c>
      <c r="AI73" s="55">
        <f t="shared" ca="1" si="17"/>
        <v>0</v>
      </c>
      <c r="AJ73" s="55">
        <f t="shared" ca="1" si="18"/>
        <v>31.658821782718338</v>
      </c>
      <c r="AK73" s="55">
        <f t="shared" ca="1" si="19"/>
        <v>-10.452204234353196</v>
      </c>
    </row>
    <row r="74" spans="2:37">
      <c r="R74" s="83">
        <f ca="1"/>
        <v>45443</v>
      </c>
      <c r="S74" s="55">
        <f t="shared" ca="1" si="11"/>
        <v>45443</v>
      </c>
      <c r="T74" s="55">
        <f t="shared" ca="1" si="0"/>
        <v>58.964277179864766</v>
      </c>
      <c r="U74" s="55">
        <f t="shared" ca="1" si="1"/>
        <v>7.5767257632849994</v>
      </c>
      <c r="V74" s="55">
        <f t="shared" ca="1" si="2"/>
        <v>0</v>
      </c>
      <c r="W74" s="55">
        <f t="shared" ca="1" si="12"/>
        <v>-46.474805370746189</v>
      </c>
      <c r="X74" s="55">
        <f t="shared" ca="1" si="13"/>
        <v>34.93687041809315</v>
      </c>
      <c r="Y74" s="55">
        <f t="shared" ca="1" si="14"/>
        <v>26.730893640892791</v>
      </c>
      <c r="Z74">
        <f t="shared" ca="1" si="3"/>
        <v>120</v>
      </c>
      <c r="AA74">
        <f t="shared" ca="1" si="15"/>
        <v>98.869497776097603</v>
      </c>
      <c r="AB74">
        <f t="shared" ca="1" si="4"/>
        <v>0</v>
      </c>
      <c r="AC74">
        <f t="shared" ca="1" si="5"/>
        <v>5.8872557624017018E-2</v>
      </c>
      <c r="AD74" s="83">
        <f ca="1"/>
        <v>45671</v>
      </c>
      <c r="AE74" s="55">
        <f t="shared" ca="1" si="20"/>
        <v>45671</v>
      </c>
      <c r="AF74" s="55">
        <f t="shared" ca="1" si="21"/>
        <v>25.971533393343829</v>
      </c>
      <c r="AG74" s="55">
        <f t="shared" ca="1" si="22"/>
        <v>10.474128393127312</v>
      </c>
      <c r="AH74" s="55">
        <f t="shared" ca="1" si="23"/>
        <v>0</v>
      </c>
      <c r="AI74" s="55">
        <f t="shared" ca="1" si="17"/>
        <v>0</v>
      </c>
      <c r="AJ74" s="55">
        <f t="shared" ca="1" si="18"/>
        <v>32.104560812492565</v>
      </c>
      <c r="AK74" s="55">
        <f t="shared" ca="1" si="19"/>
        <v>-10.380833054740812</v>
      </c>
    </row>
    <row r="75" spans="2:37">
      <c r="R75" s="83">
        <f ca="1"/>
        <v>45444</v>
      </c>
      <c r="S75" s="55">
        <f t="shared" ca="1" si="11"/>
        <v>45444</v>
      </c>
      <c r="T75" s="55">
        <f t="shared" ca="1" si="0"/>
        <v>57.971410409778557</v>
      </c>
      <c r="U75" s="55">
        <f t="shared" ca="1" si="1"/>
        <v>7.7658355080123336</v>
      </c>
      <c r="V75" s="55">
        <f t="shared" ca="1" si="2"/>
        <v>0</v>
      </c>
      <c r="W75" s="55">
        <f t="shared" ca="1" si="12"/>
        <v>-48.029083296510585</v>
      </c>
      <c r="X75" s="55">
        <f t="shared" ca="1" si="13"/>
        <v>35.425968740294017</v>
      </c>
      <c r="Y75" s="55">
        <f t="shared" ca="1" si="14"/>
        <v>26.99231621909744</v>
      </c>
      <c r="Z75">
        <f t="shared" ca="1" si="3"/>
        <v>120</v>
      </c>
      <c r="AA75">
        <f t="shared" ca="1" si="15"/>
        <v>102.67949777609761</v>
      </c>
      <c r="AB75">
        <f t="shared" ca="1" si="4"/>
        <v>0</v>
      </c>
      <c r="AC75">
        <f t="shared" ca="1" si="5"/>
        <v>6.1355389203838283E-2</v>
      </c>
      <c r="AD75" s="83">
        <f ca="1"/>
        <v>45672</v>
      </c>
      <c r="AE75" s="55">
        <f t="shared" ca="1" si="20"/>
        <v>45672</v>
      </c>
      <c r="AF75" s="55">
        <f t="shared" ca="1" si="21"/>
        <v>25.954624232622365</v>
      </c>
      <c r="AG75" s="55">
        <f t="shared" ca="1" si="22"/>
        <v>10.981314494240499</v>
      </c>
      <c r="AH75" s="55">
        <f t="shared" ca="1" si="23"/>
        <v>0</v>
      </c>
      <c r="AI75" s="55">
        <f t="shared" ca="1" si="17"/>
        <v>0</v>
      </c>
      <c r="AJ75" s="55">
        <f t="shared" ca="1" si="18"/>
        <v>32.528756272856739</v>
      </c>
      <c r="AK75" s="55">
        <f t="shared" ca="1" si="19"/>
        <v>-10.314751574713267</v>
      </c>
    </row>
    <row r="76" spans="2:37">
      <c r="R76" s="83">
        <f ca="1"/>
        <v>45445</v>
      </c>
      <c r="S76" s="55">
        <f t="shared" ca="1" si="11"/>
        <v>45445</v>
      </c>
      <c r="T76" s="55">
        <f t="shared" ca="1" si="0"/>
        <v>57.97396425585714</v>
      </c>
      <c r="U76" s="55">
        <f t="shared" ca="1" si="1"/>
        <v>7.9435146095252112</v>
      </c>
      <c r="V76" s="55">
        <f t="shared" ca="1" si="2"/>
        <v>0</v>
      </c>
      <c r="W76" s="55">
        <f t="shared" ca="1" si="12"/>
        <v>-48.559437710258614</v>
      </c>
      <c r="X76" s="55">
        <f t="shared" ca="1" si="13"/>
        <v>35.890905900039371</v>
      </c>
      <c r="Y76" s="55">
        <f t="shared" ca="1" si="14"/>
        <v>27.237966420691574</v>
      </c>
      <c r="Z76">
        <f t="shared" ca="1" si="3"/>
        <v>120</v>
      </c>
      <c r="AA76">
        <f t="shared" ca="1" si="15"/>
        <v>103.97949777609762</v>
      </c>
      <c r="AB76">
        <f t="shared" ca="1" si="4"/>
        <v>0</v>
      </c>
      <c r="AC76">
        <f t="shared" ca="1" si="5"/>
        <v>6.3720205546995076E-2</v>
      </c>
      <c r="AD76" s="83">
        <f ca="1"/>
        <v>45673</v>
      </c>
      <c r="AE76" s="55">
        <f t="shared" ca="1" si="20"/>
        <v>45673</v>
      </c>
      <c r="AF76" s="55">
        <f t="shared" ca="1" si="21"/>
        <v>25.915718321649294</v>
      </c>
      <c r="AG76" s="55">
        <f t="shared" ca="1" si="22"/>
        <v>11.511129496088504</v>
      </c>
      <c r="AH76" s="55">
        <f t="shared" ca="1" si="23"/>
        <v>0</v>
      </c>
      <c r="AI76" s="55">
        <f t="shared" ca="1" si="17"/>
        <v>0</v>
      </c>
      <c r="AJ76" s="55">
        <f t="shared" ca="1" si="18"/>
        <v>32.952815921875754</v>
      </c>
      <c r="AK76" s="55">
        <f t="shared" ca="1" si="19"/>
        <v>-10.247902132857348</v>
      </c>
    </row>
    <row r="77" spans="2:37">
      <c r="R77" s="83">
        <f ca="1"/>
        <v>45446</v>
      </c>
      <c r="S77" s="55">
        <f t="shared" ca="1" si="11"/>
        <v>45446</v>
      </c>
      <c r="T77" s="55">
        <f t="shared" ca="1" si="0"/>
        <v>57.275051394682933</v>
      </c>
      <c r="U77" s="55">
        <f t="shared" ca="1" si="1"/>
        <v>8.128480962882751</v>
      </c>
      <c r="V77" s="55">
        <f t="shared" ca="1" si="2"/>
        <v>0</v>
      </c>
      <c r="W77" s="55">
        <f t="shared" ca="1" si="12"/>
        <v>-49.784699550464872</v>
      </c>
      <c r="X77" s="55">
        <f t="shared" ca="1" si="13"/>
        <v>36.360702455309955</v>
      </c>
      <c r="Y77" s="55">
        <f t="shared" ca="1" si="14"/>
        <v>27.479485197810575</v>
      </c>
      <c r="Z77">
        <f t="shared" ca="1" si="3"/>
        <v>120</v>
      </c>
      <c r="AA77">
        <f t="shared" ca="1" si="15"/>
        <v>107.01949777609762</v>
      </c>
      <c r="AB77">
        <f t="shared" ca="1" si="4"/>
        <v>0</v>
      </c>
      <c r="AC77">
        <f t="shared" ca="1" si="5"/>
        <v>6.6214217807569323E-2</v>
      </c>
      <c r="AD77" s="83">
        <f ca="1"/>
        <v>45674</v>
      </c>
      <c r="AE77" s="55">
        <f t="shared" ca="1" si="20"/>
        <v>45674</v>
      </c>
      <c r="AF77" s="55">
        <f t="shared" ca="1" si="21"/>
        <v>25.851145352597658</v>
      </c>
      <c r="AG77" s="55">
        <f t="shared" ca="1" si="22"/>
        <v>12.058349524809739</v>
      </c>
      <c r="AH77" s="55">
        <f t="shared" ca="1" si="23"/>
        <v>0</v>
      </c>
      <c r="AI77" s="55">
        <f t="shared" ca="1" si="17"/>
        <v>0</v>
      </c>
      <c r="AJ77" s="55">
        <f t="shared" ca="1" si="18"/>
        <v>33.369264955423567</v>
      </c>
      <c r="AK77" s="55">
        <f t="shared" ca="1" si="19"/>
        <v>-10.181704106735559</v>
      </c>
    </row>
    <row r="78" spans="2:37">
      <c r="R78" s="83">
        <f ca="1"/>
        <v>45447</v>
      </c>
      <c r="S78" s="55">
        <f t="shared" ca="1" si="11"/>
        <v>45447</v>
      </c>
      <c r="T78" s="55">
        <f t="shared" ca="1" si="0"/>
        <v>56.977210565156795</v>
      </c>
      <c r="U78" s="55">
        <f t="shared" ca="1" si="1"/>
        <v>8.3216638154764695</v>
      </c>
      <c r="V78" s="55">
        <f t="shared" ca="1" si="2"/>
        <v>0</v>
      </c>
      <c r="W78" s="55">
        <f t="shared" ca="1" si="12"/>
        <v>-50.602639062133569</v>
      </c>
      <c r="X78" s="55">
        <f t="shared" ca="1" si="13"/>
        <v>36.836282984905729</v>
      </c>
      <c r="Y78" s="55">
        <f t="shared" ca="1" si="14"/>
        <v>27.717186202951083</v>
      </c>
      <c r="Z78">
        <f t="shared" ca="1" si="3"/>
        <v>120</v>
      </c>
      <c r="AA78">
        <f t="shared" ca="1" si="15"/>
        <v>109.05949777609763</v>
      </c>
      <c r="AB78">
        <f t="shared" ca="1" si="4"/>
        <v>0</v>
      </c>
      <c r="AC78">
        <f t="shared" ca="1" si="5"/>
        <v>6.8853233255252722E-2</v>
      </c>
      <c r="AD78" s="83">
        <f ca="1"/>
        <v>45675</v>
      </c>
      <c r="AE78" s="55">
        <f t="shared" ca="1" si="20"/>
        <v>45675</v>
      </c>
      <c r="AF78" s="55">
        <f t="shared" ca="1" si="21"/>
        <v>25.754108901319775</v>
      </c>
      <c r="AG78" s="55">
        <f t="shared" ca="1" si="22"/>
        <v>12.631593581372705</v>
      </c>
      <c r="AH78" s="55">
        <f t="shared" ca="1" si="23"/>
        <v>0</v>
      </c>
      <c r="AI78" s="55">
        <f t="shared" ca="1" si="17"/>
        <v>0</v>
      </c>
      <c r="AJ78" s="55">
        <f t="shared" ca="1" si="18"/>
        <v>33.780654385955188</v>
      </c>
      <c r="AK78" s="55">
        <f t="shared" ca="1" si="19"/>
        <v>-10.116885931982097</v>
      </c>
    </row>
    <row r="79" spans="2:37">
      <c r="R79" s="83">
        <f ca="1"/>
        <v>45448</v>
      </c>
      <c r="S79" s="55">
        <f t="shared" ca="1" si="11"/>
        <v>45448</v>
      </c>
      <c r="T79" s="55">
        <f t="shared" ca="1" si="0"/>
        <v>56.624520184827539</v>
      </c>
      <c r="U79" s="55">
        <f t="shared" ca="1" si="1"/>
        <v>8.51740149887606</v>
      </c>
      <c r="V79" s="55">
        <f t="shared" ca="1" si="2"/>
        <v>0</v>
      </c>
      <c r="W79" s="55">
        <f t="shared" ca="1" si="12"/>
        <v>-51.463331768942943</v>
      </c>
      <c r="X79" s="55">
        <f t="shared" ca="1" si="13"/>
        <v>37.309188456953621</v>
      </c>
      <c r="Y79" s="55">
        <f t="shared" ca="1" si="14"/>
        <v>27.948020740782905</v>
      </c>
      <c r="Z79">
        <f t="shared" ca="1" si="3"/>
        <v>120</v>
      </c>
      <c r="AA79">
        <f t="shared" ca="1" si="15"/>
        <v>111.21949777609763</v>
      </c>
      <c r="AB79">
        <f t="shared" ca="1" si="4"/>
        <v>0</v>
      </c>
      <c r="AC79">
        <f t="shared" ca="1" si="5"/>
        <v>7.1561886536650743E-2</v>
      </c>
      <c r="AD79" s="83">
        <f ca="1"/>
        <v>45676</v>
      </c>
      <c r="AE79" s="55">
        <f t="shared" ca="1" si="20"/>
        <v>45676</v>
      </c>
      <c r="AF79" s="55">
        <f t="shared" ca="1" si="21"/>
        <v>25.62616317587873</v>
      </c>
      <c r="AG79" s="55">
        <f t="shared" ca="1" si="22"/>
        <v>13.239965343507583</v>
      </c>
      <c r="AH79" s="55">
        <f t="shared" ca="1" si="23"/>
        <v>0</v>
      </c>
      <c r="AI79" s="55">
        <f t="shared" ca="1" si="17"/>
        <v>0</v>
      </c>
      <c r="AJ79" s="55">
        <f t="shared" ca="1" si="18"/>
        <v>34.196121568958553</v>
      </c>
      <c r="AK79" s="55">
        <f t="shared" ca="1" si="19"/>
        <v>-10.051927078291634</v>
      </c>
    </row>
    <row r="80" spans="2:37">
      <c r="R80" s="83">
        <f ca="1"/>
        <v>45449</v>
      </c>
      <c r="S80" s="55">
        <f t="shared" ca="1" si="11"/>
        <v>45449</v>
      </c>
      <c r="T80" s="55">
        <f t="shared" ca="1" si="0"/>
        <v>56.434336139286046</v>
      </c>
      <c r="U80" s="55">
        <f t="shared" ca="1" si="1"/>
        <v>8.7211768099296378</v>
      </c>
      <c r="V80" s="55">
        <f t="shared" ca="1" si="2"/>
        <v>0</v>
      </c>
      <c r="W80" s="55">
        <f t="shared" ca="1" si="12"/>
        <v>-52.154338862559534</v>
      </c>
      <c r="X80" s="55">
        <f t="shared" ca="1" si="13"/>
        <v>37.787005450104843</v>
      </c>
      <c r="Y80" s="55">
        <f t="shared" ca="1" si="14"/>
        <v>28.174802106760353</v>
      </c>
      <c r="Z80">
        <f t="shared" ca="1" si="3"/>
        <v>120</v>
      </c>
      <c r="AA80">
        <f t="shared" ca="1" si="15"/>
        <v>112.95949777609762</v>
      </c>
      <c r="AB80">
        <f t="shared" ca="1" si="4"/>
        <v>0</v>
      </c>
      <c r="AC80">
        <f t="shared" ca="1" si="5"/>
        <v>7.4417908296097221E-2</v>
      </c>
      <c r="AD80" s="83">
        <f ca="1"/>
        <v>45677</v>
      </c>
      <c r="AE80" s="55">
        <f t="shared" ca="1" si="20"/>
        <v>45677</v>
      </c>
      <c r="AF80" s="55">
        <f t="shared" ca="1" si="21"/>
        <v>25.451994647160078</v>
      </c>
      <c r="AG80" s="55">
        <f t="shared" ca="1" si="22"/>
        <v>13.873253357902632</v>
      </c>
      <c r="AH80" s="55">
        <f t="shared" ca="1" si="23"/>
        <v>0</v>
      </c>
      <c r="AI80" s="55">
        <f t="shared" ca="1" si="17"/>
        <v>0</v>
      </c>
      <c r="AJ80" s="55">
        <f t="shared" ca="1" si="18"/>
        <v>34.59516167860199</v>
      </c>
      <c r="AK80" s="55">
        <f t="shared" ca="1" si="19"/>
        <v>-9.9918477022586742</v>
      </c>
    </row>
    <row r="81" spans="18:37">
      <c r="R81" s="83">
        <f ca="1"/>
        <v>45450</v>
      </c>
      <c r="S81" s="55">
        <f t="shared" ca="1" si="11"/>
        <v>45450</v>
      </c>
      <c r="T81" s="55">
        <f t="shared" ca="1" si="0"/>
        <v>56.369324986796066</v>
      </c>
      <c r="U81" s="55">
        <f t="shared" ca="1" si="1"/>
        <v>8.9393161076042578</v>
      </c>
      <c r="V81" s="55">
        <f t="shared" ca="1" si="2"/>
        <v>0</v>
      </c>
      <c r="W81" s="55">
        <f t="shared" ca="1" si="12"/>
        <v>-52.717614561872033</v>
      </c>
      <c r="X81" s="55">
        <f t="shared" ca="1" si="13"/>
        <v>38.277924122048546</v>
      </c>
      <c r="Y81" s="55">
        <f t="shared" ca="1" si="14"/>
        <v>28.40028727931379</v>
      </c>
      <c r="Z81">
        <f t="shared" ca="1" si="3"/>
        <v>120</v>
      </c>
      <c r="AA81">
        <f t="shared" ca="1" si="15"/>
        <v>114.37949777609762</v>
      </c>
      <c r="AB81">
        <f t="shared" ca="1" si="4"/>
        <v>0</v>
      </c>
      <c r="AC81">
        <f t="shared" ca="1" si="5"/>
        <v>7.751493325613297E-2</v>
      </c>
      <c r="AD81" s="83">
        <f ca="1"/>
        <v>45678</v>
      </c>
      <c r="AE81" s="55">
        <f t="shared" ca="1" si="20"/>
        <v>45678</v>
      </c>
      <c r="AF81" s="55">
        <f t="shared" ca="1" si="21"/>
        <v>25.330802870866798</v>
      </c>
      <c r="AG81" s="55">
        <f t="shared" ca="1" si="22"/>
        <v>14.543022924918443</v>
      </c>
      <c r="AH81" s="55">
        <f t="shared" ca="1" si="23"/>
        <v>0</v>
      </c>
      <c r="AI81" s="55">
        <f t="shared" ca="1" si="17"/>
        <v>0</v>
      </c>
      <c r="AJ81" s="55">
        <f t="shared" ca="1" si="18"/>
        <v>35.062904961117624</v>
      </c>
      <c r="AK81" s="55">
        <f t="shared" ca="1" si="19"/>
        <v>-9.9110131940517761</v>
      </c>
    </row>
    <row r="82" spans="18:37">
      <c r="R82" s="83">
        <f ca="1"/>
        <v>45451</v>
      </c>
      <c r="S82" s="55">
        <f t="shared" ca="1" si="11"/>
        <v>45451</v>
      </c>
      <c r="T82" s="55">
        <f t="shared" ref="T82:T145" ca="1" si="27">VLOOKUP(S82,ModelOutputs,2,FALSE)</f>
        <v>55.38222531136023</v>
      </c>
      <c r="U82" s="55">
        <f t="shared" ref="U82:U145" ca="1" si="28">VLOOKUP(S82,ModelOutputs,7,FALSE)</f>
        <v>9.1760313898446739</v>
      </c>
      <c r="V82" s="55">
        <f t="shared" ref="V82:V145" ca="1" si="29">VLOOKUP(S82,ModelOutputs,6,FALSE)</f>
        <v>0</v>
      </c>
      <c r="W82" s="55">
        <f t="shared" ca="1" si="12"/>
        <v>-54.2024735582755</v>
      </c>
      <c r="X82" s="55">
        <f t="shared" ca="1" si="13"/>
        <v>38.786813588006986</v>
      </c>
      <c r="Y82" s="55">
        <f t="shared" ca="1" si="14"/>
        <v>28.625872416563404</v>
      </c>
      <c r="Z82">
        <f t="shared" ref="Z82:Z145" ca="1" si="30">VLOOKUP(S82,ModelOutputs,10,FALSE)*AWC</f>
        <v>120</v>
      </c>
      <c r="AA82">
        <f t="shared" ca="1" si="15"/>
        <v>118.18949777609762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8.0920662583854913E-2</v>
      </c>
      <c r="AD82" s="83">
        <f ca="1"/>
        <v>45679</v>
      </c>
      <c r="AE82" s="55">
        <f t="shared" ca="1" si="20"/>
        <v>45679</v>
      </c>
      <c r="AF82" s="55">
        <f t="shared" ca="1" si="21"/>
        <v>25.190827086225948</v>
      </c>
      <c r="AG82" s="55">
        <f t="shared" ca="1" si="22"/>
        <v>15.246138337197117</v>
      </c>
      <c r="AH82" s="55">
        <f t="shared" ca="1" si="23"/>
        <v>0</v>
      </c>
      <c r="AI82" s="55">
        <f t="shared" ca="1" si="17"/>
        <v>0</v>
      </c>
      <c r="AJ82" s="55">
        <f t="shared" ca="1" si="18"/>
        <v>35.54206339896885</v>
      </c>
      <c r="AK82" s="55">
        <f t="shared" ca="1" si="19"/>
        <v>-9.827032004265174</v>
      </c>
    </row>
    <row r="83" spans="18:37">
      <c r="R83" s="83">
        <f ca="1"/>
        <v>45452</v>
      </c>
      <c r="S83" s="55">
        <f t="shared" ref="S83:S146" ca="1" si="33">IF(R83&gt;1,R83,"")</f>
        <v>45452</v>
      </c>
      <c r="T83" s="55">
        <f t="shared" ca="1" si="27"/>
        <v>53.644938743826351</v>
      </c>
      <c r="U83" s="55">
        <f t="shared" ca="1" si="28"/>
        <v>9.4195135057114072</v>
      </c>
      <c r="V83" s="55">
        <f t="shared" ca="1" si="29"/>
        <v>0</v>
      </c>
      <c r="W83" s="55">
        <f t="shared" ref="W83:W146" ca="1" si="34">-VLOOKUP(S83,ModelOutputs,9,FALSE)+W82</f>
        <v>-56.425956926727949</v>
      </c>
      <c r="X83" s="55">
        <f t="shared" ref="X83:X146" ca="1" si="35">VLOOKUP(S83,ModelOutputs,5,FALSE)+X82</f>
        <v>39.296635527733088</v>
      </c>
      <c r="Y83" s="55">
        <f t="shared" ref="Y83:Y146" ca="1" si="36">VLOOKUP(S83,ModelOutputs,4,FALSE)+Y82</f>
        <v>28.845729393622605</v>
      </c>
      <c r="Z83">
        <f t="shared" ca="1" si="30"/>
        <v>120</v>
      </c>
      <c r="AA83">
        <f t="shared" ref="AA83:AA146" ca="1" si="37">VLOOKUP(S83,ModelOutputs,11,FALSE)+AA82</f>
        <v>124.07949777609764</v>
      </c>
      <c r="AB83">
        <f t="shared" ca="1" si="31"/>
        <v>0</v>
      </c>
      <c r="AC83">
        <f t="shared" ca="1" si="32"/>
        <v>8.4470927878004476E-2</v>
      </c>
      <c r="AD83" s="83">
        <f ca="1"/>
        <v>45680</v>
      </c>
      <c r="AE83" s="55">
        <f t="shared" ca="1" si="20"/>
        <v>45680</v>
      </c>
      <c r="AF83" s="55">
        <f t="shared" ca="1" si="21"/>
        <v>25.009919829271077</v>
      </c>
      <c r="AG83" s="55">
        <f t="shared" ca="1" si="22"/>
        <v>15.981393275612412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36.014305341424866</v>
      </c>
      <c r="AK83" s="55">
        <f t="shared" ref="AK83:AK146" ca="1" si="40">VLOOKUP(AE83,ModelOutputs,4,FALSE)+AK82</f>
        <v>-9.7449262652607658</v>
      </c>
    </row>
    <row r="84" spans="18:37">
      <c r="R84" s="83">
        <f ca="1"/>
        <v>45453</v>
      </c>
      <c r="S84" s="55">
        <f t="shared" ca="1" si="33"/>
        <v>45453</v>
      </c>
      <c r="T84" s="55">
        <f t="shared" ca="1" si="27"/>
        <v>52.805073231161295</v>
      </c>
      <c r="U84" s="55">
        <f t="shared" ca="1" si="28"/>
        <v>9.6713961290808097</v>
      </c>
      <c r="V84" s="55">
        <f t="shared" ca="1" si="29"/>
        <v>0</v>
      </c>
      <c r="W84" s="55">
        <f t="shared" ca="1" si="34"/>
        <v>-57.741389973219768</v>
      </c>
      <c r="X84" s="55">
        <f t="shared" ca="1" si="35"/>
        <v>39.809261278497871</v>
      </c>
      <c r="Y84" s="55">
        <f t="shared" ca="1" si="36"/>
        <v>29.060553800053988</v>
      </c>
      <c r="Z84">
        <f t="shared" ca="1" si="30"/>
        <v>120</v>
      </c>
      <c r="AA84">
        <f t="shared" ca="1" si="37"/>
        <v>127.61949777609763</v>
      </c>
      <c r="AB84">
        <f t="shared" ca="1" si="31"/>
        <v>0</v>
      </c>
      <c r="AC84">
        <f t="shared" ca="1" si="32"/>
        <v>8.8192196076200921E-2</v>
      </c>
      <c r="AD84" s="83">
        <f ca="1"/>
        <v>45681</v>
      </c>
      <c r="AE84" s="55">
        <f t="shared" ca="1" si="20"/>
        <v>45681</v>
      </c>
      <c r="AF84" s="55">
        <f t="shared" ca="1" si="21"/>
        <v>24.803428619657538</v>
      </c>
      <c r="AG84" s="55">
        <f t="shared" ca="1" si="22"/>
        <v>16.750855105294814</v>
      </c>
      <c r="AH84" s="55">
        <f t="shared" ca="1" si="23"/>
        <v>0</v>
      </c>
      <c r="AI84" s="55">
        <f t="shared" ca="1" si="38"/>
        <v>0</v>
      </c>
      <c r="AJ84" s="55">
        <f t="shared" ca="1" si="39"/>
        <v>36.493343364699292</v>
      </c>
      <c r="AK84" s="55">
        <f t="shared" ca="1" si="40"/>
        <v>-9.6609936684663253</v>
      </c>
    </row>
    <row r="85" spans="18:37">
      <c r="R85" s="83">
        <f ca="1"/>
        <v>45454</v>
      </c>
      <c r="S85" s="55">
        <f t="shared" ca="1" si="33"/>
        <v>45454</v>
      </c>
      <c r="T85" s="55">
        <f t="shared" ca="1" si="27"/>
        <v>52.220356753866291</v>
      </c>
      <c r="U85" s="55">
        <f t="shared" ca="1" si="28"/>
        <v>9.9231631504095503</v>
      </c>
      <c r="V85" s="55">
        <f t="shared" ca="1" si="29"/>
        <v>0</v>
      </c>
      <c r="W85" s="55">
        <f t="shared" ca="1" si="34"/>
        <v>-58.785023473382218</v>
      </c>
      <c r="X85" s="55">
        <f t="shared" ca="1" si="35"/>
        <v>40.313504338203344</v>
      </c>
      <c r="Y85" s="55">
        <f t="shared" ca="1" si="36"/>
        <v>29.2669947845447</v>
      </c>
      <c r="Z85">
        <f t="shared" ca="1" si="30"/>
        <v>120</v>
      </c>
      <c r="AA85">
        <f t="shared" ca="1" si="37"/>
        <v>130.45949777609763</v>
      </c>
      <c r="AB85">
        <f t="shared" ca="1" si="31"/>
        <v>0</v>
      </c>
      <c r="AC85">
        <f t="shared" ca="1" si="32"/>
        <v>9.1959176651384048E-2</v>
      </c>
      <c r="AD85" s="83">
        <f ca="1"/>
        <v>45682</v>
      </c>
      <c r="AE85" s="55">
        <f t="shared" ref="AE85:AE148" ca="1" si="41">IF(AD85&gt;1,AD85,"")</f>
        <v>45682</v>
      </c>
      <c r="AF85" s="55">
        <f t="shared" ref="AF85:AF148" ca="1" si="42">VLOOKUP(AE85,ModelOutputs,2,FALSE)</f>
        <v>24.573175135820509</v>
      </c>
      <c r="AG85" s="55">
        <f t="shared" ref="AG85:AG148" ca="1" si="43">VLOOKUP(AE85,ModelOutputs,7,FALSE)</f>
        <v>17.564077344387471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36.988757901461412</v>
      </c>
      <c r="AK85" s="55">
        <f t="shared" ca="1" si="40"/>
        <v>-9.5734394499728168</v>
      </c>
    </row>
    <row r="86" spans="18:37">
      <c r="R86" s="83">
        <f ca="1"/>
        <v>45455</v>
      </c>
      <c r="S86" s="55">
        <f t="shared" ca="1" si="33"/>
        <v>45455</v>
      </c>
      <c r="T86" s="55">
        <f t="shared" ca="1" si="27"/>
        <v>51.885500068307884</v>
      </c>
      <c r="U86" s="55">
        <f t="shared" ca="1" si="28"/>
        <v>10.174094743298031</v>
      </c>
      <c r="V86" s="55">
        <f t="shared" ca="1" si="29"/>
        <v>0</v>
      </c>
      <c r="W86" s="55">
        <f t="shared" ca="1" si="34"/>
        <v>-59.56272946885052</v>
      </c>
      <c r="X86" s="55">
        <f t="shared" ca="1" si="35"/>
        <v>40.808992426599673</v>
      </c>
      <c r="Y86" s="55">
        <f t="shared" ca="1" si="36"/>
        <v>29.465287598946745</v>
      </c>
      <c r="Z86">
        <f t="shared" ca="1" si="30"/>
        <v>120</v>
      </c>
      <c r="AA86">
        <f t="shared" ca="1" si="37"/>
        <v>132.58949777609763</v>
      </c>
      <c r="AB86">
        <f t="shared" ca="1" si="31"/>
        <v>0</v>
      </c>
      <c r="AC86">
        <f t="shared" ca="1" si="32"/>
        <v>9.5758962047095095E-2</v>
      </c>
      <c r="AD86" s="83">
        <f ca="1"/>
        <v>45683</v>
      </c>
      <c r="AE86" s="55">
        <f t="shared" ca="1" si="41"/>
        <v>45683</v>
      </c>
      <c r="AF86" s="55">
        <f t="shared" ca="1" si="42"/>
        <v>24.279773764883284</v>
      </c>
      <c r="AG86" s="55">
        <f t="shared" ca="1" si="43"/>
        <v>18.418598059198658</v>
      </c>
      <c r="AH86" s="55">
        <f t="shared" ca="1" si="44"/>
        <v>0</v>
      </c>
      <c r="AI86" s="55">
        <f t="shared" ca="1" si="38"/>
        <v>0</v>
      </c>
      <c r="AJ86" s="55">
        <f t="shared" ca="1" si="39"/>
        <v>37.467650321935189</v>
      </c>
      <c r="AK86" s="55">
        <f t="shared" ca="1" si="40"/>
        <v>-9.4912125265726317</v>
      </c>
    </row>
    <row r="87" spans="18:37">
      <c r="R87" s="83">
        <f ca="1"/>
        <v>45456</v>
      </c>
      <c r="S87" s="55">
        <f t="shared" ca="1" si="33"/>
        <v>45456</v>
      </c>
      <c r="T87" s="55">
        <f t="shared" ca="1" si="27"/>
        <v>51.594230973847161</v>
      </c>
      <c r="U87" s="55">
        <f t="shared" ca="1" si="28"/>
        <v>10.40916673083912</v>
      </c>
      <c r="V87" s="55">
        <f t="shared" ca="1" si="29"/>
        <v>0</v>
      </c>
      <c r="W87" s="55">
        <f t="shared" ca="1" si="34"/>
        <v>-60.274347676800915</v>
      </c>
      <c r="X87" s="55">
        <f t="shared" ca="1" si="35"/>
        <v>41.278788981870257</v>
      </c>
      <c r="Y87" s="55">
        <f t="shared" ca="1" si="36"/>
        <v>29.650912144706918</v>
      </c>
      <c r="Z87">
        <f t="shared" ca="1" si="30"/>
        <v>120</v>
      </c>
      <c r="AA87">
        <f t="shared" ca="1" si="37"/>
        <v>134.54949777609764</v>
      </c>
      <c r="AB87">
        <f t="shared" ca="1" si="31"/>
        <v>0</v>
      </c>
      <c r="AC87">
        <f t="shared" ca="1" si="32"/>
        <v>9.9357985999534076E-2</v>
      </c>
      <c r="AD87" s="83">
        <f ca="1"/>
        <v>45684</v>
      </c>
      <c r="AE87" s="55">
        <f t="shared" ca="1" si="41"/>
        <v>45684</v>
      </c>
      <c r="AF87" s="55">
        <f t="shared" ca="1" si="42"/>
        <v>23.948647642586678</v>
      </c>
      <c r="AG87" s="55">
        <f t="shared" ca="1" si="43"/>
        <v>19.295246328530745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37.933522154627475</v>
      </c>
      <c r="AK87" s="55">
        <f t="shared" ca="1" si="40"/>
        <v>-9.411562212229434</v>
      </c>
    </row>
    <row r="88" spans="18:37">
      <c r="R88" s="83">
        <f ca="1"/>
        <v>45457</v>
      </c>
      <c r="S88" s="55">
        <f t="shared" ca="1" si="33"/>
        <v>45457</v>
      </c>
      <c r="T88" s="55">
        <f t="shared" ca="1" si="27"/>
        <v>50.207262657003582</v>
      </c>
      <c r="U88" s="55">
        <f t="shared" ca="1" si="28"/>
        <v>10.651835245461614</v>
      </c>
      <c r="V88" s="55">
        <f t="shared" ca="1" si="29"/>
        <v>0</v>
      </c>
      <c r="W88" s="55">
        <f t="shared" ca="1" si="34"/>
        <v>-62.07269744404492</v>
      </c>
      <c r="X88" s="55">
        <f t="shared" ca="1" si="35"/>
        <v>41.751249533073526</v>
      </c>
      <c r="Y88" s="55">
        <f t="shared" ca="1" si="36"/>
        <v>29.832501558526566</v>
      </c>
      <c r="Z88">
        <f t="shared" ca="1" si="30"/>
        <v>120</v>
      </c>
      <c r="AA88">
        <f t="shared" ca="1" si="37"/>
        <v>139.63949777609764</v>
      </c>
      <c r="AB88">
        <f t="shared" ca="1" si="31"/>
        <v>0</v>
      </c>
      <c r="AC88">
        <f t="shared" ca="1" si="32"/>
        <v>0.10311167289569151</v>
      </c>
      <c r="AD88" s="83">
        <f ca="1"/>
        <v>45685</v>
      </c>
      <c r="AE88" s="55">
        <f t="shared" ca="1" si="41"/>
        <v>45685</v>
      </c>
      <c r="AF88" s="55">
        <f t="shared" ca="1" si="42"/>
        <v>23.564550670431668</v>
      </c>
      <c r="AG88" s="55">
        <f t="shared" ca="1" si="43"/>
        <v>20.217260905298524</v>
      </c>
      <c r="AH88" s="55">
        <f t="shared" ca="1" si="44"/>
        <v>0</v>
      </c>
      <c r="AI88" s="55">
        <f t="shared" ca="1" si="38"/>
        <v>0</v>
      </c>
      <c r="AJ88" s="55">
        <f t="shared" ca="1" si="39"/>
        <v>38.394299245758901</v>
      </c>
      <c r="AK88" s="55">
        <f t="shared" ca="1" si="40"/>
        <v>-9.3344216987480912</v>
      </c>
    </row>
    <row r="89" spans="18:37">
      <c r="R89" s="83">
        <f ca="1"/>
        <v>45458</v>
      </c>
      <c r="S89" s="55">
        <f t="shared" ca="1" si="33"/>
        <v>45458</v>
      </c>
      <c r="T89" s="55">
        <f t="shared" ca="1" si="27"/>
        <v>49.591186976521172</v>
      </c>
      <c r="U89" s="55">
        <f t="shared" ca="1" si="28"/>
        <v>10.877020116604237</v>
      </c>
      <c r="V89" s="55">
        <f t="shared" ca="1" si="29"/>
        <v>0</v>
      </c>
      <c r="W89" s="55">
        <f t="shared" ca="1" si="34"/>
        <v>-63.081235250297063</v>
      </c>
      <c r="X89" s="55">
        <f t="shared" ca="1" si="35"/>
        <v>42.19878376158708</v>
      </c>
      <c r="Y89" s="55">
        <f t="shared" ca="1" si="36"/>
        <v>30.002614326925372</v>
      </c>
      <c r="Z89">
        <f t="shared" ca="1" si="30"/>
        <v>120</v>
      </c>
      <c r="AA89">
        <f t="shared" ca="1" si="37"/>
        <v>142.52949777609763</v>
      </c>
      <c r="AB89">
        <f t="shared" ca="1" si="31"/>
        <v>0</v>
      </c>
      <c r="AC89">
        <f t="shared" ca="1" si="32"/>
        <v>0.10662837073419798</v>
      </c>
      <c r="AD89" s="83">
        <f ca="1"/>
        <v>45686</v>
      </c>
      <c r="AE89" s="55">
        <f t="shared" ca="1" si="41"/>
        <v>45686</v>
      </c>
      <c r="AF89" s="55">
        <f t="shared" ca="1" si="42"/>
        <v>23.130493488745874</v>
      </c>
      <c r="AG89" s="55">
        <f t="shared" ca="1" si="43"/>
        <v>21.190925459314634</v>
      </c>
      <c r="AH89" s="55">
        <f t="shared" ca="1" si="44"/>
        <v>0</v>
      </c>
      <c r="AI89" s="55">
        <f t="shared" ca="1" si="38"/>
        <v>0</v>
      </c>
      <c r="AJ89" s="55">
        <f t="shared" ca="1" si="39"/>
        <v>38.857501314316359</v>
      </c>
      <c r="AK89" s="55">
        <f t="shared" ca="1" si="40"/>
        <v>-9.2580163949752361</v>
      </c>
    </row>
    <row r="90" spans="18:37">
      <c r="R90" s="83">
        <f ca="1"/>
        <v>45459</v>
      </c>
      <c r="S90" s="55">
        <f t="shared" ca="1" si="33"/>
        <v>45459</v>
      </c>
      <c r="T90" s="55">
        <f t="shared" ca="1" si="27"/>
        <v>48.811331078179371</v>
      </c>
      <c r="U90" s="55">
        <f t="shared" ca="1" si="28"/>
        <v>11.109655126271177</v>
      </c>
      <c r="V90" s="55">
        <f t="shared" ca="1" si="29"/>
        <v>0</v>
      </c>
      <c r="W90" s="55">
        <f t="shared" ca="1" si="34"/>
        <v>-64.245656670573183</v>
      </c>
      <c r="X90" s="55">
        <f t="shared" ca="1" si="35"/>
        <v>42.649333266727751</v>
      </c>
      <c r="Y90" s="55">
        <f t="shared" ca="1" si="36"/>
        <v>30.16926535338596</v>
      </c>
      <c r="Z90">
        <f t="shared" ca="1" si="30"/>
        <v>120</v>
      </c>
      <c r="AA90">
        <f t="shared" ca="1" si="37"/>
        <v>145.91949777609761</v>
      </c>
      <c r="AB90">
        <f t="shared" ca="1" si="31"/>
        <v>0</v>
      </c>
      <c r="AC90">
        <f t="shared" ca="1" si="32"/>
        <v>0.11029384046451601</v>
      </c>
      <c r="AD90" s="83">
        <f ca="1"/>
        <v>45687</v>
      </c>
      <c r="AE90" s="55">
        <f t="shared" ca="1" si="41"/>
        <v>45687</v>
      </c>
      <c r="AF90" s="55">
        <f t="shared" ca="1" si="42"/>
        <v>22.659442322520668</v>
      </c>
      <c r="AG90" s="55">
        <f t="shared" ca="1" si="43"/>
        <v>22.219038249839052</v>
      </c>
      <c r="AH90" s="55">
        <f t="shared" ca="1" si="44"/>
        <v>0</v>
      </c>
      <c r="AI90" s="55">
        <f t="shared" ca="1" si="38"/>
        <v>0</v>
      </c>
      <c r="AJ90" s="55">
        <f t="shared" ca="1" si="39"/>
        <v>39.33530989926043</v>
      </c>
      <c r="AK90" s="55">
        <f t="shared" ca="1" si="40"/>
        <v>-9.1787633556200916</v>
      </c>
    </row>
    <row r="91" spans="18:37">
      <c r="R91" s="83">
        <f ca="1"/>
        <v>45460</v>
      </c>
      <c r="S91" s="55">
        <f t="shared" ca="1" si="33"/>
        <v>45460</v>
      </c>
      <c r="T91" s="55">
        <f t="shared" ca="1" si="27"/>
        <v>47.971910078097345</v>
      </c>
      <c r="U91" s="55">
        <f t="shared" ca="1" si="28"/>
        <v>11.369277071892537</v>
      </c>
      <c r="V91" s="55">
        <f t="shared" ca="1" si="29"/>
        <v>0</v>
      </c>
      <c r="W91" s="55">
        <f t="shared" ca="1" si="34"/>
        <v>-65.46769666137746</v>
      </c>
      <c r="X91" s="55">
        <f t="shared" ca="1" si="35"/>
        <v>43.123129370672622</v>
      </c>
      <c r="Y91" s="55">
        <f t="shared" ca="1" si="36"/>
        <v>30.33771018578469</v>
      </c>
      <c r="Z91">
        <f t="shared" ca="1" si="30"/>
        <v>120</v>
      </c>
      <c r="AA91">
        <f t="shared" ca="1" si="37"/>
        <v>149.53949777609762</v>
      </c>
      <c r="AB91">
        <f t="shared" ca="1" si="31"/>
        <v>0</v>
      </c>
      <c r="AC91">
        <f t="shared" ca="1" si="32"/>
        <v>0.1144217369514853</v>
      </c>
      <c r="AD91" s="83">
        <f ca="1"/>
        <v>45688</v>
      </c>
      <c r="AE91" s="55">
        <f t="shared" ca="1" si="41"/>
        <v>45688</v>
      </c>
      <c r="AF91" s="55">
        <f t="shared" ca="1" si="42"/>
        <v>22.147880306202406</v>
      </c>
      <c r="AG91" s="55">
        <f t="shared" ca="1" si="43"/>
        <v>23.2878599691864</v>
      </c>
      <c r="AH91" s="55">
        <f t="shared" ca="1" si="44"/>
        <v>0</v>
      </c>
      <c r="AI91" s="55">
        <f t="shared" ca="1" si="38"/>
        <v>0</v>
      </c>
      <c r="AJ91" s="55">
        <f t="shared" ca="1" si="39"/>
        <v>39.81342910495021</v>
      </c>
      <c r="AK91" s="55">
        <f t="shared" ca="1" si="40"/>
        <v>-9.0996228582807852</v>
      </c>
    </row>
    <row r="92" spans="18:37">
      <c r="R92" s="83">
        <f ca="1"/>
        <v>45461</v>
      </c>
      <c r="S92" s="55">
        <f t="shared" ca="1" si="33"/>
        <v>45461</v>
      </c>
      <c r="T92" s="55">
        <f t="shared" ca="1" si="27"/>
        <v>47.360137557192822</v>
      </c>
      <c r="U92" s="55">
        <f t="shared" ca="1" si="28"/>
        <v>11.619727038430462</v>
      </c>
      <c r="V92" s="55">
        <f t="shared" ca="1" si="29"/>
        <v>0</v>
      </c>
      <c r="W92" s="55">
        <f t="shared" ca="1" si="34"/>
        <v>-66.447525285060721</v>
      </c>
      <c r="X92" s="55">
        <f t="shared" ca="1" si="35"/>
        <v>43.581491302561446</v>
      </c>
      <c r="Y92" s="55">
        <f t="shared" ca="1" si="36"/>
        <v>30.497854323212518</v>
      </c>
      <c r="Z92">
        <f t="shared" ca="1" si="30"/>
        <v>120</v>
      </c>
      <c r="AA92">
        <f t="shared" ca="1" si="37"/>
        <v>152.47949777609762</v>
      </c>
      <c r="AB92">
        <f t="shared" ca="1" si="31"/>
        <v>0</v>
      </c>
      <c r="AC92">
        <f t="shared" ca="1" si="32"/>
        <v>0.11843926863522952</v>
      </c>
      <c r="AD92" s="83">
        <f ca="1"/>
        <v>45689</v>
      </c>
      <c r="AE92" s="55">
        <f t="shared" ca="1" si="41"/>
        <v>45689</v>
      </c>
      <c r="AF92" s="55">
        <f t="shared" ca="1" si="42"/>
        <v>21.567836093964679</v>
      </c>
      <c r="AG92" s="55">
        <f t="shared" ca="1" si="43"/>
        <v>24.407533643311591</v>
      </c>
      <c r="AH92" s="55">
        <f t="shared" ca="1" si="44"/>
        <v>0</v>
      </c>
      <c r="AI92" s="55">
        <f t="shared" ca="1" si="38"/>
        <v>0</v>
      </c>
      <c r="AJ92" s="55">
        <f t="shared" ca="1" si="39"/>
        <v>40.278722344295403</v>
      </c>
      <c r="AK92" s="55">
        <f t="shared" ca="1" si="40"/>
        <v>-9.0252866357385138</v>
      </c>
    </row>
    <row r="93" spans="18:37">
      <c r="R93" s="83">
        <f ca="1"/>
        <v>45462</v>
      </c>
      <c r="S93" s="55">
        <f t="shared" ca="1" si="33"/>
        <v>45462</v>
      </c>
      <c r="T93" s="55">
        <f t="shared" ca="1" si="27"/>
        <v>46.214775690524476</v>
      </c>
      <c r="U93" s="55">
        <f t="shared" ca="1" si="28"/>
        <v>11.882467409648141</v>
      </c>
      <c r="V93" s="55">
        <f t="shared" ca="1" si="29"/>
        <v>0</v>
      </c>
      <c r="W93" s="55">
        <f t="shared" ca="1" si="34"/>
        <v>-67.953271143392357</v>
      </c>
      <c r="X93" s="55">
        <f t="shared" ca="1" si="35"/>
        <v>44.046868911182322</v>
      </c>
      <c r="Y93" s="55">
        <f t="shared" ca="1" si="36"/>
        <v>30.655601077472618</v>
      </c>
      <c r="Z93">
        <f t="shared" ca="1" si="30"/>
        <v>120</v>
      </c>
      <c r="AA93">
        <f t="shared" ca="1" si="37"/>
        <v>157.10949777609761</v>
      </c>
      <c r="AB93">
        <f t="shared" ca="1" si="31"/>
        <v>0</v>
      </c>
      <c r="AC93">
        <f t="shared" ca="1" si="32"/>
        <v>0.12268951467067314</v>
      </c>
      <c r="AD93" s="83">
        <f ca="1"/>
        <v>45690</v>
      </c>
      <c r="AE93" s="55">
        <f t="shared" ca="1" si="41"/>
        <v>45690</v>
      </c>
      <c r="AF93" s="55">
        <f t="shared" ca="1" si="42"/>
        <v>20.969262537173474</v>
      </c>
      <c r="AG93" s="55">
        <f t="shared" ca="1" si="43"/>
        <v>25.560799570272842</v>
      </c>
      <c r="AH93" s="55">
        <f t="shared" ca="1" si="44"/>
        <v>0</v>
      </c>
      <c r="AI93" s="55">
        <f t="shared" ca="1" si="38"/>
        <v>0</v>
      </c>
      <c r="AJ93" s="55">
        <f t="shared" ca="1" si="39"/>
        <v>40.755278132022063</v>
      </c>
      <c r="AK93" s="55">
        <f t="shared" ca="1" si="40"/>
        <v>-8.9471500532951325</v>
      </c>
    </row>
    <row r="94" spans="18:37">
      <c r="R94" s="83">
        <f ca="1"/>
        <v>45463</v>
      </c>
      <c r="S94" s="55">
        <f t="shared" ca="1" si="33"/>
        <v>45463</v>
      </c>
      <c r="T94" s="55">
        <f t="shared" ca="1" si="27"/>
        <v>46.27016238067737</v>
      </c>
      <c r="U94" s="55">
        <f t="shared" ca="1" si="28"/>
        <v>12.155818538498815</v>
      </c>
      <c r="V94" s="55">
        <f t="shared" ca="1" si="29"/>
        <v>0</v>
      </c>
      <c r="W94" s="55">
        <f t="shared" ca="1" si="34"/>
        <v>-68.249571553600475</v>
      </c>
      <c r="X94" s="55">
        <f t="shared" ca="1" si="35"/>
        <v>44.51710880772923</v>
      </c>
      <c r="Y94" s="55">
        <f t="shared" ca="1" si="36"/>
        <v>30.810399410137386</v>
      </c>
      <c r="Z94">
        <f t="shared" ca="1" si="30"/>
        <v>120</v>
      </c>
      <c r="AA94">
        <f t="shared" ca="1" si="37"/>
        <v>158.01949777609761</v>
      </c>
      <c r="AB94">
        <f t="shared" ca="1" si="31"/>
        <v>0</v>
      </c>
      <c r="AC94">
        <f t="shared" ca="1" si="32"/>
        <v>0.12714801375432142</v>
      </c>
      <c r="AD94" s="83">
        <f ca="1"/>
        <v>45691</v>
      </c>
      <c r="AE94" s="55">
        <f t="shared" ca="1" si="41"/>
        <v>45691</v>
      </c>
      <c r="AF94" s="55">
        <f t="shared" ca="1" si="42"/>
        <v>20.306514344699671</v>
      </c>
      <c r="AG94" s="55">
        <f t="shared" ca="1" si="43"/>
        <v>26.747329437856568</v>
      </c>
      <c r="AH94" s="55">
        <f t="shared" ca="1" si="44"/>
        <v>0</v>
      </c>
      <c r="AI94" s="55">
        <f t="shared" ca="1" si="38"/>
        <v>0</v>
      </c>
      <c r="AJ94" s="55">
        <f t="shared" ca="1" si="39"/>
        <v>41.207584494757</v>
      </c>
      <c r="AK94" s="55">
        <f t="shared" ca="1" si="40"/>
        <v>-8.8756747409201466</v>
      </c>
    </row>
    <row r="95" spans="18:37">
      <c r="R95" s="83">
        <f ca="1"/>
        <v>45464</v>
      </c>
      <c r="S95" s="55">
        <f t="shared" ca="1" si="33"/>
        <v>45464</v>
      </c>
      <c r="T95" s="55">
        <f t="shared" ca="1" si="27"/>
        <v>46.322040708115267</v>
      </c>
      <c r="U95" s="55">
        <f t="shared" ca="1" si="28"/>
        <v>12.419660764114807</v>
      </c>
      <c r="V95" s="55">
        <f t="shared" ca="1" si="29"/>
        <v>0</v>
      </c>
      <c r="W95" s="55">
        <f t="shared" ca="1" si="34"/>
        <v>-68.536425079763319</v>
      </c>
      <c r="X95" s="55">
        <f t="shared" ca="1" si="35"/>
        <v>44.972422493319421</v>
      </c>
      <c r="Y95" s="55">
        <f t="shared" ca="1" si="36"/>
        <v>30.957659803763928</v>
      </c>
      <c r="Z95">
        <f t="shared" ca="1" si="30"/>
        <v>120</v>
      </c>
      <c r="AA95">
        <f t="shared" ca="1" si="37"/>
        <v>158.8994977760976</v>
      </c>
      <c r="AB95">
        <f t="shared" ca="1" si="31"/>
        <v>0</v>
      </c>
      <c r="AC95">
        <f t="shared" ca="1" si="32"/>
        <v>0.13148484787895393</v>
      </c>
      <c r="AD95" s="83">
        <f ca="1"/>
        <v>45692</v>
      </c>
      <c r="AE95" s="55">
        <f t="shared" ca="1" si="41"/>
        <v>45692</v>
      </c>
      <c r="AF95" s="55">
        <f t="shared" ca="1" si="42"/>
        <v>19.64627912849047</v>
      </c>
      <c r="AG95" s="55">
        <f t="shared" ca="1" si="43"/>
        <v>27.94069919510412</v>
      </c>
      <c r="AH95" s="55">
        <f t="shared" ca="1" si="44"/>
        <v>0</v>
      </c>
      <c r="AI95" s="55">
        <f t="shared" ca="1" si="38"/>
        <v>0</v>
      </c>
      <c r="AJ95" s="55">
        <f t="shared" ca="1" si="39"/>
        <v>41.665496175522527</v>
      </c>
      <c r="AK95" s="55">
        <f t="shared" ca="1" si="40"/>
        <v>-8.8004518806473193</v>
      </c>
    </row>
    <row r="96" spans="18:37">
      <c r="R96" s="83">
        <f ca="1"/>
        <v>45465</v>
      </c>
      <c r="S96" s="55">
        <f t="shared" ca="1" si="33"/>
        <v>45465</v>
      </c>
      <c r="T96" s="55">
        <f t="shared" ca="1" si="27"/>
        <v>45.466068346786436</v>
      </c>
      <c r="U96" s="55">
        <f t="shared" ca="1" si="28"/>
        <v>12.676871506330469</v>
      </c>
      <c r="V96" s="55">
        <f t="shared" ca="1" si="29"/>
        <v>0</v>
      </c>
      <c r="W96" s="55">
        <f t="shared" ca="1" si="34"/>
        <v>-69.72022678523706</v>
      </c>
      <c r="X96" s="55">
        <f t="shared" ca="1" si="35"/>
        <v>45.416526360901216</v>
      </c>
      <c r="Y96" s="55">
        <f t="shared" ca="1" si="36"/>
        <v>31.098596022542701</v>
      </c>
      <c r="Z96">
        <f t="shared" ca="1" si="30"/>
        <v>120</v>
      </c>
      <c r="AA96">
        <f t="shared" ca="1" si="37"/>
        <v>162.59949777609762</v>
      </c>
      <c r="AB96">
        <f t="shared" ca="1" si="31"/>
        <v>0</v>
      </c>
      <c r="AC96">
        <f t="shared" ca="1" si="32"/>
        <v>0.13574246420159888</v>
      </c>
      <c r="AD96" s="83">
        <f ca="1"/>
        <v>45693</v>
      </c>
      <c r="AE96" s="55">
        <f t="shared" ca="1" si="41"/>
        <v>45693</v>
      </c>
      <c r="AF96" s="55">
        <f t="shared" ca="1" si="42"/>
        <v>18.922424121951551</v>
      </c>
      <c r="AG96" s="55">
        <f t="shared" ca="1" si="43"/>
        <v>29.21097840990771</v>
      </c>
      <c r="AH96" s="55">
        <f t="shared" ca="1" si="44"/>
        <v>0</v>
      </c>
      <c r="AI96" s="55">
        <f t="shared" ca="1" si="38"/>
        <v>0</v>
      </c>
      <c r="AJ96" s="55">
        <f t="shared" ca="1" si="39"/>
        <v>42.135876633313146</v>
      </c>
      <c r="AK96" s="55">
        <f t="shared" ca="1" si="40"/>
        <v>-8.7244081301732663</v>
      </c>
    </row>
    <row r="97" spans="18:37">
      <c r="R97" s="83">
        <f ca="1"/>
        <v>45466</v>
      </c>
      <c r="S97" s="55">
        <f t="shared" ca="1" si="33"/>
        <v>45466</v>
      </c>
      <c r="T97" s="55">
        <f t="shared" ca="1" si="27"/>
        <v>44.145517752859483</v>
      </c>
      <c r="U97" s="55">
        <f t="shared" ca="1" si="28"/>
        <v>12.944394234386008</v>
      </c>
      <c r="V97" s="55">
        <f t="shared" ca="1" si="29"/>
        <v>0</v>
      </c>
      <c r="W97" s="55">
        <f t="shared" ca="1" si="34"/>
        <v>-71.360478022632194</v>
      </c>
      <c r="X97" s="55">
        <f t="shared" ca="1" si="35"/>
        <v>45.865351283002042</v>
      </c>
      <c r="Y97" s="55">
        <f t="shared" ca="1" si="36"/>
        <v>31.236994471965595</v>
      </c>
      <c r="Z97">
        <f t="shared" ca="1" si="30"/>
        <v>120</v>
      </c>
      <c r="AA97">
        <f t="shared" ca="1" si="37"/>
        <v>167.87949777609762</v>
      </c>
      <c r="AB97">
        <f t="shared" ca="1" si="31"/>
        <v>0</v>
      </c>
      <c r="AC97">
        <f t="shared" ca="1" si="32"/>
        <v>0.14020010751330264</v>
      </c>
      <c r="AD97" s="83">
        <f ca="1"/>
        <v>45694</v>
      </c>
      <c r="AE97" s="55">
        <f t="shared" ca="1" si="41"/>
        <v>45694</v>
      </c>
      <c r="AF97" s="55">
        <f t="shared" ca="1" si="42"/>
        <v>18.122410578573355</v>
      </c>
      <c r="AG97" s="55">
        <f t="shared" ca="1" si="43"/>
        <v>30.521425077511267</v>
      </c>
      <c r="AH97" s="55">
        <f t="shared" ca="1" si="44"/>
        <v>0</v>
      </c>
      <c r="AI97" s="55">
        <f t="shared" ca="1" si="38"/>
        <v>0</v>
      </c>
      <c r="AJ97" s="55">
        <f t="shared" ca="1" si="39"/>
        <v>42.578315336909817</v>
      </c>
      <c r="AK97" s="55">
        <f t="shared" ca="1" si="40"/>
        <v>-8.656413709544573</v>
      </c>
    </row>
    <row r="98" spans="18:37">
      <c r="R98" s="83">
        <f ca="1"/>
        <v>45467</v>
      </c>
      <c r="S98" s="55">
        <f t="shared" ca="1" si="33"/>
        <v>45467</v>
      </c>
      <c r="T98" s="55">
        <f t="shared" ca="1" si="27"/>
        <v>42.248036699785246</v>
      </c>
      <c r="U98" s="55">
        <f t="shared" ca="1" si="28"/>
        <v>13.225542981175868</v>
      </c>
      <c r="V98" s="55">
        <f t="shared" ca="1" si="29"/>
        <v>0</v>
      </c>
      <c r="W98" s="55">
        <f t="shared" ca="1" si="34"/>
        <v>-73.569424445190961</v>
      </c>
      <c r="X98" s="55">
        <f t="shared" ca="1" si="35"/>
        <v>46.321534586129133</v>
      </c>
      <c r="Y98" s="55">
        <f t="shared" ca="1" si="36"/>
        <v>31.373425285112905</v>
      </c>
      <c r="Z98">
        <f t="shared" ca="1" si="30"/>
        <v>120</v>
      </c>
      <c r="AA98">
        <f t="shared" ca="1" si="37"/>
        <v>175.30949777609763</v>
      </c>
      <c r="AB98">
        <f t="shared" ca="1" si="31"/>
        <v>0</v>
      </c>
      <c r="AC98">
        <f t="shared" ca="1" si="32"/>
        <v>0.14491497063822259</v>
      </c>
      <c r="AD98" s="83">
        <f ca="1"/>
        <v>45695</v>
      </c>
      <c r="AE98" s="55">
        <f t="shared" ca="1" si="41"/>
        <v>45695</v>
      </c>
      <c r="AF98" s="55">
        <f t="shared" ca="1" si="42"/>
        <v>17.24897798174495</v>
      </c>
      <c r="AG98" s="55">
        <f t="shared" ca="1" si="43"/>
        <v>31.8888272098316</v>
      </c>
      <c r="AH98" s="55">
        <f t="shared" ca="1" si="44"/>
        <v>0</v>
      </c>
      <c r="AI98" s="55">
        <f t="shared" ca="1" si="38"/>
        <v>0</v>
      </c>
      <c r="AJ98" s="55">
        <f t="shared" ca="1" si="39"/>
        <v>43.008946816278161</v>
      </c>
      <c r="AK98" s="55">
        <f t="shared" ca="1" si="40"/>
        <v>-8.5930756534209891</v>
      </c>
    </row>
    <row r="99" spans="18:37">
      <c r="R99" s="83">
        <f ca="1"/>
        <v>45468</v>
      </c>
      <c r="S99" s="55">
        <f t="shared" ca="1" si="33"/>
        <v>45468</v>
      </c>
      <c r="T99" s="55">
        <f t="shared" ca="1" si="27"/>
        <v>41.825150850983448</v>
      </c>
      <c r="U99" s="55">
        <f t="shared" ca="1" si="28"/>
        <v>13.494219943269753</v>
      </c>
      <c r="V99" s="55">
        <f t="shared" ca="1" si="29"/>
        <v>0</v>
      </c>
      <c r="W99" s="55">
        <f t="shared" ca="1" si="34"/>
        <v>-74.293464278811314</v>
      </c>
      <c r="X99" s="55">
        <f t="shared" ca="1" si="35"/>
        <v>46.761799251788069</v>
      </c>
      <c r="Y99" s="55">
        <f t="shared" ca="1" si="36"/>
        <v>31.502991566366418</v>
      </c>
      <c r="Z99">
        <f t="shared" ca="1" si="30"/>
        <v>120</v>
      </c>
      <c r="AA99">
        <f t="shared" ca="1" si="37"/>
        <v>177.76949777609764</v>
      </c>
      <c r="AB99">
        <f t="shared" ca="1" si="31"/>
        <v>0</v>
      </c>
      <c r="AC99">
        <f t="shared" ca="1" si="32"/>
        <v>0.14944761464742648</v>
      </c>
      <c r="AD99" s="83">
        <f ca="1"/>
        <v>45696</v>
      </c>
      <c r="AE99" s="55">
        <f t="shared" ca="1" si="41"/>
        <v>45696</v>
      </c>
      <c r="AF99" s="55">
        <f t="shared" ca="1" si="42"/>
        <v>16.324812307472147</v>
      </c>
      <c r="AG99" s="55">
        <f t="shared" ca="1" si="43"/>
        <v>33.305217446637201</v>
      </c>
      <c r="AH99" s="55">
        <f t="shared" ca="1" si="44"/>
        <v>0</v>
      </c>
      <c r="AI99" s="55">
        <f t="shared" ca="1" si="38"/>
        <v>0</v>
      </c>
      <c r="AJ99" s="55">
        <f t="shared" ca="1" si="39"/>
        <v>43.438594992664186</v>
      </c>
      <c r="AK99" s="55">
        <f t="shared" ca="1" si="40"/>
        <v>-8.5304992672742159</v>
      </c>
    </row>
    <row r="100" spans="18:37">
      <c r="R100" s="83">
        <f ca="1"/>
        <v>45469</v>
      </c>
      <c r="S100" s="55">
        <f t="shared" ca="1" si="33"/>
        <v>45469</v>
      </c>
      <c r="T100" s="55">
        <f t="shared" ca="1" si="27"/>
        <v>41.724470127062411</v>
      </c>
      <c r="U100" s="55">
        <f t="shared" ca="1" si="28"/>
        <v>13.773132918359519</v>
      </c>
      <c r="V100" s="55">
        <f t="shared" ca="1" si="29"/>
        <v>0</v>
      </c>
      <c r="W100" s="55">
        <f t="shared" ca="1" si="34"/>
        <v>-74.686910578602053</v>
      </c>
      <c r="X100" s="55">
        <f t="shared" ca="1" si="35"/>
        <v>47.206331001083555</v>
      </c>
      <c r="Y100" s="55">
        <f t="shared" ca="1" si="36"/>
        <v>31.630138368030412</v>
      </c>
      <c r="Z100">
        <f t="shared" ca="1" si="30"/>
        <v>120</v>
      </c>
      <c r="AA100">
        <f t="shared" ca="1" si="37"/>
        <v>179.10949777609764</v>
      </c>
      <c r="AB100">
        <f t="shared" ca="1" si="31"/>
        <v>0</v>
      </c>
      <c r="AC100">
        <f t="shared" ca="1" si="32"/>
        <v>0.15417876856878157</v>
      </c>
      <c r="AD100" s="83">
        <f ca="1"/>
        <v>45697</v>
      </c>
      <c r="AE100" s="55">
        <f t="shared" ca="1" si="41"/>
        <v>45697</v>
      </c>
      <c r="AF100" s="55">
        <f t="shared" ca="1" si="42"/>
        <v>15.330217592909509</v>
      </c>
      <c r="AG100" s="55">
        <f t="shared" ca="1" si="43"/>
        <v>34.783031193398166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43.86230454331357</v>
      </c>
      <c r="AK100" s="55">
        <f t="shared" ca="1" si="40"/>
        <v>-8.4709897857252727</v>
      </c>
    </row>
    <row r="101" spans="18:37">
      <c r="R101" s="83">
        <f ca="1"/>
        <v>45470</v>
      </c>
      <c r="S101" s="55">
        <f t="shared" ca="1" si="33"/>
        <v>45470</v>
      </c>
      <c r="T101" s="55">
        <f t="shared" ca="1" si="27"/>
        <v>40.76079766145196</v>
      </c>
      <c r="U101" s="55">
        <f t="shared" ca="1" si="28"/>
        <v>14.051367194279958</v>
      </c>
      <c r="V101" s="55">
        <f t="shared" ca="1" si="29"/>
        <v>0</v>
      </c>
      <c r="W101" s="55">
        <f t="shared" ca="1" si="34"/>
        <v>-75.934643884794269</v>
      </c>
      <c r="X101" s="55">
        <f t="shared" ca="1" si="35"/>
        <v>47.645745377169028</v>
      </c>
      <c r="Y101" s="55">
        <f t="shared" ca="1" si="36"/>
        <v>31.753019108447152</v>
      </c>
      <c r="Z101">
        <f t="shared" ca="1" si="30"/>
        <v>120</v>
      </c>
      <c r="AA101">
        <f t="shared" ca="1" si="37"/>
        <v>183.45949777609763</v>
      </c>
      <c r="AB101">
        <f t="shared" ca="1" si="31"/>
        <v>0</v>
      </c>
      <c r="AC101">
        <f t="shared" ca="1" si="32"/>
        <v>0.15892262082518185</v>
      </c>
      <c r="AD101" s="83">
        <f ca="1"/>
        <v>45698</v>
      </c>
      <c r="AE101" s="55">
        <f t="shared" ca="1" si="41"/>
        <v>45698</v>
      </c>
      <c r="AF101" s="55">
        <f t="shared" ca="1" si="42"/>
        <v>14.258488132809694</v>
      </c>
      <c r="AG101" s="55">
        <f t="shared" ca="1" si="43"/>
        <v>36.343560920764659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44.292233461139411</v>
      </c>
      <c r="AK101" s="55">
        <f t="shared" ca="1" si="40"/>
        <v>-8.4121184362844375</v>
      </c>
    </row>
    <row r="102" spans="18:37">
      <c r="R102" s="83">
        <f ca="1"/>
        <v>45471</v>
      </c>
      <c r="S102" s="55">
        <f t="shared" ca="1" si="33"/>
        <v>45471</v>
      </c>
      <c r="T102" s="55">
        <f t="shared" ca="1" si="27"/>
        <v>39.920969437305303</v>
      </c>
      <c r="U102" s="55">
        <f t="shared" ca="1" si="28"/>
        <v>14.340177829695367</v>
      </c>
      <c r="V102" s="55">
        <f t="shared" ca="1" si="29"/>
        <v>0</v>
      </c>
      <c r="W102" s="55">
        <f t="shared" ca="1" si="34"/>
        <v>-77.049917486518694</v>
      </c>
      <c r="X102" s="55">
        <f t="shared" ca="1" si="35"/>
        <v>48.089421623889081</v>
      </c>
      <c r="Y102" s="55">
        <f t="shared" ca="1" si="36"/>
        <v>31.873598874720265</v>
      </c>
      <c r="Z102">
        <f t="shared" ca="1" si="30"/>
        <v>120</v>
      </c>
      <c r="AA102">
        <f t="shared" ca="1" si="37"/>
        <v>187.42949777609763</v>
      </c>
      <c r="AB102">
        <f t="shared" ca="1" si="31"/>
        <v>0</v>
      </c>
      <c r="AC102">
        <f t="shared" ca="1" si="32"/>
        <v>0.16387025421830079</v>
      </c>
      <c r="AD102" s="83">
        <f ca="1"/>
        <v>45699</v>
      </c>
      <c r="AE102" s="55">
        <f t="shared" ca="1" si="41"/>
        <v>45699</v>
      </c>
      <c r="AF102" s="55">
        <f t="shared" ca="1" si="42"/>
        <v>13.125935242749957</v>
      </c>
      <c r="AG102" s="55">
        <f t="shared" ca="1" si="43"/>
        <v>37.975657345720997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44.731594868623546</v>
      </c>
      <c r="AK102" s="55">
        <f t="shared" ca="1" si="40"/>
        <v>-8.35193630887197</v>
      </c>
    </row>
    <row r="103" spans="18:37">
      <c r="R103" s="83">
        <f ca="1"/>
        <v>45472</v>
      </c>
      <c r="S103" s="55">
        <f t="shared" ca="1" si="33"/>
        <v>45472</v>
      </c>
      <c r="T103" s="55">
        <f t="shared" ca="1" si="27"/>
        <v>38.51779322826939</v>
      </c>
      <c r="U103" s="55">
        <f t="shared" ca="1" si="28"/>
        <v>14.639428197136636</v>
      </c>
      <c r="V103" s="55">
        <f t="shared" ca="1" si="29"/>
        <v>0</v>
      </c>
      <c r="W103" s="55">
        <f t="shared" ca="1" si="34"/>
        <v>-78.719592493717457</v>
      </c>
      <c r="X103" s="55">
        <f t="shared" ca="1" si="35"/>
        <v>48.536955852402635</v>
      </c>
      <c r="Y103" s="55">
        <f t="shared" ca="1" si="36"/>
        <v>31.991813811810822</v>
      </c>
      <c r="Z103">
        <f t="shared" ca="1" si="30"/>
        <v>120</v>
      </c>
      <c r="AA103">
        <f t="shared" ca="1" si="37"/>
        <v>193.58949777609763</v>
      </c>
      <c r="AB103">
        <f t="shared" ca="1" si="31"/>
        <v>0</v>
      </c>
      <c r="AC103">
        <f t="shared" ca="1" si="32"/>
        <v>0.16901965132386748</v>
      </c>
      <c r="AD103" s="83">
        <f ca="1"/>
        <v>45700</v>
      </c>
      <c r="AE103" s="55">
        <f t="shared" ca="1" si="41"/>
        <v>45700</v>
      </c>
      <c r="AF103" s="55">
        <f t="shared" ca="1" si="42"/>
        <v>11.946955575617963</v>
      </c>
      <c r="AG103" s="55">
        <f t="shared" ca="1" si="43"/>
        <v>39.659156304243339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45.174968554589476</v>
      </c>
      <c r="AK103" s="55">
        <f t="shared" ca="1" si="40"/>
        <v>-8.2907907034475485</v>
      </c>
    </row>
    <row r="104" spans="18:37">
      <c r="R104" s="83">
        <f ca="1"/>
        <v>45473</v>
      </c>
      <c r="S104" s="55">
        <f t="shared" ca="1" si="33"/>
        <v>45473</v>
      </c>
      <c r="T104" s="55">
        <f t="shared" ca="1" si="27"/>
        <v>38.215993046544099</v>
      </c>
      <c r="U104" s="55">
        <f t="shared" ca="1" si="28"/>
        <v>14.911422403826544</v>
      </c>
      <c r="V104" s="55">
        <f t="shared" ca="1" si="29"/>
        <v>0</v>
      </c>
      <c r="W104" s="55">
        <f t="shared" ca="1" si="34"/>
        <v>-79.281650672931633</v>
      </c>
      <c r="X104" s="55">
        <f t="shared" ca="1" si="35"/>
        <v>48.95875425395414</v>
      </c>
      <c r="Y104" s="55">
        <f t="shared" ca="1" si="36"/>
        <v>32.102267614438112</v>
      </c>
      <c r="Z104">
        <f t="shared" ca="1" si="30"/>
        <v>120</v>
      </c>
      <c r="AA104">
        <f t="shared" ca="1" si="37"/>
        <v>195.67949777609763</v>
      </c>
      <c r="AB104">
        <f t="shared" ca="1" si="31"/>
        <v>0</v>
      </c>
      <c r="AC104">
        <f t="shared" ca="1" si="32"/>
        <v>0.17371831234579307</v>
      </c>
      <c r="AD104" s="83">
        <f ca="1"/>
        <v>45701</v>
      </c>
      <c r="AE104" s="55">
        <f t="shared" ca="1" si="41"/>
        <v>45701</v>
      </c>
      <c r="AF104" s="55">
        <f t="shared" ca="1" si="42"/>
        <v>10.701865254583614</v>
      </c>
      <c r="AG104" s="55">
        <f t="shared" ca="1" si="43"/>
        <v>41.382409368166222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45.597761561855783</v>
      </c>
      <c r="AK104" s="55">
        <f t="shared" ca="1" si="40"/>
        <v>-8.2354209678253234</v>
      </c>
    </row>
    <row r="105" spans="18:37">
      <c r="R105" s="83">
        <f ca="1"/>
        <v>45474</v>
      </c>
      <c r="S105" s="55">
        <f t="shared" ca="1" si="33"/>
        <v>45474</v>
      </c>
      <c r="T105" s="55">
        <f t="shared" ca="1" si="27"/>
        <v>61.221708469677175</v>
      </c>
      <c r="U105" s="55">
        <f t="shared" ca="1" si="28"/>
        <v>15.161687908477383</v>
      </c>
      <c r="V105" s="55">
        <f t="shared" ca="1" si="29"/>
        <v>24</v>
      </c>
      <c r="W105" s="55">
        <f t="shared" ca="1" si="34"/>
        <v>-80.532126326899942</v>
      </c>
      <c r="X105" s="55">
        <f t="shared" ca="1" si="35"/>
        <v>49.360978586049214</v>
      </c>
      <c r="Y105" s="55">
        <f t="shared" ca="1" si="36"/>
        <v>32.206499864095257</v>
      </c>
      <c r="Z105">
        <f t="shared" ca="1" si="30"/>
        <v>120</v>
      </c>
      <c r="AA105">
        <f t="shared" ca="1" si="37"/>
        <v>198.61949777609763</v>
      </c>
      <c r="AB105">
        <f t="shared" ca="1" si="31"/>
        <v>0</v>
      </c>
      <c r="AC105">
        <f t="shared" ca="1" si="32"/>
        <v>0.17805545077762031</v>
      </c>
      <c r="AD105" s="83">
        <f ca="1"/>
        <v>45702</v>
      </c>
      <c r="AE105" s="55">
        <f t="shared" ca="1" si="41"/>
        <v>45702</v>
      </c>
      <c r="AF105" s="55">
        <f t="shared" ca="1" si="42"/>
        <v>9.397695747360638</v>
      </c>
      <c r="AG105" s="55">
        <f t="shared" ca="1" si="43"/>
        <v>43.164469791102519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46.020851627021003</v>
      </c>
      <c r="AK105" s="55">
        <f t="shared" ca="1" si="40"/>
        <v>-8.1806201172772219</v>
      </c>
    </row>
    <row r="106" spans="18:37">
      <c r="R106" s="83">
        <f ca="1"/>
        <v>45475</v>
      </c>
      <c r="S106" s="55">
        <f t="shared" ca="1" si="33"/>
        <v>45475</v>
      </c>
      <c r="T106" s="55">
        <f t="shared" ca="1" si="27"/>
        <v>60.61715082817669</v>
      </c>
      <c r="U106" s="55">
        <f t="shared" ca="1" si="28"/>
        <v>15.423219716535739</v>
      </c>
      <c r="V106" s="55">
        <f t="shared" ca="1" si="29"/>
        <v>0</v>
      </c>
      <c r="W106" s="55">
        <f t="shared" ca="1" si="34"/>
        <v>-81.385256597815015</v>
      </c>
      <c r="X106" s="55">
        <f t="shared" ca="1" si="35"/>
        <v>49.76844566226913</v>
      </c>
      <c r="Y106" s="55">
        <f t="shared" ca="1" si="36"/>
        <v>32.309137225348294</v>
      </c>
      <c r="Z106">
        <f t="shared" ca="1" si="30"/>
        <v>120</v>
      </c>
      <c r="AA106">
        <f t="shared" ca="1" si="37"/>
        <v>200.61949777609763</v>
      </c>
      <c r="AB106">
        <f t="shared" ca="1" si="31"/>
        <v>0</v>
      </c>
      <c r="AC106">
        <f t="shared" ca="1" si="32"/>
        <v>0.18260053697251247</v>
      </c>
      <c r="AD106" s="83">
        <f ca="1"/>
        <v>45703</v>
      </c>
      <c r="AE106" s="55">
        <f t="shared" ca="1" si="41"/>
        <v>45703</v>
      </c>
      <c r="AF106" s="55">
        <f t="shared" ca="1" si="42"/>
        <v>8.0610803647180607</v>
      </c>
      <c r="AG106" s="55">
        <f t="shared" ca="1" si="43"/>
        <v>44.9820075825819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46.445765355098764</v>
      </c>
      <c r="AK106" s="55">
        <f t="shared" ca="1" si="40"/>
        <v>-8.1246114365181796</v>
      </c>
    </row>
    <row r="107" spans="18:37">
      <c r="R107" s="83">
        <f ca="1"/>
        <v>45476</v>
      </c>
      <c r="S107" s="55">
        <f t="shared" ca="1" si="33"/>
        <v>45476</v>
      </c>
      <c r="T107" s="55">
        <f t="shared" ca="1" si="27"/>
        <v>59.200765921837224</v>
      </c>
      <c r="U107" s="55">
        <f t="shared" ca="1" si="28"/>
        <v>15.716404384679816</v>
      </c>
      <c r="V107" s="55">
        <f t="shared" ca="1" si="29"/>
        <v>0</v>
      </c>
      <c r="W107" s="55">
        <f t="shared" ca="1" si="34"/>
        <v>-83.039150587994342</v>
      </c>
      <c r="X107" s="55">
        <f t="shared" ca="1" si="35"/>
        <v>50.195647725801706</v>
      </c>
      <c r="Y107" s="55">
        <f t="shared" ca="1" si="36"/>
        <v>32.412628913799658</v>
      </c>
      <c r="Z107">
        <f t="shared" ca="1" si="30"/>
        <v>120</v>
      </c>
      <c r="AA107">
        <f t="shared" ca="1" si="37"/>
        <v>204.58949777609763</v>
      </c>
      <c r="AB107">
        <f t="shared" ca="1" si="31"/>
        <v>0</v>
      </c>
      <c r="AC107">
        <f t="shared" ca="1" si="32"/>
        <v>0.1877093487412588</v>
      </c>
      <c r="AD107" s="83">
        <f ca="1"/>
        <v>45704</v>
      </c>
      <c r="AE107" s="55">
        <f t="shared" ca="1" si="41"/>
        <v>45704</v>
      </c>
      <c r="AF107" s="55">
        <f t="shared" ca="1" si="42"/>
        <v>6.6717008549813244</v>
      </c>
      <c r="AG107" s="55">
        <f t="shared" ca="1" si="43"/>
        <v>46.845977384041923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46.865844018761663</v>
      </c>
      <c r="AK107" s="55">
        <f t="shared" ca="1" si="40"/>
        <v>-8.0700998084577904</v>
      </c>
    </row>
    <row r="108" spans="18:37">
      <c r="R108" s="83">
        <f ca="1"/>
        <v>45477</v>
      </c>
      <c r="S108" s="55">
        <f t="shared" ca="1" si="33"/>
        <v>45477</v>
      </c>
      <c r="T108" s="55">
        <f t="shared" ca="1" si="27"/>
        <v>58.797117422832507</v>
      </c>
      <c r="U108" s="55">
        <f t="shared" ca="1" si="28"/>
        <v>16.043940857286078</v>
      </c>
      <c r="V108" s="55">
        <f t="shared" ca="1" si="29"/>
        <v>0</v>
      </c>
      <c r="W108" s="55">
        <f t="shared" ca="1" si="34"/>
        <v>-83.66806197731708</v>
      </c>
      <c r="X108" s="55">
        <f t="shared" ca="1" si="35"/>
        <v>50.644042155468739</v>
      </c>
      <c r="Y108" s="55">
        <f t="shared" ca="1" si="36"/>
        <v>32.517033847056915</v>
      </c>
      <c r="Z108">
        <f t="shared" ca="1" si="30"/>
        <v>120</v>
      </c>
      <c r="AA108">
        <f t="shared" ca="1" si="37"/>
        <v>206.10949777609764</v>
      </c>
      <c r="AB108">
        <f t="shared" ca="1" si="31"/>
        <v>0</v>
      </c>
      <c r="AC108">
        <f t="shared" ca="1" si="32"/>
        <v>0.19343140344549814</v>
      </c>
      <c r="AD108" s="83">
        <f ca="1"/>
        <v>45705</v>
      </c>
      <c r="AE108" s="55">
        <f t="shared" ca="1" si="41"/>
        <v>45705</v>
      </c>
      <c r="AF108" s="55">
        <f t="shared" ca="1" si="42"/>
        <v>5.2570113354155001</v>
      </c>
      <c r="AG108" s="55">
        <f t="shared" ca="1" si="43"/>
        <v>48.767689998617712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47.311876622793363</v>
      </c>
      <c r="AK108" s="55">
        <f t="shared" ca="1" si="40"/>
        <v>-8.0091093174795276</v>
      </c>
    </row>
    <row r="109" spans="18:37">
      <c r="R109" s="83">
        <f ca="1"/>
        <v>45478</v>
      </c>
      <c r="S109" s="55">
        <f t="shared" ca="1" si="33"/>
        <v>45478</v>
      </c>
      <c r="T109" s="55">
        <f t="shared" ca="1" si="27"/>
        <v>57.741883020327748</v>
      </c>
      <c r="U109" s="55">
        <f t="shared" ca="1" si="28"/>
        <v>16.374945545920514</v>
      </c>
      <c r="V109" s="55">
        <f t="shared" ca="1" si="29"/>
        <v>0</v>
      </c>
      <c r="W109" s="55">
        <f t="shared" ca="1" si="34"/>
        <v>-84.939880415546298</v>
      </c>
      <c r="X109" s="55">
        <f t="shared" ca="1" si="35"/>
        <v>51.090288040941111</v>
      </c>
      <c r="Y109" s="55">
        <f t="shared" ca="1" si="36"/>
        <v>32.618376685943439</v>
      </c>
      <c r="Z109">
        <f t="shared" ca="1" si="30"/>
        <v>120</v>
      </c>
      <c r="AA109">
        <f t="shared" ca="1" si="37"/>
        <v>209.23949777609764</v>
      </c>
      <c r="AB109">
        <f t="shared" ca="1" si="31"/>
        <v>0</v>
      </c>
      <c r="AC109">
        <f t="shared" ca="1" si="32"/>
        <v>0.1992270628834463</v>
      </c>
      <c r="AD109" s="83">
        <f ca="1"/>
        <v>45706</v>
      </c>
      <c r="AE109" s="55">
        <f t="shared" ca="1" si="41"/>
        <v>45706</v>
      </c>
      <c r="AF109" s="55">
        <f t="shared" ca="1" si="42"/>
        <v>3.7656246002882234</v>
      </c>
      <c r="AG109" s="55">
        <f t="shared" ca="1" si="43"/>
        <v>50.759697023712043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47.753926939375816</v>
      </c>
      <c r="AK109" s="55">
        <f t="shared" ca="1" si="40"/>
        <v>-7.9505393440949277</v>
      </c>
    </row>
    <row r="110" spans="18:37">
      <c r="R110" s="83">
        <f ca="1"/>
        <v>45479</v>
      </c>
      <c r="S110" s="55">
        <f t="shared" ca="1" si="33"/>
        <v>45479</v>
      </c>
      <c r="T110" s="55">
        <f t="shared" ca="1" si="27"/>
        <v>57.360735550009295</v>
      </c>
      <c r="U110" s="55">
        <f t="shared" ca="1" si="28"/>
        <v>16.708750775812494</v>
      </c>
      <c r="V110" s="55">
        <f t="shared" ca="1" si="29"/>
        <v>0</v>
      </c>
      <c r="W110" s="55">
        <f t="shared" ca="1" si="34"/>
        <v>-85.529208861530478</v>
      </c>
      <c r="X110" s="55">
        <f t="shared" ca="1" si="35"/>
        <v>51.533964287661163</v>
      </c>
      <c r="Y110" s="55">
        <f t="shared" ca="1" si="36"/>
        <v>32.716686644781085</v>
      </c>
      <c r="Z110">
        <f t="shared" ca="1" si="30"/>
        <v>120</v>
      </c>
      <c r="AA110">
        <f t="shared" ca="1" si="37"/>
        <v>210.69949777609764</v>
      </c>
      <c r="AB110">
        <f t="shared" ca="1" si="31"/>
        <v>0</v>
      </c>
      <c r="AC110">
        <f t="shared" ca="1" si="32"/>
        <v>0.2050822284088325</v>
      </c>
      <c r="AD110" s="83">
        <f ca="1"/>
        <v>45707</v>
      </c>
      <c r="AE110" s="55">
        <f t="shared" ca="1" si="41"/>
        <v>45707</v>
      </c>
      <c r="AF110" s="55">
        <f t="shared" ca="1" si="42"/>
        <v>2.2087242771642321</v>
      </c>
      <c r="AG110" s="55">
        <f t="shared" ca="1" si="43"/>
        <v>52.807980538437931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48.189259165524454</v>
      </c>
      <c r="AK110" s="55">
        <f t="shared" ca="1" si="40"/>
        <v>-7.8944883786416682</v>
      </c>
    </row>
    <row r="111" spans="18:37">
      <c r="R111" s="83">
        <f ca="1"/>
        <v>45480</v>
      </c>
      <c r="S111" s="55">
        <f t="shared" ca="1" si="33"/>
        <v>45480</v>
      </c>
      <c r="T111" s="55">
        <f t="shared" ca="1" si="27"/>
        <v>56.588188283033759</v>
      </c>
      <c r="U111" s="55">
        <f t="shared" ca="1" si="28"/>
        <v>17.030467341386256</v>
      </c>
      <c r="V111" s="55">
        <f t="shared" ca="1" si="29"/>
        <v>0</v>
      </c>
      <c r="W111" s="55">
        <f t="shared" ca="1" si="34"/>
        <v>-86.504831144706486</v>
      </c>
      <c r="X111" s="55">
        <f t="shared" ca="1" si="35"/>
        <v>51.964933003293297</v>
      </c>
      <c r="Y111" s="55">
        <f t="shared" ca="1" si="36"/>
        <v>32.81050951092319</v>
      </c>
      <c r="Z111">
        <f t="shared" ca="1" si="30"/>
        <v>120</v>
      </c>
      <c r="AA111">
        <f t="shared" ca="1" si="37"/>
        <v>213.14949777609763</v>
      </c>
      <c r="AB111">
        <f t="shared" ca="1" si="31"/>
        <v>0</v>
      </c>
      <c r="AC111">
        <f t="shared" ca="1" si="32"/>
        <v>0.21073275556477916</v>
      </c>
      <c r="AD111" s="83">
        <f ca="1"/>
        <v>45708</v>
      </c>
      <c r="AE111" s="55">
        <f t="shared" ca="1" si="41"/>
        <v>45708</v>
      </c>
      <c r="AF111" s="55">
        <f t="shared" ca="1" si="42"/>
        <v>0.61200004568666255</v>
      </c>
      <c r="AG111" s="55">
        <f t="shared" ca="1" si="43"/>
        <v>54.921983145084035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48.64600811134585</v>
      </c>
      <c r="AK111" s="55">
        <f t="shared" ca="1" si="40"/>
        <v>-7.8339589492945265</v>
      </c>
    </row>
    <row r="112" spans="18:37">
      <c r="R112" s="83">
        <f ca="1"/>
        <v>45481</v>
      </c>
      <c r="S112" s="55">
        <f t="shared" ca="1" si="33"/>
        <v>45481</v>
      </c>
      <c r="T112" s="55">
        <f t="shared" ca="1" si="27"/>
        <v>55.549577256448011</v>
      </c>
      <c r="U112" s="55">
        <f t="shared" ca="1" si="28"/>
        <v>17.367411153316098</v>
      </c>
      <c r="V112" s="55">
        <f t="shared" ca="1" si="29"/>
        <v>0</v>
      </c>
      <c r="W112" s="55">
        <f t="shared" ca="1" si="34"/>
        <v>-87.736180107224413</v>
      </c>
      <c r="X112" s="55">
        <f t="shared" ca="1" si="35"/>
        <v>52.402226211846013</v>
      </c>
      <c r="Y112" s="55">
        <f t="shared" ca="1" si="36"/>
        <v>32.902898050232494</v>
      </c>
      <c r="Z112">
        <f t="shared" ca="1" si="30"/>
        <v>120</v>
      </c>
      <c r="AA112">
        <f t="shared" ca="1" si="37"/>
        <v>216.29949777609764</v>
      </c>
      <c r="AB112">
        <f t="shared" ca="1" si="31"/>
        <v>0</v>
      </c>
      <c r="AC112">
        <f t="shared" ca="1" si="32"/>
        <v>0.21665591213579199</v>
      </c>
      <c r="AD112" s="83">
        <f ca="1"/>
        <v>45709</v>
      </c>
      <c r="AE112" s="55">
        <f t="shared" ca="1" si="41"/>
        <v>45709</v>
      </c>
      <c r="AF112" s="55">
        <f t="shared" ca="1" si="42"/>
        <v>-1.0257766861401858</v>
      </c>
      <c r="AG112" s="55">
        <f t="shared" ca="1" si="43"/>
        <v>57.083835043183633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49.108656178956558</v>
      </c>
      <c r="AK112" s="55">
        <f t="shared" ca="1" si="40"/>
        <v>-7.7725318506324825</v>
      </c>
    </row>
    <row r="113" spans="18:37">
      <c r="R113" s="83">
        <f ca="1"/>
        <v>45482</v>
      </c>
      <c r="S113" s="55">
        <f t="shared" ca="1" si="33"/>
        <v>45482</v>
      </c>
      <c r="T113" s="55">
        <f t="shared" ca="1" si="27"/>
        <v>55.412833888820707</v>
      </c>
      <c r="U113" s="55">
        <f t="shared" ca="1" si="28"/>
        <v>17.66911652412594</v>
      </c>
      <c r="V113" s="55">
        <f t="shared" ca="1" si="29"/>
        <v>0</v>
      </c>
      <c r="W113" s="55">
        <f t="shared" ca="1" si="34"/>
        <v>-88.067630946966801</v>
      </c>
      <c r="X113" s="55">
        <f t="shared" ca="1" si="35"/>
        <v>52.812534295488959</v>
      </c>
      <c r="Y113" s="55">
        <f t="shared" ca="1" si="36"/>
        <v>32.989002809514474</v>
      </c>
      <c r="Z113">
        <f t="shared" ca="1" si="30"/>
        <v>120</v>
      </c>
      <c r="AA113">
        <f t="shared" ca="1" si="37"/>
        <v>217.14949777609763</v>
      </c>
      <c r="AB113">
        <f t="shared" ca="1" si="31"/>
        <v>0</v>
      </c>
      <c r="AC113">
        <f t="shared" ca="1" si="32"/>
        <v>0.22196198726051627</v>
      </c>
      <c r="AD113" s="83">
        <f ca="1"/>
        <v>45710</v>
      </c>
      <c r="AE113" s="55">
        <f t="shared" ca="1" si="41"/>
        <v>45710</v>
      </c>
      <c r="AF113" s="55">
        <f t="shared" ca="1" si="42"/>
        <v>-2.7129637095642849</v>
      </c>
      <c r="AG113" s="55">
        <f t="shared" ca="1" si="43"/>
        <v>59.27598709377672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49.555955054350136</v>
      </c>
      <c r="AK113" s="55">
        <f t="shared" ca="1" si="40"/>
        <v>-7.714865698857075</v>
      </c>
    </row>
    <row r="114" spans="18:37">
      <c r="R114" s="83">
        <f ca="1"/>
        <v>45483</v>
      </c>
      <c r="S114" s="55">
        <f t="shared" ca="1" si="33"/>
        <v>45483</v>
      </c>
      <c r="T114" s="55">
        <f t="shared" ca="1" si="27"/>
        <v>54.566703889132569</v>
      </c>
      <c r="U114" s="55">
        <f t="shared" ca="1" si="28"/>
        <v>17.952419240982771</v>
      </c>
      <c r="V114" s="55">
        <f t="shared" ca="1" si="29"/>
        <v>0</v>
      </c>
      <c r="W114" s="55">
        <f t="shared" ca="1" si="34"/>
        <v>-89.108238200022896</v>
      </c>
      <c r="X114" s="55">
        <f t="shared" ca="1" si="35"/>
        <v>53.208365521711642</v>
      </c>
      <c r="Y114" s="55">
        <f t="shared" ca="1" si="36"/>
        <v>33.070951553516572</v>
      </c>
      <c r="Z114">
        <f t="shared" ca="1" si="30"/>
        <v>120</v>
      </c>
      <c r="AA114">
        <f t="shared" ca="1" si="37"/>
        <v>219.85949777609764</v>
      </c>
      <c r="AB114">
        <f t="shared" ca="1" si="31"/>
        <v>0</v>
      </c>
      <c r="AC114">
        <f t="shared" ca="1" si="32"/>
        <v>0.22694476320199111</v>
      </c>
      <c r="AD114" s="83">
        <f ca="1"/>
        <v>45711</v>
      </c>
      <c r="AE114" s="55">
        <f t="shared" ca="1" si="41"/>
        <v>45711</v>
      </c>
      <c r="AF114" s="55">
        <f t="shared" ca="1" si="42"/>
        <v>-4.4416695208785768</v>
      </c>
      <c r="AG114" s="55">
        <f t="shared" ca="1" si="43"/>
        <v>61.519356546556857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50.011696468792053</v>
      </c>
      <c r="AK114" s="55">
        <f t="shared" ca="1" si="40"/>
        <v>-7.6559434718331438</v>
      </c>
    </row>
    <row r="115" spans="18:37">
      <c r="R115" s="83">
        <f ca="1"/>
        <v>45484</v>
      </c>
      <c r="S115" s="55">
        <f t="shared" ca="1" si="33"/>
        <v>45484</v>
      </c>
      <c r="T115" s="55">
        <f t="shared" ca="1" si="27"/>
        <v>52.602199545533999</v>
      </c>
      <c r="U115" s="55">
        <f t="shared" ca="1" si="28"/>
        <v>18.259033526148773</v>
      </c>
      <c r="V115" s="55">
        <f t="shared" ca="1" si="29"/>
        <v>0</v>
      </c>
      <c r="W115" s="55">
        <f t="shared" ca="1" si="34"/>
        <v>-91.255187233325799</v>
      </c>
      <c r="X115" s="55">
        <f t="shared" ca="1" si="35"/>
        <v>53.615832597931558</v>
      </c>
      <c r="Y115" s="55">
        <f t="shared" ca="1" si="36"/>
        <v>33.152543452167002</v>
      </c>
      <c r="Z115">
        <f t="shared" ca="1" si="30"/>
        <v>120</v>
      </c>
      <c r="AA115">
        <f t="shared" ca="1" si="37"/>
        <v>225.65949777609765</v>
      </c>
      <c r="AB115">
        <f t="shared" ca="1" si="31"/>
        <v>0</v>
      </c>
      <c r="AC115">
        <f t="shared" ca="1" si="32"/>
        <v>0.23233619113935719</v>
      </c>
      <c r="AD115" s="83">
        <f ca="1"/>
        <v>45712</v>
      </c>
      <c r="AE115" s="55">
        <f t="shared" ca="1" si="41"/>
        <v>45712</v>
      </c>
      <c r="AF115" s="55">
        <f t="shared" ca="1" si="42"/>
        <v>-6.1938410144443363</v>
      </c>
      <c r="AG115" s="55">
        <f t="shared" ca="1" si="43"/>
        <v>63.762037308342947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50.447253611278711</v>
      </c>
      <c r="AK115" s="55">
        <f t="shared" ca="1" si="40"/>
        <v>-7.6009913460994696</v>
      </c>
    </row>
    <row r="116" spans="18:37">
      <c r="R116" s="83">
        <f ca="1"/>
        <v>45485</v>
      </c>
      <c r="S116" s="55">
        <f t="shared" ca="1" si="33"/>
        <v>45485</v>
      </c>
      <c r="T116" s="55">
        <f t="shared" ca="1" si="27"/>
        <v>52.324827796633507</v>
      </c>
      <c r="U116" s="55">
        <f t="shared" ca="1" si="28"/>
        <v>18.582571476838648</v>
      </c>
      <c r="V116" s="55">
        <f t="shared" ca="1" si="29"/>
        <v>0</v>
      </c>
      <c r="W116" s="55">
        <f t="shared" ca="1" si="34"/>
        <v>-91.704405569742818</v>
      </c>
      <c r="X116" s="55">
        <f t="shared" ca="1" si="35"/>
        <v>54.030630612463526</v>
      </c>
      <c r="Y116" s="55">
        <f t="shared" ca="1" si="36"/>
        <v>33.233129975841443</v>
      </c>
      <c r="Z116">
        <f t="shared" ca="1" si="30"/>
        <v>120</v>
      </c>
      <c r="AA116">
        <f t="shared" ca="1" si="37"/>
        <v>226.87949777609765</v>
      </c>
      <c r="AB116">
        <f t="shared" ca="1" si="31"/>
        <v>0</v>
      </c>
      <c r="AC116">
        <f t="shared" ca="1" si="32"/>
        <v>0.23802173361247408</v>
      </c>
      <c r="AD116" s="83">
        <f ca="1"/>
        <v>45713</v>
      </c>
      <c r="AE116" s="55">
        <f t="shared" ca="1" si="41"/>
        <v>45713</v>
      </c>
      <c r="AF116" s="55">
        <f t="shared" ca="1" si="42"/>
        <v>-7.9644229808520288</v>
      </c>
      <c r="AG116" s="55">
        <f t="shared" ca="1" si="43"/>
        <v>65.992082434790618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50.856816289380461</v>
      </c>
      <c r="AK116" s="55">
        <f t="shared" ca="1" si="40"/>
        <v>-7.5510908641612389</v>
      </c>
    </row>
    <row r="117" spans="18:37">
      <c r="R117" s="83">
        <f ca="1"/>
        <v>45486</v>
      </c>
      <c r="S117" s="55">
        <f t="shared" ca="1" si="33"/>
        <v>45486</v>
      </c>
      <c r="T117" s="55">
        <f t="shared" ca="1" si="27"/>
        <v>51.314013881005984</v>
      </c>
      <c r="U117" s="55">
        <f t="shared" ca="1" si="28"/>
        <v>18.883621320940236</v>
      </c>
      <c r="V117" s="55">
        <f t="shared" ca="1" si="29"/>
        <v>0</v>
      </c>
      <c r="W117" s="55">
        <f t="shared" ca="1" si="34"/>
        <v>-92.888809030877738</v>
      </c>
      <c r="X117" s="55">
        <f t="shared" ca="1" si="35"/>
        <v>54.428851569647122</v>
      </c>
      <c r="Y117" s="55">
        <f t="shared" ca="1" si="36"/>
        <v>33.309548408266835</v>
      </c>
      <c r="Z117">
        <f t="shared" ca="1" si="30"/>
        <v>120</v>
      </c>
      <c r="AA117">
        <f t="shared" ca="1" si="37"/>
        <v>230.15949777609765</v>
      </c>
      <c r="AB117">
        <f t="shared" ca="1" si="31"/>
        <v>0</v>
      </c>
      <c r="AC117">
        <f t="shared" ca="1" si="32"/>
        <v>0.24330713175952423</v>
      </c>
      <c r="AD117" s="83">
        <f ca="1"/>
        <v>45714</v>
      </c>
      <c r="AE117" s="55">
        <f t="shared" ca="1" si="41"/>
        <v>45714</v>
      </c>
      <c r="AF117" s="55">
        <f t="shared" ca="1" si="42"/>
        <v>-9.7911712552395151</v>
      </c>
      <c r="AG117" s="55">
        <f t="shared" ca="1" si="43"/>
        <v>68.279846376986185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51.268499254528002</v>
      </c>
      <c r="AK117" s="55">
        <f t="shared" ca="1" si="40"/>
        <v>-7.5017581615006996</v>
      </c>
    </row>
    <row r="118" spans="18:37">
      <c r="R118" s="83">
        <f ca="1"/>
        <v>45487</v>
      </c>
      <c r="S118" s="55">
        <f t="shared" ca="1" si="33"/>
        <v>45487</v>
      </c>
      <c r="T118" s="55">
        <f t="shared" ca="1" si="27"/>
        <v>49.684693680805431</v>
      </c>
      <c r="U118" s="55">
        <f t="shared" ca="1" si="28"/>
        <v>19.251303926085118</v>
      </c>
      <c r="V118" s="55">
        <f t="shared" ca="1" si="29"/>
        <v>0</v>
      </c>
      <c r="W118" s="55">
        <f t="shared" ca="1" si="34"/>
        <v>-94.664944821274531</v>
      </c>
      <c r="X118" s="55">
        <f t="shared" ca="1" si="35"/>
        <v>54.864030115716538</v>
      </c>
      <c r="Y118" s="55">
        <f t="shared" ca="1" si="36"/>
        <v>33.388868057538538</v>
      </c>
      <c r="Z118">
        <f t="shared" ca="1" si="30"/>
        <v>120</v>
      </c>
      <c r="AA118">
        <f t="shared" ca="1" si="37"/>
        <v>235.23949777609764</v>
      </c>
      <c r="AB118">
        <f t="shared" ca="1" si="31"/>
        <v>0</v>
      </c>
      <c r="AC118">
        <f t="shared" ca="1" si="32"/>
        <v>0.2497535179379666</v>
      </c>
      <c r="AD118" s="83">
        <f ca="1"/>
        <v>45715</v>
      </c>
      <c r="AE118" s="55">
        <f t="shared" ca="1" si="41"/>
        <v>45715</v>
      </c>
      <c r="AF118" s="55">
        <f t="shared" ca="1" si="42"/>
        <v>-11.678758654796537</v>
      </c>
      <c r="AG118" s="55">
        <f t="shared" ca="1" si="43"/>
        <v>70.624614546170349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51.677961824035464</v>
      </c>
      <c r="AK118" s="55">
        <f t="shared" ca="1" si="40"/>
        <v>-7.4540399613810209</v>
      </c>
    </row>
    <row r="119" spans="18:37">
      <c r="R119" s="83">
        <f ca="1"/>
        <v>45488</v>
      </c>
      <c r="S119" s="55">
        <f t="shared" ca="1" si="33"/>
        <v>45488</v>
      </c>
      <c r="T119" s="55">
        <f t="shared" ca="1" si="27"/>
        <v>48.476432372514346</v>
      </c>
      <c r="U119" s="55">
        <f t="shared" ca="1" si="28"/>
        <v>19.665781252062249</v>
      </c>
      <c r="V119" s="55">
        <f t="shared" ca="1" si="29"/>
        <v>0</v>
      </c>
      <c r="W119" s="55">
        <f t="shared" ca="1" si="34"/>
        <v>-95.998764880887165</v>
      </c>
      <c r="X119" s="55">
        <f t="shared" ca="1" si="35"/>
        <v>55.323702370350269</v>
      </c>
      <c r="Y119" s="55">
        <f t="shared" ca="1" si="36"/>
        <v>33.469231880203481</v>
      </c>
      <c r="Z119">
        <f t="shared" ca="1" si="30"/>
        <v>120</v>
      </c>
      <c r="AA119">
        <f t="shared" ca="1" si="37"/>
        <v>239.14949777609763</v>
      </c>
      <c r="AB119">
        <f t="shared" ca="1" si="31"/>
        <v>0</v>
      </c>
      <c r="AC119">
        <f t="shared" ca="1" si="32"/>
        <v>0.25700538670148554</v>
      </c>
      <c r="AD119" s="83">
        <f ca="1"/>
        <v>45716</v>
      </c>
      <c r="AE119" s="55">
        <f t="shared" ca="1" si="41"/>
        <v>45716</v>
      </c>
      <c r="AF119" s="55">
        <f t="shared" ca="1" si="42"/>
        <v>-13.566228704042722</v>
      </c>
      <c r="AG119" s="55">
        <f t="shared" ca="1" si="43"/>
        <v>72.976075508607394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52.092608641132443</v>
      </c>
      <c r="AK119" s="55">
        <f t="shared" ca="1" si="40"/>
        <v>-7.4046958652871382</v>
      </c>
    </row>
    <row r="120" spans="18:37">
      <c r="R120" s="83">
        <f ca="1"/>
        <v>45489</v>
      </c>
      <c r="S120" s="55">
        <f t="shared" ca="1" si="33"/>
        <v>45489</v>
      </c>
      <c r="T120" s="55">
        <f t="shared" ca="1" si="27"/>
        <v>46.496732105437054</v>
      </c>
      <c r="U120" s="55">
        <f t="shared" ca="1" si="28"/>
        <v>20.070587644245506</v>
      </c>
      <c r="V120" s="55">
        <f t="shared" ca="1" si="29"/>
        <v>0</v>
      </c>
      <c r="W120" s="55">
        <f t="shared" ca="1" si="34"/>
        <v>-98.099383911339473</v>
      </c>
      <c r="X120" s="55">
        <f t="shared" ca="1" si="35"/>
        <v>55.772527292451095</v>
      </c>
      <c r="Y120" s="55">
        <f t="shared" ca="1" si="36"/>
        <v>33.546132113660917</v>
      </c>
      <c r="Z120">
        <f t="shared" ca="1" si="30"/>
        <v>120</v>
      </c>
      <c r="AA120">
        <f t="shared" ca="1" si="37"/>
        <v>245.56949777609765</v>
      </c>
      <c r="AB120">
        <f t="shared" ca="1" si="31"/>
        <v>0</v>
      </c>
      <c r="AC120">
        <f t="shared" ca="1" si="32"/>
        <v>0.26406925198296044</v>
      </c>
      <c r="AD120" s="83">
        <f ca="1"/>
        <v>45717</v>
      </c>
      <c r="AE120" s="55">
        <f t="shared" ca="1" si="41"/>
        <v>45717</v>
      </c>
      <c r="AF120" s="55">
        <f t="shared" ca="1" si="42"/>
        <v>-15.474897136072428</v>
      </c>
      <c r="AG120" s="55">
        <f t="shared" ca="1" si="43"/>
        <v>75.374252442622222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52.5289435176146</v>
      </c>
      <c r="AK120" s="55">
        <f t="shared" ca="1" si="40"/>
        <v>-7.3515222397841704</v>
      </c>
    </row>
    <row r="121" spans="18:37">
      <c r="R121" s="83">
        <f ca="1"/>
        <v>45490</v>
      </c>
      <c r="S121" s="55">
        <f t="shared" ca="1" si="33"/>
        <v>45490</v>
      </c>
      <c r="T121" s="55">
        <f t="shared" ca="1" si="27"/>
        <v>44.575303085411988</v>
      </c>
      <c r="U121" s="55">
        <f t="shared" ca="1" si="28"/>
        <v>20.45606067754051</v>
      </c>
      <c r="V121" s="55">
        <f t="shared" ca="1" si="29"/>
        <v>0</v>
      </c>
      <c r="W121" s="55">
        <f t="shared" ca="1" si="34"/>
        <v>-100.14142807379673</v>
      </c>
      <c r="X121" s="55">
        <f t="shared" ca="1" si="35"/>
        <v>56.205597675940176</v>
      </c>
      <c r="Y121" s="55">
        <f t="shared" ca="1" si="36"/>
        <v>33.619149905899029</v>
      </c>
      <c r="Z121">
        <f t="shared" ca="1" si="30"/>
        <v>120</v>
      </c>
      <c r="AA121">
        <f t="shared" ca="1" si="37"/>
        <v>252.07949777609764</v>
      </c>
      <c r="AB121">
        <f t="shared" ca="1" si="31"/>
        <v>0</v>
      </c>
      <c r="AC121">
        <f t="shared" ca="1" si="32"/>
        <v>0.27077536878517006</v>
      </c>
      <c r="AD121" s="83">
        <f ca="1"/>
        <v>45718</v>
      </c>
      <c r="AE121" s="55">
        <f t="shared" ca="1" si="41"/>
        <v>45718</v>
      </c>
      <c r="AF121" s="55">
        <f t="shared" ca="1" si="42"/>
        <v>-17.459166510486263</v>
      </c>
      <c r="AG121" s="55">
        <f t="shared" ca="1" si="43"/>
        <v>77.861796023052307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52.978365314548455</v>
      </c>
      <c r="AK121" s="55">
        <f t="shared" ca="1" si="40"/>
        <v>-7.2976698307017713</v>
      </c>
    </row>
    <row r="122" spans="18:37">
      <c r="R122" s="83">
        <f ca="1"/>
        <v>45491</v>
      </c>
      <c r="S122" s="55">
        <f t="shared" ca="1" si="33"/>
        <v>45491</v>
      </c>
      <c r="T122" s="55">
        <f t="shared" ca="1" si="27"/>
        <v>43.778890179607757</v>
      </c>
      <c r="U122" s="55">
        <f t="shared" ca="1" si="28"/>
        <v>20.838721499095385</v>
      </c>
      <c r="V122" s="55">
        <f t="shared" ca="1" si="29"/>
        <v>0</v>
      </c>
      <c r="W122" s="55">
        <f t="shared" ca="1" si="34"/>
        <v>-101.05332614183419</v>
      </c>
      <c r="X122" s="55">
        <f t="shared" ca="1" si="35"/>
        <v>56.63321721900261</v>
      </c>
      <c r="Y122" s="55">
        <f t="shared" ca="1" si="36"/>
        <v>33.689676346624701</v>
      </c>
      <c r="Z122">
        <f t="shared" ca="1" si="30"/>
        <v>120</v>
      </c>
      <c r="AA122">
        <f t="shared" ca="1" si="37"/>
        <v>255.03949777609765</v>
      </c>
      <c r="AB122">
        <f t="shared" ca="1" si="31"/>
        <v>0</v>
      </c>
      <c r="AC122">
        <f t="shared" ca="1" si="32"/>
        <v>0.27741011128304294</v>
      </c>
      <c r="AD122" s="83">
        <f ca="1"/>
        <v>45719</v>
      </c>
      <c r="AE122" s="55">
        <f t="shared" ca="1" si="41"/>
        <v>45719</v>
      </c>
      <c r="AF122" s="55">
        <f t="shared" ca="1" si="42"/>
        <v>-19.471882404653982</v>
      </c>
      <c r="AG122" s="55">
        <f t="shared" ca="1" si="43"/>
        <v>80.393965558186395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53.442132815205674</v>
      </c>
      <c r="AK122" s="55">
        <f t="shared" ca="1" si="40"/>
        <v>-7.2419836903926225</v>
      </c>
    </row>
    <row r="123" spans="18:37">
      <c r="R123" s="83">
        <f ca="1"/>
        <v>45492</v>
      </c>
      <c r="S123" s="55">
        <f t="shared" ca="1" si="33"/>
        <v>45492</v>
      </c>
      <c r="T123" s="55">
        <f t="shared" ca="1" si="27"/>
        <v>43.429135044729883</v>
      </c>
      <c r="U123" s="55">
        <f t="shared" ca="1" si="28"/>
        <v>21.264342879015928</v>
      </c>
      <c r="V123" s="55">
        <f t="shared" ca="1" si="29"/>
        <v>0</v>
      </c>
      <c r="W123" s="55">
        <f t="shared" ca="1" si="34"/>
        <v>-101.49646416793875</v>
      </c>
      <c r="X123" s="55">
        <f t="shared" ca="1" si="35"/>
        <v>57.081181417487116</v>
      </c>
      <c r="Y123" s="55">
        <f t="shared" ca="1" si="36"/>
        <v>33.760716419287419</v>
      </c>
      <c r="Z123">
        <f t="shared" ca="1" si="30"/>
        <v>120</v>
      </c>
      <c r="AA123">
        <f t="shared" ca="1" si="37"/>
        <v>256.48949777609766</v>
      </c>
      <c r="AB123">
        <f t="shared" ca="1" si="31"/>
        <v>0</v>
      </c>
      <c r="AC123">
        <f t="shared" ca="1" si="32"/>
        <v>0.28476029978518752</v>
      </c>
      <c r="AD123" s="83">
        <f ca="1"/>
        <v>45720</v>
      </c>
      <c r="AE123" s="55">
        <f t="shared" ca="1" si="41"/>
        <v>45720</v>
      </c>
      <c r="AF123" s="55">
        <f t="shared" ca="1" si="42"/>
        <v>-21.41162267298283</v>
      </c>
      <c r="AG123" s="55">
        <f t="shared" ca="1" si="43"/>
        <v>82.859949145281362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53.912699120339752</v>
      </c>
      <c r="AK123" s="55">
        <f t="shared" ca="1" si="40"/>
        <v>-7.1863066767605766</v>
      </c>
    </row>
    <row r="124" spans="18:37">
      <c r="R124" s="83">
        <f ca="1"/>
        <v>45493</v>
      </c>
      <c r="S124" s="55">
        <f t="shared" ca="1" si="33"/>
        <v>45493</v>
      </c>
      <c r="T124" s="55">
        <f t="shared" ca="1" si="27"/>
        <v>42.507372775226983</v>
      </c>
      <c r="U124" s="55">
        <f t="shared" ca="1" si="28"/>
        <v>21.660192907948129</v>
      </c>
      <c r="V124" s="55">
        <f t="shared" ca="1" si="29"/>
        <v>0</v>
      </c>
      <c r="W124" s="55">
        <f t="shared" ca="1" si="34"/>
        <v>-102.51648367983022</v>
      </c>
      <c r="X124" s="55">
        <f t="shared" ca="1" si="35"/>
        <v>57.508383481019692</v>
      </c>
      <c r="Y124" s="55">
        <f t="shared" ca="1" si="36"/>
        <v>33.827621627075615</v>
      </c>
      <c r="Z124">
        <f t="shared" ca="1" si="30"/>
        <v>120</v>
      </c>
      <c r="AA124">
        <f t="shared" ca="1" si="37"/>
        <v>259.89949777609769</v>
      </c>
      <c r="AB124">
        <f t="shared" ca="1" si="31"/>
        <v>0</v>
      </c>
      <c r="AC124">
        <f t="shared" ca="1" si="32"/>
        <v>0.29156570103975971</v>
      </c>
      <c r="AD124" s="83">
        <f ca="1"/>
        <v>45721</v>
      </c>
      <c r="AE124" s="55">
        <f t="shared" ca="1" si="41"/>
        <v>45721</v>
      </c>
      <c r="AF124" s="55">
        <f t="shared" ca="1" si="42"/>
        <v>-23.376569618411942</v>
      </c>
      <c r="AG124" s="55">
        <f t="shared" ca="1" si="43"/>
        <v>85.344199605240021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54.377582395778411</v>
      </c>
      <c r="AK124" s="55">
        <f t="shared" ca="1" si="40"/>
        <v>-7.1318864376696851</v>
      </c>
    </row>
    <row r="125" spans="18:37">
      <c r="R125" s="83">
        <f ca="1"/>
        <v>45494</v>
      </c>
      <c r="S125" s="55">
        <f t="shared" ca="1" si="33"/>
        <v>45494</v>
      </c>
      <c r="T125" s="55">
        <f t="shared" ca="1" si="27"/>
        <v>41.365088353518409</v>
      </c>
      <c r="U125" s="55">
        <f t="shared" ca="1" si="28"/>
        <v>22.108344726468591</v>
      </c>
      <c r="V125" s="55">
        <f t="shared" ca="1" si="29"/>
        <v>0</v>
      </c>
      <c r="W125" s="55">
        <f t="shared" ca="1" si="34"/>
        <v>-103.73031921695957</v>
      </c>
      <c r="X125" s="55">
        <f t="shared" ca="1" si="35"/>
        <v>57.960229168515696</v>
      </c>
      <c r="Y125" s="55">
        <f t="shared" ca="1" si="36"/>
        <v>33.895478873520858</v>
      </c>
      <c r="Z125">
        <f t="shared" ca="1" si="30"/>
        <v>120</v>
      </c>
      <c r="AA125">
        <f t="shared" ca="1" si="37"/>
        <v>264.06949777609771</v>
      </c>
      <c r="AB125">
        <f t="shared" ca="1" si="31"/>
        <v>0</v>
      </c>
      <c r="AC125">
        <f t="shared" ca="1" si="32"/>
        <v>0.29923131407482684</v>
      </c>
      <c r="AD125" s="83">
        <f ca="1"/>
        <v>45722</v>
      </c>
      <c r="AE125" s="55">
        <f t="shared" ca="1" si="41"/>
        <v>45722</v>
      </c>
      <c r="AF125" s="55">
        <f t="shared" ca="1" si="42"/>
        <v>-25.416378460429812</v>
      </c>
      <c r="AG125" s="55">
        <f t="shared" ca="1" si="43"/>
        <v>87.912871913182499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54.851437283873793</v>
      </c>
      <c r="AK125" s="55">
        <f t="shared" ca="1" si="40"/>
        <v>-7.076877859840458</v>
      </c>
    </row>
    <row r="126" spans="18:37">
      <c r="R126" s="83">
        <f ca="1"/>
        <v>45495</v>
      </c>
      <c r="S126" s="55">
        <f t="shared" ca="1" si="33"/>
        <v>45495</v>
      </c>
      <c r="T126" s="55">
        <f t="shared" ca="1" si="27"/>
        <v>39.560120409194781</v>
      </c>
      <c r="U126" s="55">
        <f t="shared" ca="1" si="28"/>
        <v>22.553822515952419</v>
      </c>
      <c r="V126" s="55">
        <f t="shared" ca="1" si="29"/>
        <v>0</v>
      </c>
      <c r="W126" s="55">
        <f t="shared" ca="1" si="34"/>
        <v>-105.60107335542105</v>
      </c>
      <c r="X126" s="55">
        <f t="shared" ca="1" si="35"/>
        <v>58.406046128465405</v>
      </c>
      <c r="Y126" s="55">
        <f t="shared" ca="1" si="36"/>
        <v>33.960925897192823</v>
      </c>
      <c r="Z126">
        <f t="shared" ca="1" si="30"/>
        <v>120</v>
      </c>
      <c r="AA126">
        <f t="shared" ca="1" si="37"/>
        <v>270.78949777609773</v>
      </c>
      <c r="AB126">
        <f t="shared" ca="1" si="31"/>
        <v>0</v>
      </c>
      <c r="AC126">
        <f t="shared" ca="1" si="32"/>
        <v>0.30680687797115253</v>
      </c>
      <c r="AD126" s="83">
        <f ca="1"/>
        <v>45723</v>
      </c>
      <c r="AE126" s="55">
        <f t="shared" ca="1" si="41"/>
        <v>45723</v>
      </c>
      <c r="AF126" s="55">
        <f t="shared" ca="1" si="42"/>
        <v>-27.421876645540753</v>
      </c>
      <c r="AG126" s="55">
        <f t="shared" ca="1" si="43"/>
        <v>90.426011643139859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55.307131158359518</v>
      </c>
      <c r="AK126" s="55">
        <f t="shared" ca="1" si="40"/>
        <v>-7.0249301894797682</v>
      </c>
    </row>
    <row r="127" spans="18:37">
      <c r="R127" s="83">
        <f ca="1"/>
        <v>45496</v>
      </c>
      <c r="S127" s="55">
        <f t="shared" ca="1" si="33"/>
        <v>45496</v>
      </c>
      <c r="T127" s="55">
        <f t="shared" ca="1" si="27"/>
        <v>38.830369295256446</v>
      </c>
      <c r="U127" s="55">
        <f t="shared" ca="1" si="28"/>
        <v>23.010799832954497</v>
      </c>
      <c r="V127" s="55">
        <f t="shared" ca="1" si="29"/>
        <v>0</v>
      </c>
      <c r="W127" s="55">
        <f t="shared" ca="1" si="34"/>
        <v>-106.38530299900266</v>
      </c>
      <c r="X127" s="55">
        <f t="shared" ca="1" si="35"/>
        <v>58.853580356978959</v>
      </c>
      <c r="Y127" s="55">
        <f t="shared" ca="1" si="36"/>
        <v>34.024847515324616</v>
      </c>
      <c r="Z127">
        <f t="shared" ca="1" si="30"/>
        <v>120</v>
      </c>
      <c r="AA127">
        <f t="shared" ca="1" si="37"/>
        <v>273.65949777609774</v>
      </c>
      <c r="AB127">
        <f t="shared" ca="1" si="31"/>
        <v>0</v>
      </c>
      <c r="AC127">
        <f t="shared" ca="1" si="32"/>
        <v>0.31452872578845603</v>
      </c>
      <c r="AD127" s="83">
        <f ca="1"/>
        <v>45724</v>
      </c>
      <c r="AE127" s="55">
        <f t="shared" ca="1" si="41"/>
        <v>45724</v>
      </c>
      <c r="AF127" s="55">
        <f t="shared" ca="1" si="42"/>
        <v>-29.507603749239383</v>
      </c>
      <c r="AG127" s="55">
        <f t="shared" ca="1" si="43"/>
        <v>93.010498305342978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55.755933598302995</v>
      </c>
      <c r="AK127" s="55">
        <f t="shared" ca="1" si="40"/>
        <v>-6.9749730709187574</v>
      </c>
    </row>
    <row r="128" spans="18:37">
      <c r="R128" s="83">
        <f ca="1"/>
        <v>45497</v>
      </c>
      <c r="S128" s="55">
        <f t="shared" ca="1" si="33"/>
        <v>45497</v>
      </c>
      <c r="T128" s="55">
        <f t="shared" ca="1" si="27"/>
        <v>37.955336234885102</v>
      </c>
      <c r="U128" s="55">
        <f t="shared" ca="1" si="28"/>
        <v>23.428997730696032</v>
      </c>
      <c r="V128" s="55">
        <f t="shared" ca="1" si="29"/>
        <v>0</v>
      </c>
      <c r="W128" s="55">
        <f t="shared" ca="1" si="34"/>
        <v>-107.3254707350727</v>
      </c>
      <c r="X128" s="55">
        <f t="shared" ca="1" si="35"/>
        <v>59.277036763735765</v>
      </c>
      <c r="Y128" s="55">
        <f t="shared" ca="1" si="36"/>
        <v>34.084723682008047</v>
      </c>
      <c r="Z128">
        <f t="shared" ca="1" si="30"/>
        <v>120</v>
      </c>
      <c r="AA128">
        <f t="shared" ca="1" si="37"/>
        <v>277.17949777609772</v>
      </c>
      <c r="AB128">
        <f t="shared" ca="1" si="31"/>
        <v>0</v>
      </c>
      <c r="AC128">
        <f t="shared" ca="1" si="32"/>
        <v>0.32154883426638353</v>
      </c>
      <c r="AD128" s="83">
        <f ca="1"/>
        <v>45725</v>
      </c>
      <c r="AE128" s="55">
        <f t="shared" ca="1" si="41"/>
        <v>45725</v>
      </c>
      <c r="AF128" s="55">
        <f t="shared" ca="1" si="42"/>
        <v>-31.630036765817415</v>
      </c>
      <c r="AG128" s="55">
        <f t="shared" ca="1" si="43"/>
        <v>95.648920207991836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56.220665166800359</v>
      </c>
      <c r="AK128" s="55">
        <f t="shared" ca="1" si="40"/>
        <v>-6.9237157533452951</v>
      </c>
    </row>
    <row r="129" spans="18:37">
      <c r="R129" s="83">
        <f ca="1"/>
        <v>45498</v>
      </c>
      <c r="S129" s="55">
        <f t="shared" ca="1" si="33"/>
        <v>45498</v>
      </c>
      <c r="T129" s="55">
        <f t="shared" ca="1" si="27"/>
        <v>37.449310942850026</v>
      </c>
      <c r="U129" s="55">
        <f t="shared" ca="1" si="28"/>
        <v>23.845727669666353</v>
      </c>
      <c r="V129" s="55">
        <f t="shared" ca="1" si="29"/>
        <v>0</v>
      </c>
      <c r="W129" s="55">
        <f t="shared" ca="1" si="34"/>
        <v>-107.89206493952285</v>
      </c>
      <c r="X129" s="55">
        <f t="shared" ca="1" si="35"/>
        <v>59.696355916036147</v>
      </c>
      <c r="Y129" s="55">
        <f t="shared" ca="1" si="36"/>
        <v>34.142703381093064</v>
      </c>
      <c r="Z129">
        <f t="shared" ca="1" si="30"/>
        <v>120</v>
      </c>
      <c r="AA129">
        <f t="shared" ca="1" si="37"/>
        <v>279.3294977760977</v>
      </c>
      <c r="AB129">
        <f t="shared" ca="1" si="31"/>
        <v>0</v>
      </c>
      <c r="AC129">
        <f t="shared" ca="1" si="32"/>
        <v>0.32849776509404549</v>
      </c>
      <c r="AD129" s="83">
        <f ca="1"/>
        <v>45726</v>
      </c>
      <c r="AE129" s="55">
        <f t="shared" ca="1" si="41"/>
        <v>45726</v>
      </c>
      <c r="AF129" s="55">
        <f t="shared" ca="1" si="42"/>
        <v>-33.75181342816213</v>
      </c>
      <c r="AG129" s="55">
        <f t="shared" ca="1" si="43"/>
        <v>98.263694209298095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56.665954401139878</v>
      </c>
      <c r="AK129" s="55">
        <f t="shared" ca="1" si="40"/>
        <v>-6.8760076487232666</v>
      </c>
    </row>
    <row r="130" spans="18:37">
      <c r="R130" s="83">
        <f ca="1"/>
        <v>45499</v>
      </c>
      <c r="S130" s="55">
        <f t="shared" ca="1" si="33"/>
        <v>45499</v>
      </c>
      <c r="T130" s="55">
        <f t="shared" ca="1" si="27"/>
        <v>36.496139082292629</v>
      </c>
      <c r="U130" s="55">
        <f t="shared" ca="1" si="28"/>
        <v>24.305182642374501</v>
      </c>
      <c r="V130" s="55">
        <f t="shared" ca="1" si="29"/>
        <v>0</v>
      </c>
      <c r="W130" s="55">
        <f t="shared" ca="1" si="34"/>
        <v>-108.88083996688201</v>
      </c>
      <c r="X130" s="55">
        <f t="shared" ca="1" si="35"/>
        <v>60.133225671852458</v>
      </c>
      <c r="Y130" s="55">
        <f t="shared" ca="1" si="36"/>
        <v>34.200891764786654</v>
      </c>
      <c r="Z130">
        <f t="shared" ca="1" si="30"/>
        <v>120</v>
      </c>
      <c r="AA130">
        <f t="shared" ca="1" si="37"/>
        <v>283.17949777609772</v>
      </c>
      <c r="AB130">
        <f t="shared" ca="1" si="31"/>
        <v>0</v>
      </c>
      <c r="AC130">
        <f t="shared" ca="1" si="32"/>
        <v>0.33610273430910426</v>
      </c>
      <c r="AD130" s="83">
        <f ca="1"/>
        <v>45727</v>
      </c>
      <c r="AE130" s="55">
        <f t="shared" ca="1" si="41"/>
        <v>45727</v>
      </c>
      <c r="AF130" s="55">
        <f t="shared" ca="1" si="42"/>
        <v>-35.817080299087394</v>
      </c>
      <c r="AG130" s="55">
        <f t="shared" ca="1" si="43"/>
        <v>100.86722332416819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57.155338847472336</v>
      </c>
      <c r="AK130" s="55">
        <f t="shared" ca="1" si="40"/>
        <v>-6.8271298511108895</v>
      </c>
    </row>
    <row r="131" spans="18:37">
      <c r="R131" s="83">
        <f ca="1"/>
        <v>45500</v>
      </c>
      <c r="S131" s="55">
        <f t="shared" ca="1" si="33"/>
        <v>45500</v>
      </c>
      <c r="T131" s="55">
        <f t="shared" ca="1" si="27"/>
        <v>36.006685490053115</v>
      </c>
      <c r="U131" s="55">
        <f t="shared" ca="1" si="28"/>
        <v>24.780550472249324</v>
      </c>
      <c r="V131" s="55">
        <f t="shared" ca="1" si="29"/>
        <v>0</v>
      </c>
      <c r="W131" s="55">
        <f t="shared" ca="1" si="34"/>
        <v>-109.3926683332184</v>
      </c>
      <c r="X131" s="55">
        <f t="shared" ca="1" si="35"/>
        <v>60.573915873009881</v>
      </c>
      <c r="Y131" s="55">
        <f t="shared" ca="1" si="36"/>
        <v>34.257944167600932</v>
      </c>
      <c r="Z131">
        <f t="shared" ca="1" si="30"/>
        <v>120</v>
      </c>
      <c r="AA131">
        <f t="shared" ca="1" si="37"/>
        <v>285.1994977760977</v>
      </c>
      <c r="AB131">
        <f t="shared" ca="1" si="31"/>
        <v>0</v>
      </c>
      <c r="AC131">
        <f t="shared" ca="1" si="32"/>
        <v>0.34390610998144583</v>
      </c>
      <c r="AD131" s="83">
        <f ca="1"/>
        <v>45728</v>
      </c>
      <c r="AE131" s="55">
        <f t="shared" ca="1" si="41"/>
        <v>45728</v>
      </c>
      <c r="AF131" s="55">
        <f t="shared" ca="1" si="42"/>
        <v>-37.911978404135006</v>
      </c>
      <c r="AG131" s="55">
        <f t="shared" ca="1" si="43"/>
        <v>103.50738957149667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57.652018540657849</v>
      </c>
      <c r="AK131" s="55">
        <f t="shared" ca="1" si="40"/>
        <v>-6.7785414020155343</v>
      </c>
    </row>
    <row r="132" spans="18:37">
      <c r="R132" s="83">
        <f ca="1"/>
        <v>45501</v>
      </c>
      <c r="S132" s="55">
        <f t="shared" ca="1" si="33"/>
        <v>45501</v>
      </c>
      <c r="T132" s="55">
        <f t="shared" ca="1" si="27"/>
        <v>34.970191068337648</v>
      </c>
      <c r="U132" s="55">
        <f t="shared" ca="1" si="28"/>
        <v>25.281238432117714</v>
      </c>
      <c r="V132" s="55">
        <f t="shared" ca="1" si="29"/>
        <v>0</v>
      </c>
      <c r="W132" s="55">
        <f t="shared" ca="1" si="34"/>
        <v>-110.43361435401924</v>
      </c>
      <c r="X132" s="55">
        <f t="shared" ca="1" si="35"/>
        <v>61.022740795110707</v>
      </c>
      <c r="Y132" s="55">
        <f t="shared" ca="1" si="36"/>
        <v>34.314258804453878</v>
      </c>
      <c r="Z132">
        <f t="shared" ca="1" si="30"/>
        <v>120</v>
      </c>
      <c r="AA132">
        <f t="shared" ca="1" si="37"/>
        <v>289.42949777609772</v>
      </c>
      <c r="AB132">
        <f t="shared" ca="1" si="31"/>
        <v>0</v>
      </c>
      <c r="AC132">
        <f t="shared" ca="1" si="32"/>
        <v>0.35205072583939773</v>
      </c>
      <c r="AD132" s="83">
        <f ca="1"/>
        <v>45729</v>
      </c>
      <c r="AE132" s="55">
        <f t="shared" ca="1" si="41"/>
        <v>45729</v>
      </c>
      <c r="AF132" s="55">
        <f t="shared" ca="1" si="42"/>
        <v>-39.991383563100946</v>
      </c>
      <c r="AG132" s="55">
        <f t="shared" ca="1" si="43"/>
        <v>106.10094422510899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58.119674576872576</v>
      </c>
      <c r="AK132" s="55">
        <f t="shared" ca="1" si="40"/>
        <v>-6.7320479435838863</v>
      </c>
    </row>
    <row r="133" spans="18:37">
      <c r="R133" s="83">
        <f ca="1"/>
        <v>45502</v>
      </c>
      <c r="S133" s="55">
        <f t="shared" ca="1" si="33"/>
        <v>45502</v>
      </c>
      <c r="T133" s="55">
        <f t="shared" ca="1" si="27"/>
        <v>34.630573075665758</v>
      </c>
      <c r="U133" s="55">
        <f t="shared" ca="1" si="28"/>
        <v>25.790199911278375</v>
      </c>
      <c r="V133" s="55">
        <f t="shared" ca="1" si="29"/>
        <v>0</v>
      </c>
      <c r="W133" s="55">
        <f t="shared" ca="1" si="34"/>
        <v>-110.76747873074501</v>
      </c>
      <c r="X133" s="55">
        <f t="shared" ca="1" si="35"/>
        <v>61.47113522477774</v>
      </c>
      <c r="Y133" s="55">
        <f t="shared" ca="1" si="36"/>
        <v>34.369072238001387</v>
      </c>
      <c r="Z133">
        <f t="shared" ca="1" si="30"/>
        <v>120</v>
      </c>
      <c r="AA133">
        <f t="shared" ca="1" si="37"/>
        <v>290.79949777609772</v>
      </c>
      <c r="AB133">
        <f t="shared" ca="1" si="31"/>
        <v>0</v>
      </c>
      <c r="AC133">
        <f t="shared" ca="1" si="32"/>
        <v>0.36024877748549411</v>
      </c>
      <c r="AD133" s="83">
        <f ca="1"/>
        <v>45730</v>
      </c>
      <c r="AE133" s="55">
        <f t="shared" ca="1" si="41"/>
        <v>45730</v>
      </c>
      <c r="AF133" s="55">
        <f t="shared" ca="1" si="42"/>
        <v>-42.087661354006791</v>
      </c>
      <c r="AG133" s="55">
        <f t="shared" ca="1" si="43"/>
        <v>108.69885689337971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58.57565980970142</v>
      </c>
      <c r="AK133" s="55">
        <f t="shared" ca="1" si="40"/>
        <v>-6.6863982990478519</v>
      </c>
    </row>
    <row r="134" spans="18:37">
      <c r="R134" s="83">
        <f ca="1"/>
        <v>45503</v>
      </c>
      <c r="S134" s="55">
        <f t="shared" ca="1" si="33"/>
        <v>45503</v>
      </c>
      <c r="T134" s="55">
        <f t="shared" ca="1" si="27"/>
        <v>33.906181721211922</v>
      </c>
      <c r="U134" s="55">
        <f t="shared" ca="1" si="28"/>
        <v>26.316723126211496</v>
      </c>
      <c r="V134" s="55">
        <f t="shared" ca="1" si="29"/>
        <v>0</v>
      </c>
      <c r="W134" s="55">
        <f t="shared" ca="1" si="34"/>
        <v>-111.47134594758721</v>
      </c>
      <c r="X134" s="55">
        <f t="shared" ca="1" si="35"/>
        <v>61.923413496140313</v>
      </c>
      <c r="Y134" s="55">
        <f t="shared" ca="1" si="36"/>
        <v>34.422793043960297</v>
      </c>
      <c r="Z134">
        <f t="shared" ca="1" si="30"/>
        <v>120</v>
      </c>
      <c r="AA134">
        <f t="shared" ca="1" si="37"/>
        <v>293.74949777609771</v>
      </c>
      <c r="AB134">
        <f t="shared" ca="1" si="31"/>
        <v>0</v>
      </c>
      <c r="AC134">
        <f t="shared" ca="1" si="32"/>
        <v>0.36864070940459881</v>
      </c>
      <c r="AD134" s="83">
        <f ca="1"/>
        <v>45731</v>
      </c>
      <c r="AE134" s="55">
        <f t="shared" ca="1" si="41"/>
        <v>45731</v>
      </c>
      <c r="AF134" s="55">
        <f t="shared" ca="1" si="42"/>
        <v>-44.164139606084504</v>
      </c>
      <c r="AG134" s="55">
        <f t="shared" ca="1" si="43"/>
        <v>111.27479066887825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59.030789298582391</v>
      </c>
      <c r="AK134" s="55">
        <f t="shared" ca="1" si="40"/>
        <v>-6.6420722645079948</v>
      </c>
    </row>
    <row r="135" spans="18:37">
      <c r="R135" s="83">
        <f ca="1"/>
        <v>45504</v>
      </c>
      <c r="S135" s="55">
        <f t="shared" ca="1" si="33"/>
        <v>45504</v>
      </c>
      <c r="T135" s="55">
        <f t="shared" ca="1" si="27"/>
        <v>33.302729207561363</v>
      </c>
      <c r="U135" s="55">
        <f t="shared" ca="1" si="28"/>
        <v>26.85764298155603</v>
      </c>
      <c r="V135" s="55">
        <f t="shared" ca="1" si="29"/>
        <v>0</v>
      </c>
      <c r="W135" s="55">
        <f t="shared" ca="1" si="34"/>
        <v>-112.04082261703651</v>
      </c>
      <c r="X135" s="55">
        <f t="shared" ca="1" si="35"/>
        <v>62.377858611710401</v>
      </c>
      <c r="Y135" s="55">
        <f t="shared" ca="1" si="36"/>
        <v>34.475291939533484</v>
      </c>
      <c r="Z135">
        <f t="shared" ca="1" si="30"/>
        <v>120</v>
      </c>
      <c r="AA135">
        <f t="shared" ca="1" si="37"/>
        <v>296.17949777609772</v>
      </c>
      <c r="AB135">
        <f t="shared" ca="1" si="31"/>
        <v>0</v>
      </c>
      <c r="AC135">
        <f t="shared" ca="1" si="32"/>
        <v>0.37716502543890135</v>
      </c>
      <c r="AD135" s="83">
        <f ca="1"/>
        <v>45732</v>
      </c>
      <c r="AE135" s="55">
        <f t="shared" ca="1" si="41"/>
        <v>45732</v>
      </c>
      <c r="AF135" s="55">
        <f t="shared" ca="1" si="42"/>
        <v>-46.253548540357343</v>
      </c>
      <c r="AG135" s="55">
        <f t="shared" ca="1" si="43"/>
        <v>113.86982739944514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59.492476317989968</v>
      </c>
      <c r="AK135" s="55">
        <f t="shared" ca="1" si="40"/>
        <v>-6.5981314876215222</v>
      </c>
    </row>
    <row r="136" spans="18:37">
      <c r="R136" s="83">
        <f ca="1"/>
        <v>45505</v>
      </c>
      <c r="S136" s="55">
        <f t="shared" ca="1" si="33"/>
        <v>45505</v>
      </c>
      <c r="T136" s="55">
        <f t="shared" ca="1" si="27"/>
        <v>32.253658024058204</v>
      </c>
      <c r="U136" s="55">
        <f t="shared" ca="1" si="28"/>
        <v>27.441076528539639</v>
      </c>
      <c r="V136" s="55">
        <f t="shared" ca="1" si="29"/>
        <v>0</v>
      </c>
      <c r="W136" s="55">
        <f t="shared" ca="1" si="34"/>
        <v>-113.02814292655074</v>
      </c>
      <c r="X136" s="55">
        <f t="shared" ca="1" si="35"/>
        <v>62.847212088836585</v>
      </c>
      <c r="Y136" s="55">
        <f t="shared" ca="1" si="36"/>
        <v>34.527621135401972</v>
      </c>
      <c r="Z136">
        <f t="shared" ca="1" si="30"/>
        <v>120</v>
      </c>
      <c r="AA136">
        <f t="shared" ca="1" si="37"/>
        <v>300.52949777609774</v>
      </c>
      <c r="AB136">
        <f t="shared" ca="1" si="31"/>
        <v>0</v>
      </c>
      <c r="AC136">
        <f t="shared" ca="1" si="32"/>
        <v>0.3862460408091713</v>
      </c>
      <c r="AD136" s="83">
        <f ca="1"/>
        <v>45733</v>
      </c>
      <c r="AE136" s="55">
        <f t="shared" ca="1" si="41"/>
        <v>45733</v>
      </c>
      <c r="AF136" s="55">
        <f t="shared" ca="1" si="42"/>
        <v>-48.33963074009587</v>
      </c>
      <c r="AG136" s="55">
        <f t="shared" ca="1" si="43"/>
        <v>116.45764959303058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59.951145896728796</v>
      </c>
      <c r="AK136" s="55">
        <f t="shared" ca="1" si="40"/>
        <v>-6.5550610725134426</v>
      </c>
    </row>
    <row r="137" spans="18:37">
      <c r="R137" s="83">
        <f ca="1"/>
        <v>45506</v>
      </c>
      <c r="S137" s="55">
        <f t="shared" ca="1" si="33"/>
        <v>45506</v>
      </c>
      <c r="T137" s="55">
        <f t="shared" ca="1" si="27"/>
        <v>31.780061536086297</v>
      </c>
      <c r="U137" s="55">
        <f t="shared" ca="1" si="28"/>
        <v>28.029072317007731</v>
      </c>
      <c r="V137" s="55">
        <f t="shared" ca="1" si="29"/>
        <v>0</v>
      </c>
      <c r="W137" s="55">
        <f t="shared" ca="1" si="34"/>
        <v>-113.4306903726745</v>
      </c>
      <c r="X137" s="55">
        <f t="shared" ca="1" si="35"/>
        <v>63.313471383521112</v>
      </c>
      <c r="Y137" s="55">
        <f t="shared" ca="1" si="36"/>
        <v>34.578308587337389</v>
      </c>
      <c r="Z137">
        <f t="shared" ca="1" si="30"/>
        <v>120</v>
      </c>
      <c r="AA137">
        <f t="shared" ca="1" si="37"/>
        <v>302.32949777609775</v>
      </c>
      <c r="AB137">
        <f t="shared" ca="1" si="31"/>
        <v>0</v>
      </c>
      <c r="AC137">
        <f t="shared" ca="1" si="32"/>
        <v>0.39527628523545227</v>
      </c>
      <c r="AD137" s="83">
        <f ca="1"/>
        <v>45734</v>
      </c>
      <c r="AE137" s="55">
        <f t="shared" ca="1" si="41"/>
        <v>45734</v>
      </c>
      <c r="AF137" s="55">
        <f t="shared" ca="1" si="42"/>
        <v>-50.42309102657056</v>
      </c>
      <c r="AG137" s="55">
        <f t="shared" ca="1" si="43"/>
        <v>119.02668725698234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60.394791107626688</v>
      </c>
      <c r="AK137" s="55">
        <f t="shared" ca="1" si="40"/>
        <v>-6.5131289059342592</v>
      </c>
    </row>
    <row r="138" spans="18:37">
      <c r="R138" s="83">
        <f ca="1"/>
        <v>45507</v>
      </c>
      <c r="S138" s="55">
        <f t="shared" ca="1" si="33"/>
        <v>45507</v>
      </c>
      <c r="T138" s="55">
        <f t="shared" ca="1" si="27"/>
        <v>30.913559820552088</v>
      </c>
      <c r="U138" s="55">
        <f t="shared" ca="1" si="28"/>
        <v>28.619417908478773</v>
      </c>
      <c r="V138" s="55">
        <f t="shared" ca="1" si="29"/>
        <v>0</v>
      </c>
      <c r="W138" s="55">
        <f t="shared" ca="1" si="34"/>
        <v>-114.21818468543657</v>
      </c>
      <c r="X138" s="55">
        <f t="shared" ca="1" si="35"/>
        <v>63.775771365826586</v>
      </c>
      <c r="Y138" s="55">
        <f t="shared" ca="1" si="36"/>
        <v>34.627346793730808</v>
      </c>
      <c r="Z138">
        <f t="shared" ca="1" si="30"/>
        <v>120</v>
      </c>
      <c r="AA138">
        <f t="shared" ca="1" si="37"/>
        <v>305.94949777609776</v>
      </c>
      <c r="AB138">
        <f t="shared" ca="1" si="31"/>
        <v>0</v>
      </c>
      <c r="AC138">
        <f t="shared" ca="1" si="32"/>
        <v>0.40421707900122023</v>
      </c>
      <c r="AD138" s="83">
        <f ca="1"/>
        <v>45735</v>
      </c>
      <c r="AE138" s="55">
        <f t="shared" ca="1" si="41"/>
        <v>45735</v>
      </c>
      <c r="AF138" s="55">
        <f t="shared" ca="1" si="42"/>
        <v>-52.462316041818141</v>
      </c>
      <c r="AG138" s="55">
        <f t="shared" ca="1" si="43"/>
        <v>121.52064781665622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60.811346128420794</v>
      </c>
      <c r="AK138" s="55">
        <f t="shared" ca="1" si="40"/>
        <v>-6.4749483823020633</v>
      </c>
    </row>
    <row r="139" spans="18:37">
      <c r="R139" s="83">
        <f ca="1"/>
        <v>45508</v>
      </c>
      <c r="S139" s="55">
        <f t="shared" ca="1" si="33"/>
        <v>45508</v>
      </c>
      <c r="T139" s="55">
        <f t="shared" ca="1" si="27"/>
        <v>47.665935756995495</v>
      </c>
      <c r="U139" s="55">
        <f t="shared" ca="1" si="28"/>
        <v>29.191546539911087</v>
      </c>
      <c r="V139" s="55">
        <f t="shared" ca="1" si="29"/>
        <v>18</v>
      </c>
      <c r="W139" s="55">
        <f t="shared" ca="1" si="34"/>
        <v>-115.39017427149533</v>
      </c>
      <c r="X139" s="55">
        <f t="shared" ca="1" si="35"/>
        <v>64.225458056707296</v>
      </c>
      <c r="Y139" s="55">
        <f t="shared" ca="1" si="36"/>
        <v>34.674154256784576</v>
      </c>
      <c r="Z139">
        <f t="shared" ca="1" si="30"/>
        <v>120</v>
      </c>
      <c r="AA139">
        <f t="shared" ca="1" si="37"/>
        <v>309.49949777609777</v>
      </c>
      <c r="AB139">
        <f t="shared" ca="1" si="31"/>
        <v>0</v>
      </c>
      <c r="AC139">
        <f t="shared" ca="1" si="32"/>
        <v>0.41275989784548811</v>
      </c>
      <c r="AD139" s="83">
        <f ca="1"/>
        <v>45736</v>
      </c>
      <c r="AE139" s="55">
        <f t="shared" ca="1" si="41"/>
        <v>45736</v>
      </c>
      <c r="AF139" s="55">
        <f t="shared" ca="1" si="42"/>
        <v>-54.484236229481823</v>
      </c>
      <c r="AG139" s="55">
        <f t="shared" ca="1" si="43"/>
        <v>124.00991072605858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61.239611843628708</v>
      </c>
      <c r="AK139" s="55">
        <f t="shared" ca="1" si="40"/>
        <v>-6.4358713757712991</v>
      </c>
    </row>
    <row r="140" spans="18:37">
      <c r="R140" s="83">
        <f ca="1"/>
        <v>45509</v>
      </c>
      <c r="S140" s="55">
        <f t="shared" ca="1" si="33"/>
        <v>45509</v>
      </c>
      <c r="T140" s="55">
        <f t="shared" ca="1" si="27"/>
        <v>46.699434832130144</v>
      </c>
      <c r="U140" s="55">
        <f t="shared" ca="1" si="28"/>
        <v>29.765640660571549</v>
      </c>
      <c r="V140" s="55">
        <f t="shared" ca="1" si="29"/>
        <v>0</v>
      </c>
      <c r="W140" s="55">
        <f t="shared" ca="1" si="34"/>
        <v>-116.27417727678058</v>
      </c>
      <c r="X140" s="55">
        <f t="shared" ca="1" si="35"/>
        <v>64.671703942179676</v>
      </c>
      <c r="Y140" s="55">
        <f t="shared" ca="1" si="36"/>
        <v>34.719504572392566</v>
      </c>
      <c r="Z140">
        <f t="shared" ca="1" si="30"/>
        <v>120</v>
      </c>
      <c r="AA140">
        <f t="shared" ca="1" si="37"/>
        <v>312.18949777609777</v>
      </c>
      <c r="AB140">
        <f t="shared" ca="1" si="31"/>
        <v>0</v>
      </c>
      <c r="AC140">
        <f t="shared" ca="1" si="32"/>
        <v>0.42120960158389281</v>
      </c>
      <c r="AD140" s="83">
        <f ca="1"/>
        <v>45737</v>
      </c>
      <c r="AE140" s="55">
        <f t="shared" ca="1" si="41"/>
        <v>45737</v>
      </c>
      <c r="AF140" s="55">
        <f t="shared" ca="1" si="42"/>
        <v>-56.544423855823091</v>
      </c>
      <c r="AG140" s="55">
        <f t="shared" ca="1" si="43"/>
        <v>126.52479291178861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61.657892908820209</v>
      </c>
      <c r="AK140" s="55">
        <f t="shared" ca="1" si="40"/>
        <v>-6.3994578815740368</v>
      </c>
    </row>
    <row r="141" spans="18:37">
      <c r="R141" s="83">
        <f ca="1"/>
        <v>45510</v>
      </c>
      <c r="S141" s="55">
        <f t="shared" ca="1" si="33"/>
        <v>45510</v>
      </c>
      <c r="T141" s="55">
        <f t="shared" ca="1" si="27"/>
        <v>46.022813675024068</v>
      </c>
      <c r="U141" s="55">
        <f t="shared" ca="1" si="28"/>
        <v>30.361286290585038</v>
      </c>
      <c r="V141" s="55">
        <f t="shared" ca="1" si="29"/>
        <v>0</v>
      </c>
      <c r="W141" s="55">
        <f t="shared" ca="1" si="34"/>
        <v>-116.85065563177662</v>
      </c>
      <c r="X141" s="55">
        <f t="shared" ca="1" si="35"/>
        <v>65.122685246604036</v>
      </c>
      <c r="Y141" s="55">
        <f t="shared" ca="1" si="36"/>
        <v>34.764026095871671</v>
      </c>
      <c r="Z141">
        <f t="shared" ca="1" si="30"/>
        <v>120</v>
      </c>
      <c r="AA141">
        <f t="shared" ca="1" si="37"/>
        <v>313.9694977760978</v>
      </c>
      <c r="AB141">
        <f t="shared" ca="1" si="31"/>
        <v>0</v>
      </c>
      <c r="AC141">
        <f t="shared" ca="1" si="32"/>
        <v>0.42984539456837223</v>
      </c>
      <c r="AD141" s="83">
        <f ca="1"/>
        <v>45738</v>
      </c>
      <c r="AE141" s="55">
        <f t="shared" ca="1" si="41"/>
        <v>45738</v>
      </c>
      <c r="AF141" s="55">
        <f t="shared" ca="1" si="42"/>
        <v>-58.571699478813393</v>
      </c>
      <c r="AG141" s="55">
        <f t="shared" ca="1" si="43"/>
        <v>129.00650109285746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62.076294818281006</v>
      </c>
      <c r="AK141" s="55">
        <f t="shared" ca="1" si="40"/>
        <v>-6.3634272329562833</v>
      </c>
    </row>
    <row r="142" spans="18:37">
      <c r="R142" s="83">
        <f ca="1"/>
        <v>45511</v>
      </c>
      <c r="S142" s="55">
        <f t="shared" ca="1" si="33"/>
        <v>45511</v>
      </c>
      <c r="T142" s="55">
        <f t="shared" ca="1" si="27"/>
        <v>45.71211884018291</v>
      </c>
      <c r="U142" s="55">
        <f t="shared" ca="1" si="28"/>
        <v>30.966433965126342</v>
      </c>
      <c r="V142" s="55">
        <f t="shared" ca="1" si="29"/>
        <v>0</v>
      </c>
      <c r="W142" s="55">
        <f t="shared" ca="1" si="34"/>
        <v>-117.0500959132349</v>
      </c>
      <c r="X142" s="55">
        <f t="shared" ca="1" si="35"/>
        <v>65.573234751744707</v>
      </c>
      <c r="Y142" s="55">
        <f t="shared" ca="1" si="36"/>
        <v>34.807369711889422</v>
      </c>
      <c r="Z142">
        <f t="shared" ca="1" si="30"/>
        <v>120</v>
      </c>
      <c r="AA142">
        <f t="shared" ca="1" si="37"/>
        <v>314.5894977760978</v>
      </c>
      <c r="AB142">
        <f t="shared" ca="1" si="31"/>
        <v>0</v>
      </c>
      <c r="AC142">
        <f t="shared" ca="1" si="32"/>
        <v>0.43848100801867751</v>
      </c>
      <c r="AD142" s="83">
        <f ca="1"/>
        <v>45739</v>
      </c>
      <c r="AE142" s="55">
        <f t="shared" ca="1" si="41"/>
        <v>45739</v>
      </c>
      <c r="AF142" s="55">
        <f t="shared" ca="1" si="42"/>
        <v>-60.538308570854525</v>
      </c>
      <c r="AG142" s="55">
        <f t="shared" ca="1" si="43"/>
        <v>131.42050884854885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62.488473520523961</v>
      </c>
      <c r="AK142" s="55">
        <f t="shared" ca="1" si="40"/>
        <v>-6.3282072715489868</v>
      </c>
    </row>
    <row r="143" spans="18:37">
      <c r="R143" s="83">
        <f ca="1"/>
        <v>45512</v>
      </c>
      <c r="S143" s="55">
        <f t="shared" ca="1" si="33"/>
        <v>45512</v>
      </c>
      <c r="T143" s="55">
        <f t="shared" ca="1" si="27"/>
        <v>44.657095197903899</v>
      </c>
      <c r="U143" s="55">
        <f t="shared" ca="1" si="28"/>
        <v>31.596340726570048</v>
      </c>
      <c r="V143" s="55">
        <f t="shared" ca="1" si="29"/>
        <v>0</v>
      </c>
      <c r="W143" s="55">
        <f t="shared" ca="1" si="34"/>
        <v>-117.97400159388486</v>
      </c>
      <c r="X143" s="55">
        <f t="shared" ca="1" si="35"/>
        <v>66.029418054871797</v>
      </c>
      <c r="Y143" s="55">
        <f t="shared" ca="1" si="36"/>
        <v>34.849975208576993</v>
      </c>
      <c r="Z143">
        <f t="shared" ca="1" si="30"/>
        <v>120</v>
      </c>
      <c r="AA143">
        <f t="shared" ca="1" si="37"/>
        <v>317.5294977760978</v>
      </c>
      <c r="AB143">
        <f t="shared" ca="1" si="31"/>
        <v>0</v>
      </c>
      <c r="AC143">
        <f t="shared" ca="1" si="32"/>
        <v>0.44732128245164154</v>
      </c>
      <c r="AD143" s="83">
        <f ca="1"/>
        <v>45740</v>
      </c>
      <c r="AE143" s="55">
        <f t="shared" ca="1" si="41"/>
        <v>45740</v>
      </c>
      <c r="AF143" s="55">
        <f t="shared" ca="1" si="42"/>
        <v>-62.483980458579268</v>
      </c>
      <c r="AG143" s="55">
        <f t="shared" ca="1" si="43"/>
        <v>133.80209999536484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62.890943879545461</v>
      </c>
      <c r="AK143" s="55">
        <f t="shared" ca="1" si="40"/>
        <v>-6.294758371479233</v>
      </c>
    </row>
    <row r="144" spans="18:37">
      <c r="R144" s="83">
        <f ca="1"/>
        <v>45513</v>
      </c>
      <c r="S144" s="55">
        <f t="shared" ca="1" si="33"/>
        <v>45513</v>
      </c>
      <c r="T144" s="55">
        <f t="shared" ca="1" si="27"/>
        <v>43.682394042046376</v>
      </c>
      <c r="U144" s="55">
        <f t="shared" ca="1" si="28"/>
        <v>32.213262914107034</v>
      </c>
      <c r="V144" s="55">
        <f t="shared" ca="1" si="29"/>
        <v>0</v>
      </c>
      <c r="W144" s="55">
        <f t="shared" ca="1" si="34"/>
        <v>-118.81933681192076</v>
      </c>
      <c r="X144" s="55">
        <f t="shared" ca="1" si="35"/>
        <v>66.47609312691911</v>
      </c>
      <c r="Y144" s="55">
        <f t="shared" ca="1" si="36"/>
        <v>34.890856386245041</v>
      </c>
      <c r="Z144">
        <f t="shared" ca="1" si="30"/>
        <v>120</v>
      </c>
      <c r="AA144">
        <f t="shared" ca="1" si="37"/>
        <v>320.2794977760978</v>
      </c>
      <c r="AB144">
        <f t="shared" ca="1" si="31"/>
        <v>0</v>
      </c>
      <c r="AC144">
        <f t="shared" ca="1" si="32"/>
        <v>0.45583170327483219</v>
      </c>
      <c r="AD144" s="83">
        <f ca="1"/>
        <v>45741</v>
      </c>
      <c r="AE144" s="55">
        <f t="shared" ca="1" si="41"/>
        <v>45741</v>
      </c>
      <c r="AF144" s="55">
        <f t="shared" ca="1" si="42"/>
        <v>-64.417067562683187</v>
      </c>
      <c r="AG144" s="55">
        <f t="shared" ca="1" si="43"/>
        <v>136.16328778231568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63.287065033303136</v>
      </c>
      <c r="AK144" s="55">
        <f t="shared" ca="1" si="40"/>
        <v>-6.262778842389995</v>
      </c>
    </row>
    <row r="145" spans="18:37">
      <c r="R145" s="83">
        <f ca="1"/>
        <v>45514</v>
      </c>
      <c r="S145" s="55">
        <f t="shared" ca="1" si="33"/>
        <v>45514</v>
      </c>
      <c r="T145" s="55">
        <f t="shared" ca="1" si="27"/>
        <v>42.347087828807986</v>
      </c>
      <c r="U145" s="55">
        <f t="shared" ca="1" si="28"/>
        <v>32.869956741315839</v>
      </c>
      <c r="V145" s="55">
        <f t="shared" ca="1" si="29"/>
        <v>0</v>
      </c>
      <c r="W145" s="55">
        <f t="shared" ca="1" si="34"/>
        <v>-119.9964290124956</v>
      </c>
      <c r="X145" s="55">
        <f t="shared" ca="1" si="35"/>
        <v>66.934018808910267</v>
      </c>
      <c r="Y145" s="55">
        <f t="shared" ca="1" si="36"/>
        <v>34.931410518799133</v>
      </c>
      <c r="Z145">
        <f t="shared" ca="1" si="30"/>
        <v>120</v>
      </c>
      <c r="AA145">
        <f t="shared" ca="1" si="37"/>
        <v>324.22949777609779</v>
      </c>
      <c r="AB145">
        <f t="shared" ca="1" si="31"/>
        <v>0</v>
      </c>
      <c r="AC145">
        <f t="shared" ca="1" si="32"/>
        <v>0.464729885428603</v>
      </c>
      <c r="AD145" s="83">
        <f ca="1"/>
        <v>45742</v>
      </c>
      <c r="AE145" s="55">
        <f t="shared" ca="1" si="41"/>
        <v>45742</v>
      </c>
      <c r="AF145" s="55">
        <f t="shared" ca="1" si="42"/>
        <v>-66.32152897807147</v>
      </c>
      <c r="AG145" s="55">
        <f t="shared" ca="1" si="43"/>
        <v>138.50877785408468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63.695175895952417</v>
      </c>
      <c r="AK145" s="55">
        <f t="shared" ca="1" si="40"/>
        <v>-6.2298610486585488</v>
      </c>
    </row>
    <row r="146" spans="18:37">
      <c r="R146" s="83">
        <f ca="1"/>
        <v>45515</v>
      </c>
      <c r="S146" s="55">
        <f t="shared" ca="1" si="33"/>
        <v>45515</v>
      </c>
      <c r="T146" s="55">
        <f t="shared" ref="T146:T209" ca="1" si="45">VLOOKUP(S146,ModelOutputs,2,FALSE)</f>
        <v>41.566342937727534</v>
      </c>
      <c r="U146" s="55">
        <f t="shared" ref="U146:U209" ca="1" si="46">VLOOKUP(S146,ModelOutputs,7,FALSE)</f>
        <v>33.506389364659874</v>
      </c>
      <c r="V146" s="55">
        <f t="shared" ref="V146:V209" ca="1" si="47">VLOOKUP(S146,ModelOutputs,6,FALSE)</f>
        <v>0</v>
      </c>
      <c r="W146" s="55">
        <f t="shared" ca="1" si="34"/>
        <v>-120.62531238620159</v>
      </c>
      <c r="X146" s="55">
        <f t="shared" ca="1" si="35"/>
        <v>67.379835768859976</v>
      </c>
      <c r="Y146" s="55">
        <f t="shared" ca="1" si="36"/>
        <v>34.970164664818995</v>
      </c>
      <c r="Z146">
        <f t="shared" ref="Z146:Z209" ca="1" si="48">VLOOKUP(S146,ModelOutputs,10,FALSE)*AWC</f>
        <v>120</v>
      </c>
      <c r="AA146">
        <f t="shared" ca="1" si="37"/>
        <v>326.37949777609776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0.47319517351843282</v>
      </c>
      <c r="AD146" s="83">
        <f ca="1"/>
        <v>45743</v>
      </c>
      <c r="AE146" s="55">
        <f t="shared" ca="1" si="41"/>
        <v>45743</v>
      </c>
      <c r="AF146" s="55">
        <f t="shared" ca="1" si="42"/>
        <v>-68.231379238676709</v>
      </c>
      <c r="AG146" s="55">
        <f t="shared" ca="1" si="43"/>
        <v>140.84707330016872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64.09293320768964</v>
      </c>
      <c r="AK146" s="55">
        <f t="shared" ca="1" si="40"/>
        <v>-6.1991731749169858</v>
      </c>
    </row>
    <row r="147" spans="18:37">
      <c r="R147" s="83">
        <f ca="1"/>
        <v>45516</v>
      </c>
      <c r="S147" s="55">
        <f t="shared" ref="S147:S210" ca="1" si="51">IF(R147&gt;1,R147,"")</f>
        <v>45516</v>
      </c>
      <c r="T147" s="55">
        <f t="shared" ca="1" si="45"/>
        <v>40.623281693956116</v>
      </c>
      <c r="U147" s="55">
        <f t="shared" ca="1" si="46"/>
        <v>34.180302945779523</v>
      </c>
      <c r="V147" s="55">
        <f t="shared" ca="1" si="47"/>
        <v>0</v>
      </c>
      <c r="W147" s="55">
        <f t="shared" ref="W147:W210" ca="1" si="52">-VLOOKUP(S147,ModelOutputs,9,FALSE)+W146</f>
        <v>-121.38857871225136</v>
      </c>
      <c r="X147" s="55">
        <f t="shared" ref="X147:X210" ca="1" si="53">VLOOKUP(S147,ModelOutputs,5,FALSE)+X146</f>
        <v>67.835584132259612</v>
      </c>
      <c r="Y147" s="55">
        <f t="shared" ref="Y147:Y210" ca="1" si="54">VLOOKUP(S147,ModelOutputs,4,FALSE)+Y146</f>
        <v>35.008534964817358</v>
      </c>
      <c r="Z147">
        <f t="shared" ca="1" si="48"/>
        <v>120</v>
      </c>
      <c r="AA147">
        <f t="shared" ref="AA147:AA210" ca="1" si="55">VLOOKUP(S147,ModelOutputs,11,FALSE)+AA146</f>
        <v>329.04949777609778</v>
      </c>
      <c r="AB147">
        <f t="shared" ca="1" si="49"/>
        <v>0</v>
      </c>
      <c r="AC147">
        <f t="shared" ca="1" si="50"/>
        <v>0.48198936885210641</v>
      </c>
      <c r="AD147" s="83">
        <f ca="1"/>
        <v>45744</v>
      </c>
      <c r="AE147" s="55">
        <f t="shared" ca="1" si="41"/>
        <v>45744</v>
      </c>
      <c r="AF147" s="55">
        <f t="shared" ca="1" si="42"/>
        <v>-70.104208443641397</v>
      </c>
      <c r="AG147" s="55">
        <f t="shared" ca="1" si="43"/>
        <v>143.14618842578835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64.489105441979575</v>
      </c>
      <c r="AK147" s="55">
        <f t="shared" ref="AK147:AK210" ca="1" si="58">VLOOKUP(AE147,ModelOutputs,4,FALSE)+AK146</f>
        <v>-6.1690594885519801</v>
      </c>
    </row>
    <row r="148" spans="18:37">
      <c r="R148" s="83">
        <f ca="1"/>
        <v>45517</v>
      </c>
      <c r="S148" s="55">
        <f t="shared" ca="1" si="51"/>
        <v>45517</v>
      </c>
      <c r="T148" s="55">
        <f t="shared" ca="1" si="45"/>
        <v>39.525028969654393</v>
      </c>
      <c r="U148" s="55">
        <f t="shared" ca="1" si="46"/>
        <v>34.850648500452415</v>
      </c>
      <c r="V148" s="55">
        <f t="shared" ca="1" si="47"/>
        <v>0</v>
      </c>
      <c r="W148" s="55">
        <f t="shared" ca="1" si="52"/>
        <v>-122.30365632739695</v>
      </c>
      <c r="X148" s="55">
        <f t="shared" ca="1" si="53"/>
        <v>68.285702099565555</v>
      </c>
      <c r="Y148" s="55">
        <f t="shared" ca="1" si="54"/>
        <v>35.045587443028175</v>
      </c>
      <c r="Z148">
        <f t="shared" ca="1" si="48"/>
        <v>120</v>
      </c>
      <c r="AA148">
        <f t="shared" ca="1" si="55"/>
        <v>332.3394977760978</v>
      </c>
      <c r="AB148">
        <f t="shared" ca="1" si="49"/>
        <v>0</v>
      </c>
      <c r="AC148">
        <f t="shared" ca="1" si="50"/>
        <v>0.49056450527284995</v>
      </c>
      <c r="AD148" s="83">
        <f ca="1"/>
        <v>45745</v>
      </c>
      <c r="AE148" s="55">
        <f t="shared" ca="1" si="41"/>
        <v>45745</v>
      </c>
      <c r="AF148" s="55">
        <f t="shared" ca="1" si="42"/>
        <v>-71.96099678066534</v>
      </c>
      <c r="AG148" s="55">
        <f t="shared" ca="1" si="43"/>
        <v>145.44017270248492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64.895717027202238</v>
      </c>
      <c r="AK148" s="55">
        <f t="shared" ca="1" si="58"/>
        <v>-6.1384751341020305</v>
      </c>
    </row>
    <row r="149" spans="18:37">
      <c r="R149" s="83">
        <f ca="1"/>
        <v>45518</v>
      </c>
      <c r="S149" s="55">
        <f t="shared" ca="1" si="51"/>
        <v>45518</v>
      </c>
      <c r="T149" s="55">
        <f t="shared" ca="1" si="45"/>
        <v>38.466777186320257</v>
      </c>
      <c r="U149" s="55">
        <f t="shared" ca="1" si="46"/>
        <v>35.466349211119123</v>
      </c>
      <c r="V149" s="55">
        <f t="shared" ca="1" si="47"/>
        <v>0</v>
      </c>
      <c r="W149" s="55">
        <f t="shared" ca="1" si="52"/>
        <v>-123.20776806082061</v>
      </c>
      <c r="X149" s="55">
        <f t="shared" ca="1" si="53"/>
        <v>68.712486942770141</v>
      </c>
      <c r="Y149" s="55">
        <f t="shared" ca="1" si="54"/>
        <v>35.080363260579816</v>
      </c>
      <c r="Z149">
        <f t="shared" ca="1" si="48"/>
        <v>120</v>
      </c>
      <c r="AA149">
        <f t="shared" ca="1" si="55"/>
        <v>335.67949777609783</v>
      </c>
      <c r="AB149">
        <f t="shared" ca="1" si="49"/>
        <v>0</v>
      </c>
      <c r="AC149">
        <f t="shared" ca="1" si="50"/>
        <v>0.49828981163233876</v>
      </c>
      <c r="AD149" s="83">
        <f ca="1"/>
        <v>45746</v>
      </c>
      <c r="AE149" s="55">
        <f t="shared" ref="AE149:AE212" ca="1" si="59">IF(AD149&gt;1,AD149,"")</f>
        <v>45746</v>
      </c>
      <c r="AF149" s="55">
        <f t="shared" ref="AF149:AF212" ca="1" si="60">VLOOKUP(AE149,ModelOutputs,2,FALSE)</f>
        <v>-73.778667398817177</v>
      </c>
      <c r="AG149" s="55">
        <f t="shared" ref="AG149:AG212" ca="1" si="61">VLOOKUP(AE149,ModelOutputs,7,FALSE)</f>
        <v>147.67441750514132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65.284182213646531</v>
      </c>
      <c r="AK149" s="55">
        <f t="shared" ca="1" si="58"/>
        <v>-6.1103661360417547</v>
      </c>
    </row>
    <row r="150" spans="18:37">
      <c r="R150" s="83">
        <f ca="1"/>
        <v>45519</v>
      </c>
      <c r="S150" s="55">
        <f t="shared" ca="1" si="51"/>
        <v>45519</v>
      </c>
      <c r="T150" s="55">
        <f t="shared" ca="1" si="45"/>
        <v>37.60928467779074</v>
      </c>
      <c r="U150" s="55">
        <f t="shared" ca="1" si="46"/>
        <v>36.095117005303301</v>
      </c>
      <c r="V150" s="55">
        <f t="shared" ca="1" si="47"/>
        <v>0</v>
      </c>
      <c r="W150" s="55">
        <f t="shared" ca="1" si="52"/>
        <v>-123.89852525606936</v>
      </c>
      <c r="X150" s="55">
        <f t="shared" ca="1" si="53"/>
        <v>69.140524224606608</v>
      </c>
      <c r="Y150" s="55">
        <f t="shared" ca="1" si="54"/>
        <v>35.114358459646766</v>
      </c>
      <c r="Z150">
        <f t="shared" ca="1" si="48"/>
        <v>120</v>
      </c>
      <c r="AA150">
        <f t="shared" ca="1" si="55"/>
        <v>338.28949777609785</v>
      </c>
      <c r="AB150">
        <f t="shared" ca="1" si="49"/>
        <v>0</v>
      </c>
      <c r="AC150">
        <f t="shared" ca="1" si="50"/>
        <v>0.5060309984048974</v>
      </c>
      <c r="AD150" s="83">
        <f ca="1"/>
        <v>45747</v>
      </c>
      <c r="AE150" s="55">
        <f t="shared" ca="1" si="59"/>
        <v>45747</v>
      </c>
      <c r="AF150" s="55">
        <f t="shared" ca="1" si="60"/>
        <v>-75.534146854894615</v>
      </c>
      <c r="AG150" s="55">
        <f t="shared" ca="1" si="61"/>
        <v>149.84600375522979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65.672247243134535</v>
      </c>
      <c r="AK150" s="55">
        <f t="shared" ca="1" si="58"/>
        <v>-6.0823243715187303</v>
      </c>
    </row>
    <row r="151" spans="18:37">
      <c r="R151" s="83">
        <f ca="1"/>
        <v>45520</v>
      </c>
      <c r="S151" s="55">
        <f t="shared" ca="1" si="51"/>
        <v>45520</v>
      </c>
      <c r="T151" s="55">
        <f t="shared" ca="1" si="45"/>
        <v>36.581867342616292</v>
      </c>
      <c r="U151" s="55">
        <f t="shared" ca="1" si="46"/>
        <v>36.718659008295589</v>
      </c>
      <c r="V151" s="55">
        <f t="shared" ca="1" si="47"/>
        <v>0</v>
      </c>
      <c r="W151" s="55">
        <f t="shared" ca="1" si="52"/>
        <v>-124.75833462701841</v>
      </c>
      <c r="X151" s="55">
        <f t="shared" ca="1" si="53"/>
        <v>69.563565741940806</v>
      </c>
      <c r="Y151" s="55">
        <f t="shared" ca="1" si="54"/>
        <v>35.147250981079466</v>
      </c>
      <c r="Z151">
        <f t="shared" ca="1" si="48"/>
        <v>120</v>
      </c>
      <c r="AA151">
        <f t="shared" ca="1" si="55"/>
        <v>341.62949777609788</v>
      </c>
      <c r="AB151">
        <f t="shared" ca="1" si="49"/>
        <v>0</v>
      </c>
      <c r="AC151">
        <f t="shared" ca="1" si="50"/>
        <v>0.51356118867470346</v>
      </c>
      <c r="AD151" s="83">
        <f ca="1"/>
        <v>45748</v>
      </c>
      <c r="AE151" s="55">
        <f t="shared" ca="1" si="59"/>
        <v>45748</v>
      </c>
      <c r="AF151" s="55">
        <f t="shared" ca="1" si="60"/>
        <v>-77.233926511306265</v>
      </c>
      <c r="AG151" s="55">
        <f t="shared" ca="1" si="61"/>
        <v>151.94612356656512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66.046228593820601</v>
      </c>
      <c r="AK151" s="55">
        <f t="shared" ca="1" si="58"/>
        <v>-6.0559655672811061</v>
      </c>
    </row>
    <row r="152" spans="18:37">
      <c r="R152" s="83">
        <f ca="1"/>
        <v>45521</v>
      </c>
      <c r="S152" s="55">
        <f t="shared" ca="1" si="51"/>
        <v>45521</v>
      </c>
      <c r="T152" s="55">
        <f t="shared" ca="1" si="45"/>
        <v>35.886504308190744</v>
      </c>
      <c r="U152" s="55">
        <f t="shared" ca="1" si="46"/>
        <v>37.351463871524757</v>
      </c>
      <c r="V152" s="55">
        <f t="shared" ca="1" si="47"/>
        <v>0</v>
      </c>
      <c r="W152" s="55">
        <f t="shared" ca="1" si="52"/>
        <v>-125.2760306799088</v>
      </c>
      <c r="X152" s="55">
        <f t="shared" ca="1" si="53"/>
        <v>69.986607259275004</v>
      </c>
      <c r="Y152" s="55">
        <f t="shared" ca="1" si="54"/>
        <v>35.179347345439275</v>
      </c>
      <c r="Z152">
        <f t="shared" ca="1" si="48"/>
        <v>120</v>
      </c>
      <c r="AA152">
        <f t="shared" ca="1" si="55"/>
        <v>343.67949777609789</v>
      </c>
      <c r="AB152">
        <f t="shared" ca="1" si="49"/>
        <v>0</v>
      </c>
      <c r="AC152">
        <f t="shared" ca="1" si="50"/>
        <v>0.52105523203062754</v>
      </c>
      <c r="AD152" s="83">
        <f ca="1"/>
        <v>45749</v>
      </c>
      <c r="AE152" s="55">
        <f t="shared" ca="1" si="59"/>
        <v>45749</v>
      </c>
      <c r="AF152" s="55">
        <f t="shared" ca="1" si="60"/>
        <v>-78.880434478612884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66.426675621164236</v>
      </c>
      <c r="AK152" s="55">
        <f t="shared" ca="1" si="58"/>
        <v>-6.02904412849648</v>
      </c>
    </row>
    <row r="153" spans="18:37">
      <c r="R153" s="83">
        <f ca="1"/>
        <v>45522</v>
      </c>
      <c r="S153" s="55">
        <f t="shared" ca="1" si="51"/>
        <v>45522</v>
      </c>
      <c r="T153" s="55">
        <f t="shared" ca="1" si="45"/>
        <v>35.261932569348886</v>
      </c>
      <c r="U153" s="55">
        <f t="shared" ca="1" si="46"/>
        <v>38.001257613883361</v>
      </c>
      <c r="V153" s="55">
        <f t="shared" ca="1" si="47"/>
        <v>0</v>
      </c>
      <c r="W153" s="55">
        <f t="shared" ca="1" si="52"/>
        <v>-125.70779345425794</v>
      </c>
      <c r="X153" s="55">
        <f t="shared" ca="1" si="53"/>
        <v>70.412141996283296</v>
      </c>
      <c r="Y153" s="55">
        <f t="shared" ca="1" si="54"/>
        <v>35.210797386296868</v>
      </c>
      <c r="Z153">
        <f t="shared" ca="1" si="48"/>
        <v>120</v>
      </c>
      <c r="AA153">
        <f t="shared" ca="1" si="55"/>
        <v>345.4194977760979</v>
      </c>
      <c r="AB153">
        <f t="shared" ca="1" si="49"/>
        <v>0</v>
      </c>
      <c r="AC153">
        <f t="shared" ca="1" si="50"/>
        <v>0.52859685326491967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45523</v>
      </c>
      <c r="S154" s="55">
        <f t="shared" ca="1" si="51"/>
        <v>45523</v>
      </c>
      <c r="T154" s="55">
        <f t="shared" ca="1" si="45"/>
        <v>34.305793155336758</v>
      </c>
      <c r="U154" s="55">
        <f t="shared" ca="1" si="46"/>
        <v>38.696911473019547</v>
      </c>
      <c r="V154" s="55">
        <f t="shared" ca="1" si="47"/>
        <v>0</v>
      </c>
      <c r="W154" s="55">
        <f t="shared" ca="1" si="52"/>
        <v>-126.43685508805542</v>
      </c>
      <c r="X154" s="55">
        <f t="shared" ca="1" si="53"/>
        <v>70.849435204836013</v>
      </c>
      <c r="Y154" s="55">
        <f t="shared" ca="1" si="54"/>
        <v>35.242080256665702</v>
      </c>
      <c r="Z154">
        <f t="shared" ca="1" si="48"/>
        <v>120</v>
      </c>
      <c r="AA154">
        <f t="shared" ca="1" si="55"/>
        <v>348.43949777609788</v>
      </c>
      <c r="AB154">
        <f t="shared" ca="1" si="49"/>
        <v>0</v>
      </c>
      <c r="AC154">
        <f t="shared" ca="1" si="50"/>
        <v>0.53650019001479854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45524</v>
      </c>
      <c r="S155" s="55">
        <f t="shared" ca="1" si="51"/>
        <v>45524</v>
      </c>
      <c r="T155" s="55">
        <f t="shared" ca="1" si="45"/>
        <v>33.526188964135564</v>
      </c>
      <c r="U155" s="55">
        <f t="shared" ca="1" si="46"/>
        <v>39.440198815992851</v>
      </c>
      <c r="V155" s="55">
        <f t="shared" ca="1" si="47"/>
        <v>0</v>
      </c>
      <c r="W155" s="55">
        <f t="shared" ca="1" si="52"/>
        <v>-126.95353091131382</v>
      </c>
      <c r="X155" s="55">
        <f t="shared" ca="1" si="53"/>
        <v>71.298690880661539</v>
      </c>
      <c r="Y155" s="55">
        <f t="shared" ca="1" si="54"/>
        <v>35.273183555870681</v>
      </c>
      <c r="Z155">
        <f t="shared" ca="1" si="48"/>
        <v>120</v>
      </c>
      <c r="AA155">
        <f t="shared" ca="1" si="55"/>
        <v>350.62949777609788</v>
      </c>
      <c r="AB155">
        <f t="shared" ca="1" si="49"/>
        <v>0</v>
      </c>
      <c r="AC155">
        <f t="shared" ca="1" si="50"/>
        <v>0.5447523696457347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45525</v>
      </c>
      <c r="S156" s="55">
        <f t="shared" ca="1" si="51"/>
        <v>45525</v>
      </c>
      <c r="T156" s="55">
        <f t="shared" ca="1" si="45"/>
        <v>32.768492712652652</v>
      </c>
      <c r="U156" s="55">
        <f t="shared" ca="1" si="46"/>
        <v>40.212960164417268</v>
      </c>
      <c r="V156" s="55">
        <f t="shared" ca="1" si="47"/>
        <v>0</v>
      </c>
      <c r="W156" s="55">
        <f t="shared" ca="1" si="52"/>
        <v>-127.42394082892213</v>
      </c>
      <c r="X156" s="55">
        <f t="shared" ca="1" si="53"/>
        <v>71.753570150321508</v>
      </c>
      <c r="Y156" s="55">
        <f t="shared" ca="1" si="54"/>
        <v>35.303779300760525</v>
      </c>
      <c r="Z156">
        <f t="shared" ca="1" si="48"/>
        <v>120</v>
      </c>
      <c r="AA156">
        <f t="shared" ca="1" si="55"/>
        <v>352.6694977760979</v>
      </c>
      <c r="AB156">
        <f t="shared" ca="1" si="49"/>
        <v>0</v>
      </c>
      <c r="AC156">
        <f t="shared" ca="1" si="50"/>
        <v>0.55312428577501693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45526</v>
      </c>
      <c r="S157" s="55">
        <f t="shared" ca="1" si="51"/>
        <v>45526</v>
      </c>
      <c r="T157" s="55">
        <f t="shared" ca="1" si="45"/>
        <v>32.164467915791121</v>
      </c>
      <c r="U157" s="55">
        <f t="shared" ca="1" si="46"/>
        <v>41.03247806005399</v>
      </c>
      <c r="V157" s="55">
        <f t="shared" ca="1" si="47"/>
        <v>0</v>
      </c>
      <c r="W157" s="55">
        <f t="shared" ca="1" si="52"/>
        <v>-127.70460559340214</v>
      </c>
      <c r="X157" s="55">
        <f t="shared" ca="1" si="53"/>
        <v>72.219388470576249</v>
      </c>
      <c r="Y157" s="55">
        <f t="shared" ca="1" si="54"/>
        <v>35.334118843760997</v>
      </c>
      <c r="Z157">
        <f t="shared" ca="1" si="48"/>
        <v>120</v>
      </c>
      <c r="AA157">
        <f t="shared" ca="1" si="55"/>
        <v>353.90949777609791</v>
      </c>
      <c r="AB157">
        <f t="shared" ca="1" si="49"/>
        <v>0</v>
      </c>
      <c r="AC157">
        <f t="shared" ca="1" si="50"/>
        <v>0.56177557968950353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45527</v>
      </c>
      <c r="S158" s="55">
        <f t="shared" ca="1" si="51"/>
        <v>45527</v>
      </c>
      <c r="T158" s="55">
        <f t="shared" ca="1" si="45"/>
        <v>31.543467723108311</v>
      </c>
      <c r="U158" s="55">
        <f t="shared" ca="1" si="46"/>
        <v>41.867416625464976</v>
      </c>
      <c r="V158" s="55">
        <f t="shared" ca="1" si="47"/>
        <v>0</v>
      </c>
      <c r="W158" s="55">
        <f t="shared" ca="1" si="52"/>
        <v>-127.98651073272013</v>
      </c>
      <c r="X158" s="55">
        <f t="shared" ca="1" si="53"/>
        <v>72.685647765260768</v>
      </c>
      <c r="Y158" s="55">
        <f t="shared" ca="1" si="54"/>
        <v>35.363703061122649</v>
      </c>
      <c r="Z158">
        <f t="shared" ca="1" si="48"/>
        <v>120</v>
      </c>
      <c r="AA158">
        <f t="shared" ca="1" si="55"/>
        <v>355.17949777609789</v>
      </c>
      <c r="AB158">
        <f t="shared" ca="1" si="49"/>
        <v>0</v>
      </c>
      <c r="AC158">
        <f t="shared" ca="1" si="50"/>
        <v>0.57035371315240169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45528</v>
      </c>
      <c r="S159" s="55">
        <f t="shared" ca="1" si="51"/>
        <v>45528</v>
      </c>
      <c r="T159" s="55">
        <f t="shared" ca="1" si="45"/>
        <v>30.050704376782477</v>
      </c>
      <c r="U159" s="55">
        <f t="shared" ca="1" si="46"/>
        <v>42.743294424524969</v>
      </c>
      <c r="V159" s="55">
        <f t="shared" ca="1" si="47"/>
        <v>0</v>
      </c>
      <c r="W159" s="55">
        <f t="shared" ca="1" si="52"/>
        <v>-129.10729070706901</v>
      </c>
      <c r="X159" s="55">
        <f t="shared" ca="1" si="53"/>
        <v>73.160335554957399</v>
      </c>
      <c r="Y159" s="55">
        <f t="shared" ca="1" si="54"/>
        <v>35.392909698509065</v>
      </c>
      <c r="Z159">
        <f t="shared" ca="1" si="48"/>
        <v>120</v>
      </c>
      <c r="AA159">
        <f t="shared" ca="1" si="55"/>
        <v>360.4794977760979</v>
      </c>
      <c r="AB159">
        <f t="shared" ca="1" si="49"/>
        <v>0</v>
      </c>
      <c r="AC159">
        <f t="shared" ca="1" si="50"/>
        <v>0.57910182334862781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45529</v>
      </c>
      <c r="S160" s="55">
        <f t="shared" ca="1" si="51"/>
        <v>45529</v>
      </c>
      <c r="T160" s="55">
        <f t="shared" ca="1" si="45"/>
        <v>29.155130728167389</v>
      </c>
      <c r="U160" s="55">
        <f t="shared" ca="1" si="46"/>
        <v>43.61439773589256</v>
      </c>
      <c r="V160" s="55">
        <f t="shared" ca="1" si="47"/>
        <v>0</v>
      </c>
      <c r="W160" s="55">
        <f t="shared" ca="1" si="52"/>
        <v>-129.62841167334358</v>
      </c>
      <c r="X160" s="55">
        <f t="shared" ca="1" si="53"/>
        <v>73.628803665042042</v>
      </c>
      <c r="Y160" s="55">
        <f t="shared" ca="1" si="54"/>
        <v>35.421092217451502</v>
      </c>
      <c r="Z160">
        <f t="shared" ca="1" si="48"/>
        <v>120</v>
      </c>
      <c r="AA160">
        <f t="shared" ca="1" si="55"/>
        <v>363.01949777609792</v>
      </c>
      <c r="AB160">
        <f t="shared" ca="1" si="49"/>
        <v>0</v>
      </c>
      <c r="AC160">
        <f t="shared" ca="1" si="50"/>
        <v>0.58755338385764222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45530</v>
      </c>
      <c r="S161" s="55">
        <f t="shared" ca="1" si="51"/>
        <v>45530</v>
      </c>
      <c r="T161" s="55">
        <f t="shared" ca="1" si="45"/>
        <v>28.589174603533824</v>
      </c>
      <c r="U161" s="55">
        <f t="shared" ca="1" si="46"/>
        <v>44.495851577503473</v>
      </c>
      <c r="V161" s="55">
        <f t="shared" ca="1" si="47"/>
        <v>0</v>
      </c>
      <c r="W161" s="55">
        <f t="shared" ca="1" si="52"/>
        <v>-129.80746461502719</v>
      </c>
      <c r="X161" s="55">
        <f t="shared" ca="1" si="53"/>
        <v>74.095945697124066</v>
      </c>
      <c r="Y161" s="55">
        <f t="shared" ca="1" si="54"/>
        <v>35.448500844030434</v>
      </c>
      <c r="Z161">
        <f t="shared" ca="1" si="48"/>
        <v>120</v>
      </c>
      <c r="AA161">
        <f t="shared" ca="1" si="55"/>
        <v>363.90949777609791</v>
      </c>
      <c r="AB161">
        <f t="shared" ca="1" si="49"/>
        <v>0</v>
      </c>
      <c r="AC161">
        <f t="shared" ca="1" si="50"/>
        <v>0.59585872900891834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45531</v>
      </c>
      <c r="S162" s="55">
        <f t="shared" ca="1" si="51"/>
        <v>45531</v>
      </c>
      <c r="T162" s="55">
        <f t="shared" ca="1" si="45"/>
        <v>28.164184614191011</v>
      </c>
      <c r="U162" s="55">
        <f t="shared" ca="1" si="46"/>
        <v>45.341743722188802</v>
      </c>
      <c r="V162" s="55">
        <f t="shared" ca="1" si="47"/>
        <v>0</v>
      </c>
      <c r="W162" s="55">
        <f t="shared" ca="1" si="52"/>
        <v>-129.86494041399911</v>
      </c>
      <c r="X162" s="55">
        <f t="shared" ca="1" si="53"/>
        <v>74.548223968486639</v>
      </c>
      <c r="Y162" s="55">
        <f t="shared" ca="1" si="54"/>
        <v>35.4746005269823</v>
      </c>
      <c r="Z162">
        <f t="shared" ca="1" si="48"/>
        <v>120</v>
      </c>
      <c r="AA162">
        <f t="shared" ca="1" si="55"/>
        <v>364.19949777609793</v>
      </c>
      <c r="AB162">
        <f t="shared" ca="1" si="49"/>
        <v>0</v>
      </c>
      <c r="AC162">
        <f t="shared" ca="1" si="50"/>
        <v>0.60360139663743284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45532</v>
      </c>
      <c r="S163" s="55">
        <f t="shared" ca="1" si="51"/>
        <v>45532</v>
      </c>
      <c r="T163" s="55">
        <f t="shared" ca="1" si="45"/>
        <v>27.74002523576436</v>
      </c>
      <c r="U163" s="55">
        <f t="shared" ca="1" si="46"/>
        <v>46.197839276678842</v>
      </c>
      <c r="V163" s="55">
        <f t="shared" ca="1" si="47"/>
        <v>0</v>
      </c>
      <c r="W163" s="55">
        <f t="shared" ca="1" si="52"/>
        <v>-129.90983815854736</v>
      </c>
      <c r="X163" s="55">
        <f t="shared" ca="1" si="53"/>
        <v>74.999637333682998</v>
      </c>
      <c r="Y163" s="55">
        <f t="shared" ca="1" si="54"/>
        <v>35.500021082397588</v>
      </c>
      <c r="Z163">
        <f t="shared" ca="1" si="48"/>
        <v>120</v>
      </c>
      <c r="AA163">
        <f t="shared" ca="1" si="55"/>
        <v>364.42949777609795</v>
      </c>
      <c r="AB163">
        <f t="shared" ca="1" si="49"/>
        <v>0</v>
      </c>
      <c r="AC163">
        <f t="shared" ca="1" si="50"/>
        <v>0.61121617001623729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45533</v>
      </c>
      <c r="S164" s="55">
        <f t="shared" ca="1" si="51"/>
        <v>45533</v>
      </c>
      <c r="T164" s="55">
        <f t="shared" ca="1" si="45"/>
        <v>27.110611355961936</v>
      </c>
      <c r="U164" s="55">
        <f t="shared" ca="1" si="46"/>
        <v>47.08847436856707</v>
      </c>
      <c r="V164" s="55">
        <f t="shared" ca="1" si="47"/>
        <v>0</v>
      </c>
      <c r="W164" s="55">
        <f t="shared" ca="1" si="52"/>
        <v>-130.13114107494937</v>
      </c>
      <c r="X164" s="55">
        <f t="shared" ca="1" si="53"/>
        <v>75.457127027887722</v>
      </c>
      <c r="Y164" s="55">
        <f t="shared" ca="1" si="54"/>
        <v>35.525055516680673</v>
      </c>
      <c r="Z164">
        <f t="shared" ca="1" si="48"/>
        <v>120</v>
      </c>
      <c r="AA164">
        <f t="shared" ca="1" si="55"/>
        <v>365.58949777609791</v>
      </c>
      <c r="AB164">
        <f t="shared" ca="1" si="49"/>
        <v>0</v>
      </c>
      <c r="AC164">
        <f t="shared" ca="1" si="50"/>
        <v>0.61890800315886796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45534</v>
      </c>
      <c r="S165" s="55">
        <f t="shared" ca="1" si="51"/>
        <v>45534</v>
      </c>
      <c r="T165" s="55">
        <f t="shared" ca="1" si="45"/>
        <v>26.176631648681859</v>
      </c>
      <c r="U165" s="55">
        <f t="shared" ca="1" si="46"/>
        <v>48.002354801422541</v>
      </c>
      <c r="V165" s="55">
        <f t="shared" ca="1" si="47"/>
        <v>0</v>
      </c>
      <c r="W165" s="55">
        <f t="shared" ca="1" si="52"/>
        <v>-130.63586531333098</v>
      </c>
      <c r="X165" s="55">
        <f t="shared" ca="1" si="53"/>
        <v>75.917236581248318</v>
      </c>
      <c r="Y165" s="55">
        <f t="shared" ca="1" si="54"/>
        <v>35.549570927277088</v>
      </c>
      <c r="Z165">
        <f t="shared" ca="1" si="48"/>
        <v>120</v>
      </c>
      <c r="AA165">
        <f t="shared" ca="1" si="55"/>
        <v>368.32949777609792</v>
      </c>
      <c r="AB165">
        <f t="shared" ca="1" si="49"/>
        <v>0</v>
      </c>
      <c r="AC165">
        <f t="shared" ca="1" si="50"/>
        <v>0.62656324916468342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45535</v>
      </c>
      <c r="S166" s="55">
        <f t="shared" ca="1" si="51"/>
        <v>45535</v>
      </c>
      <c r="T166" s="55">
        <f t="shared" ca="1" si="45"/>
        <v>25.580021225175894</v>
      </c>
      <c r="U166" s="55">
        <f t="shared" ca="1" si="46"/>
        <v>48.906999562687353</v>
      </c>
      <c r="V166" s="55">
        <f t="shared" ca="1" si="47"/>
        <v>0</v>
      </c>
      <c r="W166" s="55">
        <f t="shared" ca="1" si="52"/>
        <v>-130.80507241669454</v>
      </c>
      <c r="X166" s="55">
        <f t="shared" ca="1" si="53"/>
        <v>76.370814174004053</v>
      </c>
      <c r="Y166" s="55">
        <f t="shared" ca="1" si="54"/>
        <v>35.573234775643762</v>
      </c>
      <c r="Z166">
        <f t="shared" ca="1" si="48"/>
        <v>120</v>
      </c>
      <c r="AA166">
        <f t="shared" ca="1" si="55"/>
        <v>369.26949777609792</v>
      </c>
      <c r="AB166">
        <f t="shared" ca="1" si="49"/>
        <v>0</v>
      </c>
      <c r="AC166">
        <f t="shared" ca="1" si="50"/>
        <v>0.63391107786443945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45536</v>
      </c>
      <c r="S167" s="55">
        <f t="shared" ca="1" si="51"/>
        <v>45536</v>
      </c>
      <c r="T167" s="55">
        <f t="shared" ca="1" si="45"/>
        <v>24.999511737937528</v>
      </c>
      <c r="U167" s="55">
        <f t="shared" ca="1" si="46"/>
        <v>49.834930876143801</v>
      </c>
      <c r="V167" s="55">
        <f t="shared" ca="1" si="47"/>
        <v>0</v>
      </c>
      <c r="W167" s="55">
        <f t="shared" ca="1" si="52"/>
        <v>-130.93701428420033</v>
      </c>
      <c r="X167" s="55">
        <f t="shared" ca="1" si="53"/>
        <v>76.826997477131144</v>
      </c>
      <c r="Y167" s="55">
        <f t="shared" ca="1" si="54"/>
        <v>35.596415166240533</v>
      </c>
      <c r="Z167">
        <f t="shared" ca="1" si="48"/>
        <v>120</v>
      </c>
      <c r="AA167">
        <f t="shared" ca="1" si="55"/>
        <v>370.01949777609792</v>
      </c>
      <c r="AB167">
        <f t="shared" ca="1" si="49"/>
        <v>0</v>
      </c>
      <c r="AC167">
        <f t="shared" ca="1" si="50"/>
        <v>0.64121722787657642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45537</v>
      </c>
      <c r="S168" s="55">
        <f t="shared" ca="1" si="51"/>
        <v>45537</v>
      </c>
      <c r="T168" s="55">
        <f t="shared" ca="1" si="45"/>
        <v>24.449952110577073</v>
      </c>
      <c r="U168" s="55">
        <f t="shared" ca="1" si="46"/>
        <v>50.870952587237852</v>
      </c>
      <c r="V168" s="55">
        <f t="shared" ca="1" si="47"/>
        <v>0</v>
      </c>
      <c r="W168" s="55">
        <f t="shared" ca="1" si="52"/>
        <v>-130.95594035824149</v>
      </c>
      <c r="X168" s="55">
        <f t="shared" ca="1" si="53"/>
        <v>77.308856726552548</v>
      </c>
      <c r="Y168" s="55">
        <f t="shared" ca="1" si="54"/>
        <v>35.619944074593874</v>
      </c>
      <c r="Z168">
        <f t="shared" ca="1" si="48"/>
        <v>120</v>
      </c>
      <c r="AA168">
        <f t="shared" ca="1" si="55"/>
        <v>370.12949777609794</v>
      </c>
      <c r="AB168">
        <f t="shared" ca="1" si="49"/>
        <v>0</v>
      </c>
      <c r="AC168">
        <f t="shared" ca="1" si="50"/>
        <v>0.64910687465414862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45538</v>
      </c>
      <c r="S169" s="55">
        <f t="shared" ca="1" si="51"/>
        <v>45538</v>
      </c>
      <c r="T169" s="55">
        <f t="shared" ca="1" si="45"/>
        <v>23.609018190665221</v>
      </c>
      <c r="U169" s="55">
        <f t="shared" ca="1" si="46"/>
        <v>51.940579069761512</v>
      </c>
      <c r="V169" s="55">
        <f t="shared" ca="1" si="47"/>
        <v>0</v>
      </c>
      <c r="W169" s="55">
        <f t="shared" ca="1" si="52"/>
        <v>-131.23671279309417</v>
      </c>
      <c r="X169" s="55">
        <f t="shared" ca="1" si="53"/>
        <v>77.79523246380981</v>
      </c>
      <c r="Y169" s="55">
        <f t="shared" ca="1" si="54"/>
        <v>35.64303333480111</v>
      </c>
      <c r="Z169">
        <f t="shared" ca="1" si="48"/>
        <v>120</v>
      </c>
      <c r="AA169">
        <f t="shared" ca="1" si="55"/>
        <v>371.81949777609793</v>
      </c>
      <c r="AB169">
        <f t="shared" ca="1" si="49"/>
        <v>0</v>
      </c>
      <c r="AC169">
        <f t="shared" ca="1" si="50"/>
        <v>0.6569661966074074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45539</v>
      </c>
      <c r="S170" s="55">
        <f t="shared" ca="1" si="51"/>
        <v>45539</v>
      </c>
      <c r="T170" s="55">
        <f t="shared" ca="1" si="45"/>
        <v>22.429910094447362</v>
      </c>
      <c r="U170" s="55">
        <f t="shared" ca="1" si="46"/>
        <v>53.059818033067749</v>
      </c>
      <c r="V170" s="55">
        <f t="shared" ca="1" si="47"/>
        <v>0</v>
      </c>
      <c r="W170" s="55">
        <f t="shared" ca="1" si="52"/>
        <v>-131.81440758863783</v>
      </c>
      <c r="X170" s="55">
        <f t="shared" ca="1" si="53"/>
        <v>78.290262417896983</v>
      </c>
      <c r="Y170" s="55">
        <f t="shared" ca="1" si="54"/>
        <v>35.665829043345965</v>
      </c>
      <c r="Z170">
        <f t="shared" ca="1" si="48"/>
        <v>120</v>
      </c>
      <c r="AA170">
        <f t="shared" ca="1" si="55"/>
        <v>375.4794977760979</v>
      </c>
      <c r="AB170">
        <f t="shared" ca="1" si="49"/>
        <v>0</v>
      </c>
      <c r="AC170">
        <f t="shared" ca="1" si="50"/>
        <v>0.6648899769489528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45540</v>
      </c>
      <c r="S171" s="55">
        <f t="shared" ca="1" si="51"/>
        <v>45540</v>
      </c>
      <c r="T171" s="55">
        <f t="shared" ca="1" si="45"/>
        <v>21.555779751529066</v>
      </c>
      <c r="U171" s="55">
        <f t="shared" ca="1" si="46"/>
        <v>54.189437560717622</v>
      </c>
      <c r="V171" s="55">
        <f t="shared" ca="1" si="47"/>
        <v>0</v>
      </c>
      <c r="W171" s="55">
        <f t="shared" ca="1" si="52"/>
        <v>-132.07379547164791</v>
      </c>
      <c r="X171" s="55">
        <f t="shared" ca="1" si="53"/>
        <v>78.783005676671905</v>
      </c>
      <c r="Y171" s="55">
        <f t="shared" ca="1" si="54"/>
        <v>35.687962852312694</v>
      </c>
      <c r="Z171">
        <f t="shared" ca="1" si="48"/>
        <v>120</v>
      </c>
      <c r="AA171">
        <f t="shared" ca="1" si="55"/>
        <v>377.18949777609788</v>
      </c>
      <c r="AB171">
        <f t="shared" ca="1" si="49"/>
        <v>0</v>
      </c>
      <c r="AC171">
        <f t="shared" ca="1" si="50"/>
        <v>0.67258783287045365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45541</v>
      </c>
      <c r="S172" s="55">
        <f t="shared" ca="1" si="51"/>
        <v>45541</v>
      </c>
      <c r="T172" s="55">
        <f t="shared" ca="1" si="45"/>
        <v>20.879099059246563</v>
      </c>
      <c r="U172" s="55">
        <f t="shared" ca="1" si="46"/>
        <v>55.287533483232835</v>
      </c>
      <c r="V172" s="55">
        <f t="shared" ca="1" si="47"/>
        <v>0</v>
      </c>
      <c r="W172" s="55">
        <f t="shared" ca="1" si="52"/>
        <v>-132.15313604807304</v>
      </c>
      <c r="X172" s="55">
        <f t="shared" ca="1" si="53"/>
        <v>79.262616588691614</v>
      </c>
      <c r="Y172" s="55">
        <f t="shared" ca="1" si="54"/>
        <v>35.709107746950835</v>
      </c>
      <c r="Z172">
        <f t="shared" ca="1" si="48"/>
        <v>120</v>
      </c>
      <c r="AA172">
        <f t="shared" ca="1" si="55"/>
        <v>377.7294977760979</v>
      </c>
      <c r="AB172">
        <f t="shared" ca="1" si="49"/>
        <v>0</v>
      </c>
      <c r="AC172">
        <f t="shared" ca="1" si="50"/>
        <v>0.67979366408881647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45542</v>
      </c>
      <c r="S173" s="55">
        <f t="shared" ca="1" si="51"/>
        <v>45542</v>
      </c>
      <c r="T173" s="55">
        <f t="shared" ca="1" si="45"/>
        <v>19.925406224587444</v>
      </c>
      <c r="U173" s="55">
        <f t="shared" ca="1" si="46"/>
        <v>56.480263508996785</v>
      </c>
      <c r="V173" s="55">
        <f t="shared" ca="1" si="47"/>
        <v>0</v>
      </c>
      <c r="W173" s="55">
        <f t="shared" ca="1" si="52"/>
        <v>-132.43496984944971</v>
      </c>
      <c r="X173" s="55">
        <f t="shared" ca="1" si="53"/>
        <v>79.762239822246585</v>
      </c>
      <c r="Y173" s="55">
        <f t="shared" ca="1" si="54"/>
        <v>35.73035550587737</v>
      </c>
      <c r="Z173">
        <f t="shared" ca="1" si="48"/>
        <v>120</v>
      </c>
      <c r="AA173">
        <f t="shared" ca="1" si="55"/>
        <v>379.73949777609789</v>
      </c>
      <c r="AB173">
        <f t="shared" ca="1" si="49"/>
        <v>0</v>
      </c>
      <c r="AC173">
        <f t="shared" ca="1" si="50"/>
        <v>0.68732319426037425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45543</v>
      </c>
      <c r="S174" s="55">
        <f t="shared" ca="1" si="51"/>
        <v>45543</v>
      </c>
      <c r="T174" s="55">
        <f t="shared" ca="1" si="45"/>
        <v>19.087337823198101</v>
      </c>
      <c r="U174" s="55">
        <f t="shared" ca="1" si="46"/>
        <v>57.628324795096141</v>
      </c>
      <c r="V174" s="55">
        <f t="shared" ca="1" si="47"/>
        <v>0</v>
      </c>
      <c r="W174" s="55">
        <f t="shared" ca="1" si="52"/>
        <v>-132.62838820605813</v>
      </c>
      <c r="X174" s="55">
        <f t="shared" ca="1" si="53"/>
        <v>80.245451243197707</v>
      </c>
      <c r="Y174" s="55">
        <f t="shared" ca="1" si="54"/>
        <v>35.750555326244665</v>
      </c>
      <c r="Z174">
        <f t="shared" ca="1" si="48"/>
        <v>120</v>
      </c>
      <c r="AA174">
        <f t="shared" ca="1" si="55"/>
        <v>381.17949777609789</v>
      </c>
      <c r="AB174">
        <f t="shared" ca="1" si="49"/>
        <v>0</v>
      </c>
      <c r="AC174">
        <f t="shared" ca="1" si="50"/>
        <v>0.69429013558226527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45544</v>
      </c>
      <c r="S175" s="55">
        <f t="shared" ca="1" si="51"/>
        <v>45544</v>
      </c>
      <c r="T175" s="55">
        <f t="shared" ca="1" si="45"/>
        <v>18.404180007480964</v>
      </c>
      <c r="U175" s="55">
        <f t="shared" ca="1" si="46"/>
        <v>58.821390807458066</v>
      </c>
      <c r="V175" s="55">
        <f t="shared" ca="1" si="47"/>
        <v>0</v>
      </c>
      <c r="W175" s="55">
        <f t="shared" ca="1" si="52"/>
        <v>-132.62838820605813</v>
      </c>
      <c r="X175" s="55">
        <f t="shared" ca="1" si="53"/>
        <v>80.735459210772675</v>
      </c>
      <c r="Y175" s="55">
        <f t="shared" ca="1" si="54"/>
        <v>35.770455555314484</v>
      </c>
      <c r="Z175">
        <f t="shared" ca="1" si="48"/>
        <v>118.11111111111111</v>
      </c>
      <c r="AA175">
        <f t="shared" ca="1" si="55"/>
        <v>381.17949777609789</v>
      </c>
      <c r="AB175">
        <f t="shared" ca="1" si="49"/>
        <v>0</v>
      </c>
      <c r="AC175">
        <f t="shared" ca="1" si="50"/>
        <v>0.70125073001120575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45545</v>
      </c>
      <c r="S176" s="55">
        <f t="shared" ca="1" si="51"/>
        <v>45545</v>
      </c>
      <c r="T176" s="55">
        <f t="shared" ca="1" si="45"/>
        <v>17.667628801504524</v>
      </c>
      <c r="U176" s="55">
        <f t="shared" ca="1" si="46"/>
        <v>60.058934573929406</v>
      </c>
      <c r="V176" s="55">
        <f t="shared" ca="1" si="47"/>
        <v>0</v>
      </c>
      <c r="W176" s="55">
        <f t="shared" ca="1" si="52"/>
        <v>-132.64338918761163</v>
      </c>
      <c r="X176" s="55">
        <f t="shared" ca="1" si="53"/>
        <v>81.231864363307636</v>
      </c>
      <c r="Y176" s="55">
        <f t="shared" ca="1" si="54"/>
        <v>35.790043944827914</v>
      </c>
      <c r="Z176">
        <f t="shared" ca="1" si="48"/>
        <v>120</v>
      </c>
      <c r="AA176">
        <f t="shared" ca="1" si="55"/>
        <v>381.30015451250745</v>
      </c>
      <c r="AB176">
        <f t="shared" ca="1" si="49"/>
        <v>0</v>
      </c>
      <c r="AC176">
        <f t="shared" ca="1" si="50"/>
        <v>0.70818267438287796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45546</v>
      </c>
      <c r="S177" s="55">
        <f t="shared" ca="1" si="51"/>
        <v>45546</v>
      </c>
      <c r="T177" s="55">
        <f t="shared" ca="1" si="45"/>
        <v>16.692818180405428</v>
      </c>
      <c r="U177" s="55">
        <f t="shared" ca="1" si="46"/>
        <v>61.390962728041409</v>
      </c>
      <c r="V177" s="55">
        <f t="shared" ca="1" si="47"/>
        <v>0</v>
      </c>
      <c r="W177" s="55">
        <f t="shared" ca="1" si="52"/>
        <v>-132.82076583709156</v>
      </c>
      <c r="X177" s="55">
        <f t="shared" ca="1" si="53"/>
        <v>81.746833948699148</v>
      </c>
      <c r="Y177" s="55">
        <f t="shared" ca="1" si="54"/>
        <v>35.809668541929241</v>
      </c>
      <c r="Z177">
        <f t="shared" ca="1" si="48"/>
        <v>120</v>
      </c>
      <c r="AA177">
        <f t="shared" ca="1" si="55"/>
        <v>382.81015451250744</v>
      </c>
      <c r="AB177">
        <f t="shared" ca="1" si="49"/>
        <v>0</v>
      </c>
      <c r="AC177">
        <f t="shared" ca="1" si="50"/>
        <v>0.71533071908324097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45547</v>
      </c>
      <c r="S178" s="55">
        <f t="shared" ca="1" si="51"/>
        <v>45547</v>
      </c>
      <c r="T178" s="55">
        <f t="shared" ca="1" si="45"/>
        <v>15.59478041099451</v>
      </c>
      <c r="U178" s="55">
        <f t="shared" ca="1" si="46"/>
        <v>62.697252197089547</v>
      </c>
      <c r="V178" s="55">
        <f t="shared" ca="1" si="47"/>
        <v>0</v>
      </c>
      <c r="W178" s="55">
        <f t="shared" ca="1" si="52"/>
        <v>-133.13462523247432</v>
      </c>
      <c r="X178" s="55">
        <f t="shared" ca="1" si="53"/>
        <v>82.25015091782835</v>
      </c>
      <c r="Y178" s="55">
        <f t="shared" ca="1" si="54"/>
        <v>35.828462667820013</v>
      </c>
      <c r="Z178">
        <f t="shared" ca="1" si="48"/>
        <v>120</v>
      </c>
      <c r="AA178">
        <f t="shared" ca="1" si="55"/>
        <v>385.67015451250745</v>
      </c>
      <c r="AB178">
        <f t="shared" ca="1" si="49"/>
        <v>0</v>
      </c>
      <c r="AC178">
        <f t="shared" ca="1" si="50"/>
        <v>0.72203998032699446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45548</v>
      </c>
      <c r="S179" s="55">
        <f t="shared" ca="1" si="51"/>
        <v>45548</v>
      </c>
      <c r="T179" s="55">
        <f t="shared" ca="1" si="45"/>
        <v>14.64946813934548</v>
      </c>
      <c r="U179" s="55">
        <f t="shared" ca="1" si="46"/>
        <v>64.056861421978226</v>
      </c>
      <c r="V179" s="55">
        <f t="shared" ca="1" si="47"/>
        <v>0</v>
      </c>
      <c r="W179" s="55">
        <f t="shared" ca="1" si="52"/>
        <v>-133.25008474432812</v>
      </c>
      <c r="X179" s="55">
        <f t="shared" ca="1" si="53"/>
        <v>82.761373564754919</v>
      </c>
      <c r="Y179" s="55">
        <f t="shared" ca="1" si="54"/>
        <v>35.846996485986899</v>
      </c>
      <c r="Z179">
        <f t="shared" ca="1" si="48"/>
        <v>120</v>
      </c>
      <c r="AA179">
        <f t="shared" ca="1" si="55"/>
        <v>386.79015451250746</v>
      </c>
      <c r="AB179">
        <f t="shared" ca="1" si="49"/>
        <v>0</v>
      </c>
      <c r="AC179">
        <f t="shared" ca="1" si="50"/>
        <v>0.72872207676739764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45549</v>
      </c>
      <c r="S180" s="55">
        <f t="shared" ca="1" si="51"/>
        <v>45549</v>
      </c>
      <c r="T180" s="55">
        <f t="shared" ca="1" si="45"/>
        <v>156.55637190353053</v>
      </c>
      <c r="U180" s="55">
        <f t="shared" ca="1" si="46"/>
        <v>65.498877135179086</v>
      </c>
      <c r="V180" s="55">
        <f t="shared" ca="1" si="47"/>
        <v>143.83962661801661</v>
      </c>
      <c r="W180" s="55">
        <f t="shared" ca="1" si="52"/>
        <v>-134.28507838865178</v>
      </c>
      <c r="X180" s="55">
        <f t="shared" ca="1" si="53"/>
        <v>83.287210679927284</v>
      </c>
      <c r="Y180" s="55">
        <f t="shared" ca="1" si="54"/>
        <v>35.865445874507508</v>
      </c>
      <c r="Z180">
        <f t="shared" ca="1" si="48"/>
        <v>120</v>
      </c>
      <c r="AA180">
        <f t="shared" ca="1" si="55"/>
        <v>387.73015451250745</v>
      </c>
      <c r="AB180">
        <f t="shared" ca="1" si="49"/>
        <v>0</v>
      </c>
      <c r="AC180">
        <f t="shared" ca="1" si="50"/>
        <v>0.7354902276155415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45550</v>
      </c>
      <c r="S181" s="55">
        <f t="shared" ca="1" si="51"/>
        <v>45550</v>
      </c>
      <c r="T181" s="55">
        <f t="shared" ca="1" si="45"/>
        <v>154.184791041278</v>
      </c>
      <c r="U181" s="55">
        <f t="shared" ca="1" si="46"/>
        <v>67.002230926499436</v>
      </c>
      <c r="V181" s="55">
        <f t="shared" ca="1" si="47"/>
        <v>0</v>
      </c>
      <c r="W181" s="55">
        <f t="shared" ca="1" si="52"/>
        <v>-135.70643374013972</v>
      </c>
      <c r="X181" s="55">
        <f t="shared" ca="1" si="53"/>
        <v>83.822131944389824</v>
      </c>
      <c r="Y181" s="55">
        <f t="shared" ca="1" si="54"/>
        <v>35.883652890600715</v>
      </c>
      <c r="Z181">
        <f t="shared" ca="1" si="48"/>
        <v>120</v>
      </c>
      <c r="AA181">
        <f t="shared" ca="1" si="55"/>
        <v>389.04015451250746</v>
      </c>
      <c r="AB181">
        <f t="shared" ca="1" si="49"/>
        <v>0</v>
      </c>
      <c r="AC181">
        <f t="shared" ca="1" si="50"/>
        <v>0.74221478049055711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45551</v>
      </c>
      <c r="S182" s="55">
        <f t="shared" ca="1" si="51"/>
        <v>45551</v>
      </c>
      <c r="T182" s="55">
        <f t="shared" ca="1" si="45"/>
        <v>152.88068918255865</v>
      </c>
      <c r="U182" s="55">
        <f t="shared" ca="1" si="46"/>
        <v>68.509807065833002</v>
      </c>
      <c r="V182" s="55">
        <f t="shared" ca="1" si="47"/>
        <v>0</v>
      </c>
      <c r="W182" s="55">
        <f t="shared" ca="1" si="52"/>
        <v>-136.05069840318785</v>
      </c>
      <c r="X182" s="55">
        <f t="shared" ca="1" si="53"/>
        <v>84.352260037546159</v>
      </c>
      <c r="Y182" s="55">
        <f t="shared" ca="1" si="54"/>
        <v>35.901263741106732</v>
      </c>
      <c r="Z182">
        <f t="shared" ca="1" si="48"/>
        <v>120</v>
      </c>
      <c r="AA182">
        <f t="shared" ca="1" si="55"/>
        <v>389.36015451250745</v>
      </c>
      <c r="AB182">
        <f t="shared" ca="1" si="49"/>
        <v>0</v>
      </c>
      <c r="AC182">
        <f t="shared" ca="1" si="50"/>
        <v>0.7486365730270661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45552</v>
      </c>
      <c r="S183" s="55">
        <f t="shared" ca="1" si="51"/>
        <v>45552</v>
      </c>
      <c r="T183" s="55">
        <f t="shared" ca="1" si="45"/>
        <v>151.81371342016214</v>
      </c>
      <c r="U183" s="55">
        <f t="shared" ca="1" si="46"/>
        <v>69.995844985460749</v>
      </c>
      <c r="V183" s="55">
        <f t="shared" ca="1" si="47"/>
        <v>0</v>
      </c>
      <c r="W183" s="55">
        <f t="shared" ca="1" si="52"/>
        <v>-136.1682134628353</v>
      </c>
      <c r="X183" s="55">
        <f t="shared" ca="1" si="53"/>
        <v>84.871937287462927</v>
      </c>
      <c r="Y183" s="55">
        <f t="shared" ca="1" si="54"/>
        <v>35.918163708068683</v>
      </c>
      <c r="Z183">
        <f t="shared" ca="1" si="48"/>
        <v>120</v>
      </c>
      <c r="AA183">
        <f t="shared" ca="1" si="55"/>
        <v>389.47015451250746</v>
      </c>
      <c r="AB183">
        <f t="shared" ca="1" si="49"/>
        <v>0</v>
      </c>
      <c r="AC183">
        <f t="shared" ca="1" si="50"/>
        <v>0.75466839905958039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45553</v>
      </c>
      <c r="S184" s="55">
        <f t="shared" ca="1" si="51"/>
        <v>45553</v>
      </c>
      <c r="T184" s="55">
        <f t="shared" ca="1" si="45"/>
        <v>149.49881096301149</v>
      </c>
      <c r="U184" s="55">
        <f t="shared" ca="1" si="46"/>
        <v>71.485440627950467</v>
      </c>
      <c r="V184" s="55">
        <f t="shared" ca="1" si="47"/>
        <v>0</v>
      </c>
      <c r="W184" s="55">
        <f t="shared" ca="1" si="52"/>
        <v>-137.52533044679953</v>
      </c>
      <c r="X184" s="55">
        <f t="shared" ca="1" si="53"/>
        <v>85.387376439303495</v>
      </c>
      <c r="Y184" s="55">
        <f t="shared" ca="1" si="54"/>
        <v>35.934534725531435</v>
      </c>
      <c r="Z184">
        <f t="shared" ca="1" si="48"/>
        <v>120</v>
      </c>
      <c r="AA184">
        <f t="shared" ca="1" si="55"/>
        <v>390.76015451250748</v>
      </c>
      <c r="AB184">
        <f t="shared" ca="1" si="49"/>
        <v>0</v>
      </c>
      <c r="AC184">
        <f t="shared" ca="1" si="50"/>
        <v>0.76043348156625035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45554</v>
      </c>
      <c r="S185" s="55">
        <f t="shared" ca="1" si="51"/>
        <v>45554</v>
      </c>
      <c r="T185" s="55">
        <f t="shared" ca="1" si="45"/>
        <v>148.518264038463</v>
      </c>
      <c r="U185" s="55">
        <f t="shared" ca="1" si="46"/>
        <v>72.984057580596286</v>
      </c>
      <c r="V185" s="55">
        <f t="shared" ca="1" si="47"/>
        <v>0</v>
      </c>
      <c r="W185" s="55">
        <f t="shared" ca="1" si="52"/>
        <v>-137.53578173204667</v>
      </c>
      <c r="X185" s="55">
        <f t="shared" ca="1" si="53"/>
        <v>85.900002190068278</v>
      </c>
      <c r="Y185" s="55">
        <f t="shared" ca="1" si="54"/>
        <v>35.950430288111129</v>
      </c>
      <c r="Z185">
        <f t="shared" ca="1" si="48"/>
        <v>120</v>
      </c>
      <c r="AA185">
        <f t="shared" ca="1" si="55"/>
        <v>390.77015451250747</v>
      </c>
      <c r="AB185">
        <f t="shared" ca="1" si="49"/>
        <v>0</v>
      </c>
      <c r="AC185">
        <f t="shared" ca="1" si="50"/>
        <v>0.76596457886739677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45555</v>
      </c>
      <c r="S186" s="55">
        <f t="shared" ca="1" si="51"/>
        <v>45555</v>
      </c>
      <c r="T186" s="55">
        <f t="shared" ca="1" si="45"/>
        <v>147.3772926928053</v>
      </c>
      <c r="U186" s="55">
        <f t="shared" ca="1" si="46"/>
        <v>74.482446157713653</v>
      </c>
      <c r="V186" s="55">
        <f t="shared" ca="1" si="47"/>
        <v>0</v>
      </c>
      <c r="W186" s="55">
        <f t="shared" ca="1" si="52"/>
        <v>-137.70171764678227</v>
      </c>
      <c r="X186" s="55">
        <f t="shared" ca="1" si="53"/>
        <v>86.407960246781045</v>
      </c>
      <c r="Y186" s="55">
        <f t="shared" ca="1" si="54"/>
        <v>35.96582537759361</v>
      </c>
      <c r="Z186">
        <f t="shared" ca="1" si="48"/>
        <v>120</v>
      </c>
      <c r="AA186">
        <f t="shared" ca="1" si="55"/>
        <v>390.93015451250744</v>
      </c>
      <c r="AB186">
        <f t="shared" ca="1" si="49"/>
        <v>0</v>
      </c>
      <c r="AC186">
        <f t="shared" ca="1" si="50"/>
        <v>0.77123958738825948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45556</v>
      </c>
      <c r="S187" s="55">
        <f t="shared" ca="1" si="51"/>
        <v>45556</v>
      </c>
      <c r="T187" s="55">
        <f t="shared" ca="1" si="45"/>
        <v>144.57531339617546</v>
      </c>
      <c r="U187" s="55">
        <f t="shared" ca="1" si="46"/>
        <v>76.034148927645916</v>
      </c>
      <c r="V187" s="55">
        <f t="shared" ca="1" si="47"/>
        <v>0</v>
      </c>
      <c r="W187" s="55">
        <f t="shared" ca="1" si="52"/>
        <v>-139.48213585804999</v>
      </c>
      <c r="X187" s="55">
        <f t="shared" ca="1" si="53"/>
        <v>86.922929832172557</v>
      </c>
      <c r="Y187" s="55">
        <f t="shared" ca="1" si="54"/>
        <v>35.980997476772224</v>
      </c>
      <c r="Z187">
        <f t="shared" ca="1" si="48"/>
        <v>120</v>
      </c>
      <c r="AA187">
        <f t="shared" ca="1" si="55"/>
        <v>392.68015451250744</v>
      </c>
      <c r="AB187">
        <f t="shared" ca="1" si="49"/>
        <v>0</v>
      </c>
      <c r="AC187">
        <f t="shared" ca="1" si="50"/>
        <v>0.77644778153931859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45557</v>
      </c>
      <c r="S188" s="55">
        <f t="shared" ca="1" si="51"/>
        <v>45557</v>
      </c>
      <c r="T188" s="55">
        <f t="shared" ca="1" si="45"/>
        <v>142.56649072100925</v>
      </c>
      <c r="U188" s="55">
        <f t="shared" ca="1" si="46"/>
        <v>77.635945160245299</v>
      </c>
      <c r="V188" s="55">
        <f t="shared" ca="1" si="47"/>
        <v>0</v>
      </c>
      <c r="W188" s="55">
        <f t="shared" ca="1" si="52"/>
        <v>-140.42518679296748</v>
      </c>
      <c r="X188" s="55">
        <f t="shared" ca="1" si="53"/>
        <v>87.444024583932901</v>
      </c>
      <c r="Y188" s="55">
        <f t="shared" ca="1" si="54"/>
        <v>35.995927217362556</v>
      </c>
      <c r="Z188">
        <f t="shared" ca="1" si="48"/>
        <v>120</v>
      </c>
      <c r="AA188">
        <f t="shared" ca="1" si="55"/>
        <v>393.62015451250744</v>
      </c>
      <c r="AB188">
        <f t="shared" ca="1" si="49"/>
        <v>0</v>
      </c>
      <c r="AC188">
        <f t="shared" ca="1" si="50"/>
        <v>0.78156738399341674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45558</v>
      </c>
      <c r="S189" s="55">
        <f t="shared" ca="1" si="51"/>
        <v>45558</v>
      </c>
      <c r="T189" s="55">
        <f t="shared" ca="1" si="45"/>
        <v>139.40004550480009</v>
      </c>
      <c r="U189" s="55">
        <f t="shared" ca="1" si="46"/>
        <v>79.358391177550061</v>
      </c>
      <c r="V189" s="55">
        <f t="shared" ca="1" si="47"/>
        <v>0</v>
      </c>
      <c r="W189" s="55">
        <f t="shared" ca="1" si="52"/>
        <v>-142.42635189065862</v>
      </c>
      <c r="X189" s="55">
        <f t="shared" ca="1" si="53"/>
        <v>87.986185836250613</v>
      </c>
      <c r="Y189" s="55">
        <f t="shared" ca="1" si="54"/>
        <v>36.010931863831587</v>
      </c>
      <c r="Z189">
        <f t="shared" ca="1" si="48"/>
        <v>120</v>
      </c>
      <c r="AA189">
        <f t="shared" ca="1" si="55"/>
        <v>395.66015451250746</v>
      </c>
      <c r="AB189">
        <f t="shared" ca="1" si="49"/>
        <v>0</v>
      </c>
      <c r="AC189">
        <f t="shared" ca="1" si="50"/>
        <v>0.78679821279709994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45559</v>
      </c>
      <c r="S190" s="55">
        <f t="shared" ca="1" si="51"/>
        <v>45559</v>
      </c>
      <c r="T190" s="55">
        <f t="shared" ca="1" si="45"/>
        <v>137.48945511982751</v>
      </c>
      <c r="U190" s="55">
        <f t="shared" ca="1" si="46"/>
        <v>81.037034326394803</v>
      </c>
      <c r="V190" s="55">
        <f t="shared" ca="1" si="47"/>
        <v>0</v>
      </c>
      <c r="W190" s="55">
        <f t="shared" ca="1" si="52"/>
        <v>-143.20036660096284</v>
      </c>
      <c r="X190" s="55">
        <f t="shared" ca="1" si="53"/>
        <v>88.513927378691591</v>
      </c>
      <c r="Y190" s="55">
        <f t="shared" ca="1" si="54"/>
        <v>36.025257795566986</v>
      </c>
      <c r="Z190">
        <f t="shared" ca="1" si="48"/>
        <v>120</v>
      </c>
      <c r="AA190">
        <f t="shared" ca="1" si="55"/>
        <v>396.46015451250747</v>
      </c>
      <c r="AB190">
        <f t="shared" ca="1" si="49"/>
        <v>0</v>
      </c>
      <c r="AC190">
        <f t="shared" ca="1" si="50"/>
        <v>0.79163835868544152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45560</v>
      </c>
      <c r="S191" s="55">
        <f t="shared" ca="1" si="51"/>
        <v>45560</v>
      </c>
      <c r="T191" s="55">
        <f t="shared" ca="1" si="45"/>
        <v>134.63173033253881</v>
      </c>
      <c r="U191" s="55">
        <f t="shared" ca="1" si="46"/>
        <v>82.717297343881825</v>
      </c>
      <c r="V191" s="55">
        <f t="shared" ca="1" si="47"/>
        <v>0</v>
      </c>
      <c r="W191" s="55">
        <f t="shared" ca="1" si="52"/>
        <v>-144.91517593656877</v>
      </c>
      <c r="X191" s="55">
        <f t="shared" ca="1" si="53"/>
        <v>89.037389973183053</v>
      </c>
      <c r="Y191" s="55">
        <f t="shared" ca="1" si="54"/>
        <v>36.039142766879763</v>
      </c>
      <c r="Z191">
        <f t="shared" ca="1" si="48"/>
        <v>120</v>
      </c>
      <c r="AA191">
        <f t="shared" ca="1" si="55"/>
        <v>398.27015451250747</v>
      </c>
      <c r="AB191">
        <f t="shared" ca="1" si="49"/>
        <v>0</v>
      </c>
      <c r="AC191">
        <f t="shared" ca="1" si="50"/>
        <v>0.79624343693026922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45561</v>
      </c>
      <c r="S192" s="55">
        <f t="shared" ca="1" si="51"/>
        <v>45561</v>
      </c>
      <c r="T192" s="55">
        <f t="shared" ca="1" si="45"/>
        <v>133.21866441243719</v>
      </c>
      <c r="U192" s="55">
        <f t="shared" ca="1" si="46"/>
        <v>84.507823139638845</v>
      </c>
      <c r="V192" s="55">
        <f t="shared" ca="1" si="47"/>
        <v>0</v>
      </c>
      <c r="W192" s="55">
        <f t="shared" ca="1" si="52"/>
        <v>-145.0932942249128</v>
      </c>
      <c r="X192" s="55">
        <f t="shared" ca="1" si="53"/>
        <v>89.579066682698766</v>
      </c>
      <c r="Y192" s="55">
        <f t="shared" ca="1" si="54"/>
        <v>36.053044221363471</v>
      </c>
      <c r="Z192">
        <f t="shared" ca="1" si="48"/>
        <v>120</v>
      </c>
      <c r="AA192">
        <f t="shared" ca="1" si="55"/>
        <v>398.46015451250747</v>
      </c>
      <c r="AB192">
        <f t="shared" ca="1" si="49"/>
        <v>0</v>
      </c>
      <c r="AC192">
        <f t="shared" ca="1" si="50"/>
        <v>0.80090233491225793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45562</v>
      </c>
      <c r="S193" s="55">
        <f t="shared" ca="1" si="51"/>
        <v>45562</v>
      </c>
      <c r="T193" s="55">
        <f t="shared" ca="1" si="45"/>
        <v>130.24116914531868</v>
      </c>
      <c r="U193" s="55">
        <f t="shared" ca="1" si="46"/>
        <v>86.397600569004808</v>
      </c>
      <c r="V193" s="55">
        <f t="shared" ca="1" si="47"/>
        <v>0</v>
      </c>
      <c r="W193" s="55">
        <f t="shared" ca="1" si="52"/>
        <v>-146.75218082006373</v>
      </c>
      <c r="X193" s="55">
        <f t="shared" ca="1" si="53"/>
        <v>90.136381976674301</v>
      </c>
      <c r="Y193" s="55">
        <f t="shared" ca="1" si="54"/>
        <v>36.066897684786291</v>
      </c>
      <c r="Z193">
        <f t="shared" ca="1" si="48"/>
        <v>120</v>
      </c>
      <c r="AA193">
        <f t="shared" ca="1" si="55"/>
        <v>400.27015451250747</v>
      </c>
      <c r="AB193">
        <f t="shared" ca="1" si="49"/>
        <v>0</v>
      </c>
      <c r="AC193">
        <f t="shared" ca="1" si="50"/>
        <v>0.80555846791741803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45563</v>
      </c>
      <c r="S194" s="55">
        <f t="shared" ca="1" si="51"/>
        <v>45563</v>
      </c>
      <c r="T194" s="55">
        <f t="shared" ca="1" si="45"/>
        <v>127.8967412970636</v>
      </c>
      <c r="U194" s="55">
        <f t="shared" ca="1" si="46"/>
        <v>88.394065563738707</v>
      </c>
      <c r="V194" s="55">
        <f t="shared" ca="1" si="47"/>
        <v>0</v>
      </c>
      <c r="W194" s="55">
        <f t="shared" ca="1" si="52"/>
        <v>-147.68819548970447</v>
      </c>
      <c r="X194" s="55">
        <f t="shared" ca="1" si="53"/>
        <v>90.710615289724885</v>
      </c>
      <c r="Y194" s="55">
        <f t="shared" ca="1" si="54"/>
        <v>36.080716187855252</v>
      </c>
      <c r="Z194">
        <f t="shared" ca="1" si="48"/>
        <v>120</v>
      </c>
      <c r="AA194">
        <f t="shared" ca="1" si="55"/>
        <v>401.31015451250749</v>
      </c>
      <c r="AB194">
        <f t="shared" ca="1" si="49"/>
        <v>0</v>
      </c>
      <c r="AC194">
        <f t="shared" ca="1" si="50"/>
        <v>0.81020490584675076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45564</v>
      </c>
      <c r="S195" s="55">
        <f t="shared" ca="1" si="51"/>
        <v>45564</v>
      </c>
      <c r="T195" s="55">
        <f t="shared" ca="1" si="45"/>
        <v>124.01255107994747</v>
      </c>
      <c r="U195" s="55">
        <f t="shared" ca="1" si="46"/>
        <v>90.390653950900074</v>
      </c>
      <c r="V195" s="55">
        <f t="shared" ca="1" si="47"/>
        <v>0</v>
      </c>
      <c r="W195" s="55">
        <f t="shared" ca="1" si="52"/>
        <v>-150.15788247917439</v>
      </c>
      <c r="X195" s="55">
        <f t="shared" ca="1" si="53"/>
        <v>91.279341011244611</v>
      </c>
      <c r="Y195" s="55">
        <f t="shared" ca="1" si="54"/>
        <v>36.094075625850685</v>
      </c>
      <c r="Z195">
        <f t="shared" ca="1" si="48"/>
        <v>120</v>
      </c>
      <c r="AA195">
        <f t="shared" ca="1" si="55"/>
        <v>404.14015451250748</v>
      </c>
      <c r="AB195">
        <f t="shared" ca="1" si="49"/>
        <v>0</v>
      </c>
      <c r="AC195">
        <f t="shared" ca="1" si="50"/>
        <v>0.81458995134097334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45565</v>
      </c>
      <c r="S196" s="55">
        <f t="shared" ca="1" si="51"/>
        <v>45565</v>
      </c>
      <c r="T196" s="55">
        <f t="shared" ca="1" si="45"/>
        <v>118.86523545032665</v>
      </c>
      <c r="U196" s="55">
        <f t="shared" ca="1" si="46"/>
        <v>92.351395028287115</v>
      </c>
      <c r="V196" s="55">
        <f t="shared" ca="1" si="47"/>
        <v>0</v>
      </c>
      <c r="W196" s="55">
        <f t="shared" ca="1" si="52"/>
        <v>-153.91358367779193</v>
      </c>
      <c r="X196" s="55">
        <f t="shared" ca="1" si="53"/>
        <v>91.835670828122446</v>
      </c>
      <c r="Y196" s="55">
        <f t="shared" ca="1" si="54"/>
        <v>36.106872455356623</v>
      </c>
      <c r="Z196">
        <f t="shared" ca="1" si="48"/>
        <v>120</v>
      </c>
      <c r="AA196">
        <f t="shared" ca="1" si="55"/>
        <v>408.63015451250749</v>
      </c>
      <c r="AB196">
        <f t="shared" ca="1" si="49"/>
        <v>0</v>
      </c>
      <c r="AC196">
        <f t="shared" ca="1" si="50"/>
        <v>0.81865835222221861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45566</v>
      </c>
      <c r="S197" s="55">
        <f t="shared" ca="1" si="51"/>
        <v>45566</v>
      </c>
      <c r="T197" s="55">
        <f t="shared" ca="1" si="45"/>
        <v>115.97210932338916</v>
      </c>
      <c r="U197" s="55">
        <f t="shared" ca="1" si="46"/>
        <v>94.315865342130465</v>
      </c>
      <c r="V197" s="55">
        <f t="shared" ca="1" si="47"/>
        <v>0</v>
      </c>
      <c r="W197" s="55">
        <f t="shared" ca="1" si="52"/>
        <v>-155.40704673007869</v>
      </c>
      <c r="X197" s="55">
        <f t="shared" ca="1" si="53"/>
        <v>92.388069498941178</v>
      </c>
      <c r="Y197" s="55">
        <f t="shared" ca="1" si="54"/>
        <v>36.119281023730508</v>
      </c>
      <c r="Z197">
        <f t="shared" ca="1" si="48"/>
        <v>120</v>
      </c>
      <c r="AA197">
        <f t="shared" ca="1" si="55"/>
        <v>410.46015451250747</v>
      </c>
      <c r="AB197">
        <f t="shared" ca="1" si="49"/>
        <v>0</v>
      </c>
      <c r="AC197">
        <f t="shared" ca="1" si="50"/>
        <v>0.82251339873697493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45567</v>
      </c>
      <c r="S198" s="55">
        <f t="shared" ca="1" si="51"/>
        <v>45567</v>
      </c>
      <c r="T198" s="55">
        <f t="shared" ca="1" si="45"/>
        <v>112.70455330636635</v>
      </c>
      <c r="U198" s="55">
        <f t="shared" ca="1" si="46"/>
        <v>96.378514472311025</v>
      </c>
      <c r="V198" s="55">
        <f t="shared" ca="1" si="47"/>
        <v>0</v>
      </c>
      <c r="W198" s="55">
        <f t="shared" ca="1" si="52"/>
        <v>-157.19153549076282</v>
      </c>
      <c r="X198" s="55">
        <f t="shared" ca="1" si="53"/>
        <v>92.955298817086558</v>
      </c>
      <c r="Y198" s="55">
        <f t="shared" ca="1" si="54"/>
        <v>36.131633579427017</v>
      </c>
      <c r="Z198">
        <f t="shared" ca="1" si="48"/>
        <v>120</v>
      </c>
      <c r="AA198">
        <f t="shared" ca="1" si="55"/>
        <v>412.71015451250747</v>
      </c>
      <c r="AB198">
        <f t="shared" ca="1" si="49"/>
        <v>0</v>
      </c>
      <c r="AC198">
        <f t="shared" ca="1" si="50"/>
        <v>0.82633840352397747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45568</v>
      </c>
      <c r="S199" s="55">
        <f t="shared" ca="1" si="51"/>
        <v>45568</v>
      </c>
      <c r="T199" s="55">
        <f t="shared" ca="1" si="45"/>
        <v>111.27710505910515</v>
      </c>
      <c r="U199" s="55">
        <f t="shared" ca="1" si="46"/>
        <v>98.36568445176357</v>
      </c>
      <c r="V199" s="55">
        <f t="shared" ca="1" si="47"/>
        <v>0</v>
      </c>
      <c r="W199" s="55">
        <f t="shared" ca="1" si="52"/>
        <v>-157.19153549076282</v>
      </c>
      <c r="X199" s="55">
        <f t="shared" ca="1" si="53"/>
        <v>93.503295518017424</v>
      </c>
      <c r="Y199" s="55">
        <f t="shared" ca="1" si="54"/>
        <v>36.1433586106875</v>
      </c>
      <c r="Z199">
        <f t="shared" ca="1" si="48"/>
        <v>119.37777777777778</v>
      </c>
      <c r="AA199">
        <f t="shared" ca="1" si="55"/>
        <v>412.71015451250747</v>
      </c>
      <c r="AB199">
        <f t="shared" ca="1" si="49"/>
        <v>0</v>
      </c>
      <c r="AC199">
        <f t="shared" ca="1" si="50"/>
        <v>0.82982160510189418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45569</v>
      </c>
      <c r="S200" s="55">
        <f t="shared" ca="1" si="51"/>
        <v>45569</v>
      </c>
      <c r="T200" s="55">
        <f t="shared" ca="1" si="45"/>
        <v>109.22055357889026</v>
      </c>
      <c r="U200" s="55">
        <f t="shared" ca="1" si="46"/>
        <v>100.38161355777969</v>
      </c>
      <c r="V200" s="55">
        <f t="shared" ca="1" si="47"/>
        <v>0</v>
      </c>
      <c r="W200" s="55">
        <f t="shared" ca="1" si="52"/>
        <v>-157.79308280465301</v>
      </c>
      <c r="X200" s="55">
        <f t="shared" ca="1" si="53"/>
        <v>94.052757123492825</v>
      </c>
      <c r="Y200" s="55">
        <f t="shared" ca="1" si="54"/>
        <v>36.15482194490351</v>
      </c>
      <c r="Z200">
        <f t="shared" ca="1" si="48"/>
        <v>120</v>
      </c>
      <c r="AA200">
        <f t="shared" ca="1" si="55"/>
        <v>413.49281891532564</v>
      </c>
      <c r="AB200">
        <f t="shared" ca="1" si="49"/>
        <v>0</v>
      </c>
      <c r="AC200">
        <f t="shared" ca="1" si="50"/>
        <v>0.83316587177602042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45570</v>
      </c>
      <c r="S201" s="55">
        <f t="shared" ca="1" si="51"/>
        <v>45570</v>
      </c>
      <c r="T201" s="55">
        <f t="shared" ca="1" si="45"/>
        <v>107.7194659424425</v>
      </c>
      <c r="U201" s="55">
        <f t="shared" ca="1" si="46"/>
        <v>102.44932432725265</v>
      </c>
      <c r="V201" s="55">
        <f t="shared" ca="1" si="47"/>
        <v>0</v>
      </c>
      <c r="W201" s="55">
        <f t="shared" ca="1" si="52"/>
        <v>-157.79308280465301</v>
      </c>
      <c r="X201" s="55">
        <f t="shared" ca="1" si="53"/>
        <v>94.608102539728051</v>
      </c>
      <c r="Y201" s="55">
        <f t="shared" ca="1" si="54"/>
        <v>36.16609966169348</v>
      </c>
      <c r="Z201">
        <f t="shared" ca="1" si="48"/>
        <v>119.55555555555554</v>
      </c>
      <c r="AA201">
        <f t="shared" ca="1" si="55"/>
        <v>413.49281891532564</v>
      </c>
      <c r="AB201">
        <f t="shared" ca="1" si="49"/>
        <v>0</v>
      </c>
      <c r="AC201">
        <f t="shared" ca="1" si="50"/>
        <v>0.83641057035313726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45571</v>
      </c>
      <c r="S202" s="55">
        <f t="shared" ca="1" si="51"/>
        <v>45571</v>
      </c>
      <c r="T202" s="55">
        <f t="shared" ca="1" si="45"/>
        <v>106.24854749698201</v>
      </c>
      <c r="U202" s="55">
        <f t="shared" ca="1" si="46"/>
        <v>104.47468350352786</v>
      </c>
      <c r="V202" s="55">
        <f t="shared" ca="1" si="47"/>
        <v>0</v>
      </c>
      <c r="W202" s="55">
        <f t="shared" ca="1" si="52"/>
        <v>-157.79308280465301</v>
      </c>
      <c r="X202" s="55">
        <f t="shared" ca="1" si="53"/>
        <v>95.151719030315007</v>
      </c>
      <c r="Y202" s="55">
        <f t="shared" ca="1" si="54"/>
        <v>36.176923901921235</v>
      </c>
      <c r="Z202">
        <f t="shared" ca="1" si="48"/>
        <v>119.09261597043376</v>
      </c>
      <c r="AA202">
        <f t="shared" ca="1" si="55"/>
        <v>413.49281891532564</v>
      </c>
      <c r="AB202">
        <f t="shared" ca="1" si="49"/>
        <v>0</v>
      </c>
      <c r="AC202">
        <f t="shared" ca="1" si="50"/>
        <v>0.83941829514079991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45572</v>
      </c>
      <c r="S203" s="55">
        <f t="shared" ca="1" si="51"/>
        <v>45572</v>
      </c>
      <c r="T203" s="55">
        <f t="shared" ca="1" si="45"/>
        <v>103.89150018588379</v>
      </c>
      <c r="U203" s="55">
        <f t="shared" ca="1" si="46"/>
        <v>106.70937700109857</v>
      </c>
      <c r="V203" s="55">
        <f t="shared" ca="1" si="47"/>
        <v>0</v>
      </c>
      <c r="W203" s="55">
        <f t="shared" ca="1" si="52"/>
        <v>-158.50580599920366</v>
      </c>
      <c r="X203" s="55">
        <f t="shared" ca="1" si="53"/>
        <v>95.730987601843808</v>
      </c>
      <c r="Y203" s="55">
        <f t="shared" ca="1" si="54"/>
        <v>36.188024711415586</v>
      </c>
      <c r="Z203">
        <f t="shared" ca="1" si="48"/>
        <v>120</v>
      </c>
      <c r="AA203">
        <f t="shared" ca="1" si="55"/>
        <v>414.46769864022269</v>
      </c>
      <c r="AB203">
        <f t="shared" ca="1" si="49"/>
        <v>0</v>
      </c>
      <c r="AC203">
        <f t="shared" ca="1" si="50"/>
        <v>0.84255381068154611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45573</v>
      </c>
      <c r="S204" s="55">
        <f t="shared" ca="1" si="51"/>
        <v>45573</v>
      </c>
      <c r="T204" s="55">
        <f t="shared" ca="1" si="45"/>
        <v>101.09866764894396</v>
      </c>
      <c r="U204" s="55">
        <f t="shared" ca="1" si="46"/>
        <v>109.02174071192127</v>
      </c>
      <c r="V204" s="55">
        <f t="shared" ca="1" si="47"/>
        <v>0</v>
      </c>
      <c r="W204" s="55">
        <f t="shared" ca="1" si="52"/>
        <v>-159.58718730353755</v>
      </c>
      <c r="X204" s="55">
        <f t="shared" ca="1" si="53"/>
        <v>96.320918239261687</v>
      </c>
      <c r="Y204" s="55">
        <f t="shared" ca="1" si="54"/>
        <v>36.199006552214463</v>
      </c>
      <c r="Z204">
        <f t="shared" ca="1" si="48"/>
        <v>120</v>
      </c>
      <c r="AA204">
        <f t="shared" ca="1" si="55"/>
        <v>415.98769864022267</v>
      </c>
      <c r="AB204">
        <f t="shared" ca="1" si="49"/>
        <v>0</v>
      </c>
      <c r="AC204">
        <f t="shared" ca="1" si="50"/>
        <v>0.84560958989482826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45574</v>
      </c>
      <c r="S205" s="55">
        <f t="shared" ca="1" si="51"/>
        <v>45574</v>
      </c>
      <c r="T205" s="55">
        <f t="shared" ca="1" si="45"/>
        <v>98.348558178808901</v>
      </c>
      <c r="U205" s="55">
        <f t="shared" ca="1" si="46"/>
        <v>111.15887470986787</v>
      </c>
      <c r="V205" s="55">
        <f t="shared" ca="1" si="47"/>
        <v>0</v>
      </c>
      <c r="W205" s="55">
        <f t="shared" ca="1" si="52"/>
        <v>-160.76372746249146</v>
      </c>
      <c r="X205" s="55">
        <f t="shared" ca="1" si="53"/>
        <v>96.874298082690075</v>
      </c>
      <c r="Y205" s="55">
        <f t="shared" ca="1" si="54"/>
        <v>36.209191395551521</v>
      </c>
      <c r="Z205">
        <f t="shared" ca="1" si="48"/>
        <v>120</v>
      </c>
      <c r="AA205">
        <f t="shared" ca="1" si="55"/>
        <v>417.68769864022266</v>
      </c>
      <c r="AB205">
        <f t="shared" ca="1" si="49"/>
        <v>0</v>
      </c>
      <c r="AC205">
        <f t="shared" ca="1" si="50"/>
        <v>0.84827458343565487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45575</v>
      </c>
      <c r="S206" s="55">
        <f t="shared" ca="1" si="51"/>
        <v>45575</v>
      </c>
      <c r="T206" s="55">
        <f t="shared" ca="1" si="45"/>
        <v>96.697517985210382</v>
      </c>
      <c r="U206" s="55">
        <f t="shared" ca="1" si="46"/>
        <v>113.38677511500163</v>
      </c>
      <c r="V206" s="55">
        <f t="shared" ca="1" si="47"/>
        <v>0</v>
      </c>
      <c r="W206" s="55">
        <f t="shared" ca="1" si="52"/>
        <v>-160.76372746249146</v>
      </c>
      <c r="X206" s="55">
        <f t="shared" ca="1" si="53"/>
        <v>97.441029139165622</v>
      </c>
      <c r="Y206" s="55">
        <f t="shared" ca="1" si="54"/>
        <v>36.219320550611201</v>
      </c>
      <c r="Z206">
        <f t="shared" ca="1" si="48"/>
        <v>118.84444444444443</v>
      </c>
      <c r="AA206">
        <f t="shared" ca="1" si="55"/>
        <v>417.68769864022266</v>
      </c>
      <c r="AB206">
        <f t="shared" ca="1" si="49"/>
        <v>0</v>
      </c>
      <c r="AC206">
        <f t="shared" ca="1" si="50"/>
        <v>0.85090072041497622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45576</v>
      </c>
      <c r="S207" s="55">
        <f t="shared" ca="1" si="51"/>
        <v>45576</v>
      </c>
      <c r="T207" s="55">
        <f t="shared" ca="1" si="45"/>
        <v>93.627430158687289</v>
      </c>
      <c r="U207" s="55">
        <f t="shared" ca="1" si="46"/>
        <v>115.77209769272666</v>
      </c>
      <c r="V207" s="55">
        <f t="shared" ca="1" si="47"/>
        <v>0</v>
      </c>
      <c r="W207" s="55">
        <f t="shared" ca="1" si="52"/>
        <v>-162.0512169886253</v>
      </c>
      <c r="X207" s="55">
        <f t="shared" ca="1" si="53"/>
        <v>98.033515960698352</v>
      </c>
      <c r="Y207" s="55">
        <f t="shared" ca="1" si="54"/>
        <v>36.229558006414237</v>
      </c>
      <c r="Z207">
        <f t="shared" ca="1" si="48"/>
        <v>120</v>
      </c>
      <c r="AA207">
        <f t="shared" ca="1" si="55"/>
        <v>419.64181654791474</v>
      </c>
      <c r="AB207">
        <f t="shared" ca="1" si="49"/>
        <v>0</v>
      </c>
      <c r="AC207">
        <f t="shared" ca="1" si="50"/>
        <v>0.85355175489142399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45577</v>
      </c>
      <c r="S208" s="55">
        <f t="shared" ca="1" si="51"/>
        <v>45577</v>
      </c>
      <c r="T208" s="55">
        <f t="shared" ca="1" si="45"/>
        <v>90.587845562096433</v>
      </c>
      <c r="U208" s="55">
        <f t="shared" ca="1" si="46"/>
        <v>118.15419666530916</v>
      </c>
      <c r="V208" s="55">
        <f t="shared" ca="1" si="47"/>
        <v>0</v>
      </c>
      <c r="W208" s="55">
        <f t="shared" ca="1" si="52"/>
        <v>-163.30703293654724</v>
      </c>
      <c r="X208" s="55">
        <f t="shared" ca="1" si="53"/>
        <v>98.621916138092161</v>
      </c>
      <c r="Y208" s="55">
        <f t="shared" ca="1" si="54"/>
        <v>36.239488152934015</v>
      </c>
      <c r="Z208">
        <f t="shared" ca="1" si="48"/>
        <v>120</v>
      </c>
      <c r="AA208">
        <f t="shared" ca="1" si="55"/>
        <v>421.61181654791471</v>
      </c>
      <c r="AB208">
        <f t="shared" ca="1" si="49"/>
        <v>0</v>
      </c>
      <c r="AC208">
        <f t="shared" ca="1" si="50"/>
        <v>0.85604461518212538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45578</v>
      </c>
      <c r="S209" s="55">
        <f t="shared" ca="1" si="51"/>
        <v>45578</v>
      </c>
      <c r="T209" s="55">
        <f t="shared" ca="1" si="45"/>
        <v>87.168271219718577</v>
      </c>
      <c r="U209" s="55">
        <f t="shared" ca="1" si="46"/>
        <v>120.46196660419476</v>
      </c>
      <c r="V209" s="55">
        <f t="shared" ca="1" si="47"/>
        <v>0</v>
      </c>
      <c r="W209" s="55">
        <f t="shared" ca="1" si="52"/>
        <v>-165.00003447090356</v>
      </c>
      <c r="X209" s="55">
        <f t="shared" ca="1" si="53"/>
        <v>99.193641951378922</v>
      </c>
      <c r="Y209" s="55">
        <f t="shared" ca="1" si="54"/>
        <v>36.248959470511316</v>
      </c>
      <c r="Z209">
        <f t="shared" ca="1" si="48"/>
        <v>120</v>
      </c>
      <c r="AA209">
        <f t="shared" ca="1" si="55"/>
        <v>424.3718165479147</v>
      </c>
      <c r="AB209">
        <f t="shared" ca="1" si="49"/>
        <v>0</v>
      </c>
      <c r="AC209">
        <f t="shared" ca="1" si="50"/>
        <v>0.85832232220561699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45579</v>
      </c>
      <c r="S210" s="55">
        <f t="shared" ca="1" si="51"/>
        <v>45579</v>
      </c>
      <c r="T210" s="55">
        <f t="shared" ref="T210:T273" ca="1" si="63">VLOOKUP(S210,ModelOutputs,2,FALSE)</f>
        <v>83.869860565647869</v>
      </c>
      <c r="U210" s="55">
        <f t="shared" ref="U210:U273" ca="1" si="64">VLOOKUP(S210,ModelOutputs,7,FALSE)</f>
        <v>122.70372022456043</v>
      </c>
      <c r="V210" s="55">
        <f t="shared" ref="V210:V273" ca="1" si="65">VLOOKUP(S210,ModelOutputs,6,FALSE)</f>
        <v>0</v>
      </c>
      <c r="W210" s="55">
        <f t="shared" ca="1" si="52"/>
        <v>-166.62307158740543</v>
      </c>
      <c r="X210" s="55">
        <f t="shared" ca="1" si="53"/>
        <v>99.750957245354456</v>
      </c>
      <c r="Y210" s="55">
        <f t="shared" ca="1" si="54"/>
        <v>36.258024259332643</v>
      </c>
      <c r="Z210">
        <f t="shared" ref="Z210:Z273" ca="1" si="66">VLOOKUP(S210,ModelOutputs,10,FALSE)*AWC</f>
        <v>120</v>
      </c>
      <c r="AA210">
        <f t="shared" ca="1" si="55"/>
        <v>427.1218165479147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0.86041390867460088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45580</v>
      </c>
      <c r="S211" s="55">
        <f t="shared" ref="S211:S274" ca="1" si="69">IF(R211&gt;1,R211,"")</f>
        <v>45580</v>
      </c>
      <c r="T211" s="55">
        <f t="shared" ca="1" si="63"/>
        <v>82.106037179606147</v>
      </c>
      <c r="U211" s="55">
        <f t="shared" ca="1" si="64"/>
        <v>124.97265677166874</v>
      </c>
      <c r="V211" s="55">
        <f t="shared" ca="1" si="65"/>
        <v>0</v>
      </c>
      <c r="W211" s="55">
        <f t="shared" ref="W211:W274" ca="1" si="70">-VLOOKUP(S211,ModelOutputs,9,FALSE)+W210</f>
        <v>-166.68662774211114</v>
      </c>
      <c r="X211" s="55">
        <f t="shared" ref="X211:X274" ca="1" si="71">VLOOKUP(S211,ModelOutputs,5,FALSE)+X210</f>
        <v>100.31074094301174</v>
      </c>
      <c r="Y211" s="55">
        <f t="shared" ref="Y211:Y274" ca="1" si="72">VLOOKUP(S211,ModelOutputs,4,FALSE)+Y210</f>
        <v>36.266909877447652</v>
      </c>
      <c r="Z211">
        <f t="shared" ca="1" si="66"/>
        <v>120</v>
      </c>
      <c r="AA211">
        <f t="shared" ref="AA211:AA274" ca="1" si="73">VLOOKUP(S211,ModelOutputs,11,FALSE)+AA210</f>
        <v>427.23181654791472</v>
      </c>
      <c r="AB211">
        <f t="shared" ca="1" si="67"/>
        <v>0</v>
      </c>
      <c r="AC211">
        <f t="shared" ca="1" si="68"/>
        <v>0.86241720518859744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45581</v>
      </c>
      <c r="S212" s="55">
        <f t="shared" ca="1" si="69"/>
        <v>45581</v>
      </c>
      <c r="T212" s="55">
        <f t="shared" ca="1" si="63"/>
        <v>80.149270307135225</v>
      </c>
      <c r="U212" s="55">
        <f t="shared" ca="1" si="64"/>
        <v>127.42072002576568</v>
      </c>
      <c r="V212" s="55">
        <f t="shared" ca="1" si="65"/>
        <v>0</v>
      </c>
      <c r="W212" s="55">
        <f t="shared" ca="1" si="70"/>
        <v>-166.79379028500327</v>
      </c>
      <c r="X212" s="55">
        <f t="shared" ca="1" si="71"/>
        <v>100.90016115626648</v>
      </c>
      <c r="Y212" s="55">
        <f t="shared" ca="1" si="72"/>
        <v>36.275948588711067</v>
      </c>
      <c r="Z212">
        <f t="shared" ca="1" si="66"/>
        <v>120</v>
      </c>
      <c r="AA212">
        <f t="shared" ca="1" si="73"/>
        <v>427.42181654791472</v>
      </c>
      <c r="AB212">
        <f t="shared" ca="1" si="67"/>
        <v>0</v>
      </c>
      <c r="AC212">
        <f t="shared" ca="1" si="68"/>
        <v>0.86445865410804734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45582</v>
      </c>
      <c r="S213" s="55">
        <f t="shared" ca="1" si="69"/>
        <v>45582</v>
      </c>
      <c r="T213" s="55">
        <f t="shared" ca="1" si="63"/>
        <v>78.032897244791215</v>
      </c>
      <c r="U213" s="55">
        <f t="shared" ca="1" si="64"/>
        <v>129.74245493198413</v>
      </c>
      <c r="V213" s="55">
        <f t="shared" ca="1" si="65"/>
        <v>0</v>
      </c>
      <c r="W213" s="55">
        <f t="shared" ca="1" si="70"/>
        <v>-167.16170094497593</v>
      </c>
      <c r="X213" s="55">
        <f t="shared" ca="1" si="71"/>
        <v>101.46490186262849</v>
      </c>
      <c r="Y213" s="55">
        <f t="shared" ca="1" si="72"/>
        <v>36.284480386196158</v>
      </c>
      <c r="Z213">
        <f t="shared" ca="1" si="66"/>
        <v>120</v>
      </c>
      <c r="AA213">
        <f t="shared" ca="1" si="73"/>
        <v>428.09181654791473</v>
      </c>
      <c r="AB213">
        <f t="shared" ca="1" si="67"/>
        <v>0</v>
      </c>
      <c r="AC213">
        <f t="shared" ca="1" si="68"/>
        <v>0.8662870572885657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45583</v>
      </c>
      <c r="S214" s="55">
        <f t="shared" ca="1" si="69"/>
        <v>45583</v>
      </c>
      <c r="T214" s="55">
        <f t="shared" ca="1" si="63"/>
        <v>76.332651600435213</v>
      </c>
      <c r="U214" s="55">
        <f t="shared" ca="1" si="64"/>
        <v>132.00329375840045</v>
      </c>
      <c r="V214" s="55">
        <f t="shared" ca="1" si="65"/>
        <v>0</v>
      </c>
      <c r="W214" s="55">
        <f t="shared" ca="1" si="70"/>
        <v>-167.16170094497593</v>
      </c>
      <c r="X214" s="55">
        <f t="shared" ca="1" si="71"/>
        <v>102.01730053344723</v>
      </c>
      <c r="Y214" s="55">
        <f t="shared" ca="1" si="72"/>
        <v>36.292674897437749</v>
      </c>
      <c r="Z214">
        <f t="shared" ca="1" si="66"/>
        <v>117.77777777777779</v>
      </c>
      <c r="AA214">
        <f t="shared" ca="1" si="73"/>
        <v>428.09181654791473</v>
      </c>
      <c r="AB214">
        <f t="shared" ca="1" si="67"/>
        <v>0</v>
      </c>
      <c r="AC214">
        <f t="shared" ca="1" si="68"/>
        <v>0.86797313124193098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45584</v>
      </c>
      <c r="S215" s="55">
        <f t="shared" ca="1" si="69"/>
        <v>45584</v>
      </c>
      <c r="T215" s="55">
        <f t="shared" ca="1" si="63"/>
        <v>74.644912244753243</v>
      </c>
      <c r="U215" s="55">
        <f t="shared" ca="1" si="64"/>
        <v>134.23859091609319</v>
      </c>
      <c r="V215" s="55">
        <f t="shared" ca="1" si="65"/>
        <v>0</v>
      </c>
      <c r="W215" s="55">
        <f t="shared" ca="1" si="70"/>
        <v>-167.16170094497593</v>
      </c>
      <c r="X215" s="55">
        <f t="shared" ca="1" si="71"/>
        <v>102.55691311948502</v>
      </c>
      <c r="Y215" s="55">
        <f t="shared" ca="1" si="72"/>
        <v>36.300620113410723</v>
      </c>
      <c r="Z215">
        <f t="shared" ca="1" si="66"/>
        <v>114.03993708715646</v>
      </c>
      <c r="AA215">
        <f t="shared" ca="1" si="73"/>
        <v>428.09181654791473</v>
      </c>
      <c r="AB215">
        <f t="shared" ca="1" si="67"/>
        <v>0</v>
      </c>
      <c r="AC215">
        <f t="shared" ca="1" si="68"/>
        <v>0.86955417639338783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45585</v>
      </c>
      <c r="S216" s="55">
        <f t="shared" ca="1" si="69"/>
        <v>45585</v>
      </c>
      <c r="T216" s="55">
        <f t="shared" ca="1" si="63"/>
        <v>72.839886629325946</v>
      </c>
      <c r="U216" s="55">
        <f t="shared" ca="1" si="64"/>
        <v>136.61363565614994</v>
      </c>
      <c r="V216" s="55">
        <f t="shared" ca="1" si="65"/>
        <v>0</v>
      </c>
      <c r="W216" s="55">
        <f t="shared" ca="1" si="70"/>
        <v>-167.16170094497593</v>
      </c>
      <c r="X216" s="55">
        <f t="shared" ca="1" si="71"/>
        <v>103.11891378292968</v>
      </c>
      <c r="Y216" s="55">
        <f t="shared" ca="1" si="72"/>
        <v>36.308638574595513</v>
      </c>
      <c r="Z216">
        <f t="shared" ca="1" si="66"/>
        <v>114.03730475560705</v>
      </c>
      <c r="AA216">
        <f t="shared" ca="1" si="73"/>
        <v>428.09181654791473</v>
      </c>
      <c r="AB216">
        <f t="shared" ca="1" si="67"/>
        <v>0</v>
      </c>
      <c r="AC216">
        <f t="shared" ca="1" si="68"/>
        <v>0.87114606086940038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45586</v>
      </c>
      <c r="S217" s="55">
        <f t="shared" ca="1" si="69"/>
        <v>45586</v>
      </c>
      <c r="T217" s="55">
        <f t="shared" ca="1" si="63"/>
        <v>70.966834317115371</v>
      </c>
      <c r="U217" s="55">
        <f t="shared" ca="1" si="64"/>
        <v>139.07672069570648</v>
      </c>
      <c r="V217" s="55">
        <f t="shared" ca="1" si="65"/>
        <v>0</v>
      </c>
      <c r="W217" s="55">
        <f t="shared" ca="1" si="70"/>
        <v>-167.16170094497593</v>
      </c>
      <c r="X217" s="55">
        <f t="shared" ca="1" si="71"/>
        <v>103.70095803412396</v>
      </c>
      <c r="Y217" s="55">
        <f t="shared" ca="1" si="72"/>
        <v>36.316627050747215</v>
      </c>
      <c r="Z217">
        <f t="shared" ca="1" si="66"/>
        <v>115.05598468169366</v>
      </c>
      <c r="AA217">
        <f t="shared" ca="1" si="73"/>
        <v>428.09181654791473</v>
      </c>
      <c r="AB217">
        <f t="shared" ca="1" si="67"/>
        <v>0</v>
      </c>
      <c r="AC217">
        <f t="shared" ca="1" si="68"/>
        <v>0.8727070717888693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45587</v>
      </c>
      <c r="S218" s="55">
        <f t="shared" ca="1" si="69"/>
        <v>45587</v>
      </c>
      <c r="T218" s="55">
        <f t="shared" ca="1" si="63"/>
        <v>69.000565403809986</v>
      </c>
      <c r="U218" s="55">
        <f t="shared" ca="1" si="64"/>
        <v>141.65325710567407</v>
      </c>
      <c r="V218" s="55">
        <f t="shared" ca="1" si="65"/>
        <v>0</v>
      </c>
      <c r="W218" s="55">
        <f t="shared" ca="1" si="70"/>
        <v>-167.16170094497593</v>
      </c>
      <c r="X218" s="55">
        <f t="shared" ca="1" si="71"/>
        <v>104.30322016300913</v>
      </c>
      <c r="Y218" s="55">
        <f t="shared" ca="1" si="72"/>
        <v>36.324632418524246</v>
      </c>
      <c r="Z218">
        <f t="shared" ca="1" si="66"/>
        <v>117.4966266456633</v>
      </c>
      <c r="AA218">
        <f t="shared" ca="1" si="73"/>
        <v>428.09181654791473</v>
      </c>
      <c r="AB218">
        <f t="shared" ca="1" si="67"/>
        <v>0</v>
      </c>
      <c r="AC218">
        <f t="shared" ca="1" si="68"/>
        <v>0.87424828019940182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45588</v>
      </c>
      <c r="S219" s="55">
        <f t="shared" ca="1" si="69"/>
        <v>45588</v>
      </c>
      <c r="T219" s="55">
        <f t="shared" ca="1" si="63"/>
        <v>67.168844239535929</v>
      </c>
      <c r="U219" s="55">
        <f t="shared" ca="1" si="64"/>
        <v>144.06471329081361</v>
      </c>
      <c r="V219" s="55">
        <f t="shared" ca="1" si="65"/>
        <v>0</v>
      </c>
      <c r="W219" s="55">
        <f t="shared" ca="1" si="70"/>
        <v>-167.16170094497593</v>
      </c>
      <c r="X219" s="55">
        <f t="shared" ca="1" si="71"/>
        <v>104.87544693625114</v>
      </c>
      <c r="Y219" s="55">
        <f t="shared" ca="1" si="72"/>
        <v>36.332140666147716</v>
      </c>
      <c r="Z219">
        <f t="shared" ca="1" si="66"/>
        <v>117.62653658856334</v>
      </c>
      <c r="AA219">
        <f t="shared" ca="1" si="73"/>
        <v>428.09181654791473</v>
      </c>
      <c r="AB219">
        <f t="shared" ca="1" si="67"/>
        <v>0</v>
      </c>
      <c r="AC219">
        <f t="shared" ca="1" si="68"/>
        <v>0.8756111661611663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45589</v>
      </c>
      <c r="S220" s="55">
        <f t="shared" ca="1" si="69"/>
        <v>45589</v>
      </c>
      <c r="T220" s="55">
        <f t="shared" ca="1" si="63"/>
        <v>65.218787411841831</v>
      </c>
      <c r="U220" s="55">
        <f t="shared" ca="1" si="64"/>
        <v>146.61029289270937</v>
      </c>
      <c r="V220" s="55">
        <f t="shared" ca="1" si="65"/>
        <v>0</v>
      </c>
      <c r="W220" s="55">
        <f t="shared" ca="1" si="70"/>
        <v>-167.16170094497593</v>
      </c>
      <c r="X220" s="55">
        <f t="shared" ca="1" si="71"/>
        <v>105.46339933282829</v>
      </c>
      <c r="Y220" s="55">
        <f t="shared" ca="1" si="72"/>
        <v>36.339711043772219</v>
      </c>
      <c r="Z220">
        <f t="shared" ca="1" si="66"/>
        <v>114.11164272257571</v>
      </c>
      <c r="AA220">
        <f t="shared" ca="1" si="73"/>
        <v>428.09181654791473</v>
      </c>
      <c r="AB220">
        <f t="shared" ca="1" si="67"/>
        <v>0</v>
      </c>
      <c r="AC220">
        <f t="shared" ca="1" si="68"/>
        <v>0.8769716466646168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45590</v>
      </c>
      <c r="S221" s="55">
        <f t="shared" ca="1" si="69"/>
        <v>45590</v>
      </c>
      <c r="T221" s="55">
        <f t="shared" ca="1" si="63"/>
        <v>63.163008494947462</v>
      </c>
      <c r="U221" s="55">
        <f t="shared" ca="1" si="64"/>
        <v>149.24267637471431</v>
      </c>
      <c r="V221" s="55">
        <f t="shared" ca="1" si="65"/>
        <v>0</v>
      </c>
      <c r="W221" s="55">
        <f t="shared" ca="1" si="70"/>
        <v>-167.16170094497593</v>
      </c>
      <c r="X221" s="55">
        <f t="shared" ca="1" si="71"/>
        <v>106.03245842332481</v>
      </c>
      <c r="Y221" s="55">
        <f t="shared" ca="1" si="72"/>
        <v>36.34725651838626</v>
      </c>
      <c r="Z221">
        <f t="shared" ca="1" si="66"/>
        <v>108.62183723217558</v>
      </c>
      <c r="AA221">
        <f t="shared" ca="1" si="73"/>
        <v>428.09181654791473</v>
      </c>
      <c r="AB221">
        <f t="shared" ca="1" si="67"/>
        <v>0</v>
      </c>
      <c r="AC221">
        <f t="shared" ca="1" si="68"/>
        <v>0.87829934690162881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45591</v>
      </c>
      <c r="S222" s="55">
        <f t="shared" ca="1" si="69"/>
        <v>45591</v>
      </c>
      <c r="T222" s="55">
        <f t="shared" ca="1" si="63"/>
        <v>60.925634988466612</v>
      </c>
      <c r="U222" s="55">
        <f t="shared" ca="1" si="64"/>
        <v>152.09679983677546</v>
      </c>
      <c r="V222" s="55">
        <f t="shared" ca="1" si="65"/>
        <v>0</v>
      </c>
      <c r="W222" s="55">
        <f t="shared" ca="1" si="70"/>
        <v>-167.16170094497593</v>
      </c>
      <c r="X222" s="55">
        <f t="shared" ca="1" si="71"/>
        <v>106.64144422135108</v>
      </c>
      <c r="Y222" s="55">
        <f t="shared" ca="1" si="72"/>
        <v>36.355020675940295</v>
      </c>
      <c r="Z222">
        <f t="shared" ca="1" si="66"/>
        <v>108.97218441940731</v>
      </c>
      <c r="AA222">
        <f t="shared" ca="1" si="73"/>
        <v>428.09181654791473</v>
      </c>
      <c r="AB222">
        <f t="shared" ca="1" si="67"/>
        <v>0</v>
      </c>
      <c r="AC222">
        <f t="shared" ca="1" si="68"/>
        <v>0.87965389165300234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45592</v>
      </c>
      <c r="S223" s="55">
        <f t="shared" ca="1" si="69"/>
        <v>45592</v>
      </c>
      <c r="T223" s="55">
        <f t="shared" ca="1" si="63"/>
        <v>58.842273416143179</v>
      </c>
      <c r="U223" s="55">
        <f t="shared" ca="1" si="64"/>
        <v>154.78516083420845</v>
      </c>
      <c r="V223" s="55">
        <f t="shared" ca="1" si="65"/>
        <v>0</v>
      </c>
      <c r="W223" s="55">
        <f t="shared" ca="1" si="70"/>
        <v>-167.16170094497593</v>
      </c>
      <c r="X223" s="55">
        <f t="shared" ca="1" si="71"/>
        <v>107.23915804028877</v>
      </c>
      <c r="Y223" s="55">
        <f t="shared" ca="1" si="72"/>
        <v>36.362306282112158</v>
      </c>
      <c r="Z223">
        <f t="shared" ca="1" si="66"/>
        <v>111.75483104924845</v>
      </c>
      <c r="AA223">
        <f t="shared" ca="1" si="73"/>
        <v>428.09181654791473</v>
      </c>
      <c r="AB223">
        <f t="shared" ca="1" si="67"/>
        <v>0</v>
      </c>
      <c r="AC223">
        <f t="shared" ca="1" si="68"/>
        <v>0.88085421982644185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45593</v>
      </c>
      <c r="S224" s="55">
        <f t="shared" ca="1" si="69"/>
        <v>45593</v>
      </c>
      <c r="T224" s="55">
        <f t="shared" ca="1" si="63"/>
        <v>56.746922503504386</v>
      </c>
      <c r="U224" s="55">
        <f t="shared" ca="1" si="64"/>
        <v>157.4771646833897</v>
      </c>
      <c r="V224" s="55">
        <f t="shared" ca="1" si="65"/>
        <v>0</v>
      </c>
      <c r="W224" s="55">
        <f t="shared" ca="1" si="70"/>
        <v>-167.16170094497593</v>
      </c>
      <c r="X224" s="55">
        <f t="shared" ca="1" si="71"/>
        <v>107.82868463043644</v>
      </c>
      <c r="Y224" s="55">
        <f t="shared" ca="1" si="72"/>
        <v>36.369432628506942</v>
      </c>
      <c r="Z224">
        <f t="shared" ca="1" si="66"/>
        <v>110.27879852284858</v>
      </c>
      <c r="AA224">
        <f t="shared" ca="1" si="73"/>
        <v>428.09181654791473</v>
      </c>
      <c r="AB224">
        <f t="shared" ca="1" si="67"/>
        <v>0</v>
      </c>
      <c r="AC224">
        <f t="shared" ca="1" si="68"/>
        <v>0.88198755217991986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45594</v>
      </c>
      <c r="S225" s="55">
        <f t="shared" ca="1" si="69"/>
        <v>45594</v>
      </c>
      <c r="T225" s="55">
        <f t="shared" ca="1" si="63"/>
        <v>54.534995927348859</v>
      </c>
      <c r="U225" s="55">
        <f t="shared" ca="1" si="64"/>
        <v>160.28961248574143</v>
      </c>
      <c r="V225" s="55">
        <f t="shared" ca="1" si="65"/>
        <v>0</v>
      </c>
      <c r="W225" s="55">
        <f t="shared" ca="1" si="70"/>
        <v>-167.16170094497593</v>
      </c>
      <c r="X225" s="55">
        <f t="shared" ca="1" si="71"/>
        <v>108.42203586871489</v>
      </c>
      <c r="Y225" s="55">
        <f t="shared" ca="1" si="72"/>
        <v>36.376602616424698</v>
      </c>
      <c r="Z225">
        <f t="shared" ca="1" si="66"/>
        <v>107.45914461326907</v>
      </c>
      <c r="AA225">
        <f t="shared" ca="1" si="73"/>
        <v>428.09181654791473</v>
      </c>
      <c r="AB225">
        <f t="shared" ca="1" si="67"/>
        <v>0</v>
      </c>
      <c r="AC225">
        <f t="shared" ca="1" si="68"/>
        <v>0.88310296805617439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45595</v>
      </c>
      <c r="S226" s="55">
        <f t="shared" ca="1" si="69"/>
        <v>45595</v>
      </c>
      <c r="T226" s="55">
        <f t="shared" ca="1" si="63"/>
        <v>52.34746085730032</v>
      </c>
      <c r="U226" s="55">
        <f t="shared" ca="1" si="64"/>
        <v>163.04111537968168</v>
      </c>
      <c r="V226" s="55">
        <f t="shared" ca="1" si="65"/>
        <v>0</v>
      </c>
      <c r="W226" s="55">
        <f t="shared" ca="1" si="70"/>
        <v>-167.16170094497593</v>
      </c>
      <c r="X226" s="55">
        <f t="shared" ca="1" si="71"/>
        <v>108.97909351033437</v>
      </c>
      <c r="Y226" s="55">
        <f t="shared" ca="1" si="72"/>
        <v>36.383512798696941</v>
      </c>
      <c r="Z226">
        <f t="shared" ca="1" si="66"/>
        <v>103.02779738170457</v>
      </c>
      <c r="AA226">
        <f t="shared" ca="1" si="73"/>
        <v>428.09181654791473</v>
      </c>
      <c r="AB226">
        <f t="shared" ca="1" si="67"/>
        <v>0</v>
      </c>
      <c r="AC226">
        <f t="shared" ca="1" si="68"/>
        <v>0.88413070034436392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45596</v>
      </c>
      <c r="S227" s="55">
        <f t="shared" ca="1" si="69"/>
        <v>45596</v>
      </c>
      <c r="T227" s="55">
        <f t="shared" ca="1" si="63"/>
        <v>50.266043185331071</v>
      </c>
      <c r="U227" s="55">
        <f t="shared" ca="1" si="64"/>
        <v>165.64402848592408</v>
      </c>
      <c r="V227" s="55">
        <f t="shared" ca="1" si="65"/>
        <v>0</v>
      </c>
      <c r="W227" s="55">
        <f t="shared" ca="1" si="70"/>
        <v>-167.16170094497593</v>
      </c>
      <c r="X227" s="55">
        <f t="shared" ca="1" si="71"/>
        <v>109.49406162312781</v>
      </c>
      <c r="Y227" s="55">
        <f t="shared" ca="1" si="72"/>
        <v>36.39004012017665</v>
      </c>
      <c r="Z227">
        <f t="shared" ca="1" si="66"/>
        <v>99.584781474027352</v>
      </c>
      <c r="AA227">
        <f t="shared" ca="1" si="73"/>
        <v>428.09181654791473</v>
      </c>
      <c r="AB227">
        <f t="shared" ca="1" si="67"/>
        <v>0</v>
      </c>
      <c r="AC227">
        <f t="shared" ca="1" si="68"/>
        <v>0.88504873649097893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45597</v>
      </c>
      <c r="S228" s="55">
        <f t="shared" ca="1" si="69"/>
        <v>45597</v>
      </c>
      <c r="T228" s="55">
        <f t="shared" ca="1" si="63"/>
        <v>48.145393923725997</v>
      </c>
      <c r="U228" s="55">
        <f t="shared" ca="1" si="64"/>
        <v>168.25564526724861</v>
      </c>
      <c r="V228" s="55">
        <f t="shared" ca="1" si="65"/>
        <v>0</v>
      </c>
      <c r="W228" s="55">
        <f t="shared" ca="1" si="70"/>
        <v>-167.16170094497593</v>
      </c>
      <c r="X228" s="55">
        <f t="shared" ca="1" si="71"/>
        <v>109.97862071391472</v>
      </c>
      <c r="Y228" s="55">
        <f t="shared" ca="1" si="72"/>
        <v>36.396448549109195</v>
      </c>
      <c r="Z228">
        <f t="shared" ca="1" si="66"/>
        <v>93.502070801679153</v>
      </c>
      <c r="AA228">
        <f t="shared" ca="1" si="73"/>
        <v>428.09181654791473</v>
      </c>
      <c r="AB228">
        <f t="shared" ca="1" si="67"/>
        <v>0</v>
      </c>
      <c r="AC228">
        <f t="shared" ca="1" si="68"/>
        <v>0.88592008872092853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45598</v>
      </c>
      <c r="S229" s="55">
        <f t="shared" ca="1" si="69"/>
        <v>45598</v>
      </c>
      <c r="T229" s="55">
        <f t="shared" ca="1" si="63"/>
        <v>46.052884283050247</v>
      </c>
      <c r="U229" s="55">
        <f t="shared" ca="1" si="64"/>
        <v>170.82574750064052</v>
      </c>
      <c r="V229" s="55">
        <f t="shared" ca="1" si="65"/>
        <v>0</v>
      </c>
      <c r="W229" s="55">
        <f t="shared" ca="1" si="70"/>
        <v>-167.16170094497593</v>
      </c>
      <c r="X229" s="55">
        <f t="shared" ca="1" si="71"/>
        <v>110.44999416917464</v>
      </c>
      <c r="Y229" s="55">
        <f t="shared" ca="1" si="72"/>
        <v>36.402667686565437</v>
      </c>
      <c r="Z229">
        <f t="shared" ca="1" si="66"/>
        <v>91.83826456505912</v>
      </c>
      <c r="AA229">
        <f t="shared" ca="1" si="73"/>
        <v>428.09181654791473</v>
      </c>
      <c r="AB229">
        <f t="shared" ca="1" si="67"/>
        <v>0</v>
      </c>
      <c r="AC229">
        <f t="shared" ca="1" si="68"/>
        <v>0.88673177904684475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45599</v>
      </c>
      <c r="S230" s="55">
        <f t="shared" ca="1" si="69"/>
        <v>45599</v>
      </c>
      <c r="T230" s="55">
        <f t="shared" ca="1" si="63"/>
        <v>43.919643069210117</v>
      </c>
      <c r="U230" s="55">
        <f t="shared" ca="1" si="64"/>
        <v>173.44412286814267</v>
      </c>
      <c r="V230" s="55">
        <f t="shared" ca="1" si="65"/>
        <v>0</v>
      </c>
      <c r="W230" s="55">
        <f t="shared" ca="1" si="70"/>
        <v>-167.16170094497593</v>
      </c>
      <c r="X230" s="55">
        <f t="shared" ca="1" si="71"/>
        <v>110.92895710453377</v>
      </c>
      <c r="Y230" s="55">
        <f t="shared" ca="1" si="72"/>
        <v>36.408838904868333</v>
      </c>
      <c r="Z230">
        <f t="shared" ca="1" si="66"/>
        <v>91.659353074577211</v>
      </c>
      <c r="AA230">
        <f t="shared" ca="1" si="73"/>
        <v>428.09181654791473</v>
      </c>
      <c r="AB230">
        <f t="shared" ca="1" si="67"/>
        <v>0</v>
      </c>
      <c r="AC230">
        <f t="shared" ca="1" si="68"/>
        <v>0.88751468904097652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45600</v>
      </c>
      <c r="S231" s="55">
        <f t="shared" ca="1" si="69"/>
        <v>45600</v>
      </c>
      <c r="T231" s="55">
        <f t="shared" ca="1" si="63"/>
        <v>41.750265645843996</v>
      </c>
      <c r="U231" s="55">
        <f t="shared" ca="1" si="64"/>
        <v>176.14789259984525</v>
      </c>
      <c r="V231" s="55">
        <f t="shared" ca="1" si="65"/>
        <v>0</v>
      </c>
      <c r="W231" s="55">
        <f t="shared" ca="1" si="70"/>
        <v>-167.16170094497593</v>
      </c>
      <c r="X231" s="55">
        <f t="shared" ca="1" si="71"/>
        <v>111.45716782471125</v>
      </c>
      <c r="Y231" s="55">
        <f t="shared" ca="1" si="72"/>
        <v>36.415020493027299</v>
      </c>
      <c r="Z231">
        <f t="shared" ca="1" si="66"/>
        <v>97.930652643734561</v>
      </c>
      <c r="AA231">
        <f t="shared" ca="1" si="73"/>
        <v>428.09181654791473</v>
      </c>
      <c r="AB231">
        <f t="shared" ca="1" si="67"/>
        <v>0</v>
      </c>
      <c r="AC231">
        <f t="shared" ca="1" si="68"/>
        <v>0.88827919982431314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45601</v>
      </c>
      <c r="S232" s="55">
        <f t="shared" ca="1" si="69"/>
        <v>45601</v>
      </c>
      <c r="T232" s="55">
        <f t="shared" ca="1" si="63"/>
        <v>39.696963493031795</v>
      </c>
      <c r="U232" s="55">
        <f t="shared" ca="1" si="64"/>
        <v>178.72610046357423</v>
      </c>
      <c r="V232" s="55">
        <f t="shared" ca="1" si="65"/>
        <v>0</v>
      </c>
      <c r="W232" s="55">
        <f t="shared" ca="1" si="70"/>
        <v>-167.16170094497593</v>
      </c>
      <c r="X232" s="55">
        <f t="shared" ca="1" si="71"/>
        <v>111.97619012723705</v>
      </c>
      <c r="Y232" s="55">
        <f t="shared" ca="1" si="72"/>
        <v>36.420903901418278</v>
      </c>
      <c r="Z232">
        <f t="shared" ca="1" si="66"/>
        <v>99.36203939165506</v>
      </c>
      <c r="AA232">
        <f t="shared" ca="1" si="73"/>
        <v>428.09181654791473</v>
      </c>
      <c r="AB232">
        <f t="shared" ca="1" si="67"/>
        <v>0</v>
      </c>
      <c r="AC232">
        <f t="shared" ca="1" si="68"/>
        <v>0.88896901505661141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45602</v>
      </c>
      <c r="S233" s="55">
        <f t="shared" ca="1" si="69"/>
        <v>45602</v>
      </c>
      <c r="T233" s="55">
        <f t="shared" ca="1" si="63"/>
        <v>37.599270017530358</v>
      </c>
      <c r="U233" s="55">
        <f t="shared" ca="1" si="64"/>
        <v>181.3744102076916</v>
      </c>
      <c r="V233" s="55">
        <f t="shared" ca="1" si="65"/>
        <v>0</v>
      </c>
      <c r="W233" s="55">
        <f t="shared" ca="1" si="70"/>
        <v>-167.16170094497593</v>
      </c>
      <c r="X233" s="55">
        <f t="shared" ca="1" si="71"/>
        <v>112.520927155195</v>
      </c>
      <c r="Y233" s="55">
        <f t="shared" ca="1" si="72"/>
        <v>36.426783142076268</v>
      </c>
      <c r="Z233">
        <f t="shared" ca="1" si="66"/>
        <v>101.41318102842008</v>
      </c>
      <c r="AA233">
        <f t="shared" ca="1" si="73"/>
        <v>428.09181654791473</v>
      </c>
      <c r="AB233">
        <f t="shared" ca="1" si="67"/>
        <v>0</v>
      </c>
      <c r="AC233">
        <f t="shared" ca="1" si="68"/>
        <v>0.88964001925589442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45603</v>
      </c>
      <c r="S234" s="55">
        <f t="shared" ca="1" si="69"/>
        <v>45603</v>
      </c>
      <c r="T234" s="55">
        <f t="shared" ca="1" si="63"/>
        <v>35.460253188637864</v>
      </c>
      <c r="U234" s="55">
        <f t="shared" ca="1" si="64"/>
        <v>184.07565056025962</v>
      </c>
      <c r="V234" s="55">
        <f t="shared" ca="1" si="65"/>
        <v>0</v>
      </c>
      <c r="W234" s="55">
        <f t="shared" ca="1" si="70"/>
        <v>-167.16170094497593</v>
      </c>
      <c r="X234" s="55">
        <f t="shared" ca="1" si="71"/>
        <v>113.07729765881474</v>
      </c>
      <c r="Y234" s="55">
        <f t="shared" ca="1" si="72"/>
        <v>36.432636162132049</v>
      </c>
      <c r="Z234">
        <f t="shared" ca="1" si="66"/>
        <v>101.34799532439921</v>
      </c>
      <c r="AA234">
        <f t="shared" ca="1" si="73"/>
        <v>428.09181654791473</v>
      </c>
      <c r="AB234">
        <f t="shared" ca="1" si="67"/>
        <v>0</v>
      </c>
      <c r="AC234">
        <f t="shared" ca="1" si="68"/>
        <v>0.89028742134639727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45604</v>
      </c>
      <c r="S235" s="55">
        <f t="shared" ca="1" si="69"/>
        <v>45604</v>
      </c>
      <c r="T235" s="55">
        <f t="shared" ca="1" si="63"/>
        <v>33.424791375297097</v>
      </c>
      <c r="U235" s="55">
        <f t="shared" ca="1" si="64"/>
        <v>186.65648616874356</v>
      </c>
      <c r="V235" s="55">
        <f t="shared" ca="1" si="65"/>
        <v>0</v>
      </c>
      <c r="W235" s="55">
        <f t="shared" ca="1" si="70"/>
        <v>-167.16170094497593</v>
      </c>
      <c r="X235" s="55">
        <f t="shared" ca="1" si="71"/>
        <v>113.61708841241261</v>
      </c>
      <c r="Y235" s="55">
        <f t="shared" ca="1" si="72"/>
        <v>36.438219203677349</v>
      </c>
      <c r="Z235">
        <f t="shared" ca="1" si="66"/>
        <v>101.35035781963741</v>
      </c>
      <c r="AA235">
        <f t="shared" ca="1" si="73"/>
        <v>428.09181654791473</v>
      </c>
      <c r="AB235">
        <f t="shared" ca="1" si="67"/>
        <v>0</v>
      </c>
      <c r="AC235">
        <f t="shared" ca="1" si="68"/>
        <v>0.89087299386987695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45605</v>
      </c>
      <c r="S236" s="55">
        <f t="shared" ca="1" si="69"/>
        <v>45605</v>
      </c>
      <c r="T236" s="55">
        <f t="shared" ca="1" si="63"/>
        <v>31.319652844828362</v>
      </c>
      <c r="U236" s="55">
        <f t="shared" ca="1" si="64"/>
        <v>189.31097981726569</v>
      </c>
      <c r="V236" s="55">
        <f t="shared" ca="1" si="65"/>
        <v>0</v>
      </c>
      <c r="W236" s="55">
        <f t="shared" ca="1" si="70"/>
        <v>-167.16170094497593</v>
      </c>
      <c r="X236" s="55">
        <f t="shared" ca="1" si="71"/>
        <v>114.16084850597971</v>
      </c>
      <c r="Y236" s="55">
        <f t="shared" ca="1" si="72"/>
        <v>36.443814228163646</v>
      </c>
      <c r="Z236">
        <f t="shared" ca="1" si="66"/>
        <v>99.296199648285551</v>
      </c>
      <c r="AA236">
        <f t="shared" ca="1" si="73"/>
        <v>428.09181654791473</v>
      </c>
      <c r="AB236">
        <f t="shared" ca="1" si="67"/>
        <v>0</v>
      </c>
      <c r="AC236">
        <f t="shared" ca="1" si="68"/>
        <v>0.89144351918011733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45606</v>
      </c>
      <c r="S237" s="55">
        <f t="shared" ca="1" si="69"/>
        <v>45606</v>
      </c>
      <c r="T237" s="55">
        <f t="shared" ca="1" si="63"/>
        <v>29.192519877683861</v>
      </c>
      <c r="U237" s="55">
        <f t="shared" ca="1" si="64"/>
        <v>191.96773502268979</v>
      </c>
      <c r="V237" s="55">
        <f t="shared" ca="1" si="65"/>
        <v>0</v>
      </c>
      <c r="W237" s="55">
        <f t="shared" ca="1" si="70"/>
        <v>-167.16170094497593</v>
      </c>
      <c r="X237" s="55">
        <f t="shared" ca="1" si="71"/>
        <v>114.6849611453494</v>
      </c>
      <c r="Y237" s="55">
        <f t="shared" ca="1" si="72"/>
        <v>36.449323827073563</v>
      </c>
      <c r="Z237">
        <f t="shared" ca="1" si="66"/>
        <v>95.12920829254098</v>
      </c>
      <c r="AA237">
        <f t="shared" ca="1" si="73"/>
        <v>428.09181654791473</v>
      </c>
      <c r="AB237">
        <f t="shared" ca="1" si="67"/>
        <v>0</v>
      </c>
      <c r="AC237">
        <f t="shared" ca="1" si="68"/>
        <v>0.89198403222795009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45607</v>
      </c>
      <c r="S238" s="55">
        <f t="shared" ca="1" si="69"/>
        <v>45607</v>
      </c>
      <c r="T238" s="55">
        <f t="shared" ca="1" si="63"/>
        <v>27.100990557828869</v>
      </c>
      <c r="U238" s="55">
        <f t="shared" ca="1" si="64"/>
        <v>194.58982512664596</v>
      </c>
      <c r="V238" s="55">
        <f t="shared" ca="1" si="65"/>
        <v>0</v>
      </c>
      <c r="W238" s="55">
        <f t="shared" ca="1" si="70"/>
        <v>-167.16170094497593</v>
      </c>
      <c r="X238" s="55">
        <f t="shared" ca="1" si="71"/>
        <v>115.2101446309066</v>
      </c>
      <c r="Y238" s="55">
        <f t="shared" ca="1" si="72"/>
        <v>36.454701125617547</v>
      </c>
      <c r="Z238">
        <f t="shared" ca="1" si="66"/>
        <v>95.546959706311739</v>
      </c>
      <c r="AA238">
        <f t="shared" ca="1" si="73"/>
        <v>428.09181654791473</v>
      </c>
      <c r="AB238">
        <f t="shared" ca="1" si="67"/>
        <v>0</v>
      </c>
      <c r="AC238">
        <f t="shared" ca="1" si="68"/>
        <v>0.89248919026094187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45608</v>
      </c>
      <c r="S239" s="55">
        <f t="shared" ca="1" si="69"/>
        <v>45608</v>
      </c>
      <c r="T239" s="55">
        <f t="shared" ca="1" si="63"/>
        <v>25.079181810506011</v>
      </c>
      <c r="U239" s="55">
        <f t="shared" ca="1" si="64"/>
        <v>197.12336983442813</v>
      </c>
      <c r="V239" s="55">
        <f t="shared" ca="1" si="65"/>
        <v>0</v>
      </c>
      <c r="W239" s="55">
        <f t="shared" ca="1" si="70"/>
        <v>-167.16170094497593</v>
      </c>
      <c r="X239" s="55">
        <f t="shared" ca="1" si="71"/>
        <v>115.71670290911391</v>
      </c>
      <c r="Y239" s="55">
        <f t="shared" ca="1" si="72"/>
        <v>36.459878807869558</v>
      </c>
      <c r="Z239">
        <f t="shared" ca="1" si="66"/>
        <v>93.999770329569742</v>
      </c>
      <c r="AA239">
        <f t="shared" ca="1" si="73"/>
        <v>428.09181654791473</v>
      </c>
      <c r="AB239">
        <f t="shared" ca="1" si="67"/>
        <v>0</v>
      </c>
      <c r="AC239">
        <f t="shared" ca="1" si="68"/>
        <v>0.8929519864145008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45609</v>
      </c>
      <c r="S240" s="55">
        <f t="shared" ca="1" si="69"/>
        <v>45609</v>
      </c>
      <c r="T240" s="55">
        <f t="shared" ca="1" si="63"/>
        <v>23.089249748206971</v>
      </c>
      <c r="U240" s="55">
        <f t="shared" ca="1" si="64"/>
        <v>199.61599070842368</v>
      </c>
      <c r="V240" s="55">
        <f t="shared" ca="1" si="65"/>
        <v>0</v>
      </c>
      <c r="W240" s="55">
        <f t="shared" ca="1" si="70"/>
        <v>-167.16170094497593</v>
      </c>
      <c r="X240" s="55">
        <f t="shared" ca="1" si="71"/>
        <v>116.21434188468679</v>
      </c>
      <c r="Y240" s="55">
        <f t="shared" ca="1" si="72"/>
        <v>36.464928643993183</v>
      </c>
      <c r="Z240">
        <f t="shared" ca="1" si="66"/>
        <v>92.757581649264182</v>
      </c>
      <c r="AA240">
        <f t="shared" ca="1" si="73"/>
        <v>428.09181654791473</v>
      </c>
      <c r="AB240">
        <f t="shared" ca="1" si="67"/>
        <v>0</v>
      </c>
      <c r="AC240">
        <f t="shared" ca="1" si="68"/>
        <v>0.89338427580268787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45610</v>
      </c>
      <c r="S241" s="55">
        <f t="shared" ca="1" si="69"/>
        <v>45610</v>
      </c>
      <c r="T241" s="55">
        <f t="shared" ca="1" si="63"/>
        <v>21.032519045998637</v>
      </c>
      <c r="U241" s="55">
        <f t="shared" ca="1" si="64"/>
        <v>202.16994625375867</v>
      </c>
      <c r="V241" s="55">
        <f t="shared" ca="1" si="65"/>
        <v>0</v>
      </c>
      <c r="W241" s="55">
        <f t="shared" ca="1" si="70"/>
        <v>-167.16170094497593</v>
      </c>
      <c r="X241" s="55">
        <f t="shared" ca="1" si="71"/>
        <v>116.70650356209212</v>
      </c>
      <c r="Y241" s="55">
        <f t="shared" ca="1" si="72"/>
        <v>36.4699918097145</v>
      </c>
      <c r="Z241">
        <f t="shared" ca="1" si="66"/>
        <v>89.073346922130412</v>
      </c>
      <c r="AA241">
        <f t="shared" ca="1" si="73"/>
        <v>428.09181654791473</v>
      </c>
      <c r="AB241">
        <f t="shared" ca="1" si="67"/>
        <v>0</v>
      </c>
      <c r="AC241">
        <f t="shared" ca="1" si="68"/>
        <v>0.89380469424447073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45611</v>
      </c>
      <c r="S242" s="55">
        <f t="shared" ca="1" si="69"/>
        <v>45611</v>
      </c>
      <c r="T242" s="55">
        <f t="shared" ca="1" si="63"/>
        <v>18.947040532140292</v>
      </c>
      <c r="U242" s="55">
        <f t="shared" ca="1" si="64"/>
        <v>204.77555788746787</v>
      </c>
      <c r="V242" s="55">
        <f t="shared" ca="1" si="65"/>
        <v>0</v>
      </c>
      <c r="W242" s="55">
        <f t="shared" ca="1" si="70"/>
        <v>-167.16170094497593</v>
      </c>
      <c r="X242" s="55">
        <f t="shared" ca="1" si="71"/>
        <v>117.22156908278508</v>
      </c>
      <c r="Y242" s="55">
        <f t="shared" ca="1" si="72"/>
        <v>36.475059408872404</v>
      </c>
      <c r="Z242">
        <f t="shared" ca="1" si="66"/>
        <v>90.728027745251367</v>
      </c>
      <c r="AA242">
        <f t="shared" ca="1" si="73"/>
        <v>428.09181654791473</v>
      </c>
      <c r="AB242">
        <f t="shared" ca="1" si="67"/>
        <v>0</v>
      </c>
      <c r="AC242">
        <f t="shared" ca="1" si="68"/>
        <v>0.89421131234063533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45612</v>
      </c>
      <c r="S243" s="55">
        <f t="shared" ca="1" si="69"/>
        <v>45612</v>
      </c>
      <c r="T243" s="55">
        <f t="shared" ca="1" si="63"/>
        <v>16.957945667807984</v>
      </c>
      <c r="U243" s="55">
        <f t="shared" ca="1" si="64"/>
        <v>207.25034184446835</v>
      </c>
      <c r="V243" s="55">
        <f t="shared" ca="1" si="65"/>
        <v>0</v>
      </c>
      <c r="W243" s="55">
        <f t="shared" ca="1" si="70"/>
        <v>-167.16170094497593</v>
      </c>
      <c r="X243" s="55">
        <f t="shared" ca="1" si="71"/>
        <v>117.70242886213246</v>
      </c>
      <c r="Y243" s="55">
        <f t="shared" ca="1" si="72"/>
        <v>36.479888722193202</v>
      </c>
      <c r="Z243">
        <f t="shared" ca="1" si="66"/>
        <v>87.340613280211613</v>
      </c>
      <c r="AA243">
        <f t="shared" ca="1" si="73"/>
        <v>428.09181654791473</v>
      </c>
      <c r="AB243">
        <f t="shared" ca="1" si="67"/>
        <v>0</v>
      </c>
      <c r="AC243">
        <f t="shared" ca="1" si="68"/>
        <v>0.89457768581431996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45613</v>
      </c>
      <c r="S244" s="55">
        <f t="shared" ca="1" si="69"/>
        <v>45613</v>
      </c>
      <c r="T244" s="55">
        <f t="shared" ca="1" si="63"/>
        <v>15.062298325732304</v>
      </c>
      <c r="U244" s="55">
        <f t="shared" ca="1" si="64"/>
        <v>209.59960143890888</v>
      </c>
      <c r="V244" s="55">
        <f t="shared" ca="1" si="65"/>
        <v>0</v>
      </c>
      <c r="W244" s="55">
        <f t="shared" ca="1" si="70"/>
        <v>-167.16170094497593</v>
      </c>
      <c r="X244" s="55">
        <f t="shared" ca="1" si="71"/>
        <v>118.15143249877764</v>
      </c>
      <c r="Y244" s="55">
        <f t="shared" ca="1" si="72"/>
        <v>36.48449733791287</v>
      </c>
      <c r="Z244">
        <f t="shared" ca="1" si="66"/>
        <v>83.943416184460986</v>
      </c>
      <c r="AA244">
        <f t="shared" ca="1" si="73"/>
        <v>428.09181654791473</v>
      </c>
      <c r="AB244">
        <f t="shared" ca="1" si="67"/>
        <v>0</v>
      </c>
      <c r="AC244">
        <f t="shared" ca="1" si="68"/>
        <v>0.89490845509500394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45614</v>
      </c>
      <c r="S245" s="55">
        <f t="shared" ca="1" si="69"/>
        <v>45614</v>
      </c>
      <c r="T245" s="55">
        <f t="shared" ca="1" si="63"/>
        <v>13.182322969874184</v>
      </c>
      <c r="U245" s="55">
        <f t="shared" ca="1" si="64"/>
        <v>211.90909090909088</v>
      </c>
      <c r="V245" s="55">
        <f t="shared" ca="1" si="65"/>
        <v>0</v>
      </c>
      <c r="W245" s="55">
        <f t="shared" ca="1" si="70"/>
        <v>-167.16170094497593</v>
      </c>
      <c r="X245" s="55">
        <f t="shared" ca="1" si="71"/>
        <v>118.57644183760132</v>
      </c>
      <c r="Y245" s="55">
        <f t="shared" ca="1" si="72"/>
        <v>36.489002113413072</v>
      </c>
      <c r="Z245">
        <f t="shared" ca="1" si="66"/>
        <v>79.216976715483639</v>
      </c>
      <c r="AA245">
        <f t="shared" ca="1" si="73"/>
        <v>428.09181654791473</v>
      </c>
      <c r="AB245">
        <f t="shared" ca="1" si="67"/>
        <v>0</v>
      </c>
      <c r="AC245">
        <f t="shared" ca="1" si="68"/>
        <v>0.89521819789393153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D6 E49 E48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ListMembers!$J$18:$J$25</xm:f>
          </x14:formula1>
          <xm:sqref>D5 E47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topLeftCell="C1" zoomScale="105" workbookViewId="0">
      <selection activeCell="J7" sqref="J6:J7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ClayLoam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45388</v>
      </c>
      <c r="K3" s="3">
        <v>50</v>
      </c>
      <c r="L3" s="3"/>
      <c r="M3" s="3">
        <f ca="1">SUMIF($I$8:$I$1001,TRUE,M8:M1001)</f>
        <v>36.489002113413072</v>
      </c>
      <c r="N3" s="3">
        <f ca="1">SUMIF($I$8:$I$1001,TRUE,N8:N1001)</f>
        <v>117.89819650922655</v>
      </c>
      <c r="O3" s="3">
        <f ca="1">SUMIF($I$8:$I$1001,TRUE,O8:O1001)</f>
        <v>185.83962661801661</v>
      </c>
      <c r="P3" s="3">
        <f ca="1">VLOOKUP(B32,ModelOutputs,P5,FALSE)-Q3</f>
        <v>0</v>
      </c>
      <c r="Q3">
        <f ca="1">VLOOKUP(B32,ModelOutputs,P5,FALSE)</f>
        <v>2.026289583284667</v>
      </c>
      <c r="R3" s="13"/>
      <c r="W3" s="3">
        <f ca="1">MAX(0,X4-X3)</f>
        <v>0</v>
      </c>
      <c r="X3" s="3">
        <f ca="1">SUM(K3:R3)</f>
        <v>392.2531148239409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45614</v>
      </c>
      <c r="K4" s="24">
        <f ca="1">VLOOKUP(J4,ModelOutputs,2,FALSE)</f>
        <v>13.182322969874184</v>
      </c>
      <c r="L4" s="27"/>
      <c r="M4" s="25"/>
      <c r="N4" s="25"/>
      <c r="O4" s="25"/>
      <c r="P4" s="24">
        <f ca="1">(VLOOKUP($J$4,ModelOutputs,P5,FALSE)-VLOOKUP($J$3+1,ModelOutputs,P5,FALSE))-Q4</f>
        <v>31.603973944812481</v>
      </c>
      <c r="Q4" s="26">
        <f ca="1">VLOOKUP($J$4,ModelOutputs,Q5,FALSE)-VLOOKUP($J$3+1,ModelOutputs,Q5,FALSE)</f>
        <v>178.27882738099373</v>
      </c>
      <c r="R4" s="27">
        <f ca="1">SUMIF($I$8:$I$1001,TRUE,R8:R1001)</f>
        <v>167.16170094497593</v>
      </c>
      <c r="S4" s="3"/>
      <c r="T4" s="3"/>
      <c r="U4" s="3"/>
      <c r="V4" s="3"/>
      <c r="W4" s="3">
        <f ca="1">MAX(0,X3-X4)</f>
        <v>2.0262895832845516</v>
      </c>
      <c r="X4" s="3">
        <f ca="1">SUM(K4:R4)</f>
        <v>390.22682524065635</v>
      </c>
    </row>
    <row r="5" spans="1:31">
      <c r="A5" s="12" t="s">
        <v>235</v>
      </c>
      <c r="B5" s="13" t="str">
        <f>SoilCategory</f>
        <v>Volcanic</v>
      </c>
      <c r="D5" s="37">
        <f>IF(ConceptDemo!C29="","",ConceptDemo!C29)</f>
        <v>45474</v>
      </c>
      <c r="E5" s="38">
        <f>IF(ConceptDemo!D29="","",ConceptDemo!D29)</f>
        <v>24</v>
      </c>
      <c r="L5">
        <f ca="1">SUMIF(H7:H1000,FALSE,L7:L1000)</f>
        <v>154.7698784113368</v>
      </c>
      <c r="M5">
        <f ca="1">SUMIF(H7:H1000,TRUE,M7:M1000)</f>
        <v>36.48449733791287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55</v>
      </c>
      <c r="D6" s="18">
        <f>IF(ConceptDemo!C30="","",ConceptDemo!C30)</f>
        <v>45508</v>
      </c>
      <c r="E6" s="17">
        <f>IF(ConceptDemo!D30="","",ConceptDemo!D30)</f>
        <v>18</v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1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45387</v>
      </c>
      <c r="K7">
        <f ca="1"/>
        <v>0</v>
      </c>
      <c r="L7">
        <f ca="1"/>
        <v>1.9068778329509257</v>
      </c>
      <c r="M7">
        <f ca="1"/>
        <v>0</v>
      </c>
      <c r="N7" s="4">
        <f ca="1"/>
        <v>0.67824532837476781</v>
      </c>
      <c r="O7">
        <f ca="1"/>
        <v>0</v>
      </c>
      <c r="P7">
        <f ca="1"/>
        <v>145.6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0.99998457105749694</v>
      </c>
      <c r="X7" s="2">
        <f t="shared" ref="X7:X70" ca="1" si="1">IFERROR(J7,$X$5)</f>
        <v>45387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45388</v>
      </c>
      <c r="K8">
        <f ca="1"/>
        <v>50.626388012632596</v>
      </c>
      <c r="L8">
        <f ca="1"/>
        <v>0</v>
      </c>
      <c r="M8">
        <f ca="1"/>
        <v>-4.6642102585129436E-2</v>
      </c>
      <c r="N8" s="4">
        <f ca="1"/>
        <v>0.67303011521772416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0.89642592592592585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45388</v>
      </c>
      <c r="Y8">
        <f t="shared" ca="1" si="2"/>
        <v>0</v>
      </c>
      <c r="Z8" s="3"/>
      <c r="AA8" s="63">
        <f ca="1">K7+M8+N8+O8</f>
        <v>0.62638801263259469</v>
      </c>
      <c r="AB8" s="63">
        <f ca="1">K8+L8+R8</f>
        <v>50.626388012632596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45389</v>
      </c>
      <c r="K9">
        <f ca="1"/>
        <v>51.366725651340047</v>
      </c>
      <c r="L9">
        <f ca="1"/>
        <v>0</v>
      </c>
      <c r="M9">
        <f ca="1"/>
        <v>6.855102823943629E-2</v>
      </c>
      <c r="N9" s="4">
        <f ca="1"/>
        <v>0.67178661046801769</v>
      </c>
      <c r="O9">
        <f ca="1"/>
        <v>0</v>
      </c>
      <c r="P9">
        <f ca="1"/>
        <v>2.026289583284667</v>
      </c>
      <c r="Q9">
        <f ca="1"/>
        <v>1.721172619006281</v>
      </c>
      <c r="R9">
        <f ca="1"/>
        <v>0</v>
      </c>
      <c r="S9">
        <f ca="1"/>
        <v>0.91135825870671905</v>
      </c>
      <c r="T9">
        <f ca="1"/>
        <v>0</v>
      </c>
      <c r="U9">
        <f ca="1"/>
        <v>0</v>
      </c>
      <c r="V9">
        <f ca="1"/>
        <v>6.0235658318563701E-3</v>
      </c>
      <c r="X9" s="2">
        <f t="shared" ca="1" si="1"/>
        <v>45389</v>
      </c>
      <c r="Y9">
        <f t="shared" ca="1" si="2"/>
        <v>0</v>
      </c>
      <c r="AA9" s="63">
        <f t="shared" ref="AA9:AA72" ca="1" si="4">K8+M9+N9+O9</f>
        <v>51.366725651340047</v>
      </c>
      <c r="AB9" s="63">
        <f t="shared" ref="AB9:AB72" ca="1" si="5">K9+L9+R9</f>
        <v>51.366725651340047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45390</v>
      </c>
      <c r="K10">
        <f ca="1"/>
        <v>52.225966194795426</v>
      </c>
      <c r="L10">
        <f ca="1"/>
        <v>0</v>
      </c>
      <c r="M10">
        <f ca="1"/>
        <v>0.16487699845204845</v>
      </c>
      <c r="N10" s="4">
        <f ca="1"/>
        <v>0.69436354500332675</v>
      </c>
      <c r="O10">
        <f ca="1"/>
        <v>0</v>
      </c>
      <c r="P10">
        <f ca="1"/>
        <v>2.026289583284667</v>
      </c>
      <c r="Q10">
        <f ca="1"/>
        <v>1.721172619006281</v>
      </c>
      <c r="R10">
        <f ca="1"/>
        <v>0</v>
      </c>
      <c r="S10">
        <f ca="1"/>
        <v>0.95629798449830627</v>
      </c>
      <c r="T10">
        <f ca="1"/>
        <v>0</v>
      </c>
      <c r="U10">
        <f ca="1"/>
        <v>0</v>
      </c>
      <c r="V10">
        <f ca="1"/>
        <v>6.0235658318563701E-3</v>
      </c>
      <c r="X10" s="2">
        <f t="shared" ca="1" si="1"/>
        <v>45390</v>
      </c>
      <c r="Y10">
        <f t="shared" ca="1" si="2"/>
        <v>0</v>
      </c>
      <c r="AA10" s="63">
        <f t="shared" ca="1" si="4"/>
        <v>52.225966194795426</v>
      </c>
      <c r="AB10" s="63">
        <f t="shared" ca="1" si="5"/>
        <v>52.225966194795426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45391</v>
      </c>
      <c r="K11">
        <f ca="1"/>
        <v>53.167748503895105</v>
      </c>
      <c r="L11">
        <f ca="1"/>
        <v>0</v>
      </c>
      <c r="M11">
        <f ca="1"/>
        <v>0.24880588896981393</v>
      </c>
      <c r="N11" s="4">
        <f ca="1"/>
        <v>0.69297642012986826</v>
      </c>
      <c r="O11">
        <f ca="1"/>
        <v>0</v>
      </c>
      <c r="P11">
        <f ca="1"/>
        <v>2.026289583284667</v>
      </c>
      <c r="Q11">
        <f ca="1"/>
        <v>1.721172619006281</v>
      </c>
      <c r="R11">
        <f ca="1"/>
        <v>0</v>
      </c>
      <c r="S11">
        <f ca="1"/>
        <v>0.96395308077468811</v>
      </c>
      <c r="T11">
        <f ca="1"/>
        <v>0</v>
      </c>
      <c r="U11">
        <f ca="1"/>
        <v>0</v>
      </c>
      <c r="V11">
        <f ca="1"/>
        <v>6.0235658318563701E-3</v>
      </c>
      <c r="X11" s="2">
        <f t="shared" ca="1" si="1"/>
        <v>45391</v>
      </c>
      <c r="Y11">
        <f t="shared" ca="1" si="2"/>
        <v>0</v>
      </c>
      <c r="AA11" s="63">
        <f t="shared" ca="1" si="4"/>
        <v>53.167748503895105</v>
      </c>
      <c r="AB11" s="63">
        <f t="shared" ca="1" si="5"/>
        <v>53.167748503895105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Mustard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45392</v>
      </c>
      <c r="K12">
        <f ca="1"/>
        <v>54.162680154343619</v>
      </c>
      <c r="L12">
        <f ca="1"/>
        <v>0</v>
      </c>
      <c r="M12">
        <f ca="1"/>
        <v>0.31705496207075556</v>
      </c>
      <c r="N12" s="4">
        <f ca="1"/>
        <v>0.67787668837776027</v>
      </c>
      <c r="O12">
        <f ca="1"/>
        <v>0</v>
      </c>
      <c r="P12">
        <f ca="1"/>
        <v>2.026289583284667</v>
      </c>
      <c r="Q12">
        <f ca="1"/>
        <v>1.721172619006281</v>
      </c>
      <c r="R12">
        <f ca="1"/>
        <v>0</v>
      </c>
      <c r="S12">
        <f ca="1"/>
        <v>0.96983795079643054</v>
      </c>
      <c r="T12">
        <f ca="1"/>
        <v>0</v>
      </c>
      <c r="U12">
        <f ca="1"/>
        <v>0</v>
      </c>
      <c r="V12">
        <f ca="1"/>
        <v>6.0235658318563701E-3</v>
      </c>
      <c r="X12" s="2">
        <f t="shared" ca="1" si="1"/>
        <v>45392</v>
      </c>
      <c r="Y12">
        <f t="shared" ca="1" si="2"/>
        <v>0</v>
      </c>
      <c r="AA12" s="63">
        <f t="shared" ca="1" si="4"/>
        <v>54.162680154343619</v>
      </c>
      <c r="AB12" s="63">
        <f t="shared" ca="1" si="5"/>
        <v>54.162680154343619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7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45393</v>
      </c>
      <c r="K13">
        <f ca="1"/>
        <v>55.225465141339299</v>
      </c>
      <c r="L13">
        <f ca="1"/>
        <v>0</v>
      </c>
      <c r="M13">
        <f ca="1"/>
        <v>0.38212714318333085</v>
      </c>
      <c r="N13" s="4">
        <f ca="1"/>
        <v>0.68065784381234562</v>
      </c>
      <c r="O13">
        <f ca="1"/>
        <v>0</v>
      </c>
      <c r="P13">
        <f ca="1"/>
        <v>2.026289583284667</v>
      </c>
      <c r="Q13">
        <f ca="1"/>
        <v>1.721172619006281</v>
      </c>
      <c r="R13">
        <f ca="1"/>
        <v>0</v>
      </c>
      <c r="S13">
        <f ca="1"/>
        <v>0.9995814717210787</v>
      </c>
      <c r="T13">
        <f ca="1"/>
        <v>0</v>
      </c>
      <c r="U13">
        <f ca="1"/>
        <v>0</v>
      </c>
      <c r="V13">
        <f ca="1"/>
        <v>6.0235658318563701E-3</v>
      </c>
      <c r="X13" s="2">
        <f t="shared" ca="1" si="1"/>
        <v>45393</v>
      </c>
      <c r="Y13">
        <f t="shared" ca="1" si="2"/>
        <v>0</v>
      </c>
      <c r="AA13" s="63">
        <f t="shared" ca="1" si="4"/>
        <v>55.225465141339299</v>
      </c>
      <c r="AB13" s="63">
        <f t="shared" ca="1" si="5"/>
        <v>55.225465141339299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45394</v>
      </c>
      <c r="K14">
        <f ca="1"/>
        <v>56.367523304616412</v>
      </c>
      <c r="L14">
        <f ca="1"/>
        <v>0</v>
      </c>
      <c r="M14">
        <f ca="1"/>
        <v>0.44682772551388417</v>
      </c>
      <c r="N14" s="4">
        <f ca="1"/>
        <v>0.69523043776323057</v>
      </c>
      <c r="O14">
        <f ca="1"/>
        <v>0</v>
      </c>
      <c r="P14">
        <f ca="1"/>
        <v>2.026289583284667</v>
      </c>
      <c r="Q14">
        <f ca="1"/>
        <v>1.721172619006281</v>
      </c>
      <c r="R14">
        <f ca="1"/>
        <v>0</v>
      </c>
      <c r="S14">
        <f ca="1"/>
        <v>0.99811932687271154</v>
      </c>
      <c r="T14">
        <f ca="1"/>
        <v>0</v>
      </c>
      <c r="U14">
        <f ca="1"/>
        <v>0</v>
      </c>
      <c r="V14">
        <f ca="1"/>
        <v>6.0235658318563701E-3</v>
      </c>
      <c r="X14" s="2">
        <f t="shared" ca="1" si="1"/>
        <v>45394</v>
      </c>
      <c r="Y14">
        <f t="shared" ca="1" si="2"/>
        <v>0</v>
      </c>
      <c r="AA14" s="63">
        <f t="shared" ca="1" si="4"/>
        <v>56.367523304616412</v>
      </c>
      <c r="AB14" s="63">
        <f t="shared" ca="1" si="5"/>
        <v>56.367523304616412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45395</v>
      </c>
      <c r="K15">
        <f ca="1"/>
        <v>57.160592372168871</v>
      </c>
      <c r="L15">
        <f ca="1"/>
        <v>0</v>
      </c>
      <c r="M15">
        <f ca="1"/>
        <v>0.48653063722138157</v>
      </c>
      <c r="N15" s="4">
        <f ca="1"/>
        <v>0.67787668837776027</v>
      </c>
      <c r="O15">
        <f ca="1"/>
        <v>0</v>
      </c>
      <c r="P15">
        <f ca="1"/>
        <v>2.026289583284667</v>
      </c>
      <c r="Q15">
        <f ca="1"/>
        <v>1.721172619006281</v>
      </c>
      <c r="R15">
        <f ca="1"/>
        <v>0.37133825804668619</v>
      </c>
      <c r="S15">
        <f ca="1"/>
        <v>1</v>
      </c>
      <c r="T15">
        <f ca="1"/>
        <v>0.92317309339172482</v>
      </c>
      <c r="U15">
        <f ca="1"/>
        <v>0</v>
      </c>
      <c r="V15">
        <f ca="1"/>
        <v>6.0235658318563701E-3</v>
      </c>
      <c r="X15" s="2">
        <f t="shared" ca="1" si="1"/>
        <v>45395</v>
      </c>
      <c r="Y15">
        <f t="shared" ca="1" si="2"/>
        <v>0</v>
      </c>
      <c r="AA15" s="63">
        <f t="shared" ca="1" si="4"/>
        <v>57.531930630215548</v>
      </c>
      <c r="AB15" s="63">
        <f t="shared" ca="1" si="5"/>
        <v>57.531930630215555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45396</v>
      </c>
      <c r="K16">
        <f ca="1"/>
        <v>58.145821867974057</v>
      </c>
      <c r="L16">
        <f ca="1"/>
        <v>0</v>
      </c>
      <c r="M16">
        <f ca="1"/>
        <v>0.52189537087981286</v>
      </c>
      <c r="N16" s="4">
        <f ca="1"/>
        <v>0.66792127594232287</v>
      </c>
      <c r="O16">
        <f ca="1"/>
        <v>0</v>
      </c>
      <c r="P16">
        <f ca="1"/>
        <v>2.026289583284667</v>
      </c>
      <c r="Q16">
        <f ca="1"/>
        <v>1.721172619006281</v>
      </c>
      <c r="R16">
        <f ca="1"/>
        <v>0.20458715101694575</v>
      </c>
      <c r="S16">
        <f ca="1"/>
        <v>1</v>
      </c>
      <c r="T16">
        <f ca="1"/>
        <v>0.5</v>
      </c>
      <c r="U16">
        <f ca="1"/>
        <v>0</v>
      </c>
      <c r="V16">
        <f ca="1"/>
        <v>6.0235658318563701E-3</v>
      </c>
      <c r="X16" s="2">
        <f t="shared" ca="1" si="1"/>
        <v>45396</v>
      </c>
      <c r="Y16">
        <f t="shared" ca="1" si="2"/>
        <v>0</v>
      </c>
      <c r="AA16" s="63">
        <f t="shared" ca="1" si="4"/>
        <v>58.350409018991002</v>
      </c>
      <c r="AB16" s="63">
        <f t="shared" ca="1" si="5"/>
        <v>58.350409018991002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45397</v>
      </c>
      <c r="K17">
        <f ca="1"/>
        <v>58.827193278480777</v>
      </c>
      <c r="L17">
        <f ca="1"/>
        <v>0</v>
      </c>
      <c r="M17">
        <f ca="1"/>
        <v>0.57755264879637691</v>
      </c>
      <c r="N17" s="4">
        <f ca="1"/>
        <v>0.69579462888676147</v>
      </c>
      <c r="O17">
        <f ca="1"/>
        <v>0</v>
      </c>
      <c r="P17">
        <f ca="1"/>
        <v>2.026289583284667</v>
      </c>
      <c r="Q17">
        <f ca="1"/>
        <v>1.721172619006281</v>
      </c>
      <c r="R17">
        <f ca="1"/>
        <v>0.59197586717641859</v>
      </c>
      <c r="S17">
        <f ca="1"/>
        <v>1</v>
      </c>
      <c r="T17">
        <f ca="1"/>
        <v>1.4300000000000068</v>
      </c>
      <c r="U17">
        <f ca="1"/>
        <v>0</v>
      </c>
      <c r="V17">
        <f ca="1"/>
        <v>6.0235658318563701E-3</v>
      </c>
      <c r="X17" s="2">
        <f t="shared" ca="1" si="1"/>
        <v>45397</v>
      </c>
      <c r="Y17">
        <f t="shared" ca="1" si="2"/>
        <v>0</v>
      </c>
      <c r="AA17" s="63">
        <f t="shared" ca="1" si="4"/>
        <v>59.419169145657193</v>
      </c>
      <c r="AB17" s="63">
        <f t="shared" ca="1" si="5"/>
        <v>59.419169145657193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45398</v>
      </c>
      <c r="K18">
        <f ca="1"/>
        <v>59.855292204709166</v>
      </c>
      <c r="L18">
        <f ca="1"/>
        <v>0</v>
      </c>
      <c r="M18">
        <f ca="1"/>
        <v>0.599049045157237</v>
      </c>
      <c r="N18" s="4">
        <f ca="1"/>
        <v>0.68177222593547404</v>
      </c>
      <c r="O18">
        <f ca="1"/>
        <v>0</v>
      </c>
      <c r="P18">
        <f ca="1"/>
        <v>2.026289583284667</v>
      </c>
      <c r="Q18">
        <f ca="1"/>
        <v>1.721172619006281</v>
      </c>
      <c r="R18">
        <f ca="1"/>
        <v>0.25272234486432515</v>
      </c>
      <c r="S18">
        <f ca="1"/>
        <v>1</v>
      </c>
      <c r="T18">
        <f ca="1"/>
        <v>0.59999999999999432</v>
      </c>
      <c r="U18">
        <f ca="1"/>
        <v>0</v>
      </c>
      <c r="V18">
        <f ca="1"/>
        <v>6.0235658318563701E-3</v>
      </c>
      <c r="X18" s="2">
        <f t="shared" ca="1" si="1"/>
        <v>45398</v>
      </c>
      <c r="Y18">
        <f t="shared" ca="1" si="2"/>
        <v>0</v>
      </c>
      <c r="AA18" s="63">
        <f t="shared" ca="1" si="4"/>
        <v>60.10801454957349</v>
      </c>
      <c r="AB18" s="63">
        <f t="shared" ca="1" si="5"/>
        <v>60.10801454957349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45262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45399</v>
      </c>
      <c r="K19">
        <f ca="1"/>
        <v>60.871976665966052</v>
      </c>
      <c r="L19">
        <f ca="1"/>
        <v>0</v>
      </c>
      <c r="M19">
        <f ca="1"/>
        <v>0.6256383137121424</v>
      </c>
      <c r="N19" s="4">
        <f ca="1"/>
        <v>0.68232982847965873</v>
      </c>
      <c r="O19">
        <f ca="1"/>
        <v>0</v>
      </c>
      <c r="P19">
        <f ca="1"/>
        <v>2.026289583284667</v>
      </c>
      <c r="Q19">
        <f ca="1"/>
        <v>1.721172619006281</v>
      </c>
      <c r="R19">
        <f ca="1"/>
        <v>0.29128368093491885</v>
      </c>
      <c r="S19">
        <f ca="1"/>
        <v>1</v>
      </c>
      <c r="T19">
        <f ca="1"/>
        <v>0.67999999999999972</v>
      </c>
      <c r="U19">
        <f ca="1"/>
        <v>0</v>
      </c>
      <c r="V19">
        <f ca="1"/>
        <v>6.0235658318563701E-3</v>
      </c>
      <c r="X19" s="2">
        <f t="shared" ca="1" si="1"/>
        <v>45399</v>
      </c>
      <c r="Y19">
        <f t="shared" ca="1" si="2"/>
        <v>0</v>
      </c>
      <c r="AA19" s="63">
        <f t="shared" ca="1" si="4"/>
        <v>61.163260346900969</v>
      </c>
      <c r="AB19" s="63">
        <f t="shared" ca="1" si="5"/>
        <v>61.163260346900969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45400</v>
      </c>
      <c r="K20">
        <f ca="1"/>
        <v>62.121635270834474</v>
      </c>
      <c r="L20">
        <f ca="1"/>
        <v>0</v>
      </c>
      <c r="M20">
        <f ca="1"/>
        <v>0.6369140514349132</v>
      </c>
      <c r="N20" s="4">
        <f ca="1"/>
        <v>0.66957434569979013</v>
      </c>
      <c r="O20">
        <f ca="1"/>
        <v>0</v>
      </c>
      <c r="P20">
        <f ca="1"/>
        <v>2.026289583284667</v>
      </c>
      <c r="Q20">
        <f ca="1"/>
        <v>1.721172619006281</v>
      </c>
      <c r="R20">
        <f ca="1"/>
        <v>5.6829792266283027E-2</v>
      </c>
      <c r="S20">
        <f ca="1"/>
        <v>1</v>
      </c>
      <c r="T20">
        <f ca="1"/>
        <v>0.13000000000000256</v>
      </c>
      <c r="U20">
        <f ca="1"/>
        <v>0</v>
      </c>
      <c r="V20">
        <f ca="1"/>
        <v>6.0235658318563701E-3</v>
      </c>
      <c r="X20" s="2">
        <f t="shared" ca="1" si="1"/>
        <v>45400</v>
      </c>
      <c r="Y20">
        <f t="shared" ca="1" si="2"/>
        <v>0</v>
      </c>
      <c r="AA20" s="63">
        <f t="shared" ca="1" si="4"/>
        <v>62.178465063100759</v>
      </c>
      <c r="AB20" s="63">
        <f t="shared" ca="1" si="5"/>
        <v>62.178465063100759</v>
      </c>
      <c r="AC20" s="3">
        <f t="shared" ca="1" si="6"/>
        <v>0</v>
      </c>
    </row>
    <row r="21" spans="1:29">
      <c r="A21" s="6" t="s">
        <v>118</v>
      </c>
      <c r="B21" s="34">
        <f>PriorHarvestDate</f>
        <v>45387</v>
      </c>
      <c r="H21" t="b">
        <f t="shared" ca="1" si="3"/>
        <v>1</v>
      </c>
      <c r="I21" t="b">
        <f t="shared" ca="1" si="0"/>
        <v>1</v>
      </c>
      <c r="J21" s="2">
        <f ca="1"/>
        <v>45401</v>
      </c>
      <c r="K21">
        <f ca="1"/>
        <v>63.467548014194094</v>
      </c>
      <c r="L21">
        <f ca="1"/>
        <v>0</v>
      </c>
      <c r="M21">
        <f ca="1"/>
        <v>0.66414051742414237</v>
      </c>
      <c r="N21" s="4">
        <f ca="1"/>
        <v>0.68177222593547404</v>
      </c>
      <c r="O21">
        <f ca="1"/>
        <v>0</v>
      </c>
      <c r="P21">
        <f ca="1"/>
        <v>2.026289583284667</v>
      </c>
      <c r="Q21">
        <f ca="1"/>
        <v>1.721172619006281</v>
      </c>
      <c r="R21">
        <f ca="1"/>
        <v>0</v>
      </c>
      <c r="S21">
        <f ca="1"/>
        <v>0.98907407407407399</v>
      </c>
      <c r="T21">
        <f ca="1"/>
        <v>0</v>
      </c>
      <c r="U21">
        <f ca="1"/>
        <v>0</v>
      </c>
      <c r="V21">
        <f ca="1"/>
        <v>6.0235658318563701E-3</v>
      </c>
      <c r="X21" s="2">
        <f t="shared" ca="1" si="1"/>
        <v>45401</v>
      </c>
      <c r="Y21">
        <f t="shared" ca="1" si="2"/>
        <v>0</v>
      </c>
      <c r="AA21" s="63">
        <f t="shared" ca="1" si="4"/>
        <v>63.467548014194094</v>
      </c>
      <c r="AB21" s="63">
        <f t="shared" ca="1" si="5"/>
        <v>63.467548014194094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45402</v>
      </c>
      <c r="K22">
        <f ca="1"/>
        <v>64.302731961739809</v>
      </c>
      <c r="L22">
        <f ca="1"/>
        <v>0</v>
      </c>
      <c r="M22">
        <f ca="1"/>
        <v>0.67094373308709265</v>
      </c>
      <c r="N22" s="4">
        <f ca="1"/>
        <v>0.67344109789520568</v>
      </c>
      <c r="O22">
        <f ca="1"/>
        <v>0</v>
      </c>
      <c r="P22">
        <f ca="1"/>
        <v>2.026289583284667</v>
      </c>
      <c r="Q22">
        <f ca="1"/>
        <v>1.721172619006281</v>
      </c>
      <c r="R22">
        <f ca="1"/>
        <v>0.50920088343657888</v>
      </c>
      <c r="S22">
        <f ca="1"/>
        <v>1</v>
      </c>
      <c r="T22">
        <f ca="1"/>
        <v>1.1253040630379729</v>
      </c>
      <c r="U22">
        <f ca="1"/>
        <v>0</v>
      </c>
      <c r="V22">
        <f ca="1"/>
        <v>6.0235658318563701E-3</v>
      </c>
      <c r="X22" s="2">
        <f t="shared" ca="1" si="1"/>
        <v>45402</v>
      </c>
      <c r="Y22">
        <f t="shared" ca="1" si="2"/>
        <v>0</v>
      </c>
      <c r="AA22" s="63">
        <f t="shared" ca="1" si="4"/>
        <v>64.811932845176401</v>
      </c>
      <c r="AB22" s="63">
        <f t="shared" ca="1" si="5"/>
        <v>64.811932845176386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45403</v>
      </c>
      <c r="K23">
        <f ca="1"/>
        <v>64.938052903794031</v>
      </c>
      <c r="L23">
        <f ca="1"/>
        <v>4.7283748265668279E-2</v>
      </c>
      <c r="M23">
        <f ca="1"/>
        <v>0.64746181514757595</v>
      </c>
      <c r="N23" s="4">
        <f ca="1"/>
        <v>0.63377551842247004</v>
      </c>
      <c r="O23">
        <f ca="1"/>
        <v>0</v>
      </c>
      <c r="P23">
        <f ca="1"/>
        <v>2.0735733315503353</v>
      </c>
      <c r="Q23">
        <f ca="1"/>
        <v>1.7613364206219069</v>
      </c>
      <c r="R23">
        <f ca="1"/>
        <v>0.59863264325016152</v>
      </c>
      <c r="S23">
        <f ca="1"/>
        <v>1</v>
      </c>
      <c r="T23">
        <f ca="1"/>
        <v>1.3100000000000023</v>
      </c>
      <c r="U23">
        <f ca="1"/>
        <v>0</v>
      </c>
      <c r="V23">
        <f ca="1"/>
        <v>6.2716804085214189E-3</v>
      </c>
      <c r="X23" s="2">
        <f t="shared" ca="1" si="1"/>
        <v>45403</v>
      </c>
      <c r="Y23">
        <f t="shared" ca="1" si="2"/>
        <v>0</v>
      </c>
      <c r="AA23" s="63">
        <f t="shared" ca="1" si="4"/>
        <v>65.583969295309856</v>
      </c>
      <c r="AB23" s="63">
        <f t="shared" ca="1" si="5"/>
        <v>65.583969295309856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45404</v>
      </c>
      <c r="K24">
        <f ca="1"/>
        <v>66.144551229632896</v>
      </c>
      <c r="L24">
        <f ca="1"/>
        <v>7.7812217761359381E-2</v>
      </c>
      <c r="M24">
        <f ca="1"/>
        <v>0.66112191304898715</v>
      </c>
      <c r="N24" s="4">
        <f ca="1"/>
        <v>0.64180709682328685</v>
      </c>
      <c r="O24">
        <f ca="1"/>
        <v>0</v>
      </c>
      <c r="P24">
        <f ca="1"/>
        <v>2.1513855493116947</v>
      </c>
      <c r="Q24">
        <f ca="1"/>
        <v>1.8274317407280807</v>
      </c>
      <c r="R24">
        <f ca="1"/>
        <v>1.8618466272044418E-2</v>
      </c>
      <c r="S24">
        <f ca="1"/>
        <v>1</v>
      </c>
      <c r="T24">
        <f ca="1"/>
        <v>3.9999999999999147E-2</v>
      </c>
      <c r="U24">
        <f ca="1"/>
        <v>0</v>
      </c>
      <c r="V24">
        <f ca="1"/>
        <v>6.6892228642108191E-3</v>
      </c>
      <c r="X24" s="2">
        <f t="shared" ca="1" si="1"/>
        <v>45404</v>
      </c>
      <c r="Y24">
        <f t="shared" ca="1" si="2"/>
        <v>0</v>
      </c>
      <c r="AA24" s="63">
        <f t="shared" ca="1" si="4"/>
        <v>66.240981913666303</v>
      </c>
      <c r="AB24" s="63">
        <f t="shared" ca="1" si="5"/>
        <v>66.240981913666303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Carrot Vegetable Fresh</v>
      </c>
      <c r="H25" t="b">
        <f t="shared" ca="1" si="3"/>
        <v>1</v>
      </c>
      <c r="I25" t="b">
        <f t="shared" ca="1" si="0"/>
        <v>1</v>
      </c>
      <c r="J25" s="2">
        <f ca="1"/>
        <v>45405</v>
      </c>
      <c r="K25">
        <f ca="1"/>
        <v>66.373206895292455</v>
      </c>
      <c r="L25">
        <f ca="1"/>
        <v>7.909774846243911E-2</v>
      </c>
      <c r="M25">
        <f ca="1"/>
        <v>0.65695778543888039</v>
      </c>
      <c r="N25" s="4">
        <f ca="1"/>
        <v>0.63164413058023205</v>
      </c>
      <c r="O25">
        <f ca="1"/>
        <v>0</v>
      </c>
      <c r="P25">
        <f ca="1"/>
        <v>2.2304832977741338</v>
      </c>
      <c r="Q25">
        <f ca="1"/>
        <v>1.8946190174143225</v>
      </c>
      <c r="R25">
        <f ca="1"/>
        <v>0.98084850189710371</v>
      </c>
      <c r="S25">
        <f ca="1"/>
        <v>1</v>
      </c>
      <c r="T25">
        <f ca="1"/>
        <v>2.1000000000000085</v>
      </c>
      <c r="U25">
        <f ca="1"/>
        <v>0</v>
      </c>
      <c r="V25">
        <f ca="1"/>
        <v>7.1253283038264364E-3</v>
      </c>
      <c r="X25" s="2">
        <f t="shared" ca="1" si="1"/>
        <v>45405</v>
      </c>
      <c r="Y25">
        <f t="shared" ca="1" si="2"/>
        <v>0</v>
      </c>
      <c r="AA25" s="63">
        <f t="shared" ca="1" si="4"/>
        <v>67.433153145652</v>
      </c>
      <c r="AB25" s="63">
        <f t="shared" ca="1" si="5"/>
        <v>67.433153145652</v>
      </c>
      <c r="AC25" s="3">
        <f t="shared" ca="1" si="6"/>
        <v>0</v>
      </c>
    </row>
    <row r="26" spans="1:29">
      <c r="A26" s="9" t="s">
        <v>237</v>
      </c>
      <c r="B26" s="11">
        <f>CurrentYield</f>
        <v>100</v>
      </c>
      <c r="H26" t="b">
        <f t="shared" ca="1" si="3"/>
        <v>1</v>
      </c>
      <c r="I26" t="b">
        <f t="shared" ca="1" si="0"/>
        <v>1</v>
      </c>
      <c r="J26" s="2">
        <f ca="1"/>
        <v>45406</v>
      </c>
      <c r="K26">
        <f ca="1"/>
        <v>65.554851339455809</v>
      </c>
      <c r="L26">
        <f ca="1"/>
        <v>8.4447266093665263E-2</v>
      </c>
      <c r="M26">
        <f ca="1"/>
        <v>0.67227421389774733</v>
      </c>
      <c r="N26" s="4">
        <f ca="1"/>
        <v>0.64665552626704492</v>
      </c>
      <c r="O26">
        <f ca="1"/>
        <v>0</v>
      </c>
      <c r="P26">
        <f ca="1"/>
        <v>2.3149305638677991</v>
      </c>
      <c r="Q26">
        <f ca="1"/>
        <v>1.9663502859108719</v>
      </c>
      <c r="R26">
        <f ca="1"/>
        <v>2.0528380299077718</v>
      </c>
      <c r="S26">
        <f ca="1"/>
        <v>1</v>
      </c>
      <c r="T26">
        <f ca="1"/>
        <v>4.4499999999999957</v>
      </c>
      <c r="U26">
        <f ca="1"/>
        <v>0</v>
      </c>
      <c r="V26">
        <f ca="1"/>
        <v>7.6037693774976692E-3</v>
      </c>
      <c r="X26" s="2">
        <f t="shared" ca="1" si="1"/>
        <v>45406</v>
      </c>
      <c r="Y26">
        <f t="shared" ca="1" si="2"/>
        <v>0</v>
      </c>
      <c r="AA26" s="63">
        <f t="shared" ca="1" si="4"/>
        <v>67.692136635457246</v>
      </c>
      <c r="AB26" s="63">
        <f t="shared" ca="1" si="5"/>
        <v>67.692136635457246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45407</v>
      </c>
      <c r="K27">
        <f ca="1"/>
        <v>66.313216580758208</v>
      </c>
      <c r="L27">
        <f ca="1"/>
        <v>8.972075576659444E-2</v>
      </c>
      <c r="M27">
        <f ca="1"/>
        <v>0.68358694527364605</v>
      </c>
      <c r="N27" s="4">
        <f ca="1"/>
        <v>0.65914652658661932</v>
      </c>
      <c r="O27">
        <f ca="1"/>
        <v>0</v>
      </c>
      <c r="P27">
        <f ca="1"/>
        <v>2.4046513196343935</v>
      </c>
      <c r="Q27">
        <f ca="1"/>
        <v>2.0425609664848134</v>
      </c>
      <c r="R27">
        <f ca="1"/>
        <v>0.49464747479128296</v>
      </c>
      <c r="S27">
        <f ca="1"/>
        <v>1</v>
      </c>
      <c r="T27">
        <f ca="1"/>
        <v>1.0599999999999952</v>
      </c>
      <c r="U27">
        <f ca="1"/>
        <v>0</v>
      </c>
      <c r="V27">
        <f ca="1"/>
        <v>8.1264569344763164E-3</v>
      </c>
      <c r="X27" s="2">
        <f t="shared" ca="1" si="1"/>
        <v>45407</v>
      </c>
      <c r="Y27">
        <f t="shared" ca="1" si="2"/>
        <v>0</v>
      </c>
      <c r="AA27" s="63">
        <f t="shared" ca="1" si="4"/>
        <v>66.897584811316079</v>
      </c>
      <c r="AB27" s="63">
        <f t="shared" ca="1" si="5"/>
        <v>66.897584811316079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45408</v>
      </c>
      <c r="K28">
        <f ca="1"/>
        <v>67.258085302335274</v>
      </c>
      <c r="L28">
        <f ca="1"/>
        <v>9.6969512871861507E-2</v>
      </c>
      <c r="M28">
        <f ca="1"/>
        <v>0.70139763559568813</v>
      </c>
      <c r="N28" s="4">
        <f ca="1"/>
        <v>0.68121489771842103</v>
      </c>
      <c r="O28">
        <f ca="1"/>
        <v>0</v>
      </c>
      <c r="P28">
        <f ca="1"/>
        <v>2.501620832506255</v>
      </c>
      <c r="Q28">
        <f ca="1"/>
        <v>2.1249288924763561</v>
      </c>
      <c r="R28">
        <f ca="1"/>
        <v>0.34077429886516492</v>
      </c>
      <c r="S28">
        <f ca="1"/>
        <v>1</v>
      </c>
      <c r="T28">
        <f ca="1"/>
        <v>0.71999999999999886</v>
      </c>
      <c r="U28">
        <f ca="1"/>
        <v>0</v>
      </c>
      <c r="V28">
        <f ca="1"/>
        <v>8.7078285039246823E-3</v>
      </c>
      <c r="X28" s="2">
        <f t="shared" ca="1" si="1"/>
        <v>45408</v>
      </c>
      <c r="Y28">
        <f t="shared" ca="1" si="2"/>
        <v>0</v>
      </c>
      <c r="AA28" s="63">
        <f t="shared" ca="1" si="4"/>
        <v>67.695829114072311</v>
      </c>
      <c r="AB28" s="63">
        <f t="shared" ca="1" si="5"/>
        <v>67.695829114072311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45409</v>
      </c>
      <c r="K29">
        <f ca="1"/>
        <v>67.748913478908236</v>
      </c>
      <c r="L29">
        <f ca="1"/>
        <v>0.10322018136814348</v>
      </c>
      <c r="M29">
        <f ca="1"/>
        <v>0.7098595793294038</v>
      </c>
      <c r="N29" s="4">
        <f ca="1"/>
        <v>0.69466652134085682</v>
      </c>
      <c r="O29">
        <f ca="1"/>
        <v>0</v>
      </c>
      <c r="P29">
        <f ca="1"/>
        <v>2.6048410138743985</v>
      </c>
      <c r="Q29">
        <f ca="1"/>
        <v>2.2126062666114588</v>
      </c>
      <c r="R29">
        <f ca="1"/>
        <v>0.81047774272916284</v>
      </c>
      <c r="S29">
        <f ca="1"/>
        <v>1</v>
      </c>
      <c r="T29">
        <f ca="1"/>
        <v>1.7000000000000028</v>
      </c>
      <c r="U29">
        <f ca="1"/>
        <v>0</v>
      </c>
      <c r="V29">
        <f ca="1"/>
        <v>9.3452308299822925E-3</v>
      </c>
      <c r="X29" s="2">
        <f t="shared" ca="1" si="1"/>
        <v>45409</v>
      </c>
      <c r="Y29">
        <f t="shared" ca="1" si="2"/>
        <v>0</v>
      </c>
      <c r="AA29" s="63">
        <f t="shared" ca="1" si="4"/>
        <v>68.662611403005542</v>
      </c>
      <c r="AB29" s="63">
        <f t="shared" ca="1" si="5"/>
        <v>68.662611403005542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45410</v>
      </c>
      <c r="K30">
        <f ca="1"/>
        <v>68.384611353993449</v>
      </c>
      <c r="L30">
        <f ca="1"/>
        <v>9.8082472077968497E-2</v>
      </c>
      <c r="M30">
        <f ca="1"/>
        <v>0.66194021058831254</v>
      </c>
      <c r="N30" s="4">
        <f ca="1"/>
        <v>0.64449793757997587</v>
      </c>
      <c r="O30">
        <f ca="1"/>
        <v>0</v>
      </c>
      <c r="P30">
        <f ca="1"/>
        <v>2.702923485952367</v>
      </c>
      <c r="Q30">
        <f ca="1"/>
        <v>2.2959195633572231</v>
      </c>
      <c r="R30">
        <f ca="1"/>
        <v>0.57265780100510699</v>
      </c>
      <c r="S30">
        <f ca="1"/>
        <v>1</v>
      </c>
      <c r="T30">
        <f ca="1"/>
        <v>1.1899999999999977</v>
      </c>
      <c r="U30">
        <f ca="1"/>
        <v>0</v>
      </c>
      <c r="V30">
        <f ca="1"/>
        <v>9.9684211327432035E-3</v>
      </c>
      <c r="X30" s="2">
        <f t="shared" ca="1" si="1"/>
        <v>45410</v>
      </c>
      <c r="Y30">
        <f t="shared" ca="1" si="2"/>
        <v>0</v>
      </c>
      <c r="AA30" s="63">
        <f t="shared" ca="1" si="4"/>
        <v>69.055351627076519</v>
      </c>
      <c r="AB30" s="63">
        <f t="shared" ca="1" si="5"/>
        <v>69.055351627076519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88</v>
      </c>
      <c r="H31" t="b">
        <f t="shared" ca="1" si="3"/>
        <v>1</v>
      </c>
      <c r="I31" t="b">
        <f t="shared" ca="1" si="0"/>
        <v>1</v>
      </c>
      <c r="J31" s="2">
        <f ca="1"/>
        <v>45411</v>
      </c>
      <c r="K31">
        <f ca="1"/>
        <v>68.251931710250204</v>
      </c>
      <c r="L31">
        <f ca="1"/>
        <v>9.7484756589716781E-2</v>
      </c>
      <c r="M31">
        <f ca="1"/>
        <v>0.63842962616979371</v>
      </c>
      <c r="N31" s="4">
        <f ca="1"/>
        <v>0.62316218917143995</v>
      </c>
      <c r="O31">
        <f ca="1"/>
        <v>0</v>
      </c>
      <c r="P31">
        <f ca="1"/>
        <v>2.8004082425420838</v>
      </c>
      <c r="Q31">
        <f ca="1"/>
        <v>2.3787251481052452</v>
      </c>
      <c r="R31">
        <f ca="1"/>
        <v>1.2967867024947553</v>
      </c>
      <c r="S31">
        <f ca="1"/>
        <v>1</v>
      </c>
      <c r="T31">
        <f ca="1"/>
        <v>2.7000000000000028</v>
      </c>
      <c r="U31">
        <f ca="1"/>
        <v>0</v>
      </c>
      <c r="V31">
        <f ca="1"/>
        <v>1.060452288967458E-2</v>
      </c>
      <c r="X31" s="2">
        <f t="shared" ca="1" si="1"/>
        <v>45411</v>
      </c>
      <c r="Y31">
        <f t="shared" ca="1" si="2"/>
        <v>0</v>
      </c>
      <c r="AA31" s="63">
        <f t="shared" ca="1" si="4"/>
        <v>69.646203169334683</v>
      </c>
      <c r="AB31" s="63">
        <f t="shared" ca="1" si="5"/>
        <v>69.646203169334683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45389</v>
      </c>
      <c r="H32" t="b">
        <f t="shared" ca="1" si="3"/>
        <v>1</v>
      </c>
      <c r="I32" t="b">
        <f t="shared" ca="1" si="0"/>
        <v>1</v>
      </c>
      <c r="J32" s="2">
        <f ca="1"/>
        <v>45412</v>
      </c>
      <c r="K32">
        <f ca="1"/>
        <v>68.811744168231883</v>
      </c>
      <c r="L32">
        <f ca="1"/>
        <v>0.10173767084690688</v>
      </c>
      <c r="M32">
        <f ca="1"/>
        <v>0.63513185562081809</v>
      </c>
      <c r="N32" s="4">
        <f ca="1"/>
        <v>0.62686445565352289</v>
      </c>
      <c r="O32">
        <f ca="1"/>
        <v>0</v>
      </c>
      <c r="P32">
        <f ca="1"/>
        <v>2.9021459133889906</v>
      </c>
      <c r="Q32">
        <f ca="1"/>
        <v>2.4651432468941237</v>
      </c>
      <c r="R32">
        <f ca="1"/>
        <v>0.60044618244575765</v>
      </c>
      <c r="S32">
        <f ca="1"/>
        <v>1</v>
      </c>
      <c r="T32">
        <f ca="1"/>
        <v>1.240000000000002</v>
      </c>
      <c r="U32">
        <f ca="1"/>
        <v>0</v>
      </c>
      <c r="V32">
        <f ca="1"/>
        <v>1.128593164717759E-2</v>
      </c>
      <c r="X32" s="2">
        <f t="shared" ca="1" si="1"/>
        <v>45412</v>
      </c>
      <c r="Y32">
        <f t="shared" ca="1" si="2"/>
        <v>0</v>
      </c>
      <c r="AA32" s="63">
        <f t="shared" ca="1" si="4"/>
        <v>69.513928021524535</v>
      </c>
      <c r="AB32" s="63">
        <f t="shared" ca="1" si="5"/>
        <v>69.513928021524535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45413</v>
      </c>
      <c r="K33">
        <f ca="1"/>
        <v>67.749940234176407</v>
      </c>
      <c r="L33">
        <f ca="1"/>
        <v>0.10425575552840716</v>
      </c>
      <c r="M33">
        <f ca="1"/>
        <v>0.62349806756677495</v>
      </c>
      <c r="N33" s="4">
        <f ca="1"/>
        <v>0.62157958863060581</v>
      </c>
      <c r="O33">
        <f ca="1"/>
        <v>0</v>
      </c>
      <c r="P33">
        <f ca="1"/>
        <v>3.0064016689173978</v>
      </c>
      <c r="Q33">
        <f ca="1"/>
        <v>2.5537002593120759</v>
      </c>
      <c r="R33">
        <f ca="1"/>
        <v>2.202625834724445</v>
      </c>
      <c r="S33">
        <f ca="1"/>
        <v>1</v>
      </c>
      <c r="T33">
        <f ca="1"/>
        <v>4.6199999999999974</v>
      </c>
      <c r="U33">
        <f ca="1"/>
        <v>0</v>
      </c>
      <c r="V33">
        <f ca="1"/>
        <v>1.2002589025265561E-2</v>
      </c>
      <c r="X33" s="2">
        <f t="shared" ca="1" si="1"/>
        <v>45413</v>
      </c>
      <c r="Y33">
        <f t="shared" ca="1" si="2"/>
        <v>0</v>
      </c>
      <c r="AA33" s="63">
        <f t="shared" ca="1" si="4"/>
        <v>70.056821824429264</v>
      </c>
      <c r="AB33" s="63">
        <f t="shared" ca="1" si="5"/>
        <v>70.056821824429264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45614</v>
      </c>
      <c r="H34" t="b">
        <f t="shared" ca="1" si="3"/>
        <v>1</v>
      </c>
      <c r="I34" t="b">
        <f t="shared" ca="1" si="0"/>
        <v>1</v>
      </c>
      <c r="J34" s="2">
        <f ca="1"/>
        <v>45414</v>
      </c>
      <c r="K34">
        <f ca="1"/>
        <v>68.522741596585675</v>
      </c>
      <c r="L34">
        <f ca="1"/>
        <v>0.10666297998838115</v>
      </c>
      <c r="M34">
        <f ca="1"/>
        <v>0.61084855452565279</v>
      </c>
      <c r="N34" s="4">
        <f ca="1"/>
        <v>0.61579767862802037</v>
      </c>
      <c r="O34">
        <f ca="1"/>
        <v>0</v>
      </c>
      <c r="P34">
        <f ca="1"/>
        <v>3.1130646489057789</v>
      </c>
      <c r="Q34">
        <f ca="1"/>
        <v>2.6443020183755652</v>
      </c>
      <c r="R34">
        <f ca="1"/>
        <v>0.34718189075603689</v>
      </c>
      <c r="S34">
        <f ca="1"/>
        <v>1</v>
      </c>
      <c r="T34">
        <f ca="1"/>
        <v>0.72000000000000597</v>
      </c>
      <c r="U34">
        <f ca="1"/>
        <v>0</v>
      </c>
      <c r="V34">
        <f ca="1"/>
        <v>1.2754820940806247E-2</v>
      </c>
      <c r="X34" s="2">
        <f t="shared" ca="1" si="1"/>
        <v>45414</v>
      </c>
      <c r="Y34">
        <f t="shared" ca="1" si="2"/>
        <v>0</v>
      </c>
      <c r="AA34" s="63">
        <f t="shared" ca="1" si="4"/>
        <v>68.97658646733008</v>
      </c>
      <c r="AB34" s="63">
        <f t="shared" ca="1" si="5"/>
        <v>68.976586467330094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EarlyReproductive</v>
      </c>
      <c r="H35" t="b">
        <f t="shared" ca="1" si="3"/>
        <v>1</v>
      </c>
      <c r="I35" t="b">
        <f t="shared" ca="1" si="0"/>
        <v>1</v>
      </c>
      <c r="J35" s="2">
        <f ca="1"/>
        <v>45415</v>
      </c>
      <c r="K35">
        <f ca="1"/>
        <v>69.417272148050756</v>
      </c>
      <c r="L35">
        <f ca="1"/>
        <v>0.10698615737077155</v>
      </c>
      <c r="M35">
        <f ca="1"/>
        <v>0.59080001799216753</v>
      </c>
      <c r="N35" s="4">
        <f ca="1"/>
        <v>0.60122853773888973</v>
      </c>
      <c r="O35">
        <f ca="1"/>
        <v>0</v>
      </c>
      <c r="P35">
        <f ca="1"/>
        <v>3.2200508062765505</v>
      </c>
      <c r="Q35">
        <f ca="1"/>
        <v>2.735178291045719</v>
      </c>
      <c r="R35">
        <f ca="1"/>
        <v>0.19051184689520625</v>
      </c>
      <c r="S35">
        <f ca="1"/>
        <v>1</v>
      </c>
      <c r="T35">
        <f ca="1"/>
        <v>0.39000000000000057</v>
      </c>
      <c r="U35">
        <f ca="1"/>
        <v>0</v>
      </c>
      <c r="V35">
        <f ca="1"/>
        <v>1.3528431950854422E-2</v>
      </c>
      <c r="X35" s="2">
        <f t="shared" ca="1" si="1"/>
        <v>45415</v>
      </c>
      <c r="Y35">
        <f t="shared" ca="1" si="2"/>
        <v>0</v>
      </c>
      <c r="AA35" s="63">
        <f t="shared" ca="1" si="4"/>
        <v>69.714770152316731</v>
      </c>
      <c r="AB35" s="63">
        <f t="shared" ca="1" si="5"/>
        <v>69.714770152316731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45416</v>
      </c>
      <c r="K36">
        <f ca="1"/>
        <v>69.872578583561804</v>
      </c>
      <c r="L36">
        <f ca="1"/>
        <v>0.11175841556931498</v>
      </c>
      <c r="M36">
        <f ca="1"/>
        <v>0.58563042479083727</v>
      </c>
      <c r="N36" s="4">
        <f ca="1"/>
        <v>0.60588824896408955</v>
      </c>
      <c r="O36">
        <f ca="1"/>
        <v>0</v>
      </c>
      <c r="P36">
        <f ca="1"/>
        <v>3.3318092218458655</v>
      </c>
      <c r="Q36">
        <f ca="1"/>
        <v>2.830108219328535</v>
      </c>
      <c r="R36">
        <f ca="1"/>
        <v>0.62445382267457072</v>
      </c>
      <c r="S36">
        <f ca="1"/>
        <v>1</v>
      </c>
      <c r="T36">
        <f ca="1"/>
        <v>1.269999999999996</v>
      </c>
      <c r="U36">
        <f ca="1"/>
        <v>0</v>
      </c>
      <c r="V36">
        <f ca="1"/>
        <v>1.4356730576076587E-2</v>
      </c>
      <c r="X36" s="2">
        <f t="shared" ca="1" si="1"/>
        <v>45416</v>
      </c>
      <c r="Y36">
        <f t="shared" ca="1" si="2"/>
        <v>0</v>
      </c>
      <c r="AA36" s="63">
        <f t="shared" ca="1" si="4"/>
        <v>70.608790821805684</v>
      </c>
      <c r="AB36" s="63">
        <f t="shared" ca="1" si="5"/>
        <v>70.608790821805684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45417</v>
      </c>
      <c r="K37">
        <f ca="1"/>
        <v>70.132492071829517</v>
      </c>
      <c r="L37">
        <f ca="1"/>
        <v>0.1176830185383464</v>
      </c>
      <c r="M37">
        <f ca="1"/>
        <v>0.58262140669086548</v>
      </c>
      <c r="N37">
        <f ca="1"/>
        <v>0.6142265075024167</v>
      </c>
      <c r="O37">
        <f ca="1"/>
        <v>0</v>
      </c>
      <c r="P37">
        <f ca="1"/>
        <v>3.4494922403842119</v>
      </c>
      <c r="Q37">
        <f ca="1"/>
        <v>2.9300706288977865</v>
      </c>
      <c r="R37">
        <f ca="1"/>
        <v>0.81925140738722524</v>
      </c>
      <c r="S37">
        <f ca="1"/>
        <v>1</v>
      </c>
      <c r="T37">
        <f ca="1"/>
        <v>1.6600000000000037</v>
      </c>
      <c r="U37">
        <f ca="1"/>
        <v>0</v>
      </c>
      <c r="V37">
        <f ca="1"/>
        <v>1.5250951134814245E-2</v>
      </c>
      <c r="X37" s="2">
        <f t="shared" ca="1" si="1"/>
        <v>45417</v>
      </c>
      <c r="Y37">
        <f t="shared" ca="1" si="2"/>
        <v>0</v>
      </c>
      <c r="AA37" s="63">
        <f t="shared" ca="1" si="4"/>
        <v>71.069426497755089</v>
      </c>
      <c r="AB37" s="63">
        <f t="shared" ca="1" si="5"/>
        <v>71.069426497755089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45418</v>
      </c>
      <c r="K38">
        <f ca="1"/>
        <v>71.172794356267076</v>
      </c>
      <c r="L38">
        <f ca="1"/>
        <v>0.11746468778607566</v>
      </c>
      <c r="M38">
        <f ca="1"/>
        <v>0.56014745632795382</v>
      </c>
      <c r="N38">
        <f ca="1"/>
        <v>0.5976195158956833</v>
      </c>
      <c r="O38">
        <f ca="1"/>
        <v>0</v>
      </c>
      <c r="P38">
        <f ca="1"/>
        <v>3.5669569281702875</v>
      </c>
      <c r="Q38">
        <f ca="1"/>
        <v>3.0298475837739898</v>
      </c>
      <c r="R38">
        <f ca="1"/>
        <v>0</v>
      </c>
      <c r="S38">
        <f ca="1"/>
        <v>0.9992592592592594</v>
      </c>
      <c r="T38">
        <f ca="1"/>
        <v>0</v>
      </c>
      <c r="U38">
        <f ca="1"/>
        <v>0</v>
      </c>
      <c r="V38">
        <f ca="1"/>
        <v>1.6165744130427723E-2</v>
      </c>
      <c r="X38" s="2">
        <f t="shared" ca="1" si="1"/>
        <v>45418</v>
      </c>
      <c r="Y38">
        <f t="shared" ca="1" si="2"/>
        <v>0</v>
      </c>
      <c r="AA38" s="63">
        <f t="shared" ca="1" si="4"/>
        <v>71.290259044053158</v>
      </c>
      <c r="AB38" s="63">
        <f t="shared" ca="1" si="5"/>
        <v>71.290259044053158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45419</v>
      </c>
      <c r="K39">
        <f ca="1"/>
        <v>71.415260320457989</v>
      </c>
      <c r="L39">
        <f ca="1"/>
        <v>0.11778675572806341</v>
      </c>
      <c r="M39">
        <f ca="1"/>
        <v>0.5404775433467357</v>
      </c>
      <c r="N39">
        <f ca="1"/>
        <v>0.58433086322642369</v>
      </c>
      <c r="O39">
        <f ca="1"/>
        <v>0</v>
      </c>
      <c r="P39">
        <f ca="1"/>
        <v>3.6847436838983509</v>
      </c>
      <c r="Q39">
        <f ca="1"/>
        <v>3.1298981098750471</v>
      </c>
      <c r="R39">
        <f ca="1"/>
        <v>0.76455568665418439</v>
      </c>
      <c r="S39">
        <f ca="1"/>
        <v>1</v>
      </c>
      <c r="T39">
        <f ca="1"/>
        <v>1.5213469301005134</v>
      </c>
      <c r="U39">
        <f ca="1"/>
        <v>0</v>
      </c>
      <c r="V39">
        <f ca="1"/>
        <v>1.7105061790093922E-2</v>
      </c>
      <c r="X39" s="2">
        <f t="shared" ca="1" si="1"/>
        <v>45419</v>
      </c>
      <c r="Y39">
        <f t="shared" ca="1" si="2"/>
        <v>0</v>
      </c>
      <c r="AA39" s="63">
        <f t="shared" ca="1" si="4"/>
        <v>72.297602762840242</v>
      </c>
      <c r="AB39" s="63">
        <f t="shared" ca="1" si="5"/>
        <v>72.297602762840242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45420</v>
      </c>
      <c r="K40">
        <f ca="1"/>
        <v>72.074155294816833</v>
      </c>
      <c r="L40">
        <f ca="1"/>
        <v>0.11558180819379338</v>
      </c>
      <c r="M40">
        <f ca="1"/>
        <v>0.51553910826340399</v>
      </c>
      <c r="N40">
        <f ca="1"/>
        <v>0.56325077442290128</v>
      </c>
      <c r="O40">
        <f ca="1"/>
        <v>0</v>
      </c>
      <c r="P40">
        <f ca="1"/>
        <v>3.8003254920921443</v>
      </c>
      <c r="Q40">
        <f ca="1"/>
        <v>3.2280757075686175</v>
      </c>
      <c r="R40">
        <f ca="1"/>
        <v>0.30431310013366819</v>
      </c>
      <c r="S40">
        <f ca="1"/>
        <v>1</v>
      </c>
      <c r="T40">
        <f ca="1"/>
        <v>0.59999999999999432</v>
      </c>
      <c r="U40">
        <f ca="1"/>
        <v>0</v>
      </c>
      <c r="V40">
        <f ca="1"/>
        <v>1.8047955775277021E-2</v>
      </c>
      <c r="X40" s="2">
        <f t="shared" ca="1" si="1"/>
        <v>45420</v>
      </c>
      <c r="Y40">
        <f t="shared" ca="1" si="2"/>
        <v>0</v>
      </c>
      <c r="AA40" s="63">
        <f t="shared" ca="1" si="4"/>
        <v>72.494050203144297</v>
      </c>
      <c r="AB40" s="63">
        <f t="shared" ca="1" si="5"/>
        <v>72.494050203144297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45421</v>
      </c>
      <c r="K41">
        <f ca="1"/>
        <v>72.270509646727277</v>
      </c>
      <c r="L41">
        <f ca="1"/>
        <v>0.12108774179658166</v>
      </c>
      <c r="M41">
        <f ca="1"/>
        <v>0.51057280064017618</v>
      </c>
      <c r="N41">
        <f ca="1"/>
        <v>0.56972467267120031</v>
      </c>
      <c r="O41">
        <f ca="1"/>
        <v>0</v>
      </c>
      <c r="P41">
        <f ca="1"/>
        <v>3.921413233888726</v>
      </c>
      <c r="Q41">
        <f ca="1"/>
        <v>3.3309301600599222</v>
      </c>
      <c r="R41">
        <f ca="1"/>
        <v>0.76285537960434346</v>
      </c>
      <c r="S41">
        <f ca="1"/>
        <v>1</v>
      </c>
      <c r="T41">
        <f ca="1"/>
        <v>1.5</v>
      </c>
      <c r="U41">
        <f ca="1"/>
        <v>0</v>
      </c>
      <c r="V41">
        <f ca="1"/>
        <v>1.9057961966144621E-2</v>
      </c>
      <c r="X41" s="2">
        <f t="shared" ca="1" si="1"/>
        <v>45421</v>
      </c>
      <c r="Y41">
        <f t="shared" ca="1" si="2"/>
        <v>0</v>
      </c>
      <c r="AA41" s="63">
        <f t="shared" ca="1" si="4"/>
        <v>73.154452768128209</v>
      </c>
      <c r="AB41" s="63">
        <f t="shared" ca="1" si="5"/>
        <v>73.154452768128209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45422</v>
      </c>
      <c r="K42">
        <f ca="1"/>
        <v>72.928376358371153</v>
      </c>
      <c r="L42">
        <f ca="1"/>
        <v>0.12933301087555327</v>
      </c>
      <c r="M42">
        <f ca="1"/>
        <v>0.51078867058390287</v>
      </c>
      <c r="N42">
        <f ca="1"/>
        <v>0.58433086322642369</v>
      </c>
      <c r="O42">
        <f ca="1"/>
        <v>0</v>
      </c>
      <c r="P42">
        <f ca="1"/>
        <v>4.0507462447642792</v>
      </c>
      <c r="Q42">
        <f ca="1"/>
        <v>3.4407883160159902</v>
      </c>
      <c r="R42">
        <f ca="1"/>
        <v>0.30791981129090118</v>
      </c>
      <c r="S42">
        <f ca="1"/>
        <v>1</v>
      </c>
      <c r="T42">
        <f ca="1"/>
        <v>0.60000000000000142</v>
      </c>
      <c r="U42">
        <f ca="1"/>
        <v>0</v>
      </c>
      <c r="V42">
        <f ca="1"/>
        <v>2.0161499674722489E-2</v>
      </c>
      <c r="X42" s="2">
        <f t="shared" ca="1" si="1"/>
        <v>45422</v>
      </c>
      <c r="Y42">
        <f t="shared" ca="1" si="2"/>
        <v>0</v>
      </c>
      <c r="AA42" s="63">
        <f t="shared" ca="1" si="4"/>
        <v>73.36562918053761</v>
      </c>
      <c r="AB42" s="63">
        <f t="shared" ca="1" si="5"/>
        <v>73.36562918053761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45423</v>
      </c>
      <c r="K43">
        <f ca="1"/>
        <v>72.886431055749057</v>
      </c>
      <c r="L43">
        <f ca="1"/>
        <v>0.13860240238981358</v>
      </c>
      <c r="M43">
        <f ca="1"/>
        <v>0.51149588990070782</v>
      </c>
      <c r="N43">
        <f ca="1"/>
        <v>0.60071214924375771</v>
      </c>
      <c r="O43">
        <f ca="1"/>
        <v>0</v>
      </c>
      <c r="P43">
        <f ca="1"/>
        <v>4.1893486471540928</v>
      </c>
      <c r="Q43">
        <f ca="1"/>
        <v>3.5585200863857165</v>
      </c>
      <c r="R43">
        <f ca="1"/>
        <v>1.0155509393767721</v>
      </c>
      <c r="S43">
        <f ca="1"/>
        <v>1</v>
      </c>
      <c r="T43">
        <f ca="1"/>
        <v>1.980000000000004</v>
      </c>
      <c r="U43">
        <f ca="1"/>
        <v>0</v>
      </c>
      <c r="V43">
        <f ca="1"/>
        <v>2.1372122536390498E-2</v>
      </c>
      <c r="X43" s="2">
        <f t="shared" ca="1" si="1"/>
        <v>45423</v>
      </c>
      <c r="Y43">
        <f t="shared" ca="1" si="2"/>
        <v>0</v>
      </c>
      <c r="AA43" s="63">
        <f t="shared" ca="1" si="4"/>
        <v>74.040584397515616</v>
      </c>
      <c r="AB43" s="63">
        <f t="shared" ca="1" si="5"/>
        <v>74.04058439751563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45424</v>
      </c>
      <c r="K44">
        <f ca="1"/>
        <v>73.001478013410349</v>
      </c>
      <c r="L44">
        <f ca="1"/>
        <v>0.14196696431424982</v>
      </c>
      <c r="M44">
        <f ca="1"/>
        <v>0.49777710430089428</v>
      </c>
      <c r="N44">
        <f ca="1"/>
        <v>0.59659080807291565</v>
      </c>
      <c r="O44">
        <f ca="1"/>
        <v>0</v>
      </c>
      <c r="P44">
        <f ca="1"/>
        <v>4.3313156114683427</v>
      </c>
      <c r="Q44">
        <f ca="1"/>
        <v>3.679109785803226</v>
      </c>
      <c r="R44">
        <f ca="1"/>
        <v>0.83735399039826741</v>
      </c>
      <c r="S44">
        <f ca="1"/>
        <v>1</v>
      </c>
      <c r="T44">
        <f ca="1"/>
        <v>1.6300000000000026</v>
      </c>
      <c r="U44">
        <f ca="1"/>
        <v>0</v>
      </c>
      <c r="V44">
        <f ca="1"/>
        <v>2.2641721650499689E-2</v>
      </c>
      <c r="X44" s="2">
        <f t="shared" ca="1" si="1"/>
        <v>45424</v>
      </c>
      <c r="Y44">
        <f t="shared" ca="1" si="2"/>
        <v>0</v>
      </c>
      <c r="AA44" s="63">
        <f t="shared" ca="1" si="4"/>
        <v>73.980798968122869</v>
      </c>
      <c r="AB44" s="63">
        <f t="shared" ca="1" si="5"/>
        <v>73.980798968122869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45629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45425</v>
      </c>
      <c r="K45">
        <f ca="1"/>
        <v>73.292006008876882</v>
      </c>
      <c r="L45">
        <f ca="1"/>
        <v>0.14112961308738292</v>
      </c>
      <c r="M45">
        <f ca="1"/>
        <v>0.47595188334029359</v>
      </c>
      <c r="N45">
        <f ca="1"/>
        <v>0.57977358378548893</v>
      </c>
      <c r="O45">
        <f ca="1"/>
        <v>0</v>
      </c>
      <c r="P45">
        <f ca="1"/>
        <v>4.4724452245557256</v>
      </c>
      <c r="Q45">
        <f ca="1"/>
        <v>3.798988221630347</v>
      </c>
      <c r="R45">
        <f ca="1"/>
        <v>0.62406785857188163</v>
      </c>
      <c r="S45">
        <f ca="1"/>
        <v>1</v>
      </c>
      <c r="T45">
        <f ca="1"/>
        <v>1.2100000000000009</v>
      </c>
      <c r="U45">
        <f ca="1"/>
        <v>0</v>
      </c>
      <c r="V45">
        <f ca="1"/>
        <v>2.3933067516537634E-2</v>
      </c>
      <c r="X45" s="2">
        <f t="shared" ca="1" si="1"/>
        <v>45425</v>
      </c>
      <c r="Y45">
        <f t="shared" ca="1" si="2"/>
        <v>0</v>
      </c>
      <c r="AA45" s="63">
        <f t="shared" ca="1" si="4"/>
        <v>74.057203480536131</v>
      </c>
      <c r="AB45" s="63">
        <f t="shared" ca="1" si="5"/>
        <v>74.057203480536145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45426</v>
      </c>
      <c r="K46">
        <f ca="1"/>
        <v>72.989641519195899</v>
      </c>
      <c r="L46">
        <f ca="1"/>
        <v>0.14426288916687557</v>
      </c>
      <c r="M46">
        <f ca="1"/>
        <v>0.46291713477517504</v>
      </c>
      <c r="N46">
        <f ca="1"/>
        <v>0.57574105361990635</v>
      </c>
      <c r="O46">
        <f ca="1"/>
        <v>0</v>
      </c>
      <c r="P46">
        <f ca="1"/>
        <v>4.6167081137226011</v>
      </c>
      <c r="Q46">
        <f ca="1"/>
        <v>3.92152812748638</v>
      </c>
      <c r="R46">
        <f ca="1"/>
        <v>1.1967597889091852</v>
      </c>
      <c r="S46">
        <f ca="1"/>
        <v>1</v>
      </c>
      <c r="T46">
        <f ca="1"/>
        <v>2.3299999999999983</v>
      </c>
      <c r="U46">
        <f ca="1"/>
        <v>0</v>
      </c>
      <c r="V46">
        <f ca="1"/>
        <v>2.5282753057522318E-2</v>
      </c>
      <c r="X46" s="2">
        <f t="shared" ca="1" si="1"/>
        <v>45426</v>
      </c>
      <c r="Y46">
        <f t="shared" ca="1" si="2"/>
        <v>0</v>
      </c>
      <c r="AA46" s="63">
        <f t="shared" ca="1" si="4"/>
        <v>74.330664197271972</v>
      </c>
      <c r="AB46" s="63">
        <f t="shared" ca="1" si="5"/>
        <v>74.330664197271972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45749</v>
      </c>
      <c r="H47" t="b">
        <f t="shared" ca="1" si="3"/>
        <v>1</v>
      </c>
      <c r="I47" t="b">
        <f t="shared" ca="1" si="0"/>
        <v>1</v>
      </c>
      <c r="J47" s="2">
        <f ca="1"/>
        <v>45427</v>
      </c>
      <c r="K47">
        <f ca="1"/>
        <v>72.673020223290195</v>
      </c>
      <c r="L47">
        <f ca="1"/>
        <v>0.1490216413406964</v>
      </c>
      <c r="M47">
        <f ca="1"/>
        <v>0.45283857102868552</v>
      </c>
      <c r="N47">
        <f ca="1"/>
        <v>0.57624417408314321</v>
      </c>
      <c r="O47">
        <f ca="1"/>
        <v>0</v>
      </c>
      <c r="P47">
        <f ca="1"/>
        <v>4.7657297550632975</v>
      </c>
      <c r="Q47">
        <f ca="1"/>
        <v>4.0481102166560836</v>
      </c>
      <c r="R47">
        <f ca="1"/>
        <v>1.196682399676847</v>
      </c>
      <c r="S47">
        <f ca="1"/>
        <v>1</v>
      </c>
      <c r="T47">
        <f ca="1"/>
        <v>2.3400000000000034</v>
      </c>
      <c r="U47">
        <f ca="1"/>
        <v>0</v>
      </c>
      <c r="V47">
        <f ca="1"/>
        <v>2.6707970716833708E-2</v>
      </c>
      <c r="X47" s="2">
        <f t="shared" ca="1" si="1"/>
        <v>45427</v>
      </c>
      <c r="Y47">
        <f t="shared" ca="1" si="2"/>
        <v>0</v>
      </c>
      <c r="AA47" s="63">
        <f t="shared" ca="1" si="4"/>
        <v>74.018724264307735</v>
      </c>
      <c r="AB47" s="63">
        <f t="shared" ca="1" si="5"/>
        <v>74.018724264307735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45428</v>
      </c>
      <c r="K48">
        <f ca="1"/>
        <v>72.402782431886877</v>
      </c>
      <c r="L48">
        <f ca="1"/>
        <v>0.14633919389896199</v>
      </c>
      <c r="M48">
        <f ca="1"/>
        <v>0.43048389981364821</v>
      </c>
      <c r="N48">
        <f ca="1"/>
        <v>0.55632981687783534</v>
      </c>
      <c r="O48">
        <f ca="1"/>
        <v>0</v>
      </c>
      <c r="P48">
        <f ca="1"/>
        <v>4.9120689489622595</v>
      </c>
      <c r="Q48">
        <f ca="1"/>
        <v>4.1724137790413023</v>
      </c>
      <c r="R48">
        <f ca="1"/>
        <v>1.1107123141958348</v>
      </c>
      <c r="S48">
        <f ca="1"/>
        <v>1</v>
      </c>
      <c r="T48">
        <f ca="1"/>
        <v>2.1799999999999997</v>
      </c>
      <c r="U48">
        <f ca="1"/>
        <v>0</v>
      </c>
      <c r="V48">
        <f ca="1"/>
        <v>2.8137722031985817E-2</v>
      </c>
      <c r="X48" s="2">
        <f t="shared" ca="1" si="1"/>
        <v>45428</v>
      </c>
      <c r="Y48">
        <f t="shared" ca="1" si="2"/>
        <v>0</v>
      </c>
      <c r="AA48" s="63">
        <f t="shared" ca="1" si="4"/>
        <v>73.659833939981681</v>
      </c>
      <c r="AB48" s="63">
        <f t="shared" ca="1" si="5"/>
        <v>73.659833939981681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45429</v>
      </c>
      <c r="K49">
        <f ca="1"/>
        <v>72.184571026670056</v>
      </c>
      <c r="L49">
        <f ca="1"/>
        <v>0.14808615880770137</v>
      </c>
      <c r="M49">
        <f ca="1"/>
        <v>0.41666276774278899</v>
      </c>
      <c r="N49">
        <f ca="1"/>
        <v>0.54946160547539402</v>
      </c>
      <c r="O49">
        <f ca="1"/>
        <v>0</v>
      </c>
      <c r="P49">
        <f ca="1"/>
        <v>5.0601551077699609</v>
      </c>
      <c r="Q49">
        <f ca="1"/>
        <v>4.2982012498432107</v>
      </c>
      <c r="R49">
        <f ca="1"/>
        <v>1.0362496196273077</v>
      </c>
      <c r="S49">
        <f ca="1"/>
        <v>1</v>
      </c>
      <c r="T49">
        <f ca="1"/>
        <v>2.0399999999999991</v>
      </c>
      <c r="U49">
        <f ca="1"/>
        <v>0</v>
      </c>
      <c r="V49">
        <f ca="1"/>
        <v>2.9614511044700691E-2</v>
      </c>
      <c r="X49" s="2">
        <f t="shared" ca="1" si="1"/>
        <v>45429</v>
      </c>
      <c r="Y49">
        <f t="shared" ca="1" si="2"/>
        <v>0</v>
      </c>
      <c r="AA49" s="63">
        <f t="shared" ca="1" si="4"/>
        <v>73.36890680510507</v>
      </c>
      <c r="AB49" s="63">
        <f t="shared" ca="1" si="5"/>
        <v>73.36890680510507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45430</v>
      </c>
      <c r="K50">
        <f ca="1"/>
        <v>73.016591462233919</v>
      </c>
      <c r="L50">
        <f ca="1"/>
        <v>0.16190459214679898</v>
      </c>
      <c r="M50">
        <f ca="1"/>
        <v>0.4206955246138655</v>
      </c>
      <c r="N50">
        <f ca="1"/>
        <v>0.57322950309679876</v>
      </c>
      <c r="O50">
        <f ca="1"/>
        <v>0</v>
      </c>
      <c r="P50">
        <f ca="1"/>
        <v>5.2220596999167599</v>
      </c>
      <c r="Q50">
        <f ca="1"/>
        <v>4.4357263860296809</v>
      </c>
      <c r="R50">
        <f ca="1"/>
        <v>0</v>
      </c>
      <c r="S50">
        <f ca="1"/>
        <v>0.99314814814814811</v>
      </c>
      <c r="T50">
        <f ca="1"/>
        <v>0</v>
      </c>
      <c r="U50">
        <f ca="1"/>
        <v>0</v>
      </c>
      <c r="V50">
        <f ca="1"/>
        <v>3.1263038513740578E-2</v>
      </c>
      <c r="X50" s="2">
        <f t="shared" ca="1" si="1"/>
        <v>45430</v>
      </c>
      <c r="Y50">
        <f t="shared" ca="1" si="2"/>
        <v>0</v>
      </c>
      <c r="AA50" s="63">
        <f t="shared" ca="1" si="4"/>
        <v>73.178496054380716</v>
      </c>
      <c r="AB50" s="63">
        <f t="shared" ca="1" si="5"/>
        <v>73.178496054380716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45431</v>
      </c>
      <c r="K51">
        <f ca="1"/>
        <v>72.105442734195066</v>
      </c>
      <c r="L51">
        <f ca="1"/>
        <v>0.16597693809710456</v>
      </c>
      <c r="M51">
        <f ca="1"/>
        <v>0.40912741583947465</v>
      </c>
      <c r="N51">
        <f ca="1"/>
        <v>0.57072470319022106</v>
      </c>
      <c r="O51">
        <f ca="1"/>
        <v>0</v>
      </c>
      <c r="P51">
        <f ca="1"/>
        <v>5.3880366380138645</v>
      </c>
      <c r="Q51">
        <f ca="1"/>
        <v>4.5767106577723951</v>
      </c>
      <c r="R51">
        <f ca="1"/>
        <v>1.7250239089714581</v>
      </c>
      <c r="S51">
        <f ca="1"/>
        <v>1</v>
      </c>
      <c r="T51">
        <f ca="1"/>
        <v>3.3996736895673649</v>
      </c>
      <c r="U51">
        <f ca="1"/>
        <v>0</v>
      </c>
      <c r="V51">
        <f ca="1"/>
        <v>3.2989195412943664E-2</v>
      </c>
      <c r="X51" s="2">
        <f t="shared" ca="1" si="1"/>
        <v>45431</v>
      </c>
      <c r="Y51">
        <f t="shared" ca="1" si="2"/>
        <v>0</v>
      </c>
      <c r="AA51" s="63">
        <f t="shared" ca="1" si="4"/>
        <v>73.99644358126362</v>
      </c>
      <c r="AB51" s="63">
        <f t="shared" ca="1" si="5"/>
        <v>73.99644358126362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45432</v>
      </c>
      <c r="K52">
        <f ca="1"/>
        <v>71.089725913355011</v>
      </c>
      <c r="L52">
        <f ca="1"/>
        <v>0.17722199390638771</v>
      </c>
      <c r="M52">
        <f ca="1"/>
        <v>0.40711399048623775</v>
      </c>
      <c r="N52">
        <f ca="1"/>
        <v>0.58534656777073124</v>
      </c>
      <c r="O52">
        <f ca="1"/>
        <v>0</v>
      </c>
      <c r="P52">
        <f ca="1"/>
        <v>5.5652586319202522</v>
      </c>
      <c r="Q52">
        <f ca="1"/>
        <v>4.7272467143724155</v>
      </c>
      <c r="R52">
        <f ca="1"/>
        <v>1.8309553851906342</v>
      </c>
      <c r="S52">
        <f ca="1"/>
        <v>1</v>
      </c>
      <c r="T52">
        <f ca="1"/>
        <v>3.6600000000000037</v>
      </c>
      <c r="U52">
        <f ca="1"/>
        <v>0</v>
      </c>
      <c r="V52">
        <f ca="1"/>
        <v>3.4871979122080198E-2</v>
      </c>
      <c r="X52" s="2">
        <f t="shared" ca="1" si="1"/>
        <v>45432</v>
      </c>
      <c r="Y52">
        <f t="shared" ca="1" si="2"/>
        <v>0</v>
      </c>
      <c r="AA52" s="63">
        <f t="shared" ca="1" si="4"/>
        <v>73.097903292452031</v>
      </c>
      <c r="AB52" s="63">
        <f t="shared" ca="1" si="5"/>
        <v>73.097903292452031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45433</v>
      </c>
      <c r="K53">
        <f ca="1"/>
        <v>70.214325654497983</v>
      </c>
      <c r="L53">
        <f ca="1"/>
        <v>0.17149577188514442</v>
      </c>
      <c r="M53">
        <f ca="1"/>
        <v>0.38265568240721493</v>
      </c>
      <c r="N53">
        <f ca="1"/>
        <v>0.55879552845797076</v>
      </c>
      <c r="O53">
        <f ca="1"/>
        <v>0</v>
      </c>
      <c r="P53">
        <f ca="1"/>
        <v>5.7367544038053966</v>
      </c>
      <c r="Q53">
        <f ca="1"/>
        <v>4.87291879859918</v>
      </c>
      <c r="R53">
        <f ca="1"/>
        <v>1.6453556978370723</v>
      </c>
      <c r="S53">
        <f ca="1"/>
        <v>1</v>
      </c>
      <c r="T53">
        <f ca="1"/>
        <v>3.3300000000000054</v>
      </c>
      <c r="U53">
        <f ca="1"/>
        <v>0</v>
      </c>
      <c r="V53">
        <f ca="1"/>
        <v>3.6732208493494858E-2</v>
      </c>
      <c r="X53" s="2">
        <f t="shared" ca="1" si="1"/>
        <v>45433</v>
      </c>
      <c r="Y53">
        <f t="shared" ca="1" si="2"/>
        <v>0</v>
      </c>
      <c r="AA53" s="63">
        <f t="shared" ca="1" si="4"/>
        <v>72.031177124220207</v>
      </c>
      <c r="AB53" s="63">
        <f t="shared" ca="1" si="5"/>
        <v>72.031177124220207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45434</v>
      </c>
      <c r="K54">
        <f ca="1"/>
        <v>67.917405629576777</v>
      </c>
      <c r="L54">
        <f ca="1"/>
        <v>0.17134490685900428</v>
      </c>
      <c r="M54">
        <f ca="1"/>
        <v>0.36708466164958153</v>
      </c>
      <c r="N54">
        <f ca="1"/>
        <v>0.54702144113192874</v>
      </c>
      <c r="O54">
        <f ca="1"/>
        <v>0</v>
      </c>
      <c r="P54">
        <f ca="1"/>
        <v>5.9080993106644009</v>
      </c>
      <c r="Q54">
        <f ca="1"/>
        <v>5.018462734927291</v>
      </c>
      <c r="R54">
        <f ca="1"/>
        <v>3.0396812208437214</v>
      </c>
      <c r="S54">
        <f ca="1"/>
        <v>1</v>
      </c>
      <c r="T54">
        <f ca="1"/>
        <v>6.3599999999999923</v>
      </c>
      <c r="U54">
        <f ca="1"/>
        <v>0</v>
      </c>
      <c r="V54">
        <f ca="1"/>
        <v>3.8627682857562018E-2</v>
      </c>
      <c r="X54" s="2">
        <f t="shared" ca="1" si="1"/>
        <v>45434</v>
      </c>
      <c r="Y54">
        <f t="shared" ca="1" si="2"/>
        <v>0</v>
      </c>
      <c r="AA54" s="63">
        <f t="shared" ca="1" si="4"/>
        <v>71.1284317572795</v>
      </c>
      <c r="AB54" s="63">
        <f t="shared" ca="1" si="5"/>
        <v>71.1284317572795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45435</v>
      </c>
      <c r="K55">
        <f ca="1"/>
        <v>66.841072638444899</v>
      </c>
      <c r="L55">
        <f ca="1"/>
        <v>0.17475853388985563</v>
      </c>
      <c r="M55">
        <f ca="1"/>
        <v>0.3562997395412566</v>
      </c>
      <c r="N55">
        <f ca="1"/>
        <v>0.54361649058695527</v>
      </c>
      <c r="O55">
        <f ca="1"/>
        <v>0</v>
      </c>
      <c r="P55">
        <f ca="1"/>
        <v>6.0828578445542565</v>
      </c>
      <c r="Q55">
        <f ca="1"/>
        <v>5.1669062772275547</v>
      </c>
      <c r="R55">
        <f ca="1"/>
        <v>1.8014906873702341</v>
      </c>
      <c r="S55">
        <f ca="1"/>
        <v>1</v>
      </c>
      <c r="T55">
        <f ca="1"/>
        <v>3.8299999999999983</v>
      </c>
      <c r="U55">
        <f ca="1"/>
        <v>0</v>
      </c>
      <c r="V55">
        <f ca="1"/>
        <v>4.0598162835183034E-2</v>
      </c>
      <c r="X55" s="2">
        <f t="shared" ca="1" si="1"/>
        <v>45435</v>
      </c>
      <c r="Y55">
        <f t="shared" ca="1" si="2"/>
        <v>0</v>
      </c>
      <c r="AA55" s="63">
        <f t="shared" ca="1" si="4"/>
        <v>68.81732185970499</v>
      </c>
      <c r="AB55" s="63">
        <f t="shared" ca="1" si="5"/>
        <v>68.81732185970499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45436</v>
      </c>
      <c r="K56">
        <f ca="1"/>
        <v>65.505617085750202</v>
      </c>
      <c r="L56">
        <f ca="1"/>
        <v>0.18640340028228408</v>
      </c>
      <c r="M56">
        <f ca="1"/>
        <v>0.35414813105381882</v>
      </c>
      <c r="N56">
        <f ca="1"/>
        <v>0.55731529397553448</v>
      </c>
      <c r="O56">
        <f ca="1"/>
        <v>0</v>
      </c>
      <c r="P56">
        <f ca="1"/>
        <v>6.2692612448365406</v>
      </c>
      <c r="Q56">
        <f ca="1"/>
        <v>5.3252412118302663</v>
      </c>
      <c r="R56">
        <f ca="1"/>
        <v>2.0605155774417643</v>
      </c>
      <c r="S56">
        <f ca="1"/>
        <v>1</v>
      </c>
      <c r="T56">
        <f ca="1"/>
        <v>4.4699999999999989</v>
      </c>
      <c r="U56">
        <f ca="1"/>
        <v>0</v>
      </c>
      <c r="V56">
        <f ca="1"/>
        <v>4.274056721622653E-2</v>
      </c>
      <c r="X56" s="2">
        <f t="shared" ca="1" si="1"/>
        <v>45436</v>
      </c>
      <c r="Y56">
        <f t="shared" ca="1" si="2"/>
        <v>0</v>
      </c>
      <c r="AA56" s="63">
        <f t="shared" ca="1" si="4"/>
        <v>67.752536063474253</v>
      </c>
      <c r="AB56" s="63">
        <f t="shared" ca="1" si="5"/>
        <v>67.752536063474253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45437</v>
      </c>
      <c r="K57">
        <f ca="1"/>
        <v>63.785037095411198</v>
      </c>
      <c r="L57">
        <f ca="1"/>
        <v>0.20169169555727429</v>
      </c>
      <c r="M57">
        <f ca="1"/>
        <v>0.35462334937687956</v>
      </c>
      <c r="N57">
        <f ca="1"/>
        <v>0.57725122557395314</v>
      </c>
      <c r="O57">
        <f ca="1"/>
        <v>0</v>
      </c>
      <c r="P57">
        <f ca="1"/>
        <v>6.4709529403938149</v>
      </c>
      <c r="Q57">
        <f ca="1"/>
        <v>5.4965623431916582</v>
      </c>
      <c r="R57">
        <f ca="1"/>
        <v>2.4507628697325741</v>
      </c>
      <c r="S57">
        <f ca="1"/>
        <v>1</v>
      </c>
      <c r="T57">
        <f ca="1"/>
        <v>5.4599999999999937</v>
      </c>
      <c r="U57">
        <f ca="1"/>
        <v>0</v>
      </c>
      <c r="V57">
        <f ca="1"/>
        <v>4.5104908671332516E-2</v>
      </c>
      <c r="X57" s="2">
        <f t="shared" ca="1" si="1"/>
        <v>45437</v>
      </c>
      <c r="Y57">
        <f t="shared" ca="1" si="2"/>
        <v>0</v>
      </c>
      <c r="AA57" s="63">
        <f t="shared" ca="1" si="4"/>
        <v>66.437491660701042</v>
      </c>
      <c r="AB57" s="63">
        <f t="shared" ca="1" si="5"/>
        <v>66.437491660701042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45438</v>
      </c>
      <c r="K58">
        <f ca="1"/>
        <v>63.211029520250392</v>
      </c>
      <c r="L58">
        <f ca="1"/>
        <v>0.19253214600100499</v>
      </c>
      <c r="M58">
        <f ca="1"/>
        <v>0.33082630387361434</v>
      </c>
      <c r="N58">
        <f ca="1"/>
        <v>0.54653421411614378</v>
      </c>
      <c r="O58">
        <f ca="1"/>
        <v>0</v>
      </c>
      <c r="P58">
        <f ca="1"/>
        <v>6.6634850863948198</v>
      </c>
      <c r="Q58">
        <f ca="1"/>
        <v>5.6601031621886504</v>
      </c>
      <c r="R58">
        <f ca="1"/>
        <v>1.2588359471495782</v>
      </c>
      <c r="S58">
        <f ca="1"/>
        <v>1</v>
      </c>
      <c r="T58">
        <f ca="1"/>
        <v>2.8299999999999983</v>
      </c>
      <c r="U58">
        <f ca="1"/>
        <v>0</v>
      </c>
      <c r="V58">
        <f ca="1"/>
        <v>4.7405696116920269E-2</v>
      </c>
      <c r="X58" s="2">
        <f t="shared" ca="1" si="1"/>
        <v>45438</v>
      </c>
      <c r="Y58">
        <f t="shared" ca="1" si="2"/>
        <v>0</v>
      </c>
      <c r="AA58" s="63">
        <f t="shared" ca="1" si="4"/>
        <v>64.662397613400969</v>
      </c>
      <c r="AB58" s="63">
        <f t="shared" ca="1" si="5"/>
        <v>64.662397613400984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45439</v>
      </c>
      <c r="K59">
        <f ca="1"/>
        <v>62.819885871689792</v>
      </c>
      <c r="L59">
        <f ca="1"/>
        <v>0.17939169128883758</v>
      </c>
      <c r="M59">
        <f ca="1"/>
        <v>0.30657142291027739</v>
      </c>
      <c r="N59">
        <f ca="1"/>
        <v>0.51169008186971221</v>
      </c>
      <c r="O59">
        <f ca="1"/>
        <v>0</v>
      </c>
      <c r="P59">
        <f ca="1"/>
        <v>6.8428767776836574</v>
      </c>
      <c r="Q59">
        <f ca="1"/>
        <v>5.812482204982258</v>
      </c>
      <c r="R59">
        <f ca="1"/>
        <v>1.030013462051746</v>
      </c>
      <c r="S59">
        <f ca="1"/>
        <v>1</v>
      </c>
      <c r="T59">
        <f ca="1"/>
        <v>2.3300000000000054</v>
      </c>
      <c r="U59">
        <f ca="1"/>
        <v>0</v>
      </c>
      <c r="V59">
        <f ca="1"/>
        <v>4.958711025657709E-2</v>
      </c>
      <c r="X59" s="2">
        <f t="shared" ca="1" si="1"/>
        <v>45439</v>
      </c>
      <c r="Y59">
        <f t="shared" ca="1" si="2"/>
        <v>0</v>
      </c>
      <c r="AA59" s="63">
        <f t="shared" ca="1" si="4"/>
        <v>64.029291025030389</v>
      </c>
      <c r="AB59" s="63">
        <f t="shared" ca="1" si="5"/>
        <v>64.029291025030375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45440</v>
      </c>
      <c r="K60">
        <f ca="1"/>
        <v>61.898319153804998</v>
      </c>
      <c r="L60">
        <f ca="1"/>
        <v>0.17438028282968343</v>
      </c>
      <c r="M60">
        <f ca="1"/>
        <v>0.2914857707820957</v>
      </c>
      <c r="N60">
        <f ca="1"/>
        <v>0.49457208490593491</v>
      </c>
      <c r="O60">
        <f ca="1"/>
        <v>0</v>
      </c>
      <c r="P60">
        <f ca="1"/>
        <v>7.0172570605133409</v>
      </c>
      <c r="Q60">
        <f ca="1"/>
        <v>5.960604452945697</v>
      </c>
      <c r="R60">
        <f ca="1"/>
        <v>1.5332442907431416</v>
      </c>
      <c r="S60">
        <f ca="1"/>
        <v>1</v>
      </c>
      <c r="T60">
        <f ca="1"/>
        <v>3.5200000000000031</v>
      </c>
      <c r="U60">
        <f ca="1"/>
        <v>0</v>
      </c>
      <c r="V60">
        <f ca="1"/>
        <v>5.1741651135361798E-2</v>
      </c>
      <c r="X60" s="2">
        <f t="shared" ca="1" si="1"/>
        <v>45440</v>
      </c>
      <c r="Y60">
        <f t="shared" ca="1" si="2"/>
        <v>0</v>
      </c>
      <c r="AA60" s="63">
        <f t="shared" ca="1" si="4"/>
        <v>63.60594372737782</v>
      </c>
      <c r="AB60" s="63">
        <f t="shared" ca="1" si="5"/>
        <v>63.60594372737782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45441</v>
      </c>
      <c r="K61">
        <f ca="1"/>
        <v>60.769727435975817</v>
      </c>
      <c r="L61">
        <f ca="1"/>
        <v>0.18679714558598803</v>
      </c>
      <c r="M61">
        <f ca="1"/>
        <v>0.29027180784938267</v>
      </c>
      <c r="N61">
        <f ca="1"/>
        <v>0.50842362828668819</v>
      </c>
      <c r="O61">
        <f ca="1"/>
        <v>0</v>
      </c>
      <c r="P61">
        <f ca="1"/>
        <v>7.2040542060993289</v>
      </c>
      <c r="Q61">
        <f ca="1"/>
        <v>6.1192738430187354</v>
      </c>
      <c r="R61">
        <f ca="1"/>
        <v>1.7404900083792598</v>
      </c>
      <c r="S61">
        <f ca="1"/>
        <v>1</v>
      </c>
      <c r="T61">
        <f ca="1"/>
        <v>4.0699999999999932</v>
      </c>
      <c r="U61">
        <f ca="1"/>
        <v>0</v>
      </c>
      <c r="V61">
        <f ca="1"/>
        <v>5.4086054623650417E-2</v>
      </c>
      <c r="X61" s="2">
        <f t="shared" ca="1" si="1"/>
        <v>45441</v>
      </c>
      <c r="Y61">
        <f t="shared" ca="1" si="2"/>
        <v>0</v>
      </c>
      <c r="AA61" s="63">
        <f t="shared" ca="1" si="4"/>
        <v>62.69701458994107</v>
      </c>
      <c r="AB61" s="63">
        <f t="shared" ca="1" si="5"/>
        <v>62.69701458994107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45442</v>
      </c>
      <c r="K62">
        <f ca="1"/>
        <v>59.580830687239391</v>
      </c>
      <c r="L62">
        <f ca="1"/>
        <v>0.18363077149653151</v>
      </c>
      <c r="M62">
        <f ca="1"/>
        <v>0.27741952058552499</v>
      </c>
      <c r="N62">
        <f ca="1"/>
        <v>0.49502995408717609</v>
      </c>
      <c r="O62">
        <f ca="1"/>
        <v>0</v>
      </c>
      <c r="P62">
        <f ca="1"/>
        <v>7.3876849775958604</v>
      </c>
      <c r="Q62">
        <f ca="1"/>
        <v>6.2752536489231252</v>
      </c>
      <c r="R62">
        <f ca="1"/>
        <v>1.7777154519125953</v>
      </c>
      <c r="S62">
        <f ca="1"/>
        <v>1</v>
      </c>
      <c r="T62">
        <f ca="1"/>
        <v>4.240000000000002</v>
      </c>
      <c r="U62">
        <f ca="1"/>
        <v>0</v>
      </c>
      <c r="V62">
        <f ca="1"/>
        <v>5.6426650378636811E-2</v>
      </c>
      <c r="X62" s="2">
        <f t="shared" ca="1" si="1"/>
        <v>45442</v>
      </c>
      <c r="Y62">
        <f t="shared" ca="1" si="2"/>
        <v>0</v>
      </c>
      <c r="AA62" s="63">
        <f t="shared" ca="1" si="4"/>
        <v>61.542176910648521</v>
      </c>
      <c r="AB62" s="63">
        <f t="shared" ca="1" si="5"/>
        <v>61.542176910648521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45443</v>
      </c>
      <c r="K63">
        <f ca="1"/>
        <v>58.964277179864766</v>
      </c>
      <c r="L63">
        <f ca="1"/>
        <v>0.18904078568913896</v>
      </c>
      <c r="M63">
        <f ca="1"/>
        <v>0.27109147662481092</v>
      </c>
      <c r="N63">
        <f ca="1"/>
        <v>0.49640515253496204</v>
      </c>
      <c r="O63">
        <f ca="1"/>
        <v>0</v>
      </c>
      <c r="P63">
        <f ca="1"/>
        <v>7.5767257632849994</v>
      </c>
      <c r="Q63">
        <f ca="1"/>
        <v>6.4358288336783787</v>
      </c>
      <c r="R63">
        <f ca="1"/>
        <v>1.1950093508452602</v>
      </c>
      <c r="S63">
        <f ca="1"/>
        <v>1</v>
      </c>
      <c r="T63">
        <f ca="1"/>
        <v>2.8800000000000026</v>
      </c>
      <c r="U63">
        <f ca="1"/>
        <v>0</v>
      </c>
      <c r="V63">
        <f ca="1"/>
        <v>5.8872557624017018E-2</v>
      </c>
      <c r="X63" s="2">
        <f t="shared" ca="1" si="1"/>
        <v>45443</v>
      </c>
      <c r="Y63">
        <f t="shared" ca="1" si="2"/>
        <v>0</v>
      </c>
      <c r="AA63" s="63">
        <f t="shared" ca="1" si="4"/>
        <v>60.348327316399164</v>
      </c>
      <c r="AB63" s="63">
        <f t="shared" ca="1" si="5"/>
        <v>60.348327316399164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45444</v>
      </c>
      <c r="K64">
        <f ca="1"/>
        <v>57.971410409778557</v>
      </c>
      <c r="L64">
        <f ca="1"/>
        <v>0.18910974472733422</v>
      </c>
      <c r="M64">
        <f ca="1"/>
        <v>0.2614225782046482</v>
      </c>
      <c r="N64">
        <f ca="1"/>
        <v>0.48909832220086835</v>
      </c>
      <c r="O64">
        <f ca="1"/>
        <v>0</v>
      </c>
      <c r="P64">
        <f ca="1"/>
        <v>7.7658355080123336</v>
      </c>
      <c r="Q64">
        <f ca="1"/>
        <v>6.5964625936784307</v>
      </c>
      <c r="R64">
        <f ca="1"/>
        <v>1.5542779257643971</v>
      </c>
      <c r="S64">
        <f ca="1"/>
        <v>1</v>
      </c>
      <c r="T64">
        <f ca="1"/>
        <v>3.8100000000000023</v>
      </c>
      <c r="U64">
        <f ca="1"/>
        <v>0</v>
      </c>
      <c r="V64">
        <f ca="1"/>
        <v>6.1355389203838283E-2</v>
      </c>
      <c r="X64" s="2">
        <f t="shared" ca="1" si="1"/>
        <v>45444</v>
      </c>
      <c r="Y64">
        <f t="shared" ca="1" si="2"/>
        <v>0</v>
      </c>
      <c r="AA64" s="63">
        <f t="shared" ca="1" si="4"/>
        <v>59.714798080270278</v>
      </c>
      <c r="AB64" s="63">
        <f t="shared" ca="1" si="5"/>
        <v>59.714798080270285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45445</v>
      </c>
      <c r="K65">
        <f ca="1"/>
        <v>57.97396425585714</v>
      </c>
      <c r="L65">
        <f ca="1"/>
        <v>0.17767910151287758</v>
      </c>
      <c r="M65">
        <f ca="1"/>
        <v>0.24565020159413464</v>
      </c>
      <c r="N65">
        <f ca="1"/>
        <v>0.46493715974535693</v>
      </c>
      <c r="O65">
        <f ca="1"/>
        <v>0</v>
      </c>
      <c r="P65">
        <f ca="1"/>
        <v>7.9435146095252112</v>
      </c>
      <c r="Q65">
        <f ca="1"/>
        <v>6.7473869270098321</v>
      </c>
      <c r="R65">
        <f ca="1"/>
        <v>0.53035441374802816</v>
      </c>
      <c r="S65">
        <f ca="1"/>
        <v>1</v>
      </c>
      <c r="T65">
        <f ca="1"/>
        <v>1.3000000000000043</v>
      </c>
      <c r="U65">
        <f ca="1"/>
        <v>0</v>
      </c>
      <c r="V65">
        <f ca="1"/>
        <v>6.3720205546995076E-2</v>
      </c>
      <c r="X65" s="2">
        <f t="shared" ca="1" si="1"/>
        <v>45445</v>
      </c>
      <c r="Y65">
        <f t="shared" ca="1" si="2"/>
        <v>0</v>
      </c>
      <c r="AA65" s="63">
        <f t="shared" ca="1" si="4"/>
        <v>58.681997771118041</v>
      </c>
      <c r="AB65" s="63">
        <f t="shared" ca="1" si="5"/>
        <v>58.681997771118048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45446</v>
      </c>
      <c r="K66">
        <f ca="1"/>
        <v>57.275051394682933</v>
      </c>
      <c r="L66">
        <f ca="1"/>
        <v>0.18496635335753986</v>
      </c>
      <c r="M66">
        <f ca="1"/>
        <v>0.24151877711900127</v>
      </c>
      <c r="N66">
        <f ca="1"/>
        <v>0.46979655527058128</v>
      </c>
      <c r="O66">
        <f ca="1"/>
        <v>0</v>
      </c>
      <c r="P66">
        <f ca="1"/>
        <v>8.128480962882751</v>
      </c>
      <c r="Q66">
        <f ca="1"/>
        <v>6.9045012039930711</v>
      </c>
      <c r="R66">
        <f ca="1"/>
        <v>1.2252618402062567</v>
      </c>
      <c r="S66">
        <f ca="1"/>
        <v>1</v>
      </c>
      <c r="T66">
        <f ca="1"/>
        <v>3.0400000000000063</v>
      </c>
      <c r="U66">
        <f ca="1"/>
        <v>0</v>
      </c>
      <c r="V66">
        <f ca="1"/>
        <v>6.6214217807569323E-2</v>
      </c>
      <c r="X66" s="2">
        <f t="shared" ca="1" si="1"/>
        <v>45446</v>
      </c>
      <c r="Y66">
        <f t="shared" ca="1" si="2"/>
        <v>0</v>
      </c>
      <c r="AA66" s="63">
        <f t="shared" ca="1" si="4"/>
        <v>58.685279588246722</v>
      </c>
      <c r="AB66" s="63">
        <f t="shared" ca="1" si="5"/>
        <v>58.685279588246729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45447</v>
      </c>
      <c r="K67">
        <f ca="1"/>
        <v>56.977210565156795</v>
      </c>
      <c r="L67">
        <f ca="1"/>
        <v>0.19318285259371848</v>
      </c>
      <c r="M67">
        <f ca="1"/>
        <v>0.23770100514050796</v>
      </c>
      <c r="N67">
        <f ca="1"/>
        <v>0.47558052959577302</v>
      </c>
      <c r="O67">
        <f ca="1"/>
        <v>0</v>
      </c>
      <c r="P67">
        <f ca="1"/>
        <v>8.3216638154764695</v>
      </c>
      <c r="Q67">
        <f ca="1"/>
        <v>7.0685947467367702</v>
      </c>
      <c r="R67">
        <f ca="1"/>
        <v>0.81793951166869516</v>
      </c>
      <c r="S67">
        <f ca="1"/>
        <v>1</v>
      </c>
      <c r="T67">
        <f ca="1"/>
        <v>2.0399999999999991</v>
      </c>
      <c r="U67">
        <f ca="1"/>
        <v>0</v>
      </c>
      <c r="V67">
        <f ca="1"/>
        <v>6.8853233255252722E-2</v>
      </c>
      <c r="X67" s="2">
        <f t="shared" ca="1" si="1"/>
        <v>45447</v>
      </c>
      <c r="Y67">
        <f t="shared" ca="1" si="2"/>
        <v>0</v>
      </c>
      <c r="AA67" s="63">
        <f t="shared" ca="1" si="4"/>
        <v>57.988332929419215</v>
      </c>
      <c r="AB67" s="63">
        <f t="shared" ca="1" si="5"/>
        <v>57.988332929419215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45448</v>
      </c>
      <c r="K68">
        <f ca="1"/>
        <v>56.624520184827539</v>
      </c>
      <c r="L68">
        <f ca="1"/>
        <v>0.19573768339959052</v>
      </c>
      <c r="M68">
        <f ca="1"/>
        <v>0.23083453783182151</v>
      </c>
      <c r="N68">
        <f ca="1"/>
        <v>0.47290547204788924</v>
      </c>
      <c r="O68">
        <f ca="1"/>
        <v>0</v>
      </c>
      <c r="P68">
        <f ca="1"/>
        <v>8.51740149887606</v>
      </c>
      <c r="Q68">
        <f ca="1"/>
        <v>7.2348584160337204</v>
      </c>
      <c r="R68">
        <f ca="1"/>
        <v>0.86069270680937737</v>
      </c>
      <c r="S68">
        <f ca="1"/>
        <v>1</v>
      </c>
      <c r="T68">
        <f ca="1"/>
        <v>2.1599999999999966</v>
      </c>
      <c r="U68">
        <f ca="1"/>
        <v>0</v>
      </c>
      <c r="V68">
        <f ca="1"/>
        <v>7.1561886536650743E-2</v>
      </c>
      <c r="X68" s="2">
        <f t="shared" ca="1" si="1"/>
        <v>45448</v>
      </c>
      <c r="Y68">
        <f t="shared" ca="1" si="2"/>
        <v>0</v>
      </c>
      <c r="AA68" s="63">
        <f t="shared" ca="1" si="4"/>
        <v>57.680950575036512</v>
      </c>
      <c r="AB68" s="63">
        <f t="shared" ca="1" si="5"/>
        <v>57.680950575036505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45449</v>
      </c>
      <c r="K69">
        <f ca="1"/>
        <v>56.434336139286046</v>
      </c>
      <c r="L69">
        <f ca="1"/>
        <v>0.20377531105357782</v>
      </c>
      <c r="M69">
        <f ca="1"/>
        <v>0.22678136597744825</v>
      </c>
      <c r="N69">
        <f ca="1"/>
        <v>0.47781699315122245</v>
      </c>
      <c r="O69">
        <f ca="1"/>
        <v>0</v>
      </c>
      <c r="P69">
        <f ca="1"/>
        <v>8.7211768099296378</v>
      </c>
      <c r="Q69">
        <f ca="1"/>
        <v>7.4079494138398481</v>
      </c>
      <c r="R69">
        <f ca="1"/>
        <v>0.69100709361658919</v>
      </c>
      <c r="S69">
        <f ca="1"/>
        <v>1</v>
      </c>
      <c r="T69">
        <f ca="1"/>
        <v>1.7399999999999949</v>
      </c>
      <c r="U69">
        <f ca="1"/>
        <v>0</v>
      </c>
      <c r="V69">
        <f ca="1"/>
        <v>7.4417908296097221E-2</v>
      </c>
      <c r="X69" s="2">
        <f t="shared" ca="1" si="1"/>
        <v>45449</v>
      </c>
      <c r="Y69">
        <f t="shared" ca="1" si="2"/>
        <v>0</v>
      </c>
      <c r="AA69" s="63">
        <f t="shared" ca="1" si="4"/>
        <v>57.329118543956213</v>
      </c>
      <c r="AB69" s="63">
        <f t="shared" ca="1" si="5"/>
        <v>57.329118543956213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45450</v>
      </c>
      <c r="K70">
        <f ca="1"/>
        <v>56.369324986796066</v>
      </c>
      <c r="L70">
        <f ca="1"/>
        <v>0.21813929767461993</v>
      </c>
      <c r="M70">
        <f ca="1"/>
        <v>0.22548517255343725</v>
      </c>
      <c r="N70">
        <f ca="1"/>
        <v>0.4909186719437012</v>
      </c>
      <c r="O70">
        <f ca="1"/>
        <v>0</v>
      </c>
      <c r="P70">
        <f ca="1"/>
        <v>8.9393161076042578</v>
      </c>
      <c r="Q70">
        <f ca="1"/>
        <v>7.5932414813626918</v>
      </c>
      <c r="R70">
        <f ca="1"/>
        <v>0.56327569931250077</v>
      </c>
      <c r="S70">
        <f ca="1"/>
        <v>1</v>
      </c>
      <c r="T70">
        <f ca="1"/>
        <v>1.4199999999999946</v>
      </c>
      <c r="U70">
        <f ca="1"/>
        <v>0</v>
      </c>
      <c r="V70">
        <f ca="1"/>
        <v>7.751493325613297E-2</v>
      </c>
      <c r="X70" s="2">
        <f t="shared" ca="1" si="1"/>
        <v>45450</v>
      </c>
      <c r="Y70">
        <f t="shared" ca="1" si="2"/>
        <v>0</v>
      </c>
      <c r="AA70" s="63">
        <f t="shared" ca="1" si="4"/>
        <v>57.150739983783183</v>
      </c>
      <c r="AB70" s="63">
        <f t="shared" ca="1" si="5"/>
        <v>57.150739983783183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45451</v>
      </c>
      <c r="K71">
        <f ca="1"/>
        <v>55.38222531136023</v>
      </c>
      <c r="L71">
        <f ca="1"/>
        <v>0.23671528224041616</v>
      </c>
      <c r="M71">
        <f ca="1"/>
        <v>0.22558513724961315</v>
      </c>
      <c r="N71">
        <f ca="1"/>
        <v>0.50888946595844153</v>
      </c>
      <c r="O71">
        <f ca="1"/>
        <v>0</v>
      </c>
      <c r="P71">
        <f ca="1"/>
        <v>9.1760313898446739</v>
      </c>
      <c r="Q71">
        <f ca="1"/>
        <v>7.7943123774742409</v>
      </c>
      <c r="R71">
        <f ca="1"/>
        <v>1.48485899640347</v>
      </c>
      <c r="S71">
        <f ca="1"/>
        <v>1</v>
      </c>
      <c r="T71">
        <f ca="1"/>
        <v>3.8100000000000023</v>
      </c>
      <c r="U71">
        <f ca="1"/>
        <v>0</v>
      </c>
      <c r="V71">
        <f ca="1"/>
        <v>8.0920662583854913E-2</v>
      </c>
      <c r="X71" s="2">
        <f t="shared" ref="X71:X134" ca="1" si="8">IFERROR(J71,$X$5)</f>
        <v>45451</v>
      </c>
      <c r="Y71">
        <f t="shared" ref="Y71:Y134" ca="1" si="9">IFERROR(O71,0)</f>
        <v>0</v>
      </c>
      <c r="AA71" s="63">
        <f t="shared" ca="1" si="4"/>
        <v>57.103799590004122</v>
      </c>
      <c r="AB71" s="63">
        <f t="shared" ca="1" si="5"/>
        <v>57.103799590004115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45452</v>
      </c>
      <c r="K72">
        <f ca="1"/>
        <v>53.644938743826351</v>
      </c>
      <c r="L72">
        <f ca="1"/>
        <v>0.2434821158667333</v>
      </c>
      <c r="M72">
        <f ca="1"/>
        <v>0.2198569770592016</v>
      </c>
      <c r="N72">
        <f ca="1"/>
        <v>0.50982193972610346</v>
      </c>
      <c r="O72">
        <f ca="1"/>
        <v>0</v>
      </c>
      <c r="P72">
        <f ca="1"/>
        <v>9.4195135057114072</v>
      </c>
      <c r="Q72">
        <f ca="1"/>
        <v>8.0011311631525484</v>
      </c>
      <c r="R72">
        <f ca="1"/>
        <v>2.2234833684524502</v>
      </c>
      <c r="S72">
        <f ca="1"/>
        <v>1</v>
      </c>
      <c r="T72">
        <f ca="1"/>
        <v>5.8900000000000077</v>
      </c>
      <c r="U72">
        <f ca="1"/>
        <v>0</v>
      </c>
      <c r="V72">
        <f ca="1"/>
        <v>8.4470927878004476E-2</v>
      </c>
      <c r="X72" s="2">
        <f t="shared" ca="1" si="8"/>
        <v>45452</v>
      </c>
      <c r="Y72">
        <f t="shared" ca="1" si="9"/>
        <v>0</v>
      </c>
      <c r="AA72" s="63">
        <f t="shared" ca="1" si="4"/>
        <v>56.111904228145534</v>
      </c>
      <c r="AB72" s="63">
        <f t="shared" ca="1" si="5"/>
        <v>56.111904228145534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45453</v>
      </c>
      <c r="K73">
        <f ca="1"/>
        <v>52.805073231161295</v>
      </c>
      <c r="L73">
        <f ca="1"/>
        <v>0.25188262336940248</v>
      </c>
      <c r="M73">
        <f ca="1"/>
        <v>0.2148244064313829</v>
      </c>
      <c r="N73">
        <f ca="1"/>
        <v>0.51262575076478334</v>
      </c>
      <c r="O73">
        <f ca="1"/>
        <v>0</v>
      </c>
      <c r="P73">
        <f ca="1"/>
        <v>9.6713961290808097</v>
      </c>
      <c r="Q73">
        <f ca="1"/>
        <v>8.2150855150493385</v>
      </c>
      <c r="R73">
        <f ca="1"/>
        <v>1.3154330464918176</v>
      </c>
      <c r="S73">
        <f ca="1"/>
        <v>1</v>
      </c>
      <c r="T73">
        <f ca="1"/>
        <v>3.5399999999999991</v>
      </c>
      <c r="U73">
        <f ca="1"/>
        <v>0</v>
      </c>
      <c r="V73">
        <f ca="1"/>
        <v>8.8192196076200921E-2</v>
      </c>
      <c r="X73" s="2">
        <f t="shared" ca="1" si="8"/>
        <v>45453</v>
      </c>
      <c r="Y73">
        <f t="shared" ca="1" si="9"/>
        <v>0</v>
      </c>
      <c r="AA73" s="63">
        <f t="shared" ref="AA73:AA136" ca="1" si="11">K72+M73+N73+O73</f>
        <v>54.372388901022518</v>
      </c>
      <c r="AB73" s="63">
        <f t="shared" ref="AB73:AB136" ca="1" si="12">K73+L73+R73</f>
        <v>54.372388901022518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45454</v>
      </c>
      <c r="K74">
        <f ca="1"/>
        <v>52.220356753866291</v>
      </c>
      <c r="L74">
        <f ca="1"/>
        <v>0.25176702132874063</v>
      </c>
      <c r="M74">
        <f ca="1"/>
        <v>0.2064409844907118</v>
      </c>
      <c r="N74">
        <f ca="1"/>
        <v>0.50424305970547356</v>
      </c>
      <c r="O74">
        <f ca="1"/>
        <v>0</v>
      </c>
      <c r="P74">
        <f ca="1"/>
        <v>9.9231631504095503</v>
      </c>
      <c r="Q74">
        <f ca="1"/>
        <v>8.4289416721625532</v>
      </c>
      <c r="R74">
        <f ca="1"/>
        <v>1.0436335001624524</v>
      </c>
      <c r="S74">
        <f ca="1"/>
        <v>1</v>
      </c>
      <c r="T74">
        <f ca="1"/>
        <v>2.8399999999999963</v>
      </c>
      <c r="U74">
        <f ca="1"/>
        <v>0</v>
      </c>
      <c r="V74">
        <f ca="1"/>
        <v>9.1959176651384048E-2</v>
      </c>
      <c r="X74" s="2">
        <f t="shared" ca="1" si="8"/>
        <v>45454</v>
      </c>
      <c r="Y74">
        <f t="shared" ca="1" si="9"/>
        <v>0</v>
      </c>
      <c r="AA74" s="63">
        <f t="shared" ca="1" si="11"/>
        <v>53.51575727535748</v>
      </c>
      <c r="AB74" s="63">
        <f t="shared" ca="1" si="12"/>
        <v>53.51575727535748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45455</v>
      </c>
      <c r="K75">
        <f ca="1"/>
        <v>51.885500068307884</v>
      </c>
      <c r="L75">
        <f ca="1"/>
        <v>0.25093159288848099</v>
      </c>
      <c r="M75">
        <f ca="1"/>
        <v>0.19829281440204483</v>
      </c>
      <c r="N75">
        <f ca="1"/>
        <v>0.49548808839632563</v>
      </c>
      <c r="O75">
        <f ca="1"/>
        <v>0</v>
      </c>
      <c r="P75">
        <f ca="1"/>
        <v>10.174094743298031</v>
      </c>
      <c r="Q75">
        <f ca="1"/>
        <v>8.6420881989404137</v>
      </c>
      <c r="R75">
        <f ca="1"/>
        <v>0.77770599546830455</v>
      </c>
      <c r="S75">
        <f ca="1"/>
        <v>1</v>
      </c>
      <c r="T75">
        <f ca="1"/>
        <v>2.1300000000000026</v>
      </c>
      <c r="U75">
        <f ca="1"/>
        <v>0</v>
      </c>
      <c r="V75">
        <f ca="1"/>
        <v>9.5758962047095095E-2</v>
      </c>
      <c r="X75" s="2">
        <f t="shared" ca="1" si="8"/>
        <v>45455</v>
      </c>
      <c r="Y75">
        <f t="shared" ca="1" si="9"/>
        <v>0</v>
      </c>
      <c r="AA75" s="63">
        <f t="shared" ca="1" si="11"/>
        <v>52.914137656664664</v>
      </c>
      <c r="AB75" s="63">
        <f t="shared" ca="1" si="12"/>
        <v>52.914137656664671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45456</v>
      </c>
      <c r="K76">
        <f ca="1"/>
        <v>51.594230973847161</v>
      </c>
      <c r="L76">
        <f ca="1"/>
        <v>0.23507198754108849</v>
      </c>
      <c r="M76">
        <f ca="1"/>
        <v>0.18562454576017373</v>
      </c>
      <c r="N76">
        <f ca="1"/>
        <v>0.46979655527058128</v>
      </c>
      <c r="O76">
        <f ca="1"/>
        <v>0</v>
      </c>
      <c r="P76">
        <f ca="1"/>
        <v>10.40916673083912</v>
      </c>
      <c r="Q76">
        <f ca="1"/>
        <v>8.8417632462726115</v>
      </c>
      <c r="R76">
        <f ca="1"/>
        <v>0.71161820795039599</v>
      </c>
      <c r="S76">
        <f ca="1"/>
        <v>1</v>
      </c>
      <c r="T76">
        <f ca="1"/>
        <v>1.9600000000000009</v>
      </c>
      <c r="U76">
        <f ca="1"/>
        <v>0</v>
      </c>
      <c r="V76">
        <f ca="1"/>
        <v>9.9357985999534076E-2</v>
      </c>
      <c r="X76" s="2">
        <f t="shared" ca="1" si="8"/>
        <v>45456</v>
      </c>
      <c r="Y76">
        <f t="shared" ca="1" si="9"/>
        <v>0</v>
      </c>
      <c r="AA76" s="63">
        <f t="shared" ca="1" si="11"/>
        <v>52.540921169338638</v>
      </c>
      <c r="AB76" s="63">
        <f t="shared" ca="1" si="12"/>
        <v>52.540921169338645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45457</v>
      </c>
      <c r="K77">
        <f ca="1"/>
        <v>50.207262657003582</v>
      </c>
      <c r="L77">
        <f ca="1"/>
        <v>0.24266851462249406</v>
      </c>
      <c r="M77">
        <f ca="1"/>
        <v>0.18158941381964766</v>
      </c>
      <c r="N77">
        <f ca="1"/>
        <v>0.47246055120326713</v>
      </c>
      <c r="O77">
        <f ca="1"/>
        <v>0</v>
      </c>
      <c r="P77">
        <f ca="1"/>
        <v>10.651835245461614</v>
      </c>
      <c r="Q77">
        <f ca="1"/>
        <v>9.0478909420909464</v>
      </c>
      <c r="R77">
        <f ca="1"/>
        <v>1.798349767244005</v>
      </c>
      <c r="S77">
        <f ca="1"/>
        <v>1</v>
      </c>
      <c r="T77">
        <f ca="1"/>
        <v>5.0899999999999963</v>
      </c>
      <c r="U77">
        <f ca="1"/>
        <v>0</v>
      </c>
      <c r="V77">
        <f ca="1"/>
        <v>0.10311167289569151</v>
      </c>
      <c r="X77" s="2">
        <f t="shared" ca="1" si="8"/>
        <v>45457</v>
      </c>
      <c r="Y77">
        <f t="shared" ca="1" si="9"/>
        <v>0</v>
      </c>
      <c r="AA77" s="63">
        <f t="shared" ca="1" si="11"/>
        <v>52.248280938870082</v>
      </c>
      <c r="AB77" s="63">
        <f t="shared" ca="1" si="12"/>
        <v>52.248280938870082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45458</v>
      </c>
      <c r="K78">
        <f ca="1"/>
        <v>49.591186976521172</v>
      </c>
      <c r="L78">
        <f ca="1"/>
        <v>0.22518487114262342</v>
      </c>
      <c r="M78">
        <f ca="1"/>
        <v>0.17011276839880551</v>
      </c>
      <c r="N78">
        <f ca="1"/>
        <v>0.4475342285135509</v>
      </c>
      <c r="O78">
        <f ca="1"/>
        <v>0</v>
      </c>
      <c r="P78">
        <f ca="1"/>
        <v>10.877020116604237</v>
      </c>
      <c r="Q78">
        <f ca="1"/>
        <v>9.2391676666136373</v>
      </c>
      <c r="R78">
        <f ca="1"/>
        <v>1.0085378062521402</v>
      </c>
      <c r="S78">
        <f ca="1"/>
        <v>1</v>
      </c>
      <c r="T78">
        <f ca="1"/>
        <v>2.8900000000000006</v>
      </c>
      <c r="U78">
        <f ca="1"/>
        <v>0</v>
      </c>
      <c r="V78">
        <f ca="1"/>
        <v>0.10662837073419798</v>
      </c>
      <c r="X78" s="2">
        <f t="shared" ca="1" si="8"/>
        <v>45458</v>
      </c>
      <c r="Y78">
        <f t="shared" ca="1" si="9"/>
        <v>0</v>
      </c>
      <c r="AA78" s="63">
        <f t="shared" ca="1" si="11"/>
        <v>50.824909653915945</v>
      </c>
      <c r="AB78" s="63">
        <f t="shared" ca="1" si="12"/>
        <v>50.824909653915938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45459</v>
      </c>
      <c r="K79">
        <f ca="1"/>
        <v>48.811331078179371</v>
      </c>
      <c r="L79">
        <f ca="1"/>
        <v>0.2326350096669394</v>
      </c>
      <c r="M79">
        <f ca="1"/>
        <v>0.16665102646058827</v>
      </c>
      <c r="N79">
        <f ca="1"/>
        <v>0.45054950514067449</v>
      </c>
      <c r="O79">
        <f ca="1"/>
        <v>0</v>
      </c>
      <c r="P79">
        <f ca="1"/>
        <v>11.109655126271177</v>
      </c>
      <c r="Q79">
        <f ca="1"/>
        <v>9.4367726941299583</v>
      </c>
      <c r="R79">
        <f ca="1"/>
        <v>1.1644214202761236</v>
      </c>
      <c r="S79">
        <f ca="1"/>
        <v>1</v>
      </c>
      <c r="T79">
        <f ca="1"/>
        <v>3.3900000000000006</v>
      </c>
      <c r="U79">
        <f ca="1"/>
        <v>0</v>
      </c>
      <c r="V79">
        <f ca="1"/>
        <v>0.11029384046451601</v>
      </c>
      <c r="X79" s="2">
        <f t="shared" ca="1" si="8"/>
        <v>45459</v>
      </c>
      <c r="Y79">
        <f t="shared" ca="1" si="9"/>
        <v>0</v>
      </c>
      <c r="AA79" s="63">
        <f t="shared" ca="1" si="11"/>
        <v>50.208387508122428</v>
      </c>
      <c r="AB79" s="63">
        <f t="shared" ca="1" si="12"/>
        <v>50.208387508122435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45460</v>
      </c>
      <c r="K80">
        <f ca="1"/>
        <v>47.971910078097345</v>
      </c>
      <c r="L80">
        <f ca="1"/>
        <v>0.25962194562135998</v>
      </c>
      <c r="M80">
        <f ca="1"/>
        <v>0.16844483239873043</v>
      </c>
      <c r="N80">
        <f ca="1"/>
        <v>0.47379610394487243</v>
      </c>
      <c r="O80">
        <f ca="1"/>
        <v>0</v>
      </c>
      <c r="P80">
        <f ca="1"/>
        <v>11.369277071892537</v>
      </c>
      <c r="Q80">
        <f ca="1"/>
        <v>9.6573009877079468</v>
      </c>
      <c r="R80">
        <f ca="1"/>
        <v>1.2220399908042716</v>
      </c>
      <c r="S80">
        <f ca="1"/>
        <v>1</v>
      </c>
      <c r="T80">
        <f ca="1"/>
        <v>3.6199999999999974</v>
      </c>
      <c r="U80">
        <f ca="1"/>
        <v>0</v>
      </c>
      <c r="V80">
        <f ca="1"/>
        <v>0.1144217369514853</v>
      </c>
      <c r="X80" s="2">
        <f t="shared" ca="1" si="8"/>
        <v>45460</v>
      </c>
      <c r="Y80">
        <f t="shared" ca="1" si="9"/>
        <v>0</v>
      </c>
      <c r="AA80" s="63">
        <f t="shared" ca="1" si="11"/>
        <v>49.453572014522969</v>
      </c>
      <c r="AB80" s="63">
        <f t="shared" ca="1" si="12"/>
        <v>49.453572014522976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45461</v>
      </c>
      <c r="K81">
        <f ca="1"/>
        <v>47.360137557192822</v>
      </c>
      <c r="L81">
        <f ca="1"/>
        <v>0.25044996653792495</v>
      </c>
      <c r="M81">
        <f ca="1"/>
        <v>0.16014413742782807</v>
      </c>
      <c r="N81">
        <f ca="1"/>
        <v>0.45836193188882407</v>
      </c>
      <c r="O81">
        <f ca="1"/>
        <v>0</v>
      </c>
      <c r="P81">
        <f ca="1"/>
        <v>11.619727038430462</v>
      </c>
      <c r="Q81">
        <f ca="1"/>
        <v>9.8700384110220138</v>
      </c>
      <c r="R81">
        <f ca="1"/>
        <v>0.97982862368325496</v>
      </c>
      <c r="S81">
        <f ca="1"/>
        <v>1</v>
      </c>
      <c r="T81">
        <f ca="1"/>
        <v>2.9399999999999977</v>
      </c>
      <c r="U81">
        <f ca="1"/>
        <v>0</v>
      </c>
      <c r="V81">
        <f ca="1"/>
        <v>0.11843926863522952</v>
      </c>
      <c r="X81" s="2">
        <f t="shared" ca="1" si="8"/>
        <v>45461</v>
      </c>
      <c r="Y81">
        <f t="shared" ca="1" si="9"/>
        <v>0</v>
      </c>
      <c r="AA81" s="63">
        <f t="shared" ca="1" si="11"/>
        <v>48.590416147413997</v>
      </c>
      <c r="AB81" s="63">
        <f t="shared" ca="1" si="12"/>
        <v>48.590416147413997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45462</v>
      </c>
      <c r="K82">
        <f ca="1"/>
        <v>46.214775690524476</v>
      </c>
      <c r="L82">
        <f ca="1"/>
        <v>0.26274037121767968</v>
      </c>
      <c r="M82">
        <f ca="1"/>
        <v>0.15774675426009921</v>
      </c>
      <c r="N82">
        <f ca="1"/>
        <v>0.46537760862087602</v>
      </c>
      <c r="O82">
        <f ca="1"/>
        <v>0</v>
      </c>
      <c r="P82">
        <f ca="1"/>
        <v>11.882467409648141</v>
      </c>
      <c r="Q82">
        <f ca="1"/>
        <v>10.093215560318885</v>
      </c>
      <c r="R82">
        <f ca="1"/>
        <v>1.5057458583316421</v>
      </c>
      <c r="S82">
        <f ca="1"/>
        <v>1</v>
      </c>
      <c r="T82">
        <f ca="1"/>
        <v>4.6299999999999955</v>
      </c>
      <c r="U82">
        <f ca="1"/>
        <v>0</v>
      </c>
      <c r="V82">
        <f ca="1"/>
        <v>0.12268951467067314</v>
      </c>
      <c r="X82" s="2">
        <f t="shared" ca="1" si="8"/>
        <v>45462</v>
      </c>
      <c r="Y82">
        <f t="shared" ca="1" si="9"/>
        <v>0</v>
      </c>
      <c r="AA82" s="63">
        <f t="shared" ca="1" si="11"/>
        <v>47.983261920073794</v>
      </c>
      <c r="AB82" s="63">
        <f t="shared" ca="1" si="12"/>
        <v>47.983261920073801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45463</v>
      </c>
      <c r="K83">
        <f ca="1"/>
        <v>46.27016238067737</v>
      </c>
      <c r="L83">
        <f ca="1"/>
        <v>0.27335112885067403</v>
      </c>
      <c r="M83">
        <f ca="1"/>
        <v>0.15479833266476817</v>
      </c>
      <c r="N83">
        <f ca="1"/>
        <v>0.47023989654691062</v>
      </c>
      <c r="O83">
        <f ca="1"/>
        <v>0</v>
      </c>
      <c r="P83">
        <f ca="1"/>
        <v>12.155818538498815</v>
      </c>
      <c r="Q83">
        <f ca="1"/>
        <v>10.325405708377374</v>
      </c>
      <c r="R83">
        <f ca="1"/>
        <v>0.29630041020811432</v>
      </c>
      <c r="S83">
        <f ca="1"/>
        <v>1</v>
      </c>
      <c r="T83">
        <f ca="1"/>
        <v>0.90999999999999659</v>
      </c>
      <c r="U83">
        <f ca="1"/>
        <v>0</v>
      </c>
      <c r="V83">
        <f ca="1"/>
        <v>0.12714801375432142</v>
      </c>
      <c r="X83" s="2">
        <f t="shared" ca="1" si="8"/>
        <v>45463</v>
      </c>
      <c r="Y83">
        <f t="shared" ca="1" si="9"/>
        <v>0</v>
      </c>
      <c r="AA83" s="63">
        <f t="shared" ca="1" si="11"/>
        <v>46.839813919736152</v>
      </c>
      <c r="AB83" s="63">
        <f t="shared" ca="1" si="12"/>
        <v>46.839813919736152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45464</v>
      </c>
      <c r="K84">
        <f ca="1"/>
        <v>46.322040708115267</v>
      </c>
      <c r="L84">
        <f ca="1"/>
        <v>0.26384222561599202</v>
      </c>
      <c r="M84">
        <f ca="1"/>
        <v>0.1472603936265422</v>
      </c>
      <c r="N84">
        <f ca="1"/>
        <v>0.45531368559019447</v>
      </c>
      <c r="O84">
        <f ca="1"/>
        <v>0</v>
      </c>
      <c r="P84">
        <f ca="1"/>
        <v>12.419660764114807</v>
      </c>
      <c r="Q84">
        <f ca="1"/>
        <v>10.549518795773198</v>
      </c>
      <c r="R84">
        <f ca="1"/>
        <v>0.28685352616284565</v>
      </c>
      <c r="S84">
        <f ca="1"/>
        <v>1</v>
      </c>
      <c r="T84">
        <f ca="1"/>
        <v>0.87999999999999545</v>
      </c>
      <c r="U84">
        <f ca="1"/>
        <v>0</v>
      </c>
      <c r="V84">
        <f ca="1"/>
        <v>0.13148484787895393</v>
      </c>
      <c r="X84" s="2">
        <f t="shared" ca="1" si="8"/>
        <v>45464</v>
      </c>
      <c r="Y84">
        <f t="shared" ca="1" si="9"/>
        <v>0</v>
      </c>
      <c r="AA84" s="63">
        <f t="shared" ca="1" si="11"/>
        <v>46.872736459894107</v>
      </c>
      <c r="AB84" s="63">
        <f t="shared" ca="1" si="12"/>
        <v>46.872736459894099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45465</v>
      </c>
      <c r="K85">
        <f ca="1"/>
        <v>45.466068346786436</v>
      </c>
      <c r="L85">
        <f ca="1"/>
        <v>0.25721074221566198</v>
      </c>
      <c r="M85">
        <f ca="1"/>
        <v>0.14093621877877283</v>
      </c>
      <c r="N85">
        <f ca="1"/>
        <v>0.44410386758179171</v>
      </c>
      <c r="O85">
        <f ca="1"/>
        <v>0</v>
      </c>
      <c r="P85">
        <f ca="1"/>
        <v>12.676871506330469</v>
      </c>
      <c r="Q85">
        <f ca="1"/>
        <v>10.767998962906191</v>
      </c>
      <c r="R85">
        <f ca="1"/>
        <v>1.1838017054737366</v>
      </c>
      <c r="S85">
        <f ca="1"/>
        <v>1</v>
      </c>
      <c r="T85">
        <f ca="1"/>
        <v>3.7000000000000028</v>
      </c>
      <c r="U85">
        <f ca="1"/>
        <v>0</v>
      </c>
      <c r="V85">
        <f ca="1"/>
        <v>0.13574246420159888</v>
      </c>
      <c r="X85" s="2">
        <f t="shared" ca="1" si="8"/>
        <v>45465</v>
      </c>
      <c r="Y85">
        <f t="shared" ca="1" si="9"/>
        <v>0</v>
      </c>
      <c r="AA85" s="63">
        <f t="shared" ca="1" si="11"/>
        <v>46.907080794475839</v>
      </c>
      <c r="AB85" s="63">
        <f t="shared" ca="1" si="12"/>
        <v>46.907080794475831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45466</v>
      </c>
      <c r="K86">
        <f ca="1"/>
        <v>44.145517752859483</v>
      </c>
      <c r="L86">
        <f ca="1"/>
        <v>0.26752272805553901</v>
      </c>
      <c r="M86">
        <f ca="1"/>
        <v>0.13839844942289403</v>
      </c>
      <c r="N86">
        <f ca="1"/>
        <v>0.44882492210082653</v>
      </c>
      <c r="O86">
        <f ca="1"/>
        <v>0</v>
      </c>
      <c r="P86">
        <f ca="1"/>
        <v>12.944394234386008</v>
      </c>
      <c r="Q86">
        <f ca="1"/>
        <v>10.99523834581051</v>
      </c>
      <c r="R86">
        <f ca="1"/>
        <v>1.640251237395135</v>
      </c>
      <c r="S86">
        <f ca="1"/>
        <v>1</v>
      </c>
      <c r="T86">
        <f ca="1"/>
        <v>5.2800000000000011</v>
      </c>
      <c r="U86">
        <f ca="1"/>
        <v>0</v>
      </c>
      <c r="V86">
        <f ca="1"/>
        <v>0.14020010751330264</v>
      </c>
      <c r="X86" s="2">
        <f t="shared" ca="1" si="8"/>
        <v>45466</v>
      </c>
      <c r="Y86">
        <f t="shared" ca="1" si="9"/>
        <v>0</v>
      </c>
      <c r="AA86" s="63">
        <f t="shared" ca="1" si="11"/>
        <v>46.053291718310156</v>
      </c>
      <c r="AB86" s="63">
        <f t="shared" ca="1" si="12"/>
        <v>46.053291718310156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45467</v>
      </c>
      <c r="K87">
        <f ca="1"/>
        <v>42.248036699785246</v>
      </c>
      <c r="L87">
        <f ca="1"/>
        <v>0.28114874678986013</v>
      </c>
      <c r="M87">
        <f ca="1"/>
        <v>0.1364308131473102</v>
      </c>
      <c r="N87">
        <f ca="1"/>
        <v>0.45618330312709132</v>
      </c>
      <c r="O87">
        <f ca="1"/>
        <v>0</v>
      </c>
      <c r="P87">
        <f ca="1"/>
        <v>13.225542981175868</v>
      </c>
      <c r="Q87">
        <f ca="1"/>
        <v>11.234051953122361</v>
      </c>
      <c r="R87">
        <f ca="1"/>
        <v>2.208946422558772</v>
      </c>
      <c r="S87">
        <f ca="1"/>
        <v>1</v>
      </c>
      <c r="T87">
        <f ca="1"/>
        <v>7.43</v>
      </c>
      <c r="U87">
        <f ca="1"/>
        <v>0</v>
      </c>
      <c r="V87">
        <f ca="1"/>
        <v>0.14491497063822259</v>
      </c>
      <c r="X87" s="2">
        <f t="shared" ca="1" si="8"/>
        <v>45467</v>
      </c>
      <c r="Y87">
        <f t="shared" ca="1" si="9"/>
        <v>0</v>
      </c>
      <c r="AA87" s="63">
        <f t="shared" ca="1" si="11"/>
        <v>44.738131869133881</v>
      </c>
      <c r="AB87" s="63">
        <f t="shared" ca="1" si="12"/>
        <v>44.738131869133881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45468</v>
      </c>
      <c r="K88">
        <f ca="1"/>
        <v>41.825150850983448</v>
      </c>
      <c r="L88">
        <f ca="1"/>
        <v>0.2686769620938847</v>
      </c>
      <c r="M88">
        <f ca="1"/>
        <v>0.12956628125351344</v>
      </c>
      <c r="N88">
        <f ca="1"/>
        <v>0.44026466565893696</v>
      </c>
      <c r="O88">
        <f ca="1"/>
        <v>0</v>
      </c>
      <c r="P88">
        <f ca="1"/>
        <v>13.494219943269753</v>
      </c>
      <c r="Q88">
        <f ca="1"/>
        <v>11.462271766483962</v>
      </c>
      <c r="R88">
        <f ca="1"/>
        <v>0.72403983362035618</v>
      </c>
      <c r="S88">
        <f ca="1"/>
        <v>1</v>
      </c>
      <c r="T88">
        <f ca="1"/>
        <v>2.4599999999999937</v>
      </c>
      <c r="U88">
        <f ca="1"/>
        <v>0</v>
      </c>
      <c r="V88">
        <f ca="1"/>
        <v>0.14944761464742648</v>
      </c>
      <c r="X88" s="2">
        <f t="shared" ca="1" si="8"/>
        <v>45468</v>
      </c>
      <c r="Y88">
        <f t="shared" ca="1" si="9"/>
        <v>0</v>
      </c>
      <c r="AA88" s="63">
        <f t="shared" ca="1" si="11"/>
        <v>42.8178676466977</v>
      </c>
      <c r="AB88" s="63">
        <f t="shared" ca="1" si="12"/>
        <v>42.817867646697692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45469</v>
      </c>
      <c r="K89">
        <f ca="1"/>
        <v>41.724470127062411</v>
      </c>
      <c r="L89">
        <f ca="1"/>
        <v>0.27891297508976542</v>
      </c>
      <c r="M89">
        <f ca="1"/>
        <v>0.12714680166399361</v>
      </c>
      <c r="N89">
        <f ca="1"/>
        <v>0.44453174929548334</v>
      </c>
      <c r="O89">
        <f ca="1"/>
        <v>0</v>
      </c>
      <c r="P89">
        <f ca="1"/>
        <v>13.773132918359519</v>
      </c>
      <c r="Q89">
        <f ca="1"/>
        <v>11.699186262699206</v>
      </c>
      <c r="R89">
        <f ca="1"/>
        <v>0.39344629979074297</v>
      </c>
      <c r="S89">
        <f ca="1"/>
        <v>1</v>
      </c>
      <c r="T89">
        <f ca="1"/>
        <v>1.3399999999999963</v>
      </c>
      <c r="U89">
        <f ca="1"/>
        <v>0</v>
      </c>
      <c r="V89">
        <f ca="1"/>
        <v>0.15417876856878157</v>
      </c>
      <c r="X89" s="2">
        <f t="shared" ca="1" si="8"/>
        <v>45469</v>
      </c>
      <c r="Y89">
        <f t="shared" ca="1" si="9"/>
        <v>0</v>
      </c>
      <c r="AA89" s="63">
        <f t="shared" ca="1" si="11"/>
        <v>42.396829401942931</v>
      </c>
      <c r="AB89" s="63">
        <f t="shared" ca="1" si="12"/>
        <v>42.396829401942924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45470</v>
      </c>
      <c r="K90">
        <f ca="1"/>
        <v>40.76079766145196</v>
      </c>
      <c r="L90">
        <f ca="1"/>
        <v>0.2782342759204397</v>
      </c>
      <c r="M90">
        <f ca="1"/>
        <v>0.1228807404167398</v>
      </c>
      <c r="N90">
        <f ca="1"/>
        <v>0.43941437608547029</v>
      </c>
      <c r="O90">
        <f ca="1"/>
        <v>0</v>
      </c>
      <c r="P90">
        <f ca="1"/>
        <v>14.051367194279958</v>
      </c>
      <c r="Q90">
        <f ca="1"/>
        <v>11.93552425768954</v>
      </c>
      <c r="R90">
        <f ca="1"/>
        <v>1.2477333061922222</v>
      </c>
      <c r="S90">
        <f ca="1"/>
        <v>1</v>
      </c>
      <c r="T90">
        <f ca="1"/>
        <v>4.3499999999999943</v>
      </c>
      <c r="U90">
        <f ca="1"/>
        <v>0</v>
      </c>
      <c r="V90">
        <f ca="1"/>
        <v>0.15892262082518185</v>
      </c>
      <c r="X90" s="2">
        <f t="shared" ca="1" si="8"/>
        <v>45470</v>
      </c>
      <c r="Y90">
        <f t="shared" ca="1" si="9"/>
        <v>0</v>
      </c>
      <c r="AA90" s="63">
        <f t="shared" ca="1" si="11"/>
        <v>42.286765243564624</v>
      </c>
      <c r="AB90" s="63">
        <f t="shared" ca="1" si="12"/>
        <v>42.286765243564624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45471</v>
      </c>
      <c r="K91">
        <f ca="1"/>
        <v>39.920969437305303</v>
      </c>
      <c r="L91">
        <f ca="1"/>
        <v>0.28881063541540897</v>
      </c>
      <c r="M91">
        <f ca="1"/>
        <v>0.12057976627311362</v>
      </c>
      <c r="N91">
        <f ca="1"/>
        <v>0.44367624672005479</v>
      </c>
      <c r="O91">
        <f ca="1"/>
        <v>0</v>
      </c>
      <c r="P91">
        <f ca="1"/>
        <v>14.340177829695367</v>
      </c>
      <c r="Q91">
        <f ca="1"/>
        <v>12.180846032945874</v>
      </c>
      <c r="R91">
        <f ca="1"/>
        <v>1.1152736017244214</v>
      </c>
      <c r="S91">
        <f ca="1"/>
        <v>1</v>
      </c>
      <c r="T91">
        <f ca="1"/>
        <v>3.9699999999999989</v>
      </c>
      <c r="U91">
        <f ca="1"/>
        <v>0</v>
      </c>
      <c r="V91">
        <f ca="1"/>
        <v>0.16387025421830079</v>
      </c>
      <c r="X91" s="2">
        <f t="shared" ca="1" si="8"/>
        <v>45471</v>
      </c>
      <c r="Y91">
        <f t="shared" ca="1" si="9"/>
        <v>0</v>
      </c>
      <c r="AA91" s="63">
        <f t="shared" ca="1" si="11"/>
        <v>41.325053674445122</v>
      </c>
      <c r="AB91" s="63">
        <f t="shared" ca="1" si="12"/>
        <v>41.32505367444513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45472</v>
      </c>
      <c r="K92">
        <f ca="1"/>
        <v>38.51779322826939</v>
      </c>
      <c r="L92">
        <f ca="1"/>
        <v>0.2992503674412692</v>
      </c>
      <c r="M92">
        <f ca="1"/>
        <v>0.1182149370905563</v>
      </c>
      <c r="N92">
        <f ca="1"/>
        <v>0.4475342285135509</v>
      </c>
      <c r="O92">
        <f ca="1"/>
        <v>0</v>
      </c>
      <c r="P92">
        <f ca="1"/>
        <v>14.639428197136636</v>
      </c>
      <c r="Q92">
        <f ca="1"/>
        <v>12.435035534247337</v>
      </c>
      <c r="R92">
        <f ca="1"/>
        <v>1.6696750071987578</v>
      </c>
      <c r="S92">
        <f ca="1"/>
        <v>1</v>
      </c>
      <c r="T92">
        <f ca="1"/>
        <v>6.1599999999999966</v>
      </c>
      <c r="U92">
        <f ca="1"/>
        <v>0</v>
      </c>
      <c r="V92">
        <f ca="1"/>
        <v>0.16901965132386748</v>
      </c>
      <c r="X92" s="2">
        <f t="shared" ca="1" si="8"/>
        <v>45472</v>
      </c>
      <c r="Y92">
        <f t="shared" ca="1" si="9"/>
        <v>0</v>
      </c>
      <c r="AA92" s="63">
        <f t="shared" ca="1" si="11"/>
        <v>40.486718602909413</v>
      </c>
      <c r="AB92" s="63">
        <f t="shared" ca="1" si="12"/>
        <v>40.486718602909413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45473</v>
      </c>
      <c r="K93">
        <f ca="1"/>
        <v>38.215993046544099</v>
      </c>
      <c r="L93">
        <f ca="1"/>
        <v>0.27199420668990726</v>
      </c>
      <c r="M93">
        <f ca="1"/>
        <v>0.11045380262729054</v>
      </c>
      <c r="N93">
        <f ca="1"/>
        <v>0.42179840155150827</v>
      </c>
      <c r="O93">
        <f ca="1"/>
        <v>0</v>
      </c>
      <c r="P93">
        <f ca="1"/>
        <v>14.911422403826544</v>
      </c>
      <c r="Q93">
        <f ca="1"/>
        <v>12.666073084331426</v>
      </c>
      <c r="R93">
        <f ca="1"/>
        <v>0.56205817921417356</v>
      </c>
      <c r="S93">
        <f ca="1"/>
        <v>1</v>
      </c>
      <c r="T93">
        <f ca="1"/>
        <v>2.0900000000000034</v>
      </c>
      <c r="U93">
        <f ca="1"/>
        <v>0</v>
      </c>
      <c r="V93">
        <f ca="1"/>
        <v>0.17371831234579307</v>
      </c>
      <c r="X93" s="2">
        <f t="shared" ca="1" si="8"/>
        <v>45473</v>
      </c>
      <c r="Y93">
        <f t="shared" ca="1" si="9"/>
        <v>0</v>
      </c>
      <c r="AA93" s="63">
        <f t="shared" ca="1" si="11"/>
        <v>39.050045432448186</v>
      </c>
      <c r="AB93" s="63">
        <f t="shared" ca="1" si="12"/>
        <v>39.050045432448186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45474</v>
      </c>
      <c r="K94">
        <f ca="1"/>
        <v>61.221708469677175</v>
      </c>
      <c r="L94">
        <f ca="1"/>
        <v>0.25026550465083908</v>
      </c>
      <c r="M94">
        <f ca="1"/>
        <v>0.10423224965714439</v>
      </c>
      <c r="N94">
        <f ca="1"/>
        <v>0.40222433209507502</v>
      </c>
      <c r="O94">
        <f ca="1"/>
        <v>24</v>
      </c>
      <c r="P94">
        <f ca="1"/>
        <v>15.161687908477383</v>
      </c>
      <c r="Q94">
        <f ca="1"/>
        <v>12.878653821872684</v>
      </c>
      <c r="R94">
        <f ca="1"/>
        <v>1.2504756539683051</v>
      </c>
      <c r="S94">
        <f ca="1"/>
        <v>1</v>
      </c>
      <c r="T94">
        <f ca="1"/>
        <v>2.9400000000000048</v>
      </c>
      <c r="U94">
        <f ca="1"/>
        <v>0</v>
      </c>
      <c r="V94">
        <f ca="1"/>
        <v>0.17805545077762031</v>
      </c>
      <c r="X94" s="2">
        <f t="shared" ca="1" si="8"/>
        <v>45474</v>
      </c>
      <c r="Y94">
        <f t="shared" ca="1" si="9"/>
        <v>24</v>
      </c>
      <c r="AA94" s="63">
        <f t="shared" ca="1" si="11"/>
        <v>62.722449628296317</v>
      </c>
      <c r="AB94" s="63">
        <f t="shared" ca="1" si="12"/>
        <v>62.722449628296317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45475</v>
      </c>
      <c r="K95">
        <f ca="1"/>
        <v>60.61715082817669</v>
      </c>
      <c r="L95">
        <f ca="1"/>
        <v>0.26153180805835596</v>
      </c>
      <c r="M95">
        <f ca="1"/>
        <v>0.1026373612530378</v>
      </c>
      <c r="N95">
        <f ca="1"/>
        <v>0.40746707621991463</v>
      </c>
      <c r="O95">
        <f ca="1"/>
        <v>0</v>
      </c>
      <c r="P95">
        <f ca="1"/>
        <v>15.423219716535739</v>
      </c>
      <c r="Q95">
        <f ca="1"/>
        <v>13.100804392424182</v>
      </c>
      <c r="R95">
        <f ca="1"/>
        <v>0.85313027091507931</v>
      </c>
      <c r="S95">
        <f ca="1"/>
        <v>1</v>
      </c>
      <c r="T95">
        <f ca="1"/>
        <v>2</v>
      </c>
      <c r="U95">
        <f ca="1"/>
        <v>0</v>
      </c>
      <c r="V95">
        <f ca="1"/>
        <v>0.18260053697251247</v>
      </c>
      <c r="X95" s="2">
        <f t="shared" ca="1" si="8"/>
        <v>45475</v>
      </c>
      <c r="Y95">
        <f t="shared" ca="1" si="9"/>
        <v>0</v>
      </c>
      <c r="AA95" s="63">
        <f t="shared" ca="1" si="11"/>
        <v>61.731812907150129</v>
      </c>
      <c r="AB95" s="63">
        <f t="shared" ca="1" si="12"/>
        <v>61.731812907150129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45476</v>
      </c>
      <c r="K96">
        <f ca="1"/>
        <v>59.200765921837224</v>
      </c>
      <c r="L96">
        <f ca="1"/>
        <v>0.29318466814407707</v>
      </c>
      <c r="M96">
        <f ca="1"/>
        <v>0.10349168845136347</v>
      </c>
      <c r="N96">
        <f ca="1"/>
        <v>0.42720206353257301</v>
      </c>
      <c r="O96">
        <f ca="1"/>
        <v>0</v>
      </c>
      <c r="P96">
        <f ca="1"/>
        <v>15.716404384679816</v>
      </c>
      <c r="Q96">
        <f ca="1"/>
        <v>13.349841562276293</v>
      </c>
      <c r="R96">
        <f ca="1"/>
        <v>1.6538939901793259</v>
      </c>
      <c r="S96">
        <f ca="1"/>
        <v>1</v>
      </c>
      <c r="T96">
        <f ca="1"/>
        <v>3.9699999999999989</v>
      </c>
      <c r="U96">
        <f ca="1"/>
        <v>0</v>
      </c>
      <c r="V96">
        <f ca="1"/>
        <v>0.1877093487412588</v>
      </c>
      <c r="X96" s="2">
        <f t="shared" ca="1" si="8"/>
        <v>45476</v>
      </c>
      <c r="Y96">
        <f t="shared" ca="1" si="9"/>
        <v>0</v>
      </c>
      <c r="AA96" s="63">
        <f t="shared" ca="1" si="11"/>
        <v>61.14784458016063</v>
      </c>
      <c r="AB96" s="63">
        <f t="shared" ca="1" si="12"/>
        <v>61.14784458016063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45477</v>
      </c>
      <c r="K97">
        <f ca="1"/>
        <v>58.797117422832507</v>
      </c>
      <c r="L97">
        <f ca="1"/>
        <v>0.32753647260626195</v>
      </c>
      <c r="M97">
        <f ca="1"/>
        <v>0.10440493325725697</v>
      </c>
      <c r="N97">
        <f ca="1"/>
        <v>0.4483944296670348</v>
      </c>
      <c r="O97">
        <f ca="1"/>
        <v>0</v>
      </c>
      <c r="P97">
        <f ca="1"/>
        <v>16.043940857286078</v>
      </c>
      <c r="Q97">
        <f ca="1"/>
        <v>13.628057871053814</v>
      </c>
      <c r="R97">
        <f ca="1"/>
        <v>0.62891138932274304</v>
      </c>
      <c r="S97">
        <f ca="1"/>
        <v>1</v>
      </c>
      <c r="T97">
        <f ca="1"/>
        <v>1.5200000000000031</v>
      </c>
      <c r="U97">
        <f ca="1"/>
        <v>0</v>
      </c>
      <c r="V97">
        <f ca="1"/>
        <v>0.19343140344549814</v>
      </c>
      <c r="X97" s="2">
        <f t="shared" ca="1" si="8"/>
        <v>45477</v>
      </c>
      <c r="Y97">
        <f t="shared" ca="1" si="9"/>
        <v>0</v>
      </c>
      <c r="AA97" s="63">
        <f t="shared" ca="1" si="11"/>
        <v>59.753565284761514</v>
      </c>
      <c r="AB97" s="63">
        <f t="shared" ca="1" si="12"/>
        <v>59.753565284761514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45478</v>
      </c>
      <c r="K98">
        <f ca="1"/>
        <v>57.741883020327748</v>
      </c>
      <c r="L98">
        <f ca="1"/>
        <v>0.33100468863443666</v>
      </c>
      <c r="M98">
        <f ca="1"/>
        <v>0.10134283888652362</v>
      </c>
      <c r="N98">
        <f ca="1"/>
        <v>0.44624588547237465</v>
      </c>
      <c r="O98">
        <f ca="1"/>
        <v>0</v>
      </c>
      <c r="P98">
        <f ca="1"/>
        <v>16.374945545920514</v>
      </c>
      <c r="Q98">
        <f ca="1"/>
        <v>13.90922015483596</v>
      </c>
      <c r="R98">
        <f ca="1"/>
        <v>1.2718184382292173</v>
      </c>
      <c r="S98">
        <f ca="1"/>
        <v>1</v>
      </c>
      <c r="T98">
        <f ca="1"/>
        <v>3.1299999999999955</v>
      </c>
      <c r="U98">
        <f ca="1"/>
        <v>0</v>
      </c>
      <c r="V98">
        <f ca="1"/>
        <v>0.1992270628834463</v>
      </c>
      <c r="X98" s="2">
        <f t="shared" ca="1" si="8"/>
        <v>45478</v>
      </c>
      <c r="Y98">
        <f t="shared" ca="1" si="9"/>
        <v>0</v>
      </c>
      <c r="AA98" s="63">
        <f t="shared" ca="1" si="11"/>
        <v>59.344706147191403</v>
      </c>
      <c r="AB98" s="63">
        <f t="shared" ca="1" si="12"/>
        <v>59.344706147191403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45479</v>
      </c>
      <c r="K99">
        <f ca="1"/>
        <v>57.360735550009295</v>
      </c>
      <c r="L99">
        <f ca="1"/>
        <v>0.33380522989197914</v>
      </c>
      <c r="M99">
        <f ca="1"/>
        <v>9.830995883764615E-2</v>
      </c>
      <c r="N99">
        <f ca="1"/>
        <v>0.44367624672005479</v>
      </c>
      <c r="O99">
        <f ca="1"/>
        <v>0</v>
      </c>
      <c r="P99">
        <f ca="1"/>
        <v>16.708750775812494</v>
      </c>
      <c r="Q99">
        <f ca="1"/>
        <v>14.192761276751929</v>
      </c>
      <c r="R99">
        <f ca="1"/>
        <v>0.58932844598417278</v>
      </c>
      <c r="S99">
        <f ca="1"/>
        <v>1</v>
      </c>
      <c r="T99">
        <f ca="1"/>
        <v>1.460000000000008</v>
      </c>
      <c r="U99">
        <f ca="1"/>
        <v>0</v>
      </c>
      <c r="V99">
        <f ca="1"/>
        <v>0.2050822284088325</v>
      </c>
      <c r="X99" s="2">
        <f t="shared" ca="1" si="8"/>
        <v>45479</v>
      </c>
      <c r="Y99">
        <f t="shared" ca="1" si="9"/>
        <v>0</v>
      </c>
      <c r="AA99" s="63">
        <f t="shared" ca="1" si="11"/>
        <v>58.283869225885446</v>
      </c>
      <c r="AB99" s="63">
        <f t="shared" ca="1" si="12"/>
        <v>58.283869225885446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45480</v>
      </c>
      <c r="K100">
        <f ca="1"/>
        <v>56.588188283033759</v>
      </c>
      <c r="L100">
        <f ca="1"/>
        <v>0.32171656557376238</v>
      </c>
      <c r="M100">
        <f ca="1"/>
        <v>9.3822866142104999E-2</v>
      </c>
      <c r="N100">
        <f ca="1"/>
        <v>0.43096871563213413</v>
      </c>
      <c r="O100">
        <f ca="1"/>
        <v>0</v>
      </c>
      <c r="P100">
        <f ca="1"/>
        <v>17.030467341386256</v>
      </c>
      <c r="Q100">
        <f ca="1"/>
        <v>14.466034035154351</v>
      </c>
      <c r="R100">
        <f ca="1"/>
        <v>0.97562228317600619</v>
      </c>
      <c r="S100">
        <f ca="1"/>
        <v>1</v>
      </c>
      <c r="T100">
        <f ca="1"/>
        <v>2.4499999999999957</v>
      </c>
      <c r="U100">
        <f ca="1"/>
        <v>0</v>
      </c>
      <c r="V100">
        <f ca="1"/>
        <v>0.21073275556477916</v>
      </c>
      <c r="X100" s="2">
        <f t="shared" ca="1" si="8"/>
        <v>45480</v>
      </c>
      <c r="Y100">
        <f t="shared" ca="1" si="9"/>
        <v>0</v>
      </c>
      <c r="AA100" s="63">
        <f t="shared" ca="1" si="11"/>
        <v>57.885527131783533</v>
      </c>
      <c r="AB100" s="63">
        <f t="shared" ca="1" si="12"/>
        <v>57.885527131783533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45481</v>
      </c>
      <c r="K101">
        <f ca="1"/>
        <v>55.549577256448011</v>
      </c>
      <c r="L101">
        <f ca="1"/>
        <v>0.33694381192984224</v>
      </c>
      <c r="M101">
        <f ca="1"/>
        <v>9.2388539309304463E-2</v>
      </c>
      <c r="N101">
        <f ca="1"/>
        <v>0.43729320855271786</v>
      </c>
      <c r="O101">
        <f ca="1"/>
        <v>0</v>
      </c>
      <c r="P101">
        <f ca="1"/>
        <v>17.367411153316098</v>
      </c>
      <c r="Q101">
        <f ca="1"/>
        <v>14.752241134090896</v>
      </c>
      <c r="R101">
        <f ca="1"/>
        <v>1.2313489625179304</v>
      </c>
      <c r="S101">
        <f ca="1"/>
        <v>1</v>
      </c>
      <c r="T101">
        <f ca="1"/>
        <v>3.1499999999999986</v>
      </c>
      <c r="U101">
        <f ca="1"/>
        <v>0</v>
      </c>
      <c r="V101">
        <f ca="1"/>
        <v>0.21665591213579199</v>
      </c>
      <c r="X101" s="2">
        <f t="shared" ca="1" si="8"/>
        <v>45481</v>
      </c>
      <c r="Y101">
        <f t="shared" ca="1" si="9"/>
        <v>0</v>
      </c>
      <c r="AA101" s="63">
        <f t="shared" ca="1" si="11"/>
        <v>57.11787003089578</v>
      </c>
      <c r="AB101" s="63">
        <f t="shared" ca="1" si="12"/>
        <v>57.11787003089578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45482</v>
      </c>
      <c r="K102">
        <f ca="1"/>
        <v>55.412833888820707</v>
      </c>
      <c r="L102">
        <f ca="1"/>
        <v>0.30170537080984161</v>
      </c>
      <c r="M102">
        <f ca="1"/>
        <v>8.6104759281980137E-2</v>
      </c>
      <c r="N102">
        <f ca="1"/>
        <v>0.4103080836429458</v>
      </c>
      <c r="O102">
        <f ca="1"/>
        <v>0</v>
      </c>
      <c r="P102">
        <f ca="1"/>
        <v>17.66911652412594</v>
      </c>
      <c r="Q102">
        <f ca="1"/>
        <v>15.008515966439024</v>
      </c>
      <c r="R102">
        <f ca="1"/>
        <v>0.33145083974239103</v>
      </c>
      <c r="S102">
        <f ca="1"/>
        <v>1</v>
      </c>
      <c r="T102">
        <f ca="1"/>
        <v>0.85000000000000142</v>
      </c>
      <c r="U102">
        <f ca="1"/>
        <v>0</v>
      </c>
      <c r="V102">
        <f ca="1"/>
        <v>0.22196198726051627</v>
      </c>
      <c r="X102" s="2">
        <f t="shared" ca="1" si="8"/>
        <v>45482</v>
      </c>
      <c r="Y102">
        <f t="shared" ca="1" si="9"/>
        <v>0</v>
      </c>
      <c r="AA102" s="63">
        <f t="shared" ca="1" si="11"/>
        <v>56.045990099372936</v>
      </c>
      <c r="AB102" s="63">
        <f t="shared" ca="1" si="12"/>
        <v>56.045990099372936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45483</v>
      </c>
      <c r="K103">
        <f ca="1"/>
        <v>54.566703889132569</v>
      </c>
      <c r="L103">
        <f ca="1"/>
        <v>0.28330271685683073</v>
      </c>
      <c r="M103">
        <f ca="1"/>
        <v>8.194874400209784E-2</v>
      </c>
      <c r="N103">
        <f ca="1"/>
        <v>0.39583122622268302</v>
      </c>
      <c r="O103">
        <f ca="1"/>
        <v>0</v>
      </c>
      <c r="P103">
        <f ca="1"/>
        <v>17.952419240982771</v>
      </c>
      <c r="Q103">
        <f ca="1"/>
        <v>15.249159200834789</v>
      </c>
      <c r="R103">
        <f ca="1"/>
        <v>1.0406072530560879</v>
      </c>
      <c r="S103">
        <f ca="1"/>
        <v>1</v>
      </c>
      <c r="T103">
        <f ca="1"/>
        <v>2.7100000000000009</v>
      </c>
      <c r="U103">
        <f ca="1"/>
        <v>0</v>
      </c>
      <c r="V103">
        <f ca="1"/>
        <v>0.22694476320199111</v>
      </c>
      <c r="X103" s="2">
        <f t="shared" ca="1" si="8"/>
        <v>45483</v>
      </c>
      <c r="Y103">
        <f t="shared" ca="1" si="9"/>
        <v>0</v>
      </c>
      <c r="AA103" s="63">
        <f t="shared" ca="1" si="11"/>
        <v>55.890613859045487</v>
      </c>
      <c r="AB103" s="63">
        <f t="shared" ca="1" si="12"/>
        <v>55.890613859045487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45484</v>
      </c>
      <c r="K104">
        <f ca="1"/>
        <v>52.602199545533999</v>
      </c>
      <c r="L104">
        <f ca="1"/>
        <v>0.30661428516600253</v>
      </c>
      <c r="M104">
        <f ca="1"/>
        <v>8.1591898650430039E-2</v>
      </c>
      <c r="N104">
        <f ca="1"/>
        <v>0.40746707621991463</v>
      </c>
      <c r="O104">
        <f ca="1"/>
        <v>0</v>
      </c>
      <c r="P104">
        <f ca="1"/>
        <v>18.259033526148773</v>
      </c>
      <c r="Q104">
        <f ca="1"/>
        <v>15.509603767385059</v>
      </c>
      <c r="R104">
        <f ca="1"/>
        <v>2.1469490333029078</v>
      </c>
      <c r="S104">
        <f ca="1"/>
        <v>1</v>
      </c>
      <c r="T104">
        <f ca="1"/>
        <v>5.8000000000000043</v>
      </c>
      <c r="U104">
        <f ca="1"/>
        <v>0</v>
      </c>
      <c r="V104">
        <f ca="1"/>
        <v>0.23233619113935719</v>
      </c>
      <c r="X104" s="2">
        <f t="shared" ca="1" si="8"/>
        <v>45484</v>
      </c>
      <c r="Y104">
        <f t="shared" ca="1" si="9"/>
        <v>0</v>
      </c>
      <c r="AA104" s="63">
        <f t="shared" ca="1" si="11"/>
        <v>55.055762864002915</v>
      </c>
      <c r="AB104" s="63">
        <f t="shared" ca="1" si="12"/>
        <v>55.055762864002908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45485</v>
      </c>
      <c r="K105">
        <f ca="1"/>
        <v>52.324827796633507</v>
      </c>
      <c r="L105">
        <f ca="1"/>
        <v>0.32353795068987523</v>
      </c>
      <c r="M105">
        <f ca="1"/>
        <v>8.0586523674440969E-2</v>
      </c>
      <c r="N105">
        <f ca="1"/>
        <v>0.4147980145319658</v>
      </c>
      <c r="O105">
        <f ca="1"/>
        <v>0</v>
      </c>
      <c r="P105">
        <f ca="1"/>
        <v>18.582571476838648</v>
      </c>
      <c r="Q105">
        <f ca="1"/>
        <v>15.784423648279935</v>
      </c>
      <c r="R105">
        <f ca="1"/>
        <v>0.44921833641702352</v>
      </c>
      <c r="S105">
        <f ca="1"/>
        <v>1</v>
      </c>
      <c r="T105">
        <f ca="1"/>
        <v>1.2199999999999989</v>
      </c>
      <c r="U105">
        <f ca="1"/>
        <v>0</v>
      </c>
      <c r="V105">
        <f ca="1"/>
        <v>0.23802173361247408</v>
      </c>
      <c r="X105" s="2">
        <f t="shared" ca="1" si="8"/>
        <v>45485</v>
      </c>
      <c r="Y105">
        <f t="shared" ca="1" si="9"/>
        <v>0</v>
      </c>
      <c r="AA105" s="63">
        <f t="shared" ca="1" si="11"/>
        <v>53.097584083740408</v>
      </c>
      <c r="AB105" s="63">
        <f t="shared" ca="1" si="12"/>
        <v>53.097584083740408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45486</v>
      </c>
      <c r="K106">
        <f ca="1"/>
        <v>51.314013881005984</v>
      </c>
      <c r="L106">
        <f ca="1"/>
        <v>0.30104984410158764</v>
      </c>
      <c r="M106">
        <f ca="1"/>
        <v>7.6418432425391813E-2</v>
      </c>
      <c r="N106">
        <f ca="1"/>
        <v>0.3982209571835979</v>
      </c>
      <c r="O106">
        <f ca="1"/>
        <v>0</v>
      </c>
      <c r="P106">
        <f ca="1"/>
        <v>18.883621320940236</v>
      </c>
      <c r="Q106">
        <f ca="1"/>
        <v>16.040141662574722</v>
      </c>
      <c r="R106">
        <f ca="1"/>
        <v>1.1844034611349239</v>
      </c>
      <c r="S106">
        <f ca="1"/>
        <v>1</v>
      </c>
      <c r="T106">
        <f ca="1"/>
        <v>3.2800000000000011</v>
      </c>
      <c r="U106">
        <f ca="1"/>
        <v>0</v>
      </c>
      <c r="V106">
        <f ca="1"/>
        <v>0.24330713175952423</v>
      </c>
      <c r="X106" s="2">
        <f t="shared" ca="1" si="8"/>
        <v>45486</v>
      </c>
      <c r="Y106">
        <f t="shared" ca="1" si="9"/>
        <v>0</v>
      </c>
      <c r="AA106" s="63">
        <f t="shared" ca="1" si="11"/>
        <v>52.799467186242495</v>
      </c>
      <c r="AB106" s="63">
        <f t="shared" ca="1" si="12"/>
        <v>52.799467186242502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45487</v>
      </c>
      <c r="K107">
        <f ca="1"/>
        <v>49.684693680805431</v>
      </c>
      <c r="L107">
        <f ca="1"/>
        <v>0.36768260514488205</v>
      </c>
      <c r="M107">
        <f ca="1"/>
        <v>7.9319649271702986E-2</v>
      </c>
      <c r="N107">
        <f ca="1"/>
        <v>0.4351785460694178</v>
      </c>
      <c r="O107">
        <f ca="1"/>
        <v>0</v>
      </c>
      <c r="P107">
        <f ca="1"/>
        <v>19.251303926085118</v>
      </c>
      <c r="Q107">
        <f ca="1"/>
        <v>16.352458933354157</v>
      </c>
      <c r="R107">
        <f ca="1"/>
        <v>1.7761357903967896</v>
      </c>
      <c r="S107">
        <f ca="1"/>
        <v>1</v>
      </c>
      <c r="T107">
        <f ca="1"/>
        <v>5.0799999999999912</v>
      </c>
      <c r="U107">
        <f ca="1"/>
        <v>0</v>
      </c>
      <c r="V107">
        <f ca="1"/>
        <v>0.2497535179379666</v>
      </c>
      <c r="X107" s="2">
        <f t="shared" ca="1" si="8"/>
        <v>45487</v>
      </c>
      <c r="Y107">
        <f t="shared" ca="1" si="9"/>
        <v>0</v>
      </c>
      <c r="AA107" s="63">
        <f t="shared" ca="1" si="11"/>
        <v>51.828512076347103</v>
      </c>
      <c r="AB107" s="63">
        <f t="shared" ca="1" si="12"/>
        <v>51.828512076347103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45488</v>
      </c>
      <c r="K108">
        <f ca="1"/>
        <v>48.476432372514346</v>
      </c>
      <c r="L108">
        <f ca="1"/>
        <v>0.41447732597713127</v>
      </c>
      <c r="M108">
        <f ca="1"/>
        <v>8.0363822664942575E-2</v>
      </c>
      <c r="N108">
        <f ca="1"/>
        <v>0.45967225463372846</v>
      </c>
      <c r="O108">
        <f ca="1"/>
        <v>0</v>
      </c>
      <c r="P108">
        <f ca="1"/>
        <v>19.665781252062249</v>
      </c>
      <c r="Q108">
        <f ca="1"/>
        <v>16.704524615651334</v>
      </c>
      <c r="R108">
        <f ca="1"/>
        <v>1.3338200596126277</v>
      </c>
      <c r="S108">
        <f ca="1"/>
        <v>1</v>
      </c>
      <c r="T108">
        <f ca="1"/>
        <v>3.9100000000000037</v>
      </c>
      <c r="U108">
        <f ca="1"/>
        <v>0</v>
      </c>
      <c r="V108">
        <f ca="1"/>
        <v>0.25700538670148554</v>
      </c>
      <c r="X108" s="2">
        <f t="shared" ca="1" si="8"/>
        <v>45488</v>
      </c>
      <c r="Y108">
        <f t="shared" ca="1" si="9"/>
        <v>0</v>
      </c>
      <c r="AA108" s="63">
        <f t="shared" ca="1" si="11"/>
        <v>50.224729758104104</v>
      </c>
      <c r="AB108" s="63">
        <f t="shared" ca="1" si="12"/>
        <v>50.224729758104104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45489</v>
      </c>
      <c r="K109">
        <f ca="1"/>
        <v>46.496732105437054</v>
      </c>
      <c r="L109">
        <f ca="1"/>
        <v>0.4048063921832572</v>
      </c>
      <c r="M109">
        <f ca="1"/>
        <v>7.6900233457436684E-2</v>
      </c>
      <c r="N109">
        <f ca="1"/>
        <v>0.44882492210082653</v>
      </c>
      <c r="O109">
        <f ca="1"/>
        <v>0</v>
      </c>
      <c r="P109">
        <f ca="1"/>
        <v>20.070587644245506</v>
      </c>
      <c r="Q109">
        <f ca="1"/>
        <v>17.048375605150628</v>
      </c>
      <c r="R109">
        <f ca="1"/>
        <v>2.1006190304523016</v>
      </c>
      <c r="S109">
        <f ca="1"/>
        <v>1</v>
      </c>
      <c r="T109">
        <f ca="1"/>
        <v>6.4200000000000017</v>
      </c>
      <c r="U109">
        <f ca="1"/>
        <v>0</v>
      </c>
      <c r="V109">
        <f ca="1"/>
        <v>0.26406925198296044</v>
      </c>
      <c r="X109" s="2">
        <f t="shared" ca="1" si="8"/>
        <v>45489</v>
      </c>
      <c r="Y109">
        <f t="shared" ca="1" si="9"/>
        <v>0</v>
      </c>
      <c r="AA109" s="63">
        <f t="shared" ca="1" si="11"/>
        <v>49.002157528072608</v>
      </c>
      <c r="AB109" s="63">
        <f t="shared" ca="1" si="12"/>
        <v>49.002157528072608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45490</v>
      </c>
      <c r="K110">
        <f ca="1"/>
        <v>44.575303085411988</v>
      </c>
      <c r="L110">
        <f ca="1"/>
        <v>0.38547303329500338</v>
      </c>
      <c r="M110">
        <f ca="1"/>
        <v>7.3017792238111667E-2</v>
      </c>
      <c r="N110">
        <f ca="1"/>
        <v>0.43307038348908033</v>
      </c>
      <c r="O110">
        <f ca="1"/>
        <v>0</v>
      </c>
      <c r="P110">
        <f ca="1"/>
        <v>20.45606067754051</v>
      </c>
      <c r="Q110">
        <f ca="1"/>
        <v>17.375804436520898</v>
      </c>
      <c r="R110">
        <f ca="1"/>
        <v>2.0420441624572621</v>
      </c>
      <c r="S110">
        <f ca="1"/>
        <v>1</v>
      </c>
      <c r="T110">
        <f ca="1"/>
        <v>6.509999999999998</v>
      </c>
      <c r="U110">
        <f ca="1"/>
        <v>0</v>
      </c>
      <c r="V110">
        <f ca="1"/>
        <v>0.27077536878517006</v>
      </c>
      <c r="X110" s="2">
        <f t="shared" ca="1" si="8"/>
        <v>45490</v>
      </c>
      <c r="Y110">
        <f t="shared" ca="1" si="9"/>
        <v>0</v>
      </c>
      <c r="AA110" s="63">
        <f t="shared" ca="1" si="11"/>
        <v>47.002820281164247</v>
      </c>
      <c r="AB110" s="63">
        <f t="shared" ca="1" si="12"/>
        <v>47.002820281164247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45491</v>
      </c>
      <c r="K111">
        <f ca="1"/>
        <v>43.778890179607757</v>
      </c>
      <c r="L111">
        <f ca="1"/>
        <v>0.38266082155487524</v>
      </c>
      <c r="M111">
        <f ca="1"/>
        <v>7.0526440725672046E-2</v>
      </c>
      <c r="N111">
        <f ca="1"/>
        <v>0.42761954306243716</v>
      </c>
      <c r="O111">
        <f ca="1"/>
        <v>0</v>
      </c>
      <c r="P111">
        <f ca="1"/>
        <v>20.838721499095385</v>
      </c>
      <c r="Q111">
        <f ca="1"/>
        <v>17.700844516606121</v>
      </c>
      <c r="R111">
        <f ca="1"/>
        <v>0.91189806803745965</v>
      </c>
      <c r="S111">
        <f ca="1"/>
        <v>1</v>
      </c>
      <c r="T111">
        <f ca="1"/>
        <v>2.9600000000000009</v>
      </c>
      <c r="U111">
        <f ca="1"/>
        <v>0</v>
      </c>
      <c r="V111">
        <f ca="1"/>
        <v>0.27741011128304294</v>
      </c>
      <c r="X111" s="2">
        <f t="shared" ca="1" si="8"/>
        <v>45491</v>
      </c>
      <c r="Y111">
        <f t="shared" ca="1" si="9"/>
        <v>0</v>
      </c>
      <c r="AA111" s="63">
        <f t="shared" ca="1" si="11"/>
        <v>45.073449069200095</v>
      </c>
      <c r="AB111" s="63">
        <f t="shared" ca="1" si="12"/>
        <v>45.073449069200095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45492</v>
      </c>
      <c r="K112">
        <f ca="1"/>
        <v>43.429135044729883</v>
      </c>
      <c r="L112">
        <f ca="1"/>
        <v>0.42562137992054261</v>
      </c>
      <c r="M112">
        <f ca="1"/>
        <v>7.1040072662718501E-2</v>
      </c>
      <c r="N112">
        <f ca="1"/>
        <v>0.44796419848450769</v>
      </c>
      <c r="O112">
        <f ca="1"/>
        <v>0</v>
      </c>
      <c r="P112">
        <f ca="1"/>
        <v>21.264342879015928</v>
      </c>
      <c r="Q112">
        <f ca="1"/>
        <v>18.062376190669902</v>
      </c>
      <c r="R112">
        <f ca="1"/>
        <v>0.44313802610455949</v>
      </c>
      <c r="S112">
        <f ca="1"/>
        <v>1</v>
      </c>
      <c r="T112">
        <f ca="1"/>
        <v>1.4500000000000028</v>
      </c>
      <c r="U112">
        <f ca="1"/>
        <v>0</v>
      </c>
      <c r="V112">
        <f ca="1"/>
        <v>0.28476029978518752</v>
      </c>
      <c r="X112" s="2">
        <f t="shared" ca="1" si="8"/>
        <v>45492</v>
      </c>
      <c r="Y112">
        <f t="shared" ca="1" si="9"/>
        <v>0</v>
      </c>
      <c r="AA112" s="63">
        <f t="shared" ca="1" si="11"/>
        <v>44.297894450754981</v>
      </c>
      <c r="AB112" s="63">
        <f t="shared" ca="1" si="12"/>
        <v>44.297894450754981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45493</v>
      </c>
      <c r="K113">
        <f ca="1"/>
        <v>42.507372775226983</v>
      </c>
      <c r="L113">
        <f ca="1"/>
        <v>0.39585002893220178</v>
      </c>
      <c r="M113">
        <f ca="1"/>
        <v>6.6905207788195753E-2</v>
      </c>
      <c r="N113">
        <f ca="1"/>
        <v>0.42720206353257301</v>
      </c>
      <c r="O113">
        <f ca="1"/>
        <v>0</v>
      </c>
      <c r="P113">
        <f ca="1"/>
        <v>21.660192907948129</v>
      </c>
      <c r="Q113">
        <f ca="1"/>
        <v>18.39861945848876</v>
      </c>
      <c r="R113">
        <f ca="1"/>
        <v>1.0200195118914666</v>
      </c>
      <c r="S113">
        <f ca="1"/>
        <v>1</v>
      </c>
      <c r="T113">
        <f ca="1"/>
        <v>3.4100000000000037</v>
      </c>
      <c r="U113">
        <f ca="1"/>
        <v>0</v>
      </c>
      <c r="V113">
        <f ca="1"/>
        <v>0.29156570103975971</v>
      </c>
      <c r="X113" s="2">
        <f t="shared" ca="1" si="8"/>
        <v>45493</v>
      </c>
      <c r="Y113">
        <f t="shared" ca="1" si="9"/>
        <v>0</v>
      </c>
      <c r="AA113" s="63">
        <f t="shared" ca="1" si="11"/>
        <v>43.923242316050654</v>
      </c>
      <c r="AB113" s="63">
        <f t="shared" ca="1" si="12"/>
        <v>43.923242316050654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45494</v>
      </c>
      <c r="K114">
        <f ca="1"/>
        <v>41.365088353518409</v>
      </c>
      <c r="L114">
        <f ca="1"/>
        <v>0.44815181852046138</v>
      </c>
      <c r="M114">
        <f ca="1"/>
        <v>6.7857246445242936E-2</v>
      </c>
      <c r="N114">
        <f ca="1"/>
        <v>0.45184568749600329</v>
      </c>
      <c r="O114">
        <f ca="1"/>
        <v>0</v>
      </c>
      <c r="P114">
        <f ca="1"/>
        <v>22.108344726468591</v>
      </c>
      <c r="Q114">
        <f ca="1"/>
        <v>18.779288956845914</v>
      </c>
      <c r="R114">
        <f ca="1"/>
        <v>1.2138355371293597</v>
      </c>
      <c r="S114">
        <f ca="1"/>
        <v>1</v>
      </c>
      <c r="T114">
        <f ca="1"/>
        <v>4.1700000000000088</v>
      </c>
      <c r="U114">
        <f ca="1"/>
        <v>0</v>
      </c>
      <c r="V114">
        <f ca="1"/>
        <v>0.29923131407482684</v>
      </c>
      <c r="X114" s="2">
        <f t="shared" ca="1" si="8"/>
        <v>45494</v>
      </c>
      <c r="Y114">
        <f t="shared" ca="1" si="9"/>
        <v>0</v>
      </c>
      <c r="AA114" s="63">
        <f t="shared" ca="1" si="11"/>
        <v>43.02707570916823</v>
      </c>
      <c r="AB114" s="63">
        <f t="shared" ca="1" si="12"/>
        <v>43.027075709168237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45495</v>
      </c>
      <c r="K115">
        <f ca="1"/>
        <v>39.560120409194781</v>
      </c>
      <c r="L115">
        <f ca="1"/>
        <v>0.44547778948382799</v>
      </c>
      <c r="M115">
        <f ca="1"/>
        <v>6.5447023671964644E-2</v>
      </c>
      <c r="N115">
        <f ca="1"/>
        <v>0.44581695994970866</v>
      </c>
      <c r="O115">
        <f ca="1"/>
        <v>0</v>
      </c>
      <c r="P115">
        <f ca="1"/>
        <v>22.553822515952419</v>
      </c>
      <c r="Q115">
        <f ca="1"/>
        <v>19.157687079187383</v>
      </c>
      <c r="R115">
        <f ca="1"/>
        <v>1.8707541384614772</v>
      </c>
      <c r="S115">
        <f ca="1"/>
        <v>1</v>
      </c>
      <c r="T115">
        <f ca="1"/>
        <v>6.7199999999999989</v>
      </c>
      <c r="U115">
        <f ca="1"/>
        <v>0</v>
      </c>
      <c r="V115">
        <f ca="1"/>
        <v>0.30680687797115253</v>
      </c>
      <c r="X115" s="2">
        <f t="shared" ca="1" si="8"/>
        <v>45495</v>
      </c>
      <c r="Y115">
        <f t="shared" ca="1" si="9"/>
        <v>0</v>
      </c>
      <c r="AA115" s="63">
        <f t="shared" ca="1" si="11"/>
        <v>41.876352337140084</v>
      </c>
      <c r="AB115" s="63">
        <f t="shared" ca="1" si="12"/>
        <v>41.876352337140091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45496</v>
      </c>
      <c r="K116">
        <f ca="1"/>
        <v>38.830369295256446</v>
      </c>
      <c r="L116">
        <f ca="1"/>
        <v>0.45697731700207811</v>
      </c>
      <c r="M116">
        <f ca="1"/>
        <v>6.3921618131793423E-2</v>
      </c>
      <c r="N116">
        <f ca="1"/>
        <v>0.4475342285135509</v>
      </c>
      <c r="O116">
        <f ca="1"/>
        <v>0</v>
      </c>
      <c r="P116">
        <f ca="1"/>
        <v>23.010799832954497</v>
      </c>
      <c r="Q116">
        <f ca="1"/>
        <v>19.545853139961352</v>
      </c>
      <c r="R116">
        <f ca="1"/>
        <v>0.78422964358160441</v>
      </c>
      <c r="S116">
        <f ca="1"/>
        <v>1</v>
      </c>
      <c r="T116">
        <f ca="1"/>
        <v>2.8699999999999974</v>
      </c>
      <c r="U116">
        <f ca="1"/>
        <v>0</v>
      </c>
      <c r="V116">
        <f ca="1"/>
        <v>0.31452872578845603</v>
      </c>
      <c r="X116" s="2">
        <f t="shared" ca="1" si="8"/>
        <v>45496</v>
      </c>
      <c r="Y116">
        <f t="shared" ca="1" si="9"/>
        <v>0</v>
      </c>
      <c r="AA116" s="63">
        <f t="shared" ca="1" si="11"/>
        <v>40.071576255840128</v>
      </c>
      <c r="AB116" s="63">
        <f t="shared" ca="1" si="12"/>
        <v>40.071576255840128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45497</v>
      </c>
      <c r="K117">
        <f ca="1"/>
        <v>37.955336234885102</v>
      </c>
      <c r="L117">
        <f ca="1"/>
        <v>0.41819789774153548</v>
      </c>
      <c r="M117">
        <f ca="1"/>
        <v>5.9876166683430654E-2</v>
      </c>
      <c r="N117">
        <f ca="1"/>
        <v>0.42345640675680585</v>
      </c>
      <c r="O117">
        <f ca="1"/>
        <v>0</v>
      </c>
      <c r="P117">
        <f ca="1"/>
        <v>23.428997730696032</v>
      </c>
      <c r="Q117">
        <f ca="1"/>
        <v>19.901079153486979</v>
      </c>
      <c r="R117">
        <f ca="1"/>
        <v>0.94016773607004378</v>
      </c>
      <c r="S117">
        <f ca="1"/>
        <v>1</v>
      </c>
      <c r="T117">
        <f ca="1"/>
        <v>3.5200000000000031</v>
      </c>
      <c r="U117">
        <f ca="1"/>
        <v>0</v>
      </c>
      <c r="V117">
        <f ca="1"/>
        <v>0.32154883426638353</v>
      </c>
      <c r="X117" s="2">
        <f t="shared" ca="1" si="8"/>
        <v>45497</v>
      </c>
      <c r="Y117">
        <f t="shared" ca="1" si="9"/>
        <v>0</v>
      </c>
      <c r="AA117" s="63">
        <f t="shared" ca="1" si="11"/>
        <v>39.313701868696683</v>
      </c>
      <c r="AB117" s="63">
        <f t="shared" ca="1" si="12"/>
        <v>39.313701868696683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45498</v>
      </c>
      <c r="K118">
        <f ca="1"/>
        <v>37.449310942850026</v>
      </c>
      <c r="L118">
        <f ca="1"/>
        <v>0.41672993897032029</v>
      </c>
      <c r="M118">
        <f ca="1"/>
        <v>5.7979699085016989E-2</v>
      </c>
      <c r="N118">
        <f ca="1"/>
        <v>0.41931915230038225</v>
      </c>
      <c r="O118">
        <f ca="1"/>
        <v>0</v>
      </c>
      <c r="P118">
        <f ca="1"/>
        <v>23.845727669666353</v>
      </c>
      <c r="Q118">
        <f ca="1"/>
        <v>20.255058252226249</v>
      </c>
      <c r="R118">
        <f ca="1"/>
        <v>0.5665942044501564</v>
      </c>
      <c r="S118">
        <f ca="1"/>
        <v>1</v>
      </c>
      <c r="T118">
        <f ca="1"/>
        <v>2.1499999999999986</v>
      </c>
      <c r="U118">
        <f ca="1"/>
        <v>0</v>
      </c>
      <c r="V118">
        <f ca="1"/>
        <v>0.32849776509404549</v>
      </c>
      <c r="X118" s="2">
        <f t="shared" ca="1" si="8"/>
        <v>45498</v>
      </c>
      <c r="Y118">
        <f t="shared" ca="1" si="9"/>
        <v>0</v>
      </c>
      <c r="AA118" s="63">
        <f t="shared" ca="1" si="11"/>
        <v>38.432635086270501</v>
      </c>
      <c r="AB118" s="63">
        <f t="shared" ca="1" si="12"/>
        <v>38.432635086270501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45499</v>
      </c>
      <c r="K119">
        <f ca="1"/>
        <v>36.496139082292629</v>
      </c>
      <c r="L119">
        <f ca="1"/>
        <v>0.45945497270814784</v>
      </c>
      <c r="M119">
        <f ca="1"/>
        <v>5.818838369359014E-2</v>
      </c>
      <c r="N119">
        <f ca="1"/>
        <v>0.43686975581631365</v>
      </c>
      <c r="O119">
        <f ca="1"/>
        <v>0</v>
      </c>
      <c r="P119">
        <f ca="1"/>
        <v>24.305182642374501</v>
      </c>
      <c r="Q119">
        <f ca="1"/>
        <v>20.645328885414632</v>
      </c>
      <c r="R119">
        <f ca="1"/>
        <v>0.98877502735915057</v>
      </c>
      <c r="S119">
        <f ca="1"/>
        <v>1</v>
      </c>
      <c r="T119">
        <f ca="1"/>
        <v>3.8500000000000014</v>
      </c>
      <c r="U119">
        <f ca="1"/>
        <v>0</v>
      </c>
      <c r="V119">
        <f ca="1"/>
        <v>0.33610273430910426</v>
      </c>
      <c r="X119" s="2">
        <f t="shared" ca="1" si="8"/>
        <v>45499</v>
      </c>
      <c r="Y119">
        <f t="shared" ca="1" si="9"/>
        <v>0</v>
      </c>
      <c r="AA119" s="63">
        <f t="shared" ca="1" si="11"/>
        <v>37.944369082359927</v>
      </c>
      <c r="AB119" s="63">
        <f t="shared" ca="1" si="12"/>
        <v>37.944369082359927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45500</v>
      </c>
      <c r="K120">
        <f ca="1"/>
        <v>36.006685490053115</v>
      </c>
      <c r="L120">
        <f ca="1"/>
        <v>0.4753678298748234</v>
      </c>
      <c r="M120">
        <f ca="1"/>
        <v>5.705240281427848E-2</v>
      </c>
      <c r="N120">
        <f ca="1"/>
        <v>0.44069020115742225</v>
      </c>
      <c r="O120">
        <f ca="1"/>
        <v>0</v>
      </c>
      <c r="P120">
        <f ca="1"/>
        <v>24.780550472249324</v>
      </c>
      <c r="Q120">
        <f ca="1"/>
        <v>21.049116231254256</v>
      </c>
      <c r="R120">
        <f ca="1"/>
        <v>0.5118283663363854</v>
      </c>
      <c r="S120">
        <f ca="1"/>
        <v>1</v>
      </c>
      <c r="T120">
        <f ca="1"/>
        <v>2.0200000000000031</v>
      </c>
      <c r="U120">
        <f ca="1"/>
        <v>0</v>
      </c>
      <c r="V120">
        <f ca="1"/>
        <v>0.34390610998144583</v>
      </c>
      <c r="X120" s="2">
        <f t="shared" ca="1" si="8"/>
        <v>45500</v>
      </c>
      <c r="Y120">
        <f t="shared" ca="1" si="9"/>
        <v>0</v>
      </c>
      <c r="AA120" s="63">
        <f t="shared" ca="1" si="11"/>
        <v>36.993881686264331</v>
      </c>
      <c r="AB120" s="63">
        <f t="shared" ca="1" si="12"/>
        <v>36.993881686264331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45501</v>
      </c>
      <c r="K121">
        <f ca="1"/>
        <v>34.970191068337648</v>
      </c>
      <c r="L121">
        <f ca="1"/>
        <v>0.50068795986839021</v>
      </c>
      <c r="M121">
        <f ca="1"/>
        <v>5.631463685294591E-2</v>
      </c>
      <c r="N121">
        <f ca="1"/>
        <v>0.44882492210082653</v>
      </c>
      <c r="O121">
        <f ca="1"/>
        <v>0</v>
      </c>
      <c r="P121">
        <f ca="1"/>
        <v>25.281238432117714</v>
      </c>
      <c r="Q121">
        <f ca="1"/>
        <v>21.474411023420451</v>
      </c>
      <c r="R121">
        <f ca="1"/>
        <v>1.0409460208008499</v>
      </c>
      <c r="S121">
        <f ca="1"/>
        <v>1</v>
      </c>
      <c r="T121">
        <f ca="1"/>
        <v>4.2299999999999969</v>
      </c>
      <c r="U121">
        <f ca="1"/>
        <v>0</v>
      </c>
      <c r="V121">
        <f ca="1"/>
        <v>0.35205072583939773</v>
      </c>
      <c r="X121" s="2">
        <f t="shared" ca="1" si="8"/>
        <v>45501</v>
      </c>
      <c r="Y121">
        <f t="shared" ca="1" si="9"/>
        <v>0</v>
      </c>
      <c r="AA121" s="63">
        <f t="shared" ca="1" si="11"/>
        <v>36.511825049006887</v>
      </c>
      <c r="AB121" s="63">
        <f t="shared" ca="1" si="12"/>
        <v>36.511825049006895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45502</v>
      </c>
      <c r="K122">
        <f ca="1"/>
        <v>34.630573075665758</v>
      </c>
      <c r="L122">
        <f ca="1"/>
        <v>0.5089614791606607</v>
      </c>
      <c r="M122">
        <f ca="1"/>
        <v>5.4813433547508339E-2</v>
      </c>
      <c r="N122">
        <f ca="1"/>
        <v>0.4483944296670348</v>
      </c>
      <c r="O122">
        <f ca="1"/>
        <v>0</v>
      </c>
      <c r="P122">
        <f ca="1"/>
        <v>25.790199911278375</v>
      </c>
      <c r="Q122">
        <f ca="1"/>
        <v>21.906733515371595</v>
      </c>
      <c r="R122">
        <f ca="1"/>
        <v>0.33386437672576968</v>
      </c>
      <c r="S122">
        <f ca="1"/>
        <v>1</v>
      </c>
      <c r="T122">
        <f ca="1"/>
        <v>1.3699999999999974</v>
      </c>
      <c r="U122">
        <f ca="1"/>
        <v>0</v>
      </c>
      <c r="V122">
        <f ca="1"/>
        <v>0.36024877748549411</v>
      </c>
      <c r="X122" s="2">
        <f t="shared" ca="1" si="8"/>
        <v>45502</v>
      </c>
      <c r="Y122">
        <f t="shared" ca="1" si="9"/>
        <v>0</v>
      </c>
      <c r="AA122" s="63">
        <f t="shared" ca="1" si="11"/>
        <v>35.47339893155219</v>
      </c>
      <c r="AB122" s="63">
        <f t="shared" ca="1" si="12"/>
        <v>35.47339893155219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45503</v>
      </c>
      <c r="K123">
        <f ca="1"/>
        <v>33.906181721211922</v>
      </c>
      <c r="L123">
        <f ca="1"/>
        <v>0.52652321493312115</v>
      </c>
      <c r="M123">
        <f ca="1"/>
        <v>5.3720805958910489E-2</v>
      </c>
      <c r="N123">
        <f ca="1"/>
        <v>0.45227827136257215</v>
      </c>
      <c r="O123">
        <f ca="1"/>
        <v>0</v>
      </c>
      <c r="P123">
        <f ca="1"/>
        <v>26.316723126211496</v>
      </c>
      <c r="Q123">
        <f ca="1"/>
        <v>22.353973311839884</v>
      </c>
      <c r="R123">
        <f ca="1"/>
        <v>0.70386721684219478</v>
      </c>
      <c r="S123">
        <f ca="1"/>
        <v>1</v>
      </c>
      <c r="T123">
        <f ca="1"/>
        <v>2.9499999999999957</v>
      </c>
      <c r="U123">
        <f ca="1"/>
        <v>0</v>
      </c>
      <c r="V123">
        <f ca="1"/>
        <v>0.36864070940459881</v>
      </c>
      <c r="X123" s="2">
        <f t="shared" ca="1" si="8"/>
        <v>45503</v>
      </c>
      <c r="Y123">
        <f t="shared" ca="1" si="9"/>
        <v>0</v>
      </c>
      <c r="AA123" s="63">
        <f t="shared" ca="1" si="11"/>
        <v>35.136572152987242</v>
      </c>
      <c r="AB123" s="63">
        <f t="shared" ca="1" si="12"/>
        <v>35.136572152987242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45504</v>
      </c>
      <c r="K124">
        <f ca="1"/>
        <v>33.302729207561363</v>
      </c>
      <c r="L124">
        <f ca="1"/>
        <v>0.54091985534453357</v>
      </c>
      <c r="M124">
        <f ca="1"/>
        <v>5.2498895573187099E-2</v>
      </c>
      <c r="N124">
        <f ca="1"/>
        <v>0.45444511557008793</v>
      </c>
      <c r="O124">
        <f ca="1"/>
        <v>0</v>
      </c>
      <c r="P124">
        <f ca="1"/>
        <v>26.85764298155603</v>
      </c>
      <c r="Q124">
        <f ca="1"/>
        <v>22.813441914835238</v>
      </c>
      <c r="R124">
        <f ca="1"/>
        <v>0.56947666944929931</v>
      </c>
      <c r="S124">
        <f ca="1"/>
        <v>1</v>
      </c>
      <c r="T124">
        <f ca="1"/>
        <v>2.4299999999999997</v>
      </c>
      <c r="U124">
        <f ca="1"/>
        <v>0</v>
      </c>
      <c r="V124">
        <f ca="1"/>
        <v>0.37716502543890135</v>
      </c>
      <c r="X124" s="2">
        <f t="shared" ca="1" si="8"/>
        <v>45504</v>
      </c>
      <c r="Y124">
        <f t="shared" ca="1" si="9"/>
        <v>0</v>
      </c>
      <c r="AA124" s="63">
        <f t="shared" ca="1" si="11"/>
        <v>34.413125732355198</v>
      </c>
      <c r="AB124" s="63">
        <f t="shared" ca="1" si="12"/>
        <v>34.413125732355198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45505</v>
      </c>
      <c r="K125">
        <f ca="1"/>
        <v>32.253658024058204</v>
      </c>
      <c r="L125">
        <f ca="1"/>
        <v>0.58343354698360983</v>
      </c>
      <c r="M125">
        <f ca="1"/>
        <v>5.2329195868487943E-2</v>
      </c>
      <c r="N125">
        <f ca="1"/>
        <v>0.46935347712618564</v>
      </c>
      <c r="O125">
        <f ca="1"/>
        <v>0</v>
      </c>
      <c r="P125">
        <f ca="1"/>
        <v>27.441076528539639</v>
      </c>
      <c r="Q125">
        <f ca="1"/>
        <v>23.309022533894684</v>
      </c>
      <c r="R125">
        <f ca="1"/>
        <v>0.98732030951422478</v>
      </c>
      <c r="S125">
        <f ca="1"/>
        <v>1</v>
      </c>
      <c r="T125">
        <f ca="1"/>
        <v>4.3499999999999943</v>
      </c>
      <c r="U125">
        <f ca="1"/>
        <v>0</v>
      </c>
      <c r="V125">
        <f ca="1"/>
        <v>0.3862460408091713</v>
      </c>
      <c r="X125" s="2">
        <f t="shared" ca="1" si="8"/>
        <v>45505</v>
      </c>
      <c r="Y125">
        <f t="shared" ca="1" si="9"/>
        <v>0</v>
      </c>
      <c r="AA125" s="63">
        <f t="shared" ca="1" si="11"/>
        <v>33.824411880556035</v>
      </c>
      <c r="AB125" s="63">
        <f t="shared" ca="1" si="12"/>
        <v>33.824411880556035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45506</v>
      </c>
      <c r="K126">
        <f ca="1"/>
        <v>31.780061536086297</v>
      </c>
      <c r="L126">
        <f ca="1"/>
        <v>0.58799578846809197</v>
      </c>
      <c r="M126">
        <f ca="1"/>
        <v>5.0687451935417016E-2</v>
      </c>
      <c r="N126">
        <f ca="1"/>
        <v>0.46625929468452537</v>
      </c>
      <c r="O126">
        <f ca="1"/>
        <v>0</v>
      </c>
      <c r="P126">
        <f ca="1"/>
        <v>28.029072317007731</v>
      </c>
      <c r="Q126">
        <f ca="1"/>
        <v>23.808478415991125</v>
      </c>
      <c r="R126">
        <f ca="1"/>
        <v>0.40254744612375915</v>
      </c>
      <c r="S126">
        <f ca="1"/>
        <v>1</v>
      </c>
      <c r="T126">
        <f ca="1"/>
        <v>1.7999999999999972</v>
      </c>
      <c r="U126">
        <f ca="1"/>
        <v>0</v>
      </c>
      <c r="V126">
        <f ca="1"/>
        <v>0.39527628523545227</v>
      </c>
      <c r="X126" s="2">
        <f t="shared" ca="1" si="8"/>
        <v>45506</v>
      </c>
      <c r="Y126">
        <f t="shared" ca="1" si="9"/>
        <v>0</v>
      </c>
      <c r="AA126" s="63">
        <f t="shared" ca="1" si="11"/>
        <v>32.770604770678148</v>
      </c>
      <c r="AB126" s="63">
        <f t="shared" ca="1" si="12"/>
        <v>32.770604770678148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45507</v>
      </c>
      <c r="K127">
        <f ca="1"/>
        <v>30.913559820552088</v>
      </c>
      <c r="L127">
        <f ca="1"/>
        <v>0.59034559147104204</v>
      </c>
      <c r="M127">
        <f ca="1"/>
        <v>4.9038206393419159E-2</v>
      </c>
      <c r="N127">
        <f ca="1"/>
        <v>0.46229998230547509</v>
      </c>
      <c r="O127">
        <f ca="1"/>
        <v>0</v>
      </c>
      <c r="P127">
        <f ca="1"/>
        <v>28.619417908478773</v>
      </c>
      <c r="Q127">
        <f ca="1"/>
        <v>24.309930269750314</v>
      </c>
      <c r="R127">
        <f ca="1"/>
        <v>0.7874943127620635</v>
      </c>
      <c r="S127">
        <f ca="1"/>
        <v>1</v>
      </c>
      <c r="T127">
        <f ca="1"/>
        <v>3.6199999999999974</v>
      </c>
      <c r="U127">
        <f ca="1"/>
        <v>0</v>
      </c>
      <c r="V127">
        <f ca="1"/>
        <v>0.40421707900122023</v>
      </c>
      <c r="X127" s="2">
        <f t="shared" ca="1" si="8"/>
        <v>45507</v>
      </c>
      <c r="Y127">
        <f t="shared" ca="1" si="9"/>
        <v>0</v>
      </c>
      <c r="AA127" s="63">
        <f t="shared" ca="1" si="11"/>
        <v>32.291399724785194</v>
      </c>
      <c r="AB127" s="63">
        <f t="shared" ca="1" si="12"/>
        <v>32.291399724785194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45508</v>
      </c>
      <c r="K128">
        <f ca="1"/>
        <v>47.665935756995495</v>
      </c>
      <c r="L128">
        <f ca="1"/>
        <v>0.57212863143231374</v>
      </c>
      <c r="M128">
        <f ca="1"/>
        <v>4.6807463053767151E-2</v>
      </c>
      <c r="N128">
        <f ca="1"/>
        <v>0.44968669088071561</v>
      </c>
      <c r="O128">
        <f ca="1"/>
        <v>18</v>
      </c>
      <c r="P128">
        <f ca="1"/>
        <v>29.191546539911087</v>
      </c>
      <c r="Q128">
        <f ca="1"/>
        <v>24.795908257839535</v>
      </c>
      <c r="R128">
        <f ca="1"/>
        <v>1.1719895860587635</v>
      </c>
      <c r="S128">
        <f ca="1"/>
        <v>1</v>
      </c>
      <c r="T128">
        <f ca="1"/>
        <v>3.5499999999999972</v>
      </c>
      <c r="U128">
        <f ca="1"/>
        <v>0</v>
      </c>
      <c r="V128">
        <f ca="1"/>
        <v>0.41275989784548811</v>
      </c>
      <c r="X128" s="2">
        <f t="shared" ca="1" si="8"/>
        <v>45508</v>
      </c>
      <c r="Y128">
        <f t="shared" ca="1" si="9"/>
        <v>18</v>
      </c>
      <c r="AA128" s="63">
        <f t="shared" ca="1" si="11"/>
        <v>49.410053974486573</v>
      </c>
      <c r="AB128" s="63">
        <f t="shared" ca="1" si="12"/>
        <v>49.410053974486573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45509</v>
      </c>
      <c r="K129">
        <f ca="1"/>
        <v>46.699434832130144</v>
      </c>
      <c r="L129">
        <f ca="1"/>
        <v>0.57409412066046173</v>
      </c>
      <c r="M129">
        <f ca="1"/>
        <v>4.535031560799041E-2</v>
      </c>
      <c r="N129">
        <f ca="1"/>
        <v>0.44624588547237465</v>
      </c>
      <c r="O129">
        <f ca="1"/>
        <v>0</v>
      </c>
      <c r="P129">
        <f ca="1"/>
        <v>29.765640660571549</v>
      </c>
      <c r="Q129">
        <f ca="1"/>
        <v>25.283555773458467</v>
      </c>
      <c r="R129">
        <f ca="1"/>
        <v>0.88400300528524822</v>
      </c>
      <c r="S129">
        <f ca="1"/>
        <v>1</v>
      </c>
      <c r="T129">
        <f ca="1"/>
        <v>2.6899999999999977</v>
      </c>
      <c r="U129">
        <f ca="1"/>
        <v>0</v>
      </c>
      <c r="V129">
        <f ca="1"/>
        <v>0.42120960158389281</v>
      </c>
      <c r="X129" s="2">
        <f t="shared" ca="1" si="8"/>
        <v>45509</v>
      </c>
      <c r="Y129">
        <f t="shared" ca="1" si="9"/>
        <v>0</v>
      </c>
      <c r="AA129" s="63">
        <f t="shared" ca="1" si="11"/>
        <v>48.157531958075857</v>
      </c>
      <c r="AB129" s="63">
        <f t="shared" ca="1" si="12"/>
        <v>48.157531958075857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45510</v>
      </c>
      <c r="K130">
        <f ca="1"/>
        <v>46.022813675024068</v>
      </c>
      <c r="L130">
        <f ca="1"/>
        <v>0.59564563001348958</v>
      </c>
      <c r="M130">
        <f ca="1"/>
        <v>4.4521523479104985E-2</v>
      </c>
      <c r="N130">
        <f ca="1"/>
        <v>0.4509813044243538</v>
      </c>
      <c r="O130">
        <f ca="1"/>
        <v>0</v>
      </c>
      <c r="P130">
        <f ca="1"/>
        <v>30.361286290585038</v>
      </c>
      <c r="Q130">
        <f ca="1"/>
        <v>25.789509590458337</v>
      </c>
      <c r="R130">
        <f ca="1"/>
        <v>0.57647835499604272</v>
      </c>
      <c r="S130">
        <f ca="1"/>
        <v>1</v>
      </c>
      <c r="T130">
        <f ca="1"/>
        <v>1.7800000000000011</v>
      </c>
      <c r="U130">
        <f ca="1"/>
        <v>0</v>
      </c>
      <c r="V130">
        <f ca="1"/>
        <v>0.42984539456837223</v>
      </c>
      <c r="X130" s="2">
        <f t="shared" ca="1" si="8"/>
        <v>45510</v>
      </c>
      <c r="Y130">
        <f t="shared" ca="1" si="9"/>
        <v>0</v>
      </c>
      <c r="AA130" s="63">
        <f t="shared" ca="1" si="11"/>
        <v>47.194937660033602</v>
      </c>
      <c r="AB130" s="63">
        <f t="shared" ca="1" si="12"/>
        <v>47.194937660033602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45511</v>
      </c>
      <c r="K131">
        <f ca="1"/>
        <v>45.71211884018291</v>
      </c>
      <c r="L131">
        <f ca="1"/>
        <v>0.60514767454130336</v>
      </c>
      <c r="M131">
        <f ca="1"/>
        <v>4.3343616017750719E-2</v>
      </c>
      <c r="N131">
        <f ca="1"/>
        <v>0.45054950514067449</v>
      </c>
      <c r="O131">
        <f ca="1"/>
        <v>0</v>
      </c>
      <c r="P131">
        <f ca="1"/>
        <v>30.966433965126342</v>
      </c>
      <c r="Q131">
        <f ca="1"/>
        <v>26.303534642192265</v>
      </c>
      <c r="R131">
        <f ca="1"/>
        <v>0.19944028145827872</v>
      </c>
      <c r="S131">
        <f ca="1"/>
        <v>1</v>
      </c>
      <c r="T131">
        <f ca="1"/>
        <v>0.61999999999999744</v>
      </c>
      <c r="U131">
        <f ca="1"/>
        <v>0</v>
      </c>
      <c r="V131">
        <f ca="1"/>
        <v>0.43848100801867751</v>
      </c>
      <c r="X131" s="2">
        <f t="shared" ca="1" si="8"/>
        <v>45511</v>
      </c>
      <c r="Y131">
        <f t="shared" ca="1" si="9"/>
        <v>0</v>
      </c>
      <c r="AA131" s="63">
        <f t="shared" ca="1" si="11"/>
        <v>46.51670679618249</v>
      </c>
      <c r="AB131" s="63">
        <f t="shared" ca="1" si="12"/>
        <v>46.51670679618249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45512</v>
      </c>
      <c r="K132">
        <f ca="1"/>
        <v>44.657095197903899</v>
      </c>
      <c r="L132">
        <f ca="1"/>
        <v>0.62990676144370639</v>
      </c>
      <c r="M132">
        <f ca="1"/>
        <v>4.2605496687571076E-2</v>
      </c>
      <c r="N132">
        <f ca="1"/>
        <v>0.45618330312709132</v>
      </c>
      <c r="O132">
        <f ca="1"/>
        <v>0</v>
      </c>
      <c r="P132">
        <f ca="1"/>
        <v>31.596340726570048</v>
      </c>
      <c r="Q132">
        <f ca="1"/>
        <v>26.83859057855371</v>
      </c>
      <c r="R132">
        <f ca="1"/>
        <v>0.92390568064996448</v>
      </c>
      <c r="S132">
        <f ca="1"/>
        <v>1</v>
      </c>
      <c r="T132">
        <f ca="1"/>
        <v>2.9399999999999906</v>
      </c>
      <c r="U132">
        <f ca="1"/>
        <v>0</v>
      </c>
      <c r="V132">
        <f ca="1"/>
        <v>0.44732128245164154</v>
      </c>
      <c r="X132" s="2">
        <f t="shared" ca="1" si="8"/>
        <v>45512</v>
      </c>
      <c r="Y132">
        <f t="shared" ca="1" si="9"/>
        <v>0</v>
      </c>
      <c r="AA132" s="63">
        <f t="shared" ca="1" si="11"/>
        <v>46.210907639997572</v>
      </c>
      <c r="AB132" s="63">
        <f t="shared" ca="1" si="12"/>
        <v>46.210907639997572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45513</v>
      </c>
      <c r="K133">
        <f ca="1"/>
        <v>43.682394042046376</v>
      </c>
      <c r="L133">
        <f ca="1"/>
        <v>0.61692218753698569</v>
      </c>
      <c r="M133">
        <f ca="1"/>
        <v>4.0881177668047997E-2</v>
      </c>
      <c r="N133">
        <f ca="1"/>
        <v>0.44667507204730861</v>
      </c>
      <c r="O133">
        <f ca="1"/>
        <v>0</v>
      </c>
      <c r="P133">
        <f ca="1"/>
        <v>32.213262914107034</v>
      </c>
      <c r="Q133">
        <f ca="1"/>
        <v>27.362617147117952</v>
      </c>
      <c r="R133">
        <f ca="1"/>
        <v>0.84533521803589506</v>
      </c>
      <c r="S133">
        <f ca="1"/>
        <v>1</v>
      </c>
      <c r="T133">
        <f ca="1"/>
        <v>2.7499999999999929</v>
      </c>
      <c r="U133">
        <f ca="1"/>
        <v>0</v>
      </c>
      <c r="V133">
        <f ca="1"/>
        <v>0.45583170327483219</v>
      </c>
      <c r="X133" s="2">
        <f t="shared" ca="1" si="8"/>
        <v>45513</v>
      </c>
      <c r="Y133">
        <f t="shared" ca="1" si="9"/>
        <v>0</v>
      </c>
      <c r="AA133" s="63">
        <f t="shared" ca="1" si="11"/>
        <v>45.144651447619253</v>
      </c>
      <c r="AB133" s="63">
        <f t="shared" ca="1" si="12"/>
        <v>45.144651447619253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45514</v>
      </c>
      <c r="K134">
        <f ca="1"/>
        <v>42.347087828807986</v>
      </c>
      <c r="L134">
        <f ca="1"/>
        <v>0.6566938272088052</v>
      </c>
      <c r="M134">
        <f ca="1"/>
        <v>4.0554132554092348E-2</v>
      </c>
      <c r="N134">
        <f ca="1"/>
        <v>0.45792568199115918</v>
      </c>
      <c r="O134">
        <f ca="1"/>
        <v>0</v>
      </c>
      <c r="P134">
        <f ca="1"/>
        <v>32.869956741315839</v>
      </c>
      <c r="Q134">
        <f ca="1"/>
        <v>27.92042657563508</v>
      </c>
      <c r="R134">
        <f ca="1"/>
        <v>1.1770922005748303</v>
      </c>
      <c r="S134">
        <f ca="1"/>
        <v>1</v>
      </c>
      <c r="T134">
        <f ca="1"/>
        <v>3.9500000000000028</v>
      </c>
      <c r="U134">
        <f ca="1"/>
        <v>0</v>
      </c>
      <c r="V134">
        <f ca="1"/>
        <v>0.464729885428603</v>
      </c>
      <c r="X134" s="2">
        <f t="shared" ca="1" si="8"/>
        <v>45514</v>
      </c>
      <c r="Y134">
        <f t="shared" ca="1" si="9"/>
        <v>0</v>
      </c>
      <c r="AA134" s="63">
        <f t="shared" ca="1" si="11"/>
        <v>44.180873856591624</v>
      </c>
      <c r="AB134" s="63">
        <f t="shared" ca="1" si="12"/>
        <v>44.180873856591624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45515</v>
      </c>
      <c r="K135">
        <f ca="1"/>
        <v>41.566342937727534</v>
      </c>
      <c r="L135">
        <f ca="1"/>
        <v>0.63643262334403516</v>
      </c>
      <c r="M135">
        <f ca="1"/>
        <v>3.8754146019861935E-2</v>
      </c>
      <c r="N135">
        <f ca="1"/>
        <v>0.44581695994970866</v>
      </c>
      <c r="O135">
        <f ca="1"/>
        <v>0</v>
      </c>
      <c r="P135">
        <f ca="1"/>
        <v>33.506389364659874</v>
      </c>
      <c r="Q135">
        <f ca="1"/>
        <v>28.461025715155117</v>
      </c>
      <c r="R135">
        <f ca="1"/>
        <v>0.62888337370599046</v>
      </c>
      <c r="S135">
        <f ca="1"/>
        <v>1</v>
      </c>
      <c r="T135">
        <f ca="1"/>
        <v>2.1500000000000057</v>
      </c>
      <c r="U135">
        <f ca="1"/>
        <v>0</v>
      </c>
      <c r="V135">
        <f ca="1"/>
        <v>0.47319517351843282</v>
      </c>
      <c r="X135" s="2">
        <f t="shared" ref="X135:X198" ca="1" si="15">IFERROR(J135,$X$5)</f>
        <v>45515</v>
      </c>
      <c r="Y135">
        <f t="shared" ref="Y135:Y198" ca="1" si="16">IFERROR(O135,0)</f>
        <v>0</v>
      </c>
      <c r="AA135" s="63">
        <f t="shared" ca="1" si="11"/>
        <v>42.831658934777558</v>
      </c>
      <c r="AB135" s="63">
        <f t="shared" ca="1" si="12"/>
        <v>42.831658934777558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45516</v>
      </c>
      <c r="K136">
        <f ca="1"/>
        <v>40.623281693956116</v>
      </c>
      <c r="L136">
        <f ca="1"/>
        <v>0.67391358111964905</v>
      </c>
      <c r="M136">
        <f ca="1"/>
        <v>3.8370299998362611E-2</v>
      </c>
      <c r="N136">
        <f ca="1"/>
        <v>0.4557483633996392</v>
      </c>
      <c r="O136">
        <f ca="1"/>
        <v>0</v>
      </c>
      <c r="P136">
        <f ca="1"/>
        <v>34.180302945779523</v>
      </c>
      <c r="Q136">
        <f ca="1"/>
        <v>29.033461961666013</v>
      </c>
      <c r="R136">
        <f ca="1"/>
        <v>0.76326632604977596</v>
      </c>
      <c r="S136">
        <f ca="1"/>
        <v>1</v>
      </c>
      <c r="T136">
        <f ca="1"/>
        <v>2.6700000000000017</v>
      </c>
      <c r="U136">
        <f ca="1"/>
        <v>0</v>
      </c>
      <c r="V136">
        <f ca="1"/>
        <v>0.48198936885210641</v>
      </c>
      <c r="X136" s="2">
        <f t="shared" ca="1" si="15"/>
        <v>45516</v>
      </c>
      <c r="Y136">
        <f t="shared" ca="1" si="16"/>
        <v>0</v>
      </c>
      <c r="AA136" s="63">
        <f t="shared" ca="1" si="11"/>
        <v>42.060461601125539</v>
      </c>
      <c r="AB136" s="63">
        <f t="shared" ca="1" si="12"/>
        <v>42.060461601125539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45517</v>
      </c>
      <c r="K137">
        <f ca="1"/>
        <v>39.525028969654393</v>
      </c>
      <c r="L137">
        <f ca="1"/>
        <v>0.67034555467289181</v>
      </c>
      <c r="M137">
        <f ca="1"/>
        <v>3.7052478210817696E-2</v>
      </c>
      <c r="N137">
        <f ca="1"/>
        <v>0.45011796730593945</v>
      </c>
      <c r="O137">
        <f ca="1"/>
        <v>0</v>
      </c>
      <c r="P137">
        <f ca="1"/>
        <v>34.850648500452415</v>
      </c>
      <c r="Q137">
        <f ca="1"/>
        <v>29.602867452121746</v>
      </c>
      <c r="R137">
        <f ca="1"/>
        <v>0.91507761514559105</v>
      </c>
      <c r="S137">
        <f ca="1"/>
        <v>1</v>
      </c>
      <c r="T137">
        <f ca="1"/>
        <v>3.2899999999999991</v>
      </c>
      <c r="U137">
        <f ca="1"/>
        <v>0</v>
      </c>
      <c r="V137">
        <f ca="1"/>
        <v>0.49056450527284995</v>
      </c>
      <c r="X137" s="2">
        <f t="shared" ca="1" si="15"/>
        <v>45517</v>
      </c>
      <c r="Y137">
        <f t="shared" ca="1" si="16"/>
        <v>0</v>
      </c>
      <c r="AA137" s="63">
        <f t="shared" ref="AA137:AA200" ca="1" si="18">K136+M137+N137+O137</f>
        <v>41.110452139472876</v>
      </c>
      <c r="AB137" s="63">
        <f t="shared" ref="AB137:AB200" ca="1" si="19">K137+L137+R137</f>
        <v>41.110452139472876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45518</v>
      </c>
      <c r="K138">
        <f ca="1"/>
        <v>38.466777186320257</v>
      </c>
      <c r="L138">
        <f ca="1"/>
        <v>0.61570071066670806</v>
      </c>
      <c r="M138">
        <f ca="1"/>
        <v>3.4775817551640387E-2</v>
      </c>
      <c r="N138">
        <f ca="1"/>
        <v>0.42678484320459137</v>
      </c>
      <c r="O138">
        <f ca="1"/>
        <v>0</v>
      </c>
      <c r="P138">
        <f ca="1"/>
        <v>35.466349211119123</v>
      </c>
      <c r="Q138">
        <f ca="1"/>
        <v>30.125856472765282</v>
      </c>
      <c r="R138">
        <f ca="1"/>
        <v>0.90411173342366147</v>
      </c>
      <c r="S138">
        <f ca="1"/>
        <v>1</v>
      </c>
      <c r="T138">
        <f ca="1"/>
        <v>3.3400000000000034</v>
      </c>
      <c r="U138">
        <f ca="1"/>
        <v>0</v>
      </c>
      <c r="V138">
        <f ca="1"/>
        <v>0.49828981163233876</v>
      </c>
      <c r="X138" s="2">
        <f t="shared" ca="1" si="15"/>
        <v>45518</v>
      </c>
      <c r="Y138">
        <f t="shared" ca="1" si="16"/>
        <v>0</v>
      </c>
      <c r="AA138" s="63">
        <f t="shared" ca="1" si="18"/>
        <v>39.986589630410627</v>
      </c>
      <c r="AB138" s="63">
        <f t="shared" ca="1" si="19"/>
        <v>39.986589630410627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45519</v>
      </c>
      <c r="K139">
        <f ca="1"/>
        <v>37.60928467779074</v>
      </c>
      <c r="L139">
        <f ca="1"/>
        <v>0.62876779418417783</v>
      </c>
      <c r="M139">
        <f ca="1"/>
        <v>3.3995199066950477E-2</v>
      </c>
      <c r="N139">
        <f ca="1"/>
        <v>0.4280372818364685</v>
      </c>
      <c r="O139">
        <f ca="1"/>
        <v>0</v>
      </c>
      <c r="P139">
        <f ca="1"/>
        <v>36.095117005303301</v>
      </c>
      <c r="Q139">
        <f ca="1"/>
        <v>30.659944946589679</v>
      </c>
      <c r="R139">
        <f ca="1"/>
        <v>0.69075719524875645</v>
      </c>
      <c r="S139">
        <f ca="1"/>
        <v>1</v>
      </c>
      <c r="T139">
        <f ca="1"/>
        <v>2.6099999999999994</v>
      </c>
      <c r="U139">
        <f ca="1"/>
        <v>0</v>
      </c>
      <c r="V139">
        <f ca="1"/>
        <v>0.5060309984048974</v>
      </c>
      <c r="X139" s="2">
        <f t="shared" ca="1" si="15"/>
        <v>45519</v>
      </c>
      <c r="Y139">
        <f t="shared" ca="1" si="16"/>
        <v>0</v>
      </c>
      <c r="AA139" s="63">
        <f t="shared" ca="1" si="18"/>
        <v>38.928809667223675</v>
      </c>
      <c r="AB139" s="63">
        <f t="shared" ca="1" si="19"/>
        <v>38.928809667223675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45520</v>
      </c>
      <c r="K140">
        <f ca="1"/>
        <v>36.581867342616292</v>
      </c>
      <c r="L140">
        <f ca="1"/>
        <v>0.62354200299228779</v>
      </c>
      <c r="M140">
        <f ca="1"/>
        <v>3.289252143270005E-2</v>
      </c>
      <c r="N140">
        <f ca="1"/>
        <v>0.42304151733419176</v>
      </c>
      <c r="O140">
        <f ca="1"/>
        <v>0</v>
      </c>
      <c r="P140">
        <f ca="1"/>
        <v>36.718659008295589</v>
      </c>
      <c r="Q140">
        <f ca="1"/>
        <v>31.189594524420968</v>
      </c>
      <c r="R140">
        <f ca="1"/>
        <v>0.85980937094904897</v>
      </c>
      <c r="S140">
        <f ca="1"/>
        <v>1</v>
      </c>
      <c r="T140">
        <f ca="1"/>
        <v>3.3400000000000034</v>
      </c>
      <c r="U140">
        <f ca="1"/>
        <v>0</v>
      </c>
      <c r="V140">
        <f ca="1"/>
        <v>0.51356118867470346</v>
      </c>
      <c r="X140" s="2">
        <f t="shared" ca="1" si="15"/>
        <v>45520</v>
      </c>
      <c r="Y140">
        <f t="shared" ca="1" si="16"/>
        <v>0</v>
      </c>
      <c r="AA140" s="63">
        <f t="shared" ca="1" si="18"/>
        <v>38.065218716557631</v>
      </c>
      <c r="AB140" s="63">
        <f t="shared" ca="1" si="19"/>
        <v>38.065218716557631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45521</v>
      </c>
      <c r="K141">
        <f ca="1"/>
        <v>35.886504308190744</v>
      </c>
      <c r="L141">
        <f ca="1"/>
        <v>0.63280486322916829</v>
      </c>
      <c r="M141">
        <f ca="1"/>
        <v>3.2096364359809115E-2</v>
      </c>
      <c r="N141">
        <f ca="1"/>
        <v>0.42304151733419176</v>
      </c>
      <c r="O141">
        <f ca="1"/>
        <v>0</v>
      </c>
      <c r="P141">
        <f ca="1"/>
        <v>37.351463871524757</v>
      </c>
      <c r="Q141">
        <f ca="1"/>
        <v>31.727112168862728</v>
      </c>
      <c r="R141">
        <f ca="1"/>
        <v>0.51769605289038068</v>
      </c>
      <c r="S141">
        <f ca="1"/>
        <v>1</v>
      </c>
      <c r="T141">
        <f ca="1"/>
        <v>2.0499999999999972</v>
      </c>
      <c r="U141">
        <f ca="1"/>
        <v>0</v>
      </c>
      <c r="V141">
        <f ca="1"/>
        <v>0.52105523203062754</v>
      </c>
      <c r="X141" s="2">
        <f t="shared" ca="1" si="15"/>
        <v>45521</v>
      </c>
      <c r="Y141">
        <f t="shared" ca="1" si="16"/>
        <v>0</v>
      </c>
      <c r="AA141" s="63">
        <f t="shared" ca="1" si="18"/>
        <v>37.037005224310292</v>
      </c>
      <c r="AB141" s="63">
        <f t="shared" ca="1" si="19"/>
        <v>37.037005224310292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45522</v>
      </c>
      <c r="K142">
        <f ca="1"/>
        <v>35.261932569348886</v>
      </c>
      <c r="L142">
        <f ca="1"/>
        <v>0.64979374235860377</v>
      </c>
      <c r="M142">
        <f ca="1"/>
        <v>3.1450040857592398E-2</v>
      </c>
      <c r="N142">
        <f ca="1"/>
        <v>0.42553473700829264</v>
      </c>
      <c r="O142">
        <f ca="1"/>
        <v>0</v>
      </c>
      <c r="P142">
        <f ca="1"/>
        <v>38.001257613883361</v>
      </c>
      <c r="Q142">
        <f ca="1"/>
        <v>32.279060521445331</v>
      </c>
      <c r="R142">
        <f ca="1"/>
        <v>0.43176277434913896</v>
      </c>
      <c r="S142">
        <f ca="1"/>
        <v>1</v>
      </c>
      <c r="T142">
        <f ca="1"/>
        <v>1.740000000000002</v>
      </c>
      <c r="U142">
        <f ca="1"/>
        <v>0</v>
      </c>
      <c r="V142">
        <f ca="1"/>
        <v>0.52859685326491967</v>
      </c>
      <c r="X142" s="2">
        <f t="shared" ca="1" si="15"/>
        <v>45522</v>
      </c>
      <c r="Y142">
        <f t="shared" ca="1" si="16"/>
        <v>0</v>
      </c>
      <c r="AA142" s="63">
        <f t="shared" ca="1" si="18"/>
        <v>36.343489086056628</v>
      </c>
      <c r="AB142" s="63">
        <f t="shared" ca="1" si="19"/>
        <v>36.343489086056628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45523</v>
      </c>
      <c r="K143">
        <f ca="1"/>
        <v>34.305793155336758</v>
      </c>
      <c r="L143">
        <f ca="1"/>
        <v>0.69565385913618627</v>
      </c>
      <c r="M143">
        <f ca="1"/>
        <v>3.1282870368833926E-2</v>
      </c>
      <c r="N143">
        <f ca="1"/>
        <v>0.43729320855271786</v>
      </c>
      <c r="O143">
        <f ca="1"/>
        <v>0</v>
      </c>
      <c r="P143">
        <f ca="1"/>
        <v>38.696911473019547</v>
      </c>
      <c r="Q143">
        <f ca="1"/>
        <v>32.869963413375679</v>
      </c>
      <c r="R143">
        <f ca="1"/>
        <v>0.72906163379749078</v>
      </c>
      <c r="S143">
        <f ca="1"/>
        <v>1</v>
      </c>
      <c r="T143">
        <f ca="1"/>
        <v>3.0200000000000031</v>
      </c>
      <c r="U143">
        <f ca="1"/>
        <v>0</v>
      </c>
      <c r="V143">
        <f ca="1"/>
        <v>0.53650019001479854</v>
      </c>
      <c r="X143" s="2">
        <f t="shared" ca="1" si="15"/>
        <v>45523</v>
      </c>
      <c r="Y143">
        <f t="shared" ca="1" si="16"/>
        <v>0</v>
      </c>
      <c r="AA143" s="63">
        <f t="shared" ca="1" si="18"/>
        <v>35.730508648270437</v>
      </c>
      <c r="AB143" s="63">
        <f t="shared" ca="1" si="19"/>
        <v>35.730508648270437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45524</v>
      </c>
      <c r="K144">
        <f ca="1"/>
        <v>33.526188964135564</v>
      </c>
      <c r="L144">
        <f ca="1"/>
        <v>0.74328734297330357</v>
      </c>
      <c r="M144">
        <f ca="1"/>
        <v>3.1103299204978896E-2</v>
      </c>
      <c r="N144">
        <f ca="1"/>
        <v>0.44925567582552356</v>
      </c>
      <c r="O144">
        <f ca="1"/>
        <v>0</v>
      </c>
      <c r="P144">
        <f ca="1"/>
        <v>39.440198815992851</v>
      </c>
      <c r="Q144">
        <f ca="1"/>
        <v>33.501327179607834</v>
      </c>
      <c r="R144">
        <f ca="1"/>
        <v>0.516675823258398</v>
      </c>
      <c r="S144">
        <f ca="1"/>
        <v>1</v>
      </c>
      <c r="T144">
        <f ca="1"/>
        <v>2.1899999999999906</v>
      </c>
      <c r="U144">
        <f ca="1"/>
        <v>0</v>
      </c>
      <c r="V144">
        <f ca="1"/>
        <v>0.5447523696457347</v>
      </c>
      <c r="X144" s="2">
        <f t="shared" ca="1" si="15"/>
        <v>45524</v>
      </c>
      <c r="Y144">
        <f t="shared" ca="1" si="16"/>
        <v>0</v>
      </c>
      <c r="AA144" s="63">
        <f t="shared" ca="1" si="18"/>
        <v>34.786152130367263</v>
      </c>
      <c r="AB144" s="63">
        <f t="shared" ca="1" si="19"/>
        <v>34.786152130367263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45525</v>
      </c>
      <c r="K145">
        <f ca="1"/>
        <v>32.768492712652652</v>
      </c>
      <c r="L145">
        <f ca="1"/>
        <v>0.77276134842441735</v>
      </c>
      <c r="M145">
        <f ca="1"/>
        <v>3.0595744889843957E-2</v>
      </c>
      <c r="N145">
        <f ca="1"/>
        <v>0.45487926965996217</v>
      </c>
      <c r="O145">
        <f ca="1"/>
        <v>0</v>
      </c>
      <c r="P145">
        <f ca="1"/>
        <v>40.212960164417268</v>
      </c>
      <c r="Q145">
        <f ca="1"/>
        <v>34.157726780586103</v>
      </c>
      <c r="R145">
        <f ca="1"/>
        <v>0.47040991760830236</v>
      </c>
      <c r="S145">
        <f ca="1"/>
        <v>1</v>
      </c>
      <c r="T145">
        <f ca="1"/>
        <v>2.0399999999999991</v>
      </c>
      <c r="U145">
        <f ca="1"/>
        <v>0</v>
      </c>
      <c r="V145">
        <f ca="1"/>
        <v>0.55312428577501693</v>
      </c>
      <c r="X145" s="2">
        <f t="shared" ca="1" si="15"/>
        <v>45525</v>
      </c>
      <c r="Y145">
        <f t="shared" ca="1" si="16"/>
        <v>0</v>
      </c>
      <c r="AA145" s="63">
        <f t="shared" ca="1" si="18"/>
        <v>34.01166397868537</v>
      </c>
      <c r="AB145" s="63">
        <f t="shared" ca="1" si="19"/>
        <v>34.01166397868537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45526</v>
      </c>
      <c r="K146">
        <f ca="1"/>
        <v>32.164467915791121</v>
      </c>
      <c r="L146">
        <f ca="1"/>
        <v>0.81951789563672151</v>
      </c>
      <c r="M146">
        <f ca="1"/>
        <v>3.0339543000472702E-2</v>
      </c>
      <c r="N146">
        <f ca="1"/>
        <v>0.46581832025473369</v>
      </c>
      <c r="O146">
        <f ca="1"/>
        <v>0</v>
      </c>
      <c r="P146">
        <f ca="1"/>
        <v>41.03247806005399</v>
      </c>
      <c r="Q146">
        <f ca="1"/>
        <v>34.853842367613439</v>
      </c>
      <c r="R146">
        <f ca="1"/>
        <v>0.28066476448001482</v>
      </c>
      <c r="S146">
        <f ca="1"/>
        <v>1</v>
      </c>
      <c r="T146">
        <f ca="1"/>
        <v>1.240000000000002</v>
      </c>
      <c r="U146">
        <f ca="1"/>
        <v>0</v>
      </c>
      <c r="V146">
        <f ca="1"/>
        <v>0.56177557968950353</v>
      </c>
      <c r="X146" s="2">
        <f t="shared" ca="1" si="15"/>
        <v>45526</v>
      </c>
      <c r="Y146">
        <f t="shared" ca="1" si="16"/>
        <v>0</v>
      </c>
      <c r="AA146" s="63">
        <f t="shared" ca="1" si="18"/>
        <v>33.264650575907858</v>
      </c>
      <c r="AB146" s="63">
        <f t="shared" ca="1" si="19"/>
        <v>33.264650575907858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45527</v>
      </c>
      <c r="K147">
        <f ca="1"/>
        <v>31.543467723108311</v>
      </c>
      <c r="L147">
        <f ca="1"/>
        <v>0.83493856541098666</v>
      </c>
      <c r="M147">
        <f ca="1"/>
        <v>2.9584217361652065E-2</v>
      </c>
      <c r="N147">
        <f ca="1"/>
        <v>0.46625929468452537</v>
      </c>
      <c r="O147">
        <f ca="1"/>
        <v>0</v>
      </c>
      <c r="P147">
        <f ca="1"/>
        <v>41.867416625464976</v>
      </c>
      <c r="Q147">
        <f ca="1"/>
        <v>35.563056593059059</v>
      </c>
      <c r="R147">
        <f ca="1"/>
        <v>0.28190513931800204</v>
      </c>
      <c r="S147">
        <f ca="1"/>
        <v>1</v>
      </c>
      <c r="T147">
        <f ca="1"/>
        <v>1.2700000000000031</v>
      </c>
      <c r="U147">
        <f ca="1"/>
        <v>0</v>
      </c>
      <c r="V147">
        <f ca="1"/>
        <v>0.57035371315240169</v>
      </c>
      <c r="X147" s="2">
        <f t="shared" ca="1" si="15"/>
        <v>45527</v>
      </c>
      <c r="Y147">
        <f t="shared" ca="1" si="16"/>
        <v>0</v>
      </c>
      <c r="AA147" s="63">
        <f t="shared" ca="1" si="18"/>
        <v>32.6603114278373</v>
      </c>
      <c r="AB147" s="63">
        <f t="shared" ca="1" si="19"/>
        <v>32.6603114278373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45528</v>
      </c>
      <c r="K148">
        <f ca="1"/>
        <v>30.050704376782477</v>
      </c>
      <c r="L148">
        <f ca="1"/>
        <v>0.87587779905999241</v>
      </c>
      <c r="M148">
        <f ca="1"/>
        <v>2.9206637386415935E-2</v>
      </c>
      <c r="N148">
        <f ca="1"/>
        <v>0.474687789696628</v>
      </c>
      <c r="O148">
        <f ca="1"/>
        <v>0</v>
      </c>
      <c r="P148">
        <f ca="1"/>
        <v>42.743294424524969</v>
      </c>
      <c r="Q148">
        <f ca="1"/>
        <v>36.307045457125461</v>
      </c>
      <c r="R148">
        <f ca="1"/>
        <v>1.1207799743488867</v>
      </c>
      <c r="S148">
        <f ca="1"/>
        <v>1</v>
      </c>
      <c r="T148">
        <f ca="1"/>
        <v>5.2999999999999972</v>
      </c>
      <c r="U148">
        <f ca="1"/>
        <v>0</v>
      </c>
      <c r="V148">
        <f ca="1"/>
        <v>0.57910182334862781</v>
      </c>
      <c r="X148" s="2">
        <f t="shared" ca="1" si="15"/>
        <v>45528</v>
      </c>
      <c r="Y148">
        <f t="shared" ca="1" si="16"/>
        <v>0</v>
      </c>
      <c r="AA148" s="63">
        <f t="shared" ca="1" si="18"/>
        <v>32.047362150191354</v>
      </c>
      <c r="AB148" s="63">
        <f t="shared" ca="1" si="19"/>
        <v>32.047362150191354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45529</v>
      </c>
      <c r="K149">
        <f ca="1"/>
        <v>29.155130728167389</v>
      </c>
      <c r="L149">
        <f ca="1"/>
        <v>0.871103311367591</v>
      </c>
      <c r="M149">
        <f ca="1"/>
        <v>2.818251894243673E-2</v>
      </c>
      <c r="N149">
        <f ca="1"/>
        <v>0.46846811008464367</v>
      </c>
      <c r="O149">
        <f ca="1"/>
        <v>0</v>
      </c>
      <c r="P149">
        <f ca="1"/>
        <v>43.61439773589256</v>
      </c>
      <c r="Q149">
        <f ca="1"/>
        <v>37.046978771800639</v>
      </c>
      <c r="R149">
        <f ca="1"/>
        <v>0.52112096627457694</v>
      </c>
      <c r="S149">
        <f ca="1"/>
        <v>1</v>
      </c>
      <c r="T149">
        <f ca="1"/>
        <v>2.5399999999999991</v>
      </c>
      <c r="U149">
        <f ca="1"/>
        <v>0</v>
      </c>
      <c r="V149">
        <f ca="1"/>
        <v>0.58755338385764222</v>
      </c>
      <c r="X149" s="2">
        <f t="shared" ca="1" si="15"/>
        <v>45529</v>
      </c>
      <c r="Y149">
        <f t="shared" ca="1" si="16"/>
        <v>0</v>
      </c>
      <c r="AA149" s="63">
        <f t="shared" ca="1" si="18"/>
        <v>30.547355005809557</v>
      </c>
      <c r="AB149" s="63">
        <f t="shared" ca="1" si="19"/>
        <v>30.547355005809557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45530</v>
      </c>
      <c r="K150">
        <f ca="1"/>
        <v>28.589174603533824</v>
      </c>
      <c r="L150">
        <f ca="1"/>
        <v>0.881453841610913</v>
      </c>
      <c r="M150">
        <f ca="1"/>
        <v>2.7408626578932171E-2</v>
      </c>
      <c r="N150">
        <f ca="1"/>
        <v>0.46714203208202892</v>
      </c>
      <c r="O150">
        <f ca="1"/>
        <v>0</v>
      </c>
      <c r="P150">
        <f ca="1"/>
        <v>44.495851577503473</v>
      </c>
      <c r="Q150">
        <f ca="1"/>
        <v>37.795704042667047</v>
      </c>
      <c r="R150">
        <f ca="1"/>
        <v>0.17905294168361385</v>
      </c>
      <c r="S150">
        <f ca="1"/>
        <v>1</v>
      </c>
      <c r="T150">
        <f ca="1"/>
        <v>0.89000000000000057</v>
      </c>
      <c r="U150">
        <f ca="1"/>
        <v>0</v>
      </c>
      <c r="V150">
        <f ca="1"/>
        <v>0.59585872900891834</v>
      </c>
      <c r="X150" s="2">
        <f t="shared" ca="1" si="15"/>
        <v>45530</v>
      </c>
      <c r="Y150">
        <f t="shared" ca="1" si="16"/>
        <v>0</v>
      </c>
      <c r="AA150" s="63">
        <f t="shared" ca="1" si="18"/>
        <v>29.649681386828352</v>
      </c>
      <c r="AB150" s="63">
        <f t="shared" ca="1" si="19"/>
        <v>29.649681386828352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45531</v>
      </c>
      <c r="K151">
        <f ca="1"/>
        <v>28.164184614191011</v>
      </c>
      <c r="L151">
        <f ca="1"/>
        <v>0.84589214468532958</v>
      </c>
      <c r="M151">
        <f ca="1"/>
        <v>2.6099682951866043E-2</v>
      </c>
      <c r="N151">
        <f ca="1"/>
        <v>0.45227827136257215</v>
      </c>
      <c r="O151">
        <f ca="1"/>
        <v>0</v>
      </c>
      <c r="P151">
        <f ca="1"/>
        <v>45.341743722188802</v>
      </c>
      <c r="Q151">
        <f ca="1"/>
        <v>38.514222466724085</v>
      </c>
      <c r="R151">
        <f ca="1"/>
        <v>5.747579897192296E-2</v>
      </c>
      <c r="S151">
        <f ca="1"/>
        <v>1</v>
      </c>
      <c r="T151">
        <f ca="1"/>
        <v>0.28999999999999915</v>
      </c>
      <c r="U151">
        <f ca="1"/>
        <v>0</v>
      </c>
      <c r="V151">
        <f ca="1"/>
        <v>0.60360139663743284</v>
      </c>
      <c r="X151" s="2">
        <f t="shared" ca="1" si="15"/>
        <v>45531</v>
      </c>
      <c r="Y151">
        <f t="shared" ca="1" si="16"/>
        <v>0</v>
      </c>
      <c r="AA151" s="63">
        <f t="shared" ca="1" si="18"/>
        <v>29.067552557848263</v>
      </c>
      <c r="AB151" s="63">
        <f t="shared" ca="1" si="19"/>
        <v>29.067552557848263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45532</v>
      </c>
      <c r="K152">
        <f ca="1"/>
        <v>27.74002523576436</v>
      </c>
      <c r="L152">
        <f ca="1"/>
        <v>0.85609555449003949</v>
      </c>
      <c r="M152">
        <f ca="1"/>
        <v>2.5420555415287538E-2</v>
      </c>
      <c r="N152">
        <f ca="1"/>
        <v>0.45141336519635517</v>
      </c>
      <c r="O152">
        <f ca="1"/>
        <v>0</v>
      </c>
      <c r="P152">
        <f ca="1"/>
        <v>46.197839276678842</v>
      </c>
      <c r="Q152">
        <f ca="1"/>
        <v>39.241407879804427</v>
      </c>
      <c r="R152">
        <f ca="1"/>
        <v>4.4897744548255042E-2</v>
      </c>
      <c r="S152">
        <f ca="1"/>
        <v>1</v>
      </c>
      <c r="T152">
        <f ca="1"/>
        <v>0.22999999999999687</v>
      </c>
      <c r="U152">
        <f ca="1"/>
        <v>0</v>
      </c>
      <c r="V152">
        <f ca="1"/>
        <v>0.61121617001623729</v>
      </c>
      <c r="X152" s="2">
        <f t="shared" ca="1" si="15"/>
        <v>45532</v>
      </c>
      <c r="Y152">
        <f t="shared" ca="1" si="16"/>
        <v>0</v>
      </c>
      <c r="AA152" s="63">
        <f t="shared" ca="1" si="18"/>
        <v>28.641018534802654</v>
      </c>
      <c r="AB152" s="63">
        <f t="shared" ca="1" si="19"/>
        <v>28.641018534802654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45533</v>
      </c>
      <c r="K153">
        <f ca="1"/>
        <v>27.110611355961936</v>
      </c>
      <c r="L153">
        <f ca="1"/>
        <v>0.8906350918882282</v>
      </c>
      <c r="M153">
        <f ca="1"/>
        <v>2.5034434283085716E-2</v>
      </c>
      <c r="N153">
        <f ca="1"/>
        <v>0.45748969420471858</v>
      </c>
      <c r="O153">
        <f ca="1"/>
        <v>0</v>
      </c>
      <c r="P153">
        <f ca="1"/>
        <v>47.08847436856707</v>
      </c>
      <c r="Q153">
        <f ca="1"/>
        <v>39.997931896080146</v>
      </c>
      <c r="R153">
        <f ca="1"/>
        <v>0.22130291640199973</v>
      </c>
      <c r="S153">
        <f ca="1"/>
        <v>1</v>
      </c>
      <c r="T153">
        <f ca="1"/>
        <v>1.1599999999999966</v>
      </c>
      <c r="U153">
        <f ca="1"/>
        <v>0</v>
      </c>
      <c r="V153">
        <f ca="1"/>
        <v>0.61890800315886796</v>
      </c>
      <c r="X153" s="2">
        <f t="shared" ca="1" si="15"/>
        <v>45533</v>
      </c>
      <c r="Y153">
        <f t="shared" ca="1" si="16"/>
        <v>0</v>
      </c>
      <c r="AA153" s="63">
        <f t="shared" ca="1" si="18"/>
        <v>28.222549364252163</v>
      </c>
      <c r="AB153" s="63">
        <f t="shared" ca="1" si="19"/>
        <v>28.222549364252163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45534</v>
      </c>
      <c r="K154">
        <f ca="1"/>
        <v>26.176631648681859</v>
      </c>
      <c r="L154">
        <f ca="1"/>
        <v>0.91388043285547127</v>
      </c>
      <c r="M154">
        <f ca="1"/>
        <v>2.4515410596414711E-2</v>
      </c>
      <c r="N154">
        <f ca="1"/>
        <v>0.46010955336060227</v>
      </c>
      <c r="O154">
        <f ca="1"/>
        <v>0</v>
      </c>
      <c r="P154">
        <f ca="1"/>
        <v>48.002354801422541</v>
      </c>
      <c r="Q154">
        <f ca="1"/>
        <v>40.774200989625328</v>
      </c>
      <c r="R154">
        <f ca="1"/>
        <v>0.50472423838162184</v>
      </c>
      <c r="S154">
        <f ca="1"/>
        <v>1</v>
      </c>
      <c r="T154">
        <f ca="1"/>
        <v>2.740000000000002</v>
      </c>
      <c r="U154">
        <f ca="1"/>
        <v>0</v>
      </c>
      <c r="V154">
        <f ca="1"/>
        <v>0.62656324916468342</v>
      </c>
      <c r="X154" s="2">
        <f t="shared" ca="1" si="15"/>
        <v>45534</v>
      </c>
      <c r="Y154">
        <f t="shared" ca="1" si="16"/>
        <v>0</v>
      </c>
      <c r="AA154" s="63">
        <f t="shared" ca="1" si="18"/>
        <v>27.595236319918953</v>
      </c>
      <c r="AB154" s="63">
        <f t="shared" ca="1" si="19"/>
        <v>27.595236319918953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45535</v>
      </c>
      <c r="K155">
        <f ca="1"/>
        <v>25.580021225175894</v>
      </c>
      <c r="L155">
        <f ca="1"/>
        <v>0.9046447612648123</v>
      </c>
      <c r="M155">
        <f ca="1"/>
        <v>2.366384836667379E-2</v>
      </c>
      <c r="N155">
        <f ca="1"/>
        <v>0.45357759275574083</v>
      </c>
      <c r="O155">
        <f ca="1"/>
        <v>0</v>
      </c>
      <c r="P155">
        <f ca="1"/>
        <v>48.906999562687353</v>
      </c>
      <c r="Q155">
        <f ca="1"/>
        <v>41.542625111163012</v>
      </c>
      <c r="R155">
        <f ca="1"/>
        <v>0.1692071033635692</v>
      </c>
      <c r="S155">
        <f ca="1"/>
        <v>1</v>
      </c>
      <c r="T155">
        <f ca="1"/>
        <v>0.93999999999999062</v>
      </c>
      <c r="U155">
        <f ca="1"/>
        <v>0</v>
      </c>
      <c r="V155">
        <f ca="1"/>
        <v>0.63391107786443945</v>
      </c>
      <c r="X155" s="2">
        <f t="shared" ca="1" si="15"/>
        <v>45535</v>
      </c>
      <c r="Y155">
        <f t="shared" ca="1" si="16"/>
        <v>0</v>
      </c>
      <c r="AA155" s="63">
        <f t="shared" ca="1" si="18"/>
        <v>26.653873089804275</v>
      </c>
      <c r="AB155" s="63">
        <f t="shared" ca="1" si="19"/>
        <v>26.653873089804275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45536</v>
      </c>
      <c r="K156">
        <f ca="1"/>
        <v>24.999511737937528</v>
      </c>
      <c r="L156">
        <f ca="1"/>
        <v>0.92793131345644753</v>
      </c>
      <c r="M156">
        <f ca="1"/>
        <v>2.3180390596770906E-2</v>
      </c>
      <c r="N156">
        <f ca="1"/>
        <v>0.45618330312709132</v>
      </c>
      <c r="O156">
        <f ca="1"/>
        <v>0</v>
      </c>
      <c r="P156">
        <f ca="1"/>
        <v>49.834930876143801</v>
      </c>
      <c r="Q156">
        <f ca="1"/>
        <v>42.330829315643392</v>
      </c>
      <c r="R156">
        <f ca="1"/>
        <v>0.13194186750578141</v>
      </c>
      <c r="S156">
        <f ca="1"/>
        <v>1</v>
      </c>
      <c r="T156">
        <f ca="1"/>
        <v>0.75</v>
      </c>
      <c r="U156">
        <f ca="1"/>
        <v>0</v>
      </c>
      <c r="V156">
        <f ca="1"/>
        <v>0.64121722787657642</v>
      </c>
      <c r="X156" s="2">
        <f t="shared" ca="1" si="15"/>
        <v>45536</v>
      </c>
      <c r="Y156">
        <f t="shared" ca="1" si="16"/>
        <v>0</v>
      </c>
      <c r="AA156" s="63">
        <f t="shared" ca="1" si="18"/>
        <v>26.059384918899756</v>
      </c>
      <c r="AB156" s="63">
        <f t="shared" ca="1" si="19"/>
        <v>26.059384918899756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45537</v>
      </c>
      <c r="K157">
        <f ca="1"/>
        <v>24.449952110577073</v>
      </c>
      <c r="L157">
        <f ca="1"/>
        <v>1.0360217110940511</v>
      </c>
      <c r="M157">
        <f ca="1"/>
        <v>2.3528908353341649E-2</v>
      </c>
      <c r="N157">
        <f ca="1"/>
        <v>0.4818592494214049</v>
      </c>
      <c r="O157">
        <f ca="1"/>
        <v>0</v>
      </c>
      <c r="P157">
        <f ca="1"/>
        <v>50.870952587237852</v>
      </c>
      <c r="Q157">
        <f ca="1"/>
        <v>43.210847757499337</v>
      </c>
      <c r="R157">
        <f ca="1"/>
        <v>1.8926074041149085E-2</v>
      </c>
      <c r="S157">
        <f ca="1"/>
        <v>1</v>
      </c>
      <c r="T157">
        <f ca="1"/>
        <v>0.10999999999999233</v>
      </c>
      <c r="U157">
        <f ca="1"/>
        <v>0</v>
      </c>
      <c r="V157">
        <f ca="1"/>
        <v>0.64910687465414862</v>
      </c>
      <c r="X157" s="2">
        <f t="shared" ca="1" si="15"/>
        <v>45537</v>
      </c>
      <c r="Y157">
        <f t="shared" ca="1" si="16"/>
        <v>0</v>
      </c>
      <c r="AA157" s="63">
        <f t="shared" ca="1" si="18"/>
        <v>25.504899895712274</v>
      </c>
      <c r="AB157" s="63">
        <f t="shared" ca="1" si="19"/>
        <v>25.504899895712274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45538</v>
      </c>
      <c r="K158">
        <f ca="1"/>
        <v>23.609018190665221</v>
      </c>
      <c r="L158">
        <f ca="1"/>
        <v>1.0696264825236597</v>
      </c>
      <c r="M158">
        <f ca="1"/>
        <v>2.3089260207235895E-2</v>
      </c>
      <c r="N158">
        <f ca="1"/>
        <v>0.48637573725726346</v>
      </c>
      <c r="O158">
        <f ca="1"/>
        <v>0</v>
      </c>
      <c r="P158">
        <f ca="1"/>
        <v>51.940579069761512</v>
      </c>
      <c r="Q158">
        <f ca="1"/>
        <v>44.119410792847624</v>
      </c>
      <c r="R158">
        <f ca="1"/>
        <v>0.2807724348526886</v>
      </c>
      <c r="S158">
        <f ca="1"/>
        <v>1</v>
      </c>
      <c r="T158">
        <f ca="1"/>
        <v>1.6899999999999977</v>
      </c>
      <c r="U158">
        <f ca="1"/>
        <v>0</v>
      </c>
      <c r="V158">
        <f ca="1"/>
        <v>0.6569661966074074</v>
      </c>
      <c r="X158" s="2">
        <f t="shared" ca="1" si="15"/>
        <v>45538</v>
      </c>
      <c r="Y158">
        <f t="shared" ca="1" si="16"/>
        <v>0</v>
      </c>
      <c r="AA158" s="63">
        <f t="shared" ca="1" si="18"/>
        <v>24.959417108041571</v>
      </c>
      <c r="AB158" s="63">
        <f t="shared" ca="1" si="19"/>
        <v>24.959417108041571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45539</v>
      </c>
      <c r="K159">
        <f ca="1"/>
        <v>22.429910094447362</v>
      </c>
      <c r="L159">
        <f ca="1"/>
        <v>1.1192389633062376</v>
      </c>
      <c r="M159">
        <f ca="1"/>
        <v>2.2795708544855131E-2</v>
      </c>
      <c r="N159">
        <f ca="1"/>
        <v>0.49502995408717609</v>
      </c>
      <c r="O159">
        <f ca="1"/>
        <v>0</v>
      </c>
      <c r="P159">
        <f ca="1"/>
        <v>53.059818033067749</v>
      </c>
      <c r="Q159">
        <f ca="1"/>
        <v>45.070115703764117</v>
      </c>
      <c r="R159">
        <f ca="1"/>
        <v>0.57769479554365488</v>
      </c>
      <c r="S159">
        <f ca="1"/>
        <v>1</v>
      </c>
      <c r="T159">
        <f ca="1"/>
        <v>3.6599999999999966</v>
      </c>
      <c r="U159">
        <f ca="1"/>
        <v>0</v>
      </c>
      <c r="V159">
        <f ca="1"/>
        <v>0.6648899769489528</v>
      </c>
      <c r="X159" s="2">
        <f t="shared" ca="1" si="15"/>
        <v>45539</v>
      </c>
      <c r="Y159">
        <f t="shared" ca="1" si="16"/>
        <v>0</v>
      </c>
      <c r="AA159" s="63">
        <f t="shared" ca="1" si="18"/>
        <v>24.126843853297252</v>
      </c>
      <c r="AB159" s="63">
        <f t="shared" ca="1" si="19"/>
        <v>24.126843853297252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45540</v>
      </c>
      <c r="K160">
        <f ca="1"/>
        <v>21.555779751529066</v>
      </c>
      <c r="L160">
        <f ca="1"/>
        <v>1.1296195276498722</v>
      </c>
      <c r="M160">
        <f ca="1"/>
        <v>2.2133808966728452E-2</v>
      </c>
      <c r="N160">
        <f ca="1"/>
        <v>0.49274325877491554</v>
      </c>
      <c r="O160">
        <f ca="1"/>
        <v>0</v>
      </c>
      <c r="P160">
        <f ca="1"/>
        <v>54.189437560717622</v>
      </c>
      <c r="Q160">
        <f ca="1"/>
        <v>46.029638082462853</v>
      </c>
      <c r="R160">
        <f ca="1"/>
        <v>0.25938788301006549</v>
      </c>
      <c r="S160">
        <f ca="1"/>
        <v>1</v>
      </c>
      <c r="T160">
        <f ca="1"/>
        <v>1.7099999999999937</v>
      </c>
      <c r="U160">
        <f ca="1"/>
        <v>0</v>
      </c>
      <c r="V160">
        <f ca="1"/>
        <v>0.67258783287045365</v>
      </c>
      <c r="X160" s="2">
        <f t="shared" ca="1" si="15"/>
        <v>45540</v>
      </c>
      <c r="Y160">
        <f t="shared" ca="1" si="16"/>
        <v>0</v>
      </c>
      <c r="AA160" s="63">
        <f t="shared" ca="1" si="18"/>
        <v>22.944787162189005</v>
      </c>
      <c r="AB160" s="63">
        <f t="shared" ca="1" si="19"/>
        <v>22.944787162189005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45541</v>
      </c>
      <c r="K161">
        <f ca="1"/>
        <v>20.879099059246563</v>
      </c>
      <c r="L161">
        <f ca="1"/>
        <v>1.0980959225152134</v>
      </c>
      <c r="M161">
        <f ca="1"/>
        <v>2.1144894638140954E-2</v>
      </c>
      <c r="N161">
        <f ca="1"/>
        <v>0.4796109120197049</v>
      </c>
      <c r="O161">
        <f ca="1"/>
        <v>0</v>
      </c>
      <c r="P161">
        <f ca="1"/>
        <v>55.287533483232835</v>
      </c>
      <c r="Q161">
        <f ca="1"/>
        <v>46.962383653711292</v>
      </c>
      <c r="R161">
        <f ca="1"/>
        <v>7.9340576425136811E-2</v>
      </c>
      <c r="S161">
        <f ca="1"/>
        <v>1</v>
      </c>
      <c r="T161">
        <f ca="1"/>
        <v>0.53999999999999915</v>
      </c>
      <c r="U161">
        <f ca="1"/>
        <v>0</v>
      </c>
      <c r="V161">
        <f ca="1"/>
        <v>0.67979366408881647</v>
      </c>
      <c r="X161" s="2">
        <f t="shared" ca="1" si="15"/>
        <v>45541</v>
      </c>
      <c r="Y161">
        <f t="shared" ca="1" si="16"/>
        <v>0</v>
      </c>
      <c r="AA161" s="63">
        <f t="shared" ca="1" si="18"/>
        <v>22.056535558186912</v>
      </c>
      <c r="AB161" s="63">
        <f t="shared" ca="1" si="19"/>
        <v>22.056535558186912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45542</v>
      </c>
      <c r="K162">
        <f ca="1"/>
        <v>19.925406224587444</v>
      </c>
      <c r="L162">
        <f ca="1"/>
        <v>1.1927300257639502</v>
      </c>
      <c r="M162">
        <f ca="1"/>
        <v>2.1247758926534743E-2</v>
      </c>
      <c r="N162">
        <f ca="1"/>
        <v>0.49962323355496507</v>
      </c>
      <c r="O162">
        <f ca="1"/>
        <v>0</v>
      </c>
      <c r="P162">
        <f ca="1"/>
        <v>56.480263508996785</v>
      </c>
      <c r="Q162">
        <f ca="1"/>
        <v>47.975513405325458</v>
      </c>
      <c r="R162">
        <f ca="1"/>
        <v>0.28183380137666536</v>
      </c>
      <c r="S162">
        <f ca="1"/>
        <v>1</v>
      </c>
      <c r="T162">
        <f ca="1"/>
        <v>2.0100000000000051</v>
      </c>
      <c r="U162">
        <f ca="1"/>
        <v>0</v>
      </c>
      <c r="V162">
        <f ca="1"/>
        <v>0.68732319426037425</v>
      </c>
      <c r="X162" s="2">
        <f t="shared" ca="1" si="15"/>
        <v>45542</v>
      </c>
      <c r="Y162">
        <f t="shared" ca="1" si="16"/>
        <v>0</v>
      </c>
      <c r="AA162" s="63">
        <f t="shared" ca="1" si="18"/>
        <v>21.399970051728062</v>
      </c>
      <c r="AB162" s="63">
        <f t="shared" ca="1" si="19"/>
        <v>21.399970051728062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45543</v>
      </c>
      <c r="K163">
        <f ca="1"/>
        <v>19.087337823198101</v>
      </c>
      <c r="L163">
        <f ca="1"/>
        <v>1.148061286099356</v>
      </c>
      <c r="M163">
        <f ca="1"/>
        <v>2.0199820367295729E-2</v>
      </c>
      <c r="N163">
        <f ca="1"/>
        <v>0.48321142095112385</v>
      </c>
      <c r="O163">
        <f ca="1"/>
        <v>0</v>
      </c>
      <c r="P163">
        <f ca="1"/>
        <v>57.628324795096141</v>
      </c>
      <c r="Q163">
        <f ca="1"/>
        <v>48.950700598151165</v>
      </c>
      <c r="R163">
        <f ca="1"/>
        <v>0.19341835660840714</v>
      </c>
      <c r="S163">
        <f ca="1"/>
        <v>1</v>
      </c>
      <c r="T163">
        <f ca="1"/>
        <v>1.4399999999999977</v>
      </c>
      <c r="U163">
        <f ca="1"/>
        <v>0</v>
      </c>
      <c r="V163">
        <f ca="1"/>
        <v>0.69429013558226527</v>
      </c>
      <c r="X163" s="2">
        <f t="shared" ca="1" si="15"/>
        <v>45543</v>
      </c>
      <c r="Y163">
        <f t="shared" ca="1" si="16"/>
        <v>0</v>
      </c>
      <c r="AA163" s="63">
        <f t="shared" ca="1" si="18"/>
        <v>20.428817465905865</v>
      </c>
      <c r="AB163" s="63">
        <f t="shared" ca="1" si="19"/>
        <v>20.428817465905865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45544</v>
      </c>
      <c r="K164">
        <f ca="1"/>
        <v>18.404180007480964</v>
      </c>
      <c r="L164">
        <f ca="1"/>
        <v>1.1930660123619248</v>
      </c>
      <c r="M164">
        <f ca="1"/>
        <v>1.990022906981892E-2</v>
      </c>
      <c r="N164">
        <f ca="1"/>
        <v>0.49000796757496845</v>
      </c>
      <c r="O164">
        <f ca="1"/>
        <v>0</v>
      </c>
      <c r="P164">
        <f ca="1"/>
        <v>58.821390807458066</v>
      </c>
      <c r="Q164">
        <f ca="1"/>
        <v>49.964115743786785</v>
      </c>
      <c r="R164">
        <f ca="1"/>
        <v>0</v>
      </c>
      <c r="S164">
        <f ca="1"/>
        <v>0.98425925925925928</v>
      </c>
      <c r="T164">
        <f ca="1"/>
        <v>0</v>
      </c>
      <c r="U164">
        <f ca="1"/>
        <v>0</v>
      </c>
      <c r="V164">
        <f ca="1"/>
        <v>0.70125073001120575</v>
      </c>
      <c r="X164" s="2">
        <f t="shared" ca="1" si="15"/>
        <v>45544</v>
      </c>
      <c r="Y164">
        <f t="shared" ca="1" si="16"/>
        <v>0</v>
      </c>
      <c r="AA164" s="63">
        <f t="shared" ca="1" si="18"/>
        <v>19.597246019842888</v>
      </c>
      <c r="AB164" s="63">
        <f t="shared" ca="1" si="19"/>
        <v>19.597246019842888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45545</v>
      </c>
      <c r="K165">
        <f ca="1"/>
        <v>17.667628801504524</v>
      </c>
      <c r="L165">
        <f ca="1"/>
        <v>1.2375437664713402</v>
      </c>
      <c r="M165">
        <f ca="1"/>
        <v>1.9588389513430116E-2</v>
      </c>
      <c r="N165">
        <f ca="1"/>
        <v>0.49640515253496204</v>
      </c>
      <c r="O165">
        <f ca="1"/>
        <v>0</v>
      </c>
      <c r="P165">
        <f ca="1"/>
        <v>60.058934573929406</v>
      </c>
      <c r="Q165">
        <f ca="1"/>
        <v>51.015311221098351</v>
      </c>
      <c r="R165">
        <f ca="1"/>
        <v>1.5000981553489974E-2</v>
      </c>
      <c r="S165">
        <f ca="1"/>
        <v>1</v>
      </c>
      <c r="T165">
        <f ca="1"/>
        <v>0.12065673640957897</v>
      </c>
      <c r="U165">
        <f ca="1"/>
        <v>0</v>
      </c>
      <c r="V165">
        <f ca="1"/>
        <v>0.70818267438287796</v>
      </c>
      <c r="X165" s="2">
        <f t="shared" ca="1" si="15"/>
        <v>45545</v>
      </c>
      <c r="Y165">
        <f t="shared" ca="1" si="16"/>
        <v>0</v>
      </c>
      <c r="AA165" s="63">
        <f t="shared" ca="1" si="18"/>
        <v>18.920173549529355</v>
      </c>
      <c r="AB165" s="63">
        <f t="shared" ca="1" si="19"/>
        <v>18.920173549529355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45546</v>
      </c>
      <c r="K166">
        <f ca="1"/>
        <v>16.692818180405428</v>
      </c>
      <c r="L166">
        <f ca="1"/>
        <v>1.3320281541120025</v>
      </c>
      <c r="M166">
        <f ca="1"/>
        <v>1.9624597101326913E-2</v>
      </c>
      <c r="N166">
        <f ca="1"/>
        <v>0.51496958539151783</v>
      </c>
      <c r="O166">
        <f ca="1"/>
        <v>0</v>
      </c>
      <c r="P166">
        <f ca="1"/>
        <v>61.390962728041409</v>
      </c>
      <c r="Q166">
        <f ca="1"/>
        <v>52.14676370721665</v>
      </c>
      <c r="R166">
        <f ca="1"/>
        <v>0.17737664947993828</v>
      </c>
      <c r="S166">
        <f ca="1"/>
        <v>1</v>
      </c>
      <c r="T166">
        <f ca="1"/>
        <v>1.5100000000000051</v>
      </c>
      <c r="U166">
        <f ca="1"/>
        <v>0</v>
      </c>
      <c r="V166">
        <f ca="1"/>
        <v>0.71533071908324097</v>
      </c>
      <c r="X166" s="2">
        <f t="shared" ca="1" si="15"/>
        <v>45546</v>
      </c>
      <c r="Y166">
        <f t="shared" ca="1" si="16"/>
        <v>0</v>
      </c>
      <c r="AA166" s="63">
        <f t="shared" ca="1" si="18"/>
        <v>18.20222298399737</v>
      </c>
      <c r="AB166" s="63">
        <f t="shared" ca="1" si="19"/>
        <v>18.20222298399737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45547</v>
      </c>
      <c r="K167">
        <f ca="1"/>
        <v>15.59478041099451</v>
      </c>
      <c r="L167">
        <f ca="1"/>
        <v>1.3062894690481386</v>
      </c>
      <c r="M167">
        <f ca="1"/>
        <v>1.879412589077134E-2</v>
      </c>
      <c r="N167">
        <f ca="1"/>
        <v>0.50331696912920509</v>
      </c>
      <c r="O167">
        <f ca="1"/>
        <v>0</v>
      </c>
      <c r="P167">
        <f ca="1"/>
        <v>62.697252197089547</v>
      </c>
      <c r="Q167">
        <f ca="1"/>
        <v>53.256353217605032</v>
      </c>
      <c r="R167">
        <f ca="1"/>
        <v>0.31385939538275609</v>
      </c>
      <c r="S167">
        <f ca="1"/>
        <v>1</v>
      </c>
      <c r="T167">
        <f ca="1"/>
        <v>2.8599999999999994</v>
      </c>
      <c r="U167">
        <f ca="1"/>
        <v>0</v>
      </c>
      <c r="V167">
        <f ca="1"/>
        <v>0.72203998032699446</v>
      </c>
      <c r="X167" s="2">
        <f t="shared" ca="1" si="15"/>
        <v>45547</v>
      </c>
      <c r="Y167">
        <f t="shared" ca="1" si="16"/>
        <v>0</v>
      </c>
      <c r="AA167" s="63">
        <f t="shared" ca="1" si="18"/>
        <v>17.214929275425405</v>
      </c>
      <c r="AB167" s="63">
        <f t="shared" ca="1" si="19"/>
        <v>17.214929275425405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45548</v>
      </c>
      <c r="K168">
        <f ca="1"/>
        <v>14.64946813934548</v>
      </c>
      <c r="L168">
        <f ca="1"/>
        <v>1.3596092248886791</v>
      </c>
      <c r="M168">
        <f ca="1"/>
        <v>1.8533818166886817E-2</v>
      </c>
      <c r="N168">
        <f ca="1"/>
        <v>0.51122264692656594</v>
      </c>
      <c r="O168">
        <f ca="1"/>
        <v>0</v>
      </c>
      <c r="P168">
        <f ca="1"/>
        <v>64.056861421978226</v>
      </c>
      <c r="Q168">
        <f ca="1"/>
        <v>54.411233640290391</v>
      </c>
      <c r="R168">
        <f ca="1"/>
        <v>0.11545951185380413</v>
      </c>
      <c r="S168">
        <f ca="1"/>
        <v>1</v>
      </c>
      <c r="T168">
        <f ca="1"/>
        <v>1.1199999999999974</v>
      </c>
      <c r="U168">
        <f ca="1"/>
        <v>0</v>
      </c>
      <c r="V168">
        <f ca="1"/>
        <v>0.72872207676739764</v>
      </c>
      <c r="X168" s="2">
        <f t="shared" ca="1" si="15"/>
        <v>45548</v>
      </c>
      <c r="Y168">
        <f t="shared" ca="1" si="16"/>
        <v>0</v>
      </c>
      <c r="AA168" s="63">
        <f t="shared" ca="1" si="18"/>
        <v>16.124536876087962</v>
      </c>
      <c r="AB168" s="63">
        <f t="shared" ca="1" si="19"/>
        <v>16.124536876087962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45549</v>
      </c>
      <c r="K169">
        <f ca="1"/>
        <v>156.55637190353053</v>
      </c>
      <c r="L169">
        <f ca="1"/>
        <v>1.4420157132008598</v>
      </c>
      <c r="M169">
        <f ca="1"/>
        <v>1.8449388520608068E-2</v>
      </c>
      <c r="N169">
        <f ca="1"/>
        <v>0.5258371151723702</v>
      </c>
      <c r="O169">
        <f ca="1"/>
        <v>143.83962661801661</v>
      </c>
      <c r="P169">
        <f ca="1"/>
        <v>65.498877135179086</v>
      </c>
      <c r="Q169">
        <f ca="1"/>
        <v>55.636111852275683</v>
      </c>
      <c r="R169">
        <f ca="1"/>
        <v>1.0349936443236694</v>
      </c>
      <c r="S169">
        <f ca="1"/>
        <v>1</v>
      </c>
      <c r="T169">
        <f ca="1"/>
        <v>0.93999999999999773</v>
      </c>
      <c r="U169">
        <f ca="1"/>
        <v>0</v>
      </c>
      <c r="V169">
        <f ca="1"/>
        <v>0.7354902276155415</v>
      </c>
      <c r="X169" s="2">
        <f t="shared" ca="1" si="15"/>
        <v>45549</v>
      </c>
      <c r="Y169">
        <f t="shared" ca="1" si="16"/>
        <v>143.83962661801661</v>
      </c>
      <c r="AA169" s="63">
        <f t="shared" ca="1" si="18"/>
        <v>159.03338126105507</v>
      </c>
      <c r="AB169" s="63">
        <f t="shared" ca="1" si="19"/>
        <v>159.03338126105507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45550</v>
      </c>
      <c r="K170">
        <f ca="1"/>
        <v>154.184791041278</v>
      </c>
      <c r="L170">
        <f ca="1"/>
        <v>1.5033537913203503</v>
      </c>
      <c r="M170">
        <f ca="1"/>
        <v>1.8207016093207073E-2</v>
      </c>
      <c r="N170">
        <f ca="1"/>
        <v>0.53492126446253818</v>
      </c>
      <c r="O170">
        <f ca="1"/>
        <v>0</v>
      </c>
      <c r="P170">
        <f ca="1"/>
        <v>67.002230926499436</v>
      </c>
      <c r="Q170">
        <f ca="1"/>
        <v>56.913091906679057</v>
      </c>
      <c r="R170">
        <f ca="1"/>
        <v>1.421355351487932</v>
      </c>
      <c r="S170">
        <f ca="1"/>
        <v>1</v>
      </c>
      <c r="T170">
        <f ca="1"/>
        <v>1.3100000000000023</v>
      </c>
      <c r="U170">
        <f ca="1"/>
        <v>0</v>
      </c>
      <c r="V170">
        <f ca="1"/>
        <v>0.74221478049055711</v>
      </c>
      <c r="X170" s="2">
        <f t="shared" ca="1" si="15"/>
        <v>45550</v>
      </c>
      <c r="Y170">
        <f t="shared" ca="1" si="16"/>
        <v>0</v>
      </c>
      <c r="AA170" s="63">
        <f t="shared" ca="1" si="18"/>
        <v>157.10950018408627</v>
      </c>
      <c r="AB170" s="63">
        <f t="shared" ca="1" si="19"/>
        <v>157.1095001840863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45551</v>
      </c>
      <c r="K171">
        <f ca="1"/>
        <v>152.88068918255865</v>
      </c>
      <c r="L171">
        <f ca="1"/>
        <v>1.5075761393335654</v>
      </c>
      <c r="M171">
        <f ca="1"/>
        <v>1.7610850506017073E-2</v>
      </c>
      <c r="N171">
        <f ca="1"/>
        <v>0.53012809315634135</v>
      </c>
      <c r="O171">
        <f ca="1"/>
        <v>0</v>
      </c>
      <c r="P171">
        <f ca="1"/>
        <v>68.509807065833002</v>
      </c>
      <c r="Q171">
        <f ca="1"/>
        <v>58.193658511518393</v>
      </c>
      <c r="R171">
        <f ca="1"/>
        <v>0.34426466304813236</v>
      </c>
      <c r="S171">
        <f ca="1"/>
        <v>1</v>
      </c>
      <c r="T171">
        <f ca="1"/>
        <v>0.32000000000000028</v>
      </c>
      <c r="U171">
        <f ca="1"/>
        <v>0</v>
      </c>
      <c r="V171">
        <f ca="1"/>
        <v>0.7486365730270661</v>
      </c>
      <c r="X171" s="2">
        <f t="shared" ca="1" si="15"/>
        <v>45551</v>
      </c>
      <c r="Y171">
        <f t="shared" ca="1" si="16"/>
        <v>0</v>
      </c>
      <c r="AA171" s="63">
        <f t="shared" ca="1" si="18"/>
        <v>154.73252998494036</v>
      </c>
      <c r="AB171" s="63">
        <f t="shared" ca="1" si="19"/>
        <v>154.73252998494036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45552</v>
      </c>
      <c r="K172">
        <f ca="1"/>
        <v>151.81371342016214</v>
      </c>
      <c r="L172">
        <f ca="1"/>
        <v>1.4860379196277478</v>
      </c>
      <c r="M172">
        <f ca="1"/>
        <v>1.6899966961950952E-2</v>
      </c>
      <c r="N172">
        <f ca="1"/>
        <v>0.51967724991676312</v>
      </c>
      <c r="O172">
        <f ca="1"/>
        <v>0</v>
      </c>
      <c r="P172">
        <f ca="1"/>
        <v>69.995844985460749</v>
      </c>
      <c r="Q172">
        <f ca="1"/>
        <v>59.455930103480185</v>
      </c>
      <c r="R172">
        <f ca="1"/>
        <v>0.11751505964745822</v>
      </c>
      <c r="S172">
        <f ca="1"/>
        <v>1</v>
      </c>
      <c r="T172">
        <f ca="1"/>
        <v>0.10999999999999943</v>
      </c>
      <c r="U172">
        <f ca="1"/>
        <v>0</v>
      </c>
      <c r="V172">
        <f ca="1"/>
        <v>0.75466839905958039</v>
      </c>
      <c r="X172" s="2">
        <f t="shared" ca="1" si="15"/>
        <v>45552</v>
      </c>
      <c r="Y172">
        <f t="shared" ca="1" si="16"/>
        <v>0</v>
      </c>
      <c r="AA172" s="63">
        <f t="shared" ca="1" si="18"/>
        <v>153.41726639943735</v>
      </c>
      <c r="AB172" s="63">
        <f t="shared" ca="1" si="19"/>
        <v>153.41726639943735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45553</v>
      </c>
      <c r="K173">
        <f ca="1"/>
        <v>149.49881096301149</v>
      </c>
      <c r="L173">
        <f ca="1"/>
        <v>1.4895956424897179</v>
      </c>
      <c r="M173">
        <f ca="1"/>
        <v>1.6371017462752491E-2</v>
      </c>
      <c r="N173">
        <f ca="1"/>
        <v>0.51543915184056222</v>
      </c>
      <c r="O173">
        <f ca="1"/>
        <v>0</v>
      </c>
      <c r="P173">
        <f ca="1"/>
        <v>71.485440627950467</v>
      </c>
      <c r="Q173">
        <f ca="1"/>
        <v>60.721223699417394</v>
      </c>
      <c r="R173">
        <f ca="1"/>
        <v>1.3571169839642183</v>
      </c>
      <c r="S173">
        <f ca="1"/>
        <v>1</v>
      </c>
      <c r="T173">
        <f ca="1"/>
        <v>1.289999999999992</v>
      </c>
      <c r="U173">
        <f ca="1"/>
        <v>0</v>
      </c>
      <c r="V173">
        <f ca="1"/>
        <v>0.76043348156625035</v>
      </c>
      <c r="X173" s="2">
        <f t="shared" ca="1" si="15"/>
        <v>45553</v>
      </c>
      <c r="Y173">
        <f t="shared" ca="1" si="16"/>
        <v>0</v>
      </c>
      <c r="AA173" s="63">
        <f t="shared" ca="1" si="18"/>
        <v>152.34552358946544</v>
      </c>
      <c r="AB173" s="63">
        <f t="shared" ca="1" si="19"/>
        <v>152.34552358946544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45554</v>
      </c>
      <c r="K174">
        <f ca="1"/>
        <v>148.518264038463</v>
      </c>
      <c r="L174">
        <f ca="1"/>
        <v>1.4986169526458184</v>
      </c>
      <c r="M174">
        <f ca="1"/>
        <v>1.589556257969349E-2</v>
      </c>
      <c r="N174">
        <f ca="1"/>
        <v>0.51262575076478334</v>
      </c>
      <c r="O174">
        <f ca="1"/>
        <v>0</v>
      </c>
      <c r="P174">
        <f ca="1"/>
        <v>72.984057580596286</v>
      </c>
      <c r="Q174">
        <f ca="1"/>
        <v>61.994180184290286</v>
      </c>
      <c r="R174">
        <f ca="1"/>
        <v>1.0451285247156446E-2</v>
      </c>
      <c r="S174">
        <f ca="1"/>
        <v>1</v>
      </c>
      <c r="T174">
        <f ca="1"/>
        <v>1.0000000000005116E-2</v>
      </c>
      <c r="U174">
        <f ca="1"/>
        <v>0</v>
      </c>
      <c r="V174">
        <f ca="1"/>
        <v>0.76596457886739677</v>
      </c>
      <c r="X174" s="2">
        <f t="shared" ca="1" si="15"/>
        <v>45554</v>
      </c>
      <c r="Y174">
        <f t="shared" ca="1" si="16"/>
        <v>0</v>
      </c>
      <c r="AA174" s="63">
        <f t="shared" ca="1" si="18"/>
        <v>150.02733227635596</v>
      </c>
      <c r="AB174" s="63">
        <f t="shared" ca="1" si="19"/>
        <v>150.02733227635596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45555</v>
      </c>
      <c r="K175">
        <f ca="1"/>
        <v>147.3772926928053</v>
      </c>
      <c r="L175">
        <f ca="1"/>
        <v>1.4983885771173675</v>
      </c>
      <c r="M175">
        <f ca="1"/>
        <v>1.5395089482481694E-2</v>
      </c>
      <c r="N175">
        <f ca="1"/>
        <v>0.50795805671276872</v>
      </c>
      <c r="O175">
        <f ca="1"/>
        <v>0</v>
      </c>
      <c r="P175">
        <f ca="1"/>
        <v>74.482446157713653</v>
      </c>
      <c r="Q175">
        <f ca="1"/>
        <v>63.266942682227821</v>
      </c>
      <c r="R175">
        <f ca="1"/>
        <v>0.16593591473559946</v>
      </c>
      <c r="S175">
        <f ca="1"/>
        <v>1</v>
      </c>
      <c r="T175">
        <f ca="1"/>
        <v>0.15999999999999659</v>
      </c>
      <c r="U175">
        <f ca="1"/>
        <v>0</v>
      </c>
      <c r="V175">
        <f ca="1"/>
        <v>0.77123958738825948</v>
      </c>
      <c r="X175" s="2">
        <f t="shared" ca="1" si="15"/>
        <v>45555</v>
      </c>
      <c r="Y175">
        <f t="shared" ca="1" si="16"/>
        <v>0</v>
      </c>
      <c r="AA175" s="63">
        <f t="shared" ca="1" si="18"/>
        <v>149.04161718465826</v>
      </c>
      <c r="AB175" s="63">
        <f t="shared" ca="1" si="19"/>
        <v>149.04161718465826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45556</v>
      </c>
      <c r="K176">
        <f ca="1"/>
        <v>144.57531339617546</v>
      </c>
      <c r="L176">
        <f ca="1"/>
        <v>1.5517027699322625</v>
      </c>
      <c r="M176">
        <f ca="1"/>
        <v>1.5172099178613507E-2</v>
      </c>
      <c r="N176">
        <f ca="1"/>
        <v>0.51496958539151783</v>
      </c>
      <c r="O176">
        <f ca="1"/>
        <v>0</v>
      </c>
      <c r="P176">
        <f ca="1"/>
        <v>76.034148927645916</v>
      </c>
      <c r="Q176">
        <f ca="1"/>
        <v>64.584991367112366</v>
      </c>
      <c r="R176">
        <f ca="1"/>
        <v>1.780418211267716</v>
      </c>
      <c r="S176">
        <f ca="1"/>
        <v>1</v>
      </c>
      <c r="T176">
        <f ca="1"/>
        <v>1.75</v>
      </c>
      <c r="U176">
        <f ca="1"/>
        <v>0</v>
      </c>
      <c r="V176">
        <f ca="1"/>
        <v>0.77644778153931859</v>
      </c>
      <c r="X176" s="2">
        <f t="shared" ca="1" si="15"/>
        <v>45556</v>
      </c>
      <c r="Y176">
        <f t="shared" ca="1" si="16"/>
        <v>0</v>
      </c>
      <c r="AA176" s="63">
        <f t="shared" ca="1" si="18"/>
        <v>147.90743437737544</v>
      </c>
      <c r="AB176" s="63">
        <f t="shared" ca="1" si="19"/>
        <v>147.90743437737544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45557</v>
      </c>
      <c r="K177">
        <f ca="1"/>
        <v>142.56649072100925</v>
      </c>
      <c r="L177">
        <f ca="1"/>
        <v>1.6017962325993835</v>
      </c>
      <c r="M177">
        <f ca="1"/>
        <v>1.4929740590332585E-2</v>
      </c>
      <c r="N177">
        <f ca="1"/>
        <v>0.52109475176034026</v>
      </c>
      <c r="O177">
        <f ca="1"/>
        <v>0</v>
      </c>
      <c r="P177">
        <f ca="1"/>
        <v>77.635945160245299</v>
      </c>
      <c r="Q177">
        <f ca="1"/>
        <v>65.945590483606054</v>
      </c>
      <c r="R177">
        <f ca="1"/>
        <v>0.94305093491749548</v>
      </c>
      <c r="S177">
        <f ca="1"/>
        <v>1</v>
      </c>
      <c r="T177">
        <f ca="1"/>
        <v>0.94000000000000483</v>
      </c>
      <c r="U177">
        <f ca="1"/>
        <v>0</v>
      </c>
      <c r="V177">
        <f ca="1"/>
        <v>0.78156738399341674</v>
      </c>
      <c r="X177" s="2">
        <f t="shared" ca="1" si="15"/>
        <v>45557</v>
      </c>
      <c r="Y177">
        <f t="shared" ca="1" si="16"/>
        <v>0</v>
      </c>
      <c r="AA177" s="63">
        <f t="shared" ca="1" si="18"/>
        <v>145.11133788852612</v>
      </c>
      <c r="AB177" s="63">
        <f t="shared" ca="1" si="19"/>
        <v>145.11133788852612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45558</v>
      </c>
      <c r="K178">
        <f ca="1"/>
        <v>139.40004550480009</v>
      </c>
      <c r="L178">
        <f ca="1"/>
        <v>1.7224460173047618</v>
      </c>
      <c r="M178">
        <f ca="1"/>
        <v>1.5004646469030547E-2</v>
      </c>
      <c r="N178">
        <f ca="1"/>
        <v>0.54216125231770684</v>
      </c>
      <c r="O178">
        <f ca="1"/>
        <v>0</v>
      </c>
      <c r="P178">
        <f ca="1"/>
        <v>79.358391177550061</v>
      </c>
      <c r="Q178">
        <f ca="1"/>
        <v>67.408672042706613</v>
      </c>
      <c r="R178">
        <f ca="1"/>
        <v>2.0011650976911297</v>
      </c>
      <c r="S178">
        <f ca="1"/>
        <v>1</v>
      </c>
      <c r="T178">
        <f ca="1"/>
        <v>2.0399999999999991</v>
      </c>
      <c r="U178">
        <f ca="1"/>
        <v>0</v>
      </c>
      <c r="V178">
        <f ca="1"/>
        <v>0.78679821279709994</v>
      </c>
      <c r="X178" s="2">
        <f t="shared" ca="1" si="15"/>
        <v>45558</v>
      </c>
      <c r="Y178">
        <f t="shared" ca="1" si="16"/>
        <v>0</v>
      </c>
      <c r="AA178" s="63">
        <f t="shared" ca="1" si="18"/>
        <v>143.12365661979598</v>
      </c>
      <c r="AB178" s="63">
        <f t="shared" ca="1" si="19"/>
        <v>143.12365661979598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45559</v>
      </c>
      <c r="K179">
        <f ca="1"/>
        <v>137.48945511982751</v>
      </c>
      <c r="L179">
        <f ca="1"/>
        <v>1.678643148844742</v>
      </c>
      <c r="M179">
        <f ca="1"/>
        <v>1.4325931735399422E-2</v>
      </c>
      <c r="N179">
        <f ca="1"/>
        <v>0.52774154244098392</v>
      </c>
      <c r="O179">
        <f ca="1"/>
        <v>0</v>
      </c>
      <c r="P179">
        <f ca="1"/>
        <v>81.037034326394803</v>
      </c>
      <c r="Q179">
        <f ca="1"/>
        <v>68.834546532072821</v>
      </c>
      <c r="R179">
        <f ca="1"/>
        <v>0.77401471030421831</v>
      </c>
      <c r="S179">
        <f ca="1"/>
        <v>1</v>
      </c>
      <c r="T179">
        <f ca="1"/>
        <v>0.80000000000000426</v>
      </c>
      <c r="U179">
        <f ca="1"/>
        <v>0</v>
      </c>
      <c r="V179">
        <f ca="1"/>
        <v>0.79163835868544152</v>
      </c>
      <c r="X179" s="2">
        <f t="shared" ca="1" si="15"/>
        <v>45559</v>
      </c>
      <c r="Y179">
        <f t="shared" ca="1" si="16"/>
        <v>0</v>
      </c>
      <c r="AA179" s="63">
        <f t="shared" ca="1" si="18"/>
        <v>139.94211297897647</v>
      </c>
      <c r="AB179" s="63">
        <f t="shared" ca="1" si="19"/>
        <v>139.94211297897647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45560</v>
      </c>
      <c r="K180">
        <f ca="1"/>
        <v>134.63173033253881</v>
      </c>
      <c r="L180">
        <f ca="1"/>
        <v>1.6802630174870217</v>
      </c>
      <c r="M180">
        <f ca="1"/>
        <v>1.3884971312776884E-2</v>
      </c>
      <c r="N180">
        <f ca="1"/>
        <v>0.52346259449146515</v>
      </c>
      <c r="O180">
        <f ca="1"/>
        <v>0</v>
      </c>
      <c r="P180">
        <f ca="1"/>
        <v>82.717297343881825</v>
      </c>
      <c r="Q180">
        <f ca="1"/>
        <v>70.261796971637082</v>
      </c>
      <c r="R180">
        <f ca="1"/>
        <v>1.7148093356059249</v>
      </c>
      <c r="S180">
        <f ca="1"/>
        <v>1</v>
      </c>
      <c r="T180">
        <f ca="1"/>
        <v>1.8099999999999952</v>
      </c>
      <c r="U180">
        <f ca="1"/>
        <v>0</v>
      </c>
      <c r="V180">
        <f ca="1"/>
        <v>0.79624343693026922</v>
      </c>
      <c r="X180" s="2">
        <f t="shared" ca="1" si="15"/>
        <v>45560</v>
      </c>
      <c r="Y180">
        <f t="shared" ca="1" si="16"/>
        <v>0</v>
      </c>
      <c r="AA180" s="63">
        <f t="shared" ca="1" si="18"/>
        <v>138.02680268563174</v>
      </c>
      <c r="AB180" s="63">
        <f t="shared" ca="1" si="19"/>
        <v>138.02680268563176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45561</v>
      </c>
      <c r="K181">
        <f ca="1"/>
        <v>133.21866441243719</v>
      </c>
      <c r="L181">
        <f ca="1"/>
        <v>1.79052579575702</v>
      </c>
      <c r="M181">
        <f ca="1"/>
        <v>1.3901454483708164E-2</v>
      </c>
      <c r="N181">
        <f ca="1"/>
        <v>0.5416767095157119</v>
      </c>
      <c r="O181">
        <f ca="1"/>
        <v>0</v>
      </c>
      <c r="P181">
        <f ca="1"/>
        <v>84.507823139638845</v>
      </c>
      <c r="Q181">
        <f ca="1"/>
        <v>71.782706913978942</v>
      </c>
      <c r="R181">
        <f ca="1"/>
        <v>0.17811828834403426</v>
      </c>
      <c r="S181">
        <f ca="1"/>
        <v>1</v>
      </c>
      <c r="T181">
        <f ca="1"/>
        <v>0.18999999999999773</v>
      </c>
      <c r="U181">
        <f ca="1"/>
        <v>0</v>
      </c>
      <c r="V181">
        <f ca="1"/>
        <v>0.80090233491225793</v>
      </c>
      <c r="X181" s="2">
        <f t="shared" ca="1" si="15"/>
        <v>45561</v>
      </c>
      <c r="Y181">
        <f t="shared" ca="1" si="16"/>
        <v>0</v>
      </c>
      <c r="AA181" s="63">
        <f t="shared" ca="1" si="18"/>
        <v>135.18730849653824</v>
      </c>
      <c r="AB181" s="63">
        <f t="shared" ca="1" si="19"/>
        <v>135.18730849653824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45562</v>
      </c>
      <c r="K182">
        <f ca="1"/>
        <v>130.24116914531868</v>
      </c>
      <c r="L182">
        <f ca="1"/>
        <v>1.8897774293659637</v>
      </c>
      <c r="M182">
        <f ca="1"/>
        <v>1.3853463422819345E-2</v>
      </c>
      <c r="N182">
        <f ca="1"/>
        <v>0.55731529397553448</v>
      </c>
      <c r="O182">
        <f ca="1"/>
        <v>0</v>
      </c>
      <c r="P182">
        <f ca="1"/>
        <v>86.397600569004808</v>
      </c>
      <c r="Q182">
        <f ca="1"/>
        <v>73.387923263247345</v>
      </c>
      <c r="R182">
        <f ca="1"/>
        <v>1.6588865951509315</v>
      </c>
      <c r="S182">
        <f ca="1"/>
        <v>1</v>
      </c>
      <c r="T182">
        <f ca="1"/>
        <v>1.8100000000000023</v>
      </c>
      <c r="U182">
        <f ca="1"/>
        <v>0</v>
      </c>
      <c r="V182">
        <f ca="1"/>
        <v>0.80555846791741803</v>
      </c>
      <c r="X182" s="2">
        <f t="shared" ca="1" si="15"/>
        <v>45562</v>
      </c>
      <c r="Y182">
        <f t="shared" ca="1" si="16"/>
        <v>0</v>
      </c>
      <c r="AA182" s="63">
        <f t="shared" ca="1" si="18"/>
        <v>133.78983316983556</v>
      </c>
      <c r="AB182" s="63">
        <f t="shared" ca="1" si="19"/>
        <v>133.78983316983556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45563</v>
      </c>
      <c r="K183">
        <f ca="1"/>
        <v>127.8967412970636</v>
      </c>
      <c r="L183">
        <f ca="1"/>
        <v>1.9964649947338984</v>
      </c>
      <c r="M183">
        <f ca="1"/>
        <v>1.3818503068961263E-2</v>
      </c>
      <c r="N183">
        <f ca="1"/>
        <v>0.57423331305058145</v>
      </c>
      <c r="O183">
        <f ca="1"/>
        <v>0</v>
      </c>
      <c r="P183">
        <f ca="1"/>
        <v>88.394065563738707</v>
      </c>
      <c r="Q183">
        <f ca="1"/>
        <v>75.083762254913196</v>
      </c>
      <c r="R183">
        <f ca="1"/>
        <v>0.93601466964073132</v>
      </c>
      <c r="S183">
        <f ca="1"/>
        <v>1</v>
      </c>
      <c r="T183">
        <f ca="1"/>
        <v>1.0399999999999991</v>
      </c>
      <c r="U183">
        <f ca="1"/>
        <v>0</v>
      </c>
      <c r="V183">
        <f ca="1"/>
        <v>0.81020490584675076</v>
      </c>
      <c r="X183" s="2">
        <f t="shared" ca="1" si="15"/>
        <v>45563</v>
      </c>
      <c r="Y183">
        <f t="shared" ca="1" si="16"/>
        <v>0</v>
      </c>
      <c r="AA183" s="63">
        <f t="shared" ca="1" si="18"/>
        <v>130.82922096143821</v>
      </c>
      <c r="AB183" s="63">
        <f t="shared" ca="1" si="19"/>
        <v>130.82922096143824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45564</v>
      </c>
      <c r="K184">
        <f ca="1"/>
        <v>124.01255107994747</v>
      </c>
      <c r="L184">
        <f ca="1"/>
        <v>1.996588387161367</v>
      </c>
      <c r="M184">
        <f ca="1"/>
        <v>1.3359437995433154E-2</v>
      </c>
      <c r="N184">
        <f ca="1"/>
        <v>0.56872572151972223</v>
      </c>
      <c r="O184">
        <f ca="1"/>
        <v>0</v>
      </c>
      <c r="P184">
        <f ca="1"/>
        <v>90.390653950900074</v>
      </c>
      <c r="Q184">
        <f ca="1"/>
        <v>76.779706058679608</v>
      </c>
      <c r="R184">
        <f ca="1"/>
        <v>2.4696869894699218</v>
      </c>
      <c r="S184">
        <f ca="1"/>
        <v>1</v>
      </c>
      <c r="T184">
        <f ca="1"/>
        <v>2.8300000000000054</v>
      </c>
      <c r="U184">
        <f ca="1"/>
        <v>0</v>
      </c>
      <c r="V184">
        <f ca="1"/>
        <v>0.81458995134097334</v>
      </c>
      <c r="X184" s="2">
        <f t="shared" ca="1" si="15"/>
        <v>45564</v>
      </c>
      <c r="Y184">
        <f t="shared" ca="1" si="16"/>
        <v>0</v>
      </c>
      <c r="AA184" s="63">
        <f t="shared" ca="1" si="18"/>
        <v>128.47882645657876</v>
      </c>
      <c r="AB184" s="63">
        <f t="shared" ca="1" si="19"/>
        <v>128.47882645657876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45565</v>
      </c>
      <c r="K185">
        <f ca="1"/>
        <v>118.86523545032665</v>
      </c>
      <c r="L185">
        <f ca="1"/>
        <v>1.9607410773870413</v>
      </c>
      <c r="M185">
        <f ca="1"/>
        <v>1.2796829505937524E-2</v>
      </c>
      <c r="N185">
        <f ca="1"/>
        <v>0.55632981687783534</v>
      </c>
      <c r="O185">
        <f ca="1"/>
        <v>0</v>
      </c>
      <c r="P185">
        <f ca="1"/>
        <v>92.351395028287115</v>
      </c>
      <c r="Q185">
        <f ca="1"/>
        <v>78.445200410128066</v>
      </c>
      <c r="R185">
        <f ca="1"/>
        <v>3.7557011986175448</v>
      </c>
      <c r="S185">
        <f ca="1"/>
        <v>1</v>
      </c>
      <c r="T185">
        <f ca="1"/>
        <v>4.490000000000002</v>
      </c>
      <c r="U185">
        <f ca="1"/>
        <v>0</v>
      </c>
      <c r="V185">
        <f ca="1"/>
        <v>0.81865835222221861</v>
      </c>
      <c r="X185" s="2">
        <f t="shared" ca="1" si="15"/>
        <v>45565</v>
      </c>
      <c r="Y185">
        <f t="shared" ca="1" si="16"/>
        <v>0</v>
      </c>
      <c r="AA185" s="63">
        <f t="shared" ca="1" si="18"/>
        <v>124.58167772633125</v>
      </c>
      <c r="AB185" s="63">
        <f t="shared" ca="1" si="19"/>
        <v>124.58167772633124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45566</v>
      </c>
      <c r="K186">
        <f ca="1"/>
        <v>115.97210932338916</v>
      </c>
      <c r="L186">
        <f ca="1"/>
        <v>1.9644703138433499</v>
      </c>
      <c r="M186">
        <f ca="1"/>
        <v>1.2408568373885487E-2</v>
      </c>
      <c r="N186">
        <f ca="1"/>
        <v>0.5523986708187375</v>
      </c>
      <c r="O186">
        <f ca="1"/>
        <v>0</v>
      </c>
      <c r="P186">
        <f ca="1"/>
        <v>94.315865342130465</v>
      </c>
      <c r="Q186">
        <f ca="1"/>
        <v>80.11386245277491</v>
      </c>
      <c r="R186">
        <f ca="1"/>
        <v>1.4934630522867547</v>
      </c>
      <c r="S186">
        <f ca="1"/>
        <v>1</v>
      </c>
      <c r="T186">
        <f ca="1"/>
        <v>1.8299999999999983</v>
      </c>
      <c r="U186">
        <f ca="1"/>
        <v>0</v>
      </c>
      <c r="V186">
        <f ca="1"/>
        <v>0.82251339873697493</v>
      </c>
      <c r="X186" s="2">
        <f t="shared" ca="1" si="15"/>
        <v>45566</v>
      </c>
      <c r="Y186">
        <f t="shared" ca="1" si="16"/>
        <v>0</v>
      </c>
      <c r="AA186" s="63">
        <f t="shared" ca="1" si="18"/>
        <v>119.43004268951927</v>
      </c>
      <c r="AB186" s="63">
        <f t="shared" ca="1" si="19"/>
        <v>119.43004268951927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45567</v>
      </c>
      <c r="K187">
        <f ca="1"/>
        <v>112.70455330636635</v>
      </c>
      <c r="L187">
        <f ca="1"/>
        <v>2.0626491301805601</v>
      </c>
      <c r="M187">
        <f ca="1"/>
        <v>1.2352555696509171E-2</v>
      </c>
      <c r="N187">
        <f ca="1"/>
        <v>0.56722931814538635</v>
      </c>
      <c r="O187">
        <f ca="1"/>
        <v>0</v>
      </c>
      <c r="P187">
        <f ca="1"/>
        <v>96.378514472311025</v>
      </c>
      <c r="Q187">
        <f ca="1"/>
        <v>81.865919628990056</v>
      </c>
      <c r="R187">
        <f ca="1"/>
        <v>1.7844887606841395</v>
      </c>
      <c r="S187">
        <f ca="1"/>
        <v>1</v>
      </c>
      <c r="T187">
        <f ca="1"/>
        <v>2.2500000000000071</v>
      </c>
      <c r="U187">
        <f ca="1"/>
        <v>0</v>
      </c>
      <c r="V187">
        <f ca="1"/>
        <v>0.82633840352397747</v>
      </c>
      <c r="X187" s="2">
        <f t="shared" ca="1" si="15"/>
        <v>45567</v>
      </c>
      <c r="Y187">
        <f t="shared" ca="1" si="16"/>
        <v>0</v>
      </c>
      <c r="AA187" s="63">
        <f t="shared" ca="1" si="18"/>
        <v>116.55169119723105</v>
      </c>
      <c r="AB187" s="63">
        <f t="shared" ca="1" si="19"/>
        <v>116.55169119723105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45568</v>
      </c>
      <c r="K188">
        <f ca="1"/>
        <v>111.27710505910515</v>
      </c>
      <c r="L188">
        <f ca="1"/>
        <v>1.9871699794525455</v>
      </c>
      <c r="M188">
        <f ca="1"/>
        <v>1.172503126048241E-2</v>
      </c>
      <c r="N188">
        <f ca="1"/>
        <v>0.54799670093086139</v>
      </c>
      <c r="O188">
        <f ca="1"/>
        <v>0</v>
      </c>
      <c r="P188">
        <f ca="1"/>
        <v>98.36568445176357</v>
      </c>
      <c r="Q188">
        <f ca="1"/>
        <v>83.553863240880275</v>
      </c>
      <c r="R188">
        <f ca="1"/>
        <v>0</v>
      </c>
      <c r="S188">
        <f ca="1"/>
        <v>0.99481481481481482</v>
      </c>
      <c r="T188">
        <f ca="1"/>
        <v>0</v>
      </c>
      <c r="U188">
        <f ca="1"/>
        <v>0</v>
      </c>
      <c r="V188">
        <f ca="1"/>
        <v>0.82982160510189418</v>
      </c>
      <c r="X188" s="2">
        <f t="shared" ca="1" si="15"/>
        <v>45568</v>
      </c>
      <c r="Y188">
        <f t="shared" ca="1" si="16"/>
        <v>0</v>
      </c>
      <c r="AA188" s="63">
        <f t="shared" ca="1" si="18"/>
        <v>113.2642750385577</v>
      </c>
      <c r="AB188" s="63">
        <f t="shared" ca="1" si="19"/>
        <v>113.2642750385577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45569</v>
      </c>
      <c r="K189">
        <f ca="1"/>
        <v>109.22055357889026</v>
      </c>
      <c r="L189">
        <f ca="1"/>
        <v>2.0159291060161166</v>
      </c>
      <c r="M189">
        <f ca="1"/>
        <v>1.1463334216010423E-2</v>
      </c>
      <c r="N189">
        <f ca="1"/>
        <v>0.54946160547539402</v>
      </c>
      <c r="O189">
        <f ca="1"/>
        <v>0</v>
      </c>
      <c r="P189">
        <f ca="1"/>
        <v>100.38161355777969</v>
      </c>
      <c r="Q189">
        <f ca="1"/>
        <v>85.266235454484686</v>
      </c>
      <c r="R189">
        <f ca="1"/>
        <v>0.601547313890193</v>
      </c>
      <c r="S189">
        <f ca="1"/>
        <v>1</v>
      </c>
      <c r="T189">
        <f ca="1"/>
        <v>0.78266440281815619</v>
      </c>
      <c r="U189">
        <f ca="1"/>
        <v>0</v>
      </c>
      <c r="V189">
        <f ca="1"/>
        <v>0.83316587177602042</v>
      </c>
      <c r="X189" s="2">
        <f t="shared" ca="1" si="15"/>
        <v>45569</v>
      </c>
      <c r="Y189">
        <f t="shared" ca="1" si="16"/>
        <v>0</v>
      </c>
      <c r="AA189" s="63">
        <f t="shared" ca="1" si="18"/>
        <v>111.83802999879656</v>
      </c>
      <c r="AB189" s="63">
        <f t="shared" ca="1" si="19"/>
        <v>111.83802999879657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45570</v>
      </c>
      <c r="K190">
        <f ca="1"/>
        <v>107.7194659424425</v>
      </c>
      <c r="L190">
        <f ca="1"/>
        <v>2.0677107694729671</v>
      </c>
      <c r="M190">
        <f ca="1"/>
        <v>1.1277716789969361E-2</v>
      </c>
      <c r="N190">
        <f ca="1"/>
        <v>0.55534541623522504</v>
      </c>
      <c r="O190">
        <f ca="1"/>
        <v>0</v>
      </c>
      <c r="P190">
        <f ca="1"/>
        <v>102.44932432725265</v>
      </c>
      <c r="Q190">
        <f ca="1"/>
        <v>87.022592092647059</v>
      </c>
      <c r="R190">
        <f ca="1"/>
        <v>0</v>
      </c>
      <c r="S190">
        <f ca="1"/>
        <v>0.99629629629629624</v>
      </c>
      <c r="T190">
        <f ca="1"/>
        <v>0</v>
      </c>
      <c r="U190">
        <f ca="1"/>
        <v>0</v>
      </c>
      <c r="V190">
        <f ca="1"/>
        <v>0.83641057035313726</v>
      </c>
      <c r="X190" s="2">
        <f t="shared" ca="1" si="15"/>
        <v>45570</v>
      </c>
      <c r="Y190">
        <f t="shared" ca="1" si="16"/>
        <v>0</v>
      </c>
      <c r="AA190" s="63">
        <f t="shared" ca="1" si="18"/>
        <v>109.78717671191545</v>
      </c>
      <c r="AB190" s="63">
        <f t="shared" ca="1" si="19"/>
        <v>109.78717671191546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45571</v>
      </c>
      <c r="K191">
        <f ca="1"/>
        <v>106.24854749698201</v>
      </c>
      <c r="L191">
        <f ca="1"/>
        <v>2.0253591762752023</v>
      </c>
      <c r="M191">
        <f ca="1"/>
        <v>1.0824240227755411E-2</v>
      </c>
      <c r="N191">
        <f ca="1"/>
        <v>0.54361649058695527</v>
      </c>
      <c r="O191">
        <f ca="1"/>
        <v>0</v>
      </c>
      <c r="P191">
        <f ca="1"/>
        <v>104.47468350352786</v>
      </c>
      <c r="Q191">
        <f ca="1"/>
        <v>88.742974404541059</v>
      </c>
      <c r="R191">
        <f ca="1"/>
        <v>0</v>
      </c>
      <c r="S191">
        <f ca="1"/>
        <v>0.99243846642028133</v>
      </c>
      <c r="T191">
        <f ca="1"/>
        <v>0</v>
      </c>
      <c r="U191">
        <f ca="1"/>
        <v>0</v>
      </c>
      <c r="V191">
        <f ca="1"/>
        <v>0.83941829514079991</v>
      </c>
      <c r="X191" s="2">
        <f t="shared" ca="1" si="15"/>
        <v>45571</v>
      </c>
      <c r="Y191">
        <f t="shared" ca="1" si="16"/>
        <v>0</v>
      </c>
      <c r="AA191" s="63">
        <f t="shared" ca="1" si="18"/>
        <v>108.2739066732572</v>
      </c>
      <c r="AB191" s="63">
        <f t="shared" ca="1" si="19"/>
        <v>108.27390667325722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45572</v>
      </c>
      <c r="K192">
        <f ca="1"/>
        <v>103.89150018588379</v>
      </c>
      <c r="L192">
        <f ca="1"/>
        <v>2.2346934975707171</v>
      </c>
      <c r="M192">
        <f ca="1"/>
        <v>1.1100809494351438E-2</v>
      </c>
      <c r="N192">
        <f ca="1"/>
        <v>0.57926857152879407</v>
      </c>
      <c r="O192">
        <f ca="1"/>
        <v>0</v>
      </c>
      <c r="P192">
        <f ca="1"/>
        <v>106.70937700109857</v>
      </c>
      <c r="Q192">
        <f ca="1"/>
        <v>90.641169653442816</v>
      </c>
      <c r="R192">
        <f ca="1"/>
        <v>0.71272319455065525</v>
      </c>
      <c r="S192">
        <f ca="1"/>
        <v>1</v>
      </c>
      <c r="T192">
        <f ca="1"/>
        <v>0.97487972489705044</v>
      </c>
      <c r="U192">
        <f ca="1"/>
        <v>0</v>
      </c>
      <c r="V192">
        <f ca="1"/>
        <v>0.84255381068154611</v>
      </c>
      <c r="X192" s="2">
        <f t="shared" ca="1" si="15"/>
        <v>45572</v>
      </c>
      <c r="Y192">
        <f t="shared" ca="1" si="16"/>
        <v>0</v>
      </c>
      <c r="AA192" s="63">
        <f t="shared" ca="1" si="18"/>
        <v>106.83891687800516</v>
      </c>
      <c r="AB192" s="63">
        <f t="shared" ca="1" si="19"/>
        <v>106.83891687800516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45573</v>
      </c>
      <c r="K193">
        <f ca="1"/>
        <v>101.09866764894396</v>
      </c>
      <c r="L193">
        <f ca="1"/>
        <v>2.3123637108226944</v>
      </c>
      <c r="M193">
        <f ca="1"/>
        <v>1.0981840798876874E-2</v>
      </c>
      <c r="N193">
        <f ca="1"/>
        <v>0.58993063741787721</v>
      </c>
      <c r="O193">
        <f ca="1"/>
        <v>0</v>
      </c>
      <c r="P193">
        <f ca="1"/>
        <v>109.02174071192127</v>
      </c>
      <c r="Q193">
        <f ca="1"/>
        <v>92.605339600859793</v>
      </c>
      <c r="R193">
        <f ca="1"/>
        <v>1.0813813043338916</v>
      </c>
      <c r="S193">
        <f ca="1"/>
        <v>1</v>
      </c>
      <c r="T193">
        <f ca="1"/>
        <v>1.5200000000000031</v>
      </c>
      <c r="U193">
        <f ca="1"/>
        <v>0</v>
      </c>
      <c r="V193">
        <f ca="1"/>
        <v>0.84560958989482826</v>
      </c>
      <c r="X193" s="2">
        <f t="shared" ca="1" si="15"/>
        <v>45573</v>
      </c>
      <c r="Y193">
        <f t="shared" ca="1" si="16"/>
        <v>0</v>
      </c>
      <c r="AA193" s="63">
        <f t="shared" ca="1" si="18"/>
        <v>104.49241266410054</v>
      </c>
      <c r="AB193" s="63">
        <f t="shared" ca="1" si="19"/>
        <v>104.49241266410054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45574</v>
      </c>
      <c r="K194">
        <f ca="1"/>
        <v>98.348558178808901</v>
      </c>
      <c r="L194">
        <f ca="1"/>
        <v>2.1371339979466057</v>
      </c>
      <c r="M194">
        <f ca="1"/>
        <v>1.0184843337057714E-2</v>
      </c>
      <c r="N194">
        <f ca="1"/>
        <v>0.55337984342839253</v>
      </c>
      <c r="O194">
        <f ca="1"/>
        <v>0</v>
      </c>
      <c r="P194">
        <f ca="1"/>
        <v>111.15887470986787</v>
      </c>
      <c r="Q194">
        <f ca="1"/>
        <v>94.420665776721762</v>
      </c>
      <c r="R194">
        <f ca="1"/>
        <v>1.1765401589539008</v>
      </c>
      <c r="S194">
        <f ca="1"/>
        <v>1</v>
      </c>
      <c r="T194">
        <f ca="1"/>
        <v>1.7000000000000028</v>
      </c>
      <c r="U194">
        <f ca="1"/>
        <v>0</v>
      </c>
      <c r="V194">
        <f ca="1"/>
        <v>0.84827458343565487</v>
      </c>
      <c r="X194" s="2">
        <f t="shared" ca="1" si="15"/>
        <v>45574</v>
      </c>
      <c r="Y194">
        <f t="shared" ca="1" si="16"/>
        <v>0</v>
      </c>
      <c r="AA194" s="63">
        <f t="shared" ca="1" si="18"/>
        <v>101.6622323357094</v>
      </c>
      <c r="AB194" s="63">
        <f t="shared" ca="1" si="19"/>
        <v>101.6622323357094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45575</v>
      </c>
      <c r="K195">
        <f ca="1"/>
        <v>96.697517985210382</v>
      </c>
      <c r="L195">
        <f ca="1"/>
        <v>2.2279004051337523</v>
      </c>
      <c r="M195">
        <f ca="1"/>
        <v>1.0129155059679817E-2</v>
      </c>
      <c r="N195">
        <f ca="1"/>
        <v>0.56673105647554523</v>
      </c>
      <c r="O195">
        <f ca="1"/>
        <v>0</v>
      </c>
      <c r="P195">
        <f ca="1"/>
        <v>113.38677511500163</v>
      </c>
      <c r="Q195">
        <f ca="1"/>
        <v>96.313090831275545</v>
      </c>
      <c r="R195">
        <f ca="1"/>
        <v>0</v>
      </c>
      <c r="S195">
        <f ca="1"/>
        <v>0.99037037037037035</v>
      </c>
      <c r="T195">
        <f ca="1"/>
        <v>0</v>
      </c>
      <c r="U195">
        <f ca="1"/>
        <v>0</v>
      </c>
      <c r="V195">
        <f ca="1"/>
        <v>0.85090072041497622</v>
      </c>
      <c r="X195" s="2">
        <f t="shared" ca="1" si="15"/>
        <v>45575</v>
      </c>
      <c r="Y195">
        <f t="shared" ca="1" si="16"/>
        <v>0</v>
      </c>
      <c r="AA195" s="63">
        <f t="shared" ca="1" si="18"/>
        <v>98.92541839034412</v>
      </c>
      <c r="AB195" s="63">
        <f t="shared" ca="1" si="19"/>
        <v>98.925418390344134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45576</v>
      </c>
      <c r="K196">
        <f ca="1"/>
        <v>93.627430158687289</v>
      </c>
      <c r="L196">
        <f ca="1"/>
        <v>2.3853225777250344</v>
      </c>
      <c r="M196">
        <f ca="1"/>
        <v>1.0237455803036255E-2</v>
      </c>
      <c r="N196">
        <f ca="1"/>
        <v>0.59248682153273702</v>
      </c>
      <c r="O196">
        <f ca="1"/>
        <v>0</v>
      </c>
      <c r="P196">
        <f ca="1"/>
        <v>115.77209769272666</v>
      </c>
      <c r="Q196">
        <f ca="1"/>
        <v>98.339233561389463</v>
      </c>
      <c r="R196">
        <f ca="1"/>
        <v>1.2874895261338293</v>
      </c>
      <c r="S196">
        <f ca="1"/>
        <v>1</v>
      </c>
      <c r="T196">
        <f ca="1"/>
        <v>1.9541179076920869</v>
      </c>
      <c r="U196">
        <f ca="1"/>
        <v>0</v>
      </c>
      <c r="V196">
        <f ca="1"/>
        <v>0.85355175489142399</v>
      </c>
      <c r="X196" s="2">
        <f t="shared" ca="1" si="15"/>
        <v>45576</v>
      </c>
      <c r="Y196">
        <f t="shared" ca="1" si="16"/>
        <v>0</v>
      </c>
      <c r="AA196" s="63">
        <f t="shared" ca="1" si="18"/>
        <v>97.300242262546149</v>
      </c>
      <c r="AB196" s="63">
        <f t="shared" ca="1" si="19"/>
        <v>97.300242262546149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45577</v>
      </c>
      <c r="K197">
        <f ca="1"/>
        <v>90.587845562096433</v>
      </c>
      <c r="L197">
        <f ca="1"/>
        <v>2.3820989725824973</v>
      </c>
      <c r="M197">
        <f ca="1"/>
        <v>9.9301465197783045E-3</v>
      </c>
      <c r="N197">
        <f ca="1"/>
        <v>0.58840017739380723</v>
      </c>
      <c r="O197">
        <f ca="1"/>
        <v>0</v>
      </c>
      <c r="P197">
        <f ca="1"/>
        <v>118.15419666530916</v>
      </c>
      <c r="Q197">
        <f ca="1"/>
        <v>100.36263809408503</v>
      </c>
      <c r="R197">
        <f ca="1"/>
        <v>1.2558159479219508</v>
      </c>
      <c r="S197">
        <f ca="1"/>
        <v>1</v>
      </c>
      <c r="T197">
        <f ca="1"/>
        <v>1.9699999999999989</v>
      </c>
      <c r="U197">
        <f ca="1"/>
        <v>0</v>
      </c>
      <c r="V197">
        <f ca="1"/>
        <v>0.85604461518212538</v>
      </c>
      <c r="X197" s="2">
        <f t="shared" ca="1" si="15"/>
        <v>45577</v>
      </c>
      <c r="Y197">
        <f t="shared" ca="1" si="16"/>
        <v>0</v>
      </c>
      <c r="AA197" s="63">
        <f t="shared" ca="1" si="18"/>
        <v>94.225760482600876</v>
      </c>
      <c r="AB197" s="63">
        <f t="shared" ca="1" si="19"/>
        <v>94.225760482600876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45578</v>
      </c>
      <c r="K198">
        <f ca="1"/>
        <v>87.168271219718577</v>
      </c>
      <c r="L198">
        <f ca="1"/>
        <v>2.307769938885599</v>
      </c>
      <c r="M198">
        <f ca="1"/>
        <v>9.4713175773009084E-3</v>
      </c>
      <c r="N198">
        <f ca="1"/>
        <v>0.57172581328676308</v>
      </c>
      <c r="O198">
        <f ca="1"/>
        <v>0</v>
      </c>
      <c r="P198">
        <f ca="1"/>
        <v>120.46196660419476</v>
      </c>
      <c r="Q198">
        <f ca="1"/>
        <v>102.32290599584111</v>
      </c>
      <c r="R198">
        <f ca="1"/>
        <v>1.6930015343563107</v>
      </c>
      <c r="S198">
        <f ca="1"/>
        <v>1</v>
      </c>
      <c r="T198">
        <f ca="1"/>
        <v>2.759999999999998</v>
      </c>
      <c r="U198">
        <f ca="1"/>
        <v>0</v>
      </c>
      <c r="V198">
        <f ca="1"/>
        <v>0.85832232220561699</v>
      </c>
      <c r="X198" s="2">
        <f t="shared" ca="1" si="15"/>
        <v>45578</v>
      </c>
      <c r="Y198">
        <f t="shared" ca="1" si="16"/>
        <v>0</v>
      </c>
      <c r="AA198" s="63">
        <f t="shared" ca="1" si="18"/>
        <v>91.169042692960502</v>
      </c>
      <c r="AB198" s="63">
        <f t="shared" ca="1" si="19"/>
        <v>91.169042692960488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ref="I199:I262" ca="1" si="21">AND(IF(J199&gt;($J$3-1),TRUE,FALSE),IF(J199&lt;($J$4+1),TRUE,FALSE))</f>
        <v>1</v>
      </c>
      <c r="J199" s="2">
        <f ca="1"/>
        <v>45579</v>
      </c>
      <c r="K199">
        <f ca="1"/>
        <v>83.869860565647869</v>
      </c>
      <c r="L199">
        <f ca="1"/>
        <v>2.2417536203656709</v>
      </c>
      <c r="M199">
        <f ca="1"/>
        <v>9.0647888213268857E-3</v>
      </c>
      <c r="N199">
        <f ca="1"/>
        <v>0.55731529397553448</v>
      </c>
      <c r="O199">
        <f ca="1"/>
        <v>0</v>
      </c>
      <c r="P199">
        <f ca="1"/>
        <v>122.70372022456043</v>
      </c>
      <c r="Q199">
        <f ca="1"/>
        <v>104.22709826024439</v>
      </c>
      <c r="R199">
        <f ca="1"/>
        <v>1.6230371165018895</v>
      </c>
      <c r="S199">
        <f ca="1"/>
        <v>1</v>
      </c>
      <c r="T199">
        <f ca="1"/>
        <v>2.75</v>
      </c>
      <c r="U199">
        <f ca="1"/>
        <v>0</v>
      </c>
      <c r="V199">
        <f ca="1"/>
        <v>0.86041390867460088</v>
      </c>
      <c r="X199" s="2">
        <f t="shared" ref="X199:X262" ca="1" si="22">IFERROR(J199,$X$5)</f>
        <v>45579</v>
      </c>
      <c r="Y199">
        <f t="shared" ref="Y199:Y262" ca="1" si="23">IFERROR(O199,0)</f>
        <v>0</v>
      </c>
      <c r="AA199" s="63">
        <f t="shared" ca="1" si="18"/>
        <v>87.734651302515431</v>
      </c>
      <c r="AB199" s="63">
        <f t="shared" ca="1" si="19"/>
        <v>87.734651302515431</v>
      </c>
      <c r="AC199" s="3">
        <f t="shared" ca="1" si="20"/>
        <v>0</v>
      </c>
    </row>
    <row r="200" spans="8:29">
      <c r="H200" t="b">
        <f t="shared" ref="H200:H263" ca="1" si="24">IF(J200&lt;$J$4,TRUE,FALSE)</f>
        <v>1</v>
      </c>
      <c r="I200" t="b">
        <f t="shared" ca="1" si="21"/>
        <v>1</v>
      </c>
      <c r="J200" s="2">
        <f ca="1"/>
        <v>45580</v>
      </c>
      <c r="K200">
        <f ca="1"/>
        <v>82.106037179606147</v>
      </c>
      <c r="L200">
        <f ca="1"/>
        <v>2.2689365471083107</v>
      </c>
      <c r="M200">
        <f ca="1"/>
        <v>8.8856181150092084E-3</v>
      </c>
      <c r="N200">
        <f ca="1"/>
        <v>0.55978369765728064</v>
      </c>
      <c r="O200">
        <f ca="1"/>
        <v>0</v>
      </c>
      <c r="P200">
        <f ca="1"/>
        <v>124.97265677166874</v>
      </c>
      <c r="Q200">
        <f ca="1"/>
        <v>106.15438026937116</v>
      </c>
      <c r="R200">
        <f ca="1"/>
        <v>6.3556154705694798E-2</v>
      </c>
      <c r="S200">
        <f ca="1"/>
        <v>1</v>
      </c>
      <c r="T200">
        <f ca="1"/>
        <v>0.10999999999999943</v>
      </c>
      <c r="U200">
        <f ca="1"/>
        <v>0</v>
      </c>
      <c r="V200">
        <f ca="1"/>
        <v>0.86241720518859744</v>
      </c>
      <c r="X200" s="2">
        <f t="shared" ca="1" si="22"/>
        <v>45580</v>
      </c>
      <c r="Y200">
        <f t="shared" ca="1" si="23"/>
        <v>0</v>
      </c>
      <c r="AA200" s="63">
        <f t="shared" ca="1" si="18"/>
        <v>84.438529881420152</v>
      </c>
      <c r="AB200" s="63">
        <f t="shared" ca="1" si="19"/>
        <v>84.438529881420152</v>
      </c>
      <c r="AC200" s="3">
        <f t="shared" ca="1" si="20"/>
        <v>0</v>
      </c>
    </row>
    <row r="201" spans="8:29">
      <c r="H201" t="b">
        <f t="shared" ca="1" si="24"/>
        <v>1</v>
      </c>
      <c r="I201" t="b">
        <f t="shared" ca="1" si="21"/>
        <v>1</v>
      </c>
      <c r="J201" s="2">
        <f ca="1"/>
        <v>45581</v>
      </c>
      <c r="K201">
        <f ca="1"/>
        <v>80.149270307135225</v>
      </c>
      <c r="L201">
        <f ca="1"/>
        <v>2.4480632540969367</v>
      </c>
      <c r="M201">
        <f ca="1"/>
        <v>9.0387112634147115E-3</v>
      </c>
      <c r="N201">
        <f ca="1"/>
        <v>0.5894202132547437</v>
      </c>
      <c r="O201">
        <f ca="1"/>
        <v>0</v>
      </c>
      <c r="P201">
        <f ca="1"/>
        <v>127.42072002576568</v>
      </c>
      <c r="Q201">
        <f ca="1"/>
        <v>108.23381623810214</v>
      </c>
      <c r="R201">
        <f ca="1"/>
        <v>0.10716254289213538</v>
      </c>
      <c r="S201">
        <f ca="1"/>
        <v>1</v>
      </c>
      <c r="T201">
        <f ca="1"/>
        <v>0.19000000000000483</v>
      </c>
      <c r="U201">
        <f ca="1"/>
        <v>0</v>
      </c>
      <c r="V201">
        <f ca="1"/>
        <v>0.86445865410804734</v>
      </c>
      <c r="X201" s="2">
        <f t="shared" ca="1" si="22"/>
        <v>45581</v>
      </c>
      <c r="Y201">
        <f t="shared" ca="1" si="23"/>
        <v>0</v>
      </c>
      <c r="AA201" s="63">
        <f ca="1">K200+M201+N201+O201</f>
        <v>82.704496104124303</v>
      </c>
      <c r="AB201" s="63">
        <f ca="1">K201+L201+R201</f>
        <v>82.704496104124303</v>
      </c>
      <c r="AC201" s="3">
        <f ca="1">AB201-AA201</f>
        <v>0</v>
      </c>
    </row>
    <row r="202" spans="8:29">
      <c r="H202" t="b">
        <f t="shared" ca="1" si="24"/>
        <v>1</v>
      </c>
      <c r="I202" t="b">
        <f t="shared" ca="1" si="21"/>
        <v>1</v>
      </c>
      <c r="J202" s="2">
        <f ca="1"/>
        <v>45582</v>
      </c>
      <c r="K202">
        <f ca="1"/>
        <v>78.032897244791215</v>
      </c>
      <c r="L202">
        <f ca="1"/>
        <v>2.3217349062184525</v>
      </c>
      <c r="M202">
        <f ca="1"/>
        <v>8.5317974850909195E-3</v>
      </c>
      <c r="N202">
        <f ca="1"/>
        <v>0.56474070636201867</v>
      </c>
      <c r="O202">
        <f ca="1"/>
        <v>0</v>
      </c>
      <c r="P202">
        <f ca="1"/>
        <v>129.74245493198413</v>
      </c>
      <c r="Q202">
        <f ca="1"/>
        <v>110.20594627427224</v>
      </c>
      <c r="R202">
        <f ca="1"/>
        <v>0.36791065997266464</v>
      </c>
      <c r="S202">
        <f ca="1"/>
        <v>1</v>
      </c>
      <c r="T202">
        <f ca="1"/>
        <v>0.67000000000000171</v>
      </c>
      <c r="U202">
        <f ca="1"/>
        <v>0</v>
      </c>
      <c r="V202">
        <f ca="1"/>
        <v>0.8662870572885657</v>
      </c>
      <c r="X202" s="2">
        <f t="shared" ca="1" si="22"/>
        <v>45582</v>
      </c>
      <c r="Y202">
        <f t="shared" ca="1" si="23"/>
        <v>0</v>
      </c>
      <c r="AA202" s="63">
        <f ca="1">K201+M202+N202+O202</f>
        <v>80.722542810982333</v>
      </c>
      <c r="AB202" s="63">
        <f ca="1">K202+L202+R202</f>
        <v>80.722542810982333</v>
      </c>
      <c r="AC202" s="3">
        <f ca="1">AB202-AA202</f>
        <v>0</v>
      </c>
    </row>
    <row r="203" spans="8:29">
      <c r="H203" t="b">
        <f t="shared" ca="1" si="24"/>
        <v>1</v>
      </c>
      <c r="I203" t="b">
        <f t="shared" ca="1" si="21"/>
        <v>1</v>
      </c>
      <c r="J203" s="2">
        <f ca="1"/>
        <v>45583</v>
      </c>
      <c r="K203">
        <f ca="1"/>
        <v>76.332651600435213</v>
      </c>
      <c r="L203">
        <f ca="1"/>
        <v>2.2608388264163182</v>
      </c>
      <c r="M203">
        <f ca="1"/>
        <v>8.1945112415908739E-3</v>
      </c>
      <c r="N203">
        <f ca="1"/>
        <v>0.5523986708187375</v>
      </c>
      <c r="O203">
        <f ca="1"/>
        <v>0</v>
      </c>
      <c r="P203">
        <f ca="1"/>
        <v>132.00329375840045</v>
      </c>
      <c r="Q203">
        <f ca="1"/>
        <v>112.12634991061044</v>
      </c>
      <c r="R203">
        <f ca="1"/>
        <v>0</v>
      </c>
      <c r="S203">
        <f ca="1"/>
        <v>0.98148148148148151</v>
      </c>
      <c r="T203">
        <f ca="1"/>
        <v>0</v>
      </c>
      <c r="U203">
        <f ca="1"/>
        <v>0</v>
      </c>
      <c r="V203">
        <f ca="1"/>
        <v>0.86797313124193098</v>
      </c>
      <c r="X203" s="2">
        <f t="shared" ca="1" si="22"/>
        <v>45583</v>
      </c>
      <c r="Y203">
        <f t="shared" ca="1" si="23"/>
        <v>0</v>
      </c>
      <c r="AA203" s="63">
        <f ca="1">K202+M203+N203+O203</f>
        <v>78.593490426851545</v>
      </c>
      <c r="AB203" s="63">
        <f ca="1">K203+L203+R203</f>
        <v>78.593490426851531</v>
      </c>
      <c r="AC203" s="3">
        <f ca="1">AB203-AA203</f>
        <v>0</v>
      </c>
    </row>
    <row r="204" spans="8:29">
      <c r="H204" t="b">
        <f t="shared" ca="1" si="24"/>
        <v>1</v>
      </c>
      <c r="I204" t="b">
        <f t="shared" ca="1" si="21"/>
        <v>1</v>
      </c>
      <c r="J204" s="2">
        <f ca="1"/>
        <v>45584</v>
      </c>
      <c r="K204">
        <f ca="1"/>
        <v>74.644912244753243</v>
      </c>
      <c r="L204">
        <f ca="1"/>
        <v>2.2352971576927416</v>
      </c>
      <c r="M204">
        <f ca="1"/>
        <v>7.9452159729740401E-3</v>
      </c>
      <c r="N204">
        <f ca="1"/>
        <v>0.5396125860377925</v>
      </c>
      <c r="O204">
        <f ca="1"/>
        <v>0</v>
      </c>
      <c r="P204">
        <f ca="1"/>
        <v>134.23859091609319</v>
      </c>
      <c r="Q204">
        <f ca="1"/>
        <v>114.02505792100581</v>
      </c>
      <c r="R204">
        <f ca="1"/>
        <v>0</v>
      </c>
      <c r="S204">
        <f ca="1"/>
        <v>0.95033280905963713</v>
      </c>
      <c r="T204">
        <f ca="1"/>
        <v>0</v>
      </c>
      <c r="U204">
        <f ca="1"/>
        <v>0</v>
      </c>
      <c r="V204">
        <f ca="1"/>
        <v>0.86955417639338783</v>
      </c>
      <c r="X204" s="2">
        <f t="shared" ca="1" si="22"/>
        <v>45584</v>
      </c>
      <c r="Y204">
        <f t="shared" ca="1" si="23"/>
        <v>0</v>
      </c>
      <c r="AA204" s="63">
        <f t="shared" ref="AA204:AA267" ca="1" si="25">K203+M204+N204+O204</f>
        <v>76.880209402445971</v>
      </c>
      <c r="AB204" s="63">
        <f t="shared" ref="AB204:AB267" ca="1" si="26">K204+L204+R204</f>
        <v>76.880209402445985</v>
      </c>
      <c r="AC204" s="3">
        <f t="shared" ref="AC204:AC267" ca="1" si="27">AB204-AA204</f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45585</v>
      </c>
      <c r="K205">
        <f ca="1"/>
        <v>72.839886629325946</v>
      </c>
      <c r="L205">
        <f ca="1"/>
        <v>2.3750447400567509</v>
      </c>
      <c r="M205">
        <f ca="1"/>
        <v>8.0184611847897713E-3</v>
      </c>
      <c r="N205">
        <f ca="1"/>
        <v>0.56200066344467092</v>
      </c>
      <c r="O205">
        <f ca="1"/>
        <v>0</v>
      </c>
      <c r="P205">
        <f ca="1"/>
        <v>136.61363565614994</v>
      </c>
      <c r="Q205">
        <f ca="1"/>
        <v>116.04247044151734</v>
      </c>
      <c r="R205">
        <f ca="1"/>
        <v>0</v>
      </c>
      <c r="S205">
        <f ca="1"/>
        <v>0.95031087296339212</v>
      </c>
      <c r="T205">
        <f ca="1"/>
        <v>0</v>
      </c>
      <c r="U205">
        <f ca="1"/>
        <v>0</v>
      </c>
      <c r="V205">
        <f ca="1"/>
        <v>0.87114606086940038</v>
      </c>
      <c r="X205" s="2">
        <f t="shared" ca="1" si="22"/>
        <v>45585</v>
      </c>
      <c r="Y205">
        <f t="shared" ca="1" si="23"/>
        <v>0</v>
      </c>
      <c r="AA205" s="63">
        <f t="shared" ca="1" si="25"/>
        <v>75.214931369382697</v>
      </c>
      <c r="AB205" s="63">
        <f t="shared" ca="1" si="26"/>
        <v>75.214931369382697</v>
      </c>
      <c r="AC205" s="3">
        <f t="shared" ca="1" si="27"/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45586</v>
      </c>
      <c r="K206">
        <f ca="1"/>
        <v>70.966834317115371</v>
      </c>
      <c r="L206">
        <f ca="1"/>
        <v>2.463085039556546</v>
      </c>
      <c r="M206">
        <f ca="1"/>
        <v>7.988476151702173E-3</v>
      </c>
      <c r="N206">
        <f ca="1"/>
        <v>0.58204425119428016</v>
      </c>
      <c r="O206">
        <f ca="1"/>
        <v>0</v>
      </c>
      <c r="P206">
        <f ca="1"/>
        <v>139.07672069570648</v>
      </c>
      <c r="Q206">
        <f ca="1"/>
        <v>118.13466622801324</v>
      </c>
      <c r="R206">
        <f ca="1"/>
        <v>0</v>
      </c>
      <c r="S206">
        <f ca="1"/>
        <v>0.95879987234744712</v>
      </c>
      <c r="T206">
        <f ca="1"/>
        <v>0</v>
      </c>
      <c r="U206">
        <f ca="1"/>
        <v>0</v>
      </c>
      <c r="V206">
        <f ca="1"/>
        <v>0.8727070717888693</v>
      </c>
      <c r="X206" s="2">
        <f t="shared" ca="1" si="22"/>
        <v>45586</v>
      </c>
      <c r="Y206">
        <f t="shared" ca="1" si="23"/>
        <v>0</v>
      </c>
      <c r="AA206" s="63">
        <f t="shared" ca="1" si="25"/>
        <v>73.429919356671917</v>
      </c>
      <c r="AB206" s="63">
        <f t="shared" ca="1" si="26"/>
        <v>73.429919356671917</v>
      </c>
      <c r="AC206" s="3">
        <f t="shared" ca="1" si="27"/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45587</v>
      </c>
      <c r="K207">
        <f ca="1"/>
        <v>69.000565403809986</v>
      </c>
      <c r="L207">
        <f ca="1"/>
        <v>2.5765364099675878</v>
      </c>
      <c r="M207">
        <f ca="1"/>
        <v>8.0053677770308695E-3</v>
      </c>
      <c r="N207">
        <f ca="1"/>
        <v>0.60226212888517028</v>
      </c>
      <c r="O207">
        <f ca="1"/>
        <v>0</v>
      </c>
      <c r="P207">
        <f ca="1"/>
        <v>141.65325710567407</v>
      </c>
      <c r="Q207">
        <f ca="1"/>
        <v>120.32322997393167</v>
      </c>
      <c r="R207">
        <f ca="1"/>
        <v>0</v>
      </c>
      <c r="S207">
        <f ca="1"/>
        <v>0.97913855538052752</v>
      </c>
      <c r="T207">
        <f ca="1"/>
        <v>0</v>
      </c>
      <c r="U207">
        <f ca="1"/>
        <v>0</v>
      </c>
      <c r="V207">
        <f ca="1"/>
        <v>0.87424828019940182</v>
      </c>
      <c r="X207" s="2">
        <f t="shared" ca="1" si="22"/>
        <v>45587</v>
      </c>
      <c r="Y207">
        <f t="shared" ca="1" si="23"/>
        <v>0</v>
      </c>
      <c r="AA207" s="63">
        <f t="shared" ca="1" si="25"/>
        <v>71.577101813777574</v>
      </c>
      <c r="AB207" s="63">
        <f t="shared" ca="1" si="26"/>
        <v>71.577101813777574</v>
      </c>
      <c r="AC207" s="3">
        <f t="shared" ca="1" si="27"/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45588</v>
      </c>
      <c r="K208">
        <f ca="1"/>
        <v>67.168844239535929</v>
      </c>
      <c r="L208">
        <f ca="1"/>
        <v>2.4114561851395422</v>
      </c>
      <c r="M208">
        <f ca="1"/>
        <v>7.5082476234697992E-3</v>
      </c>
      <c r="N208">
        <f ca="1"/>
        <v>0.57222677324200433</v>
      </c>
      <c r="O208">
        <f ca="1"/>
        <v>0</v>
      </c>
      <c r="P208">
        <f ca="1"/>
        <v>144.06471329081361</v>
      </c>
      <c r="Q208">
        <f ca="1"/>
        <v>122.37157113505404</v>
      </c>
      <c r="R208">
        <f ca="1"/>
        <v>0</v>
      </c>
      <c r="S208">
        <f ca="1"/>
        <v>0.98022113823802781</v>
      </c>
      <c r="T208">
        <f ca="1"/>
        <v>0</v>
      </c>
      <c r="U208">
        <f ca="1"/>
        <v>0</v>
      </c>
      <c r="V208">
        <f ca="1"/>
        <v>0.8756111661611663</v>
      </c>
      <c r="X208" s="2">
        <f t="shared" ca="1" si="22"/>
        <v>45588</v>
      </c>
      <c r="Y208">
        <f t="shared" ca="1" si="23"/>
        <v>0</v>
      </c>
      <c r="AA208" s="63">
        <f t="shared" ca="1" si="25"/>
        <v>69.580300424675457</v>
      </c>
      <c r="AB208" s="63">
        <f t="shared" ca="1" si="26"/>
        <v>69.580300424675471</v>
      </c>
      <c r="AC208" s="3">
        <f t="shared" ca="1" si="27"/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45589</v>
      </c>
      <c r="K209">
        <f ca="1"/>
        <v>65.218787411841831</v>
      </c>
      <c r="L209">
        <f ca="1"/>
        <v>2.5455796018957528</v>
      </c>
      <c r="M209">
        <f ca="1"/>
        <v>7.5703776245035215E-3</v>
      </c>
      <c r="N209">
        <f ca="1"/>
        <v>0.58795239657714538</v>
      </c>
      <c r="O209">
        <f ca="1"/>
        <v>0</v>
      </c>
      <c r="P209">
        <f ca="1"/>
        <v>146.61029289270937</v>
      </c>
      <c r="Q209">
        <f ca="1"/>
        <v>124.53383952276472</v>
      </c>
      <c r="R209">
        <f ca="1"/>
        <v>0</v>
      </c>
      <c r="S209">
        <f ca="1"/>
        <v>0.95093035602146425</v>
      </c>
      <c r="T209">
        <f ca="1"/>
        <v>0</v>
      </c>
      <c r="U209">
        <f ca="1"/>
        <v>0</v>
      </c>
      <c r="V209">
        <f ca="1"/>
        <v>0.8769716466646168</v>
      </c>
      <c r="X209" s="2">
        <f t="shared" ca="1" si="22"/>
        <v>45589</v>
      </c>
      <c r="Y209">
        <f t="shared" ca="1" si="23"/>
        <v>0</v>
      </c>
      <c r="AA209" s="63">
        <f t="shared" ca="1" si="25"/>
        <v>67.764367013737584</v>
      </c>
      <c r="AB209" s="63">
        <f t="shared" ca="1" si="26"/>
        <v>67.764367013737584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45590</v>
      </c>
      <c r="K210">
        <f ca="1"/>
        <v>63.163008494947462</v>
      </c>
      <c r="L210">
        <f ca="1"/>
        <v>2.6323834820049399</v>
      </c>
      <c r="M210">
        <f ca="1"/>
        <v>7.5454746140408702E-3</v>
      </c>
      <c r="N210">
        <f ca="1"/>
        <v>0.56905909049652093</v>
      </c>
      <c r="O210">
        <f ca="1"/>
        <v>0</v>
      </c>
      <c r="P210">
        <f ca="1"/>
        <v>149.24267637471431</v>
      </c>
      <c r="Q210">
        <f ca="1"/>
        <v>126.7698409360508</v>
      </c>
      <c r="R210">
        <f ca="1"/>
        <v>0</v>
      </c>
      <c r="S210">
        <f ca="1"/>
        <v>0.90518197693479652</v>
      </c>
      <c r="T210">
        <f ca="1"/>
        <v>0</v>
      </c>
      <c r="U210">
        <f ca="1"/>
        <v>0</v>
      </c>
      <c r="V210">
        <f ca="1"/>
        <v>0.87829934690162881</v>
      </c>
      <c r="X210" s="2">
        <f t="shared" ca="1" si="22"/>
        <v>45590</v>
      </c>
      <c r="Y210">
        <f t="shared" ca="1" si="23"/>
        <v>0</v>
      </c>
      <c r="AA210" s="63">
        <f t="shared" ca="1" si="25"/>
        <v>65.795391976952402</v>
      </c>
      <c r="AB210" s="63">
        <f t="shared" ca="1" si="26"/>
        <v>65.795391976952402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45591</v>
      </c>
      <c r="K211">
        <f ca="1"/>
        <v>60.925634988466612</v>
      </c>
      <c r="L211">
        <f ca="1"/>
        <v>2.8541234620611533</v>
      </c>
      <c r="M211">
        <f ca="1"/>
        <v>7.7641575540354779E-3</v>
      </c>
      <c r="N211">
        <f ca="1"/>
        <v>0.60898579802627006</v>
      </c>
      <c r="O211">
        <f ca="1"/>
        <v>0</v>
      </c>
      <c r="P211">
        <f ca="1"/>
        <v>152.09679983677546</v>
      </c>
      <c r="Q211">
        <f ca="1"/>
        <v>129.19419291154674</v>
      </c>
      <c r="R211">
        <f ca="1"/>
        <v>0</v>
      </c>
      <c r="S211">
        <f ca="1"/>
        <v>0.90810153682839423</v>
      </c>
      <c r="T211">
        <f ca="1"/>
        <v>0</v>
      </c>
      <c r="U211">
        <f ca="1"/>
        <v>0</v>
      </c>
      <c r="V211">
        <f ca="1"/>
        <v>0.87965389165300234</v>
      </c>
      <c r="X211" s="2">
        <f t="shared" ca="1" si="22"/>
        <v>45591</v>
      </c>
      <c r="Y211">
        <f t="shared" ca="1" si="23"/>
        <v>0</v>
      </c>
      <c r="AA211" s="63">
        <f t="shared" ca="1" si="25"/>
        <v>63.779758450527765</v>
      </c>
      <c r="AB211" s="63">
        <f t="shared" ca="1" si="26"/>
        <v>63.779758450527765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45592</v>
      </c>
      <c r="K212">
        <f ca="1"/>
        <v>58.842273416143179</v>
      </c>
      <c r="L212">
        <f ca="1"/>
        <v>2.6883609974329943</v>
      </c>
      <c r="M212">
        <f ca="1"/>
        <v>7.2856061718624687E-3</v>
      </c>
      <c r="N212">
        <f ca="1"/>
        <v>0.59771381893769526</v>
      </c>
      <c r="O212">
        <f ca="1"/>
        <v>0</v>
      </c>
      <c r="P212">
        <f ca="1"/>
        <v>154.78516083420845</v>
      </c>
      <c r="Q212">
        <f ca="1"/>
        <v>131.47774279353618</v>
      </c>
      <c r="R212">
        <f ca="1"/>
        <v>0</v>
      </c>
      <c r="S212">
        <f ca="1"/>
        <v>0.93129025874373705</v>
      </c>
      <c r="T212">
        <f ca="1"/>
        <v>0</v>
      </c>
      <c r="U212">
        <f ca="1"/>
        <v>0</v>
      </c>
      <c r="V212">
        <f ca="1"/>
        <v>0.88085421982644185</v>
      </c>
      <c r="X212" s="2">
        <f t="shared" ca="1" si="22"/>
        <v>45592</v>
      </c>
      <c r="Y212">
        <f t="shared" ca="1" si="23"/>
        <v>0</v>
      </c>
      <c r="AA212" s="63">
        <f t="shared" ca="1" si="25"/>
        <v>61.530634413576173</v>
      </c>
      <c r="AB212" s="63">
        <f t="shared" ca="1" si="26"/>
        <v>61.530634413576173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45593</v>
      </c>
      <c r="K213">
        <f ca="1"/>
        <v>56.746922503504386</v>
      </c>
      <c r="L213">
        <f ca="1"/>
        <v>2.6920038491812477</v>
      </c>
      <c r="M213">
        <f ca="1"/>
        <v>7.1263463947843775E-3</v>
      </c>
      <c r="N213">
        <f ca="1"/>
        <v>0.58952659014767117</v>
      </c>
      <c r="O213">
        <f ca="1"/>
        <v>0</v>
      </c>
      <c r="P213">
        <f ca="1"/>
        <v>157.4771646833897</v>
      </c>
      <c r="Q213">
        <f ca="1"/>
        <v>133.7643869897519</v>
      </c>
      <c r="R213">
        <f ca="1"/>
        <v>0</v>
      </c>
      <c r="S213">
        <f ca="1"/>
        <v>0.91898998769040485</v>
      </c>
      <c r="T213">
        <f ca="1"/>
        <v>0</v>
      </c>
      <c r="U213">
        <f ca="1"/>
        <v>0</v>
      </c>
      <c r="V213">
        <f ca="1"/>
        <v>0.88198755217991986</v>
      </c>
      <c r="X213" s="2">
        <f t="shared" ca="1" si="22"/>
        <v>45593</v>
      </c>
      <c r="Y213">
        <f t="shared" ca="1" si="23"/>
        <v>0</v>
      </c>
      <c r="AA213" s="63">
        <f t="shared" ca="1" si="25"/>
        <v>59.438926352685634</v>
      </c>
      <c r="AB213" s="63">
        <f t="shared" ca="1" si="26"/>
        <v>59.438926352685634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45594</v>
      </c>
      <c r="K214">
        <f ca="1"/>
        <v>54.534995927348859</v>
      </c>
      <c r="L214">
        <f ca="1"/>
        <v>2.812447802351727</v>
      </c>
      <c r="M214">
        <f ca="1"/>
        <v>7.1699879177558046E-3</v>
      </c>
      <c r="N214">
        <f ca="1"/>
        <v>0.59335123827844527</v>
      </c>
      <c r="O214">
        <f ca="1"/>
        <v>0</v>
      </c>
      <c r="P214">
        <f ca="1"/>
        <v>160.28961248574143</v>
      </c>
      <c r="Q214">
        <f ca="1"/>
        <v>136.1533387909773</v>
      </c>
      <c r="R214">
        <f ca="1"/>
        <v>0</v>
      </c>
      <c r="S214">
        <f ca="1"/>
        <v>0.89549287177724235</v>
      </c>
      <c r="T214">
        <f ca="1"/>
        <v>0</v>
      </c>
      <c r="U214">
        <f ca="1"/>
        <v>0</v>
      </c>
      <c r="V214">
        <f ca="1"/>
        <v>0.88310296805617439</v>
      </c>
      <c r="X214" s="2">
        <f t="shared" ca="1" si="22"/>
        <v>45594</v>
      </c>
      <c r="Y214">
        <f t="shared" ca="1" si="23"/>
        <v>0</v>
      </c>
      <c r="AA214" s="63">
        <f t="shared" ca="1" si="25"/>
        <v>57.347443729700586</v>
      </c>
      <c r="AB214" s="63">
        <f t="shared" ca="1" si="26"/>
        <v>57.347443729700586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45595</v>
      </c>
      <c r="K215">
        <f ca="1"/>
        <v>52.34746085730032</v>
      </c>
      <c r="L215">
        <f ca="1"/>
        <v>2.7515028939402555</v>
      </c>
      <c r="M215">
        <f ca="1"/>
        <v>6.9101822722430484E-3</v>
      </c>
      <c r="N215">
        <f ca="1"/>
        <v>0.55705764161947458</v>
      </c>
      <c r="O215">
        <f ca="1"/>
        <v>0</v>
      </c>
      <c r="P215">
        <f ca="1"/>
        <v>163.04111537968168</v>
      </c>
      <c r="Q215">
        <f ca="1"/>
        <v>138.49052271633195</v>
      </c>
      <c r="R215">
        <f ca="1"/>
        <v>0</v>
      </c>
      <c r="S215">
        <f ca="1"/>
        <v>0.85856497818087141</v>
      </c>
      <c r="T215">
        <f ca="1"/>
        <v>0</v>
      </c>
      <c r="U215">
        <f ca="1"/>
        <v>0</v>
      </c>
      <c r="V215">
        <f ca="1"/>
        <v>0.88413070034436392</v>
      </c>
      <c r="X215" s="2">
        <f t="shared" ca="1" si="22"/>
        <v>45595</v>
      </c>
      <c r="Y215">
        <f t="shared" ca="1" si="23"/>
        <v>0</v>
      </c>
      <c r="AA215" s="63">
        <f t="shared" ca="1" si="25"/>
        <v>55.098963751240575</v>
      </c>
      <c r="AB215" s="63">
        <f t="shared" ca="1" si="26"/>
        <v>55.098963751240575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45596</v>
      </c>
      <c r="K216">
        <f ca="1"/>
        <v>50.266043185331071</v>
      </c>
      <c r="L216">
        <f ca="1"/>
        <v>2.6029131062423971</v>
      </c>
      <c r="M216">
        <f ca="1"/>
        <v>6.5273214797088031E-3</v>
      </c>
      <c r="N216">
        <f ca="1"/>
        <v>0.51496811279344334</v>
      </c>
      <c r="O216">
        <f ca="1"/>
        <v>0</v>
      </c>
      <c r="P216">
        <f ca="1"/>
        <v>165.64402848592408</v>
      </c>
      <c r="Q216">
        <f ca="1"/>
        <v>140.70149137800504</v>
      </c>
      <c r="R216">
        <f ca="1"/>
        <v>0</v>
      </c>
      <c r="S216">
        <f ca="1"/>
        <v>0.82987317895022794</v>
      </c>
      <c r="T216">
        <f ca="1"/>
        <v>0</v>
      </c>
      <c r="U216">
        <f ca="1"/>
        <v>0</v>
      </c>
      <c r="V216">
        <f ca="1"/>
        <v>0.88504873649097893</v>
      </c>
      <c r="X216" s="2">
        <f t="shared" ca="1" si="22"/>
        <v>45596</v>
      </c>
      <c r="Y216">
        <f t="shared" ca="1" si="23"/>
        <v>0</v>
      </c>
      <c r="AA216" s="63">
        <f t="shared" ca="1" si="25"/>
        <v>52.868956291573468</v>
      </c>
      <c r="AB216" s="63">
        <f t="shared" ca="1" si="26"/>
        <v>52.868956291573468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45597</v>
      </c>
      <c r="K217">
        <f ca="1"/>
        <v>48.145393923725997</v>
      </c>
      <c r="L217">
        <f ca="1"/>
        <v>2.6116167813245283</v>
      </c>
      <c r="M217">
        <f ca="1"/>
        <v>6.4084289325450072E-3</v>
      </c>
      <c r="N217">
        <f ca="1"/>
        <v>0.48455909078690973</v>
      </c>
      <c r="O217">
        <f ca="1"/>
        <v>0</v>
      </c>
      <c r="P217">
        <f ca="1"/>
        <v>168.25564526724861</v>
      </c>
      <c r="Q217">
        <f ca="1"/>
        <v>142.91985312275949</v>
      </c>
      <c r="R217">
        <f ca="1"/>
        <v>0</v>
      </c>
      <c r="S217">
        <f ca="1"/>
        <v>0.77918392334732622</v>
      </c>
      <c r="T217">
        <f ca="1"/>
        <v>0</v>
      </c>
      <c r="U217">
        <f ca="1"/>
        <v>0</v>
      </c>
      <c r="V217">
        <f ca="1"/>
        <v>0.88592008872092853</v>
      </c>
      <c r="X217" s="2">
        <f t="shared" ca="1" si="22"/>
        <v>45597</v>
      </c>
      <c r="Y217">
        <f t="shared" ca="1" si="23"/>
        <v>0</v>
      </c>
      <c r="AA217" s="63">
        <f t="shared" ca="1" si="25"/>
        <v>50.757010705050526</v>
      </c>
      <c r="AB217" s="63">
        <f t="shared" ca="1" si="26"/>
        <v>50.757010705050526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45598</v>
      </c>
      <c r="K218">
        <f ca="1"/>
        <v>46.052884283050247</v>
      </c>
      <c r="L218">
        <f ca="1"/>
        <v>2.570102233391907</v>
      </c>
      <c r="M218">
        <f ca="1"/>
        <v>6.2191374562416968E-3</v>
      </c>
      <c r="N218">
        <f ca="1"/>
        <v>0.47137345525991708</v>
      </c>
      <c r="O218">
        <f ca="1"/>
        <v>0</v>
      </c>
      <c r="P218">
        <f ca="1"/>
        <v>170.82574750064052</v>
      </c>
      <c r="Q218">
        <f ca="1"/>
        <v>145.10295154494563</v>
      </c>
      <c r="R218">
        <f ca="1"/>
        <v>0</v>
      </c>
      <c r="S218">
        <f ca="1"/>
        <v>0.7653188713754927</v>
      </c>
      <c r="T218">
        <f ca="1"/>
        <v>0</v>
      </c>
      <c r="U218">
        <f ca="1"/>
        <v>0</v>
      </c>
      <c r="V218">
        <f ca="1"/>
        <v>0.88673177904684475</v>
      </c>
      <c r="X218" s="2">
        <f t="shared" ca="1" si="22"/>
        <v>45598</v>
      </c>
      <c r="Y218">
        <f t="shared" ca="1" si="23"/>
        <v>0</v>
      </c>
      <c r="AA218" s="63">
        <f t="shared" ca="1" si="25"/>
        <v>48.622986516442154</v>
      </c>
      <c r="AB218" s="63">
        <f t="shared" ca="1" si="26"/>
        <v>48.622986516442154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45599</v>
      </c>
      <c r="K219">
        <f ca="1"/>
        <v>43.919643069210117</v>
      </c>
      <c r="L219">
        <f ca="1"/>
        <v>2.6183753675021535</v>
      </c>
      <c r="M219">
        <f ca="1"/>
        <v>6.1712183028959089E-3</v>
      </c>
      <c r="N219">
        <f ca="1"/>
        <v>0.47896293535912493</v>
      </c>
      <c r="O219">
        <f ca="1"/>
        <v>0</v>
      </c>
      <c r="P219">
        <f ca="1"/>
        <v>173.44412286814267</v>
      </c>
      <c r="Q219">
        <f ca="1"/>
        <v>147.32705417371196</v>
      </c>
      <c r="R219">
        <f ca="1"/>
        <v>0</v>
      </c>
      <c r="S219">
        <f ca="1"/>
        <v>0.76382794228814344</v>
      </c>
      <c r="T219">
        <f ca="1"/>
        <v>0</v>
      </c>
      <c r="U219">
        <f ca="1"/>
        <v>0</v>
      </c>
      <c r="V219">
        <f ca="1"/>
        <v>0.88751468904097652</v>
      </c>
      <c r="X219" s="2">
        <f t="shared" ca="1" si="22"/>
        <v>45599</v>
      </c>
      <c r="Y219">
        <f t="shared" ca="1" si="23"/>
        <v>0</v>
      </c>
      <c r="AA219" s="63">
        <f t="shared" ca="1" si="25"/>
        <v>46.538018436712271</v>
      </c>
      <c r="AB219" s="63">
        <f t="shared" ca="1" si="26"/>
        <v>46.538018436712271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45600</v>
      </c>
      <c r="K220">
        <f ca="1"/>
        <v>41.750265645843996</v>
      </c>
      <c r="L220">
        <f ca="1"/>
        <v>2.7037697317025788</v>
      </c>
      <c r="M220">
        <f ca="1"/>
        <v>6.1815881589666333E-3</v>
      </c>
      <c r="N220">
        <f ca="1"/>
        <v>0.52821072017748993</v>
      </c>
      <c r="O220">
        <f ca="1"/>
        <v>0</v>
      </c>
      <c r="P220">
        <f ca="1"/>
        <v>176.14789259984525</v>
      </c>
      <c r="Q220">
        <f ca="1"/>
        <v>149.62369255585313</v>
      </c>
      <c r="R220">
        <f ca="1"/>
        <v>0</v>
      </c>
      <c r="S220">
        <f ca="1"/>
        <v>0.8160887720311214</v>
      </c>
      <c r="T220">
        <f ca="1"/>
        <v>0</v>
      </c>
      <c r="U220">
        <f ca="1"/>
        <v>0</v>
      </c>
      <c r="V220">
        <f ca="1"/>
        <v>0.88827919982431314</v>
      </c>
      <c r="X220" s="2">
        <f t="shared" ca="1" si="22"/>
        <v>45600</v>
      </c>
      <c r="Y220">
        <f t="shared" ca="1" si="23"/>
        <v>0</v>
      </c>
      <c r="AA220" s="63">
        <f t="shared" ca="1" si="25"/>
        <v>44.454035377546575</v>
      </c>
      <c r="AB220" s="63">
        <f t="shared" ca="1" si="26"/>
        <v>44.454035377546575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45601</v>
      </c>
      <c r="K221">
        <f ca="1"/>
        <v>39.696963493031795</v>
      </c>
      <c r="L221">
        <f ca="1"/>
        <v>2.5782078637289771</v>
      </c>
      <c r="M221">
        <f ca="1"/>
        <v>5.8834083909786727E-3</v>
      </c>
      <c r="N221">
        <f ca="1"/>
        <v>0.51902230252579429</v>
      </c>
      <c r="O221">
        <f ca="1"/>
        <v>0</v>
      </c>
      <c r="P221">
        <f ca="1"/>
        <v>178.72610046357423</v>
      </c>
      <c r="Q221">
        <f ca="1"/>
        <v>151.81367606944534</v>
      </c>
      <c r="R221">
        <f ca="1"/>
        <v>0</v>
      </c>
      <c r="S221">
        <f ca="1"/>
        <v>0.82801699493045888</v>
      </c>
      <c r="T221">
        <f ca="1"/>
        <v>0</v>
      </c>
      <c r="U221">
        <f ca="1"/>
        <v>0</v>
      </c>
      <c r="V221">
        <f ca="1"/>
        <v>0.88896901505661141</v>
      </c>
      <c r="X221" s="2">
        <f t="shared" ca="1" si="22"/>
        <v>45601</v>
      </c>
      <c r="Y221">
        <f t="shared" ca="1" si="23"/>
        <v>0</v>
      </c>
      <c r="AA221" s="63">
        <f t="shared" ca="1" si="25"/>
        <v>42.275171356760765</v>
      </c>
      <c r="AB221" s="63">
        <f t="shared" ca="1" si="26"/>
        <v>42.275171356760772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45602</v>
      </c>
      <c r="K222">
        <f ca="1"/>
        <v>37.599270017530358</v>
      </c>
      <c r="L222">
        <f ca="1"/>
        <v>2.6483097441173697</v>
      </c>
      <c r="M222">
        <f ca="1"/>
        <v>5.8792406579897261E-3</v>
      </c>
      <c r="N222">
        <f ca="1"/>
        <v>0.54473702795794632</v>
      </c>
      <c r="O222">
        <f ca="1"/>
        <v>0</v>
      </c>
      <c r="P222">
        <f ca="1"/>
        <v>181.3744102076916</v>
      </c>
      <c r="Q222">
        <f ca="1"/>
        <v>154.06320558182298</v>
      </c>
      <c r="R222">
        <f ca="1"/>
        <v>0</v>
      </c>
      <c r="S222">
        <f ca="1"/>
        <v>0.84510984190350069</v>
      </c>
      <c r="T222">
        <f ca="1"/>
        <v>0</v>
      </c>
      <c r="U222">
        <f ca="1"/>
        <v>0</v>
      </c>
      <c r="V222">
        <f ca="1"/>
        <v>0.88964001925589442</v>
      </c>
      <c r="X222" s="2">
        <f t="shared" ca="1" si="22"/>
        <v>45602</v>
      </c>
      <c r="Y222">
        <f t="shared" ca="1" si="23"/>
        <v>0</v>
      </c>
      <c r="AA222" s="63">
        <f t="shared" ca="1" si="25"/>
        <v>40.247579761647728</v>
      </c>
      <c r="AB222" s="63">
        <f t="shared" ca="1" si="26"/>
        <v>40.247579761647728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45603</v>
      </c>
      <c r="K223">
        <f ca="1"/>
        <v>35.460253188637864</v>
      </c>
      <c r="L223">
        <f ca="1"/>
        <v>2.7012403525680213</v>
      </c>
      <c r="M223">
        <f ca="1"/>
        <v>5.853020055781144E-3</v>
      </c>
      <c r="N223">
        <f ca="1"/>
        <v>0.55637050361974638</v>
      </c>
      <c r="O223">
        <f ca="1"/>
        <v>0</v>
      </c>
      <c r="P223">
        <f ca="1"/>
        <v>184.07565056025962</v>
      </c>
      <c r="Q223">
        <f ca="1"/>
        <v>156.35769545659119</v>
      </c>
      <c r="R223">
        <f ca="1"/>
        <v>0</v>
      </c>
      <c r="S223">
        <f ca="1"/>
        <v>0.84456662770332669</v>
      </c>
      <c r="T223">
        <f ca="1"/>
        <v>0</v>
      </c>
      <c r="U223">
        <f ca="1"/>
        <v>0</v>
      </c>
      <c r="V223">
        <f ca="1"/>
        <v>0.89028742134639727</v>
      </c>
      <c r="X223" s="2">
        <f t="shared" ca="1" si="22"/>
        <v>45603</v>
      </c>
      <c r="Y223">
        <f t="shared" ca="1" si="23"/>
        <v>0</v>
      </c>
      <c r="AA223" s="63">
        <f t="shared" ca="1" si="25"/>
        <v>38.161493541205886</v>
      </c>
      <c r="AB223" s="63">
        <f t="shared" ca="1" si="26"/>
        <v>38.161493541205886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45604</v>
      </c>
      <c r="K224">
        <f ca="1"/>
        <v>33.424791375297097</v>
      </c>
      <c r="L224">
        <f ca="1"/>
        <v>2.5808356084839374</v>
      </c>
      <c r="M224">
        <f ca="1"/>
        <v>5.5830415453002047E-3</v>
      </c>
      <c r="N224">
        <f ca="1"/>
        <v>0.53979075359786788</v>
      </c>
      <c r="O224">
        <f ca="1"/>
        <v>0</v>
      </c>
      <c r="P224">
        <f ca="1"/>
        <v>186.65648616874356</v>
      </c>
      <c r="Q224">
        <f ca="1"/>
        <v>158.54991103136521</v>
      </c>
      <c r="R224">
        <f ca="1"/>
        <v>0</v>
      </c>
      <c r="S224">
        <f ca="1"/>
        <v>0.84458631516364513</v>
      </c>
      <c r="T224">
        <f ca="1"/>
        <v>0</v>
      </c>
      <c r="U224">
        <f ca="1"/>
        <v>0</v>
      </c>
      <c r="V224">
        <f ca="1"/>
        <v>0.89087299386987695</v>
      </c>
      <c r="X224" s="2">
        <f t="shared" ca="1" si="22"/>
        <v>45604</v>
      </c>
      <c r="Y224">
        <f t="shared" ca="1" si="23"/>
        <v>0</v>
      </c>
      <c r="AA224" s="63">
        <f t="shared" ca="1" si="25"/>
        <v>36.005626983781035</v>
      </c>
      <c r="AB224" s="63">
        <f t="shared" ca="1" si="26"/>
        <v>36.005626983781035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45605</v>
      </c>
      <c r="K225">
        <f ca="1"/>
        <v>31.319652844828362</v>
      </c>
      <c r="L225">
        <f ca="1"/>
        <v>2.6544936485221342</v>
      </c>
      <c r="M225">
        <f ca="1"/>
        <v>5.5950244862970067E-3</v>
      </c>
      <c r="N225">
        <f ca="1"/>
        <v>0.54376009356709853</v>
      </c>
      <c r="O225">
        <f ca="1"/>
        <v>0</v>
      </c>
      <c r="P225">
        <f ca="1"/>
        <v>189.31097981726569</v>
      </c>
      <c r="Q225">
        <f ca="1"/>
        <v>160.80469328107512</v>
      </c>
      <c r="R225">
        <f ca="1"/>
        <v>0</v>
      </c>
      <c r="S225">
        <f ca="1"/>
        <v>0.82746833040237955</v>
      </c>
      <c r="T225">
        <f ca="1"/>
        <v>0</v>
      </c>
      <c r="U225">
        <f ca="1"/>
        <v>0</v>
      </c>
      <c r="V225">
        <f ca="1"/>
        <v>0.89144351918011733</v>
      </c>
      <c r="X225" s="2">
        <f t="shared" ca="1" si="22"/>
        <v>45605</v>
      </c>
      <c r="Y225">
        <f t="shared" ca="1" si="23"/>
        <v>0</v>
      </c>
      <c r="AA225" s="63">
        <f t="shared" ca="1" si="25"/>
        <v>33.974146493350496</v>
      </c>
      <c r="AB225" s="63">
        <f t="shared" ca="1" si="26"/>
        <v>33.974146493350496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45606</v>
      </c>
      <c r="K226">
        <f ca="1"/>
        <v>29.192519877683861</v>
      </c>
      <c r="L226">
        <f ca="1"/>
        <v>2.6567552054241048</v>
      </c>
      <c r="M226">
        <f ca="1"/>
        <v>5.5095989099172016E-3</v>
      </c>
      <c r="N226">
        <f ca="1"/>
        <v>0.52411263936968566</v>
      </c>
      <c r="O226">
        <f ca="1"/>
        <v>0</v>
      </c>
      <c r="P226">
        <f ca="1"/>
        <v>191.96773502268979</v>
      </c>
      <c r="Q226">
        <f ca="1"/>
        <v>163.06139654436976</v>
      </c>
      <c r="R226">
        <f ca="1"/>
        <v>0</v>
      </c>
      <c r="S226">
        <f ca="1"/>
        <v>0.79274340243784147</v>
      </c>
      <c r="T226">
        <f ca="1"/>
        <v>0</v>
      </c>
      <c r="U226">
        <f ca="1"/>
        <v>0</v>
      </c>
      <c r="V226">
        <f ca="1"/>
        <v>0.89198403222795009</v>
      </c>
      <c r="X226" s="2">
        <f t="shared" ca="1" si="22"/>
        <v>45606</v>
      </c>
      <c r="Y226">
        <f t="shared" ca="1" si="23"/>
        <v>0</v>
      </c>
      <c r="AA226" s="63">
        <f t="shared" ca="1" si="25"/>
        <v>31.849275083107965</v>
      </c>
      <c r="AB226" s="63">
        <f t="shared" ca="1" si="26"/>
        <v>31.849275083107965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45607</v>
      </c>
      <c r="K227">
        <f ca="1"/>
        <v>27.100990557828869</v>
      </c>
      <c r="L227">
        <f ca="1"/>
        <v>2.6220901039561682</v>
      </c>
      <c r="M227">
        <f ca="1"/>
        <v>5.3772985439834997E-3</v>
      </c>
      <c r="N227">
        <f ca="1"/>
        <v>0.52518348555719208</v>
      </c>
      <c r="O227">
        <f ca="1"/>
        <v>0</v>
      </c>
      <c r="P227">
        <f ca="1"/>
        <v>194.58982512664596</v>
      </c>
      <c r="Q227">
        <f ca="1"/>
        <v>165.2886545477302</v>
      </c>
      <c r="R227">
        <f ca="1"/>
        <v>0</v>
      </c>
      <c r="S227">
        <f ca="1"/>
        <v>0.79622466421926452</v>
      </c>
      <c r="T227">
        <f ca="1"/>
        <v>0</v>
      </c>
      <c r="U227">
        <f ca="1"/>
        <v>0</v>
      </c>
      <c r="V227">
        <f ca="1"/>
        <v>0.89248919026094187</v>
      </c>
      <c r="X227" s="2">
        <f t="shared" ca="1" si="22"/>
        <v>45607</v>
      </c>
      <c r="Y227">
        <f t="shared" ca="1" si="23"/>
        <v>0</v>
      </c>
      <c r="AA227" s="63">
        <f t="shared" ca="1" si="25"/>
        <v>29.723080661785037</v>
      </c>
      <c r="AB227" s="63">
        <f t="shared" ca="1" si="26"/>
        <v>29.723080661785037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45608</v>
      </c>
      <c r="K228">
        <f ca="1"/>
        <v>25.079181810506011</v>
      </c>
      <c r="L228">
        <f ca="1"/>
        <v>2.5335447077821698</v>
      </c>
      <c r="M228">
        <f ca="1"/>
        <v>5.1776822520110954E-3</v>
      </c>
      <c r="N228">
        <f ca="1"/>
        <v>0.50655827820730226</v>
      </c>
      <c r="O228">
        <f ca="1"/>
        <v>0</v>
      </c>
      <c r="P228">
        <f ca="1"/>
        <v>197.12336983442813</v>
      </c>
      <c r="Q228">
        <f ca="1"/>
        <v>167.44070024546022</v>
      </c>
      <c r="R228">
        <f ca="1"/>
        <v>0</v>
      </c>
      <c r="S228">
        <f ca="1"/>
        <v>0.78333141941308115</v>
      </c>
      <c r="T228">
        <f ca="1"/>
        <v>0</v>
      </c>
      <c r="U228">
        <f ca="1"/>
        <v>0</v>
      </c>
      <c r="V228">
        <f ca="1"/>
        <v>0.8929519864145008</v>
      </c>
      <c r="X228" s="2">
        <f t="shared" ca="1" si="22"/>
        <v>45608</v>
      </c>
      <c r="Y228">
        <f t="shared" ca="1" si="23"/>
        <v>0</v>
      </c>
      <c r="AA228" s="63">
        <f t="shared" ca="1" si="25"/>
        <v>27.612726518288181</v>
      </c>
      <c r="AB228" s="63">
        <f t="shared" ca="1" si="26"/>
        <v>27.612726518288181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45609</v>
      </c>
      <c r="K229">
        <f ca="1"/>
        <v>23.089249748206971</v>
      </c>
      <c r="L229">
        <f ca="1"/>
        <v>2.4926208739955484</v>
      </c>
      <c r="M229">
        <f ca="1"/>
        <v>5.0498361236250844E-3</v>
      </c>
      <c r="N229">
        <f ca="1"/>
        <v>0.49763897557288211</v>
      </c>
      <c r="O229">
        <f ca="1"/>
        <v>0</v>
      </c>
      <c r="P229">
        <f ca="1"/>
        <v>199.61599070842368</v>
      </c>
      <c r="Q229">
        <f ca="1"/>
        <v>169.55798438553362</v>
      </c>
      <c r="R229">
        <f ca="1"/>
        <v>0</v>
      </c>
      <c r="S229">
        <f ca="1"/>
        <v>0.77297984707720158</v>
      </c>
      <c r="T229">
        <f ca="1"/>
        <v>0</v>
      </c>
      <c r="U229">
        <f ca="1"/>
        <v>0</v>
      </c>
      <c r="V229">
        <f ca="1"/>
        <v>0.89338427580268787</v>
      </c>
      <c r="X229" s="2">
        <f t="shared" ca="1" si="22"/>
        <v>45609</v>
      </c>
      <c r="Y229">
        <f t="shared" ca="1" si="23"/>
        <v>0</v>
      </c>
      <c r="AA229" s="63">
        <f t="shared" ca="1" si="25"/>
        <v>25.581870622202519</v>
      </c>
      <c r="AB229" s="63">
        <f t="shared" ca="1" si="26"/>
        <v>25.581870622202519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45610</v>
      </c>
      <c r="K230">
        <f ca="1"/>
        <v>21.032519045998637</v>
      </c>
      <c r="L230">
        <f ca="1"/>
        <v>2.5539555453349863</v>
      </c>
      <c r="M230">
        <f ca="1"/>
        <v>5.0631657213173753E-3</v>
      </c>
      <c r="N230">
        <f ca="1"/>
        <v>0.4921616774053344</v>
      </c>
      <c r="O230">
        <f ca="1"/>
        <v>0</v>
      </c>
      <c r="P230">
        <f ca="1"/>
        <v>202.16994625375867</v>
      </c>
      <c r="Q230">
        <f ca="1"/>
        <v>171.72736747423519</v>
      </c>
      <c r="R230">
        <f ca="1"/>
        <v>0</v>
      </c>
      <c r="S230">
        <f ca="1"/>
        <v>0.74227789101775343</v>
      </c>
      <c r="T230">
        <f ca="1"/>
        <v>0</v>
      </c>
      <c r="U230">
        <f ca="1"/>
        <v>0</v>
      </c>
      <c r="V230">
        <f ca="1"/>
        <v>0.89380469424447073</v>
      </c>
      <c r="X230" s="2">
        <f t="shared" ca="1" si="22"/>
        <v>45610</v>
      </c>
      <c r="Y230">
        <f t="shared" ca="1" si="23"/>
        <v>0</v>
      </c>
      <c r="AA230" s="63">
        <f t="shared" ca="1" si="25"/>
        <v>23.586474591333623</v>
      </c>
      <c r="AB230" s="63">
        <f t="shared" ca="1" si="26"/>
        <v>23.586474591333623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45611</v>
      </c>
      <c r="K231">
        <f ca="1"/>
        <v>18.947040532140292</v>
      </c>
      <c r="L231">
        <f ca="1"/>
        <v>2.6056116337092021</v>
      </c>
      <c r="M231">
        <f ca="1"/>
        <v>5.0675991579041124E-3</v>
      </c>
      <c r="N231">
        <f ca="1"/>
        <v>0.51506552069295242</v>
      </c>
      <c r="O231">
        <f ca="1"/>
        <v>0</v>
      </c>
      <c r="P231">
        <f ca="1"/>
        <v>204.77555788746787</v>
      </c>
      <c r="Q231">
        <f ca="1"/>
        <v>173.94062832140131</v>
      </c>
      <c r="R231">
        <f ca="1"/>
        <v>0</v>
      </c>
      <c r="S231">
        <f ca="1"/>
        <v>0.75606689787709469</v>
      </c>
      <c r="T231">
        <f ca="1"/>
        <v>0</v>
      </c>
      <c r="U231">
        <f ca="1"/>
        <v>0</v>
      </c>
      <c r="V231">
        <f ca="1"/>
        <v>0.89421131234063533</v>
      </c>
      <c r="X231" s="2">
        <f t="shared" ca="1" si="22"/>
        <v>45611</v>
      </c>
      <c r="Y231">
        <f t="shared" ca="1" si="23"/>
        <v>0</v>
      </c>
      <c r="AA231" s="63">
        <f t="shared" ca="1" si="25"/>
        <v>21.552652165849494</v>
      </c>
      <c r="AB231" s="63">
        <f t="shared" ca="1" si="26"/>
        <v>21.552652165849494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45612</v>
      </c>
      <c r="K232">
        <f ca="1"/>
        <v>16.957945667807984</v>
      </c>
      <c r="L232">
        <f ca="1"/>
        <v>2.4747839570004828</v>
      </c>
      <c r="M232">
        <f ca="1"/>
        <v>4.8293133207977235E-3</v>
      </c>
      <c r="N232">
        <f ca="1"/>
        <v>0.48085977934737828</v>
      </c>
      <c r="O232">
        <f ca="1"/>
        <v>0</v>
      </c>
      <c r="P232">
        <f ca="1"/>
        <v>207.25034184446835</v>
      </c>
      <c r="Q232">
        <f ca="1"/>
        <v>176.04276141228974</v>
      </c>
      <c r="R232">
        <f ca="1"/>
        <v>0</v>
      </c>
      <c r="S232">
        <f ca="1"/>
        <v>0.72783844400176345</v>
      </c>
      <c r="T232">
        <f ca="1"/>
        <v>0</v>
      </c>
      <c r="U232">
        <f ca="1"/>
        <v>0</v>
      </c>
      <c r="V232">
        <f ca="1"/>
        <v>0.89457768581431996</v>
      </c>
      <c r="X232" s="2">
        <f t="shared" ca="1" si="22"/>
        <v>45612</v>
      </c>
      <c r="Y232">
        <f t="shared" ca="1" si="23"/>
        <v>0</v>
      </c>
      <c r="AA232" s="63">
        <f t="shared" ca="1" si="25"/>
        <v>19.432729624808466</v>
      </c>
      <c r="AB232" s="63">
        <f t="shared" ca="1" si="26"/>
        <v>19.432729624808466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45613</v>
      </c>
      <c r="K233">
        <f ca="1"/>
        <v>15.062298325732304</v>
      </c>
      <c r="L233">
        <f ca="1"/>
        <v>2.3492595944405252</v>
      </c>
      <c r="M233">
        <f ca="1"/>
        <v>4.6086157196683075E-3</v>
      </c>
      <c r="N233">
        <f ca="1"/>
        <v>0.44900363664517584</v>
      </c>
      <c r="O233">
        <f ca="1"/>
        <v>0</v>
      </c>
      <c r="P233">
        <f ca="1"/>
        <v>209.59960143890888</v>
      </c>
      <c r="Q233">
        <f ca="1"/>
        <v>178.03827149250949</v>
      </c>
      <c r="R233">
        <f ca="1"/>
        <v>0</v>
      </c>
      <c r="S233">
        <f ca="1"/>
        <v>0.69952846820384151</v>
      </c>
      <c r="T233">
        <f ca="1"/>
        <v>0</v>
      </c>
      <c r="U233">
        <f ca="1"/>
        <v>0</v>
      </c>
      <c r="V233">
        <f ca="1"/>
        <v>0.89490845509500394</v>
      </c>
      <c r="X233" s="2">
        <f t="shared" ca="1" si="22"/>
        <v>45613</v>
      </c>
      <c r="Y233">
        <f t="shared" ca="1" si="23"/>
        <v>0</v>
      </c>
      <c r="AA233" s="63">
        <f t="shared" ca="1" si="25"/>
        <v>17.411557920172829</v>
      </c>
      <c r="AB233" s="63">
        <f t="shared" ca="1" si="26"/>
        <v>17.411557920172829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1</v>
      </c>
      <c r="J234" s="2">
        <f ca="1"/>
        <v>45614</v>
      </c>
      <c r="K234">
        <f ca="1"/>
        <v>13.182322969874184</v>
      </c>
      <c r="L234">
        <f ca="1"/>
        <v>2.309489470182001</v>
      </c>
      <c r="M234">
        <f ca="1"/>
        <v>4.5047755002016743E-3</v>
      </c>
      <c r="N234">
        <f ca="1"/>
        <v>0.4250093388236787</v>
      </c>
      <c r="O234">
        <f ca="1"/>
        <v>0</v>
      </c>
      <c r="P234">
        <f ca="1"/>
        <v>211.90909090909088</v>
      </c>
      <c r="Q234">
        <f ca="1"/>
        <v>180</v>
      </c>
      <c r="R234">
        <f ca="1"/>
        <v>0</v>
      </c>
      <c r="S234">
        <f ca="1"/>
        <v>0.66014147262903033</v>
      </c>
      <c r="T234">
        <f ca="1"/>
        <v>0</v>
      </c>
      <c r="U234">
        <f ca="1"/>
        <v>0</v>
      </c>
      <c r="V234">
        <f ca="1"/>
        <v>0.89521819789393153</v>
      </c>
      <c r="X234" s="2">
        <f t="shared" ca="1" si="22"/>
        <v>45614</v>
      </c>
      <c r="Y234">
        <f t="shared" ca="1" si="23"/>
        <v>0</v>
      </c>
      <c r="AA234" s="63">
        <f t="shared" ca="1" si="25"/>
        <v>15.491812440056185</v>
      </c>
      <c r="AB234" s="63">
        <f t="shared" ca="1" si="26"/>
        <v>15.491812440056185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45615</v>
      </c>
      <c r="K235">
        <f ca="1"/>
        <v>12.832866081482575</v>
      </c>
      <c r="L235">
        <f ca="1"/>
        <v>0</v>
      </c>
      <c r="M235">
        <f ca="1"/>
        <v>-0.78903759022072251</v>
      </c>
      <c r="N235">
        <f ca="1"/>
        <v>0.43958070182911374</v>
      </c>
      <c r="O235">
        <f ca="1"/>
        <v>0</v>
      </c>
      <c r="P235">
        <f ca="1"/>
        <v>0</v>
      </c>
      <c r="Q235">
        <f ca="1"/>
        <v>0</v>
      </c>
      <c r="R235">
        <f ca="1"/>
        <v>0</v>
      </c>
      <c r="S235">
        <f ca="1"/>
        <v>0.65899088120152749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45615</v>
      </c>
      <c r="Y235">
        <f t="shared" ca="1" si="23"/>
        <v>0</v>
      </c>
      <c r="AA235" s="63">
        <f t="shared" ca="1" si="25"/>
        <v>12.832866081482575</v>
      </c>
      <c r="AB235" s="63">
        <f t="shared" ca="1" si="26"/>
        <v>12.832866081482575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45616</v>
      </c>
      <c r="K236">
        <f ca="1"/>
        <v>12.531584064602043</v>
      </c>
      <c r="L236">
        <f ca="1"/>
        <v>0</v>
      </c>
      <c r="M236">
        <f ca="1"/>
        <v>-0.74892488685564729</v>
      </c>
      <c r="N236">
        <f ca="1"/>
        <v>0.44764286997511654</v>
      </c>
      <c r="O236">
        <f ca="1"/>
        <v>0</v>
      </c>
      <c r="P236">
        <f ca="1"/>
        <v>0</v>
      </c>
      <c r="Q236">
        <f ca="1"/>
        <v>0</v>
      </c>
      <c r="R236">
        <f ca="1"/>
        <v>0</v>
      </c>
      <c r="S236">
        <f ca="1"/>
        <v>0.6682609251225381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45616</v>
      </c>
      <c r="Y236">
        <f t="shared" ca="1" si="23"/>
        <v>0</v>
      </c>
      <c r="AA236" s="63">
        <f t="shared" ca="1" si="25"/>
        <v>12.531584064602043</v>
      </c>
      <c r="AB236" s="63">
        <f t="shared" ca="1" si="26"/>
        <v>12.531584064602043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45617</v>
      </c>
      <c r="K237">
        <f ca="1"/>
        <v>12.28855882816905</v>
      </c>
      <c r="L237">
        <f ca="1"/>
        <v>0</v>
      </c>
      <c r="M237">
        <f ca="1"/>
        <v>-0.71793186884691806</v>
      </c>
      <c r="N237">
        <f ca="1"/>
        <v>0.47490663241392461</v>
      </c>
      <c r="O237">
        <f ca="1"/>
        <v>0</v>
      </c>
      <c r="P237">
        <f ca="1"/>
        <v>0</v>
      </c>
      <c r="Q237">
        <f ca="1"/>
        <v>0</v>
      </c>
      <c r="R237">
        <f ca="1"/>
        <v>0</v>
      </c>
      <c r="S237">
        <f ca="1"/>
        <v>0.69839860247525321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45617</v>
      </c>
      <c r="Y237">
        <f t="shared" ca="1" si="23"/>
        <v>0</v>
      </c>
      <c r="AA237" s="63">
        <f t="shared" ca="1" si="25"/>
        <v>12.28855882816905</v>
      </c>
      <c r="AB237" s="63">
        <f t="shared" ca="1" si="26"/>
        <v>12.28855882816905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45618</v>
      </c>
      <c r="K238">
        <f ca="1"/>
        <v>12.088830126363538</v>
      </c>
      <c r="L238">
        <f ca="1"/>
        <v>0</v>
      </c>
      <c r="M238">
        <f ca="1"/>
        <v>-0.68714133637809027</v>
      </c>
      <c r="N238">
        <f ca="1"/>
        <v>0.48741263457257911</v>
      </c>
      <c r="O238">
        <f ca="1"/>
        <v>0</v>
      </c>
      <c r="P238">
        <f ca="1"/>
        <v>0</v>
      </c>
      <c r="Q238">
        <f ca="1"/>
        <v>0</v>
      </c>
      <c r="R238">
        <f ca="1"/>
        <v>0</v>
      </c>
      <c r="S238">
        <f ca="1"/>
        <v>0.70373766740576249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45618</v>
      </c>
      <c r="Y238">
        <f t="shared" ca="1" si="23"/>
        <v>0</v>
      </c>
      <c r="AA238" s="63">
        <f t="shared" ca="1" si="25"/>
        <v>12.088830126363538</v>
      </c>
      <c r="AB238" s="63">
        <f t="shared" ca="1" si="26"/>
        <v>12.088830126363538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45619</v>
      </c>
      <c r="K239">
        <f ca="1"/>
        <v>11.928252746750934</v>
      </c>
      <c r="L239">
        <f ca="1"/>
        <v>0</v>
      </c>
      <c r="M239">
        <f ca="1"/>
        <v>-0.64002904677778361</v>
      </c>
      <c r="N239">
        <f ca="1"/>
        <v>0.47945166716517917</v>
      </c>
      <c r="O239">
        <f ca="1"/>
        <v>0</v>
      </c>
      <c r="P239">
        <f ca="1"/>
        <v>0</v>
      </c>
      <c r="Q239">
        <f ca="1"/>
        <v>0</v>
      </c>
      <c r="R239">
        <f ca="1"/>
        <v>0</v>
      </c>
      <c r="S239">
        <f ca="1"/>
        <v>0.70060773679888078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45619</v>
      </c>
      <c r="Y239">
        <f t="shared" ca="1" si="23"/>
        <v>0</v>
      </c>
      <c r="AA239" s="63">
        <f t="shared" ca="1" si="25"/>
        <v>11.928252746750934</v>
      </c>
      <c r="AB239" s="63">
        <f t="shared" ca="1" si="26"/>
        <v>11.928252746750934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45620</v>
      </c>
      <c r="K240">
        <f ca="1"/>
        <v>11.803824129736338</v>
      </c>
      <c r="L240">
        <f ca="1"/>
        <v>0</v>
      </c>
      <c r="M240">
        <f ca="1"/>
        <v>-0.62773798828986571</v>
      </c>
      <c r="N240">
        <f ca="1"/>
        <v>0.50330937127526942</v>
      </c>
      <c r="O240">
        <f ca="1"/>
        <v>0</v>
      </c>
      <c r="P240">
        <f ca="1"/>
        <v>0</v>
      </c>
      <c r="Q240">
        <f ca="1"/>
        <v>0</v>
      </c>
      <c r="R240">
        <f ca="1"/>
        <v>0</v>
      </c>
      <c r="S240">
        <f ca="1"/>
        <v>0.69913555534992888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45620</v>
      </c>
      <c r="Y240">
        <f t="shared" ca="1" si="23"/>
        <v>0</v>
      </c>
      <c r="AA240" s="63">
        <f t="shared" ca="1" si="25"/>
        <v>11.803824129736338</v>
      </c>
      <c r="AB240" s="63">
        <f t="shared" ca="1" si="26"/>
        <v>11.803824129736338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45621</v>
      </c>
      <c r="K241">
        <f ca="1"/>
        <v>11.711495705496722</v>
      </c>
      <c r="L241">
        <f ca="1"/>
        <v>0</v>
      </c>
      <c r="M241">
        <f ca="1"/>
        <v>-0.59048202727612775</v>
      </c>
      <c r="N241">
        <f ca="1"/>
        <v>0.49815360303651163</v>
      </c>
      <c r="O241">
        <f ca="1"/>
        <v>0</v>
      </c>
      <c r="P241">
        <f ca="1"/>
        <v>0</v>
      </c>
      <c r="Q241">
        <f ca="1"/>
        <v>0</v>
      </c>
      <c r="R241">
        <f ca="1"/>
        <v>0</v>
      </c>
      <c r="S241">
        <f ca="1"/>
        <v>0.6883490170938602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45621</v>
      </c>
      <c r="Y241">
        <f t="shared" ca="1" si="23"/>
        <v>0</v>
      </c>
      <c r="AA241" s="63">
        <f t="shared" ca="1" si="25"/>
        <v>11.711495705496722</v>
      </c>
      <c r="AB241" s="63">
        <f t="shared" ca="1" si="26"/>
        <v>11.711495705496722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45622</v>
      </c>
      <c r="K242">
        <f ca="1"/>
        <v>11.66432878967556</v>
      </c>
      <c r="L242">
        <f ca="1"/>
        <v>0</v>
      </c>
      <c r="M242">
        <f ca="1"/>
        <v>-0.53976932734286009</v>
      </c>
      <c r="N242">
        <f ca="1"/>
        <v>0.49260241152169898</v>
      </c>
      <c r="O242">
        <f ca="1"/>
        <v>0</v>
      </c>
      <c r="P242">
        <f ca="1"/>
        <v>0</v>
      </c>
      <c r="Q242">
        <f ca="1"/>
        <v>0</v>
      </c>
      <c r="R242">
        <f ca="1"/>
        <v>0</v>
      </c>
      <c r="S242">
        <f ca="1"/>
        <v>0.7018693731400899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45622</v>
      </c>
      <c r="Y242">
        <f t="shared" ca="1" si="23"/>
        <v>0</v>
      </c>
      <c r="AA242" s="63">
        <f t="shared" ca="1" si="25"/>
        <v>11.66432878967556</v>
      </c>
      <c r="AB242" s="63">
        <f t="shared" ca="1" si="26"/>
        <v>11.66432878967556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45623</v>
      </c>
      <c r="K243">
        <f ca="1"/>
        <v>11.674307125330346</v>
      </c>
      <c r="L243">
        <f ca="1"/>
        <v>0</v>
      </c>
      <c r="M243">
        <f ca="1"/>
        <v>-0.50312486494274822</v>
      </c>
      <c r="N243">
        <f ca="1"/>
        <v>0.51310320059753478</v>
      </c>
      <c r="O243">
        <f ca="1"/>
        <v>0</v>
      </c>
      <c r="P243">
        <f ca="1"/>
        <v>0</v>
      </c>
      <c r="Q243">
        <f ca="1"/>
        <v>0</v>
      </c>
      <c r="R243">
        <f ca="1"/>
        <v>0</v>
      </c>
      <c r="S243">
        <f ca="1"/>
        <v>0.73760854121044284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45623</v>
      </c>
      <c r="Y243">
        <f t="shared" ca="1" si="23"/>
        <v>0</v>
      </c>
      <c r="AA243" s="63">
        <f t="shared" ca="1" si="25"/>
        <v>11.674307125330346</v>
      </c>
      <c r="AB243" s="63">
        <f t="shared" ca="1" si="26"/>
        <v>11.674307125330346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45624</v>
      </c>
      <c r="K244">
        <f ca="1"/>
        <v>11.714129301919613</v>
      </c>
      <c r="L244">
        <f ca="1"/>
        <v>0</v>
      </c>
      <c r="M244">
        <f ca="1"/>
        <v>-0.47469801704315628</v>
      </c>
      <c r="N244">
        <f ca="1"/>
        <v>0.51452019363242274</v>
      </c>
      <c r="O244">
        <f ca="1"/>
        <v>0</v>
      </c>
      <c r="P244">
        <f ca="1"/>
        <v>0</v>
      </c>
      <c r="Q244">
        <f ca="1"/>
        <v>0</v>
      </c>
      <c r="R244">
        <f ca="1"/>
        <v>0</v>
      </c>
      <c r="S244">
        <f ca="1"/>
        <v>0.73290392276353855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45624</v>
      </c>
      <c r="Y244">
        <f t="shared" ca="1" si="23"/>
        <v>0</v>
      </c>
      <c r="AA244" s="63">
        <f t="shared" ca="1" si="25"/>
        <v>11.714129301919613</v>
      </c>
      <c r="AB244" s="63">
        <f t="shared" ca="1" si="26"/>
        <v>11.714129301919613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45625</v>
      </c>
      <c r="K245">
        <f ca="1"/>
        <v>11.786995849381036</v>
      </c>
      <c r="L245">
        <f ca="1"/>
        <v>0</v>
      </c>
      <c r="M245">
        <f ca="1"/>
        <v>-0.45230503600587113</v>
      </c>
      <c r="N245">
        <f ca="1"/>
        <v>0.52517158346729431</v>
      </c>
      <c r="O245">
        <f ca="1"/>
        <v>0</v>
      </c>
      <c r="P245">
        <f ca="1"/>
        <v>0</v>
      </c>
      <c r="Q245">
        <f ca="1"/>
        <v>0</v>
      </c>
      <c r="R245">
        <f ca="1"/>
        <v>0</v>
      </c>
      <c r="S245">
        <f ca="1"/>
        <v>0.73124055594635984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45625</v>
      </c>
      <c r="Y245">
        <f t="shared" ca="1" si="23"/>
        <v>0</v>
      </c>
      <c r="AA245" s="63">
        <f t="shared" ca="1" si="25"/>
        <v>11.786995849381036</v>
      </c>
      <c r="AB245" s="63">
        <f t="shared" ca="1" si="26"/>
        <v>11.786995849381036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45626</v>
      </c>
      <c r="K246">
        <f ca="1"/>
        <v>11.878368444040495</v>
      </c>
      <c r="L246">
        <f ca="1"/>
        <v>0</v>
      </c>
      <c r="M246">
        <f ca="1"/>
        <v>-0.42903185800603794</v>
      </c>
      <c r="N246">
        <f ca="1"/>
        <v>0.52040445266549717</v>
      </c>
      <c r="O246">
        <f ca="1"/>
        <v>0</v>
      </c>
      <c r="P246">
        <f ca="1"/>
        <v>0</v>
      </c>
      <c r="Q246">
        <f ca="1"/>
        <v>0</v>
      </c>
      <c r="R246">
        <f ca="1"/>
        <v>0</v>
      </c>
      <c r="S246">
        <f ca="1"/>
        <v>0.70917529202816065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45626</v>
      </c>
      <c r="Y246">
        <f t="shared" ca="1" si="23"/>
        <v>0</v>
      </c>
      <c r="AA246" s="63">
        <f t="shared" ca="1" si="25"/>
        <v>11.878368444040495</v>
      </c>
      <c r="AB246" s="63">
        <f t="shared" ca="1" si="26"/>
        <v>11.878368444040495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45627</v>
      </c>
      <c r="K247">
        <f ca="1"/>
        <v>12.041412166981823</v>
      </c>
      <c r="L247">
        <f ca="1"/>
        <v>0</v>
      </c>
      <c r="M247">
        <f ca="1"/>
        <v>-0.41028667299961086</v>
      </c>
      <c r="N247">
        <f ca="1"/>
        <v>0.5733303959409386</v>
      </c>
      <c r="O247">
        <f ca="1"/>
        <v>0</v>
      </c>
      <c r="P247">
        <f ca="1"/>
        <v>0</v>
      </c>
      <c r="Q247">
        <f ca="1"/>
        <v>0</v>
      </c>
      <c r="R247">
        <f ca="1"/>
        <v>0</v>
      </c>
      <c r="S247">
        <f ca="1"/>
        <v>0.75783985643374274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45627</v>
      </c>
      <c r="Y247">
        <f t="shared" ca="1" si="23"/>
        <v>0</v>
      </c>
      <c r="AA247" s="63">
        <f t="shared" ca="1" si="25"/>
        <v>12.041412166981823</v>
      </c>
      <c r="AB247" s="63">
        <f t="shared" ca="1" si="26"/>
        <v>12.041412166981823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45628</v>
      </c>
      <c r="K248">
        <f ca="1"/>
        <v>12.222778176231419</v>
      </c>
      <c r="L248">
        <f ca="1"/>
        <v>0</v>
      </c>
      <c r="M248">
        <f ca="1"/>
        <v>-0.38783320500201768</v>
      </c>
      <c r="N248">
        <f ca="1"/>
        <v>0.56919921425161246</v>
      </c>
      <c r="O248">
        <f ca="1"/>
        <v>0</v>
      </c>
      <c r="P248">
        <f ca="1"/>
        <v>0</v>
      </c>
      <c r="Q248">
        <f ca="1"/>
        <v>0</v>
      </c>
      <c r="R248">
        <f ca="1"/>
        <v>0</v>
      </c>
      <c r="S248">
        <f ca="1"/>
        <v>0.7350543260085034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45628</v>
      </c>
      <c r="Y248">
        <f t="shared" ca="1" si="23"/>
        <v>0</v>
      </c>
      <c r="AA248" s="63">
        <f t="shared" ca="1" si="25"/>
        <v>12.222778176231419</v>
      </c>
      <c r="AB248" s="63">
        <f t="shared" ca="1" si="26"/>
        <v>12.222778176231419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45629</v>
      </c>
      <c r="K249">
        <f ca="1"/>
        <v>12.483276968364258</v>
      </c>
      <c r="L249">
        <f ca="1"/>
        <v>0</v>
      </c>
      <c r="M249">
        <f ca="1"/>
        <v>-0.35963066861217285</v>
      </c>
      <c r="N249">
        <f ca="1"/>
        <v>0.62012946074501174</v>
      </c>
      <c r="O249">
        <f ca="1"/>
        <v>0</v>
      </c>
      <c r="P249">
        <f ca="1"/>
        <v>1.539611058845207</v>
      </c>
      <c r="Q249">
        <f ca="1"/>
        <v>1.4246401031522209</v>
      </c>
      <c r="R249">
        <f ca="1"/>
        <v>0</v>
      </c>
      <c r="S249">
        <f ca="1"/>
        <v>0.79736095853044464</v>
      </c>
      <c r="T249">
        <f ca="1"/>
        <v>0</v>
      </c>
      <c r="U249">
        <f ca="1"/>
        <v>0</v>
      </c>
      <c r="V249">
        <f ca="1"/>
        <v>7.480758496174974E-3</v>
      </c>
      <c r="X249" s="2">
        <f t="shared" ca="1" si="22"/>
        <v>45629</v>
      </c>
      <c r="Y249">
        <f t="shared" ca="1" si="23"/>
        <v>0</v>
      </c>
      <c r="AA249" s="63">
        <f t="shared" ca="1" si="25"/>
        <v>12.483276968364258</v>
      </c>
      <c r="AB249" s="63">
        <f t="shared" ca="1" si="26"/>
        <v>12.483276968364258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45630</v>
      </c>
      <c r="K250">
        <f ca="1"/>
        <v>12.725473632291617</v>
      </c>
      <c r="L250">
        <f ca="1"/>
        <v>6.9316915062593409E-2</v>
      </c>
      <c r="M250">
        <f ca="1"/>
        <v>-0.32771959899735137</v>
      </c>
      <c r="N250">
        <f ca="1"/>
        <v>0.63923317798730472</v>
      </c>
      <c r="O250">
        <f ca="1"/>
        <v>0</v>
      </c>
      <c r="P250">
        <f ca="1"/>
        <v>1.6089279739078004</v>
      </c>
      <c r="Q250">
        <f ca="1"/>
        <v>1.4887807550770233</v>
      </c>
      <c r="R250">
        <f ca="1"/>
        <v>0</v>
      </c>
      <c r="S250">
        <f ca="1"/>
        <v>0.83157608840240949</v>
      </c>
      <c r="T250">
        <f ca="1"/>
        <v>0</v>
      </c>
      <c r="U250">
        <f ca="1"/>
        <v>0</v>
      </c>
      <c r="V250">
        <f ca="1"/>
        <v>8.3507077059718146E-3</v>
      </c>
      <c r="X250" s="2">
        <f t="shared" ca="1" si="22"/>
        <v>45630</v>
      </c>
      <c r="Y250">
        <f t="shared" ca="1" si="23"/>
        <v>0</v>
      </c>
      <c r="AA250" s="63">
        <f t="shared" ca="1" si="25"/>
        <v>12.794790547354211</v>
      </c>
      <c r="AB250" s="63">
        <f t="shared" ca="1" si="26"/>
        <v>12.794790547354211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45631</v>
      </c>
      <c r="K251">
        <f ca="1"/>
        <v>12.997500466895152</v>
      </c>
      <c r="L251">
        <f ca="1"/>
        <v>7.2547060404126951E-2</v>
      </c>
      <c r="M251">
        <f ca="1"/>
        <v>-0.30254722362927211</v>
      </c>
      <c r="N251">
        <f ca="1"/>
        <v>0.64712111863693267</v>
      </c>
      <c r="O251">
        <f ca="1"/>
        <v>0</v>
      </c>
      <c r="P251">
        <f ca="1"/>
        <v>1.6814750343119274</v>
      </c>
      <c r="Q251">
        <f ca="1"/>
        <v>1.5559103401912313</v>
      </c>
      <c r="R251">
        <f ca="1"/>
        <v>0</v>
      </c>
      <c r="S251">
        <f ca="1"/>
        <v>0.839244197584601</v>
      </c>
      <c r="T251">
        <f ca="1"/>
        <v>0</v>
      </c>
      <c r="U251">
        <f ca="1"/>
        <v>0</v>
      </c>
      <c r="V251">
        <f ca="1"/>
        <v>9.3227197358512273E-3</v>
      </c>
      <c r="X251" s="2">
        <f t="shared" ca="1" si="22"/>
        <v>45631</v>
      </c>
      <c r="Y251">
        <f t="shared" ca="1" si="23"/>
        <v>0</v>
      </c>
      <c r="AA251" s="63">
        <f t="shared" ca="1" si="25"/>
        <v>13.070047527299279</v>
      </c>
      <c r="AB251" s="63">
        <f t="shared" ca="1" si="26"/>
        <v>13.070047527299279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45632</v>
      </c>
      <c r="K252">
        <f ca="1"/>
        <v>13.285550293942228</v>
      </c>
      <c r="L252">
        <f ca="1"/>
        <v>7.3378692069285822E-2</v>
      </c>
      <c r="M252">
        <f ca="1"/>
        <v>-0.26865464197258859</v>
      </c>
      <c r="N252">
        <f ca="1"/>
        <v>0.63008316108894835</v>
      </c>
      <c r="O252">
        <f ca="1"/>
        <v>0</v>
      </c>
      <c r="P252">
        <f ca="1"/>
        <v>1.7548537263812132</v>
      </c>
      <c r="Q252">
        <f ca="1"/>
        <v>1.6238094546059927</v>
      </c>
      <c r="R252">
        <f ca="1"/>
        <v>0</v>
      </c>
      <c r="S252">
        <f ca="1"/>
        <v>0.85047298210711664</v>
      </c>
      <c r="T252">
        <f ca="1"/>
        <v>0</v>
      </c>
      <c r="U252">
        <f ca="1"/>
        <v>0</v>
      </c>
      <c r="V252">
        <f ca="1"/>
        <v>1.0371080461088526E-2</v>
      </c>
      <c r="X252" s="2">
        <f t="shared" ca="1" si="22"/>
        <v>45632</v>
      </c>
      <c r="Y252">
        <f t="shared" ca="1" si="23"/>
        <v>0</v>
      </c>
      <c r="AA252" s="63">
        <f t="shared" ca="1" si="25"/>
        <v>13.358928986011513</v>
      </c>
      <c r="AB252" s="63">
        <f t="shared" ca="1" si="26"/>
        <v>13.358928986011513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45633</v>
      </c>
      <c r="K253">
        <f ca="1"/>
        <v>13.575120043380965</v>
      </c>
      <c r="L253">
        <f ca="1"/>
        <v>7.6312142821862494E-2</v>
      </c>
      <c r="M253">
        <f ca="1"/>
        <v>-0.24630946743975457</v>
      </c>
      <c r="N253">
        <f ca="1"/>
        <v>0.61219135970035343</v>
      </c>
      <c r="O253">
        <f ca="1"/>
        <v>0</v>
      </c>
      <c r="P253">
        <f ca="1"/>
        <v>1.8311658692030757</v>
      </c>
      <c r="Q253">
        <f ca="1"/>
        <v>1.6944229633859629</v>
      </c>
      <c r="R253">
        <f ca="1"/>
        <v>0</v>
      </c>
      <c r="S253">
        <f ca="1"/>
        <v>0.8312425520614235</v>
      </c>
      <c r="T253">
        <f ca="1"/>
        <v>0</v>
      </c>
      <c r="U253">
        <f ca="1"/>
        <v>0</v>
      </c>
      <c r="V253">
        <f ca="1"/>
        <v>1.1532162379629205E-2</v>
      </c>
      <c r="X253" s="2">
        <f t="shared" ca="1" si="22"/>
        <v>45633</v>
      </c>
      <c r="Y253">
        <f t="shared" ca="1" si="23"/>
        <v>0</v>
      </c>
      <c r="AA253" s="63">
        <f t="shared" ca="1" si="25"/>
        <v>13.651432186202827</v>
      </c>
      <c r="AB253" s="63">
        <f t="shared" ca="1" si="26"/>
        <v>13.651432186202827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45634</v>
      </c>
      <c r="K254">
        <f ca="1"/>
        <v>13.864808241398443</v>
      </c>
      <c r="L254">
        <f ca="1"/>
        <v>8.1924219704523571E-2</v>
      </c>
      <c r="M254">
        <f ca="1"/>
        <v>-0.23308269623450073</v>
      </c>
      <c r="N254">
        <f ca="1"/>
        <v>0.60469511395650322</v>
      </c>
      <c r="O254">
        <f ca="1"/>
        <v>0</v>
      </c>
      <c r="P254">
        <f ca="1"/>
        <v>1.9130900889075992</v>
      </c>
      <c r="Q254">
        <f ca="1"/>
        <v>1.7702294653852781</v>
      </c>
      <c r="R254">
        <f ca="1"/>
        <v>0</v>
      </c>
      <c r="S254">
        <f ca="1"/>
        <v>0.79367444862388092</v>
      </c>
      <c r="T254">
        <f ca="1"/>
        <v>0</v>
      </c>
      <c r="U254">
        <f ca="1"/>
        <v>0</v>
      </c>
      <c r="V254">
        <f ca="1"/>
        <v>1.2860382118872835E-2</v>
      </c>
      <c r="X254" s="2">
        <f t="shared" ca="1" si="22"/>
        <v>45634</v>
      </c>
      <c r="Y254">
        <f t="shared" ca="1" si="23"/>
        <v>0</v>
      </c>
      <c r="AA254" s="63">
        <f t="shared" ca="1" si="25"/>
        <v>13.946732461102966</v>
      </c>
      <c r="AB254" s="63">
        <f t="shared" ca="1" si="26"/>
        <v>13.946732461102966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45635</v>
      </c>
      <c r="K255">
        <f ca="1"/>
        <v>14.164966977884312</v>
      </c>
      <c r="L255">
        <f ca="1"/>
        <v>8.5081053219843827E-2</v>
      </c>
      <c r="M255">
        <f ca="1"/>
        <v>-0.21146683374133346</v>
      </c>
      <c r="N255">
        <f ca="1"/>
        <v>0.5967066234470455</v>
      </c>
      <c r="O255">
        <f ca="1"/>
        <v>0</v>
      </c>
      <c r="P255">
        <f ca="1"/>
        <v>1.9981711421274431</v>
      </c>
      <c r="Q255">
        <f ca="1"/>
        <v>1.8489570633322117</v>
      </c>
      <c r="R255">
        <f ca="1"/>
        <v>0</v>
      </c>
      <c r="S255">
        <f ca="1"/>
        <v>0.78892710279676237</v>
      </c>
      <c r="T255">
        <f ca="1"/>
        <v>0</v>
      </c>
      <c r="U255">
        <f ca="1"/>
        <v>0</v>
      </c>
      <c r="V255">
        <f ca="1"/>
        <v>1.4330891405897276E-2</v>
      </c>
      <c r="X255" s="2">
        <f t="shared" ca="1" si="22"/>
        <v>45635</v>
      </c>
      <c r="Y255">
        <f t="shared" ca="1" si="23"/>
        <v>0</v>
      </c>
      <c r="AA255" s="63">
        <f t="shared" ca="1" si="25"/>
        <v>14.250048031104155</v>
      </c>
      <c r="AB255" s="63">
        <f t="shared" ca="1" si="26"/>
        <v>14.250048031104155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45636</v>
      </c>
      <c r="K256">
        <f ca="1"/>
        <v>14.464375796086877</v>
      </c>
      <c r="L256">
        <f ca="1"/>
        <v>9.1804560868905982E-2</v>
      </c>
      <c r="M256">
        <f ca="1"/>
        <v>-0.19946918322830598</v>
      </c>
      <c r="N256">
        <f ca="1"/>
        <v>0.590682562299778</v>
      </c>
      <c r="O256">
        <f ca="1"/>
        <v>0</v>
      </c>
      <c r="P256">
        <f ca="1"/>
        <v>2.089975702996349</v>
      </c>
      <c r="Q256">
        <f ca="1"/>
        <v>1.9339060888115569</v>
      </c>
      <c r="R256">
        <f ca="1"/>
        <v>0</v>
      </c>
      <c r="S256">
        <f ca="1"/>
        <v>0.7489625983454189</v>
      </c>
      <c r="T256">
        <f ca="1"/>
        <v>0</v>
      </c>
      <c r="U256">
        <f ca="1"/>
        <v>0</v>
      </c>
      <c r="V256">
        <f ca="1"/>
        <v>1.6023429799157173E-2</v>
      </c>
      <c r="X256" s="2">
        <f t="shared" ca="1" si="22"/>
        <v>45636</v>
      </c>
      <c r="Y256">
        <f t="shared" ca="1" si="23"/>
        <v>0</v>
      </c>
      <c r="AA256" s="63">
        <f t="shared" ca="1" si="25"/>
        <v>14.556180356955783</v>
      </c>
      <c r="AB256" s="63">
        <f t="shared" ca="1" si="26"/>
        <v>14.556180356955783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45637</v>
      </c>
      <c r="K257">
        <f ca="1"/>
        <v>14.777074226858678</v>
      </c>
      <c r="L257">
        <f ca="1"/>
        <v>9.8633903213775298E-2</v>
      </c>
      <c r="M257">
        <f ca="1"/>
        <v>-0.18573782286970442</v>
      </c>
      <c r="N257">
        <f ca="1"/>
        <v>0.59707015685528098</v>
      </c>
      <c r="O257">
        <f ca="1"/>
        <v>0</v>
      </c>
      <c r="P257">
        <f ca="1"/>
        <v>2.1886096062101243</v>
      </c>
      <c r="Q257">
        <f ca="1"/>
        <v>2.0251744732788488</v>
      </c>
      <c r="R257">
        <f ca="1"/>
        <v>0</v>
      </c>
      <c r="S257">
        <f ca="1"/>
        <v>0.73024020679915846</v>
      </c>
      <c r="T257">
        <f ca="1"/>
        <v>0</v>
      </c>
      <c r="U257">
        <f ca="1"/>
        <v>0</v>
      </c>
      <c r="V257">
        <f ca="1"/>
        <v>1.7966204065575874E-2</v>
      </c>
      <c r="X257" s="2">
        <f t="shared" ca="1" si="22"/>
        <v>45637</v>
      </c>
      <c r="Y257">
        <f t="shared" ca="1" si="23"/>
        <v>0</v>
      </c>
      <c r="AA257" s="63">
        <f t="shared" ca="1" si="25"/>
        <v>14.875708130072454</v>
      </c>
      <c r="AB257" s="63">
        <f t="shared" ca="1" si="26"/>
        <v>14.875708130072454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45638</v>
      </c>
      <c r="K258">
        <f ca="1"/>
        <v>15.079584014903389</v>
      </c>
      <c r="L258">
        <f ca="1"/>
        <v>0.10185064158443247</v>
      </c>
      <c r="M258">
        <f ca="1"/>
        <v>-0.163963198646222</v>
      </c>
      <c r="N258">
        <f ca="1"/>
        <v>0.56832362827536531</v>
      </c>
      <c r="O258">
        <f ca="1"/>
        <v>0</v>
      </c>
      <c r="P258">
        <f ca="1"/>
        <v>2.2904602477945568</v>
      </c>
      <c r="Q258">
        <f ca="1"/>
        <v>2.1194193851345733</v>
      </c>
      <c r="R258">
        <f ca="1"/>
        <v>0</v>
      </c>
      <c r="S258">
        <f ca="1"/>
        <v>0.70631034665482428</v>
      </c>
      <c r="T258">
        <f ca="1"/>
        <v>0</v>
      </c>
      <c r="U258">
        <f ca="1"/>
        <v>0</v>
      </c>
      <c r="V258">
        <f ca="1"/>
        <v>2.0109503922754547E-2</v>
      </c>
      <c r="X258" s="2">
        <f t="shared" ca="1" si="22"/>
        <v>45638</v>
      </c>
      <c r="Y258">
        <f t="shared" ca="1" si="23"/>
        <v>0</v>
      </c>
      <c r="AA258" s="63">
        <f t="shared" ca="1" si="25"/>
        <v>15.181434656487822</v>
      </c>
      <c r="AB258" s="63">
        <f t="shared" ca="1" si="26"/>
        <v>15.181434656487822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45639</v>
      </c>
      <c r="K259">
        <f ca="1"/>
        <v>15.41026922921637</v>
      </c>
      <c r="L259">
        <f ca="1"/>
        <v>0.1060330465297521</v>
      </c>
      <c r="M259">
        <f ca="1"/>
        <v>-0.14564150093827521</v>
      </c>
      <c r="N259">
        <f ca="1"/>
        <v>0.58235976178100868</v>
      </c>
      <c r="O259">
        <f ca="1"/>
        <v>0</v>
      </c>
      <c r="P259">
        <f ca="1"/>
        <v>2.3964932943243089</v>
      </c>
      <c r="Q259">
        <f ca="1"/>
        <v>2.217534379488403</v>
      </c>
      <c r="R259">
        <f ca="1"/>
        <v>0</v>
      </c>
      <c r="S259">
        <f ca="1"/>
        <v>0.72940200860805737</v>
      </c>
      <c r="T259">
        <f ca="1"/>
        <v>0</v>
      </c>
      <c r="U259">
        <f ca="1"/>
        <v>0</v>
      </c>
      <c r="V259">
        <f ca="1"/>
        <v>2.2490915774366568E-2</v>
      </c>
      <c r="X259" s="2">
        <f t="shared" ca="1" si="22"/>
        <v>45639</v>
      </c>
      <c r="Y259">
        <f t="shared" ca="1" si="23"/>
        <v>0</v>
      </c>
      <c r="AA259" s="63">
        <f t="shared" ca="1" si="25"/>
        <v>15.516302275746122</v>
      </c>
      <c r="AB259" s="63">
        <f t="shared" ca="1" si="26"/>
        <v>15.516302275746122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45640</v>
      </c>
      <c r="K260">
        <f ca="1"/>
        <v>15.740681460003652</v>
      </c>
      <c r="L260">
        <f ca="1"/>
        <v>0.10982879680156765</v>
      </c>
      <c r="M260">
        <f ca="1"/>
        <v>-0.12798124617893691</v>
      </c>
      <c r="N260">
        <f ca="1"/>
        <v>0.56822227376778556</v>
      </c>
      <c r="O260">
        <f ca="1"/>
        <v>0</v>
      </c>
      <c r="P260">
        <f ca="1"/>
        <v>2.5063220911258766</v>
      </c>
      <c r="Q260">
        <f ca="1"/>
        <v>2.3191616752301125</v>
      </c>
      <c r="R260">
        <f ca="1"/>
        <v>0</v>
      </c>
      <c r="S260">
        <f ca="1"/>
        <v>0.72019247637011918</v>
      </c>
      <c r="T260">
        <f ca="1"/>
        <v>0</v>
      </c>
      <c r="U260">
        <f ca="1"/>
        <v>0</v>
      </c>
      <c r="V260">
        <f ca="1"/>
        <v>2.5120992674773912E-2</v>
      </c>
      <c r="X260" s="2">
        <f t="shared" ca="1" si="22"/>
        <v>45640</v>
      </c>
      <c r="Y260">
        <f t="shared" ca="1" si="23"/>
        <v>0</v>
      </c>
      <c r="AA260" s="63">
        <f t="shared" ca="1" si="25"/>
        <v>15.850510256805219</v>
      </c>
      <c r="AB260" s="63">
        <f t="shared" ca="1" si="26"/>
        <v>15.850510256805219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45641</v>
      </c>
      <c r="K261">
        <f ca="1"/>
        <v>16.119391670934878</v>
      </c>
      <c r="L261">
        <f ca="1"/>
        <v>0.11549155167843095</v>
      </c>
      <c r="M261">
        <f ca="1"/>
        <v>-0.11371353374407889</v>
      </c>
      <c r="N261">
        <f ca="1"/>
        <v>0.60791529635373565</v>
      </c>
      <c r="O261">
        <f ca="1"/>
        <v>0</v>
      </c>
      <c r="P261">
        <f ca="1"/>
        <v>2.6218136428043075</v>
      </c>
      <c r="Q261">
        <f ca="1"/>
        <v>2.4260288577897002</v>
      </c>
      <c r="R261">
        <f ca="1"/>
        <v>0</v>
      </c>
      <c r="S261">
        <f ca="1"/>
        <v>0.76552239454204796</v>
      </c>
      <c r="T261">
        <f ca="1"/>
        <v>0</v>
      </c>
      <c r="U261">
        <f ca="1"/>
        <v>0</v>
      </c>
      <c r="V261">
        <f ca="1"/>
        <v>2.8067966890093513E-2</v>
      </c>
      <c r="X261" s="2">
        <f t="shared" ca="1" si="22"/>
        <v>45641</v>
      </c>
      <c r="Y261">
        <f t="shared" ca="1" si="23"/>
        <v>0</v>
      </c>
      <c r="AA261" s="63">
        <f t="shared" ca="1" si="25"/>
        <v>16.234883222613309</v>
      </c>
      <c r="AB261" s="63">
        <f t="shared" ca="1" si="26"/>
        <v>16.234883222613309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45642</v>
      </c>
      <c r="K262">
        <f ca="1"/>
        <v>16.53229361277225</v>
      </c>
      <c r="L262">
        <f ca="1"/>
        <v>0.12103493050291725</v>
      </c>
      <c r="M262">
        <f ca="1"/>
        <v>-9.9684716768472015E-2</v>
      </c>
      <c r="N262">
        <f ca="1"/>
        <v>0.63362158910876487</v>
      </c>
      <c r="O262">
        <f ca="1"/>
        <v>0</v>
      </c>
      <c r="P262">
        <f ca="1"/>
        <v>2.7428485733072248</v>
      </c>
      <c r="Q262">
        <f ca="1"/>
        <v>2.5380254655602568</v>
      </c>
      <c r="R262">
        <f ca="1"/>
        <v>0</v>
      </c>
      <c r="S262">
        <f ca="1"/>
        <v>0.79479593204993082</v>
      </c>
      <c r="T262">
        <f ca="1"/>
        <v>0</v>
      </c>
      <c r="U262">
        <f ca="1"/>
        <v>0</v>
      </c>
      <c r="V262">
        <f ca="1"/>
        <v>3.1357627723820149E-2</v>
      </c>
      <c r="X262" s="2">
        <f t="shared" ca="1" si="22"/>
        <v>45642</v>
      </c>
      <c r="Y262">
        <f t="shared" ca="1" si="23"/>
        <v>0</v>
      </c>
      <c r="AA262" s="63">
        <f t="shared" ca="1" si="25"/>
        <v>16.653328543275169</v>
      </c>
      <c r="AB262" s="63">
        <f t="shared" ca="1" si="26"/>
        <v>16.653328543275165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45643</v>
      </c>
      <c r="K263">
        <f ca="1"/>
        <v>16.962390927602701</v>
      </c>
      <c r="L263">
        <f ca="1"/>
        <v>0.12428627429727435</v>
      </c>
      <c r="M263">
        <f ca="1"/>
        <v>-8.4560712732784538E-2</v>
      </c>
      <c r="N263">
        <f ca="1"/>
        <v>0.63894430186050888</v>
      </c>
      <c r="O263">
        <f ca="1"/>
        <v>0</v>
      </c>
      <c r="P263">
        <f ca="1"/>
        <v>2.8671348476044991</v>
      </c>
      <c r="Q263">
        <f ca="1"/>
        <v>2.6530306219716957</v>
      </c>
      <c r="R263">
        <f ca="1"/>
        <v>0</v>
      </c>
      <c r="S263">
        <f ca="1"/>
        <v>0.81913672923565761</v>
      </c>
      <c r="T263">
        <f ca="1"/>
        <v>0</v>
      </c>
      <c r="U263">
        <f ca="1"/>
        <v>0</v>
      </c>
      <c r="V263">
        <f ca="1"/>
        <v>3.4951501176038485E-2</v>
      </c>
      <c r="X263" s="2">
        <f t="shared" ref="X263:X326" ca="1" si="29">IFERROR(J263,$X$5)</f>
        <v>45643</v>
      </c>
      <c r="Y263">
        <f t="shared" ref="Y263:Y326" ca="1" si="30">IFERROR(O263,0)</f>
        <v>0</v>
      </c>
      <c r="AA263" s="63">
        <f t="shared" ca="1" si="25"/>
        <v>17.086677201899974</v>
      </c>
      <c r="AB263" s="63">
        <f t="shared" ca="1" si="26"/>
        <v>17.086677201899974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45644</v>
      </c>
      <c r="K264">
        <f ca="1"/>
        <v>17.419733426150415</v>
      </c>
      <c r="L264">
        <f ca="1"/>
        <v>0.13125822282100907</v>
      </c>
      <c r="M264">
        <f ca="1"/>
        <v>-7.3252930664075677E-2</v>
      </c>
      <c r="N264">
        <f ca="1"/>
        <v>0.661853652032799</v>
      </c>
      <c r="O264">
        <f ca="1"/>
        <v>0</v>
      </c>
      <c r="P264">
        <f ca="1"/>
        <v>2.9983930704255082</v>
      </c>
      <c r="Q264">
        <f ca="1"/>
        <v>2.7744870943872399</v>
      </c>
      <c r="R264">
        <f ca="1"/>
        <v>0</v>
      </c>
      <c r="S264">
        <f ca="1"/>
        <v>0.83552185717460337</v>
      </c>
      <c r="T264">
        <f ca="1"/>
        <v>0</v>
      </c>
      <c r="U264">
        <f ca="1"/>
        <v>0</v>
      </c>
      <c r="V264">
        <f ca="1"/>
        <v>3.8985596204612401E-2</v>
      </c>
      <c r="X264" s="2">
        <f t="shared" ca="1" si="29"/>
        <v>45644</v>
      </c>
      <c r="Y264">
        <f t="shared" ca="1" si="30"/>
        <v>0</v>
      </c>
      <c r="AA264" s="63">
        <f t="shared" ca="1" si="25"/>
        <v>17.550991648971426</v>
      </c>
      <c r="AB264" s="63">
        <f t="shared" ca="1" si="26"/>
        <v>17.550991648971426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45645</v>
      </c>
      <c r="K265">
        <f ca="1"/>
        <v>17.859183652950392</v>
      </c>
      <c r="L265">
        <f ca="1"/>
        <v>0.13948688306724621</v>
      </c>
      <c r="M265">
        <f ca="1"/>
        <v>-6.2673094442679655E-2</v>
      </c>
      <c r="N265">
        <f ca="1"/>
        <v>0.64161020430990345</v>
      </c>
      <c r="O265">
        <f ca="1"/>
        <v>0</v>
      </c>
      <c r="P265">
        <f ca="1"/>
        <v>3.1378799534927544</v>
      </c>
      <c r="Q265">
        <f ca="1"/>
        <v>2.9035577491734905</v>
      </c>
      <c r="R265">
        <f ca="1"/>
        <v>0</v>
      </c>
      <c r="S265">
        <f ca="1"/>
        <v>0.79494028124087901</v>
      </c>
      <c r="T265">
        <f ca="1"/>
        <v>0</v>
      </c>
      <c r="U265">
        <f ca="1"/>
        <v>0</v>
      </c>
      <c r="V265">
        <f ca="1"/>
        <v>4.3541930512084444E-2</v>
      </c>
      <c r="X265" s="2">
        <f t="shared" ca="1" si="29"/>
        <v>45645</v>
      </c>
      <c r="Y265">
        <f t="shared" ca="1" si="30"/>
        <v>0</v>
      </c>
      <c r="AA265" s="63">
        <f t="shared" ca="1" si="25"/>
        <v>17.998670536017638</v>
      </c>
      <c r="AB265" s="63">
        <f t="shared" ca="1" si="26"/>
        <v>17.998670536017638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45646</v>
      </c>
      <c r="K266">
        <f ca="1"/>
        <v>18.311594353027242</v>
      </c>
      <c r="L266">
        <f ca="1"/>
        <v>0.14587770362796704</v>
      </c>
      <c r="M266">
        <f ca="1"/>
        <v>-5.1313353287266494E-2</v>
      </c>
      <c r="N266">
        <f ca="1"/>
        <v>0.64960175699208478</v>
      </c>
      <c r="O266">
        <f ca="1"/>
        <v>0</v>
      </c>
      <c r="P266">
        <f ca="1"/>
        <v>3.2837576571207214</v>
      </c>
      <c r="Q266">
        <f ca="1"/>
        <v>3.0385419879201483</v>
      </c>
      <c r="R266">
        <f ca="1"/>
        <v>0</v>
      </c>
      <c r="S266">
        <f ca="1"/>
        <v>0.80443683201583605</v>
      </c>
      <c r="T266">
        <f ca="1"/>
        <v>0</v>
      </c>
      <c r="U266">
        <f ca="1"/>
        <v>0</v>
      </c>
      <c r="V266">
        <f ca="1"/>
        <v>4.8603841914375383E-2</v>
      </c>
      <c r="X266" s="2">
        <f t="shared" ca="1" si="29"/>
        <v>45646</v>
      </c>
      <c r="Y266">
        <f t="shared" ca="1" si="30"/>
        <v>0</v>
      </c>
      <c r="AA266" s="63">
        <f t="shared" ca="1" si="25"/>
        <v>18.45747205665521</v>
      </c>
      <c r="AB266" s="63">
        <f t="shared" ca="1" si="26"/>
        <v>18.45747205665521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45647</v>
      </c>
      <c r="K267">
        <f ca="1"/>
        <v>18.747276837527536</v>
      </c>
      <c r="L267">
        <f ca="1"/>
        <v>0.15399411280894704</v>
      </c>
      <c r="M267">
        <f ca="1"/>
        <v>-4.1085493096510106E-2</v>
      </c>
      <c r="N267">
        <f ca="1"/>
        <v>0.63076209040575448</v>
      </c>
      <c r="O267">
        <f ca="1"/>
        <v>0</v>
      </c>
      <c r="P267">
        <f ca="1"/>
        <v>3.4377517699296685</v>
      </c>
      <c r="Q267">
        <f ca="1"/>
        <v>3.1810365403569985</v>
      </c>
      <c r="R267">
        <f ca="1"/>
        <v>0</v>
      </c>
      <c r="S267">
        <f ca="1"/>
        <v>0.77251788919116671</v>
      </c>
      <c r="T267">
        <f ca="1"/>
        <v>0</v>
      </c>
      <c r="U267">
        <f ca="1"/>
        <v>0</v>
      </c>
      <c r="V267">
        <f ca="1"/>
        <v>5.4275530618214052E-2</v>
      </c>
      <c r="X267" s="2">
        <f t="shared" ca="1" si="29"/>
        <v>45647</v>
      </c>
      <c r="Y267">
        <f t="shared" ca="1" si="30"/>
        <v>0</v>
      </c>
      <c r="AA267" s="63">
        <f t="shared" ca="1" si="25"/>
        <v>18.901270950336485</v>
      </c>
      <c r="AB267" s="63">
        <f t="shared" ca="1" si="26"/>
        <v>18.901270950336482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45648</v>
      </c>
      <c r="K268">
        <f ca="1"/>
        <v>19.15684098995871</v>
      </c>
      <c r="L268">
        <f ca="1"/>
        <v>0.15751402070730114</v>
      </c>
      <c r="M268">
        <f ca="1"/>
        <v>-3.0259777121393938E-2</v>
      </c>
      <c r="N268">
        <f ca="1"/>
        <v>0.59733795025986658</v>
      </c>
      <c r="O268">
        <f ca="1"/>
        <v>0</v>
      </c>
      <c r="P268">
        <f ca="1"/>
        <v>3.5952657906369696</v>
      </c>
      <c r="Q268">
        <f ca="1"/>
        <v>3.3267881504270655</v>
      </c>
      <c r="R268">
        <f ca="1"/>
        <v>0</v>
      </c>
      <c r="S268">
        <f ca="1"/>
        <v>0.75334883229684602</v>
      </c>
      <c r="T268">
        <f ca="1"/>
        <v>0</v>
      </c>
      <c r="U268">
        <f ca="1"/>
        <v>0</v>
      </c>
      <c r="V268">
        <f ca="1"/>
        <v>6.0423088656840603E-2</v>
      </c>
      <c r="X268" s="2">
        <f t="shared" ca="1" si="29"/>
        <v>45648</v>
      </c>
      <c r="Y268">
        <f t="shared" ca="1" si="30"/>
        <v>0</v>
      </c>
      <c r="AA268" s="63">
        <f t="shared" ref="AA268:AA331" ca="1" si="32">K267+M268+N268+O268</f>
        <v>19.314355010666009</v>
      </c>
      <c r="AB268" s="63">
        <f t="shared" ref="AB268:AB331" ca="1" si="33">K268+L268+R268</f>
        <v>19.314355010666009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45649</v>
      </c>
      <c r="K269">
        <f ca="1"/>
        <v>19.575617668678344</v>
      </c>
      <c r="L269">
        <f ca="1"/>
        <v>0.16598441766327321</v>
      </c>
      <c r="M269">
        <f ca="1"/>
        <v>-2.1429432500838175E-2</v>
      </c>
      <c r="N269">
        <f ca="1"/>
        <v>0.60619052888374558</v>
      </c>
      <c r="O269">
        <f ca="1"/>
        <v>0</v>
      </c>
      <c r="P269">
        <f ca="1"/>
        <v>3.7612502083002428</v>
      </c>
      <c r="Q269">
        <f ca="1"/>
        <v>3.4803776278102894</v>
      </c>
      <c r="R269">
        <f ca="1"/>
        <v>0</v>
      </c>
      <c r="S269">
        <f ca="1"/>
        <v>0.7563047074974264</v>
      </c>
      <c r="T269">
        <f ca="1"/>
        <v>0</v>
      </c>
      <c r="U269">
        <f ca="1"/>
        <v>0</v>
      </c>
      <c r="V269">
        <f ca="1"/>
        <v>6.7275948649538675E-2</v>
      </c>
      <c r="X269" s="2">
        <f t="shared" ca="1" si="29"/>
        <v>45649</v>
      </c>
      <c r="Y269">
        <f t="shared" ca="1" si="30"/>
        <v>0</v>
      </c>
      <c r="AA269" s="63">
        <f t="shared" ca="1" si="32"/>
        <v>19.741602086341619</v>
      </c>
      <c r="AB269" s="63">
        <f t="shared" ca="1" si="33"/>
        <v>19.741602086341619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45650</v>
      </c>
      <c r="K270">
        <f ca="1"/>
        <v>20.027564561069735</v>
      </c>
      <c r="L270">
        <f ca="1"/>
        <v>0.17608269229172713</v>
      </c>
      <c r="M270">
        <f ca="1"/>
        <v>-1.3021506040143294E-2</v>
      </c>
      <c r="N270">
        <f ca="1"/>
        <v>0.64105109072326449</v>
      </c>
      <c r="O270">
        <f ca="1"/>
        <v>0</v>
      </c>
      <c r="P270">
        <f ca="1"/>
        <v>3.9373329005919699</v>
      </c>
      <c r="Q270">
        <f ca="1"/>
        <v>3.6433112878854264</v>
      </c>
      <c r="R270">
        <f ca="1"/>
        <v>0</v>
      </c>
      <c r="S270">
        <f ca="1"/>
        <v>0.78428868961580256</v>
      </c>
      <c r="T270">
        <f ca="1"/>
        <v>0</v>
      </c>
      <c r="U270">
        <f ca="1"/>
        <v>0</v>
      </c>
      <c r="V270">
        <f ca="1"/>
        <v>7.4959482559366589E-2</v>
      </c>
      <c r="X270" s="2">
        <f t="shared" ca="1" si="29"/>
        <v>45650</v>
      </c>
      <c r="Y270">
        <f t="shared" ca="1" si="30"/>
        <v>0</v>
      </c>
      <c r="AA270" s="63">
        <f t="shared" ca="1" si="32"/>
        <v>20.203647253361467</v>
      </c>
      <c r="AB270" s="63">
        <f t="shared" ca="1" si="33"/>
        <v>20.20364725336146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45651</v>
      </c>
      <c r="K271">
        <f ca="1"/>
        <v>20.433212704451076</v>
      </c>
      <c r="L271">
        <f ca="1"/>
        <v>0.18104559010100685</v>
      </c>
      <c r="M271">
        <f ca="1"/>
        <v>-4.7497802916502962E-3</v>
      </c>
      <c r="N271">
        <f ca="1"/>
        <v>0.5914435137739984</v>
      </c>
      <c r="O271">
        <f ca="1"/>
        <v>0</v>
      </c>
      <c r="P271">
        <f ca="1"/>
        <v>4.1183784906929768</v>
      </c>
      <c r="Q271">
        <f ca="1"/>
        <v>3.8108372397646053</v>
      </c>
      <c r="R271">
        <f ca="1"/>
        <v>0</v>
      </c>
      <c r="S271">
        <f ca="1"/>
        <v>0.73995335675265916</v>
      </c>
      <c r="T271">
        <f ca="1"/>
        <v>0</v>
      </c>
      <c r="U271">
        <f ca="1"/>
        <v>0</v>
      </c>
      <c r="V271">
        <f ca="1"/>
        <v>8.3294448885076131E-2</v>
      </c>
      <c r="X271" s="2">
        <f t="shared" ca="1" si="29"/>
        <v>45651</v>
      </c>
      <c r="Y271">
        <f t="shared" ca="1" si="30"/>
        <v>0</v>
      </c>
      <c r="AA271" s="63">
        <f t="shared" ca="1" si="32"/>
        <v>20.614258294552084</v>
      </c>
      <c r="AB271" s="63">
        <f t="shared" ca="1" si="33"/>
        <v>20.614258294552084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45652</v>
      </c>
      <c r="K272">
        <f ca="1"/>
        <v>20.821377056991459</v>
      </c>
      <c r="L272">
        <f ca="1"/>
        <v>0.18999205695528154</v>
      </c>
      <c r="M272">
        <f ca="1"/>
        <v>2.6670881832870919E-3</v>
      </c>
      <c r="N272">
        <f ca="1"/>
        <v>0.57548932131237451</v>
      </c>
      <c r="O272">
        <f ca="1"/>
        <v>0</v>
      </c>
      <c r="P272">
        <f ca="1"/>
        <v>4.3083705476482583</v>
      </c>
      <c r="Q272">
        <f ca="1"/>
        <v>3.9866415781810187</v>
      </c>
      <c r="R272">
        <f ca="1"/>
        <v>0</v>
      </c>
      <c r="S272">
        <f ca="1"/>
        <v>0.71518306201794735</v>
      </c>
      <c r="T272">
        <f ca="1"/>
        <v>0</v>
      </c>
      <c r="U272">
        <f ca="1"/>
        <v>0</v>
      </c>
      <c r="V272">
        <f ca="1"/>
        <v>9.2502694512944655E-2</v>
      </c>
      <c r="X272" s="2">
        <f t="shared" ca="1" si="29"/>
        <v>45652</v>
      </c>
      <c r="Y272">
        <f t="shared" ca="1" si="30"/>
        <v>0</v>
      </c>
      <c r="AA272" s="63">
        <f t="shared" ca="1" si="32"/>
        <v>21.011369113946738</v>
      </c>
      <c r="AB272" s="63">
        <f t="shared" ca="1" si="33"/>
        <v>21.011369113946742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45653</v>
      </c>
      <c r="K273">
        <f ca="1"/>
        <v>21.200622958451749</v>
      </c>
      <c r="L273">
        <f ca="1"/>
        <v>0.20799200823240671</v>
      </c>
      <c r="M273">
        <f ca="1"/>
        <v>1.0353472724148105E-2</v>
      </c>
      <c r="N273">
        <f ca="1"/>
        <v>0.57688443696854819</v>
      </c>
      <c r="O273">
        <f ca="1"/>
        <v>0</v>
      </c>
      <c r="P273">
        <f ca="1"/>
        <v>4.516362555880665</v>
      </c>
      <c r="Q273">
        <f ca="1"/>
        <v>4.1791017156687964</v>
      </c>
      <c r="R273">
        <f ca="1"/>
        <v>0</v>
      </c>
      <c r="S273">
        <f ca="1"/>
        <v>0.67117061398019662</v>
      </c>
      <c r="T273">
        <f ca="1"/>
        <v>0</v>
      </c>
      <c r="U273">
        <f ca="1"/>
        <v>0</v>
      </c>
      <c r="V273">
        <f ca="1"/>
        <v>0.10310663486695733</v>
      </c>
      <c r="X273" s="2">
        <f t="shared" ca="1" si="29"/>
        <v>45653</v>
      </c>
      <c r="Y273">
        <f t="shared" ca="1" si="30"/>
        <v>0</v>
      </c>
      <c r="AA273" s="63">
        <f t="shared" ca="1" si="32"/>
        <v>21.408614966684155</v>
      </c>
      <c r="AB273" s="63">
        <f t="shared" ca="1" si="33"/>
        <v>21.408614966684155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45654</v>
      </c>
      <c r="K274">
        <f ca="1"/>
        <v>21.587895245677547</v>
      </c>
      <c r="L274">
        <f ca="1"/>
        <v>0.22188678377018167</v>
      </c>
      <c r="M274">
        <f ca="1"/>
        <v>1.801535567201995E-2</v>
      </c>
      <c r="N274">
        <f ca="1"/>
        <v>0.5911437153239596</v>
      </c>
      <c r="O274">
        <f ca="1"/>
        <v>0</v>
      </c>
      <c r="P274">
        <f ca="1"/>
        <v>4.7382493396508467</v>
      </c>
      <c r="Q274">
        <f ca="1"/>
        <v>4.3844190318197764</v>
      </c>
      <c r="R274">
        <f ca="1"/>
        <v>0</v>
      </c>
      <c r="S274">
        <f ca="1"/>
        <v>0.67098034393155881</v>
      </c>
      <c r="T274">
        <f ca="1"/>
        <v>0</v>
      </c>
      <c r="U274">
        <f ca="1"/>
        <v>0</v>
      </c>
      <c r="V274">
        <f ca="1"/>
        <v>0.11499589585508654</v>
      </c>
      <c r="X274" s="2">
        <f t="shared" ca="1" si="29"/>
        <v>45654</v>
      </c>
      <c r="Y274">
        <f t="shared" ca="1" si="30"/>
        <v>0</v>
      </c>
      <c r="AA274" s="63">
        <f t="shared" ca="1" si="32"/>
        <v>21.809782029447728</v>
      </c>
      <c r="AB274" s="63">
        <f t="shared" ca="1" si="33"/>
        <v>21.809782029447728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45655</v>
      </c>
      <c r="K275">
        <f ca="1"/>
        <v>21.988900272989664</v>
      </c>
      <c r="L275">
        <f ca="1"/>
        <v>0.22956051240348874</v>
      </c>
      <c r="M275">
        <f ca="1"/>
        <v>2.449897947245816E-2</v>
      </c>
      <c r="N275">
        <f ca="1"/>
        <v>0.60606656024314531</v>
      </c>
      <c r="O275">
        <f ca="1"/>
        <v>0</v>
      </c>
      <c r="P275">
        <f ca="1"/>
        <v>4.9678098520543355</v>
      </c>
      <c r="Q275">
        <f ca="1"/>
        <v>4.5968370384269015</v>
      </c>
      <c r="R275">
        <f ca="1"/>
        <v>0</v>
      </c>
      <c r="S275">
        <f ca="1"/>
        <v>0.70265400669135858</v>
      </c>
      <c r="T275">
        <f ca="1"/>
        <v>0</v>
      </c>
      <c r="U275">
        <f ca="1"/>
        <v>0</v>
      </c>
      <c r="V275">
        <f ca="1"/>
        <v>0.12788941895604028</v>
      </c>
      <c r="X275" s="2">
        <f t="shared" ca="1" si="29"/>
        <v>45655</v>
      </c>
      <c r="Y275">
        <f t="shared" ca="1" si="30"/>
        <v>0</v>
      </c>
      <c r="AA275" s="63">
        <f t="shared" ca="1" si="32"/>
        <v>22.218460785393152</v>
      </c>
      <c r="AB275" s="63">
        <f t="shared" ca="1" si="33"/>
        <v>22.218460785393152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45656</v>
      </c>
      <c r="K276">
        <f ca="1"/>
        <v>22.465194391406058</v>
      </c>
      <c r="L276">
        <f ca="1"/>
        <v>0.2356741924461625</v>
      </c>
      <c r="M276">
        <f ca="1"/>
        <v>2.9884367006985713E-2</v>
      </c>
      <c r="N276">
        <f ca="1"/>
        <v>0.68208394385557192</v>
      </c>
      <c r="O276">
        <f ca="1"/>
        <v>0</v>
      </c>
      <c r="P276">
        <f ca="1"/>
        <v>5.203484044500498</v>
      </c>
      <c r="Q276">
        <f ca="1"/>
        <v>4.8149121840345508</v>
      </c>
      <c r="R276">
        <f ca="1"/>
        <v>0</v>
      </c>
      <c r="S276">
        <f ca="1"/>
        <v>0.81260673905180536</v>
      </c>
      <c r="T276">
        <f ca="1"/>
        <v>0</v>
      </c>
      <c r="U276">
        <f ca="1"/>
        <v>0</v>
      </c>
      <c r="V276">
        <f ca="1"/>
        <v>0.14171287766134633</v>
      </c>
      <c r="X276" s="2">
        <f t="shared" ca="1" si="29"/>
        <v>45656</v>
      </c>
      <c r="Y276">
        <f t="shared" ca="1" si="30"/>
        <v>0</v>
      </c>
      <c r="AA276" s="63">
        <f t="shared" ca="1" si="32"/>
        <v>22.70086858385222</v>
      </c>
      <c r="AB276" s="63">
        <f t="shared" ca="1" si="33"/>
        <v>22.70086858385222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45657</v>
      </c>
      <c r="K277">
        <f ca="1"/>
        <v>22.913007801165552</v>
      </c>
      <c r="L277">
        <f ca="1"/>
        <v>0.24487243366429112</v>
      </c>
      <c r="M277">
        <f ca="1"/>
        <v>3.5009930779146714E-2</v>
      </c>
      <c r="N277">
        <f ca="1"/>
        <v>0.65767591264463743</v>
      </c>
      <c r="O277">
        <f ca="1"/>
        <v>0</v>
      </c>
      <c r="P277">
        <f ca="1"/>
        <v>5.4483564781647891</v>
      </c>
      <c r="Q277">
        <f ca="1"/>
        <v>5.0414986892109246</v>
      </c>
      <c r="R277">
        <f ca="1"/>
        <v>0</v>
      </c>
      <c r="S277">
        <f ca="1"/>
        <v>0.79162369867384497</v>
      </c>
      <c r="T277">
        <f ca="1"/>
        <v>0</v>
      </c>
      <c r="U277">
        <f ca="1"/>
        <v>0</v>
      </c>
      <c r="V277">
        <f ca="1"/>
        <v>0.15665631051064008</v>
      </c>
      <c r="X277" s="2">
        <f t="shared" ca="1" si="29"/>
        <v>45657</v>
      </c>
      <c r="Y277">
        <f t="shared" ca="1" si="30"/>
        <v>0</v>
      </c>
      <c r="AA277" s="63">
        <f t="shared" ca="1" si="32"/>
        <v>23.157880234829843</v>
      </c>
      <c r="AB277" s="63">
        <f t="shared" ca="1" si="33"/>
        <v>23.157880234829843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45658</v>
      </c>
      <c r="K278">
        <f ca="1"/>
        <v>23.338115285723831</v>
      </c>
      <c r="L278">
        <f ca="1"/>
        <v>0.2553498716632614</v>
      </c>
      <c r="M278">
        <f ca="1"/>
        <v>3.9793555772462241E-2</v>
      </c>
      <c r="N278">
        <f ca="1"/>
        <v>0.64066380044907478</v>
      </c>
      <c r="O278">
        <f ca="1"/>
        <v>0</v>
      </c>
      <c r="P278">
        <f ca="1"/>
        <v>5.7037063498280505</v>
      </c>
      <c r="Q278">
        <f ca="1"/>
        <v>5.27778022630193</v>
      </c>
      <c r="R278">
        <f ca="1"/>
        <v>0</v>
      </c>
      <c r="S278">
        <f ca="1"/>
        <v>0.77449952076584838</v>
      </c>
      <c r="T278">
        <f ca="1"/>
        <v>0</v>
      </c>
      <c r="U278">
        <f ca="1"/>
        <v>0</v>
      </c>
      <c r="V278">
        <f ca="1"/>
        <v>0.17281054430146661</v>
      </c>
      <c r="X278" s="2">
        <f t="shared" ca="1" si="29"/>
        <v>45658</v>
      </c>
      <c r="Y278">
        <f t="shared" ca="1" si="30"/>
        <v>0</v>
      </c>
      <c r="AA278" s="63">
        <f t="shared" ca="1" si="32"/>
        <v>23.59346515738709</v>
      </c>
      <c r="AB278" s="63">
        <f t="shared" ca="1" si="33"/>
        <v>23.593465157387094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45659</v>
      </c>
      <c r="K279">
        <f ca="1"/>
        <v>23.732201102867435</v>
      </c>
      <c r="L279">
        <f ca="1"/>
        <v>0.27271257746882949</v>
      </c>
      <c r="M279">
        <f ca="1"/>
        <v>4.5505614088082069E-2</v>
      </c>
      <c r="N279">
        <f ca="1"/>
        <v>0.62129278052435211</v>
      </c>
      <c r="O279">
        <f ca="1"/>
        <v>0</v>
      </c>
      <c r="P279">
        <f ca="1"/>
        <v>5.97641892729688</v>
      </c>
      <c r="Q279">
        <f ca="1"/>
        <v>5.53012790350523</v>
      </c>
      <c r="R279">
        <f ca="1"/>
        <v>0</v>
      </c>
      <c r="S279">
        <f ca="1"/>
        <v>0.72989688882834403</v>
      </c>
      <c r="T279">
        <f ca="1"/>
        <v>0</v>
      </c>
      <c r="U279">
        <f ca="1"/>
        <v>0</v>
      </c>
      <c r="V279">
        <f ca="1"/>
        <v>0.19063470573636085</v>
      </c>
      <c r="X279" s="2">
        <f t="shared" ca="1" si="29"/>
        <v>45659</v>
      </c>
      <c r="Y279">
        <f t="shared" ca="1" si="30"/>
        <v>0</v>
      </c>
      <c r="AA279" s="63">
        <f t="shared" ca="1" si="32"/>
        <v>24.004913680336266</v>
      </c>
      <c r="AB279" s="63">
        <f t="shared" ca="1" si="33"/>
        <v>24.004913680336266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45660</v>
      </c>
      <c r="K280">
        <f ca="1"/>
        <v>24.078430213371675</v>
      </c>
      <c r="L280">
        <f ca="1"/>
        <v>0.28245433110719098</v>
      </c>
      <c r="M280">
        <f ca="1"/>
        <v>4.9206778413747543E-2</v>
      </c>
      <c r="N280">
        <f ca="1"/>
        <v>0.57947666319768076</v>
      </c>
      <c r="O280">
        <f ca="1"/>
        <v>0</v>
      </c>
      <c r="P280">
        <f ca="1"/>
        <v>6.2588732584040709</v>
      </c>
      <c r="Q280">
        <f ca="1"/>
        <v>5.7914898657310401</v>
      </c>
      <c r="R280">
        <f ca="1"/>
        <v>0</v>
      </c>
      <c r="S280">
        <f ca="1"/>
        <v>0.68758083615081511</v>
      </c>
      <c r="T280">
        <f ca="1"/>
        <v>0</v>
      </c>
      <c r="U280">
        <f ca="1"/>
        <v>0</v>
      </c>
      <c r="V280">
        <f ca="1"/>
        <v>0.20963225610451275</v>
      </c>
      <c r="X280" s="2">
        <f t="shared" ca="1" si="29"/>
        <v>45660</v>
      </c>
      <c r="Y280">
        <f t="shared" ca="1" si="30"/>
        <v>0</v>
      </c>
      <c r="AA280" s="63">
        <f t="shared" ca="1" si="32"/>
        <v>24.360884544478864</v>
      </c>
      <c r="AB280" s="63">
        <f t="shared" ca="1" si="33"/>
        <v>24.360884544478864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45661</v>
      </c>
      <c r="K281">
        <f ca="1"/>
        <v>24.391923854362883</v>
      </c>
      <c r="L281">
        <f ca="1"/>
        <v>0.29946169338256556</v>
      </c>
      <c r="M281">
        <f ca="1"/>
        <v>5.4005598532960164E-2</v>
      </c>
      <c r="N281">
        <f ca="1"/>
        <v>0.55894973584081109</v>
      </c>
      <c r="O281">
        <f ca="1"/>
        <v>0</v>
      </c>
      <c r="P281">
        <f ca="1"/>
        <v>6.5583349517866365</v>
      </c>
      <c r="Q281">
        <f ca="1"/>
        <v>6.06858915993244</v>
      </c>
      <c r="R281">
        <f ca="1"/>
        <v>0</v>
      </c>
      <c r="S281">
        <f ca="1"/>
        <v>0.64690338393177793</v>
      </c>
      <c r="T281">
        <f ca="1"/>
        <v>0</v>
      </c>
      <c r="U281">
        <f ca="1"/>
        <v>0</v>
      </c>
      <c r="V281">
        <f ca="1"/>
        <v>0.23026822030508642</v>
      </c>
      <c r="X281" s="2">
        <f t="shared" ca="1" si="29"/>
        <v>45661</v>
      </c>
      <c r="Y281">
        <f t="shared" ca="1" si="30"/>
        <v>0</v>
      </c>
      <c r="AA281" s="63">
        <f t="shared" ca="1" si="32"/>
        <v>24.691385547745448</v>
      </c>
      <c r="AB281" s="63">
        <f t="shared" ca="1" si="33"/>
        <v>24.691385547745448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45662</v>
      </c>
      <c r="K282">
        <f ca="1"/>
        <v>24.659473495403113</v>
      </c>
      <c r="L282">
        <f ca="1"/>
        <v>0.3060617525982936</v>
      </c>
      <c r="M282">
        <f ca="1"/>
        <v>5.5996293421571863E-2</v>
      </c>
      <c r="N282">
        <f ca="1"/>
        <v>0.51761510021695201</v>
      </c>
      <c r="O282">
        <f ca="1"/>
        <v>0</v>
      </c>
      <c r="P282">
        <f ca="1"/>
        <v>6.8643967043849301</v>
      </c>
      <c r="Q282">
        <f ca="1"/>
        <v>6.3517956517847569</v>
      </c>
      <c r="R282">
        <f ca="1"/>
        <v>0</v>
      </c>
      <c r="S282">
        <f ca="1"/>
        <v>0.61255031013038286</v>
      </c>
      <c r="T282">
        <f ca="1"/>
        <v>0</v>
      </c>
      <c r="U282">
        <f ca="1"/>
        <v>0</v>
      </c>
      <c r="V282">
        <f ca="1"/>
        <v>0.25177239696958403</v>
      </c>
      <c r="X282" s="2">
        <f t="shared" ca="1" si="29"/>
        <v>45662</v>
      </c>
      <c r="Y282">
        <f t="shared" ca="1" si="30"/>
        <v>0</v>
      </c>
      <c r="AA282" s="63">
        <f t="shared" ca="1" si="32"/>
        <v>24.965535248001405</v>
      </c>
      <c r="AB282" s="63">
        <f t="shared" ca="1" si="33"/>
        <v>24.965535248001405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45663</v>
      </c>
      <c r="K283">
        <f ca="1"/>
        <v>24.899860308965469</v>
      </c>
      <c r="L283">
        <f ca="1"/>
        <v>0.32134546739836978</v>
      </c>
      <c r="M283">
        <f ca="1"/>
        <v>5.9477607867449933E-2</v>
      </c>
      <c r="N283">
        <f ca="1"/>
        <v>0.50225467309327509</v>
      </c>
      <c r="O283">
        <f ca="1"/>
        <v>0</v>
      </c>
      <c r="P283">
        <f ca="1"/>
        <v>7.1857421717832999</v>
      </c>
      <c r="Q283">
        <f ca="1"/>
        <v>6.6491445420722091</v>
      </c>
      <c r="R283">
        <f ca="1"/>
        <v>0</v>
      </c>
      <c r="S283">
        <f ca="1"/>
        <v>0.58540760418105031</v>
      </c>
      <c r="T283">
        <f ca="1"/>
        <v>0</v>
      </c>
      <c r="U283">
        <f ca="1"/>
        <v>0</v>
      </c>
      <c r="V283">
        <f ca="1"/>
        <v>0.27467458539197642</v>
      </c>
      <c r="X283" s="2">
        <f t="shared" ca="1" si="29"/>
        <v>45663</v>
      </c>
      <c r="Y283">
        <f t="shared" ca="1" si="30"/>
        <v>0</v>
      </c>
      <c r="AA283" s="63">
        <f t="shared" ca="1" si="32"/>
        <v>25.221205776363838</v>
      </c>
      <c r="AB283" s="63">
        <f t="shared" ca="1" si="33"/>
        <v>25.221205776363838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45664</v>
      </c>
      <c r="K284">
        <f ca="1"/>
        <v>25.121244690253732</v>
      </c>
      <c r="L284">
        <f ca="1"/>
        <v>0.34437766438244655</v>
      </c>
      <c r="M284">
        <f ca="1"/>
        <v>6.4338043962759883E-2</v>
      </c>
      <c r="N284">
        <f ca="1"/>
        <v>0.50142400170795121</v>
      </c>
      <c r="O284">
        <f ca="1"/>
        <v>0</v>
      </c>
      <c r="P284">
        <f ca="1"/>
        <v>7.5301198361657464</v>
      </c>
      <c r="Q284">
        <f ca="1"/>
        <v>6.9678056925559666</v>
      </c>
      <c r="R284">
        <f ca="1"/>
        <v>0</v>
      </c>
      <c r="S284">
        <f ca="1"/>
        <v>0.55925804034083437</v>
      </c>
      <c r="T284">
        <f ca="1"/>
        <v>0</v>
      </c>
      <c r="U284">
        <f ca="1"/>
        <v>0</v>
      </c>
      <c r="V284">
        <f ca="1"/>
        <v>0.29944239374042375</v>
      </c>
      <c r="X284" s="2">
        <f t="shared" ca="1" si="29"/>
        <v>45664</v>
      </c>
      <c r="Y284">
        <f t="shared" ca="1" si="30"/>
        <v>0</v>
      </c>
      <c r="AA284" s="63">
        <f t="shared" ca="1" si="32"/>
        <v>25.465622354636182</v>
      </c>
      <c r="AB284" s="63">
        <f t="shared" ca="1" si="33"/>
        <v>25.465622354636178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45665</v>
      </c>
      <c r="K285">
        <f ca="1"/>
        <v>25.332422228008763</v>
      </c>
      <c r="L285">
        <f ca="1"/>
        <v>0.36452714673923836</v>
      </c>
      <c r="M285">
        <f ca="1"/>
        <v>6.8107258264699766E-2</v>
      </c>
      <c r="N285">
        <f ca="1"/>
        <v>0.50759742622957071</v>
      </c>
      <c r="O285">
        <f ca="1"/>
        <v>0</v>
      </c>
      <c r="P285">
        <f ca="1"/>
        <v>7.8946469829049848</v>
      </c>
      <c r="Q285">
        <f ca="1"/>
        <v>7.3051116562594824</v>
      </c>
      <c r="R285">
        <f ca="1"/>
        <v>0</v>
      </c>
      <c r="S285">
        <f ca="1"/>
        <v>0.55667601035276204</v>
      </c>
      <c r="T285">
        <f ca="1"/>
        <v>0</v>
      </c>
      <c r="U285">
        <f ca="1"/>
        <v>0</v>
      </c>
      <c r="V285">
        <f ca="1"/>
        <v>0.3257485932860758</v>
      </c>
      <c r="X285" s="2">
        <f t="shared" ca="1" si="29"/>
        <v>45665</v>
      </c>
      <c r="Y285">
        <f t="shared" ca="1" si="30"/>
        <v>0</v>
      </c>
      <c r="AA285" s="63">
        <f t="shared" ca="1" si="32"/>
        <v>25.696949374748002</v>
      </c>
      <c r="AB285" s="63">
        <f t="shared" ca="1" si="33"/>
        <v>25.696949374748002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45666</v>
      </c>
      <c r="K286">
        <f ca="1"/>
        <v>25.534510343876921</v>
      </c>
      <c r="L286">
        <f ca="1"/>
        <v>0.38615560369235435</v>
      </c>
      <c r="M286">
        <f ca="1"/>
        <v>7.1764300656830926E-2</v>
      </c>
      <c r="N286">
        <f ca="1"/>
        <v>0.51647941890368021</v>
      </c>
      <c r="O286">
        <f ca="1"/>
        <v>0</v>
      </c>
      <c r="P286">
        <f ca="1"/>
        <v>8.2808025865973391</v>
      </c>
      <c r="Q286">
        <f ca="1"/>
        <v>7.6624309648709144</v>
      </c>
      <c r="R286">
        <f ca="1"/>
        <v>0</v>
      </c>
      <c r="S286">
        <f ca="1"/>
        <v>0.55745800806491774</v>
      </c>
      <c r="T286">
        <f ca="1"/>
        <v>0</v>
      </c>
      <c r="U286">
        <f ca="1"/>
        <v>0</v>
      </c>
      <c r="V286">
        <f ca="1"/>
        <v>0.3535354588845066</v>
      </c>
      <c r="X286" s="2">
        <f t="shared" ca="1" si="29"/>
        <v>45666</v>
      </c>
      <c r="Y286">
        <f t="shared" ca="1" si="30"/>
        <v>0</v>
      </c>
      <c r="AA286" s="63">
        <f t="shared" ca="1" si="32"/>
        <v>25.920665947569276</v>
      </c>
      <c r="AB286" s="63">
        <f t="shared" ca="1" si="33"/>
        <v>25.920665947569276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45667</v>
      </c>
      <c r="K287">
        <f ca="1"/>
        <v>25.692842570256886</v>
      </c>
      <c r="L287">
        <f ca="1"/>
        <v>0.40071542161146922</v>
      </c>
      <c r="M287">
        <f ca="1"/>
        <v>7.3278187947359186E-2</v>
      </c>
      <c r="N287">
        <f ca="1"/>
        <v>0.48576946004407368</v>
      </c>
      <c r="O287">
        <f ca="1"/>
        <v>0</v>
      </c>
      <c r="P287">
        <f ca="1"/>
        <v>8.6815180082088084</v>
      </c>
      <c r="Q287">
        <f ca="1"/>
        <v>8.0332228322711376</v>
      </c>
      <c r="R287">
        <f ca="1"/>
        <v>0</v>
      </c>
      <c r="S287">
        <f ca="1"/>
        <v>0.52016144042863832</v>
      </c>
      <c r="T287">
        <f ca="1"/>
        <v>0</v>
      </c>
      <c r="U287">
        <f ca="1"/>
        <v>0</v>
      </c>
      <c r="V287">
        <f ca="1"/>
        <v>0.38209686144004085</v>
      </c>
      <c r="X287" s="2">
        <f t="shared" ca="1" si="29"/>
        <v>45667</v>
      </c>
      <c r="Y287">
        <f t="shared" ca="1" si="30"/>
        <v>0</v>
      </c>
      <c r="AA287" s="63">
        <f t="shared" ca="1" si="32"/>
        <v>26.093557991868355</v>
      </c>
      <c r="AB287" s="63">
        <f t="shared" ca="1" si="33"/>
        <v>26.093557991868355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45668</v>
      </c>
      <c r="K288">
        <f ca="1"/>
        <v>25.806064418973715</v>
      </c>
      <c r="L288">
        <f ca="1"/>
        <v>0.41323203661423591</v>
      </c>
      <c r="M288">
        <f ca="1"/>
        <v>7.1671558921188705E-2</v>
      </c>
      <c r="N288">
        <f ca="1"/>
        <v>0.45478232640987493</v>
      </c>
      <c r="O288">
        <f ca="1"/>
        <v>0</v>
      </c>
      <c r="P288">
        <f ca="1"/>
        <v>9.0947500448230443</v>
      </c>
      <c r="Q288">
        <f ca="1"/>
        <v>8.4155966323849611</v>
      </c>
      <c r="R288">
        <f ca="1"/>
        <v>0</v>
      </c>
      <c r="S288">
        <f ca="1"/>
        <v>0.48479333017066689</v>
      </c>
      <c r="T288">
        <f ca="1"/>
        <v>0</v>
      </c>
      <c r="U288">
        <f ca="1"/>
        <v>0</v>
      </c>
      <c r="V288">
        <f ca="1"/>
        <v>0.41107765830364623</v>
      </c>
      <c r="X288" s="2">
        <f t="shared" ca="1" si="29"/>
        <v>45668</v>
      </c>
      <c r="Y288">
        <f t="shared" ca="1" si="30"/>
        <v>0</v>
      </c>
      <c r="AA288" s="63">
        <f t="shared" ca="1" si="32"/>
        <v>26.219296455587951</v>
      </c>
      <c r="AB288" s="63">
        <f t="shared" ca="1" si="33"/>
        <v>26.219296455587951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45669</v>
      </c>
      <c r="K289">
        <f ca="1"/>
        <v>25.87706183630775</v>
      </c>
      <c r="L289">
        <f ca="1"/>
        <v>0.43492889639856358</v>
      </c>
      <c r="M289">
        <f ca="1"/>
        <v>6.8307325685616149E-2</v>
      </c>
      <c r="N289">
        <f ca="1"/>
        <v>0.43761898804697985</v>
      </c>
      <c r="O289">
        <f ca="1"/>
        <v>0</v>
      </c>
      <c r="P289">
        <f ca="1"/>
        <v>9.5296789412216079</v>
      </c>
      <c r="Q289">
        <f ca="1"/>
        <v>8.8180470722342807</v>
      </c>
      <c r="R289">
        <f ca="1"/>
        <v>0</v>
      </c>
      <c r="S289">
        <f ca="1"/>
        <v>0.44833116824860586</v>
      </c>
      <c r="T289">
        <f ca="1"/>
        <v>0</v>
      </c>
      <c r="U289">
        <f ca="1"/>
        <v>0</v>
      </c>
      <c r="V289">
        <f ca="1"/>
        <v>0.44088586648532097</v>
      </c>
      <c r="X289" s="2">
        <f t="shared" ca="1" si="29"/>
        <v>45669</v>
      </c>
      <c r="Y289">
        <f t="shared" ca="1" si="30"/>
        <v>0</v>
      </c>
      <c r="AA289" s="63">
        <f t="shared" ca="1" si="32"/>
        <v>26.311990732706313</v>
      </c>
      <c r="AB289" s="63">
        <f t="shared" ca="1" si="33"/>
        <v>26.311990732706313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45670</v>
      </c>
      <c r="K290">
        <f ca="1"/>
        <v>25.940065716015692</v>
      </c>
      <c r="L290">
        <f ca="1"/>
        <v>0.45880691984723043</v>
      </c>
      <c r="M290">
        <f ca="1"/>
        <v>7.2196587439798066E-2</v>
      </c>
      <c r="N290">
        <f ca="1"/>
        <v>0.44961421211537561</v>
      </c>
      <c r="O290">
        <f ca="1"/>
        <v>0</v>
      </c>
      <c r="P290">
        <f ca="1"/>
        <v>9.9884858610688383</v>
      </c>
      <c r="Q290">
        <f ca="1"/>
        <v>9.2425924363786329</v>
      </c>
      <c r="R290">
        <f ca="1"/>
        <v>0</v>
      </c>
      <c r="S290">
        <f ca="1"/>
        <v>0.46002465644267393</v>
      </c>
      <c r="T290">
        <f ca="1"/>
        <v>0</v>
      </c>
      <c r="U290">
        <f ca="1"/>
        <v>0</v>
      </c>
      <c r="V290">
        <f ca="1"/>
        <v>0.47139192915212014</v>
      </c>
      <c r="X290" s="2">
        <f t="shared" ca="1" si="29"/>
        <v>45670</v>
      </c>
      <c r="Y290">
        <f t="shared" ca="1" si="30"/>
        <v>0</v>
      </c>
      <c r="AA290" s="63">
        <f t="shared" ca="1" si="32"/>
        <v>26.398872635862922</v>
      </c>
      <c r="AB290" s="63">
        <f t="shared" ca="1" si="33"/>
        <v>26.398872635862922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45671</v>
      </c>
      <c r="K291">
        <f ca="1"/>
        <v>25.971533393343829</v>
      </c>
      <c r="L291">
        <f ca="1"/>
        <v>0.48564253205847407</v>
      </c>
      <c r="M291">
        <f ca="1"/>
        <v>7.1371179612384594E-2</v>
      </c>
      <c r="N291">
        <f ca="1"/>
        <v>0.44573902977422836</v>
      </c>
      <c r="O291">
        <f ca="1"/>
        <v>0</v>
      </c>
      <c r="P291">
        <f ca="1"/>
        <v>10.474128393127312</v>
      </c>
      <c r="Q291">
        <f ca="1"/>
        <v>9.6919694546794926</v>
      </c>
      <c r="R291">
        <f ca="1"/>
        <v>0</v>
      </c>
      <c r="S291">
        <f ca="1"/>
        <v>0.44074539106034555</v>
      </c>
      <c r="T291">
        <f ca="1"/>
        <v>0</v>
      </c>
      <c r="U291">
        <f ca="1"/>
        <v>0</v>
      </c>
      <c r="V291">
        <f ca="1"/>
        <v>0.50247947685496808</v>
      </c>
      <c r="X291" s="2">
        <f t="shared" ca="1" si="29"/>
        <v>45671</v>
      </c>
      <c r="Y291">
        <f t="shared" ca="1" si="30"/>
        <v>0</v>
      </c>
      <c r="AA291" s="63">
        <f t="shared" ca="1" si="32"/>
        <v>26.457175925402304</v>
      </c>
      <c r="AB291" s="63">
        <f t="shared" ca="1" si="33"/>
        <v>26.457175925402304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45672</v>
      </c>
      <c r="K292">
        <f ca="1"/>
        <v>25.954624232622365</v>
      </c>
      <c r="L292">
        <f ca="1"/>
        <v>0.50718610111318618</v>
      </c>
      <c r="M292">
        <f ca="1"/>
        <v>6.6081480027545325E-2</v>
      </c>
      <c r="N292">
        <f ca="1"/>
        <v>0.4241954603641776</v>
      </c>
      <c r="O292">
        <f ca="1"/>
        <v>0</v>
      </c>
      <c r="P292">
        <f ca="1"/>
        <v>10.981314494240499</v>
      </c>
      <c r="Q292">
        <f ca="1"/>
        <v>10.161281269021242</v>
      </c>
      <c r="R292">
        <f ca="1"/>
        <v>0</v>
      </c>
      <c r="S292">
        <f ca="1"/>
        <v>0.40363337701609642</v>
      </c>
      <c r="T292">
        <f ca="1"/>
        <v>0</v>
      </c>
      <c r="U292">
        <f ca="1"/>
        <v>0</v>
      </c>
      <c r="V292">
        <f ca="1"/>
        <v>0.5334981404004866</v>
      </c>
      <c r="X292" s="2">
        <f t="shared" ca="1" si="29"/>
        <v>45672</v>
      </c>
      <c r="Y292">
        <f t="shared" ca="1" si="30"/>
        <v>0</v>
      </c>
      <c r="AA292" s="63">
        <f t="shared" ca="1" si="32"/>
        <v>26.461810333735553</v>
      </c>
      <c r="AB292" s="63">
        <f t="shared" ca="1" si="33"/>
        <v>26.461810333735549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45673</v>
      </c>
      <c r="K293">
        <f ca="1"/>
        <v>25.915718321649294</v>
      </c>
      <c r="L293">
        <f ca="1"/>
        <v>0.52981500184800545</v>
      </c>
      <c r="M293">
        <f ca="1"/>
        <v>6.6849441855918457E-2</v>
      </c>
      <c r="N293">
        <f ca="1"/>
        <v>0.42405964901901544</v>
      </c>
      <c r="O293">
        <f ca="1"/>
        <v>0</v>
      </c>
      <c r="P293">
        <f ca="1"/>
        <v>11.511129496088504</v>
      </c>
      <c r="Q293">
        <f ca="1"/>
        <v>10.651532163588389</v>
      </c>
      <c r="R293">
        <f ca="1"/>
        <v>0</v>
      </c>
      <c r="S293">
        <f ca="1"/>
        <v>0.40454851193723645</v>
      </c>
      <c r="T293">
        <f ca="1"/>
        <v>0</v>
      </c>
      <c r="U293">
        <f ca="1"/>
        <v>0</v>
      </c>
      <c r="V293">
        <f ca="1"/>
        <v>0.56422719205240346</v>
      </c>
      <c r="X293" s="2">
        <f t="shared" ca="1" si="29"/>
        <v>45673</v>
      </c>
      <c r="Y293">
        <f t="shared" ca="1" si="30"/>
        <v>0</v>
      </c>
      <c r="AA293" s="63">
        <f t="shared" ca="1" si="32"/>
        <v>26.445533323497298</v>
      </c>
      <c r="AB293" s="63">
        <f t="shared" ca="1" si="33"/>
        <v>26.445533323497301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45674</v>
      </c>
      <c r="K294">
        <f ca="1"/>
        <v>25.851145352597658</v>
      </c>
      <c r="L294">
        <f ca="1"/>
        <v>0.54722002872123454</v>
      </c>
      <c r="M294">
        <f ca="1"/>
        <v>6.6198026121789155E-2</v>
      </c>
      <c r="N294">
        <f ca="1"/>
        <v>0.41644903354781038</v>
      </c>
      <c r="O294">
        <f ca="1"/>
        <v>0</v>
      </c>
      <c r="P294">
        <f ca="1"/>
        <v>12.058349524809739</v>
      </c>
      <c r="Q294">
        <f ca="1"/>
        <v>11.157888358996024</v>
      </c>
      <c r="R294">
        <f ca="1"/>
        <v>0</v>
      </c>
      <c r="S294">
        <f ca="1"/>
        <v>0.40310816705136249</v>
      </c>
      <c r="T294">
        <f ca="1"/>
        <v>0</v>
      </c>
      <c r="U294">
        <f ca="1"/>
        <v>0</v>
      </c>
      <c r="V294">
        <f ca="1"/>
        <v>0.5941174411261676</v>
      </c>
      <c r="X294" s="2">
        <f t="shared" ca="1" si="29"/>
        <v>45674</v>
      </c>
      <c r="Y294">
        <f t="shared" ca="1" si="30"/>
        <v>0</v>
      </c>
      <c r="AA294" s="63">
        <f t="shared" ca="1" si="32"/>
        <v>26.398365381318893</v>
      </c>
      <c r="AB294" s="63">
        <f t="shared" ca="1" si="33"/>
        <v>26.398365381318893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45675</v>
      </c>
      <c r="K295">
        <f ca="1"/>
        <v>25.754108901319775</v>
      </c>
      <c r="L295">
        <f ca="1"/>
        <v>0.57324405656296662</v>
      </c>
      <c r="M295">
        <f ca="1"/>
        <v>6.4818174753462188E-2</v>
      </c>
      <c r="N295">
        <f ca="1"/>
        <v>0.41138943053162125</v>
      </c>
      <c r="O295">
        <f ca="1"/>
        <v>0</v>
      </c>
      <c r="P295">
        <f ca="1"/>
        <v>12.631593581372705</v>
      </c>
      <c r="Q295">
        <f ca="1"/>
        <v>11.688325229516952</v>
      </c>
      <c r="R295">
        <f ca="1"/>
        <v>0</v>
      </c>
      <c r="S295">
        <f ca="1"/>
        <v>0.39042774639903288</v>
      </c>
      <c r="T295">
        <f ca="1"/>
        <v>0</v>
      </c>
      <c r="U295">
        <f ca="1"/>
        <v>0</v>
      </c>
      <c r="V295">
        <f ca="1"/>
        <v>0.62340436606382965</v>
      </c>
      <c r="X295" s="2">
        <f t="shared" ca="1" si="29"/>
        <v>45675</v>
      </c>
      <c r="Y295">
        <f t="shared" ca="1" si="30"/>
        <v>0</v>
      </c>
      <c r="AA295" s="63">
        <f t="shared" ca="1" si="32"/>
        <v>26.327352957882741</v>
      </c>
      <c r="AB295" s="63">
        <f t="shared" ca="1" si="33"/>
        <v>26.327352957882741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45676</v>
      </c>
      <c r="K296">
        <f ca="1"/>
        <v>25.62616317587873</v>
      </c>
      <c r="L296">
        <f ca="1"/>
        <v>0.60837176213487787</v>
      </c>
      <c r="M296">
        <f ca="1"/>
        <v>6.4958853690463059E-2</v>
      </c>
      <c r="N296">
        <f ca="1"/>
        <v>0.4154671830033676</v>
      </c>
      <c r="O296">
        <f ca="1"/>
        <v>0</v>
      </c>
      <c r="P296">
        <f ca="1"/>
        <v>13.239965343507583</v>
      </c>
      <c r="Q296">
        <f ca="1"/>
        <v>12.251266632791108</v>
      </c>
      <c r="R296">
        <f ca="1"/>
        <v>0</v>
      </c>
      <c r="S296">
        <f ca="1"/>
        <v>0.38116601129285282</v>
      </c>
      <c r="T296">
        <f ca="1"/>
        <v>0</v>
      </c>
      <c r="U296">
        <f ca="1"/>
        <v>0</v>
      </c>
      <c r="V296">
        <f ca="1"/>
        <v>0.65225472797535933</v>
      </c>
      <c r="X296" s="2">
        <f t="shared" ca="1" si="29"/>
        <v>45676</v>
      </c>
      <c r="Y296">
        <f t="shared" ca="1" si="30"/>
        <v>0</v>
      </c>
      <c r="AA296" s="63">
        <f t="shared" ca="1" si="32"/>
        <v>26.234534938013606</v>
      </c>
      <c r="AB296" s="63">
        <f t="shared" ca="1" si="33"/>
        <v>26.23453493801361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45677</v>
      </c>
      <c r="K297">
        <f ca="1"/>
        <v>25.451994647160078</v>
      </c>
      <c r="L297">
        <f ca="1"/>
        <v>0.633288014395049</v>
      </c>
      <c r="M297">
        <f ca="1"/>
        <v>6.0079376032959431E-2</v>
      </c>
      <c r="N297">
        <f ca="1"/>
        <v>0.39904010964343606</v>
      </c>
      <c r="O297">
        <f ca="1"/>
        <v>0</v>
      </c>
      <c r="P297">
        <f ca="1"/>
        <v>13.873253357902632</v>
      </c>
      <c r="Q297">
        <f ca="1"/>
        <v>12.837263659098213</v>
      </c>
      <c r="R297">
        <f ca="1"/>
        <v>0</v>
      </c>
      <c r="S297">
        <f ca="1"/>
        <v>0.35256676913460061</v>
      </c>
      <c r="T297">
        <f ca="1"/>
        <v>0</v>
      </c>
      <c r="U297">
        <f ca="1"/>
        <v>0</v>
      </c>
      <c r="V297">
        <f ca="1"/>
        <v>0.67992786680300588</v>
      </c>
      <c r="X297" s="2">
        <f t="shared" ca="1" si="29"/>
        <v>45677</v>
      </c>
      <c r="Y297">
        <f t="shared" ca="1" si="30"/>
        <v>0</v>
      </c>
      <c r="AA297" s="63">
        <f t="shared" ca="1" si="32"/>
        <v>26.085282661555127</v>
      </c>
      <c r="AB297" s="63">
        <f t="shared" ca="1" si="33"/>
        <v>26.085282661555127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45678</v>
      </c>
      <c r="K298">
        <f ca="1"/>
        <v>25.330802870866798</v>
      </c>
      <c r="L298">
        <f ca="1"/>
        <v>0.66976956701581081</v>
      </c>
      <c r="M298">
        <f ca="1"/>
        <v>8.0834508206898192E-2</v>
      </c>
      <c r="N298">
        <f ca="1"/>
        <v>0.46774328251563274</v>
      </c>
      <c r="O298">
        <f ca="1"/>
        <v>0</v>
      </c>
      <c r="P298">
        <f ca="1"/>
        <v>14.543022924918443</v>
      </c>
      <c r="Q298">
        <f ca="1"/>
        <v>13.457017966239468</v>
      </c>
      <c r="R298">
        <f ca="1"/>
        <v>0</v>
      </c>
      <c r="S298">
        <f ca="1"/>
        <v>0.46493161679488976</v>
      </c>
      <c r="T298">
        <f ca="1"/>
        <v>0</v>
      </c>
      <c r="U298">
        <f ca="1"/>
        <v>0</v>
      </c>
      <c r="V298">
        <f ca="1"/>
        <v>0.70670772003114246</v>
      </c>
      <c r="X298" s="2">
        <f t="shared" ca="1" si="29"/>
        <v>45678</v>
      </c>
      <c r="Y298">
        <f t="shared" ca="1" si="30"/>
        <v>0</v>
      </c>
      <c r="AA298" s="63">
        <f t="shared" ca="1" si="32"/>
        <v>26.00057243788261</v>
      </c>
      <c r="AB298" s="63">
        <f t="shared" ca="1" si="33"/>
        <v>26.00057243788261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45679</v>
      </c>
      <c r="K299">
        <f ca="1"/>
        <v>25.190827086225948</v>
      </c>
      <c r="L299">
        <f ca="1"/>
        <v>0.7031154122786738</v>
      </c>
      <c r="M299">
        <f ca="1"/>
        <v>8.3981189786602073E-2</v>
      </c>
      <c r="N299">
        <f ca="1"/>
        <v>0.4791584378512222</v>
      </c>
      <c r="O299">
        <f ca="1"/>
        <v>0</v>
      </c>
      <c r="P299">
        <f ca="1"/>
        <v>15.246138337197117</v>
      </c>
      <c r="Q299">
        <f ca="1"/>
        <v>14.107628006822006</v>
      </c>
      <c r="R299">
        <f ca="1"/>
        <v>0</v>
      </c>
      <c r="S299">
        <f ca="1"/>
        <v>0.47838426257253974</v>
      </c>
      <c r="T299">
        <f ca="1"/>
        <v>0</v>
      </c>
      <c r="U299">
        <f ca="1"/>
        <v>0</v>
      </c>
      <c r="V299">
        <f ca="1"/>
        <v>0.73224722193187142</v>
      </c>
      <c r="X299" s="2">
        <f t="shared" ca="1" si="29"/>
        <v>45679</v>
      </c>
      <c r="Y299">
        <f t="shared" ca="1" si="30"/>
        <v>0</v>
      </c>
      <c r="AA299" s="63">
        <f t="shared" ca="1" si="32"/>
        <v>25.893942498504622</v>
      </c>
      <c r="AB299" s="63">
        <f t="shared" ca="1" si="33"/>
        <v>25.893942498504622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45680</v>
      </c>
      <c r="K300">
        <f ca="1"/>
        <v>25.009919829271077</v>
      </c>
      <c r="L300">
        <f ca="1"/>
        <v>0.7352549384152951</v>
      </c>
      <c r="M300">
        <f ca="1"/>
        <v>8.2105739004408207E-2</v>
      </c>
      <c r="N300">
        <f ca="1"/>
        <v>0.47224194245601558</v>
      </c>
      <c r="O300">
        <f ca="1"/>
        <v>0</v>
      </c>
      <c r="P300">
        <f ca="1"/>
        <v>15.981393275612412</v>
      </c>
      <c r="Q300">
        <f ca="1"/>
        <v>14.787977543992005</v>
      </c>
      <c r="R300">
        <f ca="1"/>
        <v>0</v>
      </c>
      <c r="S300">
        <f ca="1"/>
        <v>0.46611340594325884</v>
      </c>
      <c r="T300">
        <f ca="1"/>
        <v>0</v>
      </c>
      <c r="U300">
        <f ca="1"/>
        <v>0</v>
      </c>
      <c r="V300">
        <f ca="1"/>
        <v>0.75635413418541964</v>
      </c>
      <c r="X300" s="2">
        <f t="shared" ca="1" si="29"/>
        <v>45680</v>
      </c>
      <c r="Y300">
        <f t="shared" ca="1" si="30"/>
        <v>0</v>
      </c>
      <c r="AA300" s="63">
        <f t="shared" ca="1" si="32"/>
        <v>25.745174767686372</v>
      </c>
      <c r="AB300" s="63">
        <f t="shared" ca="1" si="33"/>
        <v>25.745174767686372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45681</v>
      </c>
      <c r="K301">
        <f ca="1"/>
        <v>24.803428619657538</v>
      </c>
      <c r="L301">
        <f ca="1"/>
        <v>0.76946182968240251</v>
      </c>
      <c r="M301">
        <f ca="1"/>
        <v>8.3932596794440428E-2</v>
      </c>
      <c r="N301">
        <f ca="1"/>
        <v>0.47903802327442435</v>
      </c>
      <c r="O301">
        <f ca="1"/>
        <v>0</v>
      </c>
      <c r="P301">
        <f ca="1"/>
        <v>16.750855105294814</v>
      </c>
      <c r="Q301">
        <f ca="1"/>
        <v>15.499979561717602</v>
      </c>
      <c r="R301">
        <f ca="1"/>
        <v>0</v>
      </c>
      <c r="S301">
        <f ca="1"/>
        <v>0.47484220277828998</v>
      </c>
      <c r="T301">
        <f ca="1"/>
        <v>0</v>
      </c>
      <c r="U301">
        <f ca="1"/>
        <v>0</v>
      </c>
      <c r="V301">
        <f ca="1"/>
        <v>0.7789916917976013</v>
      </c>
      <c r="X301" s="2">
        <f t="shared" ca="1" si="29"/>
        <v>45681</v>
      </c>
      <c r="Y301">
        <f t="shared" ca="1" si="30"/>
        <v>0</v>
      </c>
      <c r="AA301" s="63">
        <f t="shared" ca="1" si="32"/>
        <v>25.57289044933994</v>
      </c>
      <c r="AB301" s="63">
        <f t="shared" ca="1" si="33"/>
        <v>25.57289044933994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45682</v>
      </c>
      <c r="K302">
        <f ca="1"/>
        <v>24.573175135820509</v>
      </c>
      <c r="L302">
        <f ca="1"/>
        <v>0.81322223909265645</v>
      </c>
      <c r="M302">
        <f ca="1"/>
        <v>8.7554218493508529E-2</v>
      </c>
      <c r="N302">
        <f ca="1"/>
        <v>0.49541453676212077</v>
      </c>
      <c r="O302">
        <f ca="1"/>
        <v>0</v>
      </c>
      <c r="P302">
        <f ca="1"/>
        <v>17.564077344387471</v>
      </c>
      <c r="Q302">
        <f ca="1"/>
        <v>16.252474166072826</v>
      </c>
      <c r="R302">
        <f ca="1"/>
        <v>0</v>
      </c>
      <c r="S302">
        <f ca="1"/>
        <v>0.48778225746552067</v>
      </c>
      <c r="T302">
        <f ca="1"/>
        <v>0</v>
      </c>
      <c r="U302">
        <f ca="1"/>
        <v>0</v>
      </c>
      <c r="V302">
        <f ca="1"/>
        <v>0.800326793834645</v>
      </c>
      <c r="X302" s="2">
        <f t="shared" ca="1" si="29"/>
        <v>45682</v>
      </c>
      <c r="Y302">
        <f t="shared" ca="1" si="30"/>
        <v>0</v>
      </c>
      <c r="AA302" s="63">
        <f t="shared" ca="1" si="32"/>
        <v>25.386397374913166</v>
      </c>
      <c r="AB302" s="63">
        <f t="shared" ca="1" si="33"/>
        <v>25.386397374913166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45683</v>
      </c>
      <c r="K303">
        <f ca="1"/>
        <v>24.279773764883284</v>
      </c>
      <c r="L303">
        <f ca="1"/>
        <v>0.85452071481118708</v>
      </c>
      <c r="M303">
        <f ca="1"/>
        <v>8.2226923400185115E-2</v>
      </c>
      <c r="N303">
        <f ca="1"/>
        <v>0.478892420473777</v>
      </c>
      <c r="O303">
        <f ca="1"/>
        <v>0</v>
      </c>
      <c r="P303">
        <f ca="1"/>
        <v>18.418598059198658</v>
      </c>
      <c r="Q303">
        <f ca="1"/>
        <v>17.043183269063697</v>
      </c>
      <c r="R303">
        <f ca="1"/>
        <v>0</v>
      </c>
      <c r="S303">
        <f ca="1"/>
        <v>0.45510980265606943</v>
      </c>
      <c r="T303">
        <f ca="1"/>
        <v>0</v>
      </c>
      <c r="U303">
        <f ca="1"/>
        <v>0</v>
      </c>
      <c r="V303">
        <f ca="1"/>
        <v>0.82019589641185831</v>
      </c>
      <c r="X303" s="2">
        <f t="shared" ca="1" si="29"/>
        <v>45683</v>
      </c>
      <c r="Y303">
        <f t="shared" ca="1" si="30"/>
        <v>0</v>
      </c>
      <c r="AA303" s="63">
        <f t="shared" ca="1" si="32"/>
        <v>25.134294479694471</v>
      </c>
      <c r="AB303" s="63">
        <f t="shared" ca="1" si="33"/>
        <v>25.134294479694471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45684</v>
      </c>
      <c r="K304">
        <f ca="1"/>
        <v>23.948647642586678</v>
      </c>
      <c r="L304">
        <f ca="1"/>
        <v>0.87664826933208673</v>
      </c>
      <c r="M304">
        <f ca="1"/>
        <v>7.9650314343197692E-2</v>
      </c>
      <c r="N304">
        <f ca="1"/>
        <v>0.46587183269228361</v>
      </c>
      <c r="O304">
        <f ca="1"/>
        <v>0</v>
      </c>
      <c r="P304">
        <f ca="1"/>
        <v>19.295246328530745</v>
      </c>
      <c r="Q304">
        <f ca="1"/>
        <v>17.854367544257347</v>
      </c>
      <c r="R304">
        <f ca="1"/>
        <v>0</v>
      </c>
      <c r="S304">
        <f ca="1"/>
        <v>0.45227697232908326</v>
      </c>
      <c r="T304">
        <f ca="1"/>
        <v>0</v>
      </c>
      <c r="U304">
        <f ca="1"/>
        <v>0</v>
      </c>
      <c r="V304">
        <f ca="1"/>
        <v>0.83818900406068053</v>
      </c>
      <c r="X304" s="2">
        <f t="shared" ca="1" si="29"/>
        <v>45684</v>
      </c>
      <c r="Y304">
        <f t="shared" ca="1" si="30"/>
        <v>0</v>
      </c>
      <c r="AA304" s="63">
        <f t="shared" ca="1" si="32"/>
        <v>24.825295911918765</v>
      </c>
      <c r="AB304" s="63">
        <f t="shared" ca="1" si="33"/>
        <v>24.825295911918765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45685</v>
      </c>
      <c r="K305">
        <f ca="1"/>
        <v>23.564550670431668</v>
      </c>
      <c r="L305">
        <f ca="1"/>
        <v>0.9220145767677792</v>
      </c>
      <c r="M305">
        <f ca="1"/>
        <v>7.7140513481342765E-2</v>
      </c>
      <c r="N305">
        <f ca="1"/>
        <v>0.4607770911314259</v>
      </c>
      <c r="O305">
        <f ca="1"/>
        <v>0</v>
      </c>
      <c r="P305">
        <f ca="1"/>
        <v>20.217260905298524</v>
      </c>
      <c r="Q305">
        <f ca="1"/>
        <v>18.707530383149606</v>
      </c>
      <c r="R305">
        <f ca="1"/>
        <v>0</v>
      </c>
      <c r="S305">
        <f ca="1"/>
        <v>0.43473172378762681</v>
      </c>
      <c r="T305">
        <f ca="1"/>
        <v>0</v>
      </c>
      <c r="U305">
        <f ca="1"/>
        <v>0</v>
      </c>
      <c r="V305">
        <f ca="1"/>
        <v>0.85483279147202029</v>
      </c>
      <c r="X305" s="2">
        <f t="shared" ca="1" si="29"/>
        <v>45685</v>
      </c>
      <c r="Y305">
        <f t="shared" ca="1" si="30"/>
        <v>0</v>
      </c>
      <c r="AA305" s="63">
        <f t="shared" ca="1" si="32"/>
        <v>24.486565247199447</v>
      </c>
      <c r="AB305" s="63">
        <f t="shared" ca="1" si="33"/>
        <v>24.486565247199447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45686</v>
      </c>
      <c r="K306">
        <f ca="1"/>
        <v>23.130493488745874</v>
      </c>
      <c r="L306">
        <f ca="1"/>
        <v>0.97366455401611063</v>
      </c>
      <c r="M306">
        <f ca="1"/>
        <v>7.6405303772855149E-2</v>
      </c>
      <c r="N306">
        <f ca="1"/>
        <v>0.46320206855745966</v>
      </c>
      <c r="O306">
        <f ca="1"/>
        <v>0</v>
      </c>
      <c r="P306">
        <f ca="1"/>
        <v>21.190925459314634</v>
      </c>
      <c r="Q306">
        <f ca="1"/>
        <v>19.608486220469711</v>
      </c>
      <c r="R306">
        <f ca="1"/>
        <v>0</v>
      </c>
      <c r="S306">
        <f ca="1"/>
        <v>0.42530675228424664</v>
      </c>
      <c r="T306">
        <f ca="1"/>
        <v>0</v>
      </c>
      <c r="U306">
        <f ca="1"/>
        <v>0</v>
      </c>
      <c r="V306">
        <f ca="1"/>
        <v>0.87021070377757936</v>
      </c>
      <c r="X306" s="2">
        <f t="shared" ca="1" si="29"/>
        <v>45686</v>
      </c>
      <c r="Y306">
        <f t="shared" ca="1" si="30"/>
        <v>0</v>
      </c>
      <c r="AA306" s="63">
        <f t="shared" ca="1" si="32"/>
        <v>24.104158042761984</v>
      </c>
      <c r="AB306" s="63">
        <f t="shared" ca="1" si="33"/>
        <v>24.104158042761984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45687</v>
      </c>
      <c r="K307">
        <f ca="1"/>
        <v>22.659442322520668</v>
      </c>
      <c r="L307">
        <f ca="1"/>
        <v>1.0281127905244176</v>
      </c>
      <c r="M307">
        <f ca="1"/>
        <v>7.9253039355144494E-2</v>
      </c>
      <c r="N307">
        <f ca="1"/>
        <v>0.4778085849440693</v>
      </c>
      <c r="O307">
        <f ca="1"/>
        <v>0</v>
      </c>
      <c r="P307">
        <f ca="1"/>
        <v>22.219038249839052</v>
      </c>
      <c r="Q307">
        <f ca="1"/>
        <v>20.559824354558863</v>
      </c>
      <c r="R307">
        <f ca="1"/>
        <v>0</v>
      </c>
      <c r="S307">
        <f ca="1"/>
        <v>0.43612081076219478</v>
      </c>
      <c r="T307">
        <f ca="1"/>
        <v>0</v>
      </c>
      <c r="U307">
        <f ca="1"/>
        <v>0</v>
      </c>
      <c r="V307">
        <f ca="1"/>
        <v>0.88434389396958424</v>
      </c>
      <c r="X307" s="2">
        <f t="shared" ca="1" si="29"/>
        <v>45687</v>
      </c>
      <c r="Y307">
        <f t="shared" ca="1" si="30"/>
        <v>0</v>
      </c>
      <c r="AA307" s="63">
        <f t="shared" ca="1" si="32"/>
        <v>23.687555113045086</v>
      </c>
      <c r="AB307" s="63">
        <f t="shared" ca="1" si="33"/>
        <v>23.687555113045086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45688</v>
      </c>
      <c r="K308">
        <f ca="1"/>
        <v>22.147880306202406</v>
      </c>
      <c r="L308">
        <f ca="1"/>
        <v>1.0688217193473477</v>
      </c>
      <c r="M308">
        <f ca="1"/>
        <v>7.9140497339306393E-2</v>
      </c>
      <c r="N308">
        <f ca="1"/>
        <v>0.47811920568978089</v>
      </c>
      <c r="O308">
        <f ca="1"/>
        <v>0</v>
      </c>
      <c r="P308">
        <f ca="1"/>
        <v>23.2878599691864</v>
      </c>
      <c r="Q308">
        <f ca="1"/>
        <v>21.548831464993906</v>
      </c>
      <c r="R308">
        <f ca="1"/>
        <v>0</v>
      </c>
      <c r="S308">
        <f ca="1"/>
        <v>0.43996028709090784</v>
      </c>
      <c r="T308">
        <f ca="1"/>
        <v>0</v>
      </c>
      <c r="U308">
        <f ca="1"/>
        <v>0</v>
      </c>
      <c r="V308">
        <f ca="1"/>
        <v>0.89708313493134995</v>
      </c>
      <c r="X308" s="2">
        <f t="shared" ca="1" si="29"/>
        <v>45688</v>
      </c>
      <c r="Y308">
        <f t="shared" ca="1" si="30"/>
        <v>0</v>
      </c>
      <c r="AA308" s="63">
        <f t="shared" ca="1" si="32"/>
        <v>23.216702025549754</v>
      </c>
      <c r="AB308" s="63">
        <f t="shared" ca="1" si="33"/>
        <v>23.216702025549754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45689</v>
      </c>
      <c r="K309">
        <f ca="1"/>
        <v>21.567836093964679</v>
      </c>
      <c r="L309">
        <f ca="1"/>
        <v>1.1196736741251918</v>
      </c>
      <c r="M309">
        <f ca="1"/>
        <v>7.4336222542271457E-2</v>
      </c>
      <c r="N309">
        <f ca="1"/>
        <v>0.46529323934519262</v>
      </c>
      <c r="O309">
        <f ca="1"/>
        <v>0</v>
      </c>
      <c r="P309">
        <f ca="1"/>
        <v>24.407533643311591</v>
      </c>
      <c r="Q309">
        <f ca="1"/>
        <v>22.584893143973389</v>
      </c>
      <c r="R309">
        <f ca="1"/>
        <v>0</v>
      </c>
      <c r="S309">
        <f ca="1"/>
        <v>0.41310249447725361</v>
      </c>
      <c r="T309">
        <f ca="1"/>
        <v>0</v>
      </c>
      <c r="U309">
        <f ca="1"/>
        <v>0</v>
      </c>
      <c r="V309">
        <f ca="1"/>
        <v>0.90861957423435857</v>
      </c>
      <c r="X309" s="2">
        <f t="shared" ca="1" si="29"/>
        <v>45689</v>
      </c>
      <c r="Y309">
        <f t="shared" ca="1" si="30"/>
        <v>0</v>
      </c>
      <c r="AA309" s="63">
        <f t="shared" ca="1" si="32"/>
        <v>22.687509768089871</v>
      </c>
      <c r="AB309" s="63">
        <f t="shared" ca="1" si="33"/>
        <v>22.687509768089871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45690</v>
      </c>
      <c r="K310">
        <f ca="1"/>
        <v>20.969262537173474</v>
      </c>
      <c r="L310">
        <f ca="1"/>
        <v>1.1532659269612502</v>
      </c>
      <c r="M310">
        <f ca="1"/>
        <v>7.8136582443381286E-2</v>
      </c>
      <c r="N310">
        <f ca="1"/>
        <v>0.47655578772666257</v>
      </c>
      <c r="O310">
        <f ca="1"/>
        <v>0</v>
      </c>
      <c r="P310">
        <f ca="1"/>
        <v>25.560799570272842</v>
      </c>
      <c r="Q310">
        <f ca="1"/>
        <v>23.652038563401813</v>
      </c>
      <c r="R310">
        <f ca="1"/>
        <v>0</v>
      </c>
      <c r="S310">
        <f ca="1"/>
        <v>0.44409143268212709</v>
      </c>
      <c r="T310">
        <f ca="1"/>
        <v>0</v>
      </c>
      <c r="U310">
        <f ca="1"/>
        <v>0</v>
      </c>
      <c r="V310">
        <f ca="1"/>
        <v>0.91887047281510403</v>
      </c>
      <c r="X310" s="2">
        <f t="shared" ca="1" si="29"/>
        <v>45690</v>
      </c>
      <c r="Y310">
        <f t="shared" ca="1" si="30"/>
        <v>0</v>
      </c>
      <c r="AA310" s="63">
        <f t="shared" ca="1" si="32"/>
        <v>22.122528464134724</v>
      </c>
      <c r="AB310" s="63">
        <f t="shared" ca="1" si="33"/>
        <v>22.122528464134724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45691</v>
      </c>
      <c r="K311">
        <f ca="1"/>
        <v>20.306514344699671</v>
      </c>
      <c r="L311">
        <f ca="1"/>
        <v>1.1865298675837259</v>
      </c>
      <c r="M311">
        <f ca="1"/>
        <v>7.1475312374985833E-2</v>
      </c>
      <c r="N311">
        <f ca="1"/>
        <v>0.45230636273493741</v>
      </c>
      <c r="O311">
        <f ca="1"/>
        <v>0</v>
      </c>
      <c r="P311">
        <f ca="1"/>
        <v>26.747329437856568</v>
      </c>
      <c r="Q311">
        <f ca="1"/>
        <v>24.749963927886757</v>
      </c>
      <c r="R311">
        <f ca="1"/>
        <v>0</v>
      </c>
      <c r="S311">
        <f ca="1"/>
        <v>0.41567712853377681</v>
      </c>
      <c r="T311">
        <f ca="1"/>
        <v>0</v>
      </c>
      <c r="U311">
        <f ca="1"/>
        <v>0</v>
      </c>
      <c r="V311">
        <f ca="1"/>
        <v>0.92796460394816083</v>
      </c>
      <c r="X311" s="2">
        <f t="shared" ca="1" si="29"/>
        <v>45691</v>
      </c>
      <c r="Y311">
        <f t="shared" ca="1" si="30"/>
        <v>0</v>
      </c>
      <c r="AA311" s="63">
        <f t="shared" ca="1" si="32"/>
        <v>21.493044212283397</v>
      </c>
      <c r="AB311" s="63">
        <f t="shared" ca="1" si="33"/>
        <v>21.493044212283397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45692</v>
      </c>
      <c r="K312">
        <f ca="1"/>
        <v>19.64627912849047</v>
      </c>
      <c r="L312">
        <f ca="1"/>
        <v>1.1933697572475523</v>
      </c>
      <c r="M312">
        <f ca="1"/>
        <v>7.5222860272827319E-2</v>
      </c>
      <c r="N312">
        <f ca="1"/>
        <v>0.45791168076552352</v>
      </c>
      <c r="O312">
        <f ca="1"/>
        <v>0</v>
      </c>
      <c r="P312">
        <f ca="1"/>
        <v>27.94069919510412</v>
      </c>
      <c r="Q312">
        <f ca="1"/>
        <v>25.854218411054138</v>
      </c>
      <c r="R312">
        <f ca="1"/>
        <v>0</v>
      </c>
      <c r="S312">
        <f ca="1"/>
        <v>0.46044564666425858</v>
      </c>
      <c r="T312">
        <f ca="1"/>
        <v>0</v>
      </c>
      <c r="U312">
        <f ca="1"/>
        <v>0</v>
      </c>
      <c r="V312">
        <f ca="1"/>
        <v>0.93586281343062883</v>
      </c>
      <c r="X312" s="2">
        <f t="shared" ca="1" si="29"/>
        <v>45692</v>
      </c>
      <c r="Y312">
        <f t="shared" ca="1" si="30"/>
        <v>0</v>
      </c>
      <c r="AA312" s="63">
        <f t="shared" ca="1" si="32"/>
        <v>20.839648885738022</v>
      </c>
      <c r="AB312" s="63">
        <f t="shared" ca="1" si="33"/>
        <v>20.839648885738022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45693</v>
      </c>
      <c r="K313">
        <f ca="1"/>
        <v>18.922424121951551</v>
      </c>
      <c r="L313">
        <f ca="1"/>
        <v>1.2702792148035904</v>
      </c>
      <c r="M313">
        <f ca="1"/>
        <v>7.6043750474052985E-2</v>
      </c>
      <c r="N313">
        <f ca="1"/>
        <v>0.4703804577906186</v>
      </c>
      <c r="O313">
        <f ca="1"/>
        <v>0</v>
      </c>
      <c r="P313">
        <f ca="1"/>
        <v>29.21097840990771</v>
      </c>
      <c r="Q313">
        <f ca="1"/>
        <v>27.029639113063954</v>
      </c>
      <c r="R313">
        <f ca="1"/>
        <v>0</v>
      </c>
      <c r="S313">
        <f ca="1"/>
        <v>0.45466377044123579</v>
      </c>
      <c r="T313">
        <f ca="1"/>
        <v>0</v>
      </c>
      <c r="U313">
        <f ca="1"/>
        <v>0</v>
      </c>
      <c r="V313">
        <f ca="1"/>
        <v>0.94311643877517293</v>
      </c>
      <c r="X313" s="2">
        <f t="shared" ca="1" si="29"/>
        <v>45693</v>
      </c>
      <c r="Y313">
        <f t="shared" ca="1" si="30"/>
        <v>0</v>
      </c>
      <c r="AA313" s="63">
        <f t="shared" ca="1" si="32"/>
        <v>20.192703336755141</v>
      </c>
      <c r="AB313" s="63">
        <f t="shared" ca="1" si="33"/>
        <v>20.192703336755141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45694</v>
      </c>
      <c r="K314">
        <f ca="1"/>
        <v>18.122410578573355</v>
      </c>
      <c r="L314">
        <f ca="1"/>
        <v>1.3104466676035571</v>
      </c>
      <c r="M314">
        <f ca="1"/>
        <v>6.7994420628693319E-2</v>
      </c>
      <c r="N314">
        <f ca="1"/>
        <v>0.44243870359666881</v>
      </c>
      <c r="O314">
        <f ca="1"/>
        <v>0</v>
      </c>
      <c r="P314">
        <f ca="1"/>
        <v>30.521425077511267</v>
      </c>
      <c r="Q314">
        <f ca="1"/>
        <v>28.242227750294511</v>
      </c>
      <c r="R314">
        <f ca="1"/>
        <v>0</v>
      </c>
      <c r="S314">
        <f ca="1"/>
        <v>0.41373362776481287</v>
      </c>
      <c r="T314">
        <f ca="1"/>
        <v>0</v>
      </c>
      <c r="U314">
        <f ca="1"/>
        <v>0</v>
      </c>
      <c r="V314">
        <f ca="1"/>
        <v>0.94955562886214384</v>
      </c>
      <c r="X314" s="2">
        <f t="shared" ca="1" si="29"/>
        <v>45694</v>
      </c>
      <c r="Y314">
        <f t="shared" ca="1" si="30"/>
        <v>0</v>
      </c>
      <c r="AA314" s="63">
        <f t="shared" ca="1" si="32"/>
        <v>19.432857246176912</v>
      </c>
      <c r="AB314" s="63">
        <f t="shared" ca="1" si="33"/>
        <v>19.432857246176912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45695</v>
      </c>
      <c r="K315">
        <f ca="1"/>
        <v>17.24897798174495</v>
      </c>
      <c r="L315">
        <f ca="1"/>
        <v>1.3674021323203327</v>
      </c>
      <c r="M315">
        <f ca="1"/>
        <v>6.3338056123583897E-2</v>
      </c>
      <c r="N315">
        <f ca="1"/>
        <v>0.43063147936834584</v>
      </c>
      <c r="O315">
        <f ca="1"/>
        <v>0</v>
      </c>
      <c r="P315">
        <f ca="1"/>
        <v>31.8888272098316</v>
      </c>
      <c r="Q315">
        <f ca="1"/>
        <v>29.507518684422095</v>
      </c>
      <c r="R315">
        <f ca="1"/>
        <v>0</v>
      </c>
      <c r="S315">
        <f ca="1"/>
        <v>0.3858954930767684</v>
      </c>
      <c r="T315">
        <f ca="1"/>
        <v>0</v>
      </c>
      <c r="U315">
        <f ca="1"/>
        <v>0</v>
      </c>
      <c r="V315">
        <f ca="1"/>
        <v>0.95533172585378401</v>
      </c>
      <c r="X315" s="2">
        <f t="shared" ca="1" si="29"/>
        <v>45695</v>
      </c>
      <c r="Y315">
        <f t="shared" ca="1" si="30"/>
        <v>0</v>
      </c>
      <c r="AA315" s="63">
        <f t="shared" ca="1" si="32"/>
        <v>18.616380114065283</v>
      </c>
      <c r="AB315" s="63">
        <f t="shared" ca="1" si="33"/>
        <v>18.616380114065283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45696</v>
      </c>
      <c r="K316">
        <f ca="1"/>
        <v>16.324812307472147</v>
      </c>
      <c r="L316">
        <f ca="1"/>
        <v>1.4163902368056007</v>
      </c>
      <c r="M316">
        <f ca="1"/>
        <v>6.2576386146773189E-2</v>
      </c>
      <c r="N316">
        <f ca="1"/>
        <v>0.42964817638602459</v>
      </c>
      <c r="O316">
        <f ca="1"/>
        <v>0</v>
      </c>
      <c r="P316">
        <f ca="1"/>
        <v>33.305217446637201</v>
      </c>
      <c r="Q316">
        <f ca="1"/>
        <v>30.81813952042728</v>
      </c>
      <c r="R316">
        <f ca="1"/>
        <v>0</v>
      </c>
      <c r="S316">
        <f ca="1"/>
        <v>0.38522742766735119</v>
      </c>
      <c r="T316">
        <f ca="1"/>
        <v>0</v>
      </c>
      <c r="U316">
        <f ca="1"/>
        <v>0</v>
      </c>
      <c r="V316">
        <f ca="1"/>
        <v>0.96046890868720358</v>
      </c>
      <c r="X316" s="2">
        <f t="shared" ca="1" si="29"/>
        <v>45696</v>
      </c>
      <c r="Y316">
        <f t="shared" ca="1" si="30"/>
        <v>0</v>
      </c>
      <c r="AA316" s="63">
        <f t="shared" ca="1" si="32"/>
        <v>17.741202544277748</v>
      </c>
      <c r="AB316" s="63">
        <f t="shared" ca="1" si="33"/>
        <v>17.741202544277748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45697</v>
      </c>
      <c r="K317">
        <f ca="1"/>
        <v>15.330217592909509</v>
      </c>
      <c r="L317">
        <f ca="1"/>
        <v>1.4778137467609653</v>
      </c>
      <c r="M317">
        <f ca="1"/>
        <v>5.9509481548943199E-2</v>
      </c>
      <c r="N317">
        <f ca="1"/>
        <v>0.42370955064938587</v>
      </c>
      <c r="O317">
        <f ca="1"/>
        <v>0</v>
      </c>
      <c r="P317">
        <f ca="1"/>
        <v>34.783031193398166</v>
      </c>
      <c r="Q317">
        <f ca="1"/>
        <v>32.185597045839209</v>
      </c>
      <c r="R317">
        <f ca="1"/>
        <v>0</v>
      </c>
      <c r="S317">
        <f ca="1"/>
        <v>0.36638377872610589</v>
      </c>
      <c r="T317">
        <f ca="1"/>
        <v>0</v>
      </c>
      <c r="U317">
        <f ca="1"/>
        <v>0</v>
      </c>
      <c r="V317">
        <f ca="1"/>
        <v>0.96506610084774114</v>
      </c>
      <c r="X317" s="2">
        <f t="shared" ca="1" si="29"/>
        <v>45697</v>
      </c>
      <c r="Y317">
        <f t="shared" ca="1" si="30"/>
        <v>0</v>
      </c>
      <c r="AA317" s="63">
        <f t="shared" ca="1" si="32"/>
        <v>16.808031339670475</v>
      </c>
      <c r="AB317" s="63">
        <f t="shared" ca="1" si="33"/>
        <v>16.808031339670475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45698</v>
      </c>
      <c r="K318">
        <f ca="1"/>
        <v>14.258488132809694</v>
      </c>
      <c r="L318">
        <f ca="1"/>
        <v>1.5605297273664931</v>
      </c>
      <c r="M318">
        <f ca="1"/>
        <v>5.8871349440835274E-2</v>
      </c>
      <c r="N318">
        <f ca="1"/>
        <v>0.42992891782584164</v>
      </c>
      <c r="O318">
        <f ca="1"/>
        <v>0</v>
      </c>
      <c r="P318">
        <f ca="1"/>
        <v>36.343560920764659</v>
      </c>
      <c r="Q318">
        <f ca="1"/>
        <v>33.62959370914912</v>
      </c>
      <c r="R318">
        <f ca="1"/>
        <v>0</v>
      </c>
      <c r="S318">
        <f ca="1"/>
        <v>0.35654856873322366</v>
      </c>
      <c r="T318">
        <f ca="1"/>
        <v>0</v>
      </c>
      <c r="U318">
        <f ca="1"/>
        <v>0</v>
      </c>
      <c r="V318">
        <f ca="1"/>
        <v>0.96921944542066951</v>
      </c>
      <c r="X318" s="2">
        <f t="shared" ca="1" si="29"/>
        <v>45698</v>
      </c>
      <c r="Y318">
        <f t="shared" ca="1" si="30"/>
        <v>0</v>
      </c>
      <c r="AA318" s="63">
        <f t="shared" ca="1" si="32"/>
        <v>15.819017860176187</v>
      </c>
      <c r="AB318" s="63">
        <f t="shared" ca="1" si="33"/>
        <v>15.819017860176187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45699</v>
      </c>
      <c r="K319">
        <f ca="1"/>
        <v>13.125935242749957</v>
      </c>
      <c r="L319">
        <f ca="1"/>
        <v>1.6320964249563374</v>
      </c>
      <c r="M319">
        <f ca="1"/>
        <v>6.0182127412467423E-2</v>
      </c>
      <c r="N319">
        <f ca="1"/>
        <v>0.4393614074841326</v>
      </c>
      <c r="O319">
        <f ca="1"/>
        <v>0</v>
      </c>
      <c r="P319">
        <f ca="1"/>
        <v>37.975657345720997</v>
      </c>
      <c r="Q319">
        <f ca="1"/>
        <v>35.139812803670402</v>
      </c>
      <c r="R319">
        <f ca="1"/>
        <v>0</v>
      </c>
      <c r="S319">
        <f ca="1"/>
        <v>0.36320598305596646</v>
      </c>
      <c r="T319">
        <f ca="1"/>
        <v>0</v>
      </c>
      <c r="U319">
        <f ca="1"/>
        <v>0</v>
      </c>
      <c r="V319">
        <f ca="1"/>
        <v>0.97292621408323288</v>
      </c>
      <c r="X319" s="2">
        <f t="shared" ca="1" si="29"/>
        <v>45699</v>
      </c>
      <c r="Y319">
        <f t="shared" ca="1" si="30"/>
        <v>0</v>
      </c>
      <c r="AA319" s="63">
        <f t="shared" ca="1" si="32"/>
        <v>14.758031667706295</v>
      </c>
      <c r="AB319" s="63">
        <f t="shared" ca="1" si="33"/>
        <v>14.758031667706295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45700</v>
      </c>
      <c r="K320">
        <f ca="1"/>
        <v>11.946955575617963</v>
      </c>
      <c r="L320">
        <f ca="1"/>
        <v>1.6834989585223425</v>
      </c>
      <c r="M320">
        <f ca="1"/>
        <v>6.114560542442149E-2</v>
      </c>
      <c r="N320">
        <f ca="1"/>
        <v>0.44337368596592763</v>
      </c>
      <c r="O320">
        <f ca="1"/>
        <v>0</v>
      </c>
      <c r="P320">
        <f ca="1"/>
        <v>39.659156304243339</v>
      </c>
      <c r="Q320">
        <f ca="1"/>
        <v>36.697595930874513</v>
      </c>
      <c r="R320">
        <f ca="1"/>
        <v>0</v>
      </c>
      <c r="S320">
        <f ca="1"/>
        <v>0.37462609280703674</v>
      </c>
      <c r="T320">
        <f ca="1"/>
        <v>0</v>
      </c>
      <c r="U320">
        <f ca="1"/>
        <v>0</v>
      </c>
      <c r="V320">
        <f ca="1"/>
        <v>0.97618672031037979</v>
      </c>
      <c r="X320" s="2">
        <f t="shared" ca="1" si="29"/>
        <v>45700</v>
      </c>
      <c r="Y320">
        <f t="shared" ca="1" si="30"/>
        <v>0</v>
      </c>
      <c r="AA320" s="63">
        <f t="shared" ca="1" si="32"/>
        <v>13.630454534140306</v>
      </c>
      <c r="AB320" s="63">
        <f t="shared" ca="1" si="33"/>
        <v>13.630454534140306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45701</v>
      </c>
      <c r="K321">
        <f ca="1"/>
        <v>10.701865254583614</v>
      </c>
      <c r="L321">
        <f ca="1"/>
        <v>1.7232530639228827</v>
      </c>
      <c r="M321">
        <f ca="1"/>
        <v>5.5369735622225136E-2</v>
      </c>
      <c r="N321">
        <f ca="1"/>
        <v>0.42279300726630953</v>
      </c>
      <c r="O321">
        <f ca="1"/>
        <v>0</v>
      </c>
      <c r="P321">
        <f ca="1"/>
        <v>41.382409368166222</v>
      </c>
      <c r="Q321">
        <f ca="1"/>
        <v>38.292164512751214</v>
      </c>
      <c r="R321">
        <f ca="1"/>
        <v>0</v>
      </c>
      <c r="S321">
        <f ca="1"/>
        <v>0.34749601295266858</v>
      </c>
      <c r="T321">
        <f ca="1"/>
        <v>0</v>
      </c>
      <c r="U321">
        <f ca="1"/>
        <v>0</v>
      </c>
      <c r="V321">
        <f ca="1"/>
        <v>0.97903569091620557</v>
      </c>
      <c r="X321" s="2">
        <f t="shared" ca="1" si="29"/>
        <v>45701</v>
      </c>
      <c r="Y321">
        <f t="shared" ca="1" si="30"/>
        <v>0</v>
      </c>
      <c r="AA321" s="63">
        <f t="shared" ca="1" si="32"/>
        <v>12.425118318506497</v>
      </c>
      <c r="AB321" s="63">
        <f t="shared" ca="1" si="33"/>
        <v>12.425118318506497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45702</v>
      </c>
      <c r="K322">
        <f ca="1"/>
        <v>9.397695747360638</v>
      </c>
      <c r="L322">
        <f ca="1"/>
        <v>1.7820604229362971</v>
      </c>
      <c r="M322">
        <f ca="1"/>
        <v>5.4800850548101465E-2</v>
      </c>
      <c r="N322">
        <f ca="1"/>
        <v>0.42309006516521996</v>
      </c>
      <c r="O322">
        <f ca="1"/>
        <v>0</v>
      </c>
      <c r="P322">
        <f ca="1"/>
        <v>43.164469791102519</v>
      </c>
      <c r="Q322">
        <f ca="1"/>
        <v>39.941148995013691</v>
      </c>
      <c r="R322">
        <f ca="1"/>
        <v>0</v>
      </c>
      <c r="S322">
        <f ca="1"/>
        <v>0.34689170196210029</v>
      </c>
      <c r="T322">
        <f ca="1"/>
        <v>0</v>
      </c>
      <c r="U322">
        <f ca="1"/>
        <v>0</v>
      </c>
      <c r="V322">
        <f ca="1"/>
        <v>0.98155267059401097</v>
      </c>
      <c r="X322" s="2">
        <f t="shared" ca="1" si="29"/>
        <v>45702</v>
      </c>
      <c r="Y322">
        <f t="shared" ca="1" si="30"/>
        <v>0</v>
      </c>
      <c r="AA322" s="63">
        <f t="shared" ca="1" si="32"/>
        <v>11.179756170296935</v>
      </c>
      <c r="AB322" s="63">
        <f t="shared" ca="1" si="33"/>
        <v>11.179756170296935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45703</v>
      </c>
      <c r="K323">
        <f ca="1"/>
        <v>8.0610803647180607</v>
      </c>
      <c r="L323">
        <f ca="1"/>
        <v>1.8175377914793813</v>
      </c>
      <c r="M323">
        <f ca="1"/>
        <v>5.6008680759042306E-2</v>
      </c>
      <c r="N323">
        <f ca="1"/>
        <v>0.42491372807776101</v>
      </c>
      <c r="O323">
        <f ca="1"/>
        <v>0</v>
      </c>
      <c r="P323">
        <f ca="1"/>
        <v>44.9820075825819</v>
      </c>
      <c r="Q323">
        <f ca="1"/>
        <v>41.622961561804679</v>
      </c>
      <c r="R323">
        <f ca="1"/>
        <v>0</v>
      </c>
      <c r="S323">
        <f ca="1"/>
        <v>0.36398835543218006</v>
      </c>
      <c r="T323">
        <f ca="1"/>
        <v>0</v>
      </c>
      <c r="U323">
        <f ca="1"/>
        <v>0</v>
      </c>
      <c r="V323">
        <f ca="1"/>
        <v>0.98374799782763356</v>
      </c>
      <c r="X323" s="2">
        <f t="shared" ca="1" si="29"/>
        <v>45703</v>
      </c>
      <c r="Y323">
        <f t="shared" ca="1" si="30"/>
        <v>0</v>
      </c>
      <c r="AA323" s="63">
        <f t="shared" ca="1" si="32"/>
        <v>9.878618156197442</v>
      </c>
      <c r="AB323" s="63">
        <f t="shared" ca="1" si="33"/>
        <v>9.878618156197442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45704</v>
      </c>
      <c r="K324">
        <f ca="1"/>
        <v>6.6717008549813244</v>
      </c>
      <c r="L324">
        <f ca="1"/>
        <v>1.8639698014600228</v>
      </c>
      <c r="M324">
        <f ca="1"/>
        <v>5.4511628060389228E-2</v>
      </c>
      <c r="N324">
        <f ca="1"/>
        <v>0.42007866366289703</v>
      </c>
      <c r="O324">
        <f ca="1"/>
        <v>0</v>
      </c>
      <c r="P324">
        <f ca="1"/>
        <v>46.845977384041923</v>
      </c>
      <c r="Q324">
        <f ca="1"/>
        <v>43.347738813155686</v>
      </c>
      <c r="R324">
        <f ca="1"/>
        <v>0</v>
      </c>
      <c r="S324">
        <f ca="1"/>
        <v>0.36055114324352389</v>
      </c>
      <c r="T324">
        <f ca="1"/>
        <v>0</v>
      </c>
      <c r="U324">
        <f ca="1"/>
        <v>0</v>
      </c>
      <c r="V324">
        <f ca="1"/>
        <v>0.98567647994877539</v>
      </c>
      <c r="X324" s="2">
        <f t="shared" ca="1" si="29"/>
        <v>45704</v>
      </c>
      <c r="Y324">
        <f t="shared" ca="1" si="30"/>
        <v>0</v>
      </c>
      <c r="AA324" s="63">
        <f t="shared" ca="1" si="32"/>
        <v>8.5356706564413471</v>
      </c>
      <c r="AB324" s="63">
        <f t="shared" ca="1" si="33"/>
        <v>8.5356706564413471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45705</v>
      </c>
      <c r="K325">
        <f ca="1"/>
        <v>5.2570113354155001</v>
      </c>
      <c r="L325">
        <f ca="1"/>
        <v>1.9217126145757888</v>
      </c>
      <c r="M325">
        <f ca="1"/>
        <v>6.0990490978262812E-2</v>
      </c>
      <c r="N325">
        <f ca="1"/>
        <v>0.44603260403170147</v>
      </c>
      <c r="O325">
        <f ca="1"/>
        <v>0</v>
      </c>
      <c r="P325">
        <f ca="1"/>
        <v>48.767689998617712</v>
      </c>
      <c r="Q325">
        <f ca="1"/>
        <v>45.125946914305352</v>
      </c>
      <c r="R325">
        <f ca="1"/>
        <v>0</v>
      </c>
      <c r="S325">
        <f ca="1"/>
        <v>0.40751339730642694</v>
      </c>
      <c r="T325">
        <f ca="1"/>
        <v>0</v>
      </c>
      <c r="U325">
        <f ca="1"/>
        <v>0</v>
      </c>
      <c r="V325">
        <f ca="1"/>
        <v>0.98738072168461277</v>
      </c>
      <c r="X325" s="2">
        <f t="shared" ca="1" si="29"/>
        <v>45705</v>
      </c>
      <c r="Y325">
        <f t="shared" ca="1" si="30"/>
        <v>0</v>
      </c>
      <c r="AA325" s="63">
        <f t="shared" ca="1" si="32"/>
        <v>7.1787239499912889</v>
      </c>
      <c r="AB325" s="63">
        <f t="shared" ca="1" si="33"/>
        <v>7.1787239499912889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45706</v>
      </c>
      <c r="K326">
        <f ca="1"/>
        <v>3.7656246002882234</v>
      </c>
      <c r="L326">
        <f ca="1"/>
        <v>1.9920070250943311</v>
      </c>
      <c r="M326">
        <f ca="1"/>
        <v>5.8569973384599905E-2</v>
      </c>
      <c r="N326">
        <f ca="1"/>
        <v>0.44205031658245436</v>
      </c>
      <c r="O326">
        <f ca="1"/>
        <v>0</v>
      </c>
      <c r="P326">
        <f ca="1"/>
        <v>50.759697023712043</v>
      </c>
      <c r="Q326">
        <f ca="1"/>
        <v>46.969200168045241</v>
      </c>
      <c r="R326">
        <f ca="1"/>
        <v>0</v>
      </c>
      <c r="S326">
        <f ca="1"/>
        <v>0.39236365239650445</v>
      </c>
      <c r="T326">
        <f ca="1"/>
        <v>0</v>
      </c>
      <c r="U326">
        <f ca="1"/>
        <v>0</v>
      </c>
      <c r="V326">
        <f ca="1"/>
        <v>0.9888947201856223</v>
      </c>
      <c r="X326" s="2">
        <f t="shared" ca="1" si="29"/>
        <v>45706</v>
      </c>
      <c r="Y326">
        <f t="shared" ca="1" si="30"/>
        <v>0</v>
      </c>
      <c r="AA326" s="63">
        <f t="shared" ca="1" si="32"/>
        <v>5.7576316253825546</v>
      </c>
      <c r="AB326" s="63">
        <f t="shared" ca="1" si="33"/>
        <v>5.7576316253825546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ref="I327:I390" ca="1" si="35">AND(IF(J327&gt;($J$3-1),TRUE,FALSE),IF(J327&lt;($J$4+1),TRUE,FALSE))</f>
        <v>0</v>
      </c>
      <c r="J327" s="2">
        <f ca="1"/>
        <v>45707</v>
      </c>
      <c r="K327">
        <f ca="1"/>
        <v>2.2087242771642321</v>
      </c>
      <c r="L327">
        <f ca="1"/>
        <v>2.0482835147258882</v>
      </c>
      <c r="M327">
        <f ca="1"/>
        <v>5.6050965453259494E-2</v>
      </c>
      <c r="N327">
        <f ca="1"/>
        <v>0.43533222614863704</v>
      </c>
      <c r="O327">
        <f ca="1"/>
        <v>0</v>
      </c>
      <c r="P327">
        <f ca="1"/>
        <v>52.807980538437931</v>
      </c>
      <c r="Q327">
        <f ca="1"/>
        <v>48.864527446281848</v>
      </c>
      <c r="R327">
        <f ca="1"/>
        <v>0</v>
      </c>
      <c r="S327">
        <f ca="1"/>
        <v>0.38009321043530825</v>
      </c>
      <c r="T327">
        <f ca="1"/>
        <v>0</v>
      </c>
      <c r="U327">
        <f ca="1"/>
        <v>0</v>
      </c>
      <c r="V327">
        <f ca="1"/>
        <v>0.99022887417704553</v>
      </c>
      <c r="X327" s="2">
        <f t="shared" ref="X327:X390" ca="1" si="36">IFERROR(J327,$X$5)</f>
        <v>45707</v>
      </c>
      <c r="Y327">
        <f t="shared" ref="Y327:Y390" ca="1" si="37">IFERROR(O327,0)</f>
        <v>0</v>
      </c>
      <c r="AA327" s="63">
        <f t="shared" ca="1" si="32"/>
        <v>4.2570077918901204</v>
      </c>
      <c r="AB327" s="63">
        <f t="shared" ca="1" si="33"/>
        <v>4.2570077918901204</v>
      </c>
      <c r="AC327" s="3">
        <f t="shared" ca="1" si="34"/>
        <v>0</v>
      </c>
    </row>
    <row r="328" spans="8:29">
      <c r="H328" t="b">
        <f t="shared" ref="H328:H391" ca="1" si="38">IF(J328&lt;$J$4,TRUE,FALSE)</f>
        <v>0</v>
      </c>
      <c r="I328" t="b">
        <f t="shared" ca="1" si="35"/>
        <v>0</v>
      </c>
      <c r="J328" s="2">
        <f ca="1"/>
        <v>45708</v>
      </c>
      <c r="K328">
        <f ca="1"/>
        <v>0.61200004568666255</v>
      </c>
      <c r="L328">
        <f ca="1"/>
        <v>2.1140026066461033</v>
      </c>
      <c r="M328">
        <f ca="1"/>
        <v>6.0529429347141672E-2</v>
      </c>
      <c r="N328">
        <f ca="1"/>
        <v>0.45674894582139203</v>
      </c>
      <c r="O328">
        <f ca="1"/>
        <v>0</v>
      </c>
      <c r="P328">
        <f ca="1"/>
        <v>54.921983145084035</v>
      </c>
      <c r="Q328">
        <f ca="1"/>
        <v>50.82066622191217</v>
      </c>
      <c r="R328">
        <f ca="1"/>
        <v>0</v>
      </c>
      <c r="S328">
        <f ca="1"/>
        <v>0.4131612905255207</v>
      </c>
      <c r="T328">
        <f ca="1"/>
        <v>0</v>
      </c>
      <c r="U328">
        <f ca="1"/>
        <v>0</v>
      </c>
      <c r="V328">
        <f ca="1"/>
        <v>0.99140924682271603</v>
      </c>
      <c r="X328" s="2">
        <f t="shared" ca="1" si="36"/>
        <v>45708</v>
      </c>
      <c r="Y328">
        <f t="shared" ca="1" si="37"/>
        <v>0</v>
      </c>
      <c r="AA328" s="63">
        <f t="shared" ca="1" si="32"/>
        <v>2.7260026523327658</v>
      </c>
      <c r="AB328" s="63">
        <f t="shared" ca="1" si="33"/>
        <v>2.7260026523327658</v>
      </c>
      <c r="AC328" s="3">
        <f t="shared" ca="1" si="34"/>
        <v>0</v>
      </c>
    </row>
    <row r="329" spans="8:29">
      <c r="H329" t="b">
        <f t="shared" ca="1" si="38"/>
        <v>0</v>
      </c>
      <c r="I329" t="b">
        <f t="shared" ca="1" si="35"/>
        <v>0</v>
      </c>
      <c r="J329" s="2">
        <f ca="1"/>
        <v>45709</v>
      </c>
      <c r="K329">
        <f ca="1"/>
        <v>-1.0257766861401858</v>
      </c>
      <c r="L329">
        <f ca="1"/>
        <v>2.1618518980995987</v>
      </c>
      <c r="M329">
        <f ca="1"/>
        <v>6.1427098662043988E-2</v>
      </c>
      <c r="N329">
        <f ca="1"/>
        <v>0.46264806761070632</v>
      </c>
      <c r="O329">
        <f ca="1"/>
        <v>0</v>
      </c>
      <c r="P329">
        <f ca="1"/>
        <v>57.083835043183633</v>
      </c>
      <c r="Q329">
        <f ca="1"/>
        <v>52.821081127621213</v>
      </c>
      <c r="R329">
        <f ca="1"/>
        <v>0</v>
      </c>
      <c r="S329">
        <f ca="1"/>
        <v>0.42718509606629396</v>
      </c>
      <c r="T329">
        <f ca="1"/>
        <v>0</v>
      </c>
      <c r="U329">
        <f ca="1"/>
        <v>0</v>
      </c>
      <c r="V329">
        <f ca="1"/>
        <v>0.9924446205162486</v>
      </c>
      <c r="X329" s="2">
        <f t="shared" ca="1" si="36"/>
        <v>45709</v>
      </c>
      <c r="Y329">
        <f t="shared" ca="1" si="37"/>
        <v>0</v>
      </c>
      <c r="AA329" s="63">
        <f t="shared" ca="1" si="32"/>
        <v>1.1360752119594129</v>
      </c>
      <c r="AB329" s="63">
        <f t="shared" ca="1" si="33"/>
        <v>1.1360752119594129</v>
      </c>
      <c r="AC329" s="3">
        <f t="shared" ca="1" si="34"/>
        <v>0</v>
      </c>
    </row>
    <row r="330" spans="8:29">
      <c r="H330" t="b">
        <f t="shared" ca="1" si="38"/>
        <v>0</v>
      </c>
      <c r="I330" t="b">
        <f t="shared" ca="1" si="35"/>
        <v>0</v>
      </c>
      <c r="J330" s="2">
        <f ca="1"/>
        <v>45710</v>
      </c>
      <c r="K330">
        <f ca="1"/>
        <v>-2.7129637095642849</v>
      </c>
      <c r="L330">
        <f ca="1"/>
        <v>2.1921520505930872</v>
      </c>
      <c r="M330">
        <f ca="1"/>
        <v>5.766615177540757E-2</v>
      </c>
      <c r="N330">
        <f ca="1"/>
        <v>0.44729887539358071</v>
      </c>
      <c r="O330">
        <f ca="1"/>
        <v>0</v>
      </c>
      <c r="P330">
        <f ca="1"/>
        <v>59.27598709377672</v>
      </c>
      <c r="Q330">
        <f ca="1"/>
        <v>54.849533512098589</v>
      </c>
      <c r="R330">
        <f ca="1"/>
        <v>0</v>
      </c>
      <c r="S330">
        <f ca="1"/>
        <v>0.41260886453808571</v>
      </c>
      <c r="T330">
        <f ca="1"/>
        <v>0</v>
      </c>
      <c r="U330">
        <f ca="1"/>
        <v>0</v>
      </c>
      <c r="V330">
        <f ca="1"/>
        <v>0.99334680841133705</v>
      </c>
      <c r="X330" s="2">
        <f t="shared" ca="1" si="36"/>
        <v>45710</v>
      </c>
      <c r="Y330">
        <f t="shared" ca="1" si="37"/>
        <v>0</v>
      </c>
      <c r="AA330" s="63">
        <f t="shared" ca="1" si="32"/>
        <v>-0.52081165897119752</v>
      </c>
      <c r="AB330" s="63">
        <f t="shared" ca="1" si="33"/>
        <v>-0.52081165897119774</v>
      </c>
      <c r="AC330" s="3">
        <f t="shared" ca="1" si="34"/>
        <v>0</v>
      </c>
    </row>
    <row r="331" spans="8:29">
      <c r="H331" t="b">
        <f t="shared" ca="1" si="38"/>
        <v>0</v>
      </c>
      <c r="I331" t="b">
        <f t="shared" ca="1" si="35"/>
        <v>0</v>
      </c>
      <c r="J331" s="2">
        <f ca="1"/>
        <v>45711</v>
      </c>
      <c r="K331">
        <f ca="1"/>
        <v>-4.4416695208785768</v>
      </c>
      <c r="L331">
        <f ca="1"/>
        <v>2.2433694527801364</v>
      </c>
      <c r="M331">
        <f ca="1"/>
        <v>5.8922227023931129E-2</v>
      </c>
      <c r="N331">
        <f ca="1"/>
        <v>0.45574141444191363</v>
      </c>
      <c r="O331">
        <f ca="1"/>
        <v>0</v>
      </c>
      <c r="P331">
        <f ca="1"/>
        <v>61.519356546556857</v>
      </c>
      <c r="Q331">
        <f ca="1"/>
        <v>56.925378622625658</v>
      </c>
      <c r="R331">
        <f ca="1"/>
        <v>0</v>
      </c>
      <c r="S331">
        <f ca="1"/>
        <v>0.42785304622773229</v>
      </c>
      <c r="T331">
        <f ca="1"/>
        <v>0</v>
      </c>
      <c r="U331">
        <f ca="1"/>
        <v>0</v>
      </c>
      <c r="V331">
        <f ca="1"/>
        <v>0.99414151406853424</v>
      </c>
      <c r="X331" s="2">
        <f t="shared" ca="1" si="36"/>
        <v>45711</v>
      </c>
      <c r="Y331">
        <f t="shared" ca="1" si="37"/>
        <v>0</v>
      </c>
      <c r="AA331" s="63">
        <f t="shared" ca="1" si="32"/>
        <v>-2.1983000680984404</v>
      </c>
      <c r="AB331" s="63">
        <f t="shared" ca="1" si="33"/>
        <v>-2.1983000680984404</v>
      </c>
      <c r="AC331" s="3">
        <f t="shared" ca="1" si="34"/>
        <v>0</v>
      </c>
    </row>
    <row r="332" spans="8:29">
      <c r="H332" t="b">
        <f t="shared" ca="1" si="38"/>
        <v>0</v>
      </c>
      <c r="I332" t="b">
        <f t="shared" ca="1" si="35"/>
        <v>0</v>
      </c>
      <c r="J332" s="2">
        <f ca="1"/>
        <v>45712</v>
      </c>
      <c r="K332">
        <f ca="1"/>
        <v>-6.1938410144443363</v>
      </c>
      <c r="L332">
        <f ca="1"/>
        <v>2.2426807617860902</v>
      </c>
      <c r="M332">
        <f ca="1"/>
        <v>5.4952125733674251E-2</v>
      </c>
      <c r="N332">
        <f ca="1"/>
        <v>0.43555714248665611</v>
      </c>
      <c r="O332">
        <f ca="1"/>
        <v>0</v>
      </c>
      <c r="P332">
        <f ca="1"/>
        <v>63.762037308342947</v>
      </c>
      <c r="Q332">
        <f ca="1"/>
        <v>59.000586470382267</v>
      </c>
      <c r="R332">
        <f ca="1"/>
        <v>0</v>
      </c>
      <c r="S332">
        <f ca="1"/>
        <v>0.41694124378883896</v>
      </c>
      <c r="T332">
        <f ca="1"/>
        <v>0</v>
      </c>
      <c r="U332">
        <f ca="1"/>
        <v>0</v>
      </c>
      <c r="V332">
        <f ca="1"/>
        <v>0.99482707048304342</v>
      </c>
      <c r="X332" s="2">
        <f t="shared" ca="1" si="36"/>
        <v>45712</v>
      </c>
      <c r="Y332">
        <f t="shared" ca="1" si="37"/>
        <v>0</v>
      </c>
      <c r="AA332" s="63">
        <f t="shared" ref="AA332:AA395" ca="1" si="39">K331+M332+N332+O332</f>
        <v>-3.9511602526582466</v>
      </c>
      <c r="AB332" s="63">
        <f t="shared" ref="AB332:AB395" ca="1" si="40">K332+L332+R332</f>
        <v>-3.9511602526582461</v>
      </c>
      <c r="AC332" s="3">
        <f t="shared" ref="AC332:AC395" ca="1" si="41">AB332-AA332</f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45713</v>
      </c>
      <c r="K333">
        <f ca="1"/>
        <v>-7.9644229808520288</v>
      </c>
      <c r="L333">
        <f ca="1"/>
        <v>2.2300451264476706</v>
      </c>
      <c r="M333">
        <f ca="1"/>
        <v>4.9900481938230712E-2</v>
      </c>
      <c r="N333">
        <f ca="1"/>
        <v>0.40956267810174718</v>
      </c>
      <c r="O333">
        <f ca="1"/>
        <v>0</v>
      </c>
      <c r="P333">
        <f ca="1"/>
        <v>65.992082434790618</v>
      </c>
      <c r="Q333">
        <f ca="1"/>
        <v>61.064102252971836</v>
      </c>
      <c r="R333">
        <f ca="1"/>
        <v>0</v>
      </c>
      <c r="S333">
        <f ca="1"/>
        <v>0.39696170105038669</v>
      </c>
      <c r="T333">
        <f ca="1"/>
        <v>0</v>
      </c>
      <c r="U333">
        <f ca="1"/>
        <v>0</v>
      </c>
      <c r="V333">
        <f ca="1"/>
        <v>0.99541791143526104</v>
      </c>
      <c r="X333" s="2">
        <f t="shared" ca="1" si="36"/>
        <v>45713</v>
      </c>
      <c r="Y333">
        <f t="shared" ca="1" si="37"/>
        <v>0</v>
      </c>
      <c r="AA333" s="63">
        <f t="shared" ca="1" si="39"/>
        <v>-5.7343778544043582</v>
      </c>
      <c r="AB333" s="63">
        <f t="shared" ca="1" si="40"/>
        <v>-5.7343778544043582</v>
      </c>
      <c r="AC333" s="3">
        <f t="shared" ca="1" si="41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45714</v>
      </c>
      <c r="K334">
        <f ca="1"/>
        <v>-9.7911712552395151</v>
      </c>
      <c r="L334">
        <f ca="1"/>
        <v>2.2877639421955678</v>
      </c>
      <c r="M334">
        <f ca="1"/>
        <v>4.933270266053924E-2</v>
      </c>
      <c r="N334">
        <f ca="1"/>
        <v>0.41168296514754232</v>
      </c>
      <c r="O334">
        <f ca="1"/>
        <v>0</v>
      </c>
      <c r="P334">
        <f ca="1"/>
        <v>68.279846376986185</v>
      </c>
      <c r="Q334">
        <f ca="1"/>
        <v>63.181026680003455</v>
      </c>
      <c r="R334">
        <f ca="1"/>
        <v>0</v>
      </c>
      <c r="S334">
        <f ca="1"/>
        <v>0.39455189945889679</v>
      </c>
      <c r="T334">
        <f ca="1"/>
        <v>0</v>
      </c>
      <c r="U334">
        <f ca="1"/>
        <v>0</v>
      </c>
      <c r="V334">
        <f ca="1"/>
        <v>0.9959445031872568</v>
      </c>
      <c r="X334" s="2">
        <f t="shared" ca="1" si="36"/>
        <v>45714</v>
      </c>
      <c r="Y334">
        <f t="shared" ca="1" si="37"/>
        <v>0</v>
      </c>
      <c r="AA334" s="63">
        <f t="shared" ca="1" si="39"/>
        <v>-7.5034073130439474</v>
      </c>
      <c r="AB334" s="63">
        <f t="shared" ca="1" si="40"/>
        <v>-7.5034073130439474</v>
      </c>
      <c r="AC334" s="3">
        <f t="shared" ca="1" si="41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45715</v>
      </c>
      <c r="K335">
        <f ca="1"/>
        <v>-11.678758654796537</v>
      </c>
      <c r="L335">
        <f ca="1"/>
        <v>2.3447681691841638</v>
      </c>
      <c r="M335">
        <f ca="1"/>
        <v>4.7718200119678755E-2</v>
      </c>
      <c r="N335">
        <f ca="1"/>
        <v>0.40946256950746224</v>
      </c>
      <c r="O335">
        <f ca="1"/>
        <v>0</v>
      </c>
      <c r="P335">
        <f ca="1"/>
        <v>70.624614546170349</v>
      </c>
      <c r="Q335">
        <f ca="1"/>
        <v>65.350698524865422</v>
      </c>
      <c r="R335">
        <f ca="1"/>
        <v>0</v>
      </c>
      <c r="S335">
        <f ca="1"/>
        <v>0.38370004634756671</v>
      </c>
      <c r="T335">
        <f ca="1"/>
        <v>0</v>
      </c>
      <c r="U335">
        <f ca="1"/>
        <v>0</v>
      </c>
      <c r="V335">
        <f ca="1"/>
        <v>0.99641341420349061</v>
      </c>
      <c r="X335" s="2">
        <f t="shared" ca="1" si="36"/>
        <v>45715</v>
      </c>
      <c r="Y335">
        <f t="shared" ca="1" si="37"/>
        <v>0</v>
      </c>
      <c r="AA335" s="63">
        <f t="shared" ca="1" si="39"/>
        <v>-9.3339904856123734</v>
      </c>
      <c r="AB335" s="63">
        <f t="shared" ca="1" si="40"/>
        <v>-9.3339904856123734</v>
      </c>
      <c r="AC335" s="3">
        <f t="shared" ca="1" si="41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45716</v>
      </c>
      <c r="K336">
        <f ca="1"/>
        <v>-13.566228704042722</v>
      </c>
      <c r="L336">
        <f ca="1"/>
        <v>2.3514609624370451</v>
      </c>
      <c r="M336">
        <f ca="1"/>
        <v>4.9344096093882683E-2</v>
      </c>
      <c r="N336">
        <f ca="1"/>
        <v>0.41464681709697804</v>
      </c>
      <c r="O336">
        <f ca="1"/>
        <v>0</v>
      </c>
      <c r="P336">
        <f ca="1"/>
        <v>72.976075508607394</v>
      </c>
      <c r="Q336">
        <f ca="1"/>
        <v>67.526563376471131</v>
      </c>
      <c r="R336">
        <f ca="1"/>
        <v>0</v>
      </c>
      <c r="S336">
        <f ca="1"/>
        <v>0.40969591727992566</v>
      </c>
      <c r="T336">
        <f ca="1"/>
        <v>0</v>
      </c>
      <c r="U336">
        <f ca="1"/>
        <v>0</v>
      </c>
      <c r="V336">
        <f ca="1"/>
        <v>0.99682259033842235</v>
      </c>
      <c r="X336" s="2">
        <f t="shared" ca="1" si="36"/>
        <v>45716</v>
      </c>
      <c r="Y336">
        <f t="shared" ca="1" si="37"/>
        <v>0</v>
      </c>
      <c r="AA336" s="63">
        <f t="shared" ca="1" si="39"/>
        <v>-11.214767741605677</v>
      </c>
      <c r="AB336" s="63">
        <f t="shared" ca="1" si="40"/>
        <v>-11.214767741605677</v>
      </c>
      <c r="AC336" s="3">
        <f t="shared" ca="1" si="41"/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45717</v>
      </c>
      <c r="K337">
        <f ca="1"/>
        <v>-15.474897136072428</v>
      </c>
      <c r="L337">
        <f ca="1"/>
        <v>2.3981769340148276</v>
      </c>
      <c r="M337">
        <f ca="1"/>
        <v>5.3173625502967781E-2</v>
      </c>
      <c r="N337">
        <f ca="1"/>
        <v>0.43633487648215386</v>
      </c>
      <c r="O337">
        <f ca="1"/>
        <v>0</v>
      </c>
      <c r="P337">
        <f ca="1"/>
        <v>75.374252442622222</v>
      </c>
      <c r="Q337">
        <f ca="1"/>
        <v>69.745655669309528</v>
      </c>
      <c r="R337">
        <f ca="1"/>
        <v>0</v>
      </c>
      <c r="S337">
        <f ca="1"/>
        <v>0.44605496201712397</v>
      </c>
      <c r="T337">
        <f ca="1"/>
        <v>0</v>
      </c>
      <c r="U337">
        <f ca="1"/>
        <v>0</v>
      </c>
      <c r="V337">
        <f ca="1"/>
        <v>0.99718633882537766</v>
      </c>
      <c r="X337" s="2">
        <f t="shared" ca="1" si="36"/>
        <v>45717</v>
      </c>
      <c r="Y337">
        <f t="shared" ca="1" si="37"/>
        <v>0</v>
      </c>
      <c r="AA337" s="63">
        <f t="shared" ca="1" si="39"/>
        <v>-13.076720202057601</v>
      </c>
      <c r="AB337" s="63">
        <f t="shared" ca="1" si="40"/>
        <v>-13.076720202057601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45718</v>
      </c>
      <c r="K338">
        <f ca="1"/>
        <v>-17.459166510486263</v>
      </c>
      <c r="L338">
        <f ca="1"/>
        <v>2.4875435804300849</v>
      </c>
      <c r="M338">
        <f ca="1"/>
        <v>5.3852409082399078E-2</v>
      </c>
      <c r="N338">
        <f ca="1"/>
        <v>0.44942179693385192</v>
      </c>
      <c r="O338">
        <f ca="1"/>
        <v>0</v>
      </c>
      <c r="P338">
        <f ca="1"/>
        <v>77.861796023052307</v>
      </c>
      <c r="Q338">
        <f ca="1"/>
        <v>72.047441125226982</v>
      </c>
      <c r="R338">
        <f ca="1"/>
        <v>0</v>
      </c>
      <c r="S338">
        <f ca="1"/>
        <v>0.44655726489750519</v>
      </c>
      <c r="T338">
        <f ca="1"/>
        <v>0</v>
      </c>
      <c r="U338">
        <f ca="1"/>
        <v>0</v>
      </c>
      <c r="V338">
        <f ca="1"/>
        <v>0.99751499645698216</v>
      </c>
      <c r="X338" s="2">
        <f t="shared" ca="1" si="36"/>
        <v>45718</v>
      </c>
      <c r="Y338">
        <f t="shared" ca="1" si="37"/>
        <v>0</v>
      </c>
      <c r="AA338" s="63">
        <f t="shared" ca="1" si="39"/>
        <v>-14.971622930056178</v>
      </c>
      <c r="AB338" s="63">
        <f t="shared" ca="1" si="40"/>
        <v>-14.971622930056178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45719</v>
      </c>
      <c r="K339">
        <f ca="1"/>
        <v>-19.471882404653982</v>
      </c>
      <c r="L339">
        <f ca="1"/>
        <v>2.5321695351340878</v>
      </c>
      <c r="M339">
        <f ca="1"/>
        <v>5.5686140309148868E-2</v>
      </c>
      <c r="N339">
        <f ca="1"/>
        <v>0.46376750065721822</v>
      </c>
      <c r="O339">
        <f ca="1"/>
        <v>0</v>
      </c>
      <c r="P339">
        <f ca="1"/>
        <v>80.393965558186395</v>
      </c>
      <c r="Q339">
        <f ca="1"/>
        <v>74.390520078191955</v>
      </c>
      <c r="R339">
        <f ca="1"/>
        <v>0</v>
      </c>
      <c r="S339">
        <f ca="1"/>
        <v>0.46739087709944577</v>
      </c>
      <c r="T339">
        <f ca="1"/>
        <v>0</v>
      </c>
      <c r="U339">
        <f ca="1"/>
        <v>0</v>
      </c>
      <c r="V339">
        <f ca="1"/>
        <v>0.99780622368043348</v>
      </c>
      <c r="X339" s="2">
        <f t="shared" ca="1" si="36"/>
        <v>45719</v>
      </c>
      <c r="Y339">
        <f t="shared" ca="1" si="37"/>
        <v>0</v>
      </c>
      <c r="AA339" s="63">
        <f t="shared" ca="1" si="39"/>
        <v>-16.939712869519894</v>
      </c>
      <c r="AB339" s="63">
        <f t="shared" ca="1" si="40"/>
        <v>-16.939712869519894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45720</v>
      </c>
      <c r="K340">
        <f ca="1"/>
        <v>-21.41162267298283</v>
      </c>
      <c r="L340">
        <f ca="1"/>
        <v>2.4659835870949678</v>
      </c>
      <c r="M340">
        <f ca="1"/>
        <v>5.5677013632045913E-2</v>
      </c>
      <c r="N340">
        <f ca="1"/>
        <v>0.47056630513407477</v>
      </c>
      <c r="O340">
        <f ca="1"/>
        <v>0</v>
      </c>
      <c r="P340">
        <f ca="1"/>
        <v>82.859949145281362</v>
      </c>
      <c r="Q340">
        <f ca="1"/>
        <v>76.672355540276598</v>
      </c>
      <c r="R340">
        <f ca="1"/>
        <v>0</v>
      </c>
      <c r="S340">
        <f ca="1"/>
        <v>0.51984889551819169</v>
      </c>
      <c r="T340">
        <f ca="1"/>
        <v>0</v>
      </c>
      <c r="U340">
        <f ca="1"/>
        <v>0</v>
      </c>
      <c r="V340">
        <f ca="1"/>
        <v>0.99805396713353267</v>
      </c>
      <c r="X340" s="2">
        <f t="shared" ca="1" si="36"/>
        <v>45720</v>
      </c>
      <c r="Y340">
        <f t="shared" ca="1" si="37"/>
        <v>0</v>
      </c>
      <c r="AA340" s="63">
        <f t="shared" ca="1" si="39"/>
        <v>-18.945639085887862</v>
      </c>
      <c r="AB340" s="63">
        <f t="shared" ca="1" si="40"/>
        <v>-18.945639085887862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45721</v>
      </c>
      <c r="K341">
        <f ca="1"/>
        <v>-23.376569618411942</v>
      </c>
      <c r="L341">
        <f ca="1"/>
        <v>2.484250459958659</v>
      </c>
      <c r="M341">
        <f ca="1"/>
        <v>5.4420239090891442E-2</v>
      </c>
      <c r="N341">
        <f ca="1"/>
        <v>0.4648832754386571</v>
      </c>
      <c r="O341">
        <f ca="1"/>
        <v>0</v>
      </c>
      <c r="P341">
        <f ca="1"/>
        <v>85.344199605240021</v>
      </c>
      <c r="Q341">
        <f ca="1"/>
        <v>78.971093790563017</v>
      </c>
      <c r="R341">
        <f ca="1"/>
        <v>0</v>
      </c>
      <c r="S341">
        <f ca="1"/>
        <v>0.51521055907479285</v>
      </c>
      <c r="T341">
        <f ca="1"/>
        <v>0</v>
      </c>
      <c r="U341">
        <f ca="1"/>
        <v>0</v>
      </c>
      <c r="V341">
        <f ca="1"/>
        <v>0.99827286290176964</v>
      </c>
      <c r="X341" s="2">
        <f t="shared" ca="1" si="36"/>
        <v>45721</v>
      </c>
      <c r="Y341">
        <f t="shared" ca="1" si="37"/>
        <v>0</v>
      </c>
      <c r="AA341" s="63">
        <f t="shared" ca="1" si="39"/>
        <v>-20.892319158453283</v>
      </c>
      <c r="AB341" s="63">
        <f t="shared" ca="1" si="40"/>
        <v>-20.892319158453283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45722</v>
      </c>
      <c r="K342">
        <f ca="1"/>
        <v>-25.416378460429812</v>
      </c>
      <c r="L342">
        <f ca="1"/>
        <v>2.568672307942478</v>
      </c>
      <c r="M342">
        <f ca="1"/>
        <v>5.5008577829227079E-2</v>
      </c>
      <c r="N342">
        <f ca="1"/>
        <v>0.47385488809538034</v>
      </c>
      <c r="O342">
        <f ca="1"/>
        <v>0</v>
      </c>
      <c r="P342">
        <f ca="1"/>
        <v>87.912871913182499</v>
      </c>
      <c r="Q342">
        <f ca="1"/>
        <v>81.347949659925362</v>
      </c>
      <c r="R342">
        <f ca="1"/>
        <v>0</v>
      </c>
      <c r="S342">
        <f ca="1"/>
        <v>0.50641112956995737</v>
      </c>
      <c r="T342">
        <f ca="1"/>
        <v>0</v>
      </c>
      <c r="U342">
        <f ca="1"/>
        <v>0</v>
      </c>
      <c r="V342">
        <f ca="1"/>
        <v>0.99847134784938185</v>
      </c>
      <c r="X342" s="2">
        <f t="shared" ca="1" si="36"/>
        <v>45722</v>
      </c>
      <c r="Y342">
        <f t="shared" ca="1" si="37"/>
        <v>0</v>
      </c>
      <c r="AA342" s="63">
        <f t="shared" ca="1" si="39"/>
        <v>-22.847706152487333</v>
      </c>
      <c r="AB342" s="63">
        <f t="shared" ca="1" si="40"/>
        <v>-22.847706152487333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45723</v>
      </c>
      <c r="K343">
        <f ca="1"/>
        <v>-27.421876645540753</v>
      </c>
      <c r="L343">
        <f ca="1"/>
        <v>2.5131397299573592</v>
      </c>
      <c r="M343">
        <f ca="1"/>
        <v>5.1947670360689813E-2</v>
      </c>
      <c r="N343">
        <f ca="1"/>
        <v>0.45569387448572718</v>
      </c>
      <c r="O343">
        <f ca="1"/>
        <v>0</v>
      </c>
      <c r="P343">
        <f ca="1"/>
        <v>90.426011643139859</v>
      </c>
      <c r="Q343">
        <f ca="1"/>
        <v>83.673419864593697</v>
      </c>
      <c r="R343">
        <f ca="1"/>
        <v>0</v>
      </c>
      <c r="S343">
        <f ca="1"/>
        <v>0.50924408613607952</v>
      </c>
      <c r="T343">
        <f ca="1"/>
        <v>0</v>
      </c>
      <c r="U343">
        <f ca="1"/>
        <v>0</v>
      </c>
      <c r="V343">
        <f ca="1"/>
        <v>0.99864191472328145</v>
      </c>
      <c r="X343" s="2">
        <f t="shared" ca="1" si="36"/>
        <v>45723</v>
      </c>
      <c r="Y343">
        <f t="shared" ca="1" si="37"/>
        <v>0</v>
      </c>
      <c r="AA343" s="63">
        <f t="shared" ca="1" si="39"/>
        <v>-24.908736915583393</v>
      </c>
      <c r="AB343" s="63">
        <f t="shared" ca="1" si="40"/>
        <v>-24.908736915583393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45724</v>
      </c>
      <c r="K344">
        <f ca="1"/>
        <v>-29.507603749239383</v>
      </c>
      <c r="L344">
        <f ca="1"/>
        <v>2.5844866622031191</v>
      </c>
      <c r="M344">
        <f ca="1"/>
        <v>4.9957118561010816E-2</v>
      </c>
      <c r="N344">
        <f ca="1"/>
        <v>0.4488024399434779</v>
      </c>
      <c r="O344">
        <f ca="1"/>
        <v>0</v>
      </c>
      <c r="P344">
        <f ca="1"/>
        <v>93.010498305342978</v>
      </c>
      <c r="Q344">
        <f ca="1"/>
        <v>86.064909146177754</v>
      </c>
      <c r="R344">
        <f ca="1"/>
        <v>0</v>
      </c>
      <c r="S344">
        <f ca="1"/>
        <v>0.47753568706951471</v>
      </c>
      <c r="T344">
        <f ca="1"/>
        <v>0</v>
      </c>
      <c r="U344">
        <f ca="1"/>
        <v>0</v>
      </c>
      <c r="V344">
        <f ca="1"/>
        <v>0.99879627851584907</v>
      </c>
      <c r="X344" s="2">
        <f t="shared" ca="1" si="36"/>
        <v>45724</v>
      </c>
      <c r="Y344">
        <f t="shared" ca="1" si="37"/>
        <v>0</v>
      </c>
      <c r="AA344" s="63">
        <f t="shared" ca="1" si="39"/>
        <v>-26.923117087036264</v>
      </c>
      <c r="AB344" s="63">
        <f t="shared" ca="1" si="40"/>
        <v>-26.923117087036264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45725</v>
      </c>
      <c r="K345">
        <f ca="1"/>
        <v>-31.630036765817415</v>
      </c>
      <c r="L345">
        <f ca="1"/>
        <v>2.638421902648858</v>
      </c>
      <c r="M345">
        <f ca="1"/>
        <v>5.1257317573462302E-2</v>
      </c>
      <c r="N345">
        <f ca="1"/>
        <v>0.46473156849736463</v>
      </c>
      <c r="O345">
        <f ca="1"/>
        <v>0</v>
      </c>
      <c r="P345">
        <f ca="1"/>
        <v>95.648920207991836</v>
      </c>
      <c r="Q345">
        <f ca="1"/>
        <v>88.50630603661584</v>
      </c>
      <c r="R345">
        <f ca="1"/>
        <v>0</v>
      </c>
      <c r="S345">
        <f ca="1"/>
        <v>0.49048875987427104</v>
      </c>
      <c r="T345">
        <f ca="1"/>
        <v>0</v>
      </c>
      <c r="U345">
        <f ca="1"/>
        <v>0</v>
      </c>
      <c r="V345">
        <f ca="1"/>
        <v>0.99893481776062187</v>
      </c>
      <c r="X345" s="2">
        <f t="shared" ca="1" si="36"/>
        <v>45725</v>
      </c>
      <c r="Y345">
        <f t="shared" ca="1" si="37"/>
        <v>0</v>
      </c>
      <c r="AA345" s="63">
        <f t="shared" ca="1" si="39"/>
        <v>-28.991614863168557</v>
      </c>
      <c r="AB345" s="63">
        <f t="shared" ca="1" si="40"/>
        <v>-28.991614863168557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45726</v>
      </c>
      <c r="K346">
        <f ca="1"/>
        <v>-33.75181342816213</v>
      </c>
      <c r="L346">
        <f ca="1"/>
        <v>2.6147740013062588</v>
      </c>
      <c r="M346">
        <f ca="1"/>
        <v>4.7708104622028458E-2</v>
      </c>
      <c r="N346">
        <f ca="1"/>
        <v>0.44528923433951723</v>
      </c>
      <c r="O346">
        <f ca="1"/>
        <v>0</v>
      </c>
      <c r="P346">
        <f ca="1"/>
        <v>98.263694209298095</v>
      </c>
      <c r="Q346">
        <f ca="1"/>
        <v>90.925820940421929</v>
      </c>
      <c r="R346">
        <f ca="1"/>
        <v>0</v>
      </c>
      <c r="S346">
        <f ca="1"/>
        <v>0.47381366760503085</v>
      </c>
      <c r="T346">
        <f ca="1"/>
        <v>0</v>
      </c>
      <c r="U346">
        <f ca="1"/>
        <v>0</v>
      </c>
      <c r="V346">
        <f ca="1"/>
        <v>0.99905566954465208</v>
      </c>
      <c r="X346" s="2">
        <f t="shared" ca="1" si="36"/>
        <v>45726</v>
      </c>
      <c r="Y346">
        <f t="shared" ca="1" si="37"/>
        <v>0</v>
      </c>
      <c r="AA346" s="63">
        <f t="shared" ca="1" si="39"/>
        <v>-31.137039426855871</v>
      </c>
      <c r="AB346" s="63">
        <f t="shared" ca="1" si="40"/>
        <v>-31.137039426855871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45727</v>
      </c>
      <c r="K347">
        <f ca="1"/>
        <v>-35.817080299087394</v>
      </c>
      <c r="L347">
        <f ca="1"/>
        <v>2.6035291148700992</v>
      </c>
      <c r="M347">
        <f ca="1"/>
        <v>4.8877797612377094E-2</v>
      </c>
      <c r="N347">
        <f ca="1"/>
        <v>0.4893844463324572</v>
      </c>
      <c r="O347">
        <f ca="1"/>
        <v>0</v>
      </c>
      <c r="P347">
        <f ca="1"/>
        <v>100.86722332416819</v>
      </c>
      <c r="Q347">
        <f ca="1"/>
        <v>93.334930673337439</v>
      </c>
      <c r="R347">
        <f ca="1"/>
        <v>0</v>
      </c>
      <c r="S347">
        <f ca="1"/>
        <v>0.55511048619114711</v>
      </c>
      <c r="T347">
        <f ca="1"/>
        <v>0</v>
      </c>
      <c r="U347">
        <f ca="1"/>
        <v>0</v>
      </c>
      <c r="V347">
        <f ca="1"/>
        <v>0.99916187381129395</v>
      </c>
      <c r="X347" s="2">
        <f t="shared" ca="1" si="36"/>
        <v>45727</v>
      </c>
      <c r="Y347">
        <f t="shared" ca="1" si="37"/>
        <v>0</v>
      </c>
      <c r="AA347" s="63">
        <f t="shared" ca="1" si="39"/>
        <v>-33.213551184217295</v>
      </c>
      <c r="AB347" s="63">
        <f t="shared" ca="1" si="40"/>
        <v>-33.213551184217295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45728</v>
      </c>
      <c r="K348">
        <f ca="1"/>
        <v>-37.911978404135006</v>
      </c>
      <c r="L348">
        <f ca="1"/>
        <v>2.6401662473284802</v>
      </c>
      <c r="M348">
        <f ca="1"/>
        <v>4.8588449095355202E-2</v>
      </c>
      <c r="N348">
        <f ca="1"/>
        <v>0.49667969318551469</v>
      </c>
      <c r="O348">
        <f ca="1"/>
        <v>0</v>
      </c>
      <c r="P348">
        <f ca="1"/>
        <v>103.50738957149667</v>
      </c>
      <c r="Q348">
        <f ca="1"/>
        <v>95.777941648949835</v>
      </c>
      <c r="R348">
        <f ca="1"/>
        <v>0</v>
      </c>
      <c r="S348">
        <f ca="1"/>
        <v>0.5560538820646419</v>
      </c>
      <c r="T348">
        <f ca="1"/>
        <v>0</v>
      </c>
      <c r="U348">
        <f ca="1"/>
        <v>0</v>
      </c>
      <c r="V348">
        <f ca="1"/>
        <v>0.99925703323199799</v>
      </c>
      <c r="X348" s="2">
        <f t="shared" ca="1" si="36"/>
        <v>45728</v>
      </c>
      <c r="Y348">
        <f t="shared" ca="1" si="37"/>
        <v>0</v>
      </c>
      <c r="AA348" s="63">
        <f t="shared" ca="1" si="39"/>
        <v>-35.271812156806526</v>
      </c>
      <c r="AB348" s="63">
        <f t="shared" ca="1" si="40"/>
        <v>-35.271812156806526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45729</v>
      </c>
      <c r="K349">
        <f ca="1"/>
        <v>-39.991383563100946</v>
      </c>
      <c r="L349">
        <f ca="1"/>
        <v>2.5935546536123155</v>
      </c>
      <c r="M349">
        <f ca="1"/>
        <v>4.6493458431648094E-2</v>
      </c>
      <c r="N349">
        <f ca="1"/>
        <v>0.46765603621472873</v>
      </c>
      <c r="O349">
        <f ca="1"/>
        <v>0</v>
      </c>
      <c r="P349">
        <f ca="1"/>
        <v>106.10094422510899</v>
      </c>
      <c r="Q349">
        <f ca="1"/>
        <v>98.17782176674045</v>
      </c>
      <c r="R349">
        <f ca="1"/>
        <v>0</v>
      </c>
      <c r="S349">
        <f ca="1"/>
        <v>0.5317219469752319</v>
      </c>
      <c r="T349">
        <f ca="1"/>
        <v>0</v>
      </c>
      <c r="U349">
        <f ca="1"/>
        <v>0</v>
      </c>
      <c r="V349">
        <f ca="1"/>
        <v>0.99933977167433707</v>
      </c>
      <c r="X349" s="2">
        <f t="shared" ca="1" si="36"/>
        <v>45729</v>
      </c>
      <c r="Y349">
        <f t="shared" ca="1" si="37"/>
        <v>0</v>
      </c>
      <c r="AA349" s="63">
        <f t="shared" ca="1" si="39"/>
        <v>-37.397828909488631</v>
      </c>
      <c r="AB349" s="63">
        <f t="shared" ca="1" si="40"/>
        <v>-37.397828909488631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45730</v>
      </c>
      <c r="K350">
        <f ca="1"/>
        <v>-42.087661354006791</v>
      </c>
      <c r="L350">
        <f ca="1"/>
        <v>2.5979126682707232</v>
      </c>
      <c r="M350">
        <f ca="1"/>
        <v>4.5649644536034373E-2</v>
      </c>
      <c r="N350">
        <f ca="1"/>
        <v>0.45598523282884368</v>
      </c>
      <c r="O350">
        <f ca="1"/>
        <v>0</v>
      </c>
      <c r="P350">
        <f ca="1"/>
        <v>108.69885689337971</v>
      </c>
      <c r="Q350">
        <f ca="1"/>
        <v>100.58173446302993</v>
      </c>
      <c r="R350">
        <f ca="1"/>
        <v>0</v>
      </c>
      <c r="S350">
        <f ca="1"/>
        <v>0.51260435771064916</v>
      </c>
      <c r="T350">
        <f ca="1"/>
        <v>0</v>
      </c>
      <c r="U350">
        <f ca="1"/>
        <v>0</v>
      </c>
      <c r="V350">
        <f ca="1"/>
        <v>0.99941330158835806</v>
      </c>
      <c r="X350" s="2">
        <f t="shared" ca="1" si="36"/>
        <v>45730</v>
      </c>
      <c r="Y350">
        <f t="shared" ca="1" si="37"/>
        <v>0</v>
      </c>
      <c r="AA350" s="63">
        <f t="shared" ca="1" si="39"/>
        <v>-39.489748685736068</v>
      </c>
      <c r="AB350" s="63">
        <f t="shared" ca="1" si="40"/>
        <v>-39.489748685736068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45731</v>
      </c>
      <c r="K351">
        <f ca="1"/>
        <v>-44.164139606084504</v>
      </c>
      <c r="L351">
        <f ca="1"/>
        <v>2.575933775498541</v>
      </c>
      <c r="M351">
        <f ca="1"/>
        <v>4.4326034539857062E-2</v>
      </c>
      <c r="N351">
        <f ca="1"/>
        <v>0.45512948888096799</v>
      </c>
      <c r="O351">
        <f ca="1"/>
        <v>0</v>
      </c>
      <c r="P351">
        <f ca="1"/>
        <v>111.27479066887825</v>
      </c>
      <c r="Q351">
        <f ca="1"/>
        <v>102.96530954750098</v>
      </c>
      <c r="R351">
        <f ca="1"/>
        <v>0</v>
      </c>
      <c r="S351">
        <f ca="1"/>
        <v>0.52040214222120662</v>
      </c>
      <c r="T351">
        <f ca="1"/>
        <v>0</v>
      </c>
      <c r="U351">
        <f ca="1"/>
        <v>0</v>
      </c>
      <c r="V351">
        <f ca="1"/>
        <v>0.99947809115626873</v>
      </c>
      <c r="X351" s="2">
        <f t="shared" ca="1" si="36"/>
        <v>45731</v>
      </c>
      <c r="Y351">
        <f t="shared" ca="1" si="37"/>
        <v>0</v>
      </c>
      <c r="AA351" s="63">
        <f t="shared" ca="1" si="39"/>
        <v>-41.588205830585963</v>
      </c>
      <c r="AB351" s="63">
        <f t="shared" ca="1" si="40"/>
        <v>-41.588205830585963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45732</v>
      </c>
      <c r="K352">
        <f ca="1"/>
        <v>-46.253548540357343</v>
      </c>
      <c r="L352">
        <f ca="1"/>
        <v>2.5950367305668891</v>
      </c>
      <c r="M352">
        <f ca="1"/>
        <v>4.3940776886472577E-2</v>
      </c>
      <c r="N352">
        <f ca="1"/>
        <v>0.46168701940757823</v>
      </c>
      <c r="O352">
        <f ca="1"/>
        <v>0</v>
      </c>
      <c r="P352">
        <f ca="1"/>
        <v>113.86982739944514</v>
      </c>
      <c r="Q352">
        <f ca="1"/>
        <v>105.36656106766839</v>
      </c>
      <c r="R352">
        <f ca="1"/>
        <v>0</v>
      </c>
      <c r="S352">
        <f ca="1"/>
        <v>0.52316266217335339</v>
      </c>
      <c r="T352">
        <f ca="1"/>
        <v>0</v>
      </c>
      <c r="U352">
        <f ca="1"/>
        <v>0</v>
      </c>
      <c r="V352">
        <f ca="1"/>
        <v>0.99953616176837334</v>
      </c>
      <c r="X352" s="2">
        <f t="shared" ca="1" si="36"/>
        <v>45732</v>
      </c>
      <c r="Y352">
        <f t="shared" ca="1" si="37"/>
        <v>0</v>
      </c>
      <c r="AA352" s="63">
        <f t="shared" ca="1" si="39"/>
        <v>-43.658511809790454</v>
      </c>
      <c r="AB352" s="63">
        <f t="shared" ca="1" si="40"/>
        <v>-43.658511809790454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45733</v>
      </c>
      <c r="K353">
        <f ca="1"/>
        <v>-48.33963074009587</v>
      </c>
      <c r="L353">
        <f ca="1"/>
        <v>2.5878221935854384</v>
      </c>
      <c r="M353">
        <f ca="1"/>
        <v>4.3070415108079629E-2</v>
      </c>
      <c r="N353">
        <f ca="1"/>
        <v>0.45866957873883069</v>
      </c>
      <c r="O353">
        <f ca="1"/>
        <v>0</v>
      </c>
      <c r="P353">
        <f ca="1"/>
        <v>116.45764959303058</v>
      </c>
      <c r="Q353">
        <f ca="1"/>
        <v>107.76113679874584</v>
      </c>
      <c r="R353">
        <f ca="1"/>
        <v>0</v>
      </c>
      <c r="S353">
        <f ca="1"/>
        <v>0.51935129404495006</v>
      </c>
      <c r="T353">
        <f ca="1"/>
        <v>0</v>
      </c>
      <c r="U353">
        <f ca="1"/>
        <v>0</v>
      </c>
      <c r="V353">
        <f ca="1"/>
        <v>0.99958771888192843</v>
      </c>
      <c r="X353" s="2">
        <f t="shared" ca="1" si="36"/>
        <v>45733</v>
      </c>
      <c r="Y353">
        <f t="shared" ca="1" si="37"/>
        <v>0</v>
      </c>
      <c r="AA353" s="63">
        <f t="shared" ca="1" si="39"/>
        <v>-45.751808546510439</v>
      </c>
      <c r="AB353" s="63">
        <f t="shared" ca="1" si="40"/>
        <v>-45.751808546510432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45734</v>
      </c>
      <c r="K354">
        <f ca="1"/>
        <v>-50.42309102657056</v>
      </c>
      <c r="L354">
        <f ca="1"/>
        <v>2.5690376639517609</v>
      </c>
      <c r="M354">
        <f ca="1"/>
        <v>4.1932166579183416E-2</v>
      </c>
      <c r="N354">
        <f ca="1"/>
        <v>0.44364521089788922</v>
      </c>
      <c r="O354">
        <f ca="1"/>
        <v>0</v>
      </c>
      <c r="P354">
        <f ca="1"/>
        <v>119.02668725698234</v>
      </c>
      <c r="Q354">
        <f ca="1"/>
        <v>110.13833074103887</v>
      </c>
      <c r="R354">
        <f ca="1"/>
        <v>0</v>
      </c>
      <c r="S354">
        <f ca="1"/>
        <v>0.49870124737075144</v>
      </c>
      <c r="T354">
        <f ca="1"/>
        <v>0</v>
      </c>
      <c r="U354">
        <f ca="1"/>
        <v>0</v>
      </c>
      <c r="V354">
        <f ca="1"/>
        <v>0.99963335213088667</v>
      </c>
      <c r="X354" s="2">
        <f t="shared" ca="1" si="36"/>
        <v>45734</v>
      </c>
      <c r="Y354">
        <f t="shared" ca="1" si="37"/>
        <v>0</v>
      </c>
      <c r="AA354" s="63">
        <f t="shared" ca="1" si="39"/>
        <v>-47.854053362618792</v>
      </c>
      <c r="AB354" s="63">
        <f t="shared" ca="1" si="40"/>
        <v>-47.854053362618799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45735</v>
      </c>
      <c r="K355">
        <f ca="1"/>
        <v>-52.462316041818141</v>
      </c>
      <c r="L355">
        <f ca="1"/>
        <v>2.4939605596738801</v>
      </c>
      <c r="M355">
        <f ca="1"/>
        <v>3.8180523632195928E-2</v>
      </c>
      <c r="N355">
        <f ca="1"/>
        <v>0.41655502079410767</v>
      </c>
      <c r="O355">
        <f ca="1"/>
        <v>0</v>
      </c>
      <c r="P355">
        <f ca="1"/>
        <v>121.52064781665622</v>
      </c>
      <c r="Q355">
        <f ca="1"/>
        <v>112.44605398619163</v>
      </c>
      <c r="R355">
        <f ca="1"/>
        <v>0</v>
      </c>
      <c r="S355">
        <f ca="1"/>
        <v>0.47696906215704865</v>
      </c>
      <c r="T355">
        <f ca="1"/>
        <v>0</v>
      </c>
      <c r="U355">
        <f ca="1"/>
        <v>0</v>
      </c>
      <c r="V355">
        <f ca="1"/>
        <v>0.99967295776175191</v>
      </c>
      <c r="X355" s="2">
        <f t="shared" ca="1" si="36"/>
        <v>45735</v>
      </c>
      <c r="Y355">
        <f t="shared" ca="1" si="37"/>
        <v>0</v>
      </c>
      <c r="AA355" s="63">
        <f t="shared" ca="1" si="39"/>
        <v>-49.968355482144261</v>
      </c>
      <c r="AB355" s="63">
        <f t="shared" ca="1" si="40"/>
        <v>-49.968355482144261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45736</v>
      </c>
      <c r="K356">
        <f ca="1"/>
        <v>-54.484236229481823</v>
      </c>
      <c r="L356">
        <f ca="1"/>
        <v>2.4892629094023562</v>
      </c>
      <c r="M356">
        <f ca="1"/>
        <v>3.907700653076418E-2</v>
      </c>
      <c r="N356">
        <f ca="1"/>
        <v>0.42826571520791568</v>
      </c>
      <c r="O356">
        <f ca="1"/>
        <v>0</v>
      </c>
      <c r="P356">
        <f ca="1"/>
        <v>124.00991072605858</v>
      </c>
      <c r="Q356">
        <f ca="1"/>
        <v>114.74943037963212</v>
      </c>
      <c r="R356">
        <f ca="1"/>
        <v>0</v>
      </c>
      <c r="S356">
        <f ca="1"/>
        <v>0.49518983937554928</v>
      </c>
      <c r="T356">
        <f ca="1"/>
        <v>0</v>
      </c>
      <c r="U356">
        <f ca="1"/>
        <v>0</v>
      </c>
      <c r="V356">
        <f ca="1"/>
        <v>0.99970838350153668</v>
      </c>
      <c r="X356" s="2">
        <f t="shared" ca="1" si="36"/>
        <v>45736</v>
      </c>
      <c r="Y356">
        <f t="shared" ca="1" si="37"/>
        <v>0</v>
      </c>
      <c r="AA356" s="63">
        <f t="shared" ca="1" si="39"/>
        <v>-51.994973320079467</v>
      </c>
      <c r="AB356" s="63">
        <f t="shared" ca="1" si="40"/>
        <v>-51.994973320079467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45737</v>
      </c>
      <c r="K357">
        <f ca="1"/>
        <v>-56.544423855823091</v>
      </c>
      <c r="L357">
        <f ca="1"/>
        <v>2.5148821857300305</v>
      </c>
      <c r="M357">
        <f ca="1"/>
        <v>3.6413494197262253E-2</v>
      </c>
      <c r="N357">
        <f ca="1"/>
        <v>0.41828106519150093</v>
      </c>
      <c r="O357">
        <f ca="1"/>
        <v>0</v>
      </c>
      <c r="P357">
        <f ca="1"/>
        <v>126.52479291178861</v>
      </c>
      <c r="Q357">
        <f ca="1"/>
        <v>117.07651292162258</v>
      </c>
      <c r="R357">
        <f ca="1"/>
        <v>0</v>
      </c>
      <c r="S357">
        <f ca="1"/>
        <v>0.4606629536557858</v>
      </c>
      <c r="T357">
        <f ca="1"/>
        <v>0</v>
      </c>
      <c r="U357">
        <f ca="1"/>
        <v>0</v>
      </c>
      <c r="V357">
        <f ca="1"/>
        <v>0.99974045718750226</v>
      </c>
      <c r="X357" s="2">
        <f t="shared" ca="1" si="36"/>
        <v>45737</v>
      </c>
      <c r="Y357">
        <f t="shared" ca="1" si="37"/>
        <v>0</v>
      </c>
      <c r="AA357" s="63">
        <f t="shared" ca="1" si="39"/>
        <v>-54.02954167009306</v>
      </c>
      <c r="AB357" s="63">
        <f t="shared" ca="1" si="40"/>
        <v>-54.02954167009306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45738</v>
      </c>
      <c r="K358">
        <f ca="1"/>
        <v>-58.571699478813393</v>
      </c>
      <c r="L358">
        <f ca="1"/>
        <v>2.4817081810688535</v>
      </c>
      <c r="M358">
        <f ca="1"/>
        <v>3.6030648617753513E-2</v>
      </c>
      <c r="N358">
        <f ca="1"/>
        <v>0.41840190946079703</v>
      </c>
      <c r="O358">
        <f ca="1"/>
        <v>0</v>
      </c>
      <c r="P358">
        <f ca="1"/>
        <v>129.00650109285746</v>
      </c>
      <c r="Q358">
        <f ca="1"/>
        <v>119.37289873852072</v>
      </c>
      <c r="R358">
        <f ca="1"/>
        <v>0</v>
      </c>
      <c r="S358">
        <f ca="1"/>
        <v>0.46736786923090651</v>
      </c>
      <c r="T358">
        <f ca="1"/>
        <v>0</v>
      </c>
      <c r="U358">
        <f ca="1"/>
        <v>0</v>
      </c>
      <c r="V358">
        <f ca="1"/>
        <v>0.9997688347867415</v>
      </c>
      <c r="X358" s="2">
        <f t="shared" ca="1" si="36"/>
        <v>45738</v>
      </c>
      <c r="Y358">
        <f t="shared" ca="1" si="37"/>
        <v>0</v>
      </c>
      <c r="AA358" s="63">
        <f t="shared" ca="1" si="39"/>
        <v>-56.08999129774454</v>
      </c>
      <c r="AB358" s="63">
        <f t="shared" ca="1" si="40"/>
        <v>-56.08999129774454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45739</v>
      </c>
      <c r="K359">
        <f ca="1"/>
        <v>-60.538308570854525</v>
      </c>
      <c r="L359">
        <f ca="1"/>
        <v>2.4140077556913866</v>
      </c>
      <c r="M359">
        <f ca="1"/>
        <v>3.5219961407296552E-2</v>
      </c>
      <c r="N359">
        <f ca="1"/>
        <v>0.41217870224295572</v>
      </c>
      <c r="O359">
        <f ca="1"/>
        <v>0</v>
      </c>
      <c r="P359">
        <f ca="1"/>
        <v>131.42050884854885</v>
      </c>
      <c r="Q359">
        <f ca="1"/>
        <v>121.60663968128708</v>
      </c>
      <c r="R359">
        <f ca="1"/>
        <v>0</v>
      </c>
      <c r="S359">
        <f ca="1"/>
        <v>0.47599579103918849</v>
      </c>
      <c r="T359">
        <f ca="1"/>
        <v>0</v>
      </c>
      <c r="U359">
        <f ca="1"/>
        <v>0</v>
      </c>
      <c r="V359">
        <f ca="1"/>
        <v>0.99979364365851608</v>
      </c>
      <c r="X359" s="2">
        <f t="shared" ca="1" si="36"/>
        <v>45739</v>
      </c>
      <c r="Y359">
        <f t="shared" ca="1" si="37"/>
        <v>0</v>
      </c>
      <c r="AA359" s="63">
        <f t="shared" ca="1" si="39"/>
        <v>-58.124300815163139</v>
      </c>
      <c r="AB359" s="63">
        <f t="shared" ca="1" si="40"/>
        <v>-58.124300815163139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45740</v>
      </c>
      <c r="K360">
        <f ca="1"/>
        <v>-62.483980458579268</v>
      </c>
      <c r="L360">
        <f ca="1"/>
        <v>2.3815911468159925</v>
      </c>
      <c r="M360">
        <f ca="1"/>
        <v>3.3448900069753762E-2</v>
      </c>
      <c r="N360">
        <f ca="1"/>
        <v>0.40247035902150147</v>
      </c>
      <c r="O360">
        <f ca="1"/>
        <v>0</v>
      </c>
      <c r="P360">
        <f ca="1"/>
        <v>133.80209999536484</v>
      </c>
      <c r="Q360">
        <f ca="1"/>
        <v>123.8103847359707</v>
      </c>
      <c r="R360">
        <f ca="1"/>
        <v>0</v>
      </c>
      <c r="S360">
        <f ca="1"/>
        <v>0.46246520093809701</v>
      </c>
      <c r="T360">
        <f ca="1"/>
        <v>0</v>
      </c>
      <c r="U360">
        <f ca="1"/>
        <v>0</v>
      </c>
      <c r="V360">
        <f ca="1"/>
        <v>0.99981569235415202</v>
      </c>
      <c r="X360" s="2">
        <f t="shared" ca="1" si="36"/>
        <v>45740</v>
      </c>
      <c r="Y360">
        <f t="shared" ca="1" si="37"/>
        <v>0</v>
      </c>
      <c r="AA360" s="63">
        <f t="shared" ca="1" si="39"/>
        <v>-60.102389311763268</v>
      </c>
      <c r="AB360" s="63">
        <f t="shared" ca="1" si="40"/>
        <v>-60.102389311763275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45741</v>
      </c>
      <c r="K361">
        <f ca="1"/>
        <v>-64.417067562683187</v>
      </c>
      <c r="L361">
        <f ca="1"/>
        <v>2.3611877869508362</v>
      </c>
      <c r="M361">
        <f ca="1"/>
        <v>3.1979529089237957E-2</v>
      </c>
      <c r="N361">
        <f ca="1"/>
        <v>0.39612115375767426</v>
      </c>
      <c r="O361">
        <f ca="1"/>
        <v>0</v>
      </c>
      <c r="P361">
        <f ca="1"/>
        <v>136.16328778231568</v>
      </c>
      <c r="Q361">
        <f ca="1"/>
        <v>125.99525005831158</v>
      </c>
      <c r="R361">
        <f ca="1"/>
        <v>0</v>
      </c>
      <c r="S361">
        <f ca="1"/>
        <v>0.44899222982761011</v>
      </c>
      <c r="T361">
        <f ca="1"/>
        <v>0</v>
      </c>
      <c r="U361">
        <f ca="1"/>
        <v>0</v>
      </c>
      <c r="V361">
        <f ca="1"/>
        <v>0.99983540750734412</v>
      </c>
      <c r="X361" s="2">
        <f t="shared" ca="1" si="36"/>
        <v>45741</v>
      </c>
      <c r="Y361">
        <f t="shared" ca="1" si="37"/>
        <v>0</v>
      </c>
      <c r="AA361" s="63">
        <f t="shared" ca="1" si="39"/>
        <v>-62.05587977573235</v>
      </c>
      <c r="AB361" s="63">
        <f t="shared" ca="1" si="40"/>
        <v>-62.05587977573235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45742</v>
      </c>
      <c r="K362">
        <f ca="1"/>
        <v>-66.32152897807147</v>
      </c>
      <c r="L362">
        <f ca="1"/>
        <v>2.3454900717690066</v>
      </c>
      <c r="M362">
        <f ca="1"/>
        <v>3.291779373144621E-2</v>
      </c>
      <c r="N362">
        <f ca="1"/>
        <v>0.40811086264927826</v>
      </c>
      <c r="O362">
        <f ca="1"/>
        <v>0</v>
      </c>
      <c r="P362">
        <f ca="1"/>
        <v>138.50877785408468</v>
      </c>
      <c r="Q362">
        <f ca="1"/>
        <v>128.16558989744851</v>
      </c>
      <c r="R362">
        <f ca="1"/>
        <v>0</v>
      </c>
      <c r="S362">
        <f ca="1"/>
        <v>0.46779287481835158</v>
      </c>
      <c r="T362">
        <f ca="1"/>
        <v>0</v>
      </c>
      <c r="U362">
        <f ca="1"/>
        <v>0</v>
      </c>
      <c r="V362">
        <f ca="1"/>
        <v>0.99985308256464756</v>
      </c>
      <c r="X362" s="2">
        <f t="shared" ca="1" si="36"/>
        <v>45742</v>
      </c>
      <c r="Y362">
        <f t="shared" ca="1" si="37"/>
        <v>0</v>
      </c>
      <c r="AA362" s="63">
        <f t="shared" ca="1" si="39"/>
        <v>-63.976038906302463</v>
      </c>
      <c r="AB362" s="63">
        <f t="shared" ca="1" si="40"/>
        <v>-63.976038906302463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45743</v>
      </c>
      <c r="K363">
        <f ca="1"/>
        <v>-68.231379238676709</v>
      </c>
      <c r="L363">
        <f ca="1"/>
        <v>2.3382954460840324</v>
      </c>
      <c r="M363">
        <f ca="1"/>
        <v>3.068787374156301E-2</v>
      </c>
      <c r="N363">
        <f ca="1"/>
        <v>0.39775731173722501</v>
      </c>
      <c r="O363">
        <f ca="1"/>
        <v>0</v>
      </c>
      <c r="P363">
        <f ca="1"/>
        <v>140.84707330016872</v>
      </c>
      <c r="Q363">
        <f ca="1"/>
        <v>130.32927237190935</v>
      </c>
      <c r="R363">
        <f ca="1"/>
        <v>0</v>
      </c>
      <c r="S363">
        <f ca="1"/>
        <v>0.43897299802752376</v>
      </c>
      <c r="T363">
        <f ca="1"/>
        <v>0</v>
      </c>
      <c r="U363">
        <f ca="1"/>
        <v>0</v>
      </c>
      <c r="V363">
        <f ca="1"/>
        <v>0.99986899072994151</v>
      </c>
      <c r="X363" s="2">
        <f t="shared" ca="1" si="36"/>
        <v>45743</v>
      </c>
      <c r="Y363">
        <f t="shared" ca="1" si="37"/>
        <v>0</v>
      </c>
      <c r="AA363" s="63">
        <f t="shared" ca="1" si="39"/>
        <v>-65.893083792592677</v>
      </c>
      <c r="AB363" s="63">
        <f t="shared" ca="1" si="40"/>
        <v>-65.893083792592677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45744</v>
      </c>
      <c r="K364">
        <f ca="1"/>
        <v>-70.104208443641397</v>
      </c>
      <c r="L364">
        <f ca="1"/>
        <v>2.299115125619636</v>
      </c>
      <c r="M364">
        <f ca="1"/>
        <v>3.0113686365005776E-2</v>
      </c>
      <c r="N364">
        <f ca="1"/>
        <v>0.39617223428993698</v>
      </c>
      <c r="O364">
        <f ca="1"/>
        <v>0</v>
      </c>
      <c r="P364">
        <f ca="1"/>
        <v>143.14618842578835</v>
      </c>
      <c r="Q364">
        <f ca="1"/>
        <v>132.45670032905738</v>
      </c>
      <c r="R364">
        <f ca="1"/>
        <v>0</v>
      </c>
      <c r="S364">
        <f ca="1"/>
        <v>0.44007317091721904</v>
      </c>
      <c r="T364">
        <f ca="1"/>
        <v>0</v>
      </c>
      <c r="U364">
        <f ca="1"/>
        <v>0</v>
      </c>
      <c r="V364">
        <f ca="1"/>
        <v>0.99988312209686092</v>
      </c>
      <c r="X364" s="2">
        <f t="shared" ca="1" si="36"/>
        <v>45744</v>
      </c>
      <c r="Y364">
        <f t="shared" ca="1" si="37"/>
        <v>0</v>
      </c>
      <c r="AA364" s="63">
        <f t="shared" ca="1" si="39"/>
        <v>-67.805093318021761</v>
      </c>
      <c r="AB364" s="63">
        <f t="shared" ca="1" si="40"/>
        <v>-67.805093318021761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45745</v>
      </c>
      <c r="K365">
        <f ca="1"/>
        <v>-71.96099678066534</v>
      </c>
      <c r="L365">
        <f ca="1"/>
        <v>2.2939842766965626</v>
      </c>
      <c r="M365">
        <f ca="1"/>
        <v>3.0584354449949558E-2</v>
      </c>
      <c r="N365">
        <f ca="1"/>
        <v>0.40661158522265806</v>
      </c>
      <c r="O365">
        <f ca="1"/>
        <v>0</v>
      </c>
      <c r="P365">
        <f ca="1"/>
        <v>145.44017270248492</v>
      </c>
      <c r="Q365">
        <f ca="1"/>
        <v>134.57938058509157</v>
      </c>
      <c r="R365">
        <f ca="1"/>
        <v>0</v>
      </c>
      <c r="S365">
        <f ca="1"/>
        <v>0.44828571687551488</v>
      </c>
      <c r="T365">
        <f ca="1"/>
        <v>0</v>
      </c>
      <c r="U365">
        <f ca="1"/>
        <v>0</v>
      </c>
      <c r="V365">
        <f ca="1"/>
        <v>0.99989586811883679</v>
      </c>
      <c r="X365" s="2">
        <f t="shared" ca="1" si="36"/>
        <v>45745</v>
      </c>
      <c r="Y365">
        <f t="shared" ca="1" si="37"/>
        <v>0</v>
      </c>
      <c r="AA365" s="63">
        <f t="shared" ca="1" si="39"/>
        <v>-69.667012503968778</v>
      </c>
      <c r="AB365" s="63">
        <f t="shared" ca="1" si="40"/>
        <v>-69.667012503968778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45746</v>
      </c>
      <c r="K366">
        <f ca="1"/>
        <v>-73.778667398817177</v>
      </c>
      <c r="L366">
        <f ca="1"/>
        <v>2.2342448026564057</v>
      </c>
      <c r="M366">
        <f ca="1"/>
        <v>2.8108998060275781E-2</v>
      </c>
      <c r="N366">
        <f ca="1"/>
        <v>0.38846518644429417</v>
      </c>
      <c r="O366">
        <f ca="1"/>
        <v>0</v>
      </c>
      <c r="P366">
        <f ca="1"/>
        <v>147.67441750514132</v>
      </c>
      <c r="Q366">
        <f ca="1"/>
        <v>136.64678243170545</v>
      </c>
      <c r="R366">
        <f ca="1"/>
        <v>0</v>
      </c>
      <c r="S366">
        <f ca="1"/>
        <v>0.42475099674107791</v>
      </c>
      <c r="T366">
        <f ca="1"/>
        <v>0</v>
      </c>
      <c r="U366">
        <f ca="1"/>
        <v>0</v>
      </c>
      <c r="V366">
        <f ca="1"/>
        <v>0.99990710061489785</v>
      </c>
      <c r="X366" s="2">
        <f t="shared" ca="1" si="36"/>
        <v>45746</v>
      </c>
      <c r="Y366">
        <f t="shared" ca="1" si="37"/>
        <v>0</v>
      </c>
      <c r="AA366" s="63">
        <f t="shared" ca="1" si="39"/>
        <v>-71.544422596160771</v>
      </c>
      <c r="AB366" s="63">
        <f t="shared" ca="1" si="40"/>
        <v>-71.544422596160771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45747</v>
      </c>
      <c r="K367">
        <f ca="1"/>
        <v>-75.534146854894615</v>
      </c>
      <c r="L367">
        <f ca="1"/>
        <v>2.1715862500884668</v>
      </c>
      <c r="M367">
        <f ca="1"/>
        <v>2.8041764523024426E-2</v>
      </c>
      <c r="N367">
        <f ca="1"/>
        <v>0.38806502948800331</v>
      </c>
      <c r="O367">
        <f ca="1"/>
        <v>0</v>
      </c>
      <c r="P367">
        <f ca="1"/>
        <v>149.84600375522979</v>
      </c>
      <c r="Q367">
        <f ca="1"/>
        <v>138.65620477350808</v>
      </c>
      <c r="R367">
        <f ca="1"/>
        <v>0</v>
      </c>
      <c r="S367">
        <f ca="1"/>
        <v>0.43727404295182737</v>
      </c>
      <c r="T367">
        <f ca="1"/>
        <v>0</v>
      </c>
      <c r="U367">
        <f ca="1"/>
        <v>0</v>
      </c>
      <c r="V367">
        <f ca="1"/>
        <v>0.9999170000723212</v>
      </c>
      <c r="X367" s="2">
        <f t="shared" ca="1" si="36"/>
        <v>45747</v>
      </c>
      <c r="Y367">
        <f t="shared" ca="1" si="37"/>
        <v>0</v>
      </c>
      <c r="AA367" s="63">
        <f t="shared" ca="1" si="39"/>
        <v>-73.362560604806148</v>
      </c>
      <c r="AB367" s="63">
        <f t="shared" ca="1" si="40"/>
        <v>-73.362560604806148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45748</v>
      </c>
      <c r="K368">
        <f ca="1"/>
        <v>-77.233926511306265</v>
      </c>
      <c r="L368">
        <f ca="1"/>
        <v>2.1001198113353325</v>
      </c>
      <c r="M368">
        <f ca="1"/>
        <v>2.6358804237624156E-2</v>
      </c>
      <c r="N368">
        <f ca="1"/>
        <v>0.37398135068607152</v>
      </c>
      <c r="O368">
        <f ca="1"/>
        <v>0</v>
      </c>
      <c r="P368">
        <f ca="1"/>
        <v>151.94612356656512</v>
      </c>
      <c r="Q368">
        <f ca="1"/>
        <v>140.59949745607486</v>
      </c>
      <c r="R368">
        <f ca="1"/>
        <v>0</v>
      </c>
      <c r="S368">
        <f ca="1"/>
        <v>0.42613750452613658</v>
      </c>
      <c r="T368">
        <f ca="1"/>
        <v>0</v>
      </c>
      <c r="U368">
        <f ca="1"/>
        <v>0</v>
      </c>
      <c r="V368">
        <f ca="1"/>
        <v>0.99992570135998982</v>
      </c>
      <c r="X368" s="2">
        <f t="shared" ca="1" si="36"/>
        <v>45748</v>
      </c>
      <c r="Y368">
        <f t="shared" ca="1" si="37"/>
        <v>0</v>
      </c>
      <c r="AA368" s="63">
        <f t="shared" ca="1" si="39"/>
        <v>-75.133806699970918</v>
      </c>
      <c r="AB368" s="63">
        <f t="shared" ca="1" si="40"/>
        <v>-75.133806699970933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45749</v>
      </c>
      <c r="K369">
        <f ca="1"/>
        <v>-78.880434478612884</v>
      </c>
      <c r="L369">
        <f ca="1"/>
        <v>2.0538764334348798</v>
      </c>
      <c r="M369">
        <f ca="1"/>
        <v>2.6921438784626162E-2</v>
      </c>
      <c r="N369">
        <f ca="1"/>
        <v>0.38044702734363622</v>
      </c>
      <c r="O369">
        <f ca="1"/>
        <v>0</v>
      </c>
      <c r="P369">
        <f ca="1"/>
        <v>154</v>
      </c>
      <c r="Q369">
        <f ca="1"/>
        <v>142.50000000000003</v>
      </c>
      <c r="R369">
        <f ca="1"/>
        <v>0</v>
      </c>
      <c r="S369">
        <f ca="1"/>
        <v>0.44500389637148446</v>
      </c>
      <c r="T369">
        <f ca="1"/>
        <v>0</v>
      </c>
      <c r="U369">
        <f ca="1"/>
        <v>0</v>
      </c>
      <c r="V369">
        <f ca="1"/>
        <v>0.99993345063478134</v>
      </c>
      <c r="X369" s="2">
        <f t="shared" ca="1" si="36"/>
        <v>45749</v>
      </c>
      <c r="Y369">
        <f t="shared" ca="1" si="37"/>
        <v>0</v>
      </c>
      <c r="AA369" s="63">
        <f t="shared" ca="1" si="39"/>
        <v>-76.826558045178004</v>
      </c>
      <c r="AB369" s="63">
        <f t="shared" ca="1" si="40"/>
        <v>-76.826558045178004</v>
      </c>
      <c r="AC369" s="3">
        <f t="shared" ca="1" si="41"/>
        <v>0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K28" sqref="K28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14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 t="s">
        <v>29</v>
      </c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280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263</v>
      </c>
      <c r="AF7">
        <v>2</v>
      </c>
      <c r="AH7" t="s">
        <v>212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264</v>
      </c>
      <c r="AF8">
        <v>3</v>
      </c>
      <c r="AH8" t="s">
        <v>67</v>
      </c>
      <c r="AI8">
        <v>1.1499999999999999</v>
      </c>
      <c r="AJ8">
        <v>1.22</v>
      </c>
      <c r="AM8" s="114" t="s">
        <v>267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268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269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270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271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272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273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 ht="15" thickBot="1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 ht="15" thickBot="1">
      <c r="A18" s="12"/>
      <c r="C18" s="49" t="s">
        <v>38</v>
      </c>
      <c r="D18" s="49" t="s">
        <v>49</v>
      </c>
      <c r="G18" s="50" t="s">
        <v>71</v>
      </c>
      <c r="J18" s="45" t="s">
        <v>27</v>
      </c>
    </row>
    <row r="19" spans="1:40" ht="15" thickBot="1">
      <c r="A19" s="12"/>
      <c r="C19" s="49" t="s">
        <v>43</v>
      </c>
      <c r="D19" s="49" t="s">
        <v>43</v>
      </c>
      <c r="G19" s="50" t="s">
        <v>87</v>
      </c>
      <c r="J19" s="46" t="s">
        <v>30</v>
      </c>
    </row>
    <row r="20" spans="1:40" ht="15" thickBot="1">
      <c r="A20" s="12"/>
      <c r="G20" s="50" t="s">
        <v>66</v>
      </c>
      <c r="J20" s="46" t="s">
        <v>32</v>
      </c>
    </row>
    <row r="21" spans="1:40" ht="15" thickBot="1">
      <c r="A21" s="12"/>
      <c r="G21" s="50" t="s">
        <v>6</v>
      </c>
      <c r="J21" s="46" t="s">
        <v>46</v>
      </c>
    </row>
    <row r="22" spans="1:40" ht="15" thickBot="1">
      <c r="A22" s="12"/>
      <c r="G22" s="50" t="s">
        <v>7</v>
      </c>
      <c r="J22" s="46" t="s">
        <v>274</v>
      </c>
    </row>
    <row r="23" spans="1:40" ht="15" thickBot="1">
      <c r="A23" s="12"/>
      <c r="G23" s="50" t="s">
        <v>58</v>
      </c>
      <c r="J23" s="46" t="s">
        <v>18</v>
      </c>
    </row>
    <row r="24" spans="1:40">
      <c r="A24" s="12"/>
      <c r="G24" s="50" t="s">
        <v>90</v>
      </c>
      <c r="J24" s="47" t="s">
        <v>65</v>
      </c>
    </row>
    <row r="25" spans="1:40">
      <c r="A25" s="12"/>
      <c r="G25" s="50" t="s">
        <v>53</v>
      </c>
      <c r="J25" s="119" t="s">
        <v>8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11" activePane="bottomRight" state="frozen"/>
      <selection pane="topRight" activeCell="G1" sqref="G1"/>
      <selection pane="bottomLeft" activeCell="A2" sqref="A2"/>
      <selection pane="bottomRight" activeCell="C29" sqref="C29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P4" sqref="P4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16.18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5.67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16.809999999999999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5.51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5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16.05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1.56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5.15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16.2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0.44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17.399999999999999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0.93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17.100000000000001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2.3199999999999998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5.58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0.91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5.15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2.7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4.6500000000000004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2.75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16.829999999999998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5.16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16.84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0.94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17.34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1.0900000000000001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5.84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16.829999999999998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0.78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5.66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0.56999999999999995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3.49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5.0199999999999996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15.94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0.26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17.48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0.36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1.95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5.52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17.18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5.21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16.84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16.690000000000001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1.26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4.7300000000000004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16.329999999999998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1.03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5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0.06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5.2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18.010000000000002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5.3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18.13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5.63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17.559999999999999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0.27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4.8899999999999997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16.34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4.5999999999999996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17.920000000000002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5.28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16.079999999999998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2.21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4.2699999999999996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16.54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16.53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4.6900000000000004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16.86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5.0199999999999996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16.96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1.1399999999999999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4.6100000000000003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16.87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0.78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4.41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17.489999999999998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4.47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4.3600000000000003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16.399999999999999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15.89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3.67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2.2599999999999998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16.04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4.22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17.16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1.38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4.9000000000000004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16.989999999999998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16.66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4.66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16.7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4.47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1.53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1.79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3.91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1.68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4.83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16.190000000000001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4.4800000000000004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16.190000000000001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4.3899999999999997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16.21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1.17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4.0999999999999996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16.079999999999998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1.34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16.260000000000002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4.4800000000000004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4.33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15.22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3.53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15.77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4.1100000000000003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16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4.08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15.02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3.89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15.33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0.99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15.06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14.96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3.25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3.18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15.21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3.93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1.35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14.82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3.65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1.85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3.24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1.1599999999999999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3.55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15.36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3.28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2.97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3.17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14.4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2.09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3.16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0.37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14.47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14.93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3.22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14.87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1.06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3.25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14.94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2.79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3.41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1.88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3.06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1.0900000000000001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14.02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3.22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13.61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13.09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1.73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2.78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2.5499999999999998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3.51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11.36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2.0699999999999998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2.4300000000000002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1.38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2.31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11.45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2.13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11.9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2.17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2.65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1.1599999999999999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2.1800000000000002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1.69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11.6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0.88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2.3199999999999998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11.19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1.64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1.92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11.59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11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1.82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11.55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1.88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11.7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1.8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12.13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2.16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10.83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5.44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1.64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2.59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1.65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10.199999999999999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1.59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10.32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1.53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10.27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0.92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1.79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1.0900000000000001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1.93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11.14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1.1200000000000001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10.08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3.06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1.7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10.23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10.15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1.63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10.029999999999999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1.7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9.6199999999999992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10.18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2.0099999999999998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9.2799999999999994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9.0500000000000007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1.43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9.44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1.94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1.28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1.59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1.1599999999999999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1.39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8.7899999999999991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3.38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8.3699999999999992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1.91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4.38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1.34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8.4600000000000009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1.46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8.19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2.37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1.61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8.3800000000000008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1.53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1.22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8.07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1.1299999999999999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7.45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2.0499999999999998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1.24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7.2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1.35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1.1200000000000001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7.08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2.14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7.62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2.0699999999999998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1.27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7.83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1.48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1.24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7.83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1.0900000000000001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7.61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1.26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6.87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2.0299999999999998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1.1499999999999999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1.56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7.34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3.42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1.06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6.02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6.48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1.1299999999999999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1.1000000000000001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1.1000000000000001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2.0299999999999998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1.02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6.21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1.42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1.1200000000000001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1.31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1.1599999999999999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1.81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6.15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3.15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1.04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2.1800000000000002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1.22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1.36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1.0900000000000001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1.1000000000000001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1.1399999999999999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6.54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1.31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6.33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1.1499999999999999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1.1200000000000001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1.19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1.79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1.08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5.46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1.1599999999999999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1.1299999999999999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1.72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1.1399999999999999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5.82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1.24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5.9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1.45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6.16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1.0900000000000001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2.35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6.71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1.77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1.18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1.0900000000000001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6.58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2.5499999999999998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1.23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0.85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1.38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0.63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6.81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2.64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1.45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1.5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1.61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7.1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2.4300000000000002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1.56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7.03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7.45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0.8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1.54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1.78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1.58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1.51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6.77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0.77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1.34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1.76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7.46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0.61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1.5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1.52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7.33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3.24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1.72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1.46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7.07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7.74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2.02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1.68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2.0499999999999998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1.65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2.0299999999999998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1.72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2.4900000000000002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1.84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2.4700000000000002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1.66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7.52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2.04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7.57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1.28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1.87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7.26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7.51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3.63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7.64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2.08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8.3000000000000007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1.94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2.4700000000000002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1.71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8.25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1.93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8.56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1.87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2.0099999999999998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8.2100000000000009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8.8000000000000007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1.31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7.9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2.14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2.4300000000000002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9.0299999999999994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1.24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2.2799999999999998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8.75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1.07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8.7200000000000006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1.0900000000000001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2.2000000000000002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2.0099999999999998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8.91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1.42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2.44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8.9700000000000006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0.52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1.08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2.5099999999999998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1.0900000000000001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9.01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2.63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9.7100000000000009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2.04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2.8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9.6199999999999992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9.3800000000000008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1.52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2.31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9.86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2.72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2.88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10.48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0.27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9.8800000000000008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1.84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9.5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9.9700000000000006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9.6300000000000008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1.41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2.87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2.85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9.92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2.15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2.44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1.54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10.45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3.04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10.199999999999999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2.64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2.2200000000000002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0.34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3.46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3.42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2.93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3.02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11.08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0.87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1.1399999999999999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3.45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10.130000000000001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2.94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2.89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10.06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10.75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1.82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1.74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11.45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3.23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3.77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11.09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1.81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3.67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11.56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0.69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4.1399999999999997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0.92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1.08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3.89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1.58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11.61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3.95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1.04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4.07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13.21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12.87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1.45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4.22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4.4000000000000004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13.44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4.6100000000000003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12.76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4.74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13.02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1.71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12.32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2.31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4.3099999999999996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12.55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12.82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4.3899999999999997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0.52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5.19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4.8899999999999997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2.2599999999999998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4.53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4.3499999999999996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13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4.6399999999999997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0.47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5.05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1.8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4.8099999999999996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1.47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2.62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12.16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4.12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13.05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1.5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12.27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4.38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0.91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4.84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1.1000000000000001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4.9000000000000004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14.23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4.53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13.94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4.7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4.67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1.1299999999999999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4.5199999999999996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1.66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4.4000000000000004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14.52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1.1499999999999999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4.9000000000000004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14.79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15.43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4.87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0.99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4.1900000000000004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14.83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1.1200000000000001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4.79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14.88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14.22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0.68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4.3899999999999997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16.63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1.22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5.25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15.62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2.6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5.1100000000000003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15.56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1.93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4.59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2.41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4.7699999999999996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15.5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1.94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4.99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15.19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4.17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4.9800000000000004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14.99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15.32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5.28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0.45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15.14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4.92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16.899999999999999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1.1200000000000001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5.72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2.97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5.78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15.8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4.88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16.34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2.57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4.8099999999999996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5.38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2.4900000000000002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5.48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2024-06-22T08:03:31Z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