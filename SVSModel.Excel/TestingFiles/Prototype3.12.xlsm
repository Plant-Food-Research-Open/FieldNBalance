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F6EBD915-8E64-4787-821C-E76AF07902B3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ConceptDemo!$D$73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ConceptDemo!$D$73</definedName>
    <definedName name="Early_harvest">ListMembers!$CS$2:$CS$10</definedName>
    <definedName name="Efficiency">ConceptDemo!$D$72</definedName>
    <definedName name="FinalFertDate">ConceptDemo!$D$26</definedName>
    <definedName name="Fodder">ListMembers!$C$8:$C$37</definedName>
    <definedName name="Fodder_beet">ListMembers!$BH$2:$BH$10</definedName>
    <definedName name="FollowingCropFullName">ConceptDemo!$D$62</definedName>
    <definedName name="FollowingCropName">ConceptDemo!$D$60</definedName>
    <definedName name="FollowingCropType">ConceptDemo!$D$59</definedName>
    <definedName name="FollowingCropVariety">ConceptDemo!$D$61</definedName>
    <definedName name="FollowingDressingLoss">ConceptDemo!$G$60</definedName>
    <definedName name="FollowingEstablishDate">ConceptDemo!$D$63</definedName>
    <definedName name="FollowingEstablishmentDate">ConceptDemo!$D$63</definedName>
    <definedName name="FollowingEstablishStage">ConceptDemo!$G$63</definedName>
    <definedName name="FollowingFieldLoss">ConceptDemo!$G$59</definedName>
    <definedName name="FollowingHarvestDate">ConceptDemo!$D$64</definedName>
    <definedName name="FollowingHarvestStage">ConceptDemo!$G$64</definedName>
    <definedName name="FollowingMoistureLoss">ConceptDemo!$G$61</definedName>
    <definedName name="FollowingPopulation">ConceptDemo!$D$65</definedName>
    <definedName name="FollowingResidueIncorporation">ConceptDemo!$G$67</definedName>
    <definedName name="FollowingResidueRemoval">ConceptDemo!$G$66</definedName>
    <definedName name="FollowingResidueTreatment">ConceptDemo!$G$66</definedName>
    <definedName name="FollowingUnits">ConceptDemo!$D$67</definedName>
    <definedName name="FollowingYIeld">ConceptDemo!$D$66</definedName>
    <definedName name="FollowingYield_tperHa">ConceptDemo!$B$62</definedName>
    <definedName name="FollowingYieldPerArea">ConceptDemo!$B$62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ConceptDemo!$B$45</definedName>
    <definedName name="InitialN">ConceptDemo!$D$70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ConceptDemo!$D$49</definedName>
    <definedName name="PriorCropNameFull">ConceptDemo!$D$51</definedName>
    <definedName name="PriorCropType">ConceptDemo!$D$48</definedName>
    <definedName name="PriorCropVariety">ConceptDemo!$D$50</definedName>
    <definedName name="PriorDressingLoss">ConceptDemo!$G$49</definedName>
    <definedName name="PriorEstablishDate">ConceptDemo!$D$52</definedName>
    <definedName name="PriorEstablishStage">ConceptDemo!$G$52</definedName>
    <definedName name="PriorFieldLoss">ConceptDemo!$G$48</definedName>
    <definedName name="PriorHarvestDate">ConceptDemo!$D$53</definedName>
    <definedName name="PriorHarvestStage">ConceptDemo!$G$53</definedName>
    <definedName name="PriorMoistureContent">ConceptDemo!$G$50</definedName>
    <definedName name="PriorPopulation">ConceptDemo!$D$54</definedName>
    <definedName name="PriorResidueIncorporation">ConceptDemo!$G$56</definedName>
    <definedName name="PriorResidueRemoval">ConceptDemo!$G$55</definedName>
    <definedName name="PriorResidueTreatment">ConceptDemo!$G$55</definedName>
    <definedName name="PriorSaleableYield">ConceptDemo!$B$51</definedName>
    <definedName name="PriorUnits">ConceptDemo!$D$56</definedName>
    <definedName name="PriorYield">ConceptDemo!$D$55</definedName>
    <definedName name="PriorYield_tperHa">ConceptDemo!$B$51</definedName>
    <definedName name="PriorYieldPerArea">ConceptDemo!$B$51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ConceptDemo!$D$45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ConceptDemo!$D$71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" l="1"/>
  <c r="B16" i="3" s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2" i="1" s="1"/>
  <c r="D25" i="1"/>
  <c r="B11" i="3" s="1"/>
  <c r="G4" i="1"/>
  <c r="B13" i="3" s="1"/>
  <c r="G5" i="1"/>
  <c r="B14" i="3" s="1"/>
  <c r="G6" i="1"/>
  <c r="B15" i="3" s="1"/>
  <c r="C25" i="1"/>
  <c r="B1" i="1"/>
  <c r="G56" i="1"/>
  <c r="B29" i="3" s="1"/>
  <c r="G67" i="1"/>
  <c r="B55" i="3" s="1"/>
  <c r="G15" i="1"/>
  <c r="B42" i="3" s="1"/>
  <c r="G66" i="1"/>
  <c r="B54" i="3" s="1"/>
  <c r="G55" i="1"/>
  <c r="B28" i="3" s="1"/>
  <c r="G14" i="1"/>
  <c r="B41" i="3" s="1"/>
  <c r="D7" i="1"/>
  <c r="D8" i="1" s="1"/>
  <c r="D48" i="1"/>
  <c r="D49" i="1"/>
  <c r="D50" i="1"/>
  <c r="D60" i="1"/>
  <c r="D59" i="1"/>
  <c r="D61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6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3" i="1"/>
  <c r="R14" i="1" s="1"/>
  <c r="D51" i="1"/>
  <c r="G9" i="1"/>
  <c r="D10" i="1"/>
  <c r="B39" i="3" s="1"/>
  <c r="J8" i="3" s="1"/>
  <c r="B21" i="1"/>
  <c r="B45" i="1"/>
  <c r="D45" i="1"/>
  <c r="B37" i="3"/>
  <c r="B30" i="3"/>
  <c r="D18" i="3"/>
  <c r="D9" i="3"/>
  <c r="AI10" i="3" a="1"/>
  <c r="AI11" i="3" a="1"/>
  <c r="AI9" i="3" a="1"/>
  <c r="G53" i="1" l="1"/>
  <c r="D55" i="1"/>
  <c r="B18" i="3" s="1"/>
  <c r="AI9" i="3"/>
  <c r="AI11" i="3"/>
  <c r="AI10" i="3"/>
  <c r="D63" i="1"/>
  <c r="B50" i="3" s="1"/>
  <c r="G59" i="1"/>
  <c r="G64" i="1"/>
  <c r="D13" i="1"/>
  <c r="G11" i="1"/>
  <c r="G10" i="1"/>
  <c r="D12" i="1"/>
  <c r="B31" i="3" s="1"/>
  <c r="G13" i="1"/>
  <c r="G12" i="1"/>
  <c r="D56" i="1"/>
  <c r="D54" i="1" s="1"/>
  <c r="G52" i="1"/>
  <c r="G50" i="1"/>
  <c r="G49" i="1"/>
  <c r="G48" i="1"/>
  <c r="G60" i="1"/>
  <c r="G63" i="1"/>
  <c r="G61" i="1"/>
  <c r="D66" i="1"/>
  <c r="B44" i="3" s="1"/>
  <c r="D67" i="1"/>
  <c r="D65" i="1" s="1"/>
  <c r="B51" i="1" l="1"/>
  <c r="D64" i="1"/>
  <c r="B52" i="3" s="1"/>
  <c r="B45" i="3"/>
  <c r="B46" i="3"/>
  <c r="B19" i="3"/>
  <c r="B20" i="3"/>
  <c r="D11" i="1"/>
  <c r="B32" i="3" s="1"/>
  <c r="B33" i="3"/>
  <c r="C12" i="1"/>
  <c r="B36" i="3"/>
  <c r="B38" i="3"/>
  <c r="B35" i="3"/>
  <c r="B40" i="3"/>
  <c r="B34" i="3"/>
  <c r="B62" i="1" l="1"/>
  <c r="C68" i="1" s="1"/>
  <c r="C57" i="1"/>
  <c r="B14" i="1"/>
  <c r="C14" i="1" s="1"/>
  <c r="B43" i="3"/>
  <c r="B49" i="3"/>
  <c r="B48" i="3"/>
  <c r="B47" i="3"/>
  <c r="B53" i="3"/>
  <c r="B51" i="3"/>
  <c r="B17" i="3"/>
  <c r="B27" i="3"/>
  <c r="B23" i="3"/>
  <c r="B22" i="3"/>
  <c r="B21" i="3"/>
  <c r="B25" i="3"/>
  <c r="B26" i="3"/>
  <c r="J7" i="3" s="1"/>
  <c r="B24" i="3"/>
  <c r="AG10" i="3" a="1"/>
  <c r="J10" i="3" a="1"/>
  <c r="I1" i="3" a="1"/>
  <c r="AG11" i="3" a="1"/>
  <c r="AG5" i="3" a="1"/>
  <c r="AH9" i="3" a="1"/>
  <c r="AH11" i="3" a="1"/>
  <c r="AG9" i="3" a="1"/>
  <c r="AH10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K11" i="3" a="1"/>
  <c r="AO10" i="3" a="1"/>
  <c r="AL9" i="3" a="1"/>
  <c r="AM9" i="3" a="1"/>
  <c r="AK10" i="3" a="1"/>
  <c r="AL10" i="3" a="1"/>
  <c r="AL11" i="3" a="1"/>
  <c r="AN11" i="3" a="1"/>
  <c r="AO11" i="3" a="1"/>
  <c r="AO9" i="3" a="1"/>
  <c r="AM10" i="3" a="1"/>
  <c r="AN10" i="3" a="1"/>
  <c r="AJ10" i="3" a="1"/>
  <c r="AJ9" i="3" a="1"/>
  <c r="AN9" i="3" a="1"/>
  <c r="AK9" i="3" a="1"/>
  <c r="AM11" i="3" a="1"/>
  <c r="AJ11" i="3" a="1"/>
  <c r="P8" i="3" l="1"/>
  <c r="D14" i="1" s="1"/>
  <c r="AO11" i="3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E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30" i="1" a="1"/>
  <c r="A37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7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8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E18" i="1"/>
  <c r="AF18" i="1" s="1"/>
  <c r="AJ18" i="1" s="1"/>
  <c r="AE26" i="1"/>
  <c r="AF26" i="1" s="1"/>
  <c r="AE34" i="1"/>
  <c r="AF34" i="1" s="1"/>
  <c r="AE42" i="1"/>
  <c r="AF42" i="1" s="1"/>
  <c r="AE50" i="1"/>
  <c r="AF50" i="1" s="1"/>
  <c r="AE58" i="1"/>
  <c r="AF58" i="1" s="1"/>
  <c r="AE66" i="1"/>
  <c r="AF66" i="1" s="1"/>
  <c r="AE74" i="1"/>
  <c r="AF74" i="1" s="1"/>
  <c r="AE82" i="1"/>
  <c r="AF82" i="1" s="1"/>
  <c r="AE90" i="1"/>
  <c r="AF90" i="1" s="1"/>
  <c r="AE98" i="1"/>
  <c r="AF98" i="1" s="1"/>
  <c r="AE106" i="1"/>
  <c r="AF106" i="1" s="1"/>
  <c r="AE114" i="1"/>
  <c r="AF114" i="1" s="1"/>
  <c r="AE122" i="1"/>
  <c r="AF122" i="1" s="1"/>
  <c r="AE130" i="1"/>
  <c r="AF130" i="1" s="1"/>
  <c r="AE138" i="1"/>
  <c r="AF138" i="1" s="1"/>
  <c r="AE146" i="1"/>
  <c r="AF146" i="1" s="1"/>
  <c r="AE154" i="1"/>
  <c r="AF154" i="1" s="1"/>
  <c r="AE162" i="1"/>
  <c r="AF162" i="1" s="1"/>
  <c r="AE170" i="1"/>
  <c r="AF170" i="1" s="1"/>
  <c r="AE178" i="1"/>
  <c r="AF178" i="1" s="1"/>
  <c r="AE186" i="1"/>
  <c r="AF186" i="1" s="1"/>
  <c r="AE194" i="1"/>
  <c r="AF194" i="1" s="1"/>
  <c r="AE202" i="1"/>
  <c r="AF202" i="1" s="1"/>
  <c r="AE210" i="1"/>
  <c r="AF210" i="1" s="1"/>
  <c r="AE218" i="1"/>
  <c r="AF218" i="1" s="1"/>
  <c r="AE226" i="1"/>
  <c r="AF226" i="1" s="1"/>
  <c r="AE234" i="1"/>
  <c r="AF234" i="1" s="1"/>
  <c r="AE242" i="1"/>
  <c r="AF242" i="1" s="1"/>
  <c r="AE250" i="1"/>
  <c r="AF250" i="1" s="1"/>
  <c r="AE258" i="1"/>
  <c r="AF258" i="1" s="1"/>
  <c r="AE266" i="1"/>
  <c r="AF266" i="1" s="1"/>
  <c r="AE274" i="1"/>
  <c r="AF274" i="1" s="1"/>
  <c r="AE282" i="1"/>
  <c r="AF282" i="1" s="1"/>
  <c r="AE290" i="1"/>
  <c r="AF290" i="1" s="1"/>
  <c r="AE298" i="1"/>
  <c r="AF298" i="1" s="1"/>
  <c r="AE306" i="1"/>
  <c r="AF306" i="1" s="1"/>
  <c r="AE314" i="1"/>
  <c r="AF314" i="1" s="1"/>
  <c r="AE322" i="1"/>
  <c r="AF322" i="1" s="1"/>
  <c r="AE330" i="1"/>
  <c r="AF330" i="1" s="1"/>
  <c r="AE338" i="1"/>
  <c r="AF338" i="1" s="1"/>
  <c r="AE346" i="1"/>
  <c r="AF346" i="1" s="1"/>
  <c r="AE354" i="1"/>
  <c r="AF354" i="1" s="1"/>
  <c r="AE362" i="1"/>
  <c r="AF362" i="1" s="1"/>
  <c r="AE370" i="1"/>
  <c r="AF370" i="1" s="1"/>
  <c r="AE378" i="1"/>
  <c r="AF378" i="1" s="1"/>
  <c r="AE386" i="1"/>
  <c r="AF386" i="1" s="1"/>
  <c r="AE394" i="1"/>
  <c r="AF394" i="1" s="1"/>
  <c r="AE402" i="1"/>
  <c r="AF402" i="1" s="1"/>
  <c r="AE410" i="1"/>
  <c r="AF410" i="1" s="1"/>
  <c r="AE418" i="1"/>
  <c r="AF418" i="1" s="1"/>
  <c r="AE426" i="1"/>
  <c r="AF426" i="1" s="1"/>
  <c r="AE434" i="1"/>
  <c r="AF434" i="1" s="1"/>
  <c r="AE442" i="1"/>
  <c r="AF442" i="1" s="1"/>
  <c r="AE450" i="1"/>
  <c r="AF450" i="1" s="1"/>
  <c r="AE458" i="1"/>
  <c r="AF458" i="1" s="1"/>
  <c r="AE466" i="1"/>
  <c r="AF466" i="1" s="1"/>
  <c r="AE474" i="1"/>
  <c r="AF474" i="1" s="1"/>
  <c r="AE482" i="1"/>
  <c r="AF482" i="1" s="1"/>
  <c r="AE490" i="1"/>
  <c r="AF490" i="1" s="1"/>
  <c r="AE498" i="1"/>
  <c r="AF498" i="1" s="1"/>
  <c r="AE506" i="1"/>
  <c r="AF506" i="1" s="1"/>
  <c r="AE514" i="1"/>
  <c r="AF514" i="1" s="1"/>
  <c r="AE522" i="1"/>
  <c r="AF522" i="1" s="1"/>
  <c r="AE530" i="1"/>
  <c r="AF530" i="1" s="1"/>
  <c r="AE538" i="1"/>
  <c r="AF538" i="1" s="1"/>
  <c r="AE546" i="1"/>
  <c r="AF546" i="1" s="1"/>
  <c r="AE554" i="1"/>
  <c r="AF554" i="1" s="1"/>
  <c r="AE562" i="1"/>
  <c r="AF562" i="1" s="1"/>
  <c r="AE570" i="1"/>
  <c r="AF570" i="1" s="1"/>
  <c r="AE578" i="1"/>
  <c r="AF578" i="1" s="1"/>
  <c r="AE586" i="1"/>
  <c r="AF586" i="1" s="1"/>
  <c r="AE594" i="1"/>
  <c r="AF594" i="1" s="1"/>
  <c r="AE602" i="1"/>
  <c r="AF602" i="1" s="1"/>
  <c r="AE610" i="1"/>
  <c r="AF610" i="1" s="1"/>
  <c r="AE618" i="1"/>
  <c r="AF618" i="1" s="1"/>
  <c r="AE626" i="1"/>
  <c r="AF626" i="1" s="1"/>
  <c r="AE634" i="1"/>
  <c r="AF634" i="1" s="1"/>
  <c r="AE642" i="1"/>
  <c r="AF642" i="1" s="1"/>
  <c r="AE650" i="1"/>
  <c r="AF650" i="1" s="1"/>
  <c r="AE658" i="1"/>
  <c r="AF658" i="1" s="1"/>
  <c r="AE29" i="1"/>
  <c r="AF29" i="1" s="1"/>
  <c r="AE19" i="1"/>
  <c r="AF19" i="1" s="1"/>
  <c r="AE27" i="1"/>
  <c r="AF27" i="1" s="1"/>
  <c r="AE35" i="1"/>
  <c r="AF35" i="1" s="1"/>
  <c r="AE43" i="1"/>
  <c r="AF43" i="1" s="1"/>
  <c r="AE51" i="1"/>
  <c r="AF51" i="1" s="1"/>
  <c r="AE59" i="1"/>
  <c r="AF59" i="1" s="1"/>
  <c r="AE67" i="1"/>
  <c r="AF67" i="1" s="1"/>
  <c r="AE75" i="1"/>
  <c r="AF75" i="1" s="1"/>
  <c r="AE83" i="1"/>
  <c r="AF83" i="1" s="1"/>
  <c r="AE91" i="1"/>
  <c r="AF91" i="1" s="1"/>
  <c r="AE99" i="1"/>
  <c r="AF99" i="1" s="1"/>
  <c r="AE107" i="1"/>
  <c r="AF107" i="1" s="1"/>
  <c r="AE115" i="1"/>
  <c r="AF115" i="1" s="1"/>
  <c r="AE123" i="1"/>
  <c r="AF123" i="1" s="1"/>
  <c r="AE131" i="1"/>
  <c r="AF131" i="1" s="1"/>
  <c r="AE139" i="1"/>
  <c r="AF139" i="1" s="1"/>
  <c r="AE147" i="1"/>
  <c r="AF147" i="1" s="1"/>
  <c r="AE155" i="1"/>
  <c r="AF155" i="1" s="1"/>
  <c r="AE163" i="1"/>
  <c r="AF163" i="1" s="1"/>
  <c r="AE171" i="1"/>
  <c r="AF171" i="1" s="1"/>
  <c r="AE179" i="1"/>
  <c r="AF179" i="1" s="1"/>
  <c r="AE187" i="1"/>
  <c r="AF187" i="1" s="1"/>
  <c r="AE195" i="1"/>
  <c r="AF195" i="1" s="1"/>
  <c r="AE203" i="1"/>
  <c r="AF203" i="1" s="1"/>
  <c r="AE211" i="1"/>
  <c r="AF211" i="1" s="1"/>
  <c r="AE219" i="1"/>
  <c r="AF219" i="1" s="1"/>
  <c r="AE227" i="1"/>
  <c r="AF227" i="1" s="1"/>
  <c r="AE235" i="1"/>
  <c r="AF235" i="1" s="1"/>
  <c r="AE243" i="1"/>
  <c r="AF243" i="1" s="1"/>
  <c r="AE251" i="1"/>
  <c r="AF251" i="1" s="1"/>
  <c r="AE259" i="1"/>
  <c r="AF259" i="1" s="1"/>
  <c r="AE267" i="1"/>
  <c r="AF267" i="1" s="1"/>
  <c r="AE275" i="1"/>
  <c r="AF275" i="1" s="1"/>
  <c r="AE283" i="1"/>
  <c r="AF283" i="1" s="1"/>
  <c r="AE291" i="1"/>
  <c r="AF291" i="1" s="1"/>
  <c r="AE299" i="1"/>
  <c r="AF299" i="1" s="1"/>
  <c r="AE307" i="1"/>
  <c r="AF307" i="1" s="1"/>
  <c r="AE315" i="1"/>
  <c r="AF315" i="1" s="1"/>
  <c r="AE323" i="1"/>
  <c r="AF323" i="1" s="1"/>
  <c r="AE331" i="1"/>
  <c r="AF331" i="1" s="1"/>
  <c r="AE339" i="1"/>
  <c r="AF339" i="1" s="1"/>
  <c r="AE347" i="1"/>
  <c r="AF347" i="1" s="1"/>
  <c r="AE355" i="1"/>
  <c r="AF355" i="1" s="1"/>
  <c r="AE363" i="1"/>
  <c r="AF363" i="1" s="1"/>
  <c r="AE371" i="1"/>
  <c r="AF371" i="1" s="1"/>
  <c r="AE379" i="1"/>
  <c r="AF379" i="1" s="1"/>
  <c r="AE387" i="1"/>
  <c r="AF387" i="1" s="1"/>
  <c r="AE395" i="1"/>
  <c r="AF395" i="1" s="1"/>
  <c r="AE403" i="1"/>
  <c r="AF403" i="1" s="1"/>
  <c r="AE411" i="1"/>
  <c r="AF411" i="1" s="1"/>
  <c r="AE419" i="1"/>
  <c r="AF419" i="1" s="1"/>
  <c r="AE427" i="1"/>
  <c r="AF427" i="1" s="1"/>
  <c r="AE435" i="1"/>
  <c r="AF435" i="1" s="1"/>
  <c r="AE443" i="1"/>
  <c r="AF443" i="1" s="1"/>
  <c r="AE451" i="1"/>
  <c r="AF451" i="1" s="1"/>
  <c r="AE459" i="1"/>
  <c r="AF459" i="1" s="1"/>
  <c r="AE467" i="1"/>
  <c r="AF467" i="1" s="1"/>
  <c r="AE475" i="1"/>
  <c r="AF475" i="1" s="1"/>
  <c r="AE483" i="1"/>
  <c r="AF483" i="1" s="1"/>
  <c r="AE491" i="1"/>
  <c r="AF491" i="1" s="1"/>
  <c r="AE499" i="1"/>
  <c r="AF499" i="1" s="1"/>
  <c r="AE507" i="1"/>
  <c r="AF507" i="1" s="1"/>
  <c r="AE515" i="1"/>
  <c r="AF515" i="1" s="1"/>
  <c r="AE523" i="1"/>
  <c r="AF523" i="1" s="1"/>
  <c r="AE531" i="1"/>
  <c r="AF531" i="1" s="1"/>
  <c r="AE539" i="1"/>
  <c r="AF539" i="1" s="1"/>
  <c r="AE547" i="1"/>
  <c r="AF547" i="1" s="1"/>
  <c r="AE555" i="1"/>
  <c r="AF555" i="1" s="1"/>
  <c r="AE563" i="1"/>
  <c r="AF563" i="1" s="1"/>
  <c r="AE571" i="1"/>
  <c r="AF571" i="1" s="1"/>
  <c r="AE579" i="1"/>
  <c r="AF579" i="1" s="1"/>
  <c r="AE587" i="1"/>
  <c r="AF587" i="1" s="1"/>
  <c r="AE595" i="1"/>
  <c r="AF595" i="1" s="1"/>
  <c r="AE603" i="1"/>
  <c r="AF603" i="1" s="1"/>
  <c r="AE611" i="1"/>
  <c r="AF611" i="1" s="1"/>
  <c r="AE619" i="1"/>
  <c r="AF619" i="1" s="1"/>
  <c r="AE627" i="1"/>
  <c r="AF627" i="1" s="1"/>
  <c r="AE635" i="1"/>
  <c r="AF635" i="1" s="1"/>
  <c r="AE643" i="1"/>
  <c r="AF643" i="1" s="1"/>
  <c r="AE651" i="1"/>
  <c r="AF651" i="1" s="1"/>
  <c r="AE659" i="1"/>
  <c r="AF659" i="1" s="1"/>
  <c r="AE20" i="1"/>
  <c r="AF20" i="1" s="1"/>
  <c r="AE28" i="1"/>
  <c r="AF28" i="1" s="1"/>
  <c r="AE36" i="1"/>
  <c r="AF36" i="1" s="1"/>
  <c r="AE44" i="1"/>
  <c r="AF44" i="1" s="1"/>
  <c r="AE52" i="1"/>
  <c r="AF52" i="1" s="1"/>
  <c r="AE60" i="1"/>
  <c r="AF60" i="1" s="1"/>
  <c r="AE68" i="1"/>
  <c r="AF68" i="1" s="1"/>
  <c r="AE76" i="1"/>
  <c r="AF76" i="1" s="1"/>
  <c r="AE84" i="1"/>
  <c r="AF84" i="1" s="1"/>
  <c r="AE92" i="1"/>
  <c r="AF92" i="1" s="1"/>
  <c r="AE100" i="1"/>
  <c r="AF100" i="1" s="1"/>
  <c r="AE108" i="1"/>
  <c r="AF108" i="1" s="1"/>
  <c r="AE116" i="1"/>
  <c r="AF116" i="1" s="1"/>
  <c r="AE124" i="1"/>
  <c r="AF124" i="1" s="1"/>
  <c r="AE132" i="1"/>
  <c r="AF132" i="1" s="1"/>
  <c r="AE140" i="1"/>
  <c r="AF140" i="1" s="1"/>
  <c r="AE148" i="1"/>
  <c r="AF148" i="1" s="1"/>
  <c r="AE156" i="1"/>
  <c r="AF156" i="1" s="1"/>
  <c r="AE164" i="1"/>
  <c r="AF164" i="1" s="1"/>
  <c r="AE172" i="1"/>
  <c r="AF172" i="1" s="1"/>
  <c r="AE180" i="1"/>
  <c r="AF180" i="1" s="1"/>
  <c r="AE188" i="1"/>
  <c r="AF188" i="1" s="1"/>
  <c r="AE196" i="1"/>
  <c r="AF196" i="1" s="1"/>
  <c r="AE204" i="1"/>
  <c r="AF204" i="1" s="1"/>
  <c r="AE212" i="1"/>
  <c r="AF212" i="1" s="1"/>
  <c r="AE220" i="1"/>
  <c r="AF220" i="1" s="1"/>
  <c r="AE228" i="1"/>
  <c r="AF228" i="1" s="1"/>
  <c r="AE236" i="1"/>
  <c r="AF236" i="1" s="1"/>
  <c r="AE244" i="1"/>
  <c r="AF244" i="1" s="1"/>
  <c r="AE252" i="1"/>
  <c r="AF252" i="1" s="1"/>
  <c r="AE260" i="1"/>
  <c r="AF260" i="1" s="1"/>
  <c r="AE268" i="1"/>
  <c r="AF268" i="1" s="1"/>
  <c r="AE276" i="1"/>
  <c r="AF276" i="1" s="1"/>
  <c r="AE284" i="1"/>
  <c r="AF284" i="1" s="1"/>
  <c r="AE292" i="1"/>
  <c r="AF292" i="1" s="1"/>
  <c r="AE300" i="1"/>
  <c r="AF300" i="1" s="1"/>
  <c r="AE308" i="1"/>
  <c r="AF308" i="1" s="1"/>
  <c r="AE316" i="1"/>
  <c r="AF316" i="1" s="1"/>
  <c r="AE324" i="1"/>
  <c r="AF324" i="1" s="1"/>
  <c r="AE332" i="1"/>
  <c r="AF332" i="1" s="1"/>
  <c r="AE340" i="1"/>
  <c r="AF340" i="1" s="1"/>
  <c r="AE348" i="1"/>
  <c r="AF348" i="1" s="1"/>
  <c r="AE356" i="1"/>
  <c r="AF356" i="1" s="1"/>
  <c r="AE364" i="1"/>
  <c r="AF364" i="1" s="1"/>
  <c r="AE372" i="1"/>
  <c r="AF372" i="1" s="1"/>
  <c r="AE380" i="1"/>
  <c r="AF380" i="1" s="1"/>
  <c r="AE388" i="1"/>
  <c r="AF388" i="1" s="1"/>
  <c r="AE396" i="1"/>
  <c r="AF396" i="1" s="1"/>
  <c r="AE404" i="1"/>
  <c r="AF404" i="1" s="1"/>
  <c r="AE412" i="1"/>
  <c r="AF412" i="1" s="1"/>
  <c r="AE420" i="1"/>
  <c r="AF420" i="1" s="1"/>
  <c r="AE428" i="1"/>
  <c r="AF428" i="1" s="1"/>
  <c r="AE436" i="1"/>
  <c r="AF436" i="1" s="1"/>
  <c r="AE444" i="1"/>
  <c r="AF444" i="1" s="1"/>
  <c r="AE452" i="1"/>
  <c r="AF452" i="1" s="1"/>
  <c r="AE460" i="1"/>
  <c r="AF460" i="1" s="1"/>
  <c r="AE468" i="1"/>
  <c r="AF468" i="1" s="1"/>
  <c r="AE476" i="1"/>
  <c r="AF476" i="1" s="1"/>
  <c r="AE484" i="1"/>
  <c r="AF484" i="1" s="1"/>
  <c r="AE492" i="1"/>
  <c r="AF492" i="1" s="1"/>
  <c r="AE500" i="1"/>
  <c r="AF500" i="1" s="1"/>
  <c r="AE508" i="1"/>
  <c r="AF508" i="1" s="1"/>
  <c r="AE516" i="1"/>
  <c r="AF516" i="1" s="1"/>
  <c r="AE524" i="1"/>
  <c r="AF524" i="1" s="1"/>
  <c r="AE532" i="1"/>
  <c r="AF532" i="1" s="1"/>
  <c r="AE540" i="1"/>
  <c r="AF540" i="1" s="1"/>
  <c r="AE548" i="1"/>
  <c r="AF548" i="1" s="1"/>
  <c r="AE556" i="1"/>
  <c r="AF556" i="1" s="1"/>
  <c r="AE564" i="1"/>
  <c r="AF564" i="1" s="1"/>
  <c r="AE572" i="1"/>
  <c r="AF572" i="1" s="1"/>
  <c r="AE580" i="1"/>
  <c r="AF580" i="1" s="1"/>
  <c r="AE588" i="1"/>
  <c r="AF588" i="1" s="1"/>
  <c r="AE596" i="1"/>
  <c r="AF596" i="1" s="1"/>
  <c r="AE604" i="1"/>
  <c r="AF604" i="1" s="1"/>
  <c r="AE612" i="1"/>
  <c r="AF612" i="1" s="1"/>
  <c r="AE620" i="1"/>
  <c r="AF620" i="1" s="1"/>
  <c r="AE628" i="1"/>
  <c r="AF628" i="1" s="1"/>
  <c r="AE636" i="1"/>
  <c r="AF636" i="1" s="1"/>
  <c r="AE644" i="1"/>
  <c r="AF644" i="1" s="1"/>
  <c r="AE652" i="1"/>
  <c r="AF652" i="1" s="1"/>
  <c r="AE660" i="1"/>
  <c r="AF660" i="1" s="1"/>
  <c r="AE21" i="1"/>
  <c r="AF21" i="1" s="1"/>
  <c r="AE37" i="1"/>
  <c r="AF37" i="1" s="1"/>
  <c r="AE45" i="1"/>
  <c r="AF45" i="1" s="1"/>
  <c r="AE53" i="1"/>
  <c r="AF53" i="1" s="1"/>
  <c r="AE22" i="1"/>
  <c r="AF22" i="1" s="1"/>
  <c r="AE30" i="1"/>
  <c r="AF30" i="1" s="1"/>
  <c r="AE38" i="1"/>
  <c r="AF38" i="1" s="1"/>
  <c r="AE46" i="1"/>
  <c r="AF46" i="1" s="1"/>
  <c r="AE54" i="1"/>
  <c r="AF54" i="1" s="1"/>
  <c r="AE62" i="1"/>
  <c r="AF62" i="1" s="1"/>
  <c r="AE70" i="1"/>
  <c r="AF70" i="1" s="1"/>
  <c r="AE78" i="1"/>
  <c r="AF78" i="1" s="1"/>
  <c r="AE86" i="1"/>
  <c r="AF86" i="1" s="1"/>
  <c r="AE94" i="1"/>
  <c r="AF94" i="1" s="1"/>
  <c r="AE102" i="1"/>
  <c r="AF102" i="1" s="1"/>
  <c r="AE110" i="1"/>
  <c r="AF110" i="1" s="1"/>
  <c r="AE118" i="1"/>
  <c r="AF118" i="1" s="1"/>
  <c r="AE126" i="1"/>
  <c r="AF126" i="1" s="1"/>
  <c r="AE134" i="1"/>
  <c r="AF134" i="1" s="1"/>
  <c r="AE142" i="1"/>
  <c r="AF142" i="1" s="1"/>
  <c r="AE150" i="1"/>
  <c r="AF150" i="1" s="1"/>
  <c r="AE158" i="1"/>
  <c r="AF158" i="1" s="1"/>
  <c r="AE166" i="1"/>
  <c r="AF166" i="1" s="1"/>
  <c r="AE174" i="1"/>
  <c r="AF174" i="1" s="1"/>
  <c r="AE182" i="1"/>
  <c r="AF182" i="1" s="1"/>
  <c r="AE190" i="1"/>
  <c r="AF190" i="1" s="1"/>
  <c r="AE198" i="1"/>
  <c r="AF198" i="1" s="1"/>
  <c r="AE206" i="1"/>
  <c r="AF206" i="1" s="1"/>
  <c r="AE214" i="1"/>
  <c r="AF214" i="1" s="1"/>
  <c r="AE222" i="1"/>
  <c r="AF222" i="1" s="1"/>
  <c r="AE230" i="1"/>
  <c r="AF230" i="1" s="1"/>
  <c r="AE238" i="1"/>
  <c r="AF238" i="1" s="1"/>
  <c r="AE246" i="1"/>
  <c r="AF246" i="1" s="1"/>
  <c r="AE254" i="1"/>
  <c r="AF254" i="1" s="1"/>
  <c r="AE262" i="1"/>
  <c r="AF262" i="1" s="1"/>
  <c r="AE270" i="1"/>
  <c r="AF270" i="1" s="1"/>
  <c r="AE278" i="1"/>
  <c r="AF278" i="1" s="1"/>
  <c r="AE286" i="1"/>
  <c r="AF286" i="1" s="1"/>
  <c r="AE294" i="1"/>
  <c r="AF294" i="1" s="1"/>
  <c r="AE302" i="1"/>
  <c r="AF302" i="1" s="1"/>
  <c r="AE310" i="1"/>
  <c r="AF310" i="1" s="1"/>
  <c r="AE318" i="1"/>
  <c r="AF318" i="1" s="1"/>
  <c r="AE326" i="1"/>
  <c r="AF326" i="1" s="1"/>
  <c r="AE334" i="1"/>
  <c r="AF334" i="1" s="1"/>
  <c r="AE342" i="1"/>
  <c r="AF342" i="1" s="1"/>
  <c r="AE350" i="1"/>
  <c r="AF350" i="1" s="1"/>
  <c r="AE358" i="1"/>
  <c r="AF358" i="1" s="1"/>
  <c r="AE366" i="1"/>
  <c r="AF366" i="1" s="1"/>
  <c r="AE374" i="1"/>
  <c r="AF374" i="1" s="1"/>
  <c r="AE382" i="1"/>
  <c r="AF382" i="1" s="1"/>
  <c r="AE390" i="1"/>
  <c r="AF390" i="1" s="1"/>
  <c r="AE398" i="1"/>
  <c r="AF398" i="1" s="1"/>
  <c r="AE406" i="1"/>
  <c r="AF406" i="1" s="1"/>
  <c r="AE414" i="1"/>
  <c r="AF414" i="1" s="1"/>
  <c r="AE422" i="1"/>
  <c r="AF422" i="1" s="1"/>
  <c r="AE430" i="1"/>
  <c r="AF430" i="1" s="1"/>
  <c r="AE438" i="1"/>
  <c r="AF438" i="1" s="1"/>
  <c r="AE446" i="1"/>
  <c r="AF446" i="1" s="1"/>
  <c r="AE454" i="1"/>
  <c r="AF454" i="1" s="1"/>
  <c r="AE462" i="1"/>
  <c r="AF462" i="1" s="1"/>
  <c r="AE470" i="1"/>
  <c r="AF470" i="1" s="1"/>
  <c r="AE478" i="1"/>
  <c r="AF478" i="1" s="1"/>
  <c r="AE486" i="1"/>
  <c r="AF486" i="1" s="1"/>
  <c r="AE494" i="1"/>
  <c r="AF494" i="1" s="1"/>
  <c r="AE502" i="1"/>
  <c r="AF502" i="1" s="1"/>
  <c r="AE510" i="1"/>
  <c r="AF510" i="1" s="1"/>
  <c r="AE518" i="1"/>
  <c r="AF518" i="1" s="1"/>
  <c r="AE526" i="1"/>
  <c r="AF526" i="1" s="1"/>
  <c r="AE534" i="1"/>
  <c r="AF534" i="1" s="1"/>
  <c r="AE542" i="1"/>
  <c r="AF542" i="1" s="1"/>
  <c r="AE550" i="1"/>
  <c r="AF550" i="1" s="1"/>
  <c r="AE558" i="1"/>
  <c r="AF558" i="1" s="1"/>
  <c r="AE566" i="1"/>
  <c r="AF566" i="1" s="1"/>
  <c r="AE574" i="1"/>
  <c r="AF574" i="1" s="1"/>
  <c r="AE582" i="1"/>
  <c r="AF582" i="1" s="1"/>
  <c r="AE590" i="1"/>
  <c r="AF590" i="1" s="1"/>
  <c r="AE598" i="1"/>
  <c r="AF598" i="1" s="1"/>
  <c r="AE606" i="1"/>
  <c r="AF606" i="1" s="1"/>
  <c r="AE614" i="1"/>
  <c r="AF614" i="1" s="1"/>
  <c r="AE622" i="1"/>
  <c r="AF622" i="1" s="1"/>
  <c r="AE630" i="1"/>
  <c r="AF630" i="1" s="1"/>
  <c r="AE638" i="1"/>
  <c r="AF638" i="1" s="1"/>
  <c r="AE646" i="1"/>
  <c r="AF646" i="1" s="1"/>
  <c r="AE654" i="1"/>
  <c r="AF654" i="1" s="1"/>
  <c r="AE662" i="1"/>
  <c r="AF662" i="1" s="1"/>
  <c r="AE33" i="1"/>
  <c r="AF33" i="1" s="1"/>
  <c r="AE23" i="1"/>
  <c r="AF23" i="1" s="1"/>
  <c r="AE31" i="1"/>
  <c r="AF31" i="1" s="1"/>
  <c r="AE39" i="1"/>
  <c r="AF39" i="1" s="1"/>
  <c r="AE47" i="1"/>
  <c r="AF47" i="1" s="1"/>
  <c r="AE55" i="1"/>
  <c r="AF55" i="1" s="1"/>
  <c r="AE63" i="1"/>
  <c r="AF63" i="1" s="1"/>
  <c r="AE71" i="1"/>
  <c r="AF71" i="1" s="1"/>
  <c r="AE79" i="1"/>
  <c r="AF79" i="1" s="1"/>
  <c r="AE87" i="1"/>
  <c r="AF87" i="1" s="1"/>
  <c r="AE95" i="1"/>
  <c r="AF95" i="1" s="1"/>
  <c r="AE103" i="1"/>
  <c r="AF103" i="1" s="1"/>
  <c r="AE111" i="1"/>
  <c r="AF111" i="1" s="1"/>
  <c r="AE119" i="1"/>
  <c r="AF119" i="1" s="1"/>
  <c r="AE127" i="1"/>
  <c r="AF127" i="1" s="1"/>
  <c r="AE135" i="1"/>
  <c r="AF135" i="1" s="1"/>
  <c r="AE143" i="1"/>
  <c r="AF143" i="1" s="1"/>
  <c r="AE151" i="1"/>
  <c r="AF151" i="1" s="1"/>
  <c r="AE159" i="1"/>
  <c r="AF159" i="1" s="1"/>
  <c r="AE167" i="1"/>
  <c r="AF167" i="1" s="1"/>
  <c r="AE175" i="1"/>
  <c r="AF175" i="1" s="1"/>
  <c r="AE183" i="1"/>
  <c r="AF183" i="1" s="1"/>
  <c r="AE191" i="1"/>
  <c r="AF191" i="1" s="1"/>
  <c r="AE199" i="1"/>
  <c r="AF199" i="1" s="1"/>
  <c r="AE207" i="1"/>
  <c r="AF207" i="1" s="1"/>
  <c r="AE215" i="1"/>
  <c r="AF215" i="1" s="1"/>
  <c r="AE223" i="1"/>
  <c r="AF223" i="1" s="1"/>
  <c r="AE231" i="1"/>
  <c r="AF231" i="1" s="1"/>
  <c r="AE239" i="1"/>
  <c r="AF239" i="1" s="1"/>
  <c r="AE247" i="1"/>
  <c r="AF247" i="1" s="1"/>
  <c r="AE255" i="1"/>
  <c r="AF255" i="1" s="1"/>
  <c r="AE263" i="1"/>
  <c r="AF263" i="1" s="1"/>
  <c r="AE271" i="1"/>
  <c r="AF271" i="1" s="1"/>
  <c r="AE279" i="1"/>
  <c r="AF279" i="1" s="1"/>
  <c r="AE287" i="1"/>
  <c r="AF287" i="1" s="1"/>
  <c r="AE295" i="1"/>
  <c r="AF295" i="1" s="1"/>
  <c r="AE303" i="1"/>
  <c r="AF303" i="1" s="1"/>
  <c r="AE311" i="1"/>
  <c r="AF311" i="1" s="1"/>
  <c r="AE319" i="1"/>
  <c r="AF319" i="1" s="1"/>
  <c r="AE327" i="1"/>
  <c r="AF327" i="1" s="1"/>
  <c r="AE335" i="1"/>
  <c r="AF335" i="1" s="1"/>
  <c r="AE343" i="1"/>
  <c r="AF343" i="1" s="1"/>
  <c r="AE351" i="1"/>
  <c r="AF351" i="1" s="1"/>
  <c r="AE359" i="1"/>
  <c r="AF359" i="1" s="1"/>
  <c r="AE367" i="1"/>
  <c r="AF367" i="1" s="1"/>
  <c r="AE375" i="1"/>
  <c r="AF375" i="1" s="1"/>
  <c r="AE383" i="1"/>
  <c r="AF383" i="1" s="1"/>
  <c r="AE391" i="1"/>
  <c r="AF391" i="1" s="1"/>
  <c r="AE399" i="1"/>
  <c r="AF399" i="1" s="1"/>
  <c r="AE407" i="1"/>
  <c r="AF407" i="1" s="1"/>
  <c r="AE415" i="1"/>
  <c r="AF415" i="1" s="1"/>
  <c r="AE423" i="1"/>
  <c r="AF423" i="1" s="1"/>
  <c r="AE431" i="1"/>
  <c r="AF431" i="1" s="1"/>
  <c r="AE439" i="1"/>
  <c r="AF439" i="1" s="1"/>
  <c r="AE447" i="1"/>
  <c r="AF447" i="1" s="1"/>
  <c r="AE455" i="1"/>
  <c r="AF455" i="1" s="1"/>
  <c r="AE463" i="1"/>
  <c r="AF463" i="1" s="1"/>
  <c r="AE471" i="1"/>
  <c r="AF471" i="1" s="1"/>
  <c r="AE479" i="1"/>
  <c r="AF479" i="1" s="1"/>
  <c r="AE487" i="1"/>
  <c r="AF487" i="1" s="1"/>
  <c r="AE495" i="1"/>
  <c r="AF495" i="1" s="1"/>
  <c r="AE503" i="1"/>
  <c r="AF503" i="1" s="1"/>
  <c r="AE511" i="1"/>
  <c r="AF511" i="1" s="1"/>
  <c r="AE519" i="1"/>
  <c r="AF519" i="1" s="1"/>
  <c r="AE527" i="1"/>
  <c r="AF527" i="1" s="1"/>
  <c r="AE535" i="1"/>
  <c r="AF535" i="1" s="1"/>
  <c r="AE543" i="1"/>
  <c r="AF543" i="1" s="1"/>
  <c r="AE551" i="1"/>
  <c r="AF551" i="1" s="1"/>
  <c r="AE559" i="1"/>
  <c r="AF559" i="1" s="1"/>
  <c r="AE567" i="1"/>
  <c r="AF567" i="1" s="1"/>
  <c r="AE575" i="1"/>
  <c r="AF575" i="1" s="1"/>
  <c r="AE583" i="1"/>
  <c r="AF583" i="1" s="1"/>
  <c r="AE591" i="1"/>
  <c r="AF591" i="1" s="1"/>
  <c r="AE599" i="1"/>
  <c r="AF599" i="1" s="1"/>
  <c r="AE607" i="1"/>
  <c r="AF607" i="1" s="1"/>
  <c r="AE615" i="1"/>
  <c r="AF615" i="1" s="1"/>
  <c r="AE623" i="1"/>
  <c r="AF623" i="1" s="1"/>
  <c r="AE631" i="1"/>
  <c r="AF631" i="1" s="1"/>
  <c r="AE639" i="1"/>
  <c r="AF639" i="1" s="1"/>
  <c r="AE647" i="1"/>
  <c r="AF647" i="1" s="1"/>
  <c r="AE655" i="1"/>
  <c r="AF655" i="1" s="1"/>
  <c r="AE25" i="1"/>
  <c r="AF25" i="1" s="1"/>
  <c r="AE24" i="1"/>
  <c r="AF24" i="1" s="1"/>
  <c r="AE32" i="1"/>
  <c r="AF32" i="1" s="1"/>
  <c r="AE40" i="1"/>
  <c r="AF40" i="1" s="1"/>
  <c r="AE48" i="1"/>
  <c r="AF48" i="1" s="1"/>
  <c r="AE56" i="1"/>
  <c r="AF56" i="1" s="1"/>
  <c r="AE64" i="1"/>
  <c r="AF64" i="1" s="1"/>
  <c r="AE72" i="1"/>
  <c r="AF72" i="1" s="1"/>
  <c r="AE80" i="1"/>
  <c r="AF80" i="1" s="1"/>
  <c r="AE88" i="1"/>
  <c r="AF88" i="1" s="1"/>
  <c r="AE96" i="1"/>
  <c r="AF96" i="1" s="1"/>
  <c r="AE104" i="1"/>
  <c r="AF104" i="1" s="1"/>
  <c r="AE112" i="1"/>
  <c r="AF112" i="1" s="1"/>
  <c r="AE120" i="1"/>
  <c r="AF120" i="1" s="1"/>
  <c r="AE128" i="1"/>
  <c r="AF128" i="1" s="1"/>
  <c r="AE136" i="1"/>
  <c r="AF136" i="1" s="1"/>
  <c r="AE144" i="1"/>
  <c r="AF144" i="1" s="1"/>
  <c r="AE152" i="1"/>
  <c r="AF152" i="1" s="1"/>
  <c r="AE160" i="1"/>
  <c r="AF160" i="1" s="1"/>
  <c r="AE168" i="1"/>
  <c r="AF168" i="1" s="1"/>
  <c r="AE176" i="1"/>
  <c r="AF176" i="1" s="1"/>
  <c r="AE184" i="1"/>
  <c r="AF184" i="1" s="1"/>
  <c r="AE192" i="1"/>
  <c r="AF192" i="1" s="1"/>
  <c r="AE200" i="1"/>
  <c r="AF200" i="1" s="1"/>
  <c r="AE208" i="1"/>
  <c r="AF208" i="1" s="1"/>
  <c r="AE216" i="1"/>
  <c r="AF216" i="1" s="1"/>
  <c r="AE224" i="1"/>
  <c r="AF224" i="1" s="1"/>
  <c r="AE232" i="1"/>
  <c r="AF232" i="1" s="1"/>
  <c r="AE240" i="1"/>
  <c r="AF240" i="1" s="1"/>
  <c r="AE248" i="1"/>
  <c r="AF248" i="1" s="1"/>
  <c r="AE256" i="1"/>
  <c r="AF256" i="1" s="1"/>
  <c r="AE264" i="1"/>
  <c r="AF264" i="1" s="1"/>
  <c r="AE272" i="1"/>
  <c r="AF272" i="1" s="1"/>
  <c r="AE280" i="1"/>
  <c r="AF280" i="1" s="1"/>
  <c r="AE288" i="1"/>
  <c r="AF288" i="1" s="1"/>
  <c r="AE296" i="1"/>
  <c r="AF296" i="1" s="1"/>
  <c r="AE304" i="1"/>
  <c r="AF304" i="1" s="1"/>
  <c r="AE312" i="1"/>
  <c r="AF312" i="1" s="1"/>
  <c r="AE320" i="1"/>
  <c r="AF320" i="1" s="1"/>
  <c r="AE328" i="1"/>
  <c r="AF328" i="1" s="1"/>
  <c r="AE336" i="1"/>
  <c r="AF336" i="1" s="1"/>
  <c r="AE344" i="1"/>
  <c r="AF344" i="1" s="1"/>
  <c r="AE352" i="1"/>
  <c r="AF352" i="1" s="1"/>
  <c r="AE360" i="1"/>
  <c r="AF360" i="1" s="1"/>
  <c r="AE368" i="1"/>
  <c r="AF368" i="1" s="1"/>
  <c r="AE376" i="1"/>
  <c r="AF376" i="1" s="1"/>
  <c r="AE384" i="1"/>
  <c r="AF384" i="1" s="1"/>
  <c r="AE392" i="1"/>
  <c r="AF392" i="1" s="1"/>
  <c r="AE400" i="1"/>
  <c r="AF400" i="1" s="1"/>
  <c r="AE408" i="1"/>
  <c r="AF408" i="1" s="1"/>
  <c r="AE416" i="1"/>
  <c r="AF416" i="1" s="1"/>
  <c r="AE424" i="1"/>
  <c r="AF424" i="1" s="1"/>
  <c r="AE432" i="1"/>
  <c r="AF432" i="1" s="1"/>
  <c r="AE440" i="1"/>
  <c r="AF440" i="1" s="1"/>
  <c r="AE448" i="1"/>
  <c r="AF448" i="1" s="1"/>
  <c r="AE456" i="1"/>
  <c r="AF456" i="1" s="1"/>
  <c r="AE464" i="1"/>
  <c r="AF464" i="1" s="1"/>
  <c r="AE472" i="1"/>
  <c r="AF472" i="1" s="1"/>
  <c r="AE480" i="1"/>
  <c r="AF480" i="1" s="1"/>
  <c r="AE488" i="1"/>
  <c r="AF488" i="1" s="1"/>
  <c r="AE496" i="1"/>
  <c r="AF496" i="1" s="1"/>
  <c r="AE504" i="1"/>
  <c r="AF504" i="1" s="1"/>
  <c r="AE512" i="1"/>
  <c r="AF512" i="1" s="1"/>
  <c r="AE520" i="1"/>
  <c r="AF520" i="1" s="1"/>
  <c r="AE528" i="1"/>
  <c r="AF528" i="1" s="1"/>
  <c r="AE536" i="1"/>
  <c r="AF536" i="1" s="1"/>
  <c r="AE544" i="1"/>
  <c r="AF544" i="1" s="1"/>
  <c r="AE552" i="1"/>
  <c r="AF552" i="1" s="1"/>
  <c r="AE560" i="1"/>
  <c r="AF560" i="1" s="1"/>
  <c r="AE568" i="1"/>
  <c r="AF568" i="1" s="1"/>
  <c r="AE576" i="1"/>
  <c r="AF576" i="1" s="1"/>
  <c r="AE584" i="1"/>
  <c r="AF584" i="1" s="1"/>
  <c r="AE592" i="1"/>
  <c r="AF592" i="1" s="1"/>
  <c r="AE600" i="1"/>
  <c r="AF600" i="1" s="1"/>
  <c r="AE608" i="1"/>
  <c r="AF608" i="1" s="1"/>
  <c r="AE616" i="1"/>
  <c r="AF616" i="1" s="1"/>
  <c r="AE624" i="1"/>
  <c r="AF624" i="1" s="1"/>
  <c r="AE632" i="1"/>
  <c r="AF632" i="1" s="1"/>
  <c r="AE640" i="1"/>
  <c r="AF640" i="1" s="1"/>
  <c r="AE648" i="1"/>
  <c r="AF648" i="1" s="1"/>
  <c r="AE656" i="1"/>
  <c r="AF656" i="1" s="1"/>
  <c r="AE57" i="1"/>
  <c r="AF57" i="1" s="1"/>
  <c r="AE89" i="1"/>
  <c r="AF89" i="1" s="1"/>
  <c r="AE121" i="1"/>
  <c r="AF121" i="1" s="1"/>
  <c r="AE153" i="1"/>
  <c r="AF153" i="1" s="1"/>
  <c r="AE185" i="1"/>
  <c r="AF185" i="1" s="1"/>
  <c r="AE217" i="1"/>
  <c r="AF217" i="1" s="1"/>
  <c r="AE249" i="1"/>
  <c r="AF249" i="1" s="1"/>
  <c r="AE281" i="1"/>
  <c r="AF281" i="1" s="1"/>
  <c r="AE313" i="1"/>
  <c r="AF313" i="1" s="1"/>
  <c r="AE345" i="1"/>
  <c r="AF345" i="1" s="1"/>
  <c r="AE377" i="1"/>
  <c r="AF377" i="1" s="1"/>
  <c r="AE409" i="1"/>
  <c r="AF409" i="1" s="1"/>
  <c r="AE441" i="1"/>
  <c r="AF441" i="1" s="1"/>
  <c r="AE473" i="1"/>
  <c r="AF473" i="1" s="1"/>
  <c r="AE505" i="1"/>
  <c r="AF505" i="1" s="1"/>
  <c r="AE537" i="1"/>
  <c r="AF537" i="1" s="1"/>
  <c r="AE569" i="1"/>
  <c r="AF569" i="1" s="1"/>
  <c r="AE601" i="1"/>
  <c r="AF601" i="1" s="1"/>
  <c r="AE633" i="1"/>
  <c r="AF633" i="1" s="1"/>
  <c r="AE161" i="1"/>
  <c r="AF161" i="1" s="1"/>
  <c r="AE417" i="1"/>
  <c r="AF417" i="1" s="1"/>
  <c r="AE513" i="1"/>
  <c r="AF513" i="1" s="1"/>
  <c r="AE609" i="1"/>
  <c r="AF609" i="1" s="1"/>
  <c r="AE101" i="1"/>
  <c r="AF101" i="1" s="1"/>
  <c r="AE133" i="1"/>
  <c r="AF133" i="1" s="1"/>
  <c r="AE229" i="1"/>
  <c r="AF229" i="1" s="1"/>
  <c r="AE293" i="1"/>
  <c r="AF293" i="1" s="1"/>
  <c r="AE389" i="1"/>
  <c r="AF389" i="1" s="1"/>
  <c r="AE453" i="1"/>
  <c r="AF453" i="1" s="1"/>
  <c r="AE549" i="1"/>
  <c r="AF549" i="1" s="1"/>
  <c r="AE309" i="1"/>
  <c r="AF309" i="1" s="1"/>
  <c r="AE565" i="1"/>
  <c r="AF565" i="1" s="1"/>
  <c r="AE61" i="1"/>
  <c r="AF61" i="1" s="1"/>
  <c r="AE93" i="1"/>
  <c r="AF93" i="1" s="1"/>
  <c r="AE125" i="1"/>
  <c r="AF125" i="1" s="1"/>
  <c r="AE157" i="1"/>
  <c r="AF157" i="1" s="1"/>
  <c r="AE189" i="1"/>
  <c r="AF189" i="1" s="1"/>
  <c r="AE221" i="1"/>
  <c r="AF221" i="1" s="1"/>
  <c r="AE253" i="1"/>
  <c r="AF253" i="1" s="1"/>
  <c r="AE285" i="1"/>
  <c r="AF285" i="1" s="1"/>
  <c r="AE317" i="1"/>
  <c r="AF317" i="1" s="1"/>
  <c r="AE349" i="1"/>
  <c r="AF349" i="1" s="1"/>
  <c r="AE381" i="1"/>
  <c r="AF381" i="1" s="1"/>
  <c r="AE413" i="1"/>
  <c r="AF413" i="1" s="1"/>
  <c r="AE445" i="1"/>
  <c r="AF445" i="1" s="1"/>
  <c r="AE477" i="1"/>
  <c r="AF477" i="1" s="1"/>
  <c r="AE509" i="1"/>
  <c r="AF509" i="1" s="1"/>
  <c r="AE541" i="1"/>
  <c r="AF541" i="1" s="1"/>
  <c r="AE573" i="1"/>
  <c r="AF573" i="1" s="1"/>
  <c r="AE605" i="1"/>
  <c r="AF605" i="1" s="1"/>
  <c r="AE637" i="1"/>
  <c r="AF637" i="1" s="1"/>
  <c r="AE193" i="1"/>
  <c r="AF193" i="1" s="1"/>
  <c r="AE385" i="1"/>
  <c r="AF385" i="1" s="1"/>
  <c r="AE481" i="1"/>
  <c r="AF481" i="1" s="1"/>
  <c r="AE545" i="1"/>
  <c r="AF545" i="1" s="1"/>
  <c r="AE641" i="1"/>
  <c r="AF641" i="1" s="1"/>
  <c r="AE69" i="1"/>
  <c r="AF69" i="1" s="1"/>
  <c r="AE165" i="1"/>
  <c r="AF165" i="1" s="1"/>
  <c r="AE197" i="1"/>
  <c r="AF197" i="1" s="1"/>
  <c r="AE261" i="1"/>
  <c r="AF261" i="1" s="1"/>
  <c r="AE325" i="1"/>
  <c r="AF325" i="1" s="1"/>
  <c r="AE357" i="1"/>
  <c r="AF357" i="1" s="1"/>
  <c r="AE421" i="1"/>
  <c r="AF421" i="1" s="1"/>
  <c r="AE485" i="1"/>
  <c r="AF485" i="1" s="1"/>
  <c r="AE517" i="1"/>
  <c r="AF517" i="1" s="1"/>
  <c r="AE581" i="1"/>
  <c r="AF581" i="1" s="1"/>
  <c r="AE645" i="1"/>
  <c r="AF645" i="1" s="1"/>
  <c r="AE277" i="1"/>
  <c r="AF277" i="1" s="1"/>
  <c r="AE597" i="1"/>
  <c r="AF597" i="1" s="1"/>
  <c r="AE65" i="1"/>
  <c r="AF65" i="1" s="1"/>
  <c r="AE97" i="1"/>
  <c r="AF97" i="1" s="1"/>
  <c r="AE129" i="1"/>
  <c r="AF129" i="1" s="1"/>
  <c r="AE225" i="1"/>
  <c r="AF225" i="1" s="1"/>
  <c r="AE257" i="1"/>
  <c r="AF257" i="1" s="1"/>
  <c r="AE289" i="1"/>
  <c r="AF289" i="1" s="1"/>
  <c r="AE321" i="1"/>
  <c r="AF321" i="1" s="1"/>
  <c r="AE353" i="1"/>
  <c r="AF353" i="1" s="1"/>
  <c r="AE449" i="1"/>
  <c r="AF449" i="1" s="1"/>
  <c r="AE577" i="1"/>
  <c r="AF577" i="1" s="1"/>
  <c r="AE613" i="1"/>
  <c r="AF613" i="1" s="1"/>
  <c r="AE437" i="1"/>
  <c r="AF437" i="1" s="1"/>
  <c r="AE73" i="1"/>
  <c r="AF73" i="1" s="1"/>
  <c r="AE105" i="1"/>
  <c r="AF105" i="1" s="1"/>
  <c r="AE137" i="1"/>
  <c r="AF137" i="1" s="1"/>
  <c r="AE169" i="1"/>
  <c r="AF169" i="1" s="1"/>
  <c r="AE201" i="1"/>
  <c r="AF201" i="1" s="1"/>
  <c r="AE233" i="1"/>
  <c r="AF233" i="1" s="1"/>
  <c r="AE265" i="1"/>
  <c r="AF265" i="1" s="1"/>
  <c r="AE297" i="1"/>
  <c r="AF297" i="1" s="1"/>
  <c r="AE329" i="1"/>
  <c r="AF329" i="1" s="1"/>
  <c r="AE361" i="1"/>
  <c r="AF361" i="1" s="1"/>
  <c r="AE393" i="1"/>
  <c r="AF393" i="1" s="1"/>
  <c r="AE425" i="1"/>
  <c r="AF425" i="1" s="1"/>
  <c r="AE457" i="1"/>
  <c r="AF457" i="1" s="1"/>
  <c r="AE489" i="1"/>
  <c r="AF489" i="1" s="1"/>
  <c r="AE521" i="1"/>
  <c r="AF521" i="1" s="1"/>
  <c r="AE553" i="1"/>
  <c r="AF553" i="1" s="1"/>
  <c r="AE585" i="1"/>
  <c r="AF585" i="1" s="1"/>
  <c r="AE617" i="1"/>
  <c r="AF617" i="1" s="1"/>
  <c r="AE649" i="1"/>
  <c r="AF649" i="1" s="1"/>
  <c r="AE81" i="1"/>
  <c r="AF81" i="1" s="1"/>
  <c r="AE145" i="1"/>
  <c r="AF145" i="1" s="1"/>
  <c r="AE209" i="1"/>
  <c r="AF209" i="1" s="1"/>
  <c r="AE273" i="1"/>
  <c r="AF273" i="1" s="1"/>
  <c r="AE337" i="1"/>
  <c r="AF337" i="1" s="1"/>
  <c r="AE433" i="1"/>
  <c r="AF433" i="1" s="1"/>
  <c r="AE529" i="1"/>
  <c r="AF529" i="1" s="1"/>
  <c r="AE593" i="1"/>
  <c r="AF593" i="1" s="1"/>
  <c r="AE625" i="1"/>
  <c r="AF625" i="1" s="1"/>
  <c r="AE85" i="1"/>
  <c r="AF85" i="1" s="1"/>
  <c r="AE117" i="1"/>
  <c r="AF117" i="1" s="1"/>
  <c r="AE181" i="1"/>
  <c r="AF181" i="1" s="1"/>
  <c r="AE341" i="1"/>
  <c r="AF341" i="1" s="1"/>
  <c r="AE405" i="1"/>
  <c r="AF405" i="1" s="1"/>
  <c r="AE501" i="1"/>
  <c r="AF501" i="1" s="1"/>
  <c r="AE629" i="1"/>
  <c r="AF629" i="1" s="1"/>
  <c r="AE77" i="1"/>
  <c r="AF77" i="1" s="1"/>
  <c r="AE109" i="1"/>
  <c r="AF109" i="1" s="1"/>
  <c r="AE141" i="1"/>
  <c r="AF141" i="1" s="1"/>
  <c r="AE173" i="1"/>
  <c r="AF173" i="1" s="1"/>
  <c r="AE205" i="1"/>
  <c r="AF205" i="1" s="1"/>
  <c r="AE237" i="1"/>
  <c r="AF237" i="1" s="1"/>
  <c r="AE269" i="1"/>
  <c r="AF269" i="1" s="1"/>
  <c r="AE301" i="1"/>
  <c r="AF301" i="1" s="1"/>
  <c r="AE333" i="1"/>
  <c r="AF333" i="1" s="1"/>
  <c r="AE365" i="1"/>
  <c r="AF365" i="1" s="1"/>
  <c r="AE397" i="1"/>
  <c r="AF397" i="1" s="1"/>
  <c r="AE429" i="1"/>
  <c r="AF429" i="1" s="1"/>
  <c r="AE461" i="1"/>
  <c r="AF461" i="1" s="1"/>
  <c r="AE493" i="1"/>
  <c r="AF493" i="1" s="1"/>
  <c r="AE525" i="1"/>
  <c r="AF525" i="1" s="1"/>
  <c r="AE557" i="1"/>
  <c r="AF557" i="1" s="1"/>
  <c r="AE589" i="1"/>
  <c r="AF589" i="1" s="1"/>
  <c r="AE621" i="1"/>
  <c r="AF621" i="1" s="1"/>
  <c r="AE653" i="1"/>
  <c r="AF653" i="1" s="1"/>
  <c r="AE41" i="1"/>
  <c r="AF41" i="1" s="1"/>
  <c r="AE113" i="1"/>
  <c r="AF113" i="1" s="1"/>
  <c r="AE177" i="1"/>
  <c r="AF177" i="1" s="1"/>
  <c r="AE241" i="1"/>
  <c r="AF241" i="1" s="1"/>
  <c r="AE305" i="1"/>
  <c r="AF305" i="1" s="1"/>
  <c r="AE369" i="1"/>
  <c r="AF369" i="1" s="1"/>
  <c r="AE401" i="1"/>
  <c r="AF401" i="1" s="1"/>
  <c r="AE465" i="1"/>
  <c r="AF465" i="1" s="1"/>
  <c r="AE497" i="1"/>
  <c r="AF497" i="1" s="1"/>
  <c r="AE561" i="1"/>
  <c r="AF561" i="1" s="1"/>
  <c r="AE657" i="1"/>
  <c r="AF657" i="1" s="1"/>
  <c r="AE49" i="1"/>
  <c r="AF49" i="1" s="1"/>
  <c r="AE149" i="1"/>
  <c r="AF149" i="1" s="1"/>
  <c r="AE213" i="1"/>
  <c r="AF213" i="1" s="1"/>
  <c r="AE245" i="1"/>
  <c r="AF245" i="1" s="1"/>
  <c r="AE373" i="1"/>
  <c r="AF373" i="1" s="1"/>
  <c r="AE469" i="1"/>
  <c r="AF469" i="1" s="1"/>
  <c r="AE533" i="1"/>
  <c r="AF533" i="1" s="1"/>
  <c r="AE661" i="1"/>
  <c r="AF661" i="1" s="1"/>
  <c r="A33" i="1"/>
  <c r="A42" i="1"/>
  <c r="A30" i="1"/>
  <c r="F30" i="1" s="1"/>
  <c r="G30" i="1" s="1"/>
  <c r="A44" i="1"/>
  <c r="A41" i="1"/>
  <c r="A38" i="1"/>
  <c r="F38" i="1" s="1"/>
  <c r="G38" i="1" s="1"/>
  <c r="A34" i="1"/>
  <c r="A40" i="1"/>
  <c r="A43" i="1"/>
  <c r="A36" i="1"/>
  <c r="F37" i="1" s="1"/>
  <c r="A32" i="1"/>
  <c r="A35" i="1"/>
  <c r="A39" i="1"/>
  <c r="A31" i="1"/>
  <c r="X7" i="3"/>
  <c r="W8" i="3" s="1"/>
  <c r="S154" i="1"/>
  <c r="Z154" i="1" s="1"/>
  <c r="S290" i="1"/>
  <c r="Z290" i="1" s="1"/>
  <c r="S106" i="1"/>
  <c r="Z106" i="1" s="1"/>
  <c r="S34" i="1"/>
  <c r="Z34" i="1" s="1"/>
  <c r="AA393" i="1" l="1"/>
  <c r="AA561" i="1"/>
  <c r="AA185" i="1"/>
  <c r="AA569" i="1"/>
  <c r="AA647" i="1"/>
  <c r="AA281" i="1"/>
  <c r="AA329" i="1"/>
  <c r="AA577" i="1"/>
  <c r="AA497" i="1"/>
  <c r="AA153" i="1"/>
  <c r="AA617" i="1"/>
  <c r="AA57" i="1"/>
  <c r="AA249" i="1"/>
  <c r="AA161" i="1"/>
  <c r="AA640" i="1"/>
  <c r="AA576" i="1"/>
  <c r="AA512" i="1"/>
  <c r="AA448" i="1"/>
  <c r="AA384" i="1"/>
  <c r="AA320" i="1"/>
  <c r="AA256" i="1"/>
  <c r="AA192" i="1"/>
  <c r="AA128" i="1"/>
  <c r="AA64" i="1"/>
  <c r="AA639" i="1"/>
  <c r="AA575" i="1"/>
  <c r="AA511" i="1"/>
  <c r="AA447" i="1"/>
  <c r="AA383" i="1"/>
  <c r="AA319" i="1"/>
  <c r="AA255" i="1"/>
  <c r="AA191" i="1"/>
  <c r="AA127" i="1"/>
  <c r="AA63" i="1"/>
  <c r="AA646" i="1"/>
  <c r="AA582" i="1"/>
  <c r="AA518" i="1"/>
  <c r="AA454" i="1"/>
  <c r="AA390" i="1"/>
  <c r="AA326" i="1"/>
  <c r="AA262" i="1"/>
  <c r="AA198" i="1"/>
  <c r="AA134" i="1"/>
  <c r="AA70" i="1"/>
  <c r="AA653" i="1"/>
  <c r="AA589" i="1"/>
  <c r="AA525" i="1"/>
  <c r="AA461" i="1"/>
  <c r="AA397" i="1"/>
  <c r="AA333" i="1"/>
  <c r="AA269" i="1"/>
  <c r="AA205" i="1"/>
  <c r="AA141" i="1"/>
  <c r="AA77" i="1"/>
  <c r="AA105" i="1"/>
  <c r="AA628" i="1"/>
  <c r="AA564" i="1"/>
  <c r="AA500" i="1"/>
  <c r="AA436" i="1"/>
  <c r="AA372" i="1"/>
  <c r="AA308" i="1"/>
  <c r="AA244" i="1"/>
  <c r="AA180" i="1"/>
  <c r="AA116" i="1"/>
  <c r="AA52" i="1"/>
  <c r="AA635" i="1"/>
  <c r="AA571" i="1"/>
  <c r="AA507" i="1"/>
  <c r="AA443" i="1"/>
  <c r="AA379" i="1"/>
  <c r="AA315" i="1"/>
  <c r="AA251" i="1"/>
  <c r="AA187" i="1"/>
  <c r="AA123" i="1"/>
  <c r="AA59" i="1"/>
  <c r="AA642" i="1"/>
  <c r="AA578" i="1"/>
  <c r="AA514" i="1"/>
  <c r="AA450" i="1"/>
  <c r="AA386" i="1"/>
  <c r="AA322" i="1"/>
  <c r="AA258" i="1"/>
  <c r="AA194" i="1"/>
  <c r="AA130" i="1"/>
  <c r="AA66" i="1"/>
  <c r="AA154" i="1"/>
  <c r="AA593" i="1"/>
  <c r="AA265" i="1"/>
  <c r="AA449" i="1"/>
  <c r="AA433" i="1"/>
  <c r="AA529" i="1"/>
  <c r="AA553" i="1"/>
  <c r="AA409" i="1"/>
  <c r="AA609" i="1"/>
  <c r="AA41" i="1"/>
  <c r="AA632" i="1"/>
  <c r="AA568" i="1"/>
  <c r="AA504" i="1"/>
  <c r="AA440" i="1"/>
  <c r="AA376" i="1"/>
  <c r="AA312" i="1"/>
  <c r="AA248" i="1"/>
  <c r="AA184" i="1"/>
  <c r="AA120" i="1"/>
  <c r="AA56" i="1"/>
  <c r="AA631" i="1"/>
  <c r="AA567" i="1"/>
  <c r="AA503" i="1"/>
  <c r="AA439" i="1"/>
  <c r="AA375" i="1"/>
  <c r="AA311" i="1"/>
  <c r="AA247" i="1"/>
  <c r="AA183" i="1"/>
  <c r="AA119" i="1"/>
  <c r="AA55" i="1"/>
  <c r="AA638" i="1"/>
  <c r="AA574" i="1"/>
  <c r="AA510" i="1"/>
  <c r="AA446" i="1"/>
  <c r="AA382" i="1"/>
  <c r="AA318" i="1"/>
  <c r="AA254" i="1"/>
  <c r="AA190" i="1"/>
  <c r="AA126" i="1"/>
  <c r="AA62" i="1"/>
  <c r="AA645" i="1"/>
  <c r="AA581" i="1"/>
  <c r="AA517" i="1"/>
  <c r="AA453" i="1"/>
  <c r="AA389" i="1"/>
  <c r="AA325" i="1"/>
  <c r="AA261" i="1"/>
  <c r="AA197" i="1"/>
  <c r="AA133" i="1"/>
  <c r="AA69" i="1"/>
  <c r="AA89" i="1"/>
  <c r="AA620" i="1"/>
  <c r="AA556" i="1"/>
  <c r="AA492" i="1"/>
  <c r="AA428" i="1"/>
  <c r="AA364" i="1"/>
  <c r="AA300" i="1"/>
  <c r="AA236" i="1"/>
  <c r="AA172" i="1"/>
  <c r="AA108" i="1"/>
  <c r="AA44" i="1"/>
  <c r="AA627" i="1"/>
  <c r="AA563" i="1"/>
  <c r="AA499" i="1"/>
  <c r="AA435" i="1"/>
  <c r="AA371" i="1"/>
  <c r="AA307" i="1"/>
  <c r="AA243" i="1"/>
  <c r="AA179" i="1"/>
  <c r="AA115" i="1"/>
  <c r="AA51" i="1"/>
  <c r="AA634" i="1"/>
  <c r="AA570" i="1"/>
  <c r="AA506" i="1"/>
  <c r="AA442" i="1"/>
  <c r="AA378" i="1"/>
  <c r="AA314" i="1"/>
  <c r="AA250" i="1"/>
  <c r="AA186" i="1"/>
  <c r="AA122" i="1"/>
  <c r="AA58" i="1"/>
  <c r="AA34" i="1"/>
  <c r="AA337" i="1"/>
  <c r="AA257" i="1"/>
  <c r="AA385" i="1"/>
  <c r="AA489" i="1"/>
  <c r="AA545" i="1"/>
  <c r="AA113" i="1"/>
  <c r="AA624" i="1"/>
  <c r="AA560" i="1"/>
  <c r="AA496" i="1"/>
  <c r="AA432" i="1"/>
  <c r="AA368" i="1"/>
  <c r="AA304" i="1"/>
  <c r="AA240" i="1"/>
  <c r="AA176" i="1"/>
  <c r="AA112" i="1"/>
  <c r="AA48" i="1"/>
  <c r="AA623" i="1"/>
  <c r="AA495" i="1"/>
  <c r="AA431" i="1"/>
  <c r="AA367" i="1"/>
  <c r="AA303" i="1"/>
  <c r="AA239" i="1"/>
  <c r="AA175" i="1"/>
  <c r="AA111" i="1"/>
  <c r="AA47" i="1"/>
  <c r="AA630" i="1"/>
  <c r="AA566" i="1"/>
  <c r="AA502" i="1"/>
  <c r="AA438" i="1"/>
  <c r="AA374" i="1"/>
  <c r="AA310" i="1"/>
  <c r="AA246" i="1"/>
  <c r="AA182" i="1"/>
  <c r="AA118" i="1"/>
  <c r="AA54" i="1"/>
  <c r="AA637" i="1"/>
  <c r="AA573" i="1"/>
  <c r="AA509" i="1"/>
  <c r="AA445" i="1"/>
  <c r="AA381" i="1"/>
  <c r="AA317" i="1"/>
  <c r="AA253" i="1"/>
  <c r="AA189" i="1"/>
  <c r="AA125" i="1"/>
  <c r="AA61" i="1"/>
  <c r="AA73" i="1"/>
  <c r="AA612" i="1"/>
  <c r="AA548" i="1"/>
  <c r="AA484" i="1"/>
  <c r="AA420" i="1"/>
  <c r="AA356" i="1"/>
  <c r="AA292" i="1"/>
  <c r="AA228" i="1"/>
  <c r="AA164" i="1"/>
  <c r="AA100" i="1"/>
  <c r="AA36" i="1"/>
  <c r="AA619" i="1"/>
  <c r="AA555" i="1"/>
  <c r="AA491" i="1"/>
  <c r="AA427" i="1"/>
  <c r="AA363" i="1"/>
  <c r="AA299" i="1"/>
  <c r="AA235" i="1"/>
  <c r="AA171" i="1"/>
  <c r="AA107" i="1"/>
  <c r="AA43" i="1"/>
  <c r="AA626" i="1"/>
  <c r="AA562" i="1"/>
  <c r="AA498" i="1"/>
  <c r="AA434" i="1"/>
  <c r="AA370" i="1"/>
  <c r="AA306" i="1"/>
  <c r="AA242" i="1"/>
  <c r="AA178" i="1"/>
  <c r="AA114" i="1"/>
  <c r="AA50" i="1"/>
  <c r="AA401" i="1"/>
  <c r="AA201" i="1"/>
  <c r="AA369" i="1"/>
  <c r="AA217" i="1"/>
  <c r="AA559" i="1"/>
  <c r="AA106" i="1"/>
  <c r="AA273" i="1"/>
  <c r="AA649" i="1"/>
  <c r="AA137" i="1"/>
  <c r="AA505" i="1"/>
  <c r="AA305" i="1"/>
  <c r="AA193" i="1"/>
  <c r="AA425" i="1"/>
  <c r="AA657" i="1"/>
  <c r="AA481" i="1"/>
  <c r="AA97" i="1"/>
  <c r="AA616" i="1"/>
  <c r="AA552" i="1"/>
  <c r="AA488" i="1"/>
  <c r="AA424" i="1"/>
  <c r="AA360" i="1"/>
  <c r="AA296" i="1"/>
  <c r="AA232" i="1"/>
  <c r="AA168" i="1"/>
  <c r="AA104" i="1"/>
  <c r="AA40" i="1"/>
  <c r="AA615" i="1"/>
  <c r="AA551" i="1"/>
  <c r="AA487" i="1"/>
  <c r="AA423" i="1"/>
  <c r="AA359" i="1"/>
  <c r="AA295" i="1"/>
  <c r="AA231" i="1"/>
  <c r="AA167" i="1"/>
  <c r="AA103" i="1"/>
  <c r="AA39" i="1"/>
  <c r="AA622" i="1"/>
  <c r="AA558" i="1"/>
  <c r="AA494" i="1"/>
  <c r="AA430" i="1"/>
  <c r="AA366" i="1"/>
  <c r="AA302" i="1"/>
  <c r="AA238" i="1"/>
  <c r="AA174" i="1"/>
  <c r="AA110" i="1"/>
  <c r="AA46" i="1"/>
  <c r="AA629" i="1"/>
  <c r="AA565" i="1"/>
  <c r="AA501" i="1"/>
  <c r="AA437" i="1"/>
  <c r="AA373" i="1"/>
  <c r="AA309" i="1"/>
  <c r="AA245" i="1"/>
  <c r="AA181" i="1"/>
  <c r="AA117" i="1"/>
  <c r="AA53" i="1"/>
  <c r="AA49" i="1"/>
  <c r="AA604" i="1"/>
  <c r="AA540" i="1"/>
  <c r="AA476" i="1"/>
  <c r="AA412" i="1"/>
  <c r="AA348" i="1"/>
  <c r="AA284" i="1"/>
  <c r="AA220" i="1"/>
  <c r="AA156" i="1"/>
  <c r="AA92" i="1"/>
  <c r="AA28" i="1"/>
  <c r="AA611" i="1"/>
  <c r="AA547" i="1"/>
  <c r="AA483" i="1"/>
  <c r="AA419" i="1"/>
  <c r="AA355" i="1"/>
  <c r="AA291" i="1"/>
  <c r="AA227" i="1"/>
  <c r="AA163" i="1"/>
  <c r="AA99" i="1"/>
  <c r="AA35" i="1"/>
  <c r="AA618" i="1"/>
  <c r="AA554" i="1"/>
  <c r="AA490" i="1"/>
  <c r="AA426" i="1"/>
  <c r="AA362" i="1"/>
  <c r="AA298" i="1"/>
  <c r="AA234" i="1"/>
  <c r="AA170" i="1"/>
  <c r="AA42" i="1"/>
  <c r="AA209" i="1"/>
  <c r="AA585" i="1"/>
  <c r="AA129" i="1"/>
  <c r="AA313" i="1"/>
  <c r="AA241" i="1"/>
  <c r="AA633" i="1"/>
  <c r="AA361" i="1"/>
  <c r="AA641" i="1"/>
  <c r="AA417" i="1"/>
  <c r="AA81" i="1"/>
  <c r="AA608" i="1"/>
  <c r="AA544" i="1"/>
  <c r="AA480" i="1"/>
  <c r="AA416" i="1"/>
  <c r="AA352" i="1"/>
  <c r="AA288" i="1"/>
  <c r="AA224" i="1"/>
  <c r="AA160" i="1"/>
  <c r="AA96" i="1"/>
  <c r="AA32" i="1"/>
  <c r="AA607" i="1"/>
  <c r="AA543" i="1"/>
  <c r="AA479" i="1"/>
  <c r="AA415" i="1"/>
  <c r="AA351" i="1"/>
  <c r="AA287" i="1"/>
  <c r="AA223" i="1"/>
  <c r="AA159" i="1"/>
  <c r="AA95" i="1"/>
  <c r="AA31" i="1"/>
  <c r="AA614" i="1"/>
  <c r="AA550" i="1"/>
  <c r="AA486" i="1"/>
  <c r="AA422" i="1"/>
  <c r="AA358" i="1"/>
  <c r="AA294" i="1"/>
  <c r="AA230" i="1"/>
  <c r="AA166" i="1"/>
  <c r="AA102" i="1"/>
  <c r="AA38" i="1"/>
  <c r="AA621" i="1"/>
  <c r="AA557" i="1"/>
  <c r="AA493" i="1"/>
  <c r="AA429" i="1"/>
  <c r="AA365" i="1"/>
  <c r="AA301" i="1"/>
  <c r="AA237" i="1"/>
  <c r="AA173" i="1"/>
  <c r="AA109" i="1"/>
  <c r="AA45" i="1"/>
  <c r="AA660" i="1"/>
  <c r="AA596" i="1"/>
  <c r="AA532" i="1"/>
  <c r="AA468" i="1"/>
  <c r="AA404" i="1"/>
  <c r="AA340" i="1"/>
  <c r="AA276" i="1"/>
  <c r="AA212" i="1"/>
  <c r="AA148" i="1"/>
  <c r="AA84" i="1"/>
  <c r="AA20" i="1"/>
  <c r="AA603" i="1"/>
  <c r="AA539" i="1"/>
  <c r="AA475" i="1"/>
  <c r="AA411" i="1"/>
  <c r="AA347" i="1"/>
  <c r="AA283" i="1"/>
  <c r="AA219" i="1"/>
  <c r="AA155" i="1"/>
  <c r="AA91" i="1"/>
  <c r="AA27" i="1"/>
  <c r="AA610" i="1"/>
  <c r="AA546" i="1"/>
  <c r="AA482" i="1"/>
  <c r="AA418" i="1"/>
  <c r="AA354" i="1"/>
  <c r="AA226" i="1"/>
  <c r="AA162" i="1"/>
  <c r="AA98" i="1"/>
  <c r="AA290" i="1"/>
  <c r="AA601" i="1"/>
  <c r="AA177" i="1"/>
  <c r="AA297" i="1"/>
  <c r="AA353" i="1"/>
  <c r="AA25" i="1"/>
  <c r="AA536" i="1"/>
  <c r="AA472" i="1"/>
  <c r="AA408" i="1"/>
  <c r="AA344" i="1"/>
  <c r="AA280" i="1"/>
  <c r="AA216" i="1"/>
  <c r="AA152" i="1"/>
  <c r="AA88" i="1"/>
  <c r="AA24" i="1"/>
  <c r="AA599" i="1"/>
  <c r="AA535" i="1"/>
  <c r="AA471" i="1"/>
  <c r="AA407" i="1"/>
  <c r="AA343" i="1"/>
  <c r="AA279" i="1"/>
  <c r="AA151" i="1"/>
  <c r="AA87" i="1"/>
  <c r="AA23" i="1"/>
  <c r="AA606" i="1"/>
  <c r="AA542" i="1"/>
  <c r="AA478" i="1"/>
  <c r="AA414" i="1"/>
  <c r="AA350" i="1"/>
  <c r="AA286" i="1"/>
  <c r="AA222" i="1"/>
  <c r="AA158" i="1"/>
  <c r="AA94" i="1"/>
  <c r="AA30" i="1"/>
  <c r="AA613" i="1"/>
  <c r="AA549" i="1"/>
  <c r="AA485" i="1"/>
  <c r="AA421" i="1"/>
  <c r="AA357" i="1"/>
  <c r="AA293" i="1"/>
  <c r="AA229" i="1"/>
  <c r="AA165" i="1"/>
  <c r="AA101" i="1"/>
  <c r="AA37" i="1"/>
  <c r="AA652" i="1"/>
  <c r="AA588" i="1"/>
  <c r="AA524" i="1"/>
  <c r="AA460" i="1"/>
  <c r="AA396" i="1"/>
  <c r="AA332" i="1"/>
  <c r="AA268" i="1"/>
  <c r="AA204" i="1"/>
  <c r="AA140" i="1"/>
  <c r="AA76" i="1"/>
  <c r="AA659" i="1"/>
  <c r="AA595" i="1"/>
  <c r="AA531" i="1"/>
  <c r="AA467" i="1"/>
  <c r="AA403" i="1"/>
  <c r="AA339" i="1"/>
  <c r="AA275" i="1"/>
  <c r="AA211" i="1"/>
  <c r="AA147" i="1"/>
  <c r="AA83" i="1"/>
  <c r="AA602" i="1"/>
  <c r="AA538" i="1"/>
  <c r="AA474" i="1"/>
  <c r="AA410" i="1"/>
  <c r="AA346" i="1"/>
  <c r="AA282" i="1"/>
  <c r="AA218" i="1"/>
  <c r="AA90" i="1"/>
  <c r="AA26" i="1"/>
  <c r="AA145" i="1"/>
  <c r="AA521" i="1"/>
  <c r="AA121" i="1"/>
  <c r="AA441" i="1"/>
  <c r="AA513" i="1"/>
  <c r="AA600" i="1"/>
  <c r="AA215" i="1"/>
  <c r="AA537" i="1"/>
  <c r="AA457" i="1"/>
  <c r="AA33" i="1"/>
  <c r="AA625" i="1"/>
  <c r="AA65" i="1"/>
  <c r="AA377" i="1"/>
  <c r="AA233" i="1"/>
  <c r="AA321" i="1"/>
  <c r="AA289" i="1"/>
  <c r="AA656" i="1"/>
  <c r="AA592" i="1"/>
  <c r="AA528" i="1"/>
  <c r="AA464" i="1"/>
  <c r="AA400" i="1"/>
  <c r="AA336" i="1"/>
  <c r="AA272" i="1"/>
  <c r="AA208" i="1"/>
  <c r="AA144" i="1"/>
  <c r="AA80" i="1"/>
  <c r="AA655" i="1"/>
  <c r="AA591" i="1"/>
  <c r="AA527" i="1"/>
  <c r="AA463" i="1"/>
  <c r="AA399" i="1"/>
  <c r="AA335" i="1"/>
  <c r="AA271" i="1"/>
  <c r="AA207" i="1"/>
  <c r="AA143" i="1"/>
  <c r="AA79" i="1"/>
  <c r="AA662" i="1"/>
  <c r="AA598" i="1"/>
  <c r="AA534" i="1"/>
  <c r="AA470" i="1"/>
  <c r="AA406" i="1"/>
  <c r="AA342" i="1"/>
  <c r="AA278" i="1"/>
  <c r="AA214" i="1"/>
  <c r="AA150" i="1"/>
  <c r="AA86" i="1"/>
  <c r="AA22" i="1"/>
  <c r="AA605" i="1"/>
  <c r="AA541" i="1"/>
  <c r="AA477" i="1"/>
  <c r="AA413" i="1"/>
  <c r="AA349" i="1"/>
  <c r="AA285" i="1"/>
  <c r="AA221" i="1"/>
  <c r="AA157" i="1"/>
  <c r="AA93" i="1"/>
  <c r="AA29" i="1"/>
  <c r="AA644" i="1"/>
  <c r="AA580" i="1"/>
  <c r="AA516" i="1"/>
  <c r="AA452" i="1"/>
  <c r="AA388" i="1"/>
  <c r="AA324" i="1"/>
  <c r="AA260" i="1"/>
  <c r="AA196" i="1"/>
  <c r="AA132" i="1"/>
  <c r="AA68" i="1"/>
  <c r="AA651" i="1"/>
  <c r="AA587" i="1"/>
  <c r="AA523" i="1"/>
  <c r="AA459" i="1"/>
  <c r="AA395" i="1"/>
  <c r="AA331" i="1"/>
  <c r="AA267" i="1"/>
  <c r="AA203" i="1"/>
  <c r="AA139" i="1"/>
  <c r="AA75" i="1"/>
  <c r="AA658" i="1"/>
  <c r="AA594" i="1"/>
  <c r="AA530" i="1"/>
  <c r="AA466" i="1"/>
  <c r="AA402" i="1"/>
  <c r="AA338" i="1"/>
  <c r="AA274" i="1"/>
  <c r="AA210" i="1"/>
  <c r="AA146" i="1"/>
  <c r="AA82" i="1"/>
  <c r="AA345" i="1"/>
  <c r="AA465" i="1"/>
  <c r="AA473" i="1"/>
  <c r="AA169" i="1"/>
  <c r="AA225" i="1"/>
  <c r="AA648" i="1"/>
  <c r="AA584" i="1"/>
  <c r="AA520" i="1"/>
  <c r="AA456" i="1"/>
  <c r="AA392" i="1"/>
  <c r="AA328" i="1"/>
  <c r="AA264" i="1"/>
  <c r="AA200" i="1"/>
  <c r="AA136" i="1"/>
  <c r="AA72" i="1"/>
  <c r="AA583" i="1"/>
  <c r="AA519" i="1"/>
  <c r="AA455" i="1"/>
  <c r="AA391" i="1"/>
  <c r="AA327" i="1"/>
  <c r="AA263" i="1"/>
  <c r="AA199" i="1"/>
  <c r="AA135" i="1"/>
  <c r="AA71" i="1"/>
  <c r="AA654" i="1"/>
  <c r="AA590" i="1"/>
  <c r="AA526" i="1"/>
  <c r="AA462" i="1"/>
  <c r="AA398" i="1"/>
  <c r="AA334" i="1"/>
  <c r="AA270" i="1"/>
  <c r="AA206" i="1"/>
  <c r="AA142" i="1"/>
  <c r="AA78" i="1"/>
  <c r="AA661" i="1"/>
  <c r="AA597" i="1"/>
  <c r="AA533" i="1"/>
  <c r="AA469" i="1"/>
  <c r="AA405" i="1"/>
  <c r="AA341" i="1"/>
  <c r="AA277" i="1"/>
  <c r="AA213" i="1"/>
  <c r="AA149" i="1"/>
  <c r="AA85" i="1"/>
  <c r="AA21" i="1"/>
  <c r="AA636" i="1"/>
  <c r="AA572" i="1"/>
  <c r="AA508" i="1"/>
  <c r="AA444" i="1"/>
  <c r="AA380" i="1"/>
  <c r="AA316" i="1"/>
  <c r="AA252" i="1"/>
  <c r="AA188" i="1"/>
  <c r="AA124" i="1"/>
  <c r="AA60" i="1"/>
  <c r="AA643" i="1"/>
  <c r="AA579" i="1"/>
  <c r="AA515" i="1"/>
  <c r="AA451" i="1"/>
  <c r="AA387" i="1"/>
  <c r="AA323" i="1"/>
  <c r="AA259" i="1"/>
  <c r="AA195" i="1"/>
  <c r="AA131" i="1"/>
  <c r="AA67" i="1"/>
  <c r="AA650" i="1"/>
  <c r="AA586" i="1"/>
  <c r="AA522" i="1"/>
  <c r="AA458" i="1"/>
  <c r="AA394" i="1"/>
  <c r="AA330" i="1"/>
  <c r="AA266" i="1"/>
  <c r="AA202" i="1"/>
  <c r="AA138" i="1"/>
  <c r="AA74" i="1"/>
  <c r="AA19" i="1"/>
  <c r="AA18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31" i="1"/>
  <c r="G31" i="1" s="1"/>
  <c r="F33" i="1"/>
  <c r="G33" i="1" s="1"/>
  <c r="F32" i="1"/>
  <c r="G32" i="1" s="1"/>
  <c r="AJ19" i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F44" i="1"/>
  <c r="G44" i="1" s="1"/>
  <c r="F42" i="1"/>
  <c r="G42" i="1" s="1"/>
  <c r="F43" i="1"/>
  <c r="G43" i="1" s="1"/>
  <c r="W7" i="3"/>
  <c r="F36" i="1"/>
  <c r="H36" i="1" s="1"/>
  <c r="AD648" i="1"/>
  <c r="U648" i="1"/>
  <c r="T648" i="1"/>
  <c r="AC648" i="1"/>
  <c r="V648" i="1"/>
  <c r="AC519" i="1"/>
  <c r="T519" i="1"/>
  <c r="U519" i="1"/>
  <c r="V519" i="1"/>
  <c r="AD519" i="1"/>
  <c r="T462" i="1"/>
  <c r="U462" i="1"/>
  <c r="V462" i="1"/>
  <c r="AC462" i="1"/>
  <c r="AD462" i="1"/>
  <c r="AC533" i="1"/>
  <c r="T533" i="1"/>
  <c r="U533" i="1"/>
  <c r="AD533" i="1"/>
  <c r="V533" i="1"/>
  <c r="AC572" i="1"/>
  <c r="AD572" i="1"/>
  <c r="U572" i="1"/>
  <c r="V572" i="1"/>
  <c r="T572" i="1"/>
  <c r="AC577" i="1"/>
  <c r="AD577" i="1"/>
  <c r="U577" i="1"/>
  <c r="V577" i="1"/>
  <c r="T577" i="1"/>
  <c r="AC497" i="1"/>
  <c r="T497" i="1"/>
  <c r="AD497" i="1"/>
  <c r="V497" i="1"/>
  <c r="U497" i="1"/>
  <c r="AD617" i="1"/>
  <c r="U617" i="1"/>
  <c r="T617" i="1"/>
  <c r="V617" i="1"/>
  <c r="AC617" i="1"/>
  <c r="AD640" i="1"/>
  <c r="AC640" i="1"/>
  <c r="T640" i="1"/>
  <c r="U640" i="1"/>
  <c r="V640" i="1"/>
  <c r="AC576" i="1"/>
  <c r="AD576" i="1"/>
  <c r="U576" i="1"/>
  <c r="V576" i="1"/>
  <c r="T576" i="1"/>
  <c r="AC512" i="1"/>
  <c r="T512" i="1"/>
  <c r="V512" i="1"/>
  <c r="AD512" i="1"/>
  <c r="U512" i="1"/>
  <c r="T448" i="1"/>
  <c r="U448" i="1"/>
  <c r="V448" i="1"/>
  <c r="AC448" i="1"/>
  <c r="AD448" i="1"/>
  <c r="AD639" i="1"/>
  <c r="U639" i="1"/>
  <c r="AC639" i="1"/>
  <c r="T639" i="1"/>
  <c r="V639" i="1"/>
  <c r="AC575" i="1"/>
  <c r="AD575" i="1"/>
  <c r="U575" i="1"/>
  <c r="V575" i="1"/>
  <c r="T575" i="1"/>
  <c r="AC511" i="1"/>
  <c r="T511" i="1"/>
  <c r="U511" i="1"/>
  <c r="V511" i="1"/>
  <c r="AD511" i="1"/>
  <c r="T447" i="1"/>
  <c r="U447" i="1"/>
  <c r="V447" i="1"/>
  <c r="AC447" i="1"/>
  <c r="AD447" i="1"/>
  <c r="AD646" i="1"/>
  <c r="U646" i="1"/>
  <c r="T646" i="1"/>
  <c r="V646" i="1"/>
  <c r="AC646" i="1"/>
  <c r="AC582" i="1"/>
  <c r="AD582" i="1"/>
  <c r="U582" i="1"/>
  <c r="V582" i="1"/>
  <c r="T582" i="1"/>
  <c r="AC518" i="1"/>
  <c r="T518" i="1"/>
  <c r="U518" i="1"/>
  <c r="AD518" i="1"/>
  <c r="V518" i="1"/>
  <c r="T454" i="1"/>
  <c r="U454" i="1"/>
  <c r="V454" i="1"/>
  <c r="AC454" i="1"/>
  <c r="AD454" i="1"/>
  <c r="AC653" i="1"/>
  <c r="AD653" i="1"/>
  <c r="U653" i="1"/>
  <c r="T653" i="1"/>
  <c r="V653" i="1"/>
  <c r="AC589" i="1"/>
  <c r="AD589" i="1"/>
  <c r="U589" i="1"/>
  <c r="V589" i="1"/>
  <c r="T589" i="1"/>
  <c r="AC525" i="1"/>
  <c r="T525" i="1"/>
  <c r="U525" i="1"/>
  <c r="AD525" i="1"/>
  <c r="V525" i="1"/>
  <c r="T461" i="1"/>
  <c r="U461" i="1"/>
  <c r="V461" i="1"/>
  <c r="AC461" i="1"/>
  <c r="AD461" i="1"/>
  <c r="T397" i="1"/>
  <c r="U397" i="1"/>
  <c r="V397" i="1"/>
  <c r="AC397" i="1"/>
  <c r="AD397" i="1"/>
  <c r="AD628" i="1"/>
  <c r="U628" i="1"/>
  <c r="T628" i="1"/>
  <c r="AC628" i="1"/>
  <c r="V628" i="1"/>
  <c r="AC564" i="1"/>
  <c r="AD564" i="1"/>
  <c r="U564" i="1"/>
  <c r="V564" i="1"/>
  <c r="T564" i="1"/>
  <c r="AC500" i="1"/>
  <c r="T500" i="1"/>
  <c r="V500" i="1"/>
  <c r="AD500" i="1"/>
  <c r="U500" i="1"/>
  <c r="T436" i="1"/>
  <c r="U436" i="1"/>
  <c r="V436" i="1"/>
  <c r="AC436" i="1"/>
  <c r="AD436" i="1"/>
  <c r="AD635" i="1"/>
  <c r="T635" i="1"/>
  <c r="U635" i="1"/>
  <c r="V635" i="1"/>
  <c r="AC635" i="1"/>
  <c r="AC571" i="1"/>
  <c r="AD571" i="1"/>
  <c r="U571" i="1"/>
  <c r="V571" i="1"/>
  <c r="T571" i="1"/>
  <c r="AC507" i="1"/>
  <c r="T507" i="1"/>
  <c r="U507" i="1"/>
  <c r="V507" i="1"/>
  <c r="AD507" i="1"/>
  <c r="T443" i="1"/>
  <c r="U443" i="1"/>
  <c r="V443" i="1"/>
  <c r="AC443" i="1"/>
  <c r="AD443" i="1"/>
  <c r="AD642" i="1"/>
  <c r="U642" i="1"/>
  <c r="T642" i="1"/>
  <c r="V642" i="1"/>
  <c r="AC642" i="1"/>
  <c r="AC578" i="1"/>
  <c r="AD578" i="1"/>
  <c r="U578" i="1"/>
  <c r="V578" i="1"/>
  <c r="T578" i="1"/>
  <c r="AC514" i="1"/>
  <c r="T514" i="1"/>
  <c r="U514" i="1"/>
  <c r="V514" i="1"/>
  <c r="AD514" i="1"/>
  <c r="T450" i="1"/>
  <c r="U450" i="1"/>
  <c r="V450" i="1"/>
  <c r="AC450" i="1"/>
  <c r="AD450" i="1"/>
  <c r="T473" i="1"/>
  <c r="U473" i="1"/>
  <c r="V473" i="1"/>
  <c r="AC473" i="1"/>
  <c r="AD473" i="1"/>
  <c r="AC520" i="1"/>
  <c r="T520" i="1"/>
  <c r="V520" i="1"/>
  <c r="AD520" i="1"/>
  <c r="U520" i="1"/>
  <c r="T455" i="1"/>
  <c r="U455" i="1"/>
  <c r="V455" i="1"/>
  <c r="AC455" i="1"/>
  <c r="AD455" i="1"/>
  <c r="T405" i="1"/>
  <c r="U405" i="1"/>
  <c r="V405" i="1"/>
  <c r="AC405" i="1"/>
  <c r="AD405" i="1"/>
  <c r="AC508" i="1"/>
  <c r="T508" i="1"/>
  <c r="V508" i="1"/>
  <c r="AD508" i="1"/>
  <c r="U508" i="1"/>
  <c r="AC593" i="1"/>
  <c r="AD593" i="1"/>
  <c r="U593" i="1"/>
  <c r="V593" i="1"/>
  <c r="T593" i="1"/>
  <c r="T449" i="1"/>
  <c r="U449" i="1"/>
  <c r="V449" i="1"/>
  <c r="AC449" i="1"/>
  <c r="AD449" i="1"/>
  <c r="T433" i="1"/>
  <c r="U433" i="1"/>
  <c r="V433" i="1"/>
  <c r="AC433" i="1"/>
  <c r="AD433" i="1"/>
  <c r="AC529" i="1"/>
  <c r="T529" i="1"/>
  <c r="AD529" i="1"/>
  <c r="V529" i="1"/>
  <c r="U529" i="1"/>
  <c r="AC553" i="1"/>
  <c r="T553" i="1"/>
  <c r="AD553" i="1"/>
  <c r="U553" i="1"/>
  <c r="V553" i="1"/>
  <c r="T409" i="1"/>
  <c r="U409" i="1"/>
  <c r="V409" i="1"/>
  <c r="AC409" i="1"/>
  <c r="AD409" i="1"/>
  <c r="AC609" i="1"/>
  <c r="AD609" i="1"/>
  <c r="U609" i="1"/>
  <c r="T609" i="1"/>
  <c r="V609" i="1"/>
  <c r="AD632" i="1"/>
  <c r="U632" i="1"/>
  <c r="T632" i="1"/>
  <c r="V632" i="1"/>
  <c r="AC632" i="1"/>
  <c r="AC568" i="1"/>
  <c r="AD568" i="1"/>
  <c r="U568" i="1"/>
  <c r="V568" i="1"/>
  <c r="T568" i="1"/>
  <c r="AC504" i="1"/>
  <c r="T504" i="1"/>
  <c r="V504" i="1"/>
  <c r="AD504" i="1"/>
  <c r="U504" i="1"/>
  <c r="T440" i="1"/>
  <c r="U440" i="1"/>
  <c r="V440" i="1"/>
  <c r="AC440" i="1"/>
  <c r="AD440" i="1"/>
  <c r="AC631" i="1"/>
  <c r="AD631" i="1"/>
  <c r="U631" i="1"/>
  <c r="T631" i="1"/>
  <c r="V631" i="1"/>
  <c r="AC567" i="1"/>
  <c r="AD567" i="1"/>
  <c r="U567" i="1"/>
  <c r="V567" i="1"/>
  <c r="T567" i="1"/>
  <c r="AC503" i="1"/>
  <c r="T503" i="1"/>
  <c r="U503" i="1"/>
  <c r="V503" i="1"/>
  <c r="AD503" i="1"/>
  <c r="T439" i="1"/>
  <c r="U439" i="1"/>
  <c r="V439" i="1"/>
  <c r="AC439" i="1"/>
  <c r="AD439" i="1"/>
  <c r="AC638" i="1"/>
  <c r="AD638" i="1"/>
  <c r="T638" i="1"/>
  <c r="U638" i="1"/>
  <c r="V638" i="1"/>
  <c r="AC574" i="1"/>
  <c r="AD574" i="1"/>
  <c r="U574" i="1"/>
  <c r="V574" i="1"/>
  <c r="T574" i="1"/>
  <c r="AC510" i="1"/>
  <c r="T510" i="1"/>
  <c r="U510" i="1"/>
  <c r="AD510" i="1"/>
  <c r="V510" i="1"/>
  <c r="T446" i="1"/>
  <c r="U446" i="1"/>
  <c r="V446" i="1"/>
  <c r="AC446" i="1"/>
  <c r="AD446" i="1"/>
  <c r="AD645" i="1"/>
  <c r="U645" i="1"/>
  <c r="T645" i="1"/>
  <c r="V645" i="1"/>
  <c r="AC645" i="1"/>
  <c r="AC581" i="1"/>
  <c r="AD581" i="1"/>
  <c r="U581" i="1"/>
  <c r="V581" i="1"/>
  <c r="T581" i="1"/>
  <c r="AC517" i="1"/>
  <c r="T517" i="1"/>
  <c r="U517" i="1"/>
  <c r="AD517" i="1"/>
  <c r="V517" i="1"/>
  <c r="T453" i="1"/>
  <c r="U453" i="1"/>
  <c r="V453" i="1"/>
  <c r="AC453" i="1"/>
  <c r="AD453" i="1"/>
  <c r="AC620" i="1"/>
  <c r="AD620" i="1"/>
  <c r="T620" i="1"/>
  <c r="U620" i="1"/>
  <c r="V620" i="1"/>
  <c r="AC556" i="1"/>
  <c r="AD556" i="1"/>
  <c r="U556" i="1"/>
  <c r="V556" i="1"/>
  <c r="T556" i="1"/>
  <c r="AC492" i="1"/>
  <c r="T492" i="1"/>
  <c r="V492" i="1"/>
  <c r="AD492" i="1"/>
  <c r="U492" i="1"/>
  <c r="T428" i="1"/>
  <c r="U428" i="1"/>
  <c r="V428" i="1"/>
  <c r="AC428" i="1"/>
  <c r="AD428" i="1"/>
  <c r="AC627" i="1"/>
  <c r="AD627" i="1"/>
  <c r="U627" i="1"/>
  <c r="T627" i="1"/>
  <c r="V627" i="1"/>
  <c r="AC563" i="1"/>
  <c r="AD563" i="1"/>
  <c r="U563" i="1"/>
  <c r="V563" i="1"/>
  <c r="T563" i="1"/>
  <c r="AC499" i="1"/>
  <c r="T499" i="1"/>
  <c r="U499" i="1"/>
  <c r="V499" i="1"/>
  <c r="AD499" i="1"/>
  <c r="T435" i="1"/>
  <c r="U435" i="1"/>
  <c r="V435" i="1"/>
  <c r="AC435" i="1"/>
  <c r="AD435" i="1"/>
  <c r="AD634" i="1"/>
  <c r="U634" i="1"/>
  <c r="T634" i="1"/>
  <c r="AC634" i="1"/>
  <c r="V634" i="1"/>
  <c r="AC570" i="1"/>
  <c r="AD570" i="1"/>
  <c r="U570" i="1"/>
  <c r="V570" i="1"/>
  <c r="T570" i="1"/>
  <c r="AC506" i="1"/>
  <c r="T506" i="1"/>
  <c r="U506" i="1"/>
  <c r="V506" i="1"/>
  <c r="AD506" i="1"/>
  <c r="T442" i="1"/>
  <c r="U442" i="1"/>
  <c r="V442" i="1"/>
  <c r="AC442" i="1"/>
  <c r="AD442" i="1"/>
  <c r="AC583" i="1"/>
  <c r="AD583" i="1"/>
  <c r="U583" i="1"/>
  <c r="V583" i="1"/>
  <c r="T583" i="1"/>
  <c r="T398" i="1"/>
  <c r="U398" i="1"/>
  <c r="V398" i="1"/>
  <c r="AC398" i="1"/>
  <c r="AD398" i="1"/>
  <c r="T469" i="1"/>
  <c r="U469" i="1"/>
  <c r="V469" i="1"/>
  <c r="AC469" i="1"/>
  <c r="AD469" i="1"/>
  <c r="AD636" i="1"/>
  <c r="U636" i="1"/>
  <c r="T636" i="1"/>
  <c r="V636" i="1"/>
  <c r="AC636" i="1"/>
  <c r="T444" i="1"/>
  <c r="U444" i="1"/>
  <c r="V444" i="1"/>
  <c r="AC444" i="1"/>
  <c r="AD444" i="1"/>
  <c r="AD643" i="1"/>
  <c r="U643" i="1"/>
  <c r="T643" i="1"/>
  <c r="AC643" i="1"/>
  <c r="V643" i="1"/>
  <c r="AC579" i="1"/>
  <c r="AD579" i="1"/>
  <c r="U579" i="1"/>
  <c r="V579" i="1"/>
  <c r="T579" i="1"/>
  <c r="AC515" i="1"/>
  <c r="T515" i="1"/>
  <c r="U515" i="1"/>
  <c r="V515" i="1"/>
  <c r="AD515" i="1"/>
  <c r="T451" i="1"/>
  <c r="U451" i="1"/>
  <c r="V451" i="1"/>
  <c r="AC451" i="1"/>
  <c r="AD451" i="1"/>
  <c r="AD650" i="1"/>
  <c r="U650" i="1"/>
  <c r="T650" i="1"/>
  <c r="V650" i="1"/>
  <c r="AC650" i="1"/>
  <c r="AC586" i="1"/>
  <c r="AD586" i="1"/>
  <c r="U586" i="1"/>
  <c r="V586" i="1"/>
  <c r="T586" i="1"/>
  <c r="AC522" i="1"/>
  <c r="T522" i="1"/>
  <c r="U522" i="1"/>
  <c r="V522" i="1"/>
  <c r="AD522" i="1"/>
  <c r="T401" i="1"/>
  <c r="U401" i="1"/>
  <c r="V401" i="1"/>
  <c r="AC401" i="1"/>
  <c r="AD401" i="1"/>
  <c r="AC489" i="1"/>
  <c r="T489" i="1"/>
  <c r="AD489" i="1"/>
  <c r="V489" i="1"/>
  <c r="U489" i="1"/>
  <c r="AC545" i="1"/>
  <c r="T545" i="1"/>
  <c r="AD545" i="1"/>
  <c r="U545" i="1"/>
  <c r="V545" i="1"/>
  <c r="AC624" i="1"/>
  <c r="AD624" i="1"/>
  <c r="T624" i="1"/>
  <c r="U624" i="1"/>
  <c r="V624" i="1"/>
  <c r="AC560" i="1"/>
  <c r="AD560" i="1"/>
  <c r="U560" i="1"/>
  <c r="V560" i="1"/>
  <c r="T560" i="1"/>
  <c r="AC496" i="1"/>
  <c r="T496" i="1"/>
  <c r="V496" i="1"/>
  <c r="AD496" i="1"/>
  <c r="U496" i="1"/>
  <c r="T432" i="1"/>
  <c r="U432" i="1"/>
  <c r="V432" i="1"/>
  <c r="AC432" i="1"/>
  <c r="AD432" i="1"/>
  <c r="AC623" i="1"/>
  <c r="AD623" i="1"/>
  <c r="U623" i="1"/>
  <c r="T623" i="1"/>
  <c r="V623" i="1"/>
  <c r="AC559" i="1"/>
  <c r="AD559" i="1"/>
  <c r="U559" i="1"/>
  <c r="V559" i="1"/>
  <c r="T559" i="1"/>
  <c r="AC495" i="1"/>
  <c r="T495" i="1"/>
  <c r="U495" i="1"/>
  <c r="V495" i="1"/>
  <c r="AD495" i="1"/>
  <c r="T431" i="1"/>
  <c r="U431" i="1"/>
  <c r="V431" i="1"/>
  <c r="AC431" i="1"/>
  <c r="AD431" i="1"/>
  <c r="AD630" i="1"/>
  <c r="AC630" i="1"/>
  <c r="T630" i="1"/>
  <c r="U630" i="1"/>
  <c r="V630" i="1"/>
  <c r="AC566" i="1"/>
  <c r="AD566" i="1"/>
  <c r="U566" i="1"/>
  <c r="V566" i="1"/>
  <c r="T566" i="1"/>
  <c r="AC502" i="1"/>
  <c r="T502" i="1"/>
  <c r="U502" i="1"/>
  <c r="V502" i="1"/>
  <c r="AD502" i="1"/>
  <c r="T438" i="1"/>
  <c r="U438" i="1"/>
  <c r="V438" i="1"/>
  <c r="AC438" i="1"/>
  <c r="AD438" i="1"/>
  <c r="AD637" i="1"/>
  <c r="U637" i="1"/>
  <c r="T637" i="1"/>
  <c r="AC637" i="1"/>
  <c r="V637" i="1"/>
  <c r="AC573" i="1"/>
  <c r="AD573" i="1"/>
  <c r="U573" i="1"/>
  <c r="V573" i="1"/>
  <c r="T573" i="1"/>
  <c r="AC509" i="1"/>
  <c r="T509" i="1"/>
  <c r="U509" i="1"/>
  <c r="AD509" i="1"/>
  <c r="V509" i="1"/>
  <c r="T445" i="1"/>
  <c r="U445" i="1"/>
  <c r="V445" i="1"/>
  <c r="AC445" i="1"/>
  <c r="AD445" i="1"/>
  <c r="AD612" i="1"/>
  <c r="U612" i="1"/>
  <c r="AC612" i="1"/>
  <c r="T612" i="1"/>
  <c r="V612" i="1"/>
  <c r="AC548" i="1"/>
  <c r="T548" i="1"/>
  <c r="V548" i="1"/>
  <c r="AD548" i="1"/>
  <c r="U548" i="1"/>
  <c r="AC484" i="1"/>
  <c r="T484" i="1"/>
  <c r="V484" i="1"/>
  <c r="AD484" i="1"/>
  <c r="U484" i="1"/>
  <c r="T420" i="1"/>
  <c r="U420" i="1"/>
  <c r="V420" i="1"/>
  <c r="AC420" i="1"/>
  <c r="AD420" i="1"/>
  <c r="AC619" i="1"/>
  <c r="AD619" i="1"/>
  <c r="U619" i="1"/>
  <c r="T619" i="1"/>
  <c r="V619" i="1"/>
  <c r="T555" i="1"/>
  <c r="AC555" i="1"/>
  <c r="AD555" i="1"/>
  <c r="U555" i="1"/>
  <c r="V555" i="1"/>
  <c r="AC491" i="1"/>
  <c r="T491" i="1"/>
  <c r="U491" i="1"/>
  <c r="V491" i="1"/>
  <c r="AD491" i="1"/>
  <c r="T427" i="1"/>
  <c r="U427" i="1"/>
  <c r="V427" i="1"/>
  <c r="AC427" i="1"/>
  <c r="AD427" i="1"/>
  <c r="AD626" i="1"/>
  <c r="U626" i="1"/>
  <c r="T626" i="1"/>
  <c r="V626" i="1"/>
  <c r="AC626" i="1"/>
  <c r="AC562" i="1"/>
  <c r="AD562" i="1"/>
  <c r="U562" i="1"/>
  <c r="V562" i="1"/>
  <c r="T562" i="1"/>
  <c r="AC498" i="1"/>
  <c r="T498" i="1"/>
  <c r="U498" i="1"/>
  <c r="V498" i="1"/>
  <c r="AD498" i="1"/>
  <c r="T434" i="1"/>
  <c r="U434" i="1"/>
  <c r="V434" i="1"/>
  <c r="AC434" i="1"/>
  <c r="AD434" i="1"/>
  <c r="T456" i="1"/>
  <c r="U456" i="1"/>
  <c r="V456" i="1"/>
  <c r="AC456" i="1"/>
  <c r="AD456" i="1"/>
  <c r="AC526" i="1"/>
  <c r="T526" i="1"/>
  <c r="U526" i="1"/>
  <c r="V526" i="1"/>
  <c r="AD526" i="1"/>
  <c r="AD661" i="1"/>
  <c r="U661" i="1"/>
  <c r="T661" i="1"/>
  <c r="AC661" i="1"/>
  <c r="V661" i="1"/>
  <c r="AD649" i="1"/>
  <c r="U649" i="1"/>
  <c r="AC649" i="1"/>
  <c r="T649" i="1"/>
  <c r="V649" i="1"/>
  <c r="AC505" i="1"/>
  <c r="T505" i="1"/>
  <c r="AD505" i="1"/>
  <c r="U505" i="1"/>
  <c r="V505" i="1"/>
  <c r="T425" i="1"/>
  <c r="U425" i="1"/>
  <c r="V425" i="1"/>
  <c r="AC425" i="1"/>
  <c r="AD425" i="1"/>
  <c r="AD657" i="1"/>
  <c r="AC657" i="1"/>
  <c r="U657" i="1"/>
  <c r="T657" i="1"/>
  <c r="V657" i="1"/>
  <c r="AC481" i="1"/>
  <c r="T481" i="1"/>
  <c r="AD481" i="1"/>
  <c r="U481" i="1"/>
  <c r="V481" i="1"/>
  <c r="AD616" i="1"/>
  <c r="U616" i="1"/>
  <c r="T616" i="1"/>
  <c r="V616" i="1"/>
  <c r="AC616" i="1"/>
  <c r="AC552" i="1"/>
  <c r="T552" i="1"/>
  <c r="V552" i="1"/>
  <c r="AD552" i="1"/>
  <c r="U552" i="1"/>
  <c r="AC488" i="1"/>
  <c r="T488" i="1"/>
  <c r="V488" i="1"/>
  <c r="AD488" i="1"/>
  <c r="U488" i="1"/>
  <c r="T424" i="1"/>
  <c r="U424" i="1"/>
  <c r="V424" i="1"/>
  <c r="AC424" i="1"/>
  <c r="AD424" i="1"/>
  <c r="AC615" i="1"/>
  <c r="AD615" i="1"/>
  <c r="T615" i="1"/>
  <c r="U615" i="1"/>
  <c r="V615" i="1"/>
  <c r="AC551" i="1"/>
  <c r="T551" i="1"/>
  <c r="U551" i="1"/>
  <c r="V551" i="1"/>
  <c r="AD551" i="1"/>
  <c r="AC487" i="1"/>
  <c r="T487" i="1"/>
  <c r="U487" i="1"/>
  <c r="V487" i="1"/>
  <c r="AD487" i="1"/>
  <c r="T423" i="1"/>
  <c r="U423" i="1"/>
  <c r="V423" i="1"/>
  <c r="AC423" i="1"/>
  <c r="AD423" i="1"/>
  <c r="AC622" i="1"/>
  <c r="AD622" i="1"/>
  <c r="U622" i="1"/>
  <c r="T622" i="1"/>
  <c r="V622" i="1"/>
  <c r="AC558" i="1"/>
  <c r="AD558" i="1"/>
  <c r="U558" i="1"/>
  <c r="V558" i="1"/>
  <c r="T558" i="1"/>
  <c r="AC494" i="1"/>
  <c r="T494" i="1"/>
  <c r="U494" i="1"/>
  <c r="V494" i="1"/>
  <c r="AD494" i="1"/>
  <c r="T430" i="1"/>
  <c r="U430" i="1"/>
  <c r="V430" i="1"/>
  <c r="AC430" i="1"/>
  <c r="AD430" i="1"/>
  <c r="AD629" i="1"/>
  <c r="U629" i="1"/>
  <c r="AC629" i="1"/>
  <c r="T629" i="1"/>
  <c r="V629" i="1"/>
  <c r="AC565" i="1"/>
  <c r="AD565" i="1"/>
  <c r="U565" i="1"/>
  <c r="V565" i="1"/>
  <c r="T565" i="1"/>
  <c r="AC501" i="1"/>
  <c r="T501" i="1"/>
  <c r="U501" i="1"/>
  <c r="AD501" i="1"/>
  <c r="V501" i="1"/>
  <c r="T437" i="1"/>
  <c r="U437" i="1"/>
  <c r="V437" i="1"/>
  <c r="AC437" i="1"/>
  <c r="AD437" i="1"/>
  <c r="AC604" i="1"/>
  <c r="AD604" i="1"/>
  <c r="U604" i="1"/>
  <c r="V604" i="1"/>
  <c r="T604" i="1"/>
  <c r="AC540" i="1"/>
  <c r="T540" i="1"/>
  <c r="V540" i="1"/>
  <c r="AD540" i="1"/>
  <c r="U540" i="1"/>
  <c r="T476" i="1"/>
  <c r="U476" i="1"/>
  <c r="V476" i="1"/>
  <c r="AC476" i="1"/>
  <c r="AD476" i="1"/>
  <c r="T412" i="1"/>
  <c r="U412" i="1"/>
  <c r="V412" i="1"/>
  <c r="AC412" i="1"/>
  <c r="AD412" i="1"/>
  <c r="AC611" i="1"/>
  <c r="AD611" i="1"/>
  <c r="U611" i="1"/>
  <c r="T611" i="1"/>
  <c r="V611" i="1"/>
  <c r="AC547" i="1"/>
  <c r="T547" i="1"/>
  <c r="U547" i="1"/>
  <c r="V547" i="1"/>
  <c r="AD547" i="1"/>
  <c r="AC483" i="1"/>
  <c r="T483" i="1"/>
  <c r="U483" i="1"/>
  <c r="V483" i="1"/>
  <c r="AD483" i="1"/>
  <c r="T419" i="1"/>
  <c r="U419" i="1"/>
  <c r="V419" i="1"/>
  <c r="AC419" i="1"/>
  <c r="AD419" i="1"/>
  <c r="AC618" i="1"/>
  <c r="AD618" i="1"/>
  <c r="U618" i="1"/>
  <c r="T618" i="1"/>
  <c r="V618" i="1"/>
  <c r="AC554" i="1"/>
  <c r="T554" i="1"/>
  <c r="U554" i="1"/>
  <c r="V554" i="1"/>
  <c r="AD554" i="1"/>
  <c r="AC490" i="1"/>
  <c r="T490" i="1"/>
  <c r="U490" i="1"/>
  <c r="V490" i="1"/>
  <c r="AD490" i="1"/>
  <c r="T426" i="1"/>
  <c r="U426" i="1"/>
  <c r="V426" i="1"/>
  <c r="AC426" i="1"/>
  <c r="AD426" i="1"/>
  <c r="T465" i="1"/>
  <c r="U465" i="1"/>
  <c r="V465" i="1"/>
  <c r="AC465" i="1"/>
  <c r="AD465" i="1"/>
  <c r="AC584" i="1"/>
  <c r="AD584" i="1"/>
  <c r="U584" i="1"/>
  <c r="V584" i="1"/>
  <c r="T584" i="1"/>
  <c r="AD654" i="1"/>
  <c r="U654" i="1"/>
  <c r="T654" i="1"/>
  <c r="V654" i="1"/>
  <c r="AC654" i="1"/>
  <c r="AC585" i="1"/>
  <c r="AD585" i="1"/>
  <c r="U585" i="1"/>
  <c r="V585" i="1"/>
  <c r="T585" i="1"/>
  <c r="AD633" i="1"/>
  <c r="U633" i="1"/>
  <c r="T633" i="1"/>
  <c r="V633" i="1"/>
  <c r="AC633" i="1"/>
  <c r="AD641" i="1"/>
  <c r="U641" i="1"/>
  <c r="T641" i="1"/>
  <c r="V641" i="1"/>
  <c r="AC641" i="1"/>
  <c r="T417" i="1"/>
  <c r="U417" i="1"/>
  <c r="V417" i="1"/>
  <c r="AC417" i="1"/>
  <c r="AD417" i="1"/>
  <c r="AC608" i="1"/>
  <c r="AD608" i="1"/>
  <c r="U608" i="1"/>
  <c r="T608" i="1"/>
  <c r="V608" i="1"/>
  <c r="AC544" i="1"/>
  <c r="T544" i="1"/>
  <c r="V544" i="1"/>
  <c r="AD544" i="1"/>
  <c r="U544" i="1"/>
  <c r="T480" i="1"/>
  <c r="U480" i="1"/>
  <c r="V480" i="1"/>
  <c r="AC480" i="1"/>
  <c r="AD480" i="1"/>
  <c r="T416" i="1"/>
  <c r="U416" i="1"/>
  <c r="V416" i="1"/>
  <c r="AC416" i="1"/>
  <c r="AD416" i="1"/>
  <c r="AC607" i="1"/>
  <c r="AD607" i="1"/>
  <c r="U607" i="1"/>
  <c r="V607" i="1"/>
  <c r="T607" i="1"/>
  <c r="AC543" i="1"/>
  <c r="T543" i="1"/>
  <c r="U543" i="1"/>
  <c r="V543" i="1"/>
  <c r="AD543" i="1"/>
  <c r="T479" i="1"/>
  <c r="U479" i="1"/>
  <c r="V479" i="1"/>
  <c r="AC479" i="1"/>
  <c r="AD479" i="1"/>
  <c r="T415" i="1"/>
  <c r="U415" i="1"/>
  <c r="V415" i="1"/>
  <c r="AC415" i="1"/>
  <c r="AD415" i="1"/>
  <c r="AD614" i="1"/>
  <c r="U614" i="1"/>
  <c r="T614" i="1"/>
  <c r="AC614" i="1"/>
  <c r="V614" i="1"/>
  <c r="AC550" i="1"/>
  <c r="T550" i="1"/>
  <c r="U550" i="1"/>
  <c r="AD550" i="1"/>
  <c r="V550" i="1"/>
  <c r="AC486" i="1"/>
  <c r="T486" i="1"/>
  <c r="U486" i="1"/>
  <c r="AD486" i="1"/>
  <c r="V486" i="1"/>
  <c r="T422" i="1"/>
  <c r="U422" i="1"/>
  <c r="V422" i="1"/>
  <c r="AC422" i="1"/>
  <c r="AD422" i="1"/>
  <c r="AD621" i="1"/>
  <c r="U621" i="1"/>
  <c r="T621" i="1"/>
  <c r="AC621" i="1"/>
  <c r="V621" i="1"/>
  <c r="AC557" i="1"/>
  <c r="AD557" i="1"/>
  <c r="U557" i="1"/>
  <c r="V557" i="1"/>
  <c r="T557" i="1"/>
  <c r="AC493" i="1"/>
  <c r="T493" i="1"/>
  <c r="U493" i="1"/>
  <c r="AD493" i="1"/>
  <c r="V493" i="1"/>
  <c r="T429" i="1"/>
  <c r="U429" i="1"/>
  <c r="V429" i="1"/>
  <c r="AC429" i="1"/>
  <c r="AD429" i="1"/>
  <c r="AD660" i="1"/>
  <c r="U660" i="1"/>
  <c r="T660" i="1"/>
  <c r="V660" i="1"/>
  <c r="AC660" i="1"/>
  <c r="AC596" i="1"/>
  <c r="AD596" i="1"/>
  <c r="U596" i="1"/>
  <c r="V596" i="1"/>
  <c r="T596" i="1"/>
  <c r="AC532" i="1"/>
  <c r="T532" i="1"/>
  <c r="V532" i="1"/>
  <c r="AD532" i="1"/>
  <c r="U532" i="1"/>
  <c r="T468" i="1"/>
  <c r="U468" i="1"/>
  <c r="V468" i="1"/>
  <c r="AC468" i="1"/>
  <c r="AD468" i="1"/>
  <c r="T404" i="1"/>
  <c r="U404" i="1"/>
  <c r="V404" i="1"/>
  <c r="AC404" i="1"/>
  <c r="AD404" i="1"/>
  <c r="AC603" i="1"/>
  <c r="AD603" i="1"/>
  <c r="U603" i="1"/>
  <c r="V603" i="1"/>
  <c r="T603" i="1"/>
  <c r="AC539" i="1"/>
  <c r="T539" i="1"/>
  <c r="U539" i="1"/>
  <c r="V539" i="1"/>
  <c r="AD539" i="1"/>
  <c r="T475" i="1"/>
  <c r="U475" i="1"/>
  <c r="V475" i="1"/>
  <c r="AC475" i="1"/>
  <c r="AD475" i="1"/>
  <c r="T411" i="1"/>
  <c r="U411" i="1"/>
  <c r="V411" i="1"/>
  <c r="AC411" i="1"/>
  <c r="AD411" i="1"/>
  <c r="AC610" i="1"/>
  <c r="AD610" i="1"/>
  <c r="U610" i="1"/>
  <c r="V610" i="1"/>
  <c r="T610" i="1"/>
  <c r="AC546" i="1"/>
  <c r="T546" i="1"/>
  <c r="U546" i="1"/>
  <c r="V546" i="1"/>
  <c r="AD546" i="1"/>
  <c r="AC482" i="1"/>
  <c r="T482" i="1"/>
  <c r="U482" i="1"/>
  <c r="V482" i="1"/>
  <c r="AD482" i="1"/>
  <c r="T418" i="1"/>
  <c r="U418" i="1"/>
  <c r="V418" i="1"/>
  <c r="AC418" i="1"/>
  <c r="AD418" i="1"/>
  <c r="AC561" i="1"/>
  <c r="AD561" i="1"/>
  <c r="U561" i="1"/>
  <c r="V561" i="1"/>
  <c r="T561" i="1"/>
  <c r="AC590" i="1"/>
  <c r="AD590" i="1"/>
  <c r="U590" i="1"/>
  <c r="V590" i="1"/>
  <c r="T590" i="1"/>
  <c r="AC597" i="1"/>
  <c r="AD597" i="1"/>
  <c r="U597" i="1"/>
  <c r="V597" i="1"/>
  <c r="T597" i="1"/>
  <c r="AC521" i="1"/>
  <c r="T521" i="1"/>
  <c r="AD521" i="1"/>
  <c r="U521" i="1"/>
  <c r="V521" i="1"/>
  <c r="AC601" i="1"/>
  <c r="AD601" i="1"/>
  <c r="U601" i="1"/>
  <c r="V601" i="1"/>
  <c r="T601" i="1"/>
  <c r="T441" i="1"/>
  <c r="U441" i="1"/>
  <c r="V441" i="1"/>
  <c r="AC441" i="1"/>
  <c r="AD441" i="1"/>
  <c r="AC513" i="1"/>
  <c r="T513" i="1"/>
  <c r="AD513" i="1"/>
  <c r="U513" i="1"/>
  <c r="V513" i="1"/>
  <c r="AC600" i="1"/>
  <c r="AD600" i="1"/>
  <c r="U600" i="1"/>
  <c r="V600" i="1"/>
  <c r="T600" i="1"/>
  <c r="AC536" i="1"/>
  <c r="T536" i="1"/>
  <c r="V536" i="1"/>
  <c r="AD536" i="1"/>
  <c r="U536" i="1"/>
  <c r="T472" i="1"/>
  <c r="U472" i="1"/>
  <c r="V472" i="1"/>
  <c r="AC472" i="1"/>
  <c r="AD472" i="1"/>
  <c r="T408" i="1"/>
  <c r="U408" i="1"/>
  <c r="V408" i="1"/>
  <c r="AC408" i="1"/>
  <c r="AD408" i="1"/>
  <c r="AC599" i="1"/>
  <c r="AD599" i="1"/>
  <c r="U599" i="1"/>
  <c r="V599" i="1"/>
  <c r="T599" i="1"/>
  <c r="AC535" i="1"/>
  <c r="T535" i="1"/>
  <c r="U535" i="1"/>
  <c r="V535" i="1"/>
  <c r="AD535" i="1"/>
  <c r="T471" i="1"/>
  <c r="U471" i="1"/>
  <c r="V471" i="1"/>
  <c r="AC471" i="1"/>
  <c r="AD471" i="1"/>
  <c r="T407" i="1"/>
  <c r="U407" i="1"/>
  <c r="V407" i="1"/>
  <c r="AC407" i="1"/>
  <c r="AD407" i="1"/>
  <c r="AC606" i="1"/>
  <c r="AD606" i="1"/>
  <c r="U606" i="1"/>
  <c r="T606" i="1"/>
  <c r="V606" i="1"/>
  <c r="AC542" i="1"/>
  <c r="T542" i="1"/>
  <c r="U542" i="1"/>
  <c r="V542" i="1"/>
  <c r="AD542" i="1"/>
  <c r="T478" i="1"/>
  <c r="U478" i="1"/>
  <c r="V478" i="1"/>
  <c r="AC478" i="1"/>
  <c r="AD478" i="1"/>
  <c r="T414" i="1"/>
  <c r="U414" i="1"/>
  <c r="V414" i="1"/>
  <c r="AC414" i="1"/>
  <c r="AD414" i="1"/>
  <c r="AD613" i="1"/>
  <c r="U613" i="1"/>
  <c r="AC613" i="1"/>
  <c r="T613" i="1"/>
  <c r="V613" i="1"/>
  <c r="AC549" i="1"/>
  <c r="T549" i="1"/>
  <c r="U549" i="1"/>
  <c r="AD549" i="1"/>
  <c r="V549" i="1"/>
  <c r="AC485" i="1"/>
  <c r="T485" i="1"/>
  <c r="U485" i="1"/>
  <c r="AD485" i="1"/>
  <c r="V485" i="1"/>
  <c r="T421" i="1"/>
  <c r="U421" i="1"/>
  <c r="V421" i="1"/>
  <c r="AC421" i="1"/>
  <c r="AD421" i="1"/>
  <c r="AD652" i="1"/>
  <c r="T652" i="1"/>
  <c r="U652" i="1"/>
  <c r="AC652" i="1"/>
  <c r="V652" i="1"/>
  <c r="AC588" i="1"/>
  <c r="AD588" i="1"/>
  <c r="U588" i="1"/>
  <c r="V588" i="1"/>
  <c r="T588" i="1"/>
  <c r="AC524" i="1"/>
  <c r="T524" i="1"/>
  <c r="V524" i="1"/>
  <c r="AD524" i="1"/>
  <c r="U524" i="1"/>
  <c r="T460" i="1"/>
  <c r="U460" i="1"/>
  <c r="V460" i="1"/>
  <c r="AC460" i="1"/>
  <c r="AD460" i="1"/>
  <c r="T396" i="1"/>
  <c r="U396" i="1"/>
  <c r="V396" i="1"/>
  <c r="AC396" i="1"/>
  <c r="AD396" i="1"/>
  <c r="AD659" i="1"/>
  <c r="U659" i="1"/>
  <c r="T659" i="1"/>
  <c r="V659" i="1"/>
  <c r="AC659" i="1"/>
  <c r="AC595" i="1"/>
  <c r="AD595" i="1"/>
  <c r="U595" i="1"/>
  <c r="V595" i="1"/>
  <c r="T595" i="1"/>
  <c r="AC531" i="1"/>
  <c r="T531" i="1"/>
  <c r="U531" i="1"/>
  <c r="V531" i="1"/>
  <c r="AD531" i="1"/>
  <c r="T467" i="1"/>
  <c r="U467" i="1"/>
  <c r="V467" i="1"/>
  <c r="AC467" i="1"/>
  <c r="AD467" i="1"/>
  <c r="T403" i="1"/>
  <c r="U403" i="1"/>
  <c r="V403" i="1"/>
  <c r="AC403" i="1"/>
  <c r="AD403" i="1"/>
  <c r="AC602" i="1"/>
  <c r="AD602" i="1"/>
  <c r="U602" i="1"/>
  <c r="V602" i="1"/>
  <c r="T602" i="1"/>
  <c r="AC538" i="1"/>
  <c r="T538" i="1"/>
  <c r="U538" i="1"/>
  <c r="V538" i="1"/>
  <c r="AD538" i="1"/>
  <c r="T474" i="1"/>
  <c r="U474" i="1"/>
  <c r="V474" i="1"/>
  <c r="AC474" i="1"/>
  <c r="AD474" i="1"/>
  <c r="T410" i="1"/>
  <c r="U410" i="1"/>
  <c r="V410" i="1"/>
  <c r="AC410" i="1"/>
  <c r="AD410" i="1"/>
  <c r="AC569" i="1"/>
  <c r="AD569" i="1"/>
  <c r="U569" i="1"/>
  <c r="V569" i="1"/>
  <c r="T569" i="1"/>
  <c r="AD647" i="1"/>
  <c r="AC647" i="1"/>
  <c r="T647" i="1"/>
  <c r="U647" i="1"/>
  <c r="V647" i="1"/>
  <c r="T458" i="1"/>
  <c r="U458" i="1"/>
  <c r="V458" i="1"/>
  <c r="AC458" i="1"/>
  <c r="AD458" i="1"/>
  <c r="AC537" i="1"/>
  <c r="T537" i="1"/>
  <c r="AD537" i="1"/>
  <c r="U537" i="1"/>
  <c r="V537" i="1"/>
  <c r="T457" i="1"/>
  <c r="U457" i="1"/>
  <c r="V457" i="1"/>
  <c r="AC457" i="1"/>
  <c r="AD457" i="1"/>
  <c r="AD625" i="1"/>
  <c r="U625" i="1"/>
  <c r="T625" i="1"/>
  <c r="V625" i="1"/>
  <c r="AC625" i="1"/>
  <c r="AD656" i="1"/>
  <c r="U656" i="1"/>
  <c r="AC656" i="1"/>
  <c r="T656" i="1"/>
  <c r="V656" i="1"/>
  <c r="AC592" i="1"/>
  <c r="AD592" i="1"/>
  <c r="U592" i="1"/>
  <c r="V592" i="1"/>
  <c r="T592" i="1"/>
  <c r="AC528" i="1"/>
  <c r="T528" i="1"/>
  <c r="V528" i="1"/>
  <c r="AD528" i="1"/>
  <c r="U528" i="1"/>
  <c r="T464" i="1"/>
  <c r="U464" i="1"/>
  <c r="V464" i="1"/>
  <c r="AC464" i="1"/>
  <c r="AD464" i="1"/>
  <c r="T400" i="1"/>
  <c r="U400" i="1"/>
  <c r="V400" i="1"/>
  <c r="AC400" i="1"/>
  <c r="AD400" i="1"/>
  <c r="AD655" i="1"/>
  <c r="T655" i="1"/>
  <c r="U655" i="1"/>
  <c r="V655" i="1"/>
  <c r="AC655" i="1"/>
  <c r="AC591" i="1"/>
  <c r="AD591" i="1"/>
  <c r="U591" i="1"/>
  <c r="V591" i="1"/>
  <c r="T591" i="1"/>
  <c r="AC527" i="1"/>
  <c r="T527" i="1"/>
  <c r="U527" i="1"/>
  <c r="V527" i="1"/>
  <c r="AD527" i="1"/>
  <c r="T463" i="1"/>
  <c r="U463" i="1"/>
  <c r="V463" i="1"/>
  <c r="AC463" i="1"/>
  <c r="AD463" i="1"/>
  <c r="T399" i="1"/>
  <c r="U399" i="1"/>
  <c r="V399" i="1"/>
  <c r="AC399" i="1"/>
  <c r="AD399" i="1"/>
  <c r="AC662" i="1"/>
  <c r="AD662" i="1"/>
  <c r="U662" i="1"/>
  <c r="T662" i="1"/>
  <c r="V662" i="1"/>
  <c r="AC598" i="1"/>
  <c r="AD598" i="1"/>
  <c r="U598" i="1"/>
  <c r="V598" i="1"/>
  <c r="T598" i="1"/>
  <c r="AC534" i="1"/>
  <c r="T534" i="1"/>
  <c r="U534" i="1"/>
  <c r="V534" i="1"/>
  <c r="AD534" i="1"/>
  <c r="T470" i="1"/>
  <c r="U470" i="1"/>
  <c r="V470" i="1"/>
  <c r="AC470" i="1"/>
  <c r="AD470" i="1"/>
  <c r="T406" i="1"/>
  <c r="U406" i="1"/>
  <c r="V406" i="1"/>
  <c r="AC406" i="1"/>
  <c r="AD406" i="1"/>
  <c r="AC605" i="1"/>
  <c r="AD605" i="1"/>
  <c r="U605" i="1"/>
  <c r="V605" i="1"/>
  <c r="T605" i="1"/>
  <c r="AC541" i="1"/>
  <c r="T541" i="1"/>
  <c r="U541" i="1"/>
  <c r="AD541" i="1"/>
  <c r="V541" i="1"/>
  <c r="T477" i="1"/>
  <c r="U477" i="1"/>
  <c r="V477" i="1"/>
  <c r="AC477" i="1"/>
  <c r="AD477" i="1"/>
  <c r="T413" i="1"/>
  <c r="U413" i="1"/>
  <c r="V413" i="1"/>
  <c r="AC413" i="1"/>
  <c r="AD413" i="1"/>
  <c r="AC644" i="1"/>
  <c r="AD644" i="1"/>
  <c r="T644" i="1"/>
  <c r="U644" i="1"/>
  <c r="V644" i="1"/>
  <c r="AC580" i="1"/>
  <c r="AD580" i="1"/>
  <c r="U580" i="1"/>
  <c r="V580" i="1"/>
  <c r="T580" i="1"/>
  <c r="AC516" i="1"/>
  <c r="T516" i="1"/>
  <c r="V516" i="1"/>
  <c r="AD516" i="1"/>
  <c r="U516" i="1"/>
  <c r="T452" i="1"/>
  <c r="U452" i="1"/>
  <c r="V452" i="1"/>
  <c r="AC452" i="1"/>
  <c r="AD452" i="1"/>
  <c r="AD651" i="1"/>
  <c r="U651" i="1"/>
  <c r="T651" i="1"/>
  <c r="V651" i="1"/>
  <c r="AC651" i="1"/>
  <c r="AC587" i="1"/>
  <c r="AD587" i="1"/>
  <c r="U587" i="1"/>
  <c r="V587" i="1"/>
  <c r="T587" i="1"/>
  <c r="AC523" i="1"/>
  <c r="T523" i="1"/>
  <c r="U523" i="1"/>
  <c r="V523" i="1"/>
  <c r="AD523" i="1"/>
  <c r="T459" i="1"/>
  <c r="U459" i="1"/>
  <c r="V459" i="1"/>
  <c r="AC459" i="1"/>
  <c r="AD459" i="1"/>
  <c r="AD658" i="1"/>
  <c r="T658" i="1"/>
  <c r="U658" i="1"/>
  <c r="AC658" i="1"/>
  <c r="V658" i="1"/>
  <c r="AC594" i="1"/>
  <c r="AD594" i="1"/>
  <c r="U594" i="1"/>
  <c r="V594" i="1"/>
  <c r="T594" i="1"/>
  <c r="AC530" i="1"/>
  <c r="T530" i="1"/>
  <c r="U530" i="1"/>
  <c r="V530" i="1"/>
  <c r="AD530" i="1"/>
  <c r="T466" i="1"/>
  <c r="U466" i="1"/>
  <c r="V466" i="1"/>
  <c r="AC466" i="1"/>
  <c r="AD466" i="1"/>
  <c r="T402" i="1"/>
  <c r="U402" i="1"/>
  <c r="V402" i="1"/>
  <c r="AC402" i="1"/>
  <c r="AD402" i="1"/>
  <c r="F39" i="1"/>
  <c r="H39" i="1" s="1"/>
  <c r="AG589" i="1"/>
  <c r="AH589" i="1"/>
  <c r="AI589" i="1"/>
  <c r="AG625" i="1"/>
  <c r="AH625" i="1"/>
  <c r="AI625" i="1"/>
  <c r="AG453" i="1"/>
  <c r="AH453" i="1"/>
  <c r="AI453" i="1"/>
  <c r="AG417" i="1"/>
  <c r="AH417" i="1"/>
  <c r="AI417" i="1"/>
  <c r="AG441" i="1"/>
  <c r="AH441" i="1"/>
  <c r="AI441" i="1"/>
  <c r="AG632" i="1"/>
  <c r="AH632" i="1"/>
  <c r="AI632" i="1"/>
  <c r="AG568" i="1"/>
  <c r="AH568" i="1"/>
  <c r="AI568" i="1"/>
  <c r="AG504" i="1"/>
  <c r="AH504" i="1"/>
  <c r="AI504" i="1"/>
  <c r="AG440" i="1"/>
  <c r="AH440" i="1"/>
  <c r="AI440" i="1"/>
  <c r="AG639" i="1"/>
  <c r="AH639" i="1"/>
  <c r="AI639" i="1"/>
  <c r="AG575" i="1"/>
  <c r="AH575" i="1"/>
  <c r="AI575" i="1"/>
  <c r="AG511" i="1"/>
  <c r="AH511" i="1"/>
  <c r="AI511" i="1"/>
  <c r="AG447" i="1"/>
  <c r="AH447" i="1"/>
  <c r="AI447" i="1"/>
  <c r="AG654" i="1"/>
  <c r="AH654" i="1"/>
  <c r="AI654" i="1"/>
  <c r="AG590" i="1"/>
  <c r="AH590" i="1"/>
  <c r="AI590" i="1"/>
  <c r="AG526" i="1"/>
  <c r="AH526" i="1"/>
  <c r="AI526" i="1"/>
  <c r="AG462" i="1"/>
  <c r="AH462" i="1"/>
  <c r="AI462" i="1"/>
  <c r="AG398" i="1"/>
  <c r="AH398" i="1"/>
  <c r="AI398" i="1"/>
  <c r="AG628" i="1"/>
  <c r="AH628" i="1"/>
  <c r="AI628" i="1"/>
  <c r="AG564" i="1"/>
  <c r="AH564" i="1"/>
  <c r="AI564" i="1"/>
  <c r="AG500" i="1"/>
  <c r="AH500" i="1"/>
  <c r="AI500" i="1"/>
  <c r="AG436" i="1"/>
  <c r="AH436" i="1"/>
  <c r="AI436" i="1"/>
  <c r="AG635" i="1"/>
  <c r="AH635" i="1"/>
  <c r="AI635" i="1"/>
  <c r="AG571" i="1"/>
  <c r="AH571" i="1"/>
  <c r="AI571" i="1"/>
  <c r="AG507" i="1"/>
  <c r="AH507" i="1"/>
  <c r="AI507" i="1"/>
  <c r="AG443" i="1"/>
  <c r="AH443" i="1"/>
  <c r="AI443" i="1"/>
  <c r="AG650" i="1"/>
  <c r="AH650" i="1"/>
  <c r="AI650" i="1"/>
  <c r="AG586" i="1"/>
  <c r="AH586" i="1"/>
  <c r="AI586" i="1"/>
  <c r="AG522" i="1"/>
  <c r="AH522" i="1"/>
  <c r="AI522" i="1"/>
  <c r="AG458" i="1"/>
  <c r="AH458" i="1"/>
  <c r="AI458" i="1"/>
  <c r="AG557" i="1"/>
  <c r="AH557" i="1"/>
  <c r="AI557" i="1"/>
  <c r="AG629" i="1"/>
  <c r="AH629" i="1"/>
  <c r="AI629" i="1"/>
  <c r="AG593" i="1"/>
  <c r="AH593" i="1"/>
  <c r="AI593" i="1"/>
  <c r="AG649" i="1"/>
  <c r="AH649" i="1"/>
  <c r="AI649" i="1"/>
  <c r="AG413" i="1"/>
  <c r="AH413" i="1"/>
  <c r="AI413" i="1"/>
  <c r="AG409" i="1"/>
  <c r="AH409" i="1"/>
  <c r="AI409" i="1"/>
  <c r="AG624" i="1"/>
  <c r="AH624" i="1"/>
  <c r="AI624" i="1"/>
  <c r="AG560" i="1"/>
  <c r="AH560" i="1"/>
  <c r="AI560" i="1"/>
  <c r="AG496" i="1"/>
  <c r="AH496" i="1"/>
  <c r="AI496" i="1"/>
  <c r="AG432" i="1"/>
  <c r="AH432" i="1"/>
  <c r="AI432" i="1"/>
  <c r="AG631" i="1"/>
  <c r="AH631" i="1"/>
  <c r="AI631" i="1"/>
  <c r="AG567" i="1"/>
  <c r="AH567" i="1"/>
  <c r="AI567" i="1"/>
  <c r="AG503" i="1"/>
  <c r="AH503" i="1"/>
  <c r="AI503" i="1"/>
  <c r="AG439" i="1"/>
  <c r="AH439" i="1"/>
  <c r="AI439" i="1"/>
  <c r="AG646" i="1"/>
  <c r="AH646" i="1"/>
  <c r="AI646" i="1"/>
  <c r="AG582" i="1"/>
  <c r="AH582" i="1"/>
  <c r="AI582" i="1"/>
  <c r="AG518" i="1"/>
  <c r="AH518" i="1"/>
  <c r="AI518" i="1"/>
  <c r="AG454" i="1"/>
  <c r="AH454" i="1"/>
  <c r="AI454" i="1"/>
  <c r="AG620" i="1"/>
  <c r="AH620" i="1"/>
  <c r="AI620" i="1"/>
  <c r="AG556" i="1"/>
  <c r="AH556" i="1"/>
  <c r="AI556" i="1"/>
  <c r="AG492" i="1"/>
  <c r="AH492" i="1"/>
  <c r="AI492" i="1"/>
  <c r="AG428" i="1"/>
  <c r="AH428" i="1"/>
  <c r="AI428" i="1"/>
  <c r="AG627" i="1"/>
  <c r="AH627" i="1"/>
  <c r="AI627" i="1"/>
  <c r="AG563" i="1"/>
  <c r="AH563" i="1"/>
  <c r="AI563" i="1"/>
  <c r="AG499" i="1"/>
  <c r="AH499" i="1"/>
  <c r="AI499" i="1"/>
  <c r="AG435" i="1"/>
  <c r="AH435" i="1"/>
  <c r="AI435" i="1"/>
  <c r="AG642" i="1"/>
  <c r="AH642" i="1"/>
  <c r="AI642" i="1"/>
  <c r="AG578" i="1"/>
  <c r="AH578" i="1"/>
  <c r="AI578" i="1"/>
  <c r="AG514" i="1"/>
  <c r="AH514" i="1"/>
  <c r="AI514" i="1"/>
  <c r="AG450" i="1"/>
  <c r="AH450" i="1"/>
  <c r="AI450" i="1"/>
  <c r="B30" i="1"/>
  <c r="H30" i="1" s="1"/>
  <c r="AG525" i="1"/>
  <c r="AH525" i="1"/>
  <c r="AI525" i="1"/>
  <c r="AG501" i="1"/>
  <c r="AH501" i="1"/>
  <c r="AI501" i="1"/>
  <c r="AG529" i="1"/>
  <c r="AH529" i="1"/>
  <c r="AI529" i="1"/>
  <c r="AG617" i="1"/>
  <c r="AH617" i="1"/>
  <c r="AI617" i="1"/>
  <c r="AG645" i="1"/>
  <c r="AH645" i="1"/>
  <c r="AI645" i="1"/>
  <c r="AG637" i="1"/>
  <c r="AH637" i="1"/>
  <c r="AI637" i="1"/>
  <c r="AG633" i="1"/>
  <c r="AH633" i="1"/>
  <c r="AI633" i="1"/>
  <c r="AG616" i="1"/>
  <c r="AH616" i="1"/>
  <c r="AI616" i="1"/>
  <c r="AG552" i="1"/>
  <c r="AH552" i="1"/>
  <c r="AI552" i="1"/>
  <c r="AG488" i="1"/>
  <c r="AH488" i="1"/>
  <c r="AI488" i="1"/>
  <c r="AG424" i="1"/>
  <c r="AH424" i="1"/>
  <c r="AI424" i="1"/>
  <c r="AG623" i="1"/>
  <c r="AH623" i="1"/>
  <c r="AI623" i="1"/>
  <c r="AG559" i="1"/>
  <c r="AH559" i="1"/>
  <c r="AI559" i="1"/>
  <c r="AG495" i="1"/>
  <c r="AH495" i="1"/>
  <c r="AI495" i="1"/>
  <c r="AG431" i="1"/>
  <c r="AH431" i="1"/>
  <c r="AI431" i="1"/>
  <c r="AG638" i="1"/>
  <c r="AH638" i="1"/>
  <c r="AI638" i="1"/>
  <c r="AG574" i="1"/>
  <c r="AH574" i="1"/>
  <c r="AI574" i="1"/>
  <c r="AG510" i="1"/>
  <c r="AH510" i="1"/>
  <c r="AI510" i="1"/>
  <c r="AG446" i="1"/>
  <c r="AH446" i="1"/>
  <c r="AI446" i="1"/>
  <c r="AG612" i="1"/>
  <c r="AH612" i="1"/>
  <c r="AI612" i="1"/>
  <c r="AG548" i="1"/>
  <c r="AH548" i="1"/>
  <c r="AI548" i="1"/>
  <c r="AG484" i="1"/>
  <c r="AH484" i="1"/>
  <c r="AI484" i="1"/>
  <c r="AG420" i="1"/>
  <c r="AH420" i="1"/>
  <c r="AI420" i="1"/>
  <c r="AG619" i="1"/>
  <c r="AH619" i="1"/>
  <c r="AI619" i="1"/>
  <c r="AG555" i="1"/>
  <c r="AH555" i="1"/>
  <c r="AI555" i="1"/>
  <c r="AG491" i="1"/>
  <c r="AH491" i="1"/>
  <c r="AI491" i="1"/>
  <c r="AG427" i="1"/>
  <c r="AH427" i="1"/>
  <c r="AI427" i="1"/>
  <c r="AG634" i="1"/>
  <c r="AH634" i="1"/>
  <c r="AI634" i="1"/>
  <c r="AG570" i="1"/>
  <c r="AH570" i="1"/>
  <c r="AI570" i="1"/>
  <c r="AG506" i="1"/>
  <c r="AH506" i="1"/>
  <c r="AI506" i="1"/>
  <c r="AG442" i="1"/>
  <c r="AH442" i="1"/>
  <c r="AI442" i="1"/>
  <c r="AG597" i="1"/>
  <c r="AH597" i="1"/>
  <c r="AI597" i="1"/>
  <c r="F40" i="1"/>
  <c r="B40" i="1" s="1"/>
  <c r="AG661" i="1"/>
  <c r="AH661" i="1"/>
  <c r="AI661" i="1"/>
  <c r="AG657" i="1"/>
  <c r="AH657" i="1"/>
  <c r="AI657" i="1"/>
  <c r="AG493" i="1"/>
  <c r="AH493" i="1"/>
  <c r="AI493" i="1"/>
  <c r="AG405" i="1"/>
  <c r="AH405" i="1"/>
  <c r="AI405" i="1"/>
  <c r="AG433" i="1"/>
  <c r="AH433" i="1"/>
  <c r="AI433" i="1"/>
  <c r="AG585" i="1"/>
  <c r="AH585" i="1"/>
  <c r="AI585" i="1"/>
  <c r="AG581" i="1"/>
  <c r="AH581" i="1"/>
  <c r="AI581" i="1"/>
  <c r="AG605" i="1"/>
  <c r="AH605" i="1"/>
  <c r="AI605" i="1"/>
  <c r="AG601" i="1"/>
  <c r="AH601" i="1"/>
  <c r="AI601" i="1"/>
  <c r="AG608" i="1"/>
  <c r="AH608" i="1"/>
  <c r="AI608" i="1"/>
  <c r="AG544" i="1"/>
  <c r="AH544" i="1"/>
  <c r="AI544" i="1"/>
  <c r="AG480" i="1"/>
  <c r="AH480" i="1"/>
  <c r="AI480" i="1"/>
  <c r="AG416" i="1"/>
  <c r="AH416" i="1"/>
  <c r="AI416" i="1"/>
  <c r="AG615" i="1"/>
  <c r="AH615" i="1"/>
  <c r="AI615" i="1"/>
  <c r="AG551" i="1"/>
  <c r="AH551" i="1"/>
  <c r="AI551" i="1"/>
  <c r="AG487" i="1"/>
  <c r="AH487" i="1"/>
  <c r="AI487" i="1"/>
  <c r="AG423" i="1"/>
  <c r="AH423" i="1"/>
  <c r="AI423" i="1"/>
  <c r="AG630" i="1"/>
  <c r="AH630" i="1"/>
  <c r="AI630" i="1"/>
  <c r="AG566" i="1"/>
  <c r="AH566" i="1"/>
  <c r="AI566" i="1"/>
  <c r="AG502" i="1"/>
  <c r="AH502" i="1"/>
  <c r="AI502" i="1"/>
  <c r="AG438" i="1"/>
  <c r="AH438" i="1"/>
  <c r="AI438" i="1"/>
  <c r="AG604" i="1"/>
  <c r="AH604" i="1"/>
  <c r="AI604" i="1"/>
  <c r="AG540" i="1"/>
  <c r="AH540" i="1"/>
  <c r="AI540" i="1"/>
  <c r="AG476" i="1"/>
  <c r="AH476" i="1"/>
  <c r="AI476" i="1"/>
  <c r="AG412" i="1"/>
  <c r="AH412" i="1"/>
  <c r="AI412" i="1"/>
  <c r="AG611" i="1"/>
  <c r="AH611" i="1"/>
  <c r="AI611" i="1"/>
  <c r="AG547" i="1"/>
  <c r="AH547" i="1"/>
  <c r="AI547" i="1"/>
  <c r="AG483" i="1"/>
  <c r="AH483" i="1"/>
  <c r="AI483" i="1"/>
  <c r="AG419" i="1"/>
  <c r="AH419" i="1"/>
  <c r="AI419" i="1"/>
  <c r="AG626" i="1"/>
  <c r="AH626" i="1"/>
  <c r="AI626" i="1"/>
  <c r="AG562" i="1"/>
  <c r="AH562" i="1"/>
  <c r="AI562" i="1"/>
  <c r="AG498" i="1"/>
  <c r="AH498" i="1"/>
  <c r="AI498" i="1"/>
  <c r="AG434" i="1"/>
  <c r="AH434" i="1"/>
  <c r="AI434" i="1"/>
  <c r="AG425" i="1"/>
  <c r="AH425" i="1"/>
  <c r="AI425" i="1"/>
  <c r="F34" i="1"/>
  <c r="B34" i="1" s="1"/>
  <c r="AG533" i="1"/>
  <c r="AH533" i="1"/>
  <c r="AI533" i="1"/>
  <c r="AG561" i="1"/>
  <c r="AH561" i="1"/>
  <c r="AI561" i="1"/>
  <c r="AG461" i="1"/>
  <c r="AH461" i="1"/>
  <c r="AI461" i="1"/>
  <c r="AG553" i="1"/>
  <c r="AH553" i="1"/>
  <c r="AI553" i="1"/>
  <c r="AG437" i="1"/>
  <c r="AH437" i="1"/>
  <c r="AI437" i="1"/>
  <c r="AG517" i="1"/>
  <c r="AH517" i="1"/>
  <c r="AI517" i="1"/>
  <c r="AG573" i="1"/>
  <c r="AH573" i="1"/>
  <c r="AI573" i="1"/>
  <c r="AG569" i="1"/>
  <c r="AH569" i="1"/>
  <c r="AI569" i="1"/>
  <c r="AG600" i="1"/>
  <c r="AH600" i="1"/>
  <c r="AI600" i="1"/>
  <c r="AG536" i="1"/>
  <c r="AH536" i="1"/>
  <c r="AI536" i="1"/>
  <c r="AG472" i="1"/>
  <c r="AH472" i="1"/>
  <c r="AI472" i="1"/>
  <c r="AG408" i="1"/>
  <c r="AH408" i="1"/>
  <c r="AI408" i="1"/>
  <c r="AG607" i="1"/>
  <c r="AH607" i="1"/>
  <c r="AI607" i="1"/>
  <c r="AG543" i="1"/>
  <c r="AH543" i="1"/>
  <c r="AI543" i="1"/>
  <c r="AG479" i="1"/>
  <c r="AH479" i="1"/>
  <c r="AI479" i="1"/>
  <c r="AG415" i="1"/>
  <c r="AH415" i="1"/>
  <c r="AI415" i="1"/>
  <c r="AG622" i="1"/>
  <c r="AH622" i="1"/>
  <c r="AI622" i="1"/>
  <c r="AG558" i="1"/>
  <c r="AH558" i="1"/>
  <c r="AI558" i="1"/>
  <c r="AG494" i="1"/>
  <c r="AH494" i="1"/>
  <c r="AI494" i="1"/>
  <c r="AG430" i="1"/>
  <c r="AH430" i="1"/>
  <c r="AI430" i="1"/>
  <c r="AG660" i="1"/>
  <c r="AH660" i="1"/>
  <c r="AI660" i="1"/>
  <c r="AG596" i="1"/>
  <c r="AH596" i="1"/>
  <c r="AI596" i="1"/>
  <c r="AG532" i="1"/>
  <c r="AH532" i="1"/>
  <c r="AI532" i="1"/>
  <c r="AG468" i="1"/>
  <c r="AH468" i="1"/>
  <c r="AI468" i="1"/>
  <c r="AG404" i="1"/>
  <c r="AH404" i="1"/>
  <c r="AI404" i="1"/>
  <c r="AG603" i="1"/>
  <c r="AH603" i="1"/>
  <c r="AI603" i="1"/>
  <c r="AG539" i="1"/>
  <c r="AH539" i="1"/>
  <c r="AI539" i="1"/>
  <c r="AG475" i="1"/>
  <c r="AH475" i="1"/>
  <c r="AI475" i="1"/>
  <c r="AG411" i="1"/>
  <c r="AH411" i="1"/>
  <c r="AI411" i="1"/>
  <c r="AG618" i="1"/>
  <c r="AH618" i="1"/>
  <c r="AI618" i="1"/>
  <c r="AG554" i="1"/>
  <c r="AH554" i="1"/>
  <c r="AI554" i="1"/>
  <c r="AG490" i="1"/>
  <c r="AH490" i="1"/>
  <c r="AI490" i="1"/>
  <c r="AG426" i="1"/>
  <c r="AH426" i="1"/>
  <c r="AI426" i="1"/>
  <c r="AG445" i="1"/>
  <c r="AH445" i="1"/>
  <c r="AI445" i="1"/>
  <c r="AG469" i="1"/>
  <c r="AH469" i="1"/>
  <c r="AI469" i="1"/>
  <c r="AG497" i="1"/>
  <c r="AH497" i="1"/>
  <c r="AI497" i="1"/>
  <c r="AG429" i="1"/>
  <c r="AH429" i="1"/>
  <c r="AI429" i="1"/>
  <c r="AG521" i="1"/>
  <c r="AH521" i="1"/>
  <c r="AI521" i="1"/>
  <c r="AG613" i="1"/>
  <c r="AH613" i="1"/>
  <c r="AI613" i="1"/>
  <c r="AG485" i="1"/>
  <c r="AH485" i="1"/>
  <c r="AI485" i="1"/>
  <c r="AG641" i="1"/>
  <c r="AH641" i="1"/>
  <c r="AI641" i="1"/>
  <c r="AG541" i="1"/>
  <c r="AH541" i="1"/>
  <c r="AI541" i="1"/>
  <c r="AG565" i="1"/>
  <c r="AH565" i="1"/>
  <c r="AI565" i="1"/>
  <c r="AG537" i="1"/>
  <c r="AH537" i="1"/>
  <c r="AI537" i="1"/>
  <c r="AG656" i="1"/>
  <c r="AH656" i="1"/>
  <c r="AI656" i="1"/>
  <c r="AG592" i="1"/>
  <c r="AH592" i="1"/>
  <c r="AI592" i="1"/>
  <c r="AG528" i="1"/>
  <c r="AH528" i="1"/>
  <c r="AI528" i="1"/>
  <c r="AG464" i="1"/>
  <c r="AH464" i="1"/>
  <c r="AI464" i="1"/>
  <c r="AG400" i="1"/>
  <c r="AH400" i="1"/>
  <c r="AI400" i="1"/>
  <c r="AG599" i="1"/>
  <c r="AH599" i="1"/>
  <c r="AI599" i="1"/>
  <c r="AG535" i="1"/>
  <c r="AH535" i="1"/>
  <c r="AI535" i="1"/>
  <c r="AG471" i="1"/>
  <c r="AH471" i="1"/>
  <c r="AI471" i="1"/>
  <c r="AG407" i="1"/>
  <c r="AH407" i="1"/>
  <c r="AI407" i="1"/>
  <c r="AG614" i="1"/>
  <c r="AH614" i="1"/>
  <c r="AI614" i="1"/>
  <c r="AG550" i="1"/>
  <c r="AH550" i="1"/>
  <c r="AI550" i="1"/>
  <c r="AG486" i="1"/>
  <c r="AH486" i="1"/>
  <c r="AI486" i="1"/>
  <c r="AG422" i="1"/>
  <c r="AH422" i="1"/>
  <c r="AI422" i="1"/>
  <c r="AG652" i="1"/>
  <c r="AH652" i="1"/>
  <c r="AI652" i="1"/>
  <c r="AG588" i="1"/>
  <c r="AH588" i="1"/>
  <c r="AI588" i="1"/>
  <c r="AG524" i="1"/>
  <c r="AH524" i="1"/>
  <c r="AI524" i="1"/>
  <c r="AG460" i="1"/>
  <c r="AH460" i="1"/>
  <c r="AI460" i="1"/>
  <c r="AG396" i="1"/>
  <c r="AH396" i="1"/>
  <c r="AI396" i="1"/>
  <c r="AG659" i="1"/>
  <c r="AH659" i="1"/>
  <c r="AI659" i="1"/>
  <c r="AG595" i="1"/>
  <c r="AH595" i="1"/>
  <c r="AI595" i="1"/>
  <c r="AG531" i="1"/>
  <c r="AH531" i="1"/>
  <c r="AI531" i="1"/>
  <c r="AG467" i="1"/>
  <c r="AH467" i="1"/>
  <c r="AI467" i="1"/>
  <c r="AG403" i="1"/>
  <c r="AH403" i="1"/>
  <c r="AI403" i="1"/>
  <c r="AG610" i="1"/>
  <c r="AH610" i="1"/>
  <c r="AI610" i="1"/>
  <c r="AG546" i="1"/>
  <c r="AH546" i="1"/>
  <c r="AI546" i="1"/>
  <c r="AG482" i="1"/>
  <c r="AH482" i="1"/>
  <c r="AI482" i="1"/>
  <c r="AG418" i="1"/>
  <c r="AH418" i="1"/>
  <c r="AI418" i="1"/>
  <c r="AG465" i="1"/>
  <c r="AH465" i="1"/>
  <c r="AI465" i="1"/>
  <c r="AG653" i="1"/>
  <c r="AH653" i="1"/>
  <c r="AI653" i="1"/>
  <c r="AG397" i="1"/>
  <c r="AH397" i="1"/>
  <c r="AI397" i="1"/>
  <c r="AG489" i="1"/>
  <c r="AH489" i="1"/>
  <c r="AI489" i="1"/>
  <c r="AG577" i="1"/>
  <c r="AH577" i="1"/>
  <c r="AI577" i="1"/>
  <c r="AG421" i="1"/>
  <c r="AH421" i="1"/>
  <c r="AI421" i="1"/>
  <c r="AG545" i="1"/>
  <c r="AH545" i="1"/>
  <c r="AI545" i="1"/>
  <c r="AG509" i="1"/>
  <c r="AH509" i="1"/>
  <c r="AI509" i="1"/>
  <c r="AG609" i="1"/>
  <c r="AH609" i="1"/>
  <c r="AI609" i="1"/>
  <c r="AG505" i="1"/>
  <c r="AH505" i="1"/>
  <c r="AI505" i="1"/>
  <c r="AG648" i="1"/>
  <c r="AH648" i="1"/>
  <c r="AI648" i="1"/>
  <c r="AG584" i="1"/>
  <c r="AH584" i="1"/>
  <c r="AI584" i="1"/>
  <c r="AG520" i="1"/>
  <c r="AH520" i="1"/>
  <c r="AI520" i="1"/>
  <c r="AG456" i="1"/>
  <c r="AH456" i="1"/>
  <c r="AI456" i="1"/>
  <c r="AG655" i="1"/>
  <c r="AH655" i="1"/>
  <c r="AI655" i="1"/>
  <c r="AG591" i="1"/>
  <c r="AH591" i="1"/>
  <c r="AI591" i="1"/>
  <c r="AG527" i="1"/>
  <c r="AH527" i="1"/>
  <c r="AI527" i="1"/>
  <c r="AG463" i="1"/>
  <c r="AH463" i="1"/>
  <c r="AI463" i="1"/>
  <c r="AG399" i="1"/>
  <c r="AH399" i="1"/>
  <c r="AI399" i="1"/>
  <c r="AG606" i="1"/>
  <c r="AH606" i="1"/>
  <c r="AI606" i="1"/>
  <c r="AG542" i="1"/>
  <c r="AH542" i="1"/>
  <c r="AI542" i="1"/>
  <c r="AG478" i="1"/>
  <c r="AH478" i="1"/>
  <c r="AI478" i="1"/>
  <c r="AG414" i="1"/>
  <c r="AH414" i="1"/>
  <c r="AI414" i="1"/>
  <c r="AG644" i="1"/>
  <c r="AH644" i="1"/>
  <c r="AI644" i="1"/>
  <c r="AG580" i="1"/>
  <c r="AH580" i="1"/>
  <c r="AI580" i="1"/>
  <c r="AG516" i="1"/>
  <c r="AH516" i="1"/>
  <c r="AI516" i="1"/>
  <c r="AG452" i="1"/>
  <c r="AH452" i="1"/>
  <c r="AI452" i="1"/>
  <c r="AG651" i="1"/>
  <c r="AH651" i="1"/>
  <c r="AI651" i="1"/>
  <c r="AG587" i="1"/>
  <c r="AH587" i="1"/>
  <c r="AI587" i="1"/>
  <c r="AG523" i="1"/>
  <c r="AH523" i="1"/>
  <c r="AI523" i="1"/>
  <c r="AG459" i="1"/>
  <c r="AH459" i="1"/>
  <c r="AI459" i="1"/>
  <c r="AG602" i="1"/>
  <c r="AH602" i="1"/>
  <c r="AI602" i="1"/>
  <c r="AG538" i="1"/>
  <c r="AH538" i="1"/>
  <c r="AI538" i="1"/>
  <c r="AG474" i="1"/>
  <c r="AH474" i="1"/>
  <c r="AI474" i="1"/>
  <c r="AG410" i="1"/>
  <c r="AH410" i="1"/>
  <c r="AI410" i="1"/>
  <c r="AG401" i="1"/>
  <c r="AH401" i="1"/>
  <c r="AI401" i="1"/>
  <c r="AG621" i="1"/>
  <c r="AH621" i="1"/>
  <c r="AI621" i="1"/>
  <c r="AG457" i="1"/>
  <c r="AH457" i="1"/>
  <c r="AI457" i="1"/>
  <c r="AG449" i="1"/>
  <c r="AH449" i="1"/>
  <c r="AI449" i="1"/>
  <c r="AG481" i="1"/>
  <c r="AH481" i="1"/>
  <c r="AI481" i="1"/>
  <c r="AG477" i="1"/>
  <c r="AH477" i="1"/>
  <c r="AI477" i="1"/>
  <c r="AG549" i="1"/>
  <c r="AH549" i="1"/>
  <c r="AI549" i="1"/>
  <c r="AG513" i="1"/>
  <c r="AH513" i="1"/>
  <c r="AI513" i="1"/>
  <c r="AG473" i="1"/>
  <c r="AH473" i="1"/>
  <c r="AI473" i="1"/>
  <c r="AG640" i="1"/>
  <c r="AH640" i="1"/>
  <c r="AI640" i="1"/>
  <c r="AG576" i="1"/>
  <c r="AH576" i="1"/>
  <c r="AI576" i="1"/>
  <c r="AG512" i="1"/>
  <c r="AH512" i="1"/>
  <c r="AI512" i="1"/>
  <c r="AG448" i="1"/>
  <c r="AH448" i="1"/>
  <c r="AI448" i="1"/>
  <c r="AG647" i="1"/>
  <c r="AH647" i="1"/>
  <c r="AI647" i="1"/>
  <c r="AG583" i="1"/>
  <c r="AH583" i="1"/>
  <c r="AI583" i="1"/>
  <c r="AG519" i="1"/>
  <c r="AH519" i="1"/>
  <c r="AI519" i="1"/>
  <c r="AG455" i="1"/>
  <c r="AH455" i="1"/>
  <c r="AI455" i="1"/>
  <c r="AG662" i="1"/>
  <c r="AH662" i="1"/>
  <c r="AI662" i="1"/>
  <c r="AG598" i="1"/>
  <c r="AH598" i="1"/>
  <c r="AI598" i="1"/>
  <c r="AG534" i="1"/>
  <c r="AH534" i="1"/>
  <c r="AI534" i="1"/>
  <c r="AG470" i="1"/>
  <c r="AH470" i="1"/>
  <c r="AI470" i="1"/>
  <c r="AG406" i="1"/>
  <c r="AH406" i="1"/>
  <c r="AI406" i="1"/>
  <c r="AG636" i="1"/>
  <c r="AH636" i="1"/>
  <c r="AI636" i="1"/>
  <c r="AG572" i="1"/>
  <c r="AH572" i="1"/>
  <c r="AI572" i="1"/>
  <c r="AG508" i="1"/>
  <c r="AH508" i="1"/>
  <c r="AI508" i="1"/>
  <c r="AG444" i="1"/>
  <c r="AH444" i="1"/>
  <c r="AI444" i="1"/>
  <c r="AG643" i="1"/>
  <c r="AH643" i="1"/>
  <c r="AI643" i="1"/>
  <c r="AG579" i="1"/>
  <c r="AH579" i="1"/>
  <c r="AI579" i="1"/>
  <c r="AG515" i="1"/>
  <c r="AH515" i="1"/>
  <c r="AI515" i="1"/>
  <c r="AG451" i="1"/>
  <c r="AH451" i="1"/>
  <c r="AI451" i="1"/>
  <c r="AG658" i="1"/>
  <c r="AH658" i="1"/>
  <c r="AI658" i="1"/>
  <c r="AG594" i="1"/>
  <c r="AH594" i="1"/>
  <c r="AI594" i="1"/>
  <c r="AG530" i="1"/>
  <c r="AH530" i="1"/>
  <c r="AI530" i="1"/>
  <c r="AG466" i="1"/>
  <c r="AH466" i="1"/>
  <c r="AI466" i="1"/>
  <c r="AG402" i="1"/>
  <c r="AH402" i="1"/>
  <c r="AI402" i="1"/>
  <c r="F41" i="1"/>
  <c r="G41" i="1" s="1"/>
  <c r="B38" i="1"/>
  <c r="F35" i="1"/>
  <c r="H38" i="1"/>
  <c r="AG312" i="1"/>
  <c r="AH312" i="1"/>
  <c r="AI312" i="1"/>
  <c r="AH304" i="1"/>
  <c r="AI304" i="1"/>
  <c r="AG304" i="1"/>
  <c r="AG331" i="1"/>
  <c r="AI331" i="1"/>
  <c r="AH331" i="1"/>
  <c r="AG288" i="1"/>
  <c r="AH288" i="1"/>
  <c r="AI288" i="1"/>
  <c r="AG222" i="1"/>
  <c r="AH222" i="1"/>
  <c r="AI222" i="1"/>
  <c r="AG314" i="1"/>
  <c r="AH314" i="1"/>
  <c r="AI314" i="1"/>
  <c r="AI299" i="1"/>
  <c r="AH299" i="1"/>
  <c r="AG299" i="1"/>
  <c r="AG389" i="1"/>
  <c r="AH389" i="1"/>
  <c r="AI389" i="1"/>
  <c r="AG325" i="1"/>
  <c r="AH325" i="1"/>
  <c r="AI325" i="1"/>
  <c r="AG212" i="1"/>
  <c r="AH212" i="1"/>
  <c r="AI212" i="1"/>
  <c r="AH263" i="1"/>
  <c r="AG263" i="1"/>
  <c r="AI263" i="1"/>
  <c r="AH290" i="1"/>
  <c r="AI290" i="1"/>
  <c r="AG290" i="1"/>
  <c r="AH165" i="1"/>
  <c r="AG165" i="1"/>
  <c r="AI165" i="1"/>
  <c r="AG255" i="1"/>
  <c r="AH255" i="1"/>
  <c r="AI255" i="1"/>
  <c r="AG282" i="1"/>
  <c r="AI282" i="1"/>
  <c r="AH282" i="1"/>
  <c r="AH133" i="1"/>
  <c r="AI133" i="1"/>
  <c r="AG133" i="1"/>
  <c r="AG104" i="1"/>
  <c r="AH104" i="1"/>
  <c r="AI104" i="1"/>
  <c r="AG110" i="1"/>
  <c r="AH110" i="1"/>
  <c r="AI110" i="1"/>
  <c r="AI274" i="1"/>
  <c r="AG274" i="1"/>
  <c r="AH274" i="1"/>
  <c r="AG205" i="1"/>
  <c r="AH205" i="1"/>
  <c r="AI205" i="1"/>
  <c r="AI101" i="1"/>
  <c r="AG101" i="1"/>
  <c r="AH101" i="1"/>
  <c r="AG96" i="1"/>
  <c r="AH96" i="1"/>
  <c r="AI96" i="1"/>
  <c r="AG239" i="1"/>
  <c r="AH239" i="1"/>
  <c r="AI239" i="1"/>
  <c r="AH102" i="1"/>
  <c r="AI102" i="1"/>
  <c r="AG102" i="1"/>
  <c r="AG266" i="1"/>
  <c r="AH266" i="1"/>
  <c r="AI266" i="1"/>
  <c r="AG132" i="1"/>
  <c r="AH132" i="1"/>
  <c r="AI132" i="1"/>
  <c r="AG357" i="1"/>
  <c r="AH357" i="1"/>
  <c r="AI357" i="1"/>
  <c r="AH24" i="1"/>
  <c r="AG24" i="1"/>
  <c r="AI24" i="1"/>
  <c r="AG167" i="1"/>
  <c r="AH167" i="1"/>
  <c r="AI167" i="1"/>
  <c r="AG30" i="1"/>
  <c r="AI30" i="1"/>
  <c r="AH30" i="1"/>
  <c r="AG194" i="1"/>
  <c r="AH194" i="1"/>
  <c r="AI194" i="1"/>
  <c r="AG387" i="1"/>
  <c r="AH387" i="1"/>
  <c r="AI387" i="1"/>
  <c r="AG277" i="1"/>
  <c r="AH277" i="1"/>
  <c r="AI277" i="1"/>
  <c r="AI233" i="1"/>
  <c r="AG233" i="1"/>
  <c r="AH233" i="1"/>
  <c r="AI95" i="1"/>
  <c r="AG95" i="1"/>
  <c r="AH95" i="1"/>
  <c r="AH251" i="1"/>
  <c r="AI251" i="1"/>
  <c r="AG251" i="1"/>
  <c r="AI122" i="1"/>
  <c r="AG122" i="1"/>
  <c r="AH122" i="1"/>
  <c r="AH333" i="1"/>
  <c r="AI333" i="1"/>
  <c r="AG333" i="1"/>
  <c r="AI392" i="1"/>
  <c r="AG392" i="1"/>
  <c r="AH392" i="1"/>
  <c r="AI161" i="1"/>
  <c r="AG161" i="1"/>
  <c r="AH161" i="1"/>
  <c r="AI23" i="1"/>
  <c r="AG23" i="1"/>
  <c r="AH23" i="1"/>
  <c r="AI179" i="1"/>
  <c r="AG179" i="1"/>
  <c r="AH179" i="1"/>
  <c r="AH50" i="1"/>
  <c r="AG50" i="1"/>
  <c r="AI50" i="1"/>
  <c r="AH76" i="1"/>
  <c r="AG76" i="1"/>
  <c r="AI76" i="1"/>
  <c r="AH320" i="1"/>
  <c r="AI320" i="1"/>
  <c r="AG320" i="1"/>
  <c r="AI89" i="1"/>
  <c r="AH89" i="1"/>
  <c r="AG89" i="1"/>
  <c r="AG326" i="1"/>
  <c r="AH326" i="1"/>
  <c r="AI326" i="1"/>
  <c r="AH107" i="1"/>
  <c r="AI107" i="1"/>
  <c r="AG107" i="1"/>
  <c r="AD339" i="1"/>
  <c r="V339" i="1"/>
  <c r="U339" i="1"/>
  <c r="AC339" i="1"/>
  <c r="T339" i="1"/>
  <c r="AD240" i="1"/>
  <c r="U240" i="1"/>
  <c r="T240" i="1"/>
  <c r="AC240" i="1"/>
  <c r="V240" i="1"/>
  <c r="AD184" i="1"/>
  <c r="U184" i="1"/>
  <c r="AC184" i="1"/>
  <c r="V184" i="1"/>
  <c r="T184" i="1"/>
  <c r="AD369" i="1"/>
  <c r="V369" i="1"/>
  <c r="T369" i="1"/>
  <c r="AC369" i="1"/>
  <c r="U369" i="1"/>
  <c r="AD283" i="1"/>
  <c r="V283" i="1"/>
  <c r="T283" i="1"/>
  <c r="AC283" i="1"/>
  <c r="U283" i="1"/>
  <c r="AD202" i="1"/>
  <c r="U202" i="1"/>
  <c r="V202" i="1"/>
  <c r="T202" i="1"/>
  <c r="AC202" i="1"/>
  <c r="AD180" i="1"/>
  <c r="T180" i="1"/>
  <c r="AC180" i="1"/>
  <c r="U180" i="1"/>
  <c r="V180" i="1"/>
  <c r="AD282" i="1"/>
  <c r="U282" i="1"/>
  <c r="AC282" i="1"/>
  <c r="T282" i="1"/>
  <c r="V282" i="1"/>
  <c r="AD50" i="1"/>
  <c r="T50" i="1"/>
  <c r="AC50" i="1"/>
  <c r="U50" i="1"/>
  <c r="V50" i="1"/>
  <c r="AD160" i="1"/>
  <c r="U160" i="1"/>
  <c r="T160" i="1"/>
  <c r="V160" i="1"/>
  <c r="AC160" i="1"/>
  <c r="AD24" i="1"/>
  <c r="T24" i="1"/>
  <c r="V24" i="1"/>
  <c r="U24" i="1"/>
  <c r="AC24" i="1"/>
  <c r="AD52" i="1"/>
  <c r="U52" i="1"/>
  <c r="T52" i="1"/>
  <c r="V52" i="1"/>
  <c r="AC52" i="1"/>
  <c r="AD393" i="1"/>
  <c r="V393" i="1"/>
  <c r="U393" i="1"/>
  <c r="AC393" i="1"/>
  <c r="T393" i="1"/>
  <c r="AD342" i="1"/>
  <c r="V342" i="1"/>
  <c r="T342" i="1"/>
  <c r="AC342" i="1"/>
  <c r="U342" i="1"/>
  <c r="AD99" i="1"/>
  <c r="T99" i="1"/>
  <c r="AC99" i="1"/>
  <c r="V99" i="1"/>
  <c r="U99" i="1"/>
  <c r="AD373" i="1"/>
  <c r="U373" i="1"/>
  <c r="AC373" i="1"/>
  <c r="T373" i="1"/>
  <c r="V373" i="1"/>
  <c r="AD148" i="1"/>
  <c r="V148" i="1"/>
  <c r="AC148" i="1"/>
  <c r="T148" i="1"/>
  <c r="U148" i="1"/>
  <c r="AD113" i="1"/>
  <c r="U113" i="1"/>
  <c r="T113" i="1"/>
  <c r="V113" i="1"/>
  <c r="AC113" i="1"/>
  <c r="AD231" i="1"/>
  <c r="T231" i="1"/>
  <c r="U231" i="1"/>
  <c r="AC231" i="1"/>
  <c r="V231" i="1"/>
  <c r="AD122" i="1"/>
  <c r="U122" i="1"/>
  <c r="V122" i="1"/>
  <c r="T122" i="1"/>
  <c r="AC122" i="1"/>
  <c r="AD390" i="1"/>
  <c r="U390" i="1"/>
  <c r="AC390" i="1"/>
  <c r="T390" i="1"/>
  <c r="V390" i="1"/>
  <c r="AD175" i="1"/>
  <c r="V175" i="1"/>
  <c r="U175" i="1"/>
  <c r="T175" i="1"/>
  <c r="AC175" i="1"/>
  <c r="V81" i="1"/>
  <c r="T81" i="1"/>
  <c r="AC81" i="1"/>
  <c r="U81" i="1"/>
  <c r="AD81" i="1"/>
  <c r="U333" i="1"/>
  <c r="T333" i="1"/>
  <c r="AC333" i="1"/>
  <c r="V333" i="1"/>
  <c r="AD333" i="1"/>
  <c r="AD371" i="1"/>
  <c r="V371" i="1"/>
  <c r="AC371" i="1"/>
  <c r="T371" i="1"/>
  <c r="U371" i="1"/>
  <c r="AD315" i="1"/>
  <c r="T315" i="1"/>
  <c r="AC315" i="1"/>
  <c r="U315" i="1"/>
  <c r="V315" i="1"/>
  <c r="AD277" i="1"/>
  <c r="T277" i="1"/>
  <c r="AC277" i="1"/>
  <c r="U277" i="1"/>
  <c r="V277" i="1"/>
  <c r="AD312" i="1"/>
  <c r="T312" i="1"/>
  <c r="AC312" i="1"/>
  <c r="V312" i="1"/>
  <c r="U312" i="1"/>
  <c r="T139" i="1"/>
  <c r="AC139" i="1"/>
  <c r="V139" i="1"/>
  <c r="AD139" i="1"/>
  <c r="U139" i="1"/>
  <c r="AD39" i="1"/>
  <c r="V39" i="1"/>
  <c r="AC39" i="1"/>
  <c r="T39" i="1"/>
  <c r="U39" i="1"/>
  <c r="AD251" i="1"/>
  <c r="T251" i="1"/>
  <c r="AC251" i="1"/>
  <c r="V251" i="1"/>
  <c r="U251" i="1"/>
  <c r="AD372" i="1"/>
  <c r="U372" i="1"/>
  <c r="V372" i="1"/>
  <c r="T372" i="1"/>
  <c r="AC372" i="1"/>
  <c r="AD248" i="1"/>
  <c r="V248" i="1"/>
  <c r="AC248" i="1"/>
  <c r="U248" i="1"/>
  <c r="T248" i="1"/>
  <c r="AD59" i="1"/>
  <c r="U59" i="1"/>
  <c r="AC59" i="1"/>
  <c r="T59" i="1"/>
  <c r="V59" i="1"/>
  <c r="AD179" i="1"/>
  <c r="U179" i="1"/>
  <c r="AC179" i="1"/>
  <c r="T179" i="1"/>
  <c r="V179" i="1"/>
  <c r="AD375" i="1"/>
  <c r="V375" i="1"/>
  <c r="AC375" i="1"/>
  <c r="T375" i="1"/>
  <c r="U375" i="1"/>
  <c r="AD351" i="1"/>
  <c r="T351" i="1"/>
  <c r="AC351" i="1"/>
  <c r="V351" i="1"/>
  <c r="U351" i="1"/>
  <c r="AD317" i="1"/>
  <c r="AC317" i="1"/>
  <c r="U317" i="1"/>
  <c r="V317" i="1"/>
  <c r="T317" i="1"/>
  <c r="AD362" i="1"/>
  <c r="T362" i="1"/>
  <c r="AC362" i="1"/>
  <c r="U362" i="1"/>
  <c r="V362" i="1"/>
  <c r="AD159" i="1"/>
  <c r="V159" i="1"/>
  <c r="AC159" i="1"/>
  <c r="T159" i="1"/>
  <c r="U159" i="1"/>
  <c r="AD335" i="1"/>
  <c r="U335" i="1"/>
  <c r="T335" i="1"/>
  <c r="AC335" i="1"/>
  <c r="V335" i="1"/>
  <c r="AD137" i="1"/>
  <c r="AC137" i="1"/>
  <c r="T137" i="1"/>
  <c r="V137" i="1"/>
  <c r="U137" i="1"/>
  <c r="AD210" i="1"/>
  <c r="AC210" i="1"/>
  <c r="V210" i="1"/>
  <c r="T210" i="1"/>
  <c r="U210" i="1"/>
  <c r="U149" i="1"/>
  <c r="AC149" i="1"/>
  <c r="V149" i="1"/>
  <c r="AD149" i="1"/>
  <c r="T149" i="1"/>
  <c r="AD263" i="1"/>
  <c r="T263" i="1"/>
  <c r="AC263" i="1"/>
  <c r="V263" i="1"/>
  <c r="U263" i="1"/>
  <c r="AB18" i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B438" i="1" s="1"/>
  <c r="AB439" i="1" s="1"/>
  <c r="AB440" i="1" s="1"/>
  <c r="AB441" i="1" s="1"/>
  <c r="AB442" i="1" s="1"/>
  <c r="AB443" i="1" s="1"/>
  <c r="AB444" i="1" s="1"/>
  <c r="AB445" i="1" s="1"/>
  <c r="AB446" i="1" s="1"/>
  <c r="AB447" i="1" s="1"/>
  <c r="AB448" i="1" s="1"/>
  <c r="AB449" i="1" s="1"/>
  <c r="AB450" i="1" s="1"/>
  <c r="AB451" i="1" s="1"/>
  <c r="AB452" i="1" s="1"/>
  <c r="AB453" i="1" s="1"/>
  <c r="AB454" i="1" s="1"/>
  <c r="AB455" i="1" s="1"/>
  <c r="AB456" i="1" s="1"/>
  <c r="AB457" i="1" s="1"/>
  <c r="AB458" i="1" s="1"/>
  <c r="AB459" i="1" s="1"/>
  <c r="AB460" i="1" s="1"/>
  <c r="AB461" i="1" s="1"/>
  <c r="AB462" i="1" s="1"/>
  <c r="AB463" i="1" s="1"/>
  <c r="AB464" i="1" s="1"/>
  <c r="AB465" i="1" s="1"/>
  <c r="AB466" i="1" s="1"/>
  <c r="AB467" i="1" s="1"/>
  <c r="AB468" i="1" s="1"/>
  <c r="AB469" i="1" s="1"/>
  <c r="AB470" i="1" s="1"/>
  <c r="AB471" i="1" s="1"/>
  <c r="AB472" i="1" s="1"/>
  <c r="AB473" i="1" s="1"/>
  <c r="AB474" i="1" s="1"/>
  <c r="AB475" i="1" s="1"/>
  <c r="AB476" i="1" s="1"/>
  <c r="AB477" i="1" s="1"/>
  <c r="AB478" i="1" s="1"/>
  <c r="AB479" i="1" s="1"/>
  <c r="AB480" i="1" s="1"/>
  <c r="AB481" i="1" s="1"/>
  <c r="AB482" i="1" s="1"/>
  <c r="AB483" i="1" s="1"/>
  <c r="AB484" i="1" s="1"/>
  <c r="AB485" i="1" s="1"/>
  <c r="AB486" i="1" s="1"/>
  <c r="AB487" i="1" s="1"/>
  <c r="AB488" i="1" s="1"/>
  <c r="AB489" i="1" s="1"/>
  <c r="AB490" i="1" s="1"/>
  <c r="AB491" i="1" s="1"/>
  <c r="AB492" i="1" s="1"/>
  <c r="AB493" i="1" s="1"/>
  <c r="AB494" i="1" s="1"/>
  <c r="AB495" i="1" s="1"/>
  <c r="AB496" i="1" s="1"/>
  <c r="AB497" i="1" s="1"/>
  <c r="AB498" i="1" s="1"/>
  <c r="AB499" i="1" s="1"/>
  <c r="AB500" i="1" s="1"/>
  <c r="AB501" i="1" s="1"/>
  <c r="AB502" i="1" s="1"/>
  <c r="AB503" i="1" s="1"/>
  <c r="AB504" i="1" s="1"/>
  <c r="AB505" i="1" s="1"/>
  <c r="AB506" i="1" s="1"/>
  <c r="AB507" i="1" s="1"/>
  <c r="AB508" i="1" s="1"/>
  <c r="AB509" i="1" s="1"/>
  <c r="AB510" i="1" s="1"/>
  <c r="AB511" i="1" s="1"/>
  <c r="AB512" i="1" s="1"/>
  <c r="AB513" i="1" s="1"/>
  <c r="AB514" i="1" s="1"/>
  <c r="AB515" i="1" s="1"/>
  <c r="AB516" i="1" s="1"/>
  <c r="AB517" i="1" s="1"/>
  <c r="AB518" i="1" s="1"/>
  <c r="AB519" i="1" s="1"/>
  <c r="AB520" i="1" s="1"/>
  <c r="AB521" i="1" s="1"/>
  <c r="AB522" i="1" s="1"/>
  <c r="AB523" i="1" s="1"/>
  <c r="AB524" i="1" s="1"/>
  <c r="AB525" i="1" s="1"/>
  <c r="AB526" i="1" s="1"/>
  <c r="AB527" i="1" s="1"/>
  <c r="AB528" i="1" s="1"/>
  <c r="AB529" i="1" s="1"/>
  <c r="AB530" i="1" s="1"/>
  <c r="AB531" i="1" s="1"/>
  <c r="AB532" i="1" s="1"/>
  <c r="AB533" i="1" s="1"/>
  <c r="AB534" i="1" s="1"/>
  <c r="AB535" i="1" s="1"/>
  <c r="AB536" i="1" s="1"/>
  <c r="AB537" i="1" s="1"/>
  <c r="AB538" i="1" s="1"/>
  <c r="AB539" i="1" s="1"/>
  <c r="AB540" i="1" s="1"/>
  <c r="AB541" i="1" s="1"/>
  <c r="AB542" i="1" s="1"/>
  <c r="AB543" i="1" s="1"/>
  <c r="AB544" i="1" s="1"/>
  <c r="AB545" i="1" s="1"/>
  <c r="AB546" i="1" s="1"/>
  <c r="AB547" i="1" s="1"/>
  <c r="AB548" i="1" s="1"/>
  <c r="AB549" i="1" s="1"/>
  <c r="AB550" i="1" s="1"/>
  <c r="AB551" i="1" s="1"/>
  <c r="AB552" i="1" s="1"/>
  <c r="AB553" i="1" s="1"/>
  <c r="AB554" i="1" s="1"/>
  <c r="AB555" i="1" s="1"/>
  <c r="AB556" i="1" s="1"/>
  <c r="AB557" i="1" s="1"/>
  <c r="AB558" i="1" s="1"/>
  <c r="AB559" i="1" s="1"/>
  <c r="AB560" i="1" s="1"/>
  <c r="AB561" i="1" s="1"/>
  <c r="AB562" i="1" s="1"/>
  <c r="AB563" i="1" s="1"/>
  <c r="AB564" i="1" s="1"/>
  <c r="AB565" i="1" s="1"/>
  <c r="AB566" i="1" s="1"/>
  <c r="AB567" i="1" s="1"/>
  <c r="AB568" i="1" s="1"/>
  <c r="AB569" i="1" s="1"/>
  <c r="AB570" i="1" s="1"/>
  <c r="AB571" i="1" s="1"/>
  <c r="AB572" i="1" s="1"/>
  <c r="AB573" i="1" s="1"/>
  <c r="AB574" i="1" s="1"/>
  <c r="AB575" i="1" s="1"/>
  <c r="AB576" i="1" s="1"/>
  <c r="AB577" i="1" s="1"/>
  <c r="AB578" i="1" s="1"/>
  <c r="AB579" i="1" s="1"/>
  <c r="AB580" i="1" s="1"/>
  <c r="AB581" i="1" s="1"/>
  <c r="AB582" i="1" s="1"/>
  <c r="AB583" i="1" s="1"/>
  <c r="AB584" i="1" s="1"/>
  <c r="AB585" i="1" s="1"/>
  <c r="AB586" i="1" s="1"/>
  <c r="AB587" i="1" s="1"/>
  <c r="AB588" i="1" s="1"/>
  <c r="AB589" i="1" s="1"/>
  <c r="AB590" i="1" s="1"/>
  <c r="AB591" i="1" s="1"/>
  <c r="AB592" i="1" s="1"/>
  <c r="AB593" i="1" s="1"/>
  <c r="AB594" i="1" s="1"/>
  <c r="AB595" i="1" s="1"/>
  <c r="AB596" i="1" s="1"/>
  <c r="AB597" i="1" s="1"/>
  <c r="AB598" i="1" s="1"/>
  <c r="AB599" i="1" s="1"/>
  <c r="AB600" i="1" s="1"/>
  <c r="AB601" i="1" s="1"/>
  <c r="AB602" i="1" s="1"/>
  <c r="AB603" i="1" s="1"/>
  <c r="AB604" i="1" s="1"/>
  <c r="AB605" i="1" s="1"/>
  <c r="AB606" i="1" s="1"/>
  <c r="AB607" i="1" s="1"/>
  <c r="AB608" i="1" s="1"/>
  <c r="AB609" i="1" s="1"/>
  <c r="AB610" i="1" s="1"/>
  <c r="AB611" i="1" s="1"/>
  <c r="AB612" i="1" s="1"/>
  <c r="AB613" i="1" s="1"/>
  <c r="AB614" i="1" s="1"/>
  <c r="AB615" i="1" s="1"/>
  <c r="AB616" i="1" s="1"/>
  <c r="AB617" i="1" s="1"/>
  <c r="AB618" i="1" s="1"/>
  <c r="AB619" i="1" s="1"/>
  <c r="AB620" i="1" s="1"/>
  <c r="AB621" i="1" s="1"/>
  <c r="AB622" i="1" s="1"/>
  <c r="AB623" i="1" s="1"/>
  <c r="AB624" i="1" s="1"/>
  <c r="AB625" i="1" s="1"/>
  <c r="AB626" i="1" s="1"/>
  <c r="AB627" i="1" s="1"/>
  <c r="AB628" i="1" s="1"/>
  <c r="AB629" i="1" s="1"/>
  <c r="AB630" i="1" s="1"/>
  <c r="AB631" i="1" s="1"/>
  <c r="AB632" i="1" s="1"/>
  <c r="AB633" i="1" s="1"/>
  <c r="AB634" i="1" s="1"/>
  <c r="AB635" i="1" s="1"/>
  <c r="AB636" i="1" s="1"/>
  <c r="AB637" i="1" s="1"/>
  <c r="AB638" i="1" s="1"/>
  <c r="AB639" i="1" s="1"/>
  <c r="AB640" i="1" s="1"/>
  <c r="AB641" i="1" s="1"/>
  <c r="AB642" i="1" s="1"/>
  <c r="AB643" i="1" s="1"/>
  <c r="AB644" i="1" s="1"/>
  <c r="AB645" i="1" s="1"/>
  <c r="AB646" i="1" s="1"/>
  <c r="AB647" i="1" s="1"/>
  <c r="AB648" i="1" s="1"/>
  <c r="AB649" i="1" s="1"/>
  <c r="AB650" i="1" s="1"/>
  <c r="AB651" i="1" s="1"/>
  <c r="AB652" i="1" s="1"/>
  <c r="AB653" i="1" s="1"/>
  <c r="AB654" i="1" s="1"/>
  <c r="AB655" i="1" s="1"/>
  <c r="AB656" i="1" s="1"/>
  <c r="AB657" i="1" s="1"/>
  <c r="AB658" i="1" s="1"/>
  <c r="AB659" i="1" s="1"/>
  <c r="AB660" i="1" s="1"/>
  <c r="AB661" i="1" s="1"/>
  <c r="AB662" i="1" s="1"/>
  <c r="V18" i="1"/>
  <c r="AC18" i="1"/>
  <c r="U18" i="1"/>
  <c r="AD18" i="1"/>
  <c r="T18" i="1"/>
  <c r="V114" i="1"/>
  <c r="AD114" i="1"/>
  <c r="U114" i="1"/>
  <c r="AC114" i="1"/>
  <c r="T114" i="1"/>
  <c r="AI379" i="1"/>
  <c r="AH379" i="1"/>
  <c r="AG379" i="1"/>
  <c r="AG292" i="1"/>
  <c r="AI292" i="1"/>
  <c r="AH292" i="1"/>
  <c r="AG164" i="1"/>
  <c r="AH164" i="1"/>
  <c r="AI164" i="1"/>
  <c r="AH60" i="1"/>
  <c r="AG60" i="1"/>
  <c r="AI60" i="1"/>
  <c r="AI386" i="1"/>
  <c r="AH386" i="1"/>
  <c r="AG386" i="1"/>
  <c r="AH347" i="1"/>
  <c r="AI347" i="1"/>
  <c r="AG347" i="1"/>
  <c r="AG221" i="1"/>
  <c r="AH221" i="1"/>
  <c r="AI221" i="1"/>
  <c r="AG93" i="1"/>
  <c r="AH93" i="1"/>
  <c r="AI93" i="1"/>
  <c r="AG341" i="1"/>
  <c r="AH341" i="1"/>
  <c r="AI341" i="1"/>
  <c r="AI232" i="1"/>
  <c r="AG232" i="1"/>
  <c r="AH232" i="1"/>
  <c r="AI380" i="1"/>
  <c r="AG380" i="1"/>
  <c r="AH380" i="1"/>
  <c r="AG120" i="1"/>
  <c r="AI120" i="1"/>
  <c r="AH120" i="1"/>
  <c r="AG126" i="1"/>
  <c r="AH126" i="1"/>
  <c r="AI126" i="1"/>
  <c r="AI269" i="1"/>
  <c r="AG269" i="1"/>
  <c r="AH269" i="1"/>
  <c r="AH112" i="1"/>
  <c r="AI112" i="1"/>
  <c r="AG112" i="1"/>
  <c r="AG118" i="1"/>
  <c r="AH118" i="1"/>
  <c r="AI118" i="1"/>
  <c r="AI237" i="1"/>
  <c r="AG237" i="1"/>
  <c r="AH237" i="1"/>
  <c r="AH247" i="1"/>
  <c r="AG247" i="1"/>
  <c r="AI247" i="1"/>
  <c r="AI45" i="1"/>
  <c r="AG45" i="1"/>
  <c r="AH45" i="1"/>
  <c r="AH68" i="1"/>
  <c r="AG68" i="1"/>
  <c r="AI68" i="1"/>
  <c r="AG56" i="1"/>
  <c r="AI56" i="1"/>
  <c r="AH56" i="1"/>
  <c r="AI199" i="1"/>
  <c r="AH199" i="1"/>
  <c r="AG199" i="1"/>
  <c r="AI62" i="1"/>
  <c r="AH62" i="1"/>
  <c r="AG62" i="1"/>
  <c r="AI226" i="1"/>
  <c r="AG226" i="1"/>
  <c r="AH226" i="1"/>
  <c r="AG363" i="1"/>
  <c r="AI363" i="1"/>
  <c r="AH363" i="1"/>
  <c r="AH345" i="1"/>
  <c r="AI345" i="1"/>
  <c r="AG345" i="1"/>
  <c r="AH48" i="1"/>
  <c r="AG48" i="1"/>
  <c r="AI48" i="1"/>
  <c r="AG191" i="1"/>
  <c r="AH191" i="1"/>
  <c r="AI191" i="1"/>
  <c r="AG54" i="1"/>
  <c r="AH54" i="1"/>
  <c r="AI54" i="1"/>
  <c r="AG218" i="1"/>
  <c r="AH218" i="1"/>
  <c r="AI218" i="1"/>
  <c r="AI315" i="1"/>
  <c r="AG315" i="1"/>
  <c r="AH315" i="1"/>
  <c r="AI253" i="1"/>
  <c r="AG253" i="1"/>
  <c r="AH253" i="1"/>
  <c r="AG40" i="1"/>
  <c r="AI40" i="1"/>
  <c r="AH40" i="1"/>
  <c r="AI183" i="1"/>
  <c r="AG183" i="1"/>
  <c r="AH183" i="1"/>
  <c r="AH46" i="1"/>
  <c r="AG46" i="1"/>
  <c r="AI46" i="1"/>
  <c r="AG210" i="1"/>
  <c r="AH210" i="1"/>
  <c r="AI210" i="1"/>
  <c r="AI228" i="1"/>
  <c r="AG228" i="1"/>
  <c r="AH228" i="1"/>
  <c r="AI29" i="1"/>
  <c r="AG29" i="1"/>
  <c r="AH29" i="1"/>
  <c r="AH32" i="1"/>
  <c r="AG32" i="1"/>
  <c r="AI32" i="1"/>
  <c r="AI175" i="1"/>
  <c r="AG175" i="1"/>
  <c r="AH175" i="1"/>
  <c r="AH38" i="1"/>
  <c r="AI38" i="1"/>
  <c r="AG38" i="1"/>
  <c r="AH202" i="1"/>
  <c r="AG202" i="1"/>
  <c r="AI202" i="1"/>
  <c r="AI28" i="1"/>
  <c r="AG28" i="1"/>
  <c r="AH28" i="1"/>
  <c r="AG308" i="1"/>
  <c r="AI308" i="1"/>
  <c r="AH308" i="1"/>
  <c r="AG241" i="1"/>
  <c r="AI241" i="1"/>
  <c r="AH241" i="1"/>
  <c r="AH103" i="1"/>
  <c r="AI103" i="1"/>
  <c r="AG103" i="1"/>
  <c r="AH259" i="1"/>
  <c r="AG259" i="1"/>
  <c r="AI259" i="1"/>
  <c r="AG130" i="1"/>
  <c r="AI130" i="1"/>
  <c r="AH130" i="1"/>
  <c r="AI365" i="1"/>
  <c r="AH365" i="1"/>
  <c r="AG365" i="1"/>
  <c r="AI21" i="1"/>
  <c r="AH21" i="1"/>
  <c r="AG21" i="1"/>
  <c r="AI169" i="1"/>
  <c r="AH169" i="1"/>
  <c r="AG169" i="1"/>
  <c r="AI31" i="1"/>
  <c r="AG31" i="1"/>
  <c r="AH31" i="1"/>
  <c r="AH187" i="1"/>
  <c r="AI187" i="1"/>
  <c r="AG187" i="1"/>
  <c r="AH58" i="1"/>
  <c r="AG58" i="1"/>
  <c r="AI58" i="1"/>
  <c r="AI108" i="1"/>
  <c r="AG108" i="1"/>
  <c r="AH108" i="1"/>
  <c r="AI328" i="1"/>
  <c r="AH328" i="1"/>
  <c r="AG328" i="1"/>
  <c r="AI97" i="1"/>
  <c r="AG97" i="1"/>
  <c r="AH97" i="1"/>
  <c r="AG334" i="1"/>
  <c r="AH334" i="1"/>
  <c r="AI334" i="1"/>
  <c r="AI115" i="1"/>
  <c r="AG115" i="1"/>
  <c r="AH115" i="1"/>
  <c r="AI189" i="1"/>
  <c r="AG189" i="1"/>
  <c r="AH189" i="1"/>
  <c r="AI157" i="1"/>
  <c r="AH157" i="1"/>
  <c r="AG157" i="1"/>
  <c r="AG256" i="1"/>
  <c r="AH256" i="1"/>
  <c r="AI256" i="1"/>
  <c r="AI25" i="1"/>
  <c r="AH25" i="1"/>
  <c r="AG25" i="1"/>
  <c r="AH262" i="1"/>
  <c r="AI262" i="1"/>
  <c r="AG262" i="1"/>
  <c r="AI43" i="1"/>
  <c r="AG43" i="1"/>
  <c r="AH43" i="1"/>
  <c r="G37" i="1"/>
  <c r="H37" i="1"/>
  <c r="B37" i="1"/>
  <c r="AD208" i="1"/>
  <c r="V208" i="1"/>
  <c r="AC208" i="1"/>
  <c r="U208" i="1"/>
  <c r="T208" i="1"/>
  <c r="AD84" i="1"/>
  <c r="V84" i="1"/>
  <c r="AC84" i="1"/>
  <c r="T84" i="1"/>
  <c r="U84" i="1"/>
  <c r="AD229" i="1"/>
  <c r="T229" i="1"/>
  <c r="U229" i="1"/>
  <c r="V229" i="1"/>
  <c r="AC229" i="1"/>
  <c r="AD23" i="1"/>
  <c r="T23" i="1"/>
  <c r="V23" i="1"/>
  <c r="U23" i="1"/>
  <c r="AC23" i="1"/>
  <c r="AD205" i="1"/>
  <c r="V205" i="1"/>
  <c r="T205" i="1"/>
  <c r="AC205" i="1"/>
  <c r="U205" i="1"/>
  <c r="U254" i="1"/>
  <c r="V254" i="1"/>
  <c r="T254" i="1"/>
  <c r="AD254" i="1"/>
  <c r="AC254" i="1"/>
  <c r="AD37" i="1"/>
  <c r="V37" i="1"/>
  <c r="AC37" i="1"/>
  <c r="U37" i="1"/>
  <c r="T37" i="1"/>
  <c r="AD21" i="1"/>
  <c r="T21" i="1"/>
  <c r="AC21" i="1"/>
  <c r="V21" i="1"/>
  <c r="U21" i="1"/>
  <c r="AD354" i="1"/>
  <c r="U354" i="1"/>
  <c r="AC354" i="1"/>
  <c r="T354" i="1"/>
  <c r="V354" i="1"/>
  <c r="AD60" i="1"/>
  <c r="T60" i="1"/>
  <c r="U60" i="1"/>
  <c r="AC60" i="1"/>
  <c r="V60" i="1"/>
  <c r="AD242" i="1"/>
  <c r="T242" i="1"/>
  <c r="AC242" i="1"/>
  <c r="V242" i="1"/>
  <c r="U242" i="1"/>
  <c r="AD166" i="1"/>
  <c r="U166" i="1"/>
  <c r="AC166" i="1"/>
  <c r="V166" i="1"/>
  <c r="T166" i="1"/>
  <c r="AD218" i="1"/>
  <c r="T218" i="1"/>
  <c r="U218" i="1"/>
  <c r="AC218" i="1"/>
  <c r="V218" i="1"/>
  <c r="AD387" i="1"/>
  <c r="V387" i="1"/>
  <c r="T387" i="1"/>
  <c r="U387" i="1"/>
  <c r="AC387" i="1"/>
  <c r="AD96" i="1"/>
  <c r="V96" i="1"/>
  <c r="AC96" i="1"/>
  <c r="U96" i="1"/>
  <c r="T96" i="1"/>
  <c r="AD26" i="1"/>
  <c r="U26" i="1"/>
  <c r="V26" i="1"/>
  <c r="AC26" i="1"/>
  <c r="T26" i="1"/>
  <c r="AD142" i="1"/>
  <c r="T142" i="1"/>
  <c r="AC142" i="1"/>
  <c r="V142" i="1"/>
  <c r="U142" i="1"/>
  <c r="AD328" i="1"/>
  <c r="T328" i="1"/>
  <c r="V328" i="1"/>
  <c r="AC328" i="1"/>
  <c r="U328" i="1"/>
  <c r="AD45" i="1"/>
  <c r="V45" i="1"/>
  <c r="AC45" i="1"/>
  <c r="T45" i="1"/>
  <c r="U45" i="1"/>
  <c r="AD300" i="1"/>
  <c r="T300" i="1"/>
  <c r="U300" i="1"/>
  <c r="AC300" i="1"/>
  <c r="V300" i="1"/>
  <c r="AD233" i="1"/>
  <c r="V233" i="1"/>
  <c r="AC233" i="1"/>
  <c r="U233" i="1"/>
  <c r="T233" i="1"/>
  <c r="V219" i="1"/>
  <c r="AD219" i="1"/>
  <c r="U219" i="1"/>
  <c r="T219" i="1"/>
  <c r="AC219" i="1"/>
  <c r="V123" i="1"/>
  <c r="U123" i="1"/>
  <c r="AC123" i="1"/>
  <c r="T123" i="1"/>
  <c r="AD123" i="1"/>
  <c r="V102" i="1"/>
  <c r="U102" i="1"/>
  <c r="AC102" i="1"/>
  <c r="T102" i="1"/>
  <c r="AD102" i="1"/>
  <c r="AD324" i="1"/>
  <c r="T324" i="1"/>
  <c r="AC324" i="1"/>
  <c r="V324" i="1"/>
  <c r="U324" i="1"/>
  <c r="AD246" i="1"/>
  <c r="U246" i="1"/>
  <c r="AC246" i="1"/>
  <c r="V246" i="1"/>
  <c r="T246" i="1"/>
  <c r="AD322" i="1"/>
  <c r="V322" i="1"/>
  <c r="U322" i="1"/>
  <c r="AC322" i="1"/>
  <c r="T322" i="1"/>
  <c r="AD132" i="1"/>
  <c r="V132" i="1"/>
  <c r="AC132" i="1"/>
  <c r="T132" i="1"/>
  <c r="U132" i="1"/>
  <c r="AD54" i="1"/>
  <c r="T54" i="1"/>
  <c r="AC54" i="1"/>
  <c r="V54" i="1"/>
  <c r="U54" i="1"/>
  <c r="AD79" i="1"/>
  <c r="T79" i="1"/>
  <c r="U79" i="1"/>
  <c r="AC79" i="1"/>
  <c r="V79" i="1"/>
  <c r="AD182" i="1"/>
  <c r="T182" i="1"/>
  <c r="AC182" i="1"/>
  <c r="U182" i="1"/>
  <c r="V182" i="1"/>
  <c r="AD35" i="1"/>
  <c r="T35" i="1"/>
  <c r="V35" i="1"/>
  <c r="AC35" i="1"/>
  <c r="U35" i="1"/>
  <c r="AD340" i="1"/>
  <c r="T340" i="1"/>
  <c r="AC340" i="1"/>
  <c r="V340" i="1"/>
  <c r="U340" i="1"/>
  <c r="AD341" i="1"/>
  <c r="U341" i="1"/>
  <c r="AC341" i="1"/>
  <c r="V341" i="1"/>
  <c r="T341" i="1"/>
  <c r="AD51" i="1"/>
  <c r="U51" i="1"/>
  <c r="V51" i="1"/>
  <c r="AC51" i="1"/>
  <c r="T51" i="1"/>
  <c r="AD100" i="1"/>
  <c r="T100" i="1"/>
  <c r="AC100" i="1"/>
  <c r="U100" i="1"/>
  <c r="V100" i="1"/>
  <c r="AD309" i="1"/>
  <c r="U309" i="1"/>
  <c r="AC309" i="1"/>
  <c r="V309" i="1"/>
  <c r="T309" i="1"/>
  <c r="AD169" i="1"/>
  <c r="AC169" i="1"/>
  <c r="U169" i="1"/>
  <c r="V169" i="1"/>
  <c r="T169" i="1"/>
  <c r="AD361" i="1"/>
  <c r="U361" i="1"/>
  <c r="AC361" i="1"/>
  <c r="V361" i="1"/>
  <c r="T361" i="1"/>
  <c r="AD143" i="1"/>
  <c r="U143" i="1"/>
  <c r="AC143" i="1"/>
  <c r="V143" i="1"/>
  <c r="T143" i="1"/>
  <c r="AD156" i="1"/>
  <c r="V156" i="1"/>
  <c r="U156" i="1"/>
  <c r="T156" i="1"/>
  <c r="AC156" i="1"/>
  <c r="AD46" i="1"/>
  <c r="U46" i="1"/>
  <c r="AC46" i="1"/>
  <c r="T46" i="1"/>
  <c r="V46" i="1"/>
  <c r="AD106" i="1"/>
  <c r="V106" i="1"/>
  <c r="AC106" i="1"/>
  <c r="U106" i="1"/>
  <c r="T106" i="1"/>
  <c r="AD258" i="1"/>
  <c r="T258" i="1"/>
  <c r="AC258" i="1"/>
  <c r="V258" i="1"/>
  <c r="U258" i="1"/>
  <c r="AD207" i="1"/>
  <c r="U207" i="1"/>
  <c r="AC207" i="1"/>
  <c r="V207" i="1"/>
  <c r="T207" i="1"/>
  <c r="T299" i="1"/>
  <c r="U299" i="1"/>
  <c r="AD299" i="1"/>
  <c r="AC299" i="1"/>
  <c r="V299" i="1"/>
  <c r="V281" i="1"/>
  <c r="AD281" i="1"/>
  <c r="U281" i="1"/>
  <c r="T281" i="1"/>
  <c r="AC281" i="1"/>
  <c r="AI395" i="1"/>
  <c r="AH395" i="1"/>
  <c r="AG395" i="1"/>
  <c r="AG296" i="1"/>
  <c r="AH296" i="1"/>
  <c r="AI296" i="1"/>
  <c r="AG92" i="1"/>
  <c r="AH92" i="1"/>
  <c r="AI92" i="1"/>
  <c r="AH353" i="1"/>
  <c r="AI353" i="1"/>
  <c r="AG353" i="1"/>
  <c r="AI109" i="1"/>
  <c r="AH109" i="1"/>
  <c r="AG109" i="1"/>
  <c r="AH388" i="1"/>
  <c r="AG388" i="1"/>
  <c r="AI388" i="1"/>
  <c r="AI61" i="1"/>
  <c r="AG61" i="1"/>
  <c r="AH61" i="1"/>
  <c r="AH383" i="1"/>
  <c r="AI383" i="1"/>
  <c r="AG383" i="1"/>
  <c r="AG375" i="1"/>
  <c r="AH375" i="1"/>
  <c r="AI375" i="1"/>
  <c r="AG184" i="1"/>
  <c r="AH184" i="1"/>
  <c r="AI184" i="1"/>
  <c r="AI125" i="1"/>
  <c r="AG125" i="1"/>
  <c r="AH125" i="1"/>
  <c r="AH372" i="1"/>
  <c r="AI372" i="1"/>
  <c r="AG372" i="1"/>
  <c r="AG291" i="1"/>
  <c r="AH291" i="1"/>
  <c r="AI291" i="1"/>
  <c r="AI356" i="1"/>
  <c r="AH356" i="1"/>
  <c r="AG356" i="1"/>
  <c r="AG283" i="1"/>
  <c r="AH283" i="1"/>
  <c r="AI283" i="1"/>
  <c r="AG309" i="1"/>
  <c r="AH309" i="1"/>
  <c r="AI309" i="1"/>
  <c r="AG340" i="1"/>
  <c r="AH340" i="1"/>
  <c r="AI340" i="1"/>
  <c r="AG257" i="1"/>
  <c r="AI257" i="1"/>
  <c r="AH257" i="1"/>
  <c r="AG275" i="1"/>
  <c r="AI275" i="1"/>
  <c r="AH275" i="1"/>
  <c r="AI146" i="1"/>
  <c r="AG146" i="1"/>
  <c r="AH146" i="1"/>
  <c r="AG188" i="1"/>
  <c r="AI188" i="1"/>
  <c r="AH188" i="1"/>
  <c r="AH324" i="1"/>
  <c r="AI324" i="1"/>
  <c r="AG324" i="1"/>
  <c r="AH249" i="1"/>
  <c r="AI249" i="1"/>
  <c r="AG249" i="1"/>
  <c r="AI111" i="1"/>
  <c r="AG111" i="1"/>
  <c r="AH111" i="1"/>
  <c r="AH267" i="1"/>
  <c r="AI267" i="1"/>
  <c r="AG267" i="1"/>
  <c r="AG138" i="1"/>
  <c r="AH138" i="1"/>
  <c r="AI138" i="1"/>
  <c r="AG84" i="1"/>
  <c r="AH84" i="1"/>
  <c r="AI84" i="1"/>
  <c r="AG53" i="1"/>
  <c r="AH53" i="1"/>
  <c r="AI53" i="1"/>
  <c r="AI177" i="1"/>
  <c r="AG177" i="1"/>
  <c r="AH177" i="1"/>
  <c r="AI39" i="1"/>
  <c r="AG39" i="1"/>
  <c r="AH39" i="1"/>
  <c r="AH195" i="1"/>
  <c r="AI195" i="1"/>
  <c r="AG195" i="1"/>
  <c r="AH66" i="1"/>
  <c r="AG66" i="1"/>
  <c r="AI66" i="1"/>
  <c r="AG140" i="1"/>
  <c r="AH140" i="1"/>
  <c r="AI140" i="1"/>
  <c r="AH336" i="1"/>
  <c r="AI336" i="1"/>
  <c r="AG336" i="1"/>
  <c r="AI105" i="1"/>
  <c r="AH105" i="1"/>
  <c r="AG105" i="1"/>
  <c r="AH342" i="1"/>
  <c r="AI342" i="1"/>
  <c r="AG342" i="1"/>
  <c r="AI123" i="1"/>
  <c r="AG123" i="1"/>
  <c r="AH123" i="1"/>
  <c r="AG329" i="1"/>
  <c r="AH329" i="1"/>
  <c r="AI329" i="1"/>
  <c r="AH285" i="1"/>
  <c r="AG285" i="1"/>
  <c r="AI285" i="1"/>
  <c r="AH264" i="1"/>
  <c r="AI264" i="1"/>
  <c r="AG264" i="1"/>
  <c r="AG33" i="1"/>
  <c r="AH33" i="1"/>
  <c r="AI33" i="1"/>
  <c r="AG270" i="1"/>
  <c r="AH270" i="1"/>
  <c r="AI270" i="1"/>
  <c r="AG51" i="1"/>
  <c r="AH51" i="1"/>
  <c r="AI51" i="1"/>
  <c r="AG276" i="1"/>
  <c r="AI276" i="1"/>
  <c r="AH276" i="1"/>
  <c r="AI349" i="1"/>
  <c r="AH349" i="1"/>
  <c r="AG349" i="1"/>
  <c r="AH192" i="1"/>
  <c r="AI192" i="1"/>
  <c r="AG192" i="1"/>
  <c r="AH335" i="1"/>
  <c r="AG335" i="1"/>
  <c r="AI335" i="1"/>
  <c r="AG198" i="1"/>
  <c r="AH198" i="1"/>
  <c r="AI198" i="1"/>
  <c r="AI362" i="1"/>
  <c r="AG362" i="1"/>
  <c r="AH362" i="1"/>
  <c r="AD344" i="1"/>
  <c r="V344" i="1"/>
  <c r="AC344" i="1"/>
  <c r="T344" i="1"/>
  <c r="U344" i="1"/>
  <c r="AD189" i="1"/>
  <c r="T189" i="1"/>
  <c r="AC189" i="1"/>
  <c r="U189" i="1"/>
  <c r="V189" i="1"/>
  <c r="AD256" i="1"/>
  <c r="V256" i="1"/>
  <c r="AC256" i="1"/>
  <c r="T256" i="1"/>
  <c r="U256" i="1"/>
  <c r="AD147" i="1"/>
  <c r="T147" i="1"/>
  <c r="U147" i="1"/>
  <c r="V147" i="1"/>
  <c r="AC147" i="1"/>
  <c r="AD65" i="1"/>
  <c r="V65" i="1"/>
  <c r="T65" i="1"/>
  <c r="U65" i="1"/>
  <c r="AC65" i="1"/>
  <c r="AD289" i="1"/>
  <c r="V289" i="1"/>
  <c r="U289" i="1"/>
  <c r="T289" i="1"/>
  <c r="AC289" i="1"/>
  <c r="AD185" i="1"/>
  <c r="U185" i="1"/>
  <c r="V185" i="1"/>
  <c r="T185" i="1"/>
  <c r="AC185" i="1"/>
  <c r="AD194" i="1"/>
  <c r="U194" i="1"/>
  <c r="T194" i="1"/>
  <c r="AC194" i="1"/>
  <c r="V194" i="1"/>
  <c r="AD302" i="1"/>
  <c r="T302" i="1"/>
  <c r="AC302" i="1"/>
  <c r="U302" i="1"/>
  <c r="V302" i="1"/>
  <c r="AD126" i="1"/>
  <c r="U126" i="1"/>
  <c r="AC126" i="1"/>
  <c r="V126" i="1"/>
  <c r="T126" i="1"/>
  <c r="AD234" i="1"/>
  <c r="V234" i="1"/>
  <c r="T234" i="1"/>
  <c r="AC234" i="1"/>
  <c r="U234" i="1"/>
  <c r="AD188" i="1"/>
  <c r="T188" i="1"/>
  <c r="AC188" i="1"/>
  <c r="V188" i="1"/>
  <c r="U188" i="1"/>
  <c r="AD332" i="1"/>
  <c r="U332" i="1"/>
  <c r="AC332" i="1"/>
  <c r="V332" i="1"/>
  <c r="T332" i="1"/>
  <c r="AD120" i="1"/>
  <c r="U120" i="1"/>
  <c r="V120" i="1"/>
  <c r="T120" i="1"/>
  <c r="AC120" i="1"/>
  <c r="AD374" i="1"/>
  <c r="T374" i="1"/>
  <c r="U374" i="1"/>
  <c r="AC374" i="1"/>
  <c r="V374" i="1"/>
  <c r="AD140" i="1"/>
  <c r="T140" i="1"/>
  <c r="AC140" i="1"/>
  <c r="U140" i="1"/>
  <c r="V140" i="1"/>
  <c r="AD298" i="1"/>
  <c r="T298" i="1"/>
  <c r="AC298" i="1"/>
  <c r="U298" i="1"/>
  <c r="V298" i="1"/>
  <c r="AD199" i="1"/>
  <c r="T199" i="1"/>
  <c r="AC199" i="1"/>
  <c r="U199" i="1"/>
  <c r="V199" i="1"/>
  <c r="AD278" i="1"/>
  <c r="U278" i="1"/>
  <c r="AC278" i="1"/>
  <c r="V278" i="1"/>
  <c r="T278" i="1"/>
  <c r="AD257" i="1"/>
  <c r="V257" i="1"/>
  <c r="U257" i="1"/>
  <c r="AC257" i="1"/>
  <c r="T257" i="1"/>
  <c r="AD245" i="1"/>
  <c r="V245" i="1"/>
  <c r="AC245" i="1"/>
  <c r="T245" i="1"/>
  <c r="U245" i="1"/>
  <c r="AD86" i="1"/>
  <c r="T86" i="1"/>
  <c r="V86" i="1"/>
  <c r="U86" i="1"/>
  <c r="AC86" i="1"/>
  <c r="T62" i="1"/>
  <c r="AD62" i="1"/>
  <c r="U62" i="1"/>
  <c r="V62" i="1"/>
  <c r="AC62" i="1"/>
  <c r="V89" i="1"/>
  <c r="AD89" i="1"/>
  <c r="U89" i="1"/>
  <c r="T89" i="1"/>
  <c r="AC89" i="1"/>
  <c r="AD58" i="1"/>
  <c r="V58" i="1"/>
  <c r="AC58" i="1"/>
  <c r="U58" i="1"/>
  <c r="T58" i="1"/>
  <c r="AD336" i="1"/>
  <c r="T336" i="1"/>
  <c r="AC336" i="1"/>
  <c r="U336" i="1"/>
  <c r="V336" i="1"/>
  <c r="AD111" i="1"/>
  <c r="U111" i="1"/>
  <c r="AC111" i="1"/>
  <c r="T111" i="1"/>
  <c r="V111" i="1"/>
  <c r="AD255" i="1"/>
  <c r="V255" i="1"/>
  <c r="AC255" i="1"/>
  <c r="T255" i="1"/>
  <c r="U255" i="1"/>
  <c r="AD97" i="1"/>
  <c r="T97" i="1"/>
  <c r="AC97" i="1"/>
  <c r="U97" i="1"/>
  <c r="V97" i="1"/>
  <c r="AD187" i="1"/>
  <c r="T187" i="1"/>
  <c r="U187" i="1"/>
  <c r="AC187" i="1"/>
  <c r="V187" i="1"/>
  <c r="AD57" i="1"/>
  <c r="T57" i="1"/>
  <c r="U57" i="1"/>
  <c r="AC57" i="1"/>
  <c r="V57" i="1"/>
  <c r="AD32" i="1"/>
  <c r="U32" i="1"/>
  <c r="AC32" i="1"/>
  <c r="T32" i="1"/>
  <c r="V32" i="1"/>
  <c r="AD165" i="1"/>
  <c r="U165" i="1"/>
  <c r="AC165" i="1"/>
  <c r="T165" i="1"/>
  <c r="V165" i="1"/>
  <c r="AD378" i="1"/>
  <c r="T378" i="1"/>
  <c r="AC378" i="1"/>
  <c r="U378" i="1"/>
  <c r="V378" i="1"/>
  <c r="AD348" i="1"/>
  <c r="V348" i="1"/>
  <c r="AC348" i="1"/>
  <c r="U348" i="1"/>
  <c r="T348" i="1"/>
  <c r="AD287" i="1"/>
  <c r="V287" i="1"/>
  <c r="AC287" i="1"/>
  <c r="U287" i="1"/>
  <c r="T287" i="1"/>
  <c r="AD308" i="1"/>
  <c r="T308" i="1"/>
  <c r="AC308" i="1"/>
  <c r="U308" i="1"/>
  <c r="V308" i="1"/>
  <c r="AD117" i="1"/>
  <c r="T117" i="1"/>
  <c r="AC117" i="1"/>
  <c r="V117" i="1"/>
  <c r="U117" i="1"/>
  <c r="AD183" i="1"/>
  <c r="AC183" i="1"/>
  <c r="V183" i="1"/>
  <c r="T183" i="1"/>
  <c r="U183" i="1"/>
  <c r="AD190" i="1"/>
  <c r="AC190" i="1"/>
  <c r="T190" i="1"/>
  <c r="V190" i="1"/>
  <c r="U190" i="1"/>
  <c r="AD200" i="1"/>
  <c r="AC200" i="1"/>
  <c r="U200" i="1"/>
  <c r="T200" i="1"/>
  <c r="V200" i="1"/>
  <c r="AD146" i="1"/>
  <c r="T146" i="1"/>
  <c r="AC146" i="1"/>
  <c r="U146" i="1"/>
  <c r="V146" i="1"/>
  <c r="AD386" i="1"/>
  <c r="U386" i="1"/>
  <c r="AC386" i="1"/>
  <c r="T386" i="1"/>
  <c r="V386" i="1"/>
  <c r="AD47" i="1"/>
  <c r="V47" i="1"/>
  <c r="AC47" i="1"/>
  <c r="U47" i="1"/>
  <c r="T47" i="1"/>
  <c r="AD320" i="1"/>
  <c r="V320" i="1"/>
  <c r="AC320" i="1"/>
  <c r="U320" i="1"/>
  <c r="T320" i="1"/>
  <c r="U90" i="1"/>
  <c r="V90" i="1"/>
  <c r="AD90" i="1"/>
  <c r="AC90" i="1"/>
  <c r="T90" i="1"/>
  <c r="T121" i="1"/>
  <c r="V121" i="1"/>
  <c r="AC121" i="1"/>
  <c r="U121" i="1"/>
  <c r="AD121" i="1"/>
  <c r="AI81" i="1"/>
  <c r="AG81" i="1"/>
  <c r="AH81" i="1"/>
  <c r="AG310" i="1"/>
  <c r="AH310" i="1"/>
  <c r="AI310" i="1"/>
  <c r="AG196" i="1"/>
  <c r="AH196" i="1"/>
  <c r="AI196" i="1"/>
  <c r="AH294" i="1"/>
  <c r="AI294" i="1"/>
  <c r="AG294" i="1"/>
  <c r="AG293" i="1"/>
  <c r="AH293" i="1"/>
  <c r="AI293" i="1"/>
  <c r="AG215" i="1"/>
  <c r="AH215" i="1"/>
  <c r="AI215" i="1"/>
  <c r="AG281" i="1"/>
  <c r="AH281" i="1"/>
  <c r="AI281" i="1"/>
  <c r="AI248" i="1"/>
  <c r="AG248" i="1"/>
  <c r="AH248" i="1"/>
  <c r="AG246" i="1"/>
  <c r="AH246" i="1"/>
  <c r="AI246" i="1"/>
  <c r="AI220" i="1"/>
  <c r="AG220" i="1"/>
  <c r="AH220" i="1"/>
  <c r="AI301" i="1"/>
  <c r="AH301" i="1"/>
  <c r="AG301" i="1"/>
  <c r="AG273" i="1"/>
  <c r="AI273" i="1"/>
  <c r="AH273" i="1"/>
  <c r="AI162" i="1"/>
  <c r="AH162" i="1"/>
  <c r="AG162" i="1"/>
  <c r="AG265" i="1"/>
  <c r="AH265" i="1"/>
  <c r="AI265" i="1"/>
  <c r="AH154" i="1"/>
  <c r="AI154" i="1"/>
  <c r="AG154" i="1"/>
  <c r="AH119" i="1"/>
  <c r="AI119" i="1"/>
  <c r="AG119" i="1"/>
  <c r="AI305" i="1"/>
  <c r="AG305" i="1"/>
  <c r="AH305" i="1"/>
  <c r="AI181" i="1"/>
  <c r="AG181" i="1"/>
  <c r="AH181" i="1"/>
  <c r="AI209" i="1"/>
  <c r="AG209" i="1"/>
  <c r="AH209" i="1"/>
  <c r="AI71" i="1"/>
  <c r="AG71" i="1"/>
  <c r="AH71" i="1"/>
  <c r="AG227" i="1"/>
  <c r="AH227" i="1"/>
  <c r="AI227" i="1"/>
  <c r="AI98" i="1"/>
  <c r="AH98" i="1"/>
  <c r="AG98" i="1"/>
  <c r="AG244" i="1"/>
  <c r="AH244" i="1"/>
  <c r="AI244" i="1"/>
  <c r="AH149" i="1"/>
  <c r="AI149" i="1"/>
  <c r="AG149" i="1"/>
  <c r="AG201" i="1"/>
  <c r="AH201" i="1"/>
  <c r="AI201" i="1"/>
  <c r="AI63" i="1"/>
  <c r="AG63" i="1"/>
  <c r="AH63" i="1"/>
  <c r="AG219" i="1"/>
  <c r="AH219" i="1"/>
  <c r="AI219" i="1"/>
  <c r="AG90" i="1"/>
  <c r="AI90" i="1"/>
  <c r="AH90" i="1"/>
  <c r="AI180" i="1"/>
  <c r="AG180" i="1"/>
  <c r="AH180" i="1"/>
  <c r="AI117" i="1"/>
  <c r="AG117" i="1"/>
  <c r="AH117" i="1"/>
  <c r="AI193" i="1"/>
  <c r="AG193" i="1"/>
  <c r="AH193" i="1"/>
  <c r="AI55" i="1"/>
  <c r="AG55" i="1"/>
  <c r="AH55" i="1"/>
  <c r="AG211" i="1"/>
  <c r="AH211" i="1"/>
  <c r="AI211" i="1"/>
  <c r="AG82" i="1"/>
  <c r="AH82" i="1"/>
  <c r="AI82" i="1"/>
  <c r="AH148" i="1"/>
  <c r="AG148" i="1"/>
  <c r="AI148" i="1"/>
  <c r="AI85" i="1"/>
  <c r="AG85" i="1"/>
  <c r="AH85" i="1"/>
  <c r="AH185" i="1"/>
  <c r="AG185" i="1"/>
  <c r="AI185" i="1"/>
  <c r="AI47" i="1"/>
  <c r="AH47" i="1"/>
  <c r="AG47" i="1"/>
  <c r="AG203" i="1"/>
  <c r="AH203" i="1"/>
  <c r="AI203" i="1"/>
  <c r="AH74" i="1"/>
  <c r="AG74" i="1"/>
  <c r="AI74" i="1"/>
  <c r="AH172" i="1"/>
  <c r="AI172" i="1"/>
  <c r="AG172" i="1"/>
  <c r="AI344" i="1"/>
  <c r="AG344" i="1"/>
  <c r="AH344" i="1"/>
  <c r="AI113" i="1"/>
  <c r="AH113" i="1"/>
  <c r="AG113" i="1"/>
  <c r="AG350" i="1"/>
  <c r="AH350" i="1"/>
  <c r="AI350" i="1"/>
  <c r="AI131" i="1"/>
  <c r="AG131" i="1"/>
  <c r="AH131" i="1"/>
  <c r="AG393" i="1"/>
  <c r="AI393" i="1"/>
  <c r="AH393" i="1"/>
  <c r="AG361" i="1"/>
  <c r="AH361" i="1"/>
  <c r="AI361" i="1"/>
  <c r="AH272" i="1"/>
  <c r="AI272" i="1"/>
  <c r="AG272" i="1"/>
  <c r="AI41" i="1"/>
  <c r="AH41" i="1"/>
  <c r="AG41" i="1"/>
  <c r="AH278" i="1"/>
  <c r="AG278" i="1"/>
  <c r="AI278" i="1"/>
  <c r="AI59" i="1"/>
  <c r="AH59" i="1"/>
  <c r="AG59" i="1"/>
  <c r="AG323" i="1"/>
  <c r="AI323" i="1"/>
  <c r="AH323" i="1"/>
  <c r="AG381" i="1"/>
  <c r="AH381" i="1"/>
  <c r="AI381" i="1"/>
  <c r="AG200" i="1"/>
  <c r="AI200" i="1"/>
  <c r="AH200" i="1"/>
  <c r="AH343" i="1"/>
  <c r="AI343" i="1"/>
  <c r="AG343" i="1"/>
  <c r="AH206" i="1"/>
  <c r="AG206" i="1"/>
  <c r="AI206" i="1"/>
  <c r="AI370" i="1"/>
  <c r="AG370" i="1"/>
  <c r="AH370" i="1"/>
  <c r="AG321" i="1"/>
  <c r="AI321" i="1"/>
  <c r="AH321" i="1"/>
  <c r="AG229" i="1"/>
  <c r="AH229" i="1"/>
  <c r="AI229" i="1"/>
  <c r="AH128" i="1"/>
  <c r="AI128" i="1"/>
  <c r="AG128" i="1"/>
  <c r="AG271" i="1"/>
  <c r="AH271" i="1"/>
  <c r="AI271" i="1"/>
  <c r="AH134" i="1"/>
  <c r="AG134" i="1"/>
  <c r="AI134" i="1"/>
  <c r="AI298" i="1"/>
  <c r="AH298" i="1"/>
  <c r="AG298" i="1"/>
  <c r="AD244" i="1"/>
  <c r="T244" i="1"/>
  <c r="V244" i="1"/>
  <c r="AC244" i="1"/>
  <c r="U244" i="1"/>
  <c r="AD105" i="1"/>
  <c r="U105" i="1"/>
  <c r="V105" i="1"/>
  <c r="AC105" i="1"/>
  <c r="T105" i="1"/>
  <c r="AD356" i="1"/>
  <c r="T356" i="1"/>
  <c r="AC356" i="1"/>
  <c r="U356" i="1"/>
  <c r="V356" i="1"/>
  <c r="AD153" i="1"/>
  <c r="T153" i="1"/>
  <c r="AC153" i="1"/>
  <c r="U153" i="1"/>
  <c r="V153" i="1"/>
  <c r="AD53" i="1"/>
  <c r="T53" i="1"/>
  <c r="U53" i="1"/>
  <c r="AC53" i="1"/>
  <c r="V53" i="1"/>
  <c r="AD288" i="1"/>
  <c r="V288" i="1"/>
  <c r="AC288" i="1"/>
  <c r="U288" i="1"/>
  <c r="T288" i="1"/>
  <c r="AD61" i="1"/>
  <c r="V61" i="1"/>
  <c r="AC61" i="1"/>
  <c r="T61" i="1"/>
  <c r="U61" i="1"/>
  <c r="AD326" i="1"/>
  <c r="V326" i="1"/>
  <c r="U326" i="1"/>
  <c r="T326" i="1"/>
  <c r="AC326" i="1"/>
  <c r="AD83" i="1"/>
  <c r="V83" i="1"/>
  <c r="U83" i="1"/>
  <c r="AC83" i="1"/>
  <c r="T83" i="1"/>
  <c r="AD227" i="1"/>
  <c r="V227" i="1"/>
  <c r="U227" i="1"/>
  <c r="AC227" i="1"/>
  <c r="T227" i="1"/>
  <c r="AD112" i="1"/>
  <c r="U112" i="1"/>
  <c r="V112" i="1"/>
  <c r="T112" i="1"/>
  <c r="AC112" i="1"/>
  <c r="AD222" i="1"/>
  <c r="V222" i="1"/>
  <c r="U222" i="1"/>
  <c r="AC222" i="1"/>
  <c r="T222" i="1"/>
  <c r="AD130" i="1"/>
  <c r="V130" i="1"/>
  <c r="AC130" i="1"/>
  <c r="U130" i="1"/>
  <c r="T130" i="1"/>
  <c r="AD55" i="1"/>
  <c r="AC55" i="1"/>
  <c r="V55" i="1"/>
  <c r="U55" i="1"/>
  <c r="T55" i="1"/>
  <c r="AD294" i="1"/>
  <c r="V294" i="1"/>
  <c r="AC294" i="1"/>
  <c r="U294" i="1"/>
  <c r="T294" i="1"/>
  <c r="AD346" i="1"/>
  <c r="T346" i="1"/>
  <c r="AC346" i="1"/>
  <c r="V346" i="1"/>
  <c r="U346" i="1"/>
  <c r="AD318" i="1"/>
  <c r="V318" i="1"/>
  <c r="AC318" i="1"/>
  <c r="U318" i="1"/>
  <c r="T318" i="1"/>
  <c r="AD347" i="1"/>
  <c r="U347" i="1"/>
  <c r="AC347" i="1"/>
  <c r="V347" i="1"/>
  <c r="T347" i="1"/>
  <c r="AD323" i="1"/>
  <c r="V323" i="1"/>
  <c r="T323" i="1"/>
  <c r="U323" i="1"/>
  <c r="AC323" i="1"/>
  <c r="AD192" i="1"/>
  <c r="AC192" i="1"/>
  <c r="T192" i="1"/>
  <c r="V192" i="1"/>
  <c r="U192" i="1"/>
  <c r="AD107" i="1"/>
  <c r="T107" i="1"/>
  <c r="AC107" i="1"/>
  <c r="U107" i="1"/>
  <c r="V107" i="1"/>
  <c r="AD131" i="1"/>
  <c r="U131" i="1"/>
  <c r="V131" i="1"/>
  <c r="AC131" i="1"/>
  <c r="T131" i="1"/>
  <c r="AD145" i="1"/>
  <c r="T145" i="1"/>
  <c r="U145" i="1"/>
  <c r="AC145" i="1"/>
  <c r="V145" i="1"/>
  <c r="AD260" i="1"/>
  <c r="T260" i="1"/>
  <c r="AC260" i="1"/>
  <c r="V260" i="1"/>
  <c r="U260" i="1"/>
  <c r="AD236" i="1"/>
  <c r="V236" i="1"/>
  <c r="U236" i="1"/>
  <c r="AC236" i="1"/>
  <c r="T236" i="1"/>
  <c r="AD338" i="1"/>
  <c r="AC338" i="1"/>
  <c r="U338" i="1"/>
  <c r="V338" i="1"/>
  <c r="T338" i="1"/>
  <c r="AD304" i="1"/>
  <c r="U304" i="1"/>
  <c r="V304" i="1"/>
  <c r="AC304" i="1"/>
  <c r="T304" i="1"/>
  <c r="AD44" i="1"/>
  <c r="U44" i="1"/>
  <c r="AC44" i="1"/>
  <c r="T44" i="1"/>
  <c r="V44" i="1"/>
  <c r="AD225" i="1"/>
  <c r="V225" i="1"/>
  <c r="AC225" i="1"/>
  <c r="T225" i="1"/>
  <c r="U225" i="1"/>
  <c r="AD118" i="1"/>
  <c r="V118" i="1"/>
  <c r="U118" i="1"/>
  <c r="T118" i="1"/>
  <c r="AC118" i="1"/>
  <c r="AD296" i="1"/>
  <c r="T296" i="1"/>
  <c r="U296" i="1"/>
  <c r="AC296" i="1"/>
  <c r="V296" i="1"/>
  <c r="AD285" i="1"/>
  <c r="V285" i="1"/>
  <c r="AC285" i="1"/>
  <c r="T285" i="1"/>
  <c r="U285" i="1"/>
  <c r="AD389" i="1"/>
  <c r="T389" i="1"/>
  <c r="AC389" i="1"/>
  <c r="V389" i="1"/>
  <c r="U389" i="1"/>
  <c r="AD204" i="1"/>
  <c r="V204" i="1"/>
  <c r="AC204" i="1"/>
  <c r="U204" i="1"/>
  <c r="T204" i="1"/>
  <c r="AD115" i="1"/>
  <c r="T115" i="1"/>
  <c r="AC115" i="1"/>
  <c r="V115" i="1"/>
  <c r="U115" i="1"/>
  <c r="AD158" i="1"/>
  <c r="U158" i="1"/>
  <c r="AC158" i="1"/>
  <c r="V158" i="1"/>
  <c r="T158" i="1"/>
  <c r="AD276" i="1"/>
  <c r="U276" i="1"/>
  <c r="AC276" i="1"/>
  <c r="V276" i="1"/>
  <c r="T276" i="1"/>
  <c r="AD267" i="1"/>
  <c r="U267" i="1"/>
  <c r="AC267" i="1"/>
  <c r="T267" i="1"/>
  <c r="V267" i="1"/>
  <c r="AD237" i="1"/>
  <c r="T237" i="1"/>
  <c r="V237" i="1"/>
  <c r="AC237" i="1"/>
  <c r="U237" i="1"/>
  <c r="AD94" i="1"/>
  <c r="T94" i="1"/>
  <c r="AC94" i="1"/>
  <c r="V94" i="1"/>
  <c r="U94" i="1"/>
  <c r="AD306" i="1"/>
  <c r="T306" i="1"/>
  <c r="AC306" i="1"/>
  <c r="V306" i="1"/>
  <c r="U306" i="1"/>
  <c r="AD266" i="1"/>
  <c r="AC266" i="1"/>
  <c r="T266" i="1"/>
  <c r="U266" i="1"/>
  <c r="V266" i="1"/>
  <c r="AD136" i="1"/>
  <c r="V136" i="1"/>
  <c r="AC136" i="1"/>
  <c r="T136" i="1"/>
  <c r="U136" i="1"/>
  <c r="AD33" i="1"/>
  <c r="U33" i="1"/>
  <c r="T33" i="1"/>
  <c r="AC33" i="1"/>
  <c r="V33" i="1"/>
  <c r="AD69" i="1"/>
  <c r="T69" i="1"/>
  <c r="AC69" i="1"/>
  <c r="V69" i="1"/>
  <c r="U69" i="1"/>
  <c r="T177" i="1"/>
  <c r="U177" i="1"/>
  <c r="V177" i="1"/>
  <c r="AD177" i="1"/>
  <c r="AC177" i="1"/>
  <c r="V329" i="1"/>
  <c r="AD329" i="1"/>
  <c r="U329" i="1"/>
  <c r="AC329" i="1"/>
  <c r="T329" i="1"/>
  <c r="AH44" i="1"/>
  <c r="AG44" i="1"/>
  <c r="AI44" i="1"/>
  <c r="AI91" i="1"/>
  <c r="AG91" i="1"/>
  <c r="AH91" i="1"/>
  <c r="AH302" i="1"/>
  <c r="AI302" i="1"/>
  <c r="AG302" i="1"/>
  <c r="AI75" i="1"/>
  <c r="AG75" i="1"/>
  <c r="AH75" i="1"/>
  <c r="AH144" i="1"/>
  <c r="AI144" i="1"/>
  <c r="AG144" i="1"/>
  <c r="AH72" i="1"/>
  <c r="AG72" i="1"/>
  <c r="AI72" i="1"/>
  <c r="AI143" i="1"/>
  <c r="AG143" i="1"/>
  <c r="AH143" i="1"/>
  <c r="AG391" i="1"/>
  <c r="AH391" i="1"/>
  <c r="AI391" i="1"/>
  <c r="AG240" i="1"/>
  <c r="AH240" i="1"/>
  <c r="AI240" i="1"/>
  <c r="AG238" i="1"/>
  <c r="AH238" i="1"/>
  <c r="AI238" i="1"/>
  <c r="AG197" i="1"/>
  <c r="AH197" i="1"/>
  <c r="AI197" i="1"/>
  <c r="AI135" i="1"/>
  <c r="AG135" i="1"/>
  <c r="AH135" i="1"/>
  <c r="AG373" i="1"/>
  <c r="AI373" i="1"/>
  <c r="AH373" i="1"/>
  <c r="AI127" i="1"/>
  <c r="AG127" i="1"/>
  <c r="AH127" i="1"/>
  <c r="AG300" i="1"/>
  <c r="AH300" i="1"/>
  <c r="AI300" i="1"/>
  <c r="AI376" i="1"/>
  <c r="AH376" i="1"/>
  <c r="AG376" i="1"/>
  <c r="AG145" i="1"/>
  <c r="AI145" i="1"/>
  <c r="AH145" i="1"/>
  <c r="AH382" i="1"/>
  <c r="AG382" i="1"/>
  <c r="AI382" i="1"/>
  <c r="AG163" i="1"/>
  <c r="AH163" i="1"/>
  <c r="AI163" i="1"/>
  <c r="AG34" i="1"/>
  <c r="AI34" i="1"/>
  <c r="AH34" i="1"/>
  <c r="AG268" i="1"/>
  <c r="AH268" i="1"/>
  <c r="AI268" i="1"/>
  <c r="AG368" i="1"/>
  <c r="AI368" i="1"/>
  <c r="AH368" i="1"/>
  <c r="AI137" i="1"/>
  <c r="AH137" i="1"/>
  <c r="AG137" i="1"/>
  <c r="AG374" i="1"/>
  <c r="AH374" i="1"/>
  <c r="AI374" i="1"/>
  <c r="AI155" i="1"/>
  <c r="AG155" i="1"/>
  <c r="AH155" i="1"/>
  <c r="AH26" i="1"/>
  <c r="AG26" i="1"/>
  <c r="AI26" i="1"/>
  <c r="AG236" i="1"/>
  <c r="AH236" i="1"/>
  <c r="AI236" i="1"/>
  <c r="AI360" i="1"/>
  <c r="AG360" i="1"/>
  <c r="AH360" i="1"/>
  <c r="AH129" i="1"/>
  <c r="AI129" i="1"/>
  <c r="AG129" i="1"/>
  <c r="AI366" i="1"/>
  <c r="AG366" i="1"/>
  <c r="AH366" i="1"/>
  <c r="AI147" i="1"/>
  <c r="AG147" i="1"/>
  <c r="AH147" i="1"/>
  <c r="AH18" i="1"/>
  <c r="AG18" i="1"/>
  <c r="AI18" i="1"/>
  <c r="AG204" i="1"/>
  <c r="AH204" i="1"/>
  <c r="AI204" i="1"/>
  <c r="AH352" i="1"/>
  <c r="AI352" i="1"/>
  <c r="AG352" i="1"/>
  <c r="AI121" i="1"/>
  <c r="AH121" i="1"/>
  <c r="AG121" i="1"/>
  <c r="AH358" i="1"/>
  <c r="AI358" i="1"/>
  <c r="AG358" i="1"/>
  <c r="AG139" i="1"/>
  <c r="AH139" i="1"/>
  <c r="AI139" i="1"/>
  <c r="AG100" i="1"/>
  <c r="AI100" i="1"/>
  <c r="AH100" i="1"/>
  <c r="AG36" i="1"/>
  <c r="AI36" i="1"/>
  <c r="AH36" i="1"/>
  <c r="AI280" i="1"/>
  <c r="AG280" i="1"/>
  <c r="AH280" i="1"/>
  <c r="AI49" i="1"/>
  <c r="AH49" i="1"/>
  <c r="AG49" i="1"/>
  <c r="AG286" i="1"/>
  <c r="AH286" i="1"/>
  <c r="AI286" i="1"/>
  <c r="AG67" i="1"/>
  <c r="AH67" i="1"/>
  <c r="AI67" i="1"/>
  <c r="AI371" i="1"/>
  <c r="AH371" i="1"/>
  <c r="AG371" i="1"/>
  <c r="AH20" i="1"/>
  <c r="AG20" i="1"/>
  <c r="AI20" i="1"/>
  <c r="AG208" i="1"/>
  <c r="AH208" i="1"/>
  <c r="AI208" i="1"/>
  <c r="AG351" i="1"/>
  <c r="AH351" i="1"/>
  <c r="AI351" i="1"/>
  <c r="AG214" i="1"/>
  <c r="AH214" i="1"/>
  <c r="AI214" i="1"/>
  <c r="AH378" i="1"/>
  <c r="AG378" i="1"/>
  <c r="AI378" i="1"/>
  <c r="AG337" i="1"/>
  <c r="AH337" i="1"/>
  <c r="AI337" i="1"/>
  <c r="AG261" i="1"/>
  <c r="AH261" i="1"/>
  <c r="AI261" i="1"/>
  <c r="AG136" i="1"/>
  <c r="AH136" i="1"/>
  <c r="AI136" i="1"/>
  <c r="AH279" i="1"/>
  <c r="AI279" i="1"/>
  <c r="AG279" i="1"/>
  <c r="AG142" i="1"/>
  <c r="AH142" i="1"/>
  <c r="AI142" i="1"/>
  <c r="AI306" i="1"/>
  <c r="AG306" i="1"/>
  <c r="AH306" i="1"/>
  <c r="AH77" i="1"/>
  <c r="AI77" i="1"/>
  <c r="AG77" i="1"/>
  <c r="AG260" i="1"/>
  <c r="AH260" i="1"/>
  <c r="AI260" i="1"/>
  <c r="AH64" i="1"/>
  <c r="AG64" i="1"/>
  <c r="AI64" i="1"/>
  <c r="AH207" i="1"/>
  <c r="AI207" i="1"/>
  <c r="AG207" i="1"/>
  <c r="AH70" i="1"/>
  <c r="AI70" i="1"/>
  <c r="AG70" i="1"/>
  <c r="AG234" i="1"/>
  <c r="AH234" i="1"/>
  <c r="AI234" i="1"/>
  <c r="AD226" i="1"/>
  <c r="T226" i="1"/>
  <c r="AC226" i="1"/>
  <c r="V226" i="1"/>
  <c r="U226" i="1"/>
  <c r="AD380" i="1"/>
  <c r="U380" i="1"/>
  <c r="V380" i="1"/>
  <c r="AC380" i="1"/>
  <c r="T380" i="1"/>
  <c r="AD168" i="1"/>
  <c r="V168" i="1"/>
  <c r="T168" i="1"/>
  <c r="AC168" i="1"/>
  <c r="U168" i="1"/>
  <c r="AD34" i="1"/>
  <c r="T34" i="1"/>
  <c r="AC34" i="1"/>
  <c r="U34" i="1"/>
  <c r="V34" i="1"/>
  <c r="AD235" i="1"/>
  <c r="V235" i="1"/>
  <c r="U235" i="1"/>
  <c r="AC235" i="1"/>
  <c r="T235" i="1"/>
  <c r="AD43" i="1"/>
  <c r="V43" i="1"/>
  <c r="AC43" i="1"/>
  <c r="U43" i="1"/>
  <c r="T43" i="1"/>
  <c r="AD41" i="1"/>
  <c r="T41" i="1"/>
  <c r="U41" i="1"/>
  <c r="V41" i="1"/>
  <c r="AC41" i="1"/>
  <c r="AD133" i="1"/>
  <c r="T133" i="1"/>
  <c r="AC133" i="1"/>
  <c r="V133" i="1"/>
  <c r="U133" i="1"/>
  <c r="AD249" i="1"/>
  <c r="U249" i="1"/>
  <c r="T249" i="1"/>
  <c r="AC249" i="1"/>
  <c r="V249" i="1"/>
  <c r="AD224" i="1"/>
  <c r="V224" i="1"/>
  <c r="T224" i="1"/>
  <c r="U224" i="1"/>
  <c r="AC224" i="1"/>
  <c r="AD223" i="1"/>
  <c r="U223" i="1"/>
  <c r="T223" i="1"/>
  <c r="V223" i="1"/>
  <c r="AC223" i="1"/>
  <c r="AD268" i="1"/>
  <c r="AC268" i="1"/>
  <c r="T268" i="1"/>
  <c r="V268" i="1"/>
  <c r="U268" i="1"/>
  <c r="AD262" i="1"/>
  <c r="U262" i="1"/>
  <c r="AC262" i="1"/>
  <c r="T262" i="1"/>
  <c r="V262" i="1"/>
  <c r="AD379" i="1"/>
  <c r="U379" i="1"/>
  <c r="AC379" i="1"/>
  <c r="T379" i="1"/>
  <c r="V379" i="1"/>
  <c r="AD167" i="1"/>
  <c r="T167" i="1"/>
  <c r="AC167" i="1"/>
  <c r="V167" i="1"/>
  <c r="U167" i="1"/>
  <c r="AD70" i="1"/>
  <c r="V70" i="1"/>
  <c r="AC70" i="1"/>
  <c r="U70" i="1"/>
  <c r="T70" i="1"/>
  <c r="AD330" i="1"/>
  <c r="T330" i="1"/>
  <c r="AC330" i="1"/>
  <c r="V330" i="1"/>
  <c r="U330" i="1"/>
  <c r="AD214" i="1"/>
  <c r="T214" i="1"/>
  <c r="AC214" i="1"/>
  <c r="U214" i="1"/>
  <c r="V214" i="1"/>
  <c r="AD56" i="1"/>
  <c r="T56" i="1"/>
  <c r="AC56" i="1"/>
  <c r="V56" i="1"/>
  <c r="U56" i="1"/>
  <c r="AD292" i="1"/>
  <c r="T292" i="1"/>
  <c r="AC292" i="1"/>
  <c r="U292" i="1"/>
  <c r="V292" i="1"/>
  <c r="AD307" i="1"/>
  <c r="T307" i="1"/>
  <c r="AC307" i="1"/>
  <c r="V307" i="1"/>
  <c r="U307" i="1"/>
  <c r="T239" i="1"/>
  <c r="U239" i="1"/>
  <c r="AC239" i="1"/>
  <c r="V239" i="1"/>
  <c r="AD239" i="1"/>
  <c r="AD331" i="1"/>
  <c r="U331" i="1"/>
  <c r="V331" i="1"/>
  <c r="AC331" i="1"/>
  <c r="T331" i="1"/>
  <c r="AD383" i="1"/>
  <c r="T383" i="1"/>
  <c r="AC383" i="1"/>
  <c r="U383" i="1"/>
  <c r="V383" i="1"/>
  <c r="AD193" i="1"/>
  <c r="U193" i="1"/>
  <c r="AC193" i="1"/>
  <c r="T193" i="1"/>
  <c r="V193" i="1"/>
  <c r="AD238" i="1"/>
  <c r="V238" i="1"/>
  <c r="U238" i="1"/>
  <c r="AC238" i="1"/>
  <c r="T238" i="1"/>
  <c r="AD392" i="1"/>
  <c r="U392" i="1"/>
  <c r="AC392" i="1"/>
  <c r="V392" i="1"/>
  <c r="T392" i="1"/>
  <c r="AD376" i="1"/>
  <c r="U376" i="1"/>
  <c r="AC376" i="1"/>
  <c r="T376" i="1"/>
  <c r="V376" i="1"/>
  <c r="AD134" i="1"/>
  <c r="V134" i="1"/>
  <c r="AC134" i="1"/>
  <c r="T134" i="1"/>
  <c r="U134" i="1"/>
  <c r="AD161" i="1"/>
  <c r="U161" i="1"/>
  <c r="V161" i="1"/>
  <c r="AC161" i="1"/>
  <c r="T161" i="1"/>
  <c r="AD272" i="1"/>
  <c r="T272" i="1"/>
  <c r="U272" i="1"/>
  <c r="V272" i="1"/>
  <c r="AC272" i="1"/>
  <c r="AD135" i="1"/>
  <c r="T135" i="1"/>
  <c r="AC135" i="1"/>
  <c r="V135" i="1"/>
  <c r="U135" i="1"/>
  <c r="AD314" i="1"/>
  <c r="T314" i="1"/>
  <c r="AC314" i="1"/>
  <c r="U314" i="1"/>
  <c r="V314" i="1"/>
  <c r="AD77" i="1"/>
  <c r="V77" i="1"/>
  <c r="AC77" i="1"/>
  <c r="T77" i="1"/>
  <c r="U77" i="1"/>
  <c r="AD170" i="1"/>
  <c r="T170" i="1"/>
  <c r="AC170" i="1"/>
  <c r="U170" i="1"/>
  <c r="V170" i="1"/>
  <c r="AD181" i="1"/>
  <c r="V181" i="1"/>
  <c r="AC181" i="1"/>
  <c r="U181" i="1"/>
  <c r="T181" i="1"/>
  <c r="AD265" i="1"/>
  <c r="T265" i="1"/>
  <c r="V265" i="1"/>
  <c r="AC265" i="1"/>
  <c r="U265" i="1"/>
  <c r="AD261" i="1"/>
  <c r="AC261" i="1"/>
  <c r="U261" i="1"/>
  <c r="V261" i="1"/>
  <c r="T261" i="1"/>
  <c r="AD95" i="1"/>
  <c r="U95" i="1"/>
  <c r="V95" i="1"/>
  <c r="T95" i="1"/>
  <c r="AC95" i="1"/>
  <c r="AD319" i="1"/>
  <c r="T319" i="1"/>
  <c r="AC319" i="1"/>
  <c r="U319" i="1"/>
  <c r="V319" i="1"/>
  <c r="AD271" i="1"/>
  <c r="U271" i="1"/>
  <c r="AC271" i="1"/>
  <c r="T271" i="1"/>
  <c r="V271" i="1"/>
  <c r="AD42" i="1"/>
  <c r="U42" i="1"/>
  <c r="AC42" i="1"/>
  <c r="V42" i="1"/>
  <c r="T42" i="1"/>
  <c r="AD290" i="1"/>
  <c r="AC290" i="1"/>
  <c r="V290" i="1"/>
  <c r="U290" i="1"/>
  <c r="T290" i="1"/>
  <c r="AD119" i="1"/>
  <c r="V119" i="1"/>
  <c r="AC119" i="1"/>
  <c r="T119" i="1"/>
  <c r="U119" i="1"/>
  <c r="AD232" i="1"/>
  <c r="T232" i="1"/>
  <c r="U232" i="1"/>
  <c r="AC232" i="1"/>
  <c r="V232" i="1"/>
  <c r="V108" i="1"/>
  <c r="U108" i="1"/>
  <c r="AD108" i="1"/>
  <c r="AC108" i="1"/>
  <c r="T108" i="1"/>
  <c r="U176" i="1"/>
  <c r="AD176" i="1"/>
  <c r="T176" i="1"/>
  <c r="AC176" i="1"/>
  <c r="V176" i="1"/>
  <c r="AD279" i="1"/>
  <c r="T279" i="1"/>
  <c r="AC279" i="1"/>
  <c r="U279" i="1"/>
  <c r="V279" i="1"/>
  <c r="AD301" i="1"/>
  <c r="AC301" i="1"/>
  <c r="V301" i="1"/>
  <c r="U301" i="1"/>
  <c r="T301" i="1"/>
  <c r="U28" i="1"/>
  <c r="AD28" i="1"/>
  <c r="T28" i="1"/>
  <c r="V28" i="1"/>
  <c r="AC28" i="1"/>
  <c r="AD87" i="1"/>
  <c r="V87" i="1"/>
  <c r="AC87" i="1"/>
  <c r="T87" i="1"/>
  <c r="U87" i="1"/>
  <c r="V36" i="1"/>
  <c r="U36" i="1"/>
  <c r="AD36" i="1"/>
  <c r="T36" i="1"/>
  <c r="AC36" i="1"/>
  <c r="AD355" i="1"/>
  <c r="U355" i="1"/>
  <c r="AC355" i="1"/>
  <c r="T355" i="1"/>
  <c r="V355" i="1"/>
  <c r="AD316" i="1"/>
  <c r="V316" i="1"/>
  <c r="T316" i="1"/>
  <c r="AC316" i="1"/>
  <c r="U316" i="1"/>
  <c r="AD186" i="1"/>
  <c r="V186" i="1"/>
  <c r="AC186" i="1"/>
  <c r="U186" i="1"/>
  <c r="T186" i="1"/>
  <c r="AD353" i="1"/>
  <c r="U353" i="1"/>
  <c r="AC353" i="1"/>
  <c r="V353" i="1"/>
  <c r="T353" i="1"/>
  <c r="AD124" i="1"/>
  <c r="U124" i="1"/>
  <c r="T124" i="1"/>
  <c r="V124" i="1"/>
  <c r="AC124" i="1"/>
  <c r="AD144" i="1"/>
  <c r="T144" i="1"/>
  <c r="U144" i="1"/>
  <c r="AC144" i="1"/>
  <c r="V144" i="1"/>
  <c r="AD66" i="1"/>
  <c r="U66" i="1"/>
  <c r="T66" i="1"/>
  <c r="V66" i="1"/>
  <c r="AC66" i="1"/>
  <c r="AD241" i="1"/>
  <c r="T241" i="1"/>
  <c r="V241" i="1"/>
  <c r="AC241" i="1"/>
  <c r="U241" i="1"/>
  <c r="AD310" i="1"/>
  <c r="V310" i="1"/>
  <c r="AC310" i="1"/>
  <c r="T310" i="1"/>
  <c r="U310" i="1"/>
  <c r="AD171" i="1"/>
  <c r="T171" i="1"/>
  <c r="V171" i="1"/>
  <c r="U171" i="1"/>
  <c r="AC171" i="1"/>
  <c r="AD74" i="1"/>
  <c r="U74" i="1"/>
  <c r="T74" i="1"/>
  <c r="AC74" i="1"/>
  <c r="V74" i="1"/>
  <c r="AD73" i="1"/>
  <c r="T73" i="1"/>
  <c r="AC73" i="1"/>
  <c r="U73" i="1"/>
  <c r="V73" i="1"/>
  <c r="AD259" i="1"/>
  <c r="V259" i="1"/>
  <c r="AC259" i="1"/>
  <c r="U259" i="1"/>
  <c r="T259" i="1"/>
  <c r="AD286" i="1"/>
  <c r="V286" i="1"/>
  <c r="U286" i="1"/>
  <c r="T286" i="1"/>
  <c r="AC286" i="1"/>
  <c r="AD104" i="1"/>
  <c r="T104" i="1"/>
  <c r="AC104" i="1"/>
  <c r="U104" i="1"/>
  <c r="V104" i="1"/>
  <c r="U155" i="1"/>
  <c r="T155" i="1"/>
  <c r="AC155" i="1"/>
  <c r="V155" i="1"/>
  <c r="AD155" i="1"/>
  <c r="U72" i="1"/>
  <c r="T72" i="1"/>
  <c r="AC72" i="1"/>
  <c r="V72" i="1"/>
  <c r="AD72" i="1"/>
  <c r="AD325" i="1"/>
  <c r="V325" i="1"/>
  <c r="T325" i="1"/>
  <c r="AC325" i="1"/>
  <c r="U325" i="1"/>
  <c r="AD172" i="1"/>
  <c r="T172" i="1"/>
  <c r="AC172" i="1"/>
  <c r="V172" i="1"/>
  <c r="U172" i="1"/>
  <c r="AD75" i="1"/>
  <c r="V75" i="1"/>
  <c r="AC75" i="1"/>
  <c r="T75" i="1"/>
  <c r="U75" i="1"/>
  <c r="AD19" i="1"/>
  <c r="T19" i="1"/>
  <c r="AC19" i="1"/>
  <c r="V19" i="1"/>
  <c r="U19" i="1"/>
  <c r="AD68" i="1"/>
  <c r="T68" i="1"/>
  <c r="AC68" i="1"/>
  <c r="V68" i="1"/>
  <c r="U68" i="1"/>
  <c r="AD366" i="1"/>
  <c r="U366" i="1"/>
  <c r="AC366" i="1"/>
  <c r="T366" i="1"/>
  <c r="V366" i="1"/>
  <c r="AD82" i="1"/>
  <c r="U82" i="1"/>
  <c r="AC82" i="1"/>
  <c r="T82" i="1"/>
  <c r="V82" i="1"/>
  <c r="AD25" i="1"/>
  <c r="T25" i="1"/>
  <c r="AC25" i="1"/>
  <c r="V25" i="1"/>
  <c r="U25" i="1"/>
  <c r="AD128" i="1"/>
  <c r="V128" i="1"/>
  <c r="U128" i="1"/>
  <c r="AC128" i="1"/>
  <c r="T128" i="1"/>
  <c r="AD382" i="1"/>
  <c r="V382" i="1"/>
  <c r="AC382" i="1"/>
  <c r="T382" i="1"/>
  <c r="U382" i="1"/>
  <c r="AD213" i="1"/>
  <c r="T213" i="1"/>
  <c r="AC213" i="1"/>
  <c r="U213" i="1"/>
  <c r="V213" i="1"/>
  <c r="AD196" i="1"/>
  <c r="U196" i="1"/>
  <c r="AC196" i="1"/>
  <c r="V196" i="1"/>
  <c r="T196" i="1"/>
  <c r="AD275" i="1"/>
  <c r="V275" i="1"/>
  <c r="AC275" i="1"/>
  <c r="U275" i="1"/>
  <c r="T275" i="1"/>
  <c r="AD101" i="1"/>
  <c r="T101" i="1"/>
  <c r="AC101" i="1"/>
  <c r="U101" i="1"/>
  <c r="V101" i="1"/>
  <c r="AD174" i="1"/>
  <c r="V174" i="1"/>
  <c r="AC174" i="1"/>
  <c r="T174" i="1"/>
  <c r="U174" i="1"/>
  <c r="AD250" i="1"/>
  <c r="T250" i="1"/>
  <c r="AC250" i="1"/>
  <c r="V250" i="1"/>
  <c r="U250" i="1"/>
  <c r="AD327" i="1"/>
  <c r="T327" i="1"/>
  <c r="AC327" i="1"/>
  <c r="V327" i="1"/>
  <c r="U327" i="1"/>
  <c r="AD209" i="1"/>
  <c r="V209" i="1"/>
  <c r="U209" i="1"/>
  <c r="AC209" i="1"/>
  <c r="T209" i="1"/>
  <c r="AD138" i="1"/>
  <c r="T138" i="1"/>
  <c r="AC138" i="1"/>
  <c r="V138" i="1"/>
  <c r="U138" i="1"/>
  <c r="AD360" i="1"/>
  <c r="V360" i="1"/>
  <c r="AC360" i="1"/>
  <c r="U360" i="1"/>
  <c r="T360" i="1"/>
  <c r="AD343" i="1"/>
  <c r="T343" i="1"/>
  <c r="AC343" i="1"/>
  <c r="U343" i="1"/>
  <c r="V343" i="1"/>
  <c r="AD109" i="1"/>
  <c r="T109" i="1"/>
  <c r="AC109" i="1"/>
  <c r="U109" i="1"/>
  <c r="V109" i="1"/>
  <c r="U141" i="1"/>
  <c r="T141" i="1"/>
  <c r="AD141" i="1"/>
  <c r="AC141" i="1"/>
  <c r="V141" i="1"/>
  <c r="AD269" i="1"/>
  <c r="U269" i="1"/>
  <c r="V269" i="1"/>
  <c r="AC269" i="1"/>
  <c r="T269" i="1"/>
  <c r="U291" i="1"/>
  <c r="AD291" i="1"/>
  <c r="T291" i="1"/>
  <c r="V291" i="1"/>
  <c r="AC291" i="1"/>
  <c r="AI99" i="1"/>
  <c r="AG99" i="1"/>
  <c r="AH99" i="1"/>
  <c r="AI83" i="1"/>
  <c r="AG83" i="1"/>
  <c r="AH83" i="1"/>
  <c r="AG216" i="1"/>
  <c r="AI216" i="1"/>
  <c r="AH216" i="1"/>
  <c r="AI150" i="1"/>
  <c r="AG150" i="1"/>
  <c r="AH150" i="1"/>
  <c r="AG242" i="1"/>
  <c r="AH242" i="1"/>
  <c r="AI242" i="1"/>
  <c r="AG254" i="1"/>
  <c r="AH254" i="1"/>
  <c r="AI254" i="1"/>
  <c r="AG284" i="1"/>
  <c r="AH284" i="1"/>
  <c r="AI284" i="1"/>
  <c r="AG156" i="1"/>
  <c r="AH156" i="1"/>
  <c r="AI156" i="1"/>
  <c r="AG224" i="1"/>
  <c r="AI224" i="1"/>
  <c r="AH224" i="1"/>
  <c r="AG367" i="1"/>
  <c r="AH367" i="1"/>
  <c r="AI367" i="1"/>
  <c r="AG230" i="1"/>
  <c r="AH230" i="1"/>
  <c r="AI230" i="1"/>
  <c r="AI394" i="1"/>
  <c r="AG394" i="1"/>
  <c r="AH394" i="1"/>
  <c r="AH369" i="1"/>
  <c r="AG369" i="1"/>
  <c r="AI369" i="1"/>
  <c r="AH316" i="1"/>
  <c r="AI316" i="1"/>
  <c r="AG316" i="1"/>
  <c r="AH152" i="1"/>
  <c r="AI152" i="1"/>
  <c r="AG152" i="1"/>
  <c r="AG295" i="1"/>
  <c r="AH295" i="1"/>
  <c r="AI295" i="1"/>
  <c r="AG158" i="1"/>
  <c r="AH158" i="1"/>
  <c r="AI158" i="1"/>
  <c r="AI322" i="1"/>
  <c r="AG322" i="1"/>
  <c r="AH322" i="1"/>
  <c r="AI141" i="1"/>
  <c r="AH141" i="1"/>
  <c r="AG141" i="1"/>
  <c r="AI37" i="1"/>
  <c r="AH37" i="1"/>
  <c r="AG37" i="1"/>
  <c r="AH80" i="1"/>
  <c r="AG80" i="1"/>
  <c r="AI80" i="1"/>
  <c r="AH223" i="1"/>
  <c r="AI223" i="1"/>
  <c r="AG223" i="1"/>
  <c r="AI86" i="1"/>
  <c r="AG86" i="1"/>
  <c r="AH86" i="1"/>
  <c r="AG250" i="1"/>
  <c r="AH250" i="1"/>
  <c r="AI250" i="1"/>
  <c r="AH313" i="1"/>
  <c r="AI313" i="1"/>
  <c r="AG313" i="1"/>
  <c r="AG124" i="1"/>
  <c r="AH124" i="1"/>
  <c r="AI124" i="1"/>
  <c r="AI289" i="1"/>
  <c r="AG289" i="1"/>
  <c r="AH289" i="1"/>
  <c r="AG151" i="1"/>
  <c r="AH151" i="1"/>
  <c r="AI151" i="1"/>
  <c r="AH307" i="1"/>
  <c r="AI307" i="1"/>
  <c r="AG307" i="1"/>
  <c r="AI178" i="1"/>
  <c r="AH178" i="1"/>
  <c r="AG178" i="1"/>
  <c r="AG339" i="1"/>
  <c r="AH339" i="1"/>
  <c r="AI339" i="1"/>
  <c r="AI213" i="1"/>
  <c r="AH213" i="1"/>
  <c r="AG213" i="1"/>
  <c r="AG217" i="1"/>
  <c r="AI217" i="1"/>
  <c r="AH217" i="1"/>
  <c r="AG79" i="1"/>
  <c r="AI79" i="1"/>
  <c r="AH79" i="1"/>
  <c r="AH235" i="1"/>
  <c r="AI235" i="1"/>
  <c r="AG235" i="1"/>
  <c r="AG106" i="1"/>
  <c r="AH106" i="1"/>
  <c r="AI106" i="1"/>
  <c r="AD162" i="1"/>
  <c r="T162" i="1"/>
  <c r="AC162" i="1"/>
  <c r="V162" i="1"/>
  <c r="U162" i="1"/>
  <c r="AD29" i="1"/>
  <c r="U29" i="1"/>
  <c r="AC29" i="1"/>
  <c r="T29" i="1"/>
  <c r="V29" i="1"/>
  <c r="AD63" i="1"/>
  <c r="V63" i="1"/>
  <c r="AC63" i="1"/>
  <c r="U63" i="1"/>
  <c r="T63" i="1"/>
  <c r="AD395" i="1"/>
  <c r="V395" i="1"/>
  <c r="U395" i="1"/>
  <c r="AC395" i="1"/>
  <c r="T395" i="1"/>
  <c r="AD211" i="1"/>
  <c r="U211" i="1"/>
  <c r="T211" i="1"/>
  <c r="V211" i="1"/>
  <c r="AC211" i="1"/>
  <c r="AD284" i="1"/>
  <c r="U284" i="1"/>
  <c r="V284" i="1"/>
  <c r="T284" i="1"/>
  <c r="AC284" i="1"/>
  <c r="AD352" i="1"/>
  <c r="V352" i="1"/>
  <c r="AC352" i="1"/>
  <c r="T352" i="1"/>
  <c r="U352" i="1"/>
  <c r="AD20" i="1"/>
  <c r="U20" i="1"/>
  <c r="T20" i="1"/>
  <c r="AC20" i="1"/>
  <c r="V20" i="1"/>
  <c r="AD364" i="1"/>
  <c r="V364" i="1"/>
  <c r="AC364" i="1"/>
  <c r="T364" i="1"/>
  <c r="U364" i="1"/>
  <c r="AD358" i="1"/>
  <c r="V358" i="1"/>
  <c r="AC358" i="1"/>
  <c r="U358" i="1"/>
  <c r="T358" i="1"/>
  <c r="AD293" i="1"/>
  <c r="T293" i="1"/>
  <c r="AC293" i="1"/>
  <c r="V293" i="1"/>
  <c r="U293" i="1"/>
  <c r="AD38" i="1"/>
  <c r="V38" i="1"/>
  <c r="T38" i="1"/>
  <c r="AC38" i="1"/>
  <c r="U38" i="1"/>
  <c r="AD198" i="1"/>
  <c r="V198" i="1"/>
  <c r="AC198" i="1"/>
  <c r="U198" i="1"/>
  <c r="T198" i="1"/>
  <c r="AD313" i="1"/>
  <c r="U313" i="1"/>
  <c r="T313" i="1"/>
  <c r="V313" i="1"/>
  <c r="AC313" i="1"/>
  <c r="AD216" i="1"/>
  <c r="T216" i="1"/>
  <c r="V216" i="1"/>
  <c r="AC216" i="1"/>
  <c r="U216" i="1"/>
  <c r="AD76" i="1"/>
  <c r="T76" i="1"/>
  <c r="AC76" i="1"/>
  <c r="U76" i="1"/>
  <c r="V76" i="1"/>
  <c r="AD195" i="1"/>
  <c r="T195" i="1"/>
  <c r="AC195" i="1"/>
  <c r="U195" i="1"/>
  <c r="V195" i="1"/>
  <c r="AD217" i="1"/>
  <c r="T217" i="1"/>
  <c r="AC217" i="1"/>
  <c r="V217" i="1"/>
  <c r="U217" i="1"/>
  <c r="AD367" i="1"/>
  <c r="V367" i="1"/>
  <c r="U367" i="1"/>
  <c r="T367" i="1"/>
  <c r="AC367" i="1"/>
  <c r="AD71" i="1"/>
  <c r="V71" i="1"/>
  <c r="T71" i="1"/>
  <c r="AC71" i="1"/>
  <c r="U71" i="1"/>
  <c r="AD212" i="1"/>
  <c r="V212" i="1"/>
  <c r="AC212" i="1"/>
  <c r="U212" i="1"/>
  <c r="T212" i="1"/>
  <c r="U22" i="1"/>
  <c r="AD22" i="1"/>
  <c r="V22" i="1"/>
  <c r="T22" i="1"/>
  <c r="AC22" i="1"/>
  <c r="V303" i="1"/>
  <c r="AD303" i="1"/>
  <c r="T303" i="1"/>
  <c r="U303" i="1"/>
  <c r="AC303" i="1"/>
  <c r="AD116" i="1"/>
  <c r="U116" i="1"/>
  <c r="T116" i="1"/>
  <c r="V116" i="1"/>
  <c r="AC116" i="1"/>
  <c r="AD129" i="1"/>
  <c r="U129" i="1"/>
  <c r="AC129" i="1"/>
  <c r="V129" i="1"/>
  <c r="T129" i="1"/>
  <c r="AD203" i="1"/>
  <c r="T203" i="1"/>
  <c r="AC203" i="1"/>
  <c r="U203" i="1"/>
  <c r="V203" i="1"/>
  <c r="AD377" i="1"/>
  <c r="V377" i="1"/>
  <c r="T377" i="1"/>
  <c r="U377" i="1"/>
  <c r="AC377" i="1"/>
  <c r="AD191" i="1"/>
  <c r="T191" i="1"/>
  <c r="AC191" i="1"/>
  <c r="U191" i="1"/>
  <c r="V191" i="1"/>
  <c r="AD93" i="1"/>
  <c r="V93" i="1"/>
  <c r="AC93" i="1"/>
  <c r="T93" i="1"/>
  <c r="U93" i="1"/>
  <c r="AD391" i="1"/>
  <c r="V391" i="1"/>
  <c r="AC391" i="1"/>
  <c r="T391" i="1"/>
  <c r="U391" i="1"/>
  <c r="AD368" i="1"/>
  <c r="V368" i="1"/>
  <c r="T368" i="1"/>
  <c r="AC368" i="1"/>
  <c r="U368" i="1"/>
  <c r="AD228" i="1"/>
  <c r="V228" i="1"/>
  <c r="AC228" i="1"/>
  <c r="U228" i="1"/>
  <c r="T228" i="1"/>
  <c r="AD127" i="1"/>
  <c r="AC127" i="1"/>
  <c r="U127" i="1"/>
  <c r="V127" i="1"/>
  <c r="T127" i="1"/>
  <c r="AD337" i="1"/>
  <c r="T337" i="1"/>
  <c r="AC337" i="1"/>
  <c r="V337" i="1"/>
  <c r="U337" i="1"/>
  <c r="AD230" i="1"/>
  <c r="V230" i="1"/>
  <c r="AC230" i="1"/>
  <c r="T230" i="1"/>
  <c r="U230" i="1"/>
  <c r="AD359" i="1"/>
  <c r="V359" i="1"/>
  <c r="U359" i="1"/>
  <c r="AC359" i="1"/>
  <c r="T359" i="1"/>
  <c r="AD64" i="1"/>
  <c r="T64" i="1"/>
  <c r="AC64" i="1"/>
  <c r="V64" i="1"/>
  <c r="U64" i="1"/>
  <c r="AD274" i="1"/>
  <c r="V274" i="1"/>
  <c r="AC274" i="1"/>
  <c r="U274" i="1"/>
  <c r="T274" i="1"/>
  <c r="AD85" i="1"/>
  <c r="AC85" i="1"/>
  <c r="T85" i="1"/>
  <c r="U85" i="1"/>
  <c r="V85" i="1"/>
  <c r="AD247" i="1"/>
  <c r="AC247" i="1"/>
  <c r="U247" i="1"/>
  <c r="V247" i="1"/>
  <c r="T247" i="1"/>
  <c r="AD394" i="1"/>
  <c r="AC394" i="1"/>
  <c r="V394" i="1"/>
  <c r="U394" i="1"/>
  <c r="T394" i="1"/>
  <c r="AC357" i="1"/>
  <c r="U357" i="1"/>
  <c r="AD357" i="1"/>
  <c r="T357" i="1"/>
  <c r="V357" i="1"/>
  <c r="AD201" i="1"/>
  <c r="AC201" i="1"/>
  <c r="V201" i="1"/>
  <c r="T201" i="1"/>
  <c r="U201" i="1"/>
  <c r="AD157" i="1"/>
  <c r="T157" i="1"/>
  <c r="AC157" i="1"/>
  <c r="V157" i="1"/>
  <c r="U157" i="1"/>
  <c r="AC31" i="1"/>
  <c r="U31" i="1"/>
  <c r="AD31" i="1"/>
  <c r="V31" i="1"/>
  <c r="T31" i="1"/>
  <c r="V384" i="1"/>
  <c r="U384" i="1"/>
  <c r="T384" i="1"/>
  <c r="AD384" i="1"/>
  <c r="AC384" i="1"/>
  <c r="U370" i="1"/>
  <c r="AC370" i="1"/>
  <c r="T370" i="1"/>
  <c r="AD370" i="1"/>
  <c r="V370" i="1"/>
  <c r="V280" i="1"/>
  <c r="AC280" i="1"/>
  <c r="T280" i="1"/>
  <c r="AD280" i="1"/>
  <c r="U280" i="1"/>
  <c r="AG318" i="1"/>
  <c r="AH318" i="1"/>
  <c r="AI318" i="1"/>
  <c r="AI73" i="1"/>
  <c r="AH73" i="1"/>
  <c r="AG73" i="1"/>
  <c r="AI65" i="1"/>
  <c r="AG65" i="1"/>
  <c r="AH65" i="1"/>
  <c r="AG57" i="1"/>
  <c r="AI57" i="1"/>
  <c r="AH57" i="1"/>
  <c r="AG359" i="1"/>
  <c r="AI359" i="1"/>
  <c r="AH359" i="1"/>
  <c r="AH287" i="1"/>
  <c r="AI287" i="1"/>
  <c r="AG287" i="1"/>
  <c r="AH78" i="1"/>
  <c r="AI78" i="1"/>
  <c r="AG78" i="1"/>
  <c r="AI170" i="1"/>
  <c r="AG170" i="1"/>
  <c r="AH170" i="1"/>
  <c r="AI35" i="1"/>
  <c r="AG35" i="1"/>
  <c r="AH35" i="1"/>
  <c r="AI27" i="1"/>
  <c r="AH27" i="1"/>
  <c r="AG27" i="1"/>
  <c r="AI19" i="1"/>
  <c r="AH19" i="1"/>
  <c r="AG19" i="1"/>
  <c r="AG327" i="1"/>
  <c r="AH327" i="1"/>
  <c r="AI327" i="1"/>
  <c r="AG190" i="1"/>
  <c r="AH190" i="1"/>
  <c r="AI190" i="1"/>
  <c r="AI354" i="1"/>
  <c r="AG354" i="1"/>
  <c r="AH354" i="1"/>
  <c r="AG116" i="1"/>
  <c r="AI116" i="1"/>
  <c r="AH116" i="1"/>
  <c r="AI364" i="1"/>
  <c r="AG364" i="1"/>
  <c r="AH364" i="1"/>
  <c r="AH176" i="1"/>
  <c r="AG176" i="1"/>
  <c r="AI176" i="1"/>
  <c r="AG319" i="1"/>
  <c r="AH319" i="1"/>
  <c r="AI319" i="1"/>
  <c r="AG182" i="1"/>
  <c r="AH182" i="1"/>
  <c r="AI182" i="1"/>
  <c r="AH346" i="1"/>
  <c r="AG346" i="1"/>
  <c r="AI346" i="1"/>
  <c r="AH52" i="1"/>
  <c r="AG52" i="1"/>
  <c r="AI52" i="1"/>
  <c r="AG348" i="1"/>
  <c r="AH348" i="1"/>
  <c r="AI348" i="1"/>
  <c r="AG168" i="1"/>
  <c r="AH168" i="1"/>
  <c r="AI168" i="1"/>
  <c r="AG311" i="1"/>
  <c r="AH311" i="1"/>
  <c r="AI311" i="1"/>
  <c r="AG174" i="1"/>
  <c r="AH174" i="1"/>
  <c r="AI174" i="1"/>
  <c r="AI338" i="1"/>
  <c r="AH338" i="1"/>
  <c r="AG338" i="1"/>
  <c r="AG385" i="1"/>
  <c r="AH385" i="1"/>
  <c r="AI385" i="1"/>
  <c r="AH332" i="1"/>
  <c r="AI332" i="1"/>
  <c r="AG332" i="1"/>
  <c r="AH160" i="1"/>
  <c r="AG160" i="1"/>
  <c r="AI160" i="1"/>
  <c r="AG303" i="1"/>
  <c r="AH303" i="1"/>
  <c r="AI303" i="1"/>
  <c r="AH166" i="1"/>
  <c r="AI166" i="1"/>
  <c r="AG166" i="1"/>
  <c r="AG330" i="1"/>
  <c r="AH330" i="1"/>
  <c r="AI330" i="1"/>
  <c r="AG173" i="1"/>
  <c r="AH173" i="1"/>
  <c r="AI173" i="1"/>
  <c r="AI69" i="1"/>
  <c r="AH69" i="1"/>
  <c r="AG69" i="1"/>
  <c r="AG88" i="1"/>
  <c r="AH88" i="1"/>
  <c r="AI88" i="1"/>
  <c r="AH231" i="1"/>
  <c r="AI231" i="1"/>
  <c r="AG231" i="1"/>
  <c r="AG94" i="1"/>
  <c r="AH94" i="1"/>
  <c r="AI94" i="1"/>
  <c r="AG258" i="1"/>
  <c r="AH258" i="1"/>
  <c r="AI258" i="1"/>
  <c r="AG377" i="1"/>
  <c r="AH377" i="1"/>
  <c r="AI377" i="1"/>
  <c r="AG252" i="1"/>
  <c r="AH252" i="1"/>
  <c r="AI252" i="1"/>
  <c r="AI297" i="1"/>
  <c r="AG297" i="1"/>
  <c r="AH297" i="1"/>
  <c r="AI159" i="1"/>
  <c r="AH159" i="1"/>
  <c r="AG159" i="1"/>
  <c r="AH22" i="1"/>
  <c r="AI22" i="1"/>
  <c r="AG22" i="1"/>
  <c r="AH186" i="1"/>
  <c r="AI186" i="1"/>
  <c r="AG186" i="1"/>
  <c r="AG355" i="1"/>
  <c r="AH355" i="1"/>
  <c r="AI355" i="1"/>
  <c r="AI245" i="1"/>
  <c r="AG245" i="1"/>
  <c r="AH245" i="1"/>
  <c r="AI225" i="1"/>
  <c r="AH225" i="1"/>
  <c r="AG225" i="1"/>
  <c r="AI87" i="1"/>
  <c r="AG87" i="1"/>
  <c r="AH87" i="1"/>
  <c r="AI243" i="1"/>
  <c r="AG243" i="1"/>
  <c r="AH243" i="1"/>
  <c r="AH114" i="1"/>
  <c r="AI114" i="1"/>
  <c r="AG114" i="1"/>
  <c r="AH317" i="1"/>
  <c r="AI317" i="1"/>
  <c r="AG317" i="1"/>
  <c r="AH384" i="1"/>
  <c r="AI384" i="1"/>
  <c r="AG384" i="1"/>
  <c r="AH153" i="1"/>
  <c r="AG153" i="1"/>
  <c r="AI153" i="1"/>
  <c r="AI390" i="1"/>
  <c r="AG390" i="1"/>
  <c r="AH390" i="1"/>
  <c r="AI171" i="1"/>
  <c r="AG171" i="1"/>
  <c r="AH171" i="1"/>
  <c r="AH42" i="1"/>
  <c r="AG42" i="1"/>
  <c r="AI42" i="1"/>
  <c r="AD215" i="1"/>
  <c r="T215" i="1"/>
  <c r="U215" i="1"/>
  <c r="AC215" i="1"/>
  <c r="V215" i="1"/>
  <c r="AD80" i="1"/>
  <c r="V80" i="1"/>
  <c r="AC80" i="1"/>
  <c r="T80" i="1"/>
  <c r="U80" i="1"/>
  <c r="AD125" i="1"/>
  <c r="T125" i="1"/>
  <c r="AC125" i="1"/>
  <c r="V125" i="1"/>
  <c r="U125" i="1"/>
  <c r="AD363" i="1"/>
  <c r="U363" i="1"/>
  <c r="AC363" i="1"/>
  <c r="T363" i="1"/>
  <c r="V363" i="1"/>
  <c r="AD49" i="1"/>
  <c r="V49" i="1"/>
  <c r="U49" i="1"/>
  <c r="AC49" i="1"/>
  <c r="T49" i="1"/>
  <c r="AD152" i="1"/>
  <c r="U152" i="1"/>
  <c r="T152" i="1"/>
  <c r="AC152" i="1"/>
  <c r="V152" i="1"/>
  <c r="AD252" i="1"/>
  <c r="V252" i="1"/>
  <c r="AC252" i="1"/>
  <c r="U252" i="1"/>
  <c r="T252" i="1"/>
  <c r="AD220" i="1"/>
  <c r="U220" i="1"/>
  <c r="V220" i="1"/>
  <c r="T220" i="1"/>
  <c r="AC220" i="1"/>
  <c r="AD321" i="1"/>
  <c r="V321" i="1"/>
  <c r="T321" i="1"/>
  <c r="AC321" i="1"/>
  <c r="U321" i="1"/>
  <c r="AD163" i="1"/>
  <c r="U163" i="1"/>
  <c r="V163" i="1"/>
  <c r="T163" i="1"/>
  <c r="AC163" i="1"/>
  <c r="AD150" i="1"/>
  <c r="U150" i="1"/>
  <c r="T150" i="1"/>
  <c r="V150" i="1"/>
  <c r="AC150" i="1"/>
  <c r="AD350" i="1"/>
  <c r="T350" i="1"/>
  <c r="V350" i="1"/>
  <c r="U350" i="1"/>
  <c r="AC350" i="1"/>
  <c r="AD345" i="1"/>
  <c r="T345" i="1"/>
  <c r="U345" i="1"/>
  <c r="AC345" i="1"/>
  <c r="V345" i="1"/>
  <c r="AD173" i="1"/>
  <c r="V173" i="1"/>
  <c r="U173" i="1"/>
  <c r="AC173" i="1"/>
  <c r="T173" i="1"/>
  <c r="AD48" i="1"/>
  <c r="V48" i="1"/>
  <c r="T48" i="1"/>
  <c r="AC48" i="1"/>
  <c r="U48" i="1"/>
  <c r="AD297" i="1"/>
  <c r="T297" i="1"/>
  <c r="AC297" i="1"/>
  <c r="U297" i="1"/>
  <c r="V297" i="1"/>
  <c r="AD305" i="1"/>
  <c r="T305" i="1"/>
  <c r="AC305" i="1"/>
  <c r="U305" i="1"/>
  <c r="V305" i="1"/>
  <c r="AD178" i="1"/>
  <c r="U178" i="1"/>
  <c r="AC178" i="1"/>
  <c r="T178" i="1"/>
  <c r="V178" i="1"/>
  <c r="AD103" i="1"/>
  <c r="V103" i="1"/>
  <c r="T103" i="1"/>
  <c r="U103" i="1"/>
  <c r="AC103" i="1"/>
  <c r="AD388" i="1"/>
  <c r="T388" i="1"/>
  <c r="AC388" i="1"/>
  <c r="V388" i="1"/>
  <c r="U388" i="1"/>
  <c r="AD349" i="1"/>
  <c r="U349" i="1"/>
  <c r="AC349" i="1"/>
  <c r="T349" i="1"/>
  <c r="V349" i="1"/>
  <c r="AD67" i="1"/>
  <c r="T67" i="1"/>
  <c r="V67" i="1"/>
  <c r="AC67" i="1"/>
  <c r="U67" i="1"/>
  <c r="V92" i="1"/>
  <c r="T92" i="1"/>
  <c r="AC92" i="1"/>
  <c r="U92" i="1"/>
  <c r="AD92" i="1"/>
  <c r="U98" i="1"/>
  <c r="T98" i="1"/>
  <c r="AC98" i="1"/>
  <c r="V98" i="1"/>
  <c r="AD98" i="1"/>
  <c r="AD243" i="1"/>
  <c r="V243" i="1"/>
  <c r="AC243" i="1"/>
  <c r="U243" i="1"/>
  <c r="T243" i="1"/>
  <c r="AD334" i="1"/>
  <c r="U334" i="1"/>
  <c r="AC334" i="1"/>
  <c r="V334" i="1"/>
  <c r="T334" i="1"/>
  <c r="AD91" i="1"/>
  <c r="V91" i="1"/>
  <c r="T91" i="1"/>
  <c r="U91" i="1"/>
  <c r="AC91" i="1"/>
  <c r="AD381" i="1"/>
  <c r="U381" i="1"/>
  <c r="V381" i="1"/>
  <c r="AC381" i="1"/>
  <c r="T381" i="1"/>
  <c r="AD30" i="1"/>
  <c r="T30" i="1"/>
  <c r="AC30" i="1"/>
  <c r="U30" i="1"/>
  <c r="V30" i="1"/>
  <c r="AD151" i="1"/>
  <c r="U151" i="1"/>
  <c r="T151" i="1"/>
  <c r="AC151" i="1"/>
  <c r="V151" i="1"/>
  <c r="AD270" i="1"/>
  <c r="V270" i="1"/>
  <c r="AC270" i="1"/>
  <c r="T270" i="1"/>
  <c r="U270" i="1"/>
  <c r="AD40" i="1"/>
  <c r="V40" i="1"/>
  <c r="U40" i="1"/>
  <c r="AC40" i="1"/>
  <c r="T40" i="1"/>
  <c r="AD253" i="1"/>
  <c r="U253" i="1"/>
  <c r="AC253" i="1"/>
  <c r="T253" i="1"/>
  <c r="V253" i="1"/>
  <c r="AD78" i="1"/>
  <c r="U78" i="1"/>
  <c r="AC78" i="1"/>
  <c r="T78" i="1"/>
  <c r="V78" i="1"/>
  <c r="AD273" i="1"/>
  <c r="U273" i="1"/>
  <c r="T273" i="1"/>
  <c r="AC273" i="1"/>
  <c r="V273" i="1"/>
  <c r="AD264" i="1"/>
  <c r="V264" i="1"/>
  <c r="T264" i="1"/>
  <c r="AC264" i="1"/>
  <c r="U264" i="1"/>
  <c r="AD164" i="1"/>
  <c r="U164" i="1"/>
  <c r="AC164" i="1"/>
  <c r="V164" i="1"/>
  <c r="T164" i="1"/>
  <c r="AD295" i="1"/>
  <c r="T295" i="1"/>
  <c r="AC295" i="1"/>
  <c r="V295" i="1"/>
  <c r="U295" i="1"/>
  <c r="AD385" i="1"/>
  <c r="T385" i="1"/>
  <c r="AC385" i="1"/>
  <c r="V385" i="1"/>
  <c r="U385" i="1"/>
  <c r="AD365" i="1"/>
  <c r="U365" i="1"/>
  <c r="AC365" i="1"/>
  <c r="V365" i="1"/>
  <c r="T365" i="1"/>
  <c r="AD221" i="1"/>
  <c r="U221" i="1"/>
  <c r="AC221" i="1"/>
  <c r="V221" i="1"/>
  <c r="T221" i="1"/>
  <c r="AD206" i="1"/>
  <c r="T206" i="1"/>
  <c r="AC206" i="1"/>
  <c r="U206" i="1"/>
  <c r="V206" i="1"/>
  <c r="AD110" i="1"/>
  <c r="U110" i="1"/>
  <c r="AC110" i="1"/>
  <c r="V110" i="1"/>
  <c r="T110" i="1"/>
  <c r="AD27" i="1"/>
  <c r="AC27" i="1"/>
  <c r="V27" i="1"/>
  <c r="U27" i="1"/>
  <c r="T27" i="1"/>
  <c r="AD88" i="1"/>
  <c r="V88" i="1"/>
  <c r="T88" i="1"/>
  <c r="AC88" i="1"/>
  <c r="U88" i="1"/>
  <c r="U197" i="1"/>
  <c r="V197" i="1"/>
  <c r="AD197" i="1"/>
  <c r="AC197" i="1"/>
  <c r="T197" i="1"/>
  <c r="V311" i="1"/>
  <c r="AD311" i="1"/>
  <c r="U311" i="1"/>
  <c r="T311" i="1"/>
  <c r="AC311" i="1"/>
  <c r="AD154" i="1"/>
  <c r="T154" i="1"/>
  <c r="AC154" i="1"/>
  <c r="V154" i="1"/>
  <c r="U154" i="1"/>
  <c r="H32" i="1" l="1"/>
  <c r="B43" i="1"/>
  <c r="H42" i="1"/>
  <c r="B42" i="1"/>
  <c r="H43" i="1"/>
  <c r="H44" i="1"/>
  <c r="B33" i="1"/>
  <c r="B44" i="1"/>
  <c r="H33" i="1"/>
  <c r="H40" i="1"/>
  <c r="G36" i="1"/>
  <c r="B36" i="1"/>
  <c r="G40" i="1"/>
  <c r="B32" i="1"/>
  <c r="H34" i="1"/>
  <c r="G34" i="1"/>
  <c r="B39" i="1"/>
  <c r="G39" i="1"/>
  <c r="B31" i="1"/>
  <c r="H31" i="1"/>
  <c r="B41" i="1"/>
  <c r="H41" i="1"/>
  <c r="G35" i="1"/>
  <c r="B35" i="1"/>
  <c r="H35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<sst xmlns="http://schemas.openxmlformats.org/spreadsheetml/2006/main" count="493" uniqueCount="287">
  <si>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</si>
  <si>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</si>
  <si>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</si>
  <si>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</si>
  <si>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</si>
  <si>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</si>
  <si>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</si>
  <si>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</si>
  <si>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</si>
  <si>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</si>
  <si>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</si>
  <si>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</si>
  <si>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</si>
  <si>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</si>
  <si>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</si>
  <si>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</si>
  <si>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</si>
  <si>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</si>
  <si>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</si>
  <si>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</si>
  <si>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</si>
  <si>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</si>
  <si>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</si>
  <si>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</si>
  <si>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</si>
  <si>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</si>
  <si>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</si>
  <si>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</si>
  <si>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</si>
  <si>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</si>
  <si>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</si>
  <si>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</si>
  <si>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</si>
  <si>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</si>
  <si>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</si>
  <si>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</si>
  <si>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</si>
  <si>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</si>
  <si>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</si>
  <si>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</si>
  <si>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</si>
  <si>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</si>
  <si>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</si>
  <si>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</si>
  <si>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</si>
  <si>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</si>
  <si>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</si>
  <si>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</si>
  <si>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</si>
  <si>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</si>
  <si>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</si>
  <si>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</si>
  <si>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</si>
  <si>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</si>
  <si>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</si>
  <si>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</si>
  <si>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</si>
  <si>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</si>
  <si>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</si>
  <si>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</si>
  <si>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</si>
  <si>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</si>
  <si>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</si>
  <si>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</si>
  <si>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</si>
  <si>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</si>
  <si>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</si>
  <si>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</si>
  <si>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</si>
  <si>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</si>
  <si>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</si>
  <si>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</si>
  <si>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</si>
  <si>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</si>
  <si>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</si>
  <si>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</si>
  <si>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</si>
  <si>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</si>
  <si>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</si>
  <si>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</si>
  <si>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</si>
  <si>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</si>
  <si>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</si>
  <si>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</si>
  <si>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</si>
  <si>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</si>
  <si>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</si>
  <si>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</si>
  <si>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</si>
  <si>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</si>
  <si>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</si>
  <si>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</si>
  <si>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</si>
  <si>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</si>
  <si>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</si>
  <si>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</si>
  <si>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</si>
  <si>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</si>
  <si>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</si>
  <si>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</si>
  <si>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</si>
  <si>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</si>
  <si>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</si>
  <si>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</si>
  <si>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</si>
  <si>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</si>
  <si>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</si>
  <si>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</si>
  <si>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</si>
  <si>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</si>
  <si>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</si>
  <si>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</si>
  <si>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</si>
  <si>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</si>
  <si>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</si>
  <si>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</si>
  <si>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</si>
  <si>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</si>
  <si>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</si>
  <si>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</si>
  <si>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</si>
  <si>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</si>
  <si>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</si>
  <si>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</si>
  <si>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</si>
  <si>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</si>
  <si>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</si>
  <si>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</si>
  <si>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</si>
  <si>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</si>
  <si>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</si>
  <si>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</si>
  <si>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</si>
  <si>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</si>
  <si>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</si>
  <si>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</si>
  <si>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</si>
  <si>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</si>
  <si>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</si>
  <si>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</si>
  <si>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</si>
  <si>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</si>
  <si>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</si>
  <si>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</si>
  <si>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</si>
  <si>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</si>
  <si>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</si>
  <si>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</si>
  <si>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</si>
  <si>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</si>
  <si>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</si>
  <si>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</si>
  <si>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</si>
  <si>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</si>
  <si>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</si>
  <si>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</si>
  <si>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</si>
  <si>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</si>
  <si>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</si>
  <si>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</si>
  <si>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</si>
  <si>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</si>
  <si>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</si>
  <si>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</si>
  <si>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</si>
  <si>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</si>
  <si>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</si>
  <si>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</si>
  <si>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</si>
  <si>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</si>
  <si>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</si>
  <si>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</si>
  <si>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</si>
  <si>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</si>
  <si>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</si>
  <si>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</si>
  <si>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</si>
  <si>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</si>
  <si>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</si>
  <si>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</si>
  <si>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</si>
  <si>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</si>
  <si>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</si>
  <si>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</si>
  <si>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</si>
  <si>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</si>
  <si>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</si>
  <si>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</si>
  <si>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</si>
  <si>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</si>
  <si>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</si>
  <si>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</si>
  <si>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</si>
  <si>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</si>
  <si>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</si>
  <si>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</si>
  <si>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</si>
  <si>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</si>
  <si>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</si>
  <si>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</si>
  <si>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</si>
  <si>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</si>
  <si>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</si>
  <si>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</si>
  <si>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</si>
  <si>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</si>
  <si>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</si>
  <si>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</si>
  <si>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</si>
  <si>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</si>
  <si>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</si>
  <si>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</si>
  <si>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</si>
  <si>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</si>
  <si>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</si>
  <si>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</si>
  <si>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</si>
  <si>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</si>
  <si>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</si>
  <si>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</si>
  <si>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</si>
  <si>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</si>
  <si>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</si>
  <si>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</si>
  <si>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</si>
  <si>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</si>
  <si>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</si>
  <si>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</si>
  <si>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</si>
  <si>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</si>
  <si>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</si>
  <si>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</si>
  <si>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</si>
  <si>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</si>
  <si>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</si>
  <si>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</si>
  <si>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</si>
  <si>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</si>
  <si>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</si>
  <si>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</si>
  <si>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</si>
  <si>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</si>
  <si>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</si>
  <si>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</si>
  <si>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</si>
  <si>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</si>
  <si>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</si>
  <si>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</si>
  <si>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</si>
  <si>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</si>
  <si>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</si>
  <si>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</si>
  <si>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</si>
  <si>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</si>
  <si>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</si>
  <si>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</si>
  <si>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</si>
  <si>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</si>
  <si>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</si>
  <si>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</si>
  <si>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</si>
  <si>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</si>
  <si>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</si>
  <si>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</si>
  <si>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</si>
  <si>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</si>
  <si>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</si>
  <si>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</si>
  <si>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</si>
  <si>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</si>
  <si>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</si>
  <si>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</si>
  <si>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</si>
  <si>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</si>
  <si>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</si>
  <si>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</si>
  <si>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</si>
  <si>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</si>
  <si>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</si>
  <si>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</si>
  <si>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</si>
  <si>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</si>
  <si>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</si>
  <si>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Bell curve</t>
  </si>
  <si>
    <t>lincoln</t>
  </si>
  <si>
    <t>Final Application Date</t>
  </si>
  <si>
    <t>FinalFertDate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</si>
</sst>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14" fontId="0" fillId="5" borderId="0" xfId="0" applyNumberFormat="1" applyFill="1" applyProtection="1">
      <protection locked="0"/>
    </xf>
    <xf numFmtId="14" fontId="0" fillId="10" borderId="0" xfId="0" applyNumberFormat="1" applyFill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236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18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54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2.05562682076209</c:v>
                </c:pt>
                <c:pt idx="16">
                  <c:v>2.1620991633558932</c:v>
                </c:pt>
                <c:pt idx="17">
                  <c:v>2.2993316525433176</c:v>
                </c:pt>
                <c:pt idx="18">
                  <c:v>2.433218761457653</c:v>
                </c:pt>
                <c:pt idx="19">
                  <c:v>2.566718045375032</c:v>
                </c:pt>
                <c:pt idx="20">
                  <c:v>2.7010743460484141</c:v>
                </c:pt>
                <c:pt idx="21">
                  <c:v>2.8563730003565819</c:v>
                </c:pt>
                <c:pt idx="22">
                  <c:v>3.0414705987699477</c:v>
                </c:pt>
                <c:pt idx="23">
                  <c:v>3.2211929313285035</c:v>
                </c:pt>
                <c:pt idx="24">
                  <c:v>3.4105158773727164</c:v>
                </c:pt>
                <c:pt idx="25">
                  <c:v>3.6127212351846598</c:v>
                </c:pt>
                <c:pt idx="26">
                  <c:v>3.8630083854593118</c:v>
                </c:pt>
                <c:pt idx="27">
                  <c:v>4.0920203627524909</c:v>
                </c:pt>
                <c:pt idx="28">
                  <c:v>4.3317624349518251</c:v>
                </c:pt>
                <c:pt idx="29">
                  <c:v>4.5885234702491786</c:v>
                </c:pt>
                <c:pt idx="30">
                  <c:v>4.869135395560316</c:v>
                </c:pt>
                <c:pt idx="31">
                  <c:v>5.2139577952245428</c:v>
                </c:pt>
                <c:pt idx="32">
                  <c:v>5.5595214601002212</c:v>
                </c:pt>
                <c:pt idx="33">
                  <c:v>5.9599711588005713</c:v>
                </c:pt>
                <c:pt idx="34">
                  <c:v>6.3991381341505793</c:v>
                </c:pt>
                <c:pt idx="35">
                  <c:v>6.8497433928515159</c:v>
                </c:pt>
                <c:pt idx="36">
                  <c:v>7.3268442563761509</c:v>
                </c:pt>
                <c:pt idx="37">
                  <c:v>7.8795652795694915</c:v>
                </c:pt>
                <c:pt idx="38">
                  <c:v>8.4233937009207693</c:v>
                </c:pt>
                <c:pt idx="39">
                  <c:v>9.0190273972723016</c:v>
                </c:pt>
                <c:pt idx="40">
                  <c:v>9.6603117570024803</c:v>
                </c:pt>
                <c:pt idx="41">
                  <c:v>10.32965618509416</c:v>
                </c:pt>
                <c:pt idx="42">
                  <c:v>10.994790115007012</c:v>
                </c:pt>
                <c:pt idx="43">
                  <c:v>11.728843511176677</c:v>
                </c:pt>
                <c:pt idx="44">
                  <c:v>12.504440779378143</c:v>
                </c:pt>
                <c:pt idx="45">
                  <c:v>13.359325804164095</c:v>
                </c:pt>
                <c:pt idx="46">
                  <c:v>14.452134850121706</c:v>
                </c:pt>
                <c:pt idx="47">
                  <c:v>15.541883490285853</c:v>
                </c:pt>
                <c:pt idx="48">
                  <c:v>16.658775570693425</c:v>
                </c:pt>
                <c:pt idx="49">
                  <c:v>17.720713427511146</c:v>
                </c:pt>
                <c:pt idx="50">
                  <c:v>18.936432720329179</c:v>
                </c:pt>
                <c:pt idx="51">
                  <c:v>20.301210468790153</c:v>
                </c:pt>
                <c:pt idx="52">
                  <c:v>21.817230442337141</c:v>
                </c:pt>
                <c:pt idx="53">
                  <c:v>23.26942141236815</c:v>
                </c:pt>
                <c:pt idx="54">
                  <c:v>24.703170278509912</c:v>
                </c:pt>
                <c:pt idx="55">
                  <c:v>26.17448609593691</c:v>
                </c:pt>
                <c:pt idx="56">
                  <c:v>27.922707841754097</c:v>
                </c:pt>
                <c:pt idx="57">
                  <c:v>29.753408283946847</c:v>
                </c:pt>
                <c:pt idx="58">
                  <c:v>31.517681379564149</c:v>
                </c:pt>
                <c:pt idx="59">
                  <c:v>33.725607374544936</c:v>
                </c:pt>
                <c:pt idx="60">
                  <c:v>36.148178224733115</c:v>
                </c:pt>
                <c:pt idx="61">
                  <c:v>38.817093122724181</c:v>
                </c:pt>
                <c:pt idx="62">
                  <c:v>41.559588585173465</c:v>
                </c:pt>
                <c:pt idx="63">
                  <c:v>44.355352309687042</c:v>
                </c:pt>
                <c:pt idx="64">
                  <c:v>47.230239642377782</c:v>
                </c:pt>
                <c:pt idx="65">
                  <c:v>50.147145952947916</c:v>
                </c:pt>
                <c:pt idx="66">
                  <c:v>53.363524979251757</c:v>
                </c:pt>
                <c:pt idx="67">
                  <c:v>57.140152238770796</c:v>
                </c:pt>
                <c:pt idx="68">
                  <c:v>61.231797549331105</c:v>
                </c:pt>
                <c:pt idx="69">
                  <c:v>65.824000213538639</c:v>
                </c:pt>
                <c:pt idx="70">
                  <c:v>70.45204742385323</c:v>
                </c:pt>
                <c:pt idx="71">
                  <c:v>75.248482350002362</c:v>
                </c:pt>
                <c:pt idx="72">
                  <c:v>79.944899537395401</c:v>
                </c:pt>
                <c:pt idx="73">
                  <c:v>85.103795411395907</c:v>
                </c:pt>
                <c:pt idx="74">
                  <c:v>90.482468535137627</c:v>
                </c:pt>
                <c:pt idx="75">
                  <c:v>95.66758826426215</c:v>
                </c:pt>
                <c:pt idx="76">
                  <c:v>101.407144421268</c:v>
                </c:pt>
                <c:pt idx="77">
                  <c:v>107.92587838945245</c:v>
                </c:pt>
                <c:pt idx="78">
                  <c:v>115.04092490530914</c:v>
                </c:pt>
                <c:pt idx="79">
                  <c:v>121.6789922070213</c:v>
                </c:pt>
                <c:pt idx="80">
                  <c:v>127.95829628964404</c:v>
                </c:pt>
                <c:pt idx="81">
                  <c:v>135.024926372961</c:v>
                </c:pt>
                <c:pt idx="82">
                  <c:v>141.86173261695072</c:v>
                </c:pt>
                <c:pt idx="83">
                  <c:v>148.51904970650736</c:v>
                </c:pt>
                <c:pt idx="84">
                  <c:v>155.33158443663498</c:v>
                </c:pt>
                <c:pt idx="85">
                  <c:v>162.120739756944</c:v>
                </c:pt>
                <c:pt idx="86">
                  <c:v>168.63509959357285</c:v>
                </c:pt>
                <c:pt idx="87">
                  <c:v>174.9379932972727</c:v>
                </c:pt>
                <c:pt idx="88">
                  <c:v>181.33817527055515</c:v>
                </c:pt>
                <c:pt idx="89">
                  <c:v>187.47089955875578</c:v>
                </c:pt>
                <c:pt idx="90">
                  <c:v>193.83372378543237</c:v>
                </c:pt>
                <c:pt idx="91">
                  <c:v>200.03445927164319</c:v>
                </c:pt>
                <c:pt idx="92">
                  <c:v>205.6649469170292</c:v>
                </c:pt>
                <c:pt idx="93">
                  <c:v>212.01889968841559</c:v>
                </c:pt>
                <c:pt idx="94">
                  <c:v>218.20256568712563</c:v>
                </c:pt>
                <c:pt idx="95">
                  <c:v>223.44013395944859</c:v>
                </c:pt>
                <c:pt idx="96">
                  <c:v>228.6658964929876</c:v>
                </c:pt>
                <c:pt idx="97">
                  <c:v>233.39183557853346</c:v>
                </c:pt>
                <c:pt idx="98">
                  <c:v>237.99872209668644</c:v>
                </c:pt>
                <c:pt idx="99">
                  <c:v>242.69853243157436</c:v>
                </c:pt>
                <c:pt idx="100">
                  <c:v>246.95834900046475</c:v>
                </c:pt>
                <c:pt idx="101">
                  <c:v>250.58781966828752</c:v>
                </c:pt>
                <c:pt idx="102">
                  <c:v>254.06645584658034</c:v>
                </c:pt>
                <c:pt idx="103">
                  <c:v>257.34809931363003</c:v>
                </c:pt>
                <c:pt idx="104">
                  <c:v>260.70708698038817</c:v>
                </c:pt>
                <c:pt idx="105">
                  <c:v>263.72095578478763</c:v>
                </c:pt>
                <c:pt idx="106">
                  <c:v>266.29340965615893</c:v>
                </c:pt>
                <c:pt idx="107">
                  <c:v>268.60160655514426</c:v>
                </c:pt>
                <c:pt idx="108">
                  <c:v>270.80032564442911</c:v>
                </c:pt>
                <c:pt idx="109">
                  <c:v>272.89253560939312</c:v>
                </c:pt>
                <c:pt idx="110">
                  <c:v>274.83430619957983</c:v>
                </c:pt>
                <c:pt idx="111">
                  <c:v>276.60838204148212</c:v>
                </c:pt>
                <c:pt idx="112">
                  <c:v>278.29080163378211</c:v>
                </c:pt>
                <c:pt idx="113">
                  <c:v>279.75660028529779</c:v>
                </c:pt>
                <c:pt idx="114">
                  <c:v>281.07821738640166</c:v>
                </c:pt>
                <c:pt idx="115">
                  <c:v>282.33700169114854</c:v>
                </c:pt>
                <c:pt idx="116">
                  <c:v>283.45362468818024</c:v>
                </c:pt>
                <c:pt idx="117">
                  <c:v>284.37590979181317</c:v>
                </c:pt>
                <c:pt idx="118">
                  <c:v>285.33088873791223</c:v>
                </c:pt>
                <c:pt idx="119">
                  <c:v>286.24172349530738</c:v>
                </c:pt>
                <c:pt idx="120">
                  <c:v>286.99422857973741</c:v>
                </c:pt>
                <c:pt idx="121">
                  <c:v>287.6552303429371</c:v>
                </c:pt>
                <c:pt idx="122">
                  <c:v>288.24591084075428</c:v>
                </c:pt>
                <c:pt idx="123">
                  <c:v>288.76932369519938</c:v>
                </c:pt>
                <c:pt idx="124">
                  <c:v>289.24008573866018</c:v>
                </c:pt>
                <c:pt idx="125">
                  <c:v>289.69268884873884</c:v>
                </c:pt>
                <c:pt idx="126">
                  <c:v>290.11490323256174</c:v>
                </c:pt>
                <c:pt idx="127">
                  <c:v>290.50924666772374</c:v>
                </c:pt>
                <c:pt idx="128">
                  <c:v>290.86469479227634</c:v>
                </c:pt>
                <c:pt idx="129">
                  <c:v>291.16886630866122</c:v>
                </c:pt>
                <c:pt idx="130">
                  <c:v>291.42033183291591</c:v>
                </c:pt>
                <c:pt idx="131">
                  <c:v>291.64422171369841</c:v>
                </c:pt>
                <c:pt idx="132">
                  <c:v>291.87373791370669</c:v>
                </c:pt>
                <c:pt idx="133">
                  <c:v>292.05096608334838</c:v>
                </c:pt>
                <c:pt idx="134">
                  <c:v>292.2181813541838</c:v>
                </c:pt>
                <c:pt idx="135">
                  <c:v>292.36920950328653</c:v>
                </c:pt>
                <c:pt idx="136">
                  <c:v>292.50943532247908</c:v>
                </c:pt>
                <c:pt idx="137">
                  <c:v>292.63682092542194</c:v>
                </c:pt>
                <c:pt idx="138">
                  <c:v>292.75069395022393</c:v>
                </c:pt>
                <c:pt idx="139">
                  <c:v>292.85836290981047</c:v>
                </c:pt>
                <c:pt idx="140">
                  <c:v>292.9584099445139</c:v>
                </c:pt>
                <c:pt idx="141">
                  <c:v>293.03733495596498</c:v>
                </c:pt>
                <c:pt idx="142">
                  <c:v>293.10568266016094</c:v>
                </c:pt>
                <c:pt idx="143">
                  <c:v>293.16549494623206</c:v>
                </c:pt>
                <c:pt idx="144">
                  <c:v>293.22286511003972</c:v>
                </c:pt>
                <c:pt idx="145">
                  <c:v>293.27992000986416</c:v>
                </c:pt>
                <c:pt idx="146">
                  <c:v>293.33280945291961</c:v>
                </c:pt>
                <c:pt idx="147">
                  <c:v>293.37807854562686</c:v>
                </c:pt>
                <c:pt idx="148">
                  <c:v>293.41773990013229</c:v>
                </c:pt>
                <c:pt idx="149">
                  <c:v>293.45364009233811</c:v>
                </c:pt>
                <c:pt idx="150">
                  <c:v>293.48520261680972</c:v>
                </c:pt>
                <c:pt idx="151">
                  <c:v>293.51303029697277</c:v>
                </c:pt>
                <c:pt idx="152">
                  <c:v>293.53975197819113</c:v>
                </c:pt>
                <c:pt idx="153">
                  <c:v>293.56268602771223</c:v>
                </c:pt>
                <c:pt idx="154">
                  <c:v>293.58346177277127</c:v>
                </c:pt>
                <c:pt idx="155">
                  <c:v>293.60231406526742</c:v>
                </c:pt>
                <c:pt idx="156">
                  <c:v>293.61920023512153</c:v>
                </c:pt>
                <c:pt idx="157">
                  <c:v>293.63474812592108</c:v>
                </c:pt>
                <c:pt idx="158">
                  <c:v>293.64847821076637</c:v>
                </c:pt>
                <c:pt idx="159">
                  <c:v>293.66012562550264</c:v>
                </c:pt>
                <c:pt idx="160">
                  <c:v>293.67015852251734</c:v>
                </c:pt>
                <c:pt idx="161">
                  <c:v>293.68043478260864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43.03566531001271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65.192322309373196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64.4287604303683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62.901189039900871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50.152309456947577</c:v>
                </c:pt>
                <c:pt idx="2">
                  <c:v>50.323908076557942</c:v>
                </c:pt>
                <c:pt idx="3">
                  <c:v>50.513034740050728</c:v>
                </c:pt>
                <c:pt idx="4">
                  <c:v>50.717920094141746</c:v>
                </c:pt>
                <c:pt idx="5">
                  <c:v>50.957257841689795</c:v>
                </c:pt>
                <c:pt idx="6">
                  <c:v>51.208670976479148</c:v>
                </c:pt>
                <c:pt idx="7">
                  <c:v>51.478835424964068</c:v>
                </c:pt>
                <c:pt idx="8">
                  <c:v>51.749249113953773</c:v>
                </c:pt>
                <c:pt idx="9">
                  <c:v>52.028932297833407</c:v>
                </c:pt>
                <c:pt idx="10">
                  <c:v>52.315362844503213</c:v>
                </c:pt>
                <c:pt idx="11">
                  <c:v>52.622211674988392</c:v>
                </c:pt>
                <c:pt idx="12">
                  <c:v>52.937518805635754</c:v>
                </c:pt>
                <c:pt idx="13">
                  <c:v>53.248322847781878</c:v>
                </c:pt>
                <c:pt idx="14">
                  <c:v>53.560801611740317</c:v>
                </c:pt>
                <c:pt idx="15">
                  <c:v>96.914543478260853</c:v>
                </c:pt>
                <c:pt idx="16">
                  <c:v>97.148665143485857</c:v>
                </c:pt>
                <c:pt idx="17">
                  <c:v>97.390773131811244</c:v>
                </c:pt>
                <c:pt idx="18">
                  <c:v>97.626492264215003</c:v>
                </c:pt>
                <c:pt idx="19">
                  <c:v>97.854030223291645</c:v>
                </c:pt>
                <c:pt idx="20">
                  <c:v>98.072674269370467</c:v>
                </c:pt>
                <c:pt idx="21">
                  <c:v>98.284872896612256</c:v>
                </c:pt>
                <c:pt idx="22">
                  <c:v>98.490151824182647</c:v>
                </c:pt>
                <c:pt idx="23">
                  <c:v>98.679436109124879</c:v>
                </c:pt>
                <c:pt idx="24">
                  <c:v>98.858210604953541</c:v>
                </c:pt>
                <c:pt idx="25">
                  <c:v>99.021582894564901</c:v>
                </c:pt>
                <c:pt idx="26">
                  <c:v>99.164434480773878</c:v>
                </c:pt>
                <c:pt idx="27">
                  <c:v>99.294349888850221</c:v>
                </c:pt>
                <c:pt idx="28">
                  <c:v>99.409709209219812</c:v>
                </c:pt>
                <c:pt idx="29">
                  <c:v>99.506263302946437</c:v>
                </c:pt>
                <c:pt idx="30">
                  <c:v>99.576134228924616</c:v>
                </c:pt>
                <c:pt idx="31">
                  <c:v>99.596916726394895</c:v>
                </c:pt>
                <c:pt idx="32">
                  <c:v>99.597252337141626</c:v>
                </c:pt>
                <c:pt idx="33">
                  <c:v>99.552194861667445</c:v>
                </c:pt>
                <c:pt idx="34">
                  <c:v>99.460002510399548</c:v>
                </c:pt>
                <c:pt idx="35">
                  <c:v>99.336443880172027</c:v>
                </c:pt>
                <c:pt idx="36">
                  <c:v>99.162871016588937</c:v>
                </c:pt>
                <c:pt idx="37">
                  <c:v>98.909312428463522</c:v>
                </c:pt>
                <c:pt idx="38">
                  <c:v>98.638414197310709</c:v>
                </c:pt>
                <c:pt idx="39">
                  <c:v>98.300371296533228</c:v>
                </c:pt>
                <c:pt idx="40">
                  <c:v>97.899265325131324</c:v>
                </c:pt>
                <c:pt idx="41">
                  <c:v>97.45733715056781</c:v>
                </c:pt>
                <c:pt idx="42">
                  <c:v>96.999672986271278</c:v>
                </c:pt>
                <c:pt idx="43">
                  <c:v>96.477211304753894</c:v>
                </c:pt>
                <c:pt idx="44">
                  <c:v>95.901591140555794</c:v>
                </c:pt>
                <c:pt idx="45">
                  <c:v>95.242338726376516</c:v>
                </c:pt>
                <c:pt idx="46">
                  <c:v>94.356844568090537</c:v>
                </c:pt>
                <c:pt idx="47">
                  <c:v>93.456996521109389</c:v>
                </c:pt>
                <c:pt idx="48">
                  <c:v>92.529683101410328</c:v>
                </c:pt>
                <c:pt idx="49">
                  <c:v>91.640913146086461</c:v>
                </c:pt>
                <c:pt idx="50">
                  <c:v>90.596812257953061</c:v>
                </c:pt>
                <c:pt idx="51">
                  <c:v>89.402010940659579</c:v>
                </c:pt>
                <c:pt idx="52">
                  <c:v>88.064187113670855</c:v>
                </c:pt>
                <c:pt idx="53">
                  <c:v>86.778820067668249</c:v>
                </c:pt>
                <c:pt idx="54">
                  <c:v>85.513554886024394</c:v>
                </c:pt>
                <c:pt idx="55">
                  <c:v>84.216687937652722</c:v>
                </c:pt>
                <c:pt idx="56">
                  <c:v>82.6543901101264</c:v>
                </c:pt>
                <c:pt idx="57">
                  <c:v>81.017054161134894</c:v>
                </c:pt>
                <c:pt idx="58">
                  <c:v>79.433243041295583</c:v>
                </c:pt>
                <c:pt idx="59">
                  <c:v>77.419346351410326</c:v>
                </c:pt>
                <c:pt idx="60">
                  <c:v>75.190666312075109</c:v>
                </c:pt>
                <c:pt idx="61">
                  <c:v>72.731071519280988</c:v>
                </c:pt>
                <c:pt idx="62">
                  <c:v>70.193632549299366</c:v>
                </c:pt>
                <c:pt idx="63">
                  <c:v>67.590950642875882</c:v>
                </c:pt>
                <c:pt idx="64">
                  <c:v>64.913544257876026</c:v>
                </c:pt>
                <c:pt idx="65">
                  <c:v>62.184463689038331</c:v>
                </c:pt>
                <c:pt idx="66">
                  <c:v>59.161023689014108</c:v>
                </c:pt>
                <c:pt idx="67">
                  <c:v>55.587786163889177</c:v>
                </c:pt>
                <c:pt idx="68">
                  <c:v>116.88795899743282</c:v>
                </c:pt>
                <c:pt idx="69">
                  <c:v>112.49969376189074</c:v>
                </c:pt>
                <c:pt idx="70">
                  <c:v>108.06449502761122</c:v>
                </c:pt>
                <c:pt idx="71">
                  <c:v>103.45975614403964</c:v>
                </c:pt>
                <c:pt idx="72">
                  <c:v>98.94837948272729</c:v>
                </c:pt>
                <c:pt idx="73">
                  <c:v>93.978846983682217</c:v>
                </c:pt>
                <c:pt idx="74">
                  <c:v>88.799274058680197</c:v>
                </c:pt>
                <c:pt idx="75">
                  <c:v>83.794948332462141</c:v>
                </c:pt>
                <c:pt idx="76">
                  <c:v>142.66849631387402</c:v>
                </c:pt>
                <c:pt idx="77">
                  <c:v>136.33967893083556</c:v>
                </c:pt>
                <c:pt idx="78">
                  <c:v>129.42345427247648</c:v>
                </c:pt>
                <c:pt idx="79">
                  <c:v>122.97823059020079</c:v>
                </c:pt>
                <c:pt idx="80">
                  <c:v>116.87801836578548</c:v>
                </c:pt>
                <c:pt idx="81">
                  <c:v>110.00319865987369</c:v>
                </c:pt>
                <c:pt idx="82">
                  <c:v>103.35514931068766</c:v>
                </c:pt>
                <c:pt idx="83">
                  <c:v>96.888131987127849</c:v>
                </c:pt>
                <c:pt idx="84">
                  <c:v>153.17281672887532</c:v>
                </c:pt>
                <c:pt idx="85">
                  <c:v>146.58055772791295</c:v>
                </c:pt>
                <c:pt idx="86">
                  <c:v>140.27448532898489</c:v>
                </c:pt>
                <c:pt idx="87">
                  <c:v>134.18043159384635</c:v>
                </c:pt>
                <c:pt idx="88">
                  <c:v>127.99444120140848</c:v>
                </c:pt>
                <c:pt idx="89">
                  <c:v>122.06970288327787</c:v>
                </c:pt>
                <c:pt idx="90">
                  <c:v>115.91408714084861</c:v>
                </c:pt>
                <c:pt idx="91">
                  <c:v>109.91410063627973</c:v>
                </c:pt>
                <c:pt idx="92">
                  <c:v>104.46719221686364</c:v>
                </c:pt>
                <c:pt idx="93">
                  <c:v>98.318837653220342</c:v>
                </c:pt>
                <c:pt idx="94">
                  <c:v>92.353243460971242</c:v>
                </c:pt>
                <c:pt idx="95">
                  <c:v>87.307418321747008</c:v>
                </c:pt>
                <c:pt idx="96">
                  <c:v>82.286472117838457</c:v>
                </c:pt>
                <c:pt idx="97">
                  <c:v>77.752082141678756</c:v>
                </c:pt>
                <c:pt idx="98">
                  <c:v>73.334974437326082</c:v>
                </c:pt>
                <c:pt idx="99">
                  <c:v>68.838551711846748</c:v>
                </c:pt>
                <c:pt idx="100">
                  <c:v>64.780828454016557</c:v>
                </c:pt>
                <c:pt idx="101">
                  <c:v>61.338982156332008</c:v>
                </c:pt>
                <c:pt idx="102">
                  <c:v>58.050267982633784</c:v>
                </c:pt>
                <c:pt idx="103">
                  <c:v>54.952301111619875</c:v>
                </c:pt>
                <c:pt idx="104">
                  <c:v>51.789062889164867</c:v>
                </c:pt>
                <c:pt idx="105">
                  <c:v>48.970068948081703</c:v>
                </c:pt>
                <c:pt idx="106">
                  <c:v>46.574534284459006</c:v>
                </c:pt>
                <c:pt idx="107">
                  <c:v>44.444000110020298</c:v>
                </c:pt>
                <c:pt idx="108">
                  <c:v>42.430199567140882</c:v>
                </c:pt>
                <c:pt idx="109">
                  <c:v>40.532652295175751</c:v>
                </c:pt>
                <c:pt idx="110">
                  <c:v>38.782592356379922</c:v>
                </c:pt>
                <c:pt idx="111">
                  <c:v>37.193357084347042</c:v>
                </c:pt>
                <c:pt idx="112">
                  <c:v>35.697033563906942</c:v>
                </c:pt>
                <c:pt idx="113">
                  <c:v>34.40375977484414</c:v>
                </c:pt>
                <c:pt idx="114">
                  <c:v>33.246599476601538</c:v>
                </c:pt>
                <c:pt idx="115">
                  <c:v>32.169172315463939</c:v>
                </c:pt>
                <c:pt idx="116">
                  <c:v>31.224986705314549</c:v>
                </c:pt>
                <c:pt idx="117">
                  <c:v>30.453269582781743</c:v>
                </c:pt>
                <c:pt idx="118">
                  <c:v>29.660676640109198</c:v>
                </c:pt>
                <c:pt idx="119">
                  <c:v>28.923755188107044</c:v>
                </c:pt>
                <c:pt idx="120">
                  <c:v>28.327436874384123</c:v>
                </c:pt>
                <c:pt idx="121">
                  <c:v>27.818255683952884</c:v>
                </c:pt>
                <c:pt idx="122">
                  <c:v>27.376680787756662</c:v>
                </c:pt>
                <c:pt idx="123">
                  <c:v>26.996762983457053</c:v>
                </c:pt>
                <c:pt idx="124">
                  <c:v>26.672226664845002</c:v>
                </c:pt>
                <c:pt idx="125">
                  <c:v>26.371163737658623</c:v>
                </c:pt>
                <c:pt idx="126">
                  <c:v>26.098455990699811</c:v>
                </c:pt>
                <c:pt idx="127">
                  <c:v>25.856033081955729</c:v>
                </c:pt>
                <c:pt idx="128">
                  <c:v>25.652621392863889</c:v>
                </c:pt>
                <c:pt idx="129">
                  <c:v>25.490629126817602</c:v>
                </c:pt>
                <c:pt idx="130">
                  <c:v>25.372500776426879</c:v>
                </c:pt>
                <c:pt idx="131">
                  <c:v>25.280442968471714</c:v>
                </c:pt>
                <c:pt idx="132">
                  <c:v>25.204894729374026</c:v>
                </c:pt>
                <c:pt idx="133">
                  <c:v>25.16808903996219</c:v>
                </c:pt>
                <c:pt idx="134">
                  <c:v>25.145144502416198</c:v>
                </c:pt>
                <c:pt idx="135">
                  <c:v>25.143518436997631</c:v>
                </c:pt>
                <c:pt idx="136">
                  <c:v>25.156078493689709</c:v>
                </c:pt>
                <c:pt idx="137">
                  <c:v>25.184004753197208</c:v>
                </c:pt>
                <c:pt idx="138">
                  <c:v>25.224186211269224</c:v>
                </c:pt>
                <c:pt idx="139">
                  <c:v>25.278904923760301</c:v>
                </c:pt>
                <c:pt idx="140">
                  <c:v>25.353427808437374</c:v>
                </c:pt>
                <c:pt idx="141">
                  <c:v>25.433184697969629</c:v>
                </c:pt>
                <c:pt idx="142">
                  <c:v>25.524243562656828</c:v>
                </c:pt>
                <c:pt idx="143">
                  <c:v>25.623442147806596</c:v>
                </c:pt>
                <c:pt idx="144">
                  <c:v>25.732795850746175</c:v>
                </c:pt>
                <c:pt idx="145">
                  <c:v>25.857586279954806</c:v>
                </c:pt>
                <c:pt idx="146">
                  <c:v>25.995420492098823</c:v>
                </c:pt>
                <c:pt idx="147">
                  <c:v>26.129314079684473</c:v>
                </c:pt>
                <c:pt idx="148">
                  <c:v>26.269353755672164</c:v>
                </c:pt>
                <c:pt idx="149">
                  <c:v>26.410550081148511</c:v>
                </c:pt>
                <c:pt idx="150">
                  <c:v>26.552382144426151</c:v>
                </c:pt>
                <c:pt idx="151">
                  <c:v>26.695987298808067</c:v>
                </c:pt>
                <c:pt idx="152">
                  <c:v>26.850298676857122</c:v>
                </c:pt>
                <c:pt idx="153">
                  <c:v>26.996516296203858</c:v>
                </c:pt>
                <c:pt idx="154">
                  <c:v>27.146837987375484</c:v>
                </c:pt>
                <c:pt idx="155">
                  <c:v>27.298367909027341</c:v>
                </c:pt>
                <c:pt idx="156">
                  <c:v>27.449861902988687</c:v>
                </c:pt>
                <c:pt idx="157">
                  <c:v>27.600943249227022</c:v>
                </c:pt>
                <c:pt idx="158">
                  <c:v>27.7510193987519</c:v>
                </c:pt>
                <c:pt idx="159">
                  <c:v>27.901946171858935</c:v>
                </c:pt>
                <c:pt idx="160">
                  <c:v>28.049022898011192</c:v>
                </c:pt>
                <c:pt idx="161">
                  <c:v>28.21478025501824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ConceptDemo!$C$39:$C$44</c:f>
              <c:numCache>
                <c:formatCode>m/d/yyyy</c:formatCode>
                <c:ptCount val="6"/>
              </c:numCache>
            </c:numRef>
          </c:xVal>
          <c:yVal>
            <c:numRef>
              <c:f>ConceptDemo!$D$39:$D$44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0.15994465864049956</c:v>
                </c:pt>
                <c:pt idx="1">
                  <c:v>0.32916857878391725</c:v>
                </c:pt>
                <c:pt idx="2">
                  <c:v>0.49465053831488087</c:v>
                </c:pt>
                <c:pt idx="3">
                  <c:v>0.65664753549075328</c:v>
                </c:pt>
                <c:pt idx="4">
                  <c:v>0.81557959644274958</c:v>
                </c:pt>
                <c:pt idx="5">
                  <c:v>0.98528489557406607</c:v>
                </c:pt>
                <c:pt idx="6">
                  <c:v>1.1479421352048473</c:v>
                </c:pt>
                <c:pt idx="7">
                  <c:v>1.3096580313770796</c:v>
                </c:pt>
                <c:pt idx="8">
                  <c:v>1.4618633592124366</c:v>
                </c:pt>
                <c:pt idx="9">
                  <c:v>1.6124574163068792</c:v>
                </c:pt>
                <c:pt idx="10">
                  <c:v>1.758846416840671</c:v>
                </c:pt>
                <c:pt idx="11">
                  <c:v>1.9087236862765329</c:v>
                </c:pt>
                <c:pt idx="12">
                  <c:v>2.0558269390481634</c:v>
                </c:pt>
                <c:pt idx="13">
                  <c:v>2.1979702711505618</c:v>
                </c:pt>
                <c:pt idx="14">
                  <c:v>2.3380724005102942</c:v>
                </c:pt>
                <c:pt idx="15">
                  <c:v>2.4782076830531201</c:v>
                </c:pt>
                <c:pt idx="16">
                  <c:v>2.6260628254926641</c:v>
                </c:pt>
                <c:pt idx="17">
                  <c:v>2.7888598362005212</c:v>
                </c:pt>
                <c:pt idx="18">
                  <c:v>2.9448884943084717</c:v>
                </c:pt>
                <c:pt idx="19">
                  <c:v>3.0933697533822744</c:v>
                </c:pt>
                <c:pt idx="20">
                  <c:v>3.2343272924250481</c:v>
                </c:pt>
                <c:pt idx="21">
                  <c:v>3.3784173757809621</c:v>
                </c:pt>
                <c:pt idx="22">
                  <c:v>3.5301828942302453</c:v>
                </c:pt>
                <c:pt idx="23">
                  <c:v>3.6685207502240829</c:v>
                </c:pt>
                <c:pt idx="24">
                  <c:v>3.8050805415090148</c:v>
                </c:pt>
                <c:pt idx="25">
                  <c:v>3.9372951618726439</c:v>
                </c:pt>
                <c:pt idx="26">
                  <c:v>4.0784891862141306</c:v>
                </c:pt>
                <c:pt idx="27">
                  <c:v>4.2035185281063887</c:v>
                </c:pt>
                <c:pt idx="28">
                  <c:v>4.3262802031527254</c:v>
                </c:pt>
                <c:pt idx="29">
                  <c:v>4.4467429650094727</c:v>
                </c:pt>
                <c:pt idx="30">
                  <c:v>4.5646870126863499</c:v>
                </c:pt>
                <c:pt idx="31">
                  <c:v>4.6912326515932934</c:v>
                </c:pt>
                <c:pt idx="32">
                  <c:v>4.8112529992237754</c:v>
                </c:pt>
                <c:pt idx="33">
                  <c:v>4.9368559531709435</c:v>
                </c:pt>
                <c:pt idx="34">
                  <c:v>5.0617839711074142</c:v>
                </c:pt>
                <c:pt idx="35">
                  <c:v>5.1808645755010554</c:v>
                </c:pt>
                <c:pt idx="36">
                  <c:v>5.2945699951098124</c:v>
                </c:pt>
                <c:pt idx="37">
                  <c:v>5.4108500301361229</c:v>
                </c:pt>
                <c:pt idx="38">
                  <c:v>5.518301097439771</c:v>
                </c:pt>
                <c:pt idx="39">
                  <c:v>5.6238093449504047</c:v>
                </c:pt>
                <c:pt idx="40">
                  <c:v>5.7263271778240563</c:v>
                </c:pt>
                <c:pt idx="41">
                  <c:v>5.825581574728079</c:v>
                </c:pt>
                <c:pt idx="42">
                  <c:v>5.9184090864639503</c:v>
                </c:pt>
                <c:pt idx="43">
                  <c:v>6.0137036981050525</c:v>
                </c:pt>
                <c:pt idx="44">
                  <c:v>6.1067109152924406</c:v>
                </c:pt>
                <c:pt idx="45">
                  <c:v>6.2005577281067268</c:v>
                </c:pt>
                <c:pt idx="46">
                  <c:v>6.3054036048280189</c:v>
                </c:pt>
                <c:pt idx="47">
                  <c:v>6.4033195501975317</c:v>
                </c:pt>
                <c:pt idx="48">
                  <c:v>6.4992088372446544</c:v>
                </c:pt>
                <c:pt idx="49">
                  <c:v>6.5873521100960009</c:v>
                </c:pt>
                <c:pt idx="50">
                  <c:v>6.6786128481602862</c:v>
                </c:pt>
                <c:pt idx="51">
                  <c:v>6.7722075533721018</c:v>
                </c:pt>
                <c:pt idx="52">
                  <c:v>6.8693091820846446</c:v>
                </c:pt>
                <c:pt idx="53">
                  <c:v>6.9594088225288573</c:v>
                </c:pt>
                <c:pt idx="54">
                  <c:v>7.0469243444726759</c:v>
                </c:pt>
                <c:pt idx="55">
                  <c:v>7.1345719488759212</c:v>
                </c:pt>
                <c:pt idx="56">
                  <c:v>7.229408413669983</c:v>
                </c:pt>
                <c:pt idx="57">
                  <c:v>7.3253854336117747</c:v>
                </c:pt>
                <c:pt idx="58">
                  <c:v>7.41526036995384</c:v>
                </c:pt>
                <c:pt idx="59">
                  <c:v>7.5153475898398616</c:v>
                </c:pt>
                <c:pt idx="60">
                  <c:v>7.6172446474767268</c:v>
                </c:pt>
                <c:pt idx="61">
                  <c:v>7.7244070141497776</c:v>
                </c:pt>
                <c:pt idx="62">
                  <c:v>7.8292721477807383</c:v>
                </c:pt>
                <c:pt idx="63">
                  <c:v>7.9300427639178093</c:v>
                </c:pt>
                <c:pt idx="64">
                  <c:v>8.0308251954065852</c:v>
                </c:pt>
                <c:pt idx="65">
                  <c:v>8.1281739613691357</c:v>
                </c:pt>
                <c:pt idx="66">
                  <c:v>8.2290790198002099</c:v>
                </c:pt>
                <c:pt idx="67">
                  <c:v>8.3380495826533956</c:v>
                </c:pt>
                <c:pt idx="68">
                  <c:v>8.4479674288197035</c:v>
                </c:pt>
                <c:pt idx="69">
                  <c:v>8.5628706227077203</c:v>
                </c:pt>
                <c:pt idx="70">
                  <c:v>8.6730275432722141</c:v>
                </c:pt>
                <c:pt idx="71">
                  <c:v>8.7825419628370511</c:v>
                </c:pt>
                <c:pt idx="72">
                  <c:v>8.8873198853399717</c:v>
                </c:pt>
                <c:pt idx="73">
                  <c:v>8.9963139922342545</c:v>
                </c:pt>
                <c:pt idx="74">
                  <c:v>9.1080323082653116</c:v>
                </c:pt>
                <c:pt idx="75">
                  <c:v>9.2120297017131119</c:v>
                </c:pt>
                <c:pt idx="76">
                  <c:v>9.3209918098268982</c:v>
                </c:pt>
                <c:pt idx="77">
                  <c:v>9.437593360980232</c:v>
                </c:pt>
                <c:pt idx="78">
                  <c:v>9.5606850409471544</c:v>
                </c:pt>
                <c:pt idx="79">
                  <c:v>9.6763922826721984</c:v>
                </c:pt>
                <c:pt idx="80">
                  <c:v>9.7848207322214158</c:v>
                </c:pt>
                <c:pt idx="81">
                  <c:v>9.9029971743128655</c:v>
                </c:pt>
                <c:pt idx="82">
                  <c:v>10.018023120514375</c:v>
                </c:pt>
                <c:pt idx="83">
                  <c:v>10.131847082486772</c:v>
                </c:pt>
                <c:pt idx="84">
                  <c:v>10.248799489675159</c:v>
                </c:pt>
                <c:pt idx="85">
                  <c:v>10.366369772200951</c:v>
                </c:pt>
                <c:pt idx="86">
                  <c:v>10.485531094160198</c:v>
                </c:pt>
                <c:pt idx="87">
                  <c:v>10.604215643579183</c:v>
                </c:pt>
                <c:pt idx="88">
                  <c:v>10.72663032558002</c:v>
                </c:pt>
                <c:pt idx="89">
                  <c:v>10.84652986904082</c:v>
                </c:pt>
                <c:pt idx="90">
                  <c:v>10.970057024103056</c:v>
                </c:pt>
                <c:pt idx="91">
                  <c:v>11.092371084811729</c:v>
                </c:pt>
                <c:pt idx="92">
                  <c:v>11.206528992138486</c:v>
                </c:pt>
                <c:pt idx="93">
                  <c:v>11.337099645661931</c:v>
                </c:pt>
                <c:pt idx="94">
                  <c:v>11.473071787251246</c:v>
                </c:pt>
                <c:pt idx="95">
                  <c:v>11.594146892214477</c:v>
                </c:pt>
                <c:pt idx="96">
                  <c:v>11.722459404607006</c:v>
                </c:pt>
                <c:pt idx="97">
                  <c:v>11.844333395241531</c:v>
                </c:pt>
                <c:pt idx="98">
                  <c:v>11.967901627169516</c:v>
                </c:pt>
                <c:pt idx="99">
                  <c:v>12.101416330405804</c:v>
                </c:pt>
                <c:pt idx="100">
                  <c:v>12.232945131738438</c:v>
                </c:pt>
                <c:pt idx="101">
                  <c:v>12.354667342188677</c:v>
                </c:pt>
                <c:pt idx="102">
                  <c:v>12.478948273282274</c:v>
                </c:pt>
                <c:pt idx="103">
                  <c:v>12.602356729426928</c:v>
                </c:pt>
                <c:pt idx="104">
                  <c:v>12.736547629252122</c:v>
                </c:pt>
                <c:pt idx="105">
                  <c:v>12.869105916854123</c:v>
                </c:pt>
                <c:pt idx="106">
                  <c:v>12.991304281577287</c:v>
                </c:pt>
                <c:pt idx="107">
                  <c:v>13.112331632861741</c:v>
                </c:pt>
                <c:pt idx="108">
                  <c:v>13.23799578079776</c:v>
                </c:pt>
                <c:pt idx="109">
                  <c:v>13.36954413135704</c:v>
                </c:pt>
                <c:pt idx="110">
                  <c:v>13.501317922750186</c:v>
                </c:pt>
                <c:pt idx="111">
                  <c:v>13.631087144721864</c:v>
                </c:pt>
                <c:pt idx="112">
                  <c:v>13.764286391980544</c:v>
                </c:pt>
                <c:pt idx="113">
                  <c:v>13.890351959771042</c:v>
                </c:pt>
                <c:pt idx="114">
                  <c:v>14.01334349079821</c:v>
                </c:pt>
                <c:pt idx="115">
                  <c:v>14.14546381323818</c:v>
                </c:pt>
                <c:pt idx="116">
                  <c:v>14.273380854963772</c:v>
                </c:pt>
                <c:pt idx="117">
                  <c:v>14.388110289785802</c:v>
                </c:pt>
                <c:pt idx="118">
                  <c:v>14.515450113231879</c:v>
                </c:pt>
                <c:pt idx="119">
                  <c:v>14.651218523442758</c:v>
                </c:pt>
                <c:pt idx="120">
                  <c:v>14.775095479582104</c:v>
                </c:pt>
                <c:pt idx="121">
                  <c:v>14.895733279808255</c:v>
                </c:pt>
                <c:pt idx="122">
                  <c:v>15.014752977893506</c:v>
                </c:pt>
                <c:pt idx="123">
                  <c:v>15.1306020977306</c:v>
                </c:pt>
                <c:pt idx="124">
                  <c:v>15.246882795578465</c:v>
                </c:pt>
                <c:pt idx="125">
                  <c:v>15.368990258319322</c:v>
                </c:pt>
                <c:pt idx="126">
                  <c:v>15.493094574485012</c:v>
                </c:pt>
                <c:pt idx="127">
                  <c:v>15.621234387179474</c:v>
                </c:pt>
                <c:pt idx="128">
                  <c:v>15.750217156153127</c:v>
                </c:pt>
                <c:pt idx="129">
                  <c:v>15.872744710965669</c:v>
                </c:pt>
                <c:pt idx="130">
                  <c:v>15.986482585355068</c:v>
                </c:pt>
                <c:pt idx="131">
                  <c:v>16.098706790311248</c:v>
                </c:pt>
                <c:pt idx="132">
                  <c:v>16.227277538127662</c:v>
                </c:pt>
                <c:pt idx="133">
                  <c:v>16.34103368543682</c:v>
                </c:pt>
                <c:pt idx="134">
                  <c:v>16.458689358576766</c:v>
                </c:pt>
                <c:pt idx="135">
                  <c:v>16.578245548348857</c:v>
                </c:pt>
                <c:pt idx="136">
                  <c:v>16.700913815003521</c:v>
                </c:pt>
                <c:pt idx="137">
                  <c:v>16.825197817435036</c:v>
                </c:pt>
                <c:pt idx="138">
                  <c:v>16.948692727591109</c:v>
                </c:pt>
                <c:pt idx="139">
                  <c:v>17.078775948114686</c:v>
                </c:pt>
                <c:pt idx="140">
                  <c:v>17.216459345560914</c:v>
                </c:pt>
                <c:pt idx="141">
                  <c:v>17.340108304602339</c:v>
                </c:pt>
                <c:pt idx="142">
                  <c:v>17.462044738420893</c:v>
                </c:pt>
                <c:pt idx="143">
                  <c:v>17.58234142263953</c:v>
                </c:pt>
                <c:pt idx="144">
                  <c:v>17.708883251171038</c:v>
                </c:pt>
                <c:pt idx="145">
                  <c:v>17.847601396516122</c:v>
                </c:pt>
                <c:pt idx="146">
                  <c:v>17.992785663097123</c:v>
                </c:pt>
                <c:pt idx="147">
                  <c:v>18.130408975962261</c:v>
                </c:pt>
                <c:pt idx="148">
                  <c:v>18.267467991861611</c:v>
                </c:pt>
                <c:pt idx="149">
                  <c:v>18.403824248041719</c:v>
                </c:pt>
                <c:pt idx="150">
                  <c:v>18.537566596270764</c:v>
                </c:pt>
                <c:pt idx="151">
                  <c:v>18.669647809674217</c:v>
                </c:pt>
                <c:pt idx="152">
                  <c:v>18.809778086388814</c:v>
                </c:pt>
                <c:pt idx="153">
                  <c:v>18.941924399500245</c:v>
                </c:pt>
                <c:pt idx="154">
                  <c:v>19.075568118520536</c:v>
                </c:pt>
                <c:pt idx="155">
                  <c:v>19.209345904063184</c:v>
                </c:pt>
                <c:pt idx="156">
                  <c:v>19.342029982339145</c:v>
                </c:pt>
                <c:pt idx="157">
                  <c:v>19.474771331897401</c:v>
                </c:pt>
                <c:pt idx="158">
                  <c:v>19.605378678116274</c:v>
                </c:pt>
                <c:pt idx="159">
                  <c:v>19.733394206961758</c:v>
                </c:pt>
                <c:pt idx="160">
                  <c:v>19.856898963204156</c:v>
                </c:pt>
                <c:pt idx="161">
                  <c:v>19.995612186262914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2.6822676512949926</c:v>
                </c:pt>
                <c:pt idx="1">
                  <c:v>2.6653531880991506</c:v>
                </c:pt>
                <c:pt idx="2">
                  <c:v>2.6714698481785493</c:v>
                </c:pt>
                <c:pt idx="3">
                  <c:v>2.6985995144954629</c:v>
                </c:pt>
                <c:pt idx="4">
                  <c:v>2.7445528076344816</c:v>
                </c:pt>
                <c:pt idx="5">
                  <c:v>2.8141852560512186</c:v>
                </c:pt>
                <c:pt idx="6">
                  <c:v>2.9029411512097889</c:v>
                </c:pt>
                <c:pt idx="7">
                  <c:v>3.0113897035224761</c:v>
                </c:pt>
                <c:pt idx="8">
                  <c:v>3.1295980646768298</c:v>
                </c:pt>
                <c:pt idx="9">
                  <c:v>3.2586871914620166</c:v>
                </c:pt>
                <c:pt idx="10">
                  <c:v>3.3987287375980308</c:v>
                </c:pt>
                <c:pt idx="11">
                  <c:v>3.5557002986473512</c:v>
                </c:pt>
                <c:pt idx="12">
                  <c:v>3.7239041765230865</c:v>
                </c:pt>
                <c:pt idx="13">
                  <c:v>3.8925648865668125</c:v>
                </c:pt>
                <c:pt idx="14">
                  <c:v>4.0649415211655153</c:v>
                </c:pt>
                <c:pt idx="15">
                  <c:v>4.2428827951305106</c:v>
                </c:pt>
                <c:pt idx="16">
                  <c:v>4.4356216605097778</c:v>
                </c:pt>
                <c:pt idx="17">
                  <c:v>4.6521651273147295</c:v>
                </c:pt>
                <c:pt idx="18">
                  <c:v>4.8657427105248683</c:v>
                </c:pt>
                <c:pt idx="19">
                  <c:v>5.0782986944450759</c:v>
                </c:pt>
                <c:pt idx="20">
                  <c:v>5.2903415021545115</c:v>
                </c:pt>
                <c:pt idx="21">
                  <c:v>5.5137487003485521</c:v>
                </c:pt>
                <c:pt idx="22">
                  <c:v>5.7523597078830226</c:v>
                </c:pt>
                <c:pt idx="23">
                  <c:v>5.983028469389974</c:v>
                </c:pt>
                <c:pt idx="24">
                  <c:v>6.2145661199779081</c:v>
                </c:pt>
                <c:pt idx="25">
                  <c:v>6.4479291470375948</c:v>
                </c:pt>
                <c:pt idx="26">
                  <c:v>6.6998738591797462</c:v>
                </c:pt>
                <c:pt idx="27">
                  <c:v>6.9337719026570177</c:v>
                </c:pt>
                <c:pt idx="28">
                  <c:v>7.1661116201796045</c:v>
                </c:pt>
                <c:pt idx="29">
                  <c:v>7.3989639873468462</c:v>
                </c:pt>
                <c:pt idx="30">
                  <c:v>7.631502790959285</c:v>
                </c:pt>
                <c:pt idx="31">
                  <c:v>7.8705620491868409</c:v>
                </c:pt>
                <c:pt idx="32">
                  <c:v>8.0964409771787658</c:v>
                </c:pt>
                <c:pt idx="33">
                  <c:v>8.3262302464577758</c:v>
                </c:pt>
                <c:pt idx="34">
                  <c:v>8.5482768526034114</c:v>
                </c:pt>
                <c:pt idx="35">
                  <c:v>8.7562428766831815</c:v>
                </c:pt>
                <c:pt idx="36">
                  <c:v>8.9460654570159726</c:v>
                </c:pt>
                <c:pt idx="37">
                  <c:v>9.1289478570575948</c:v>
                </c:pt>
                <c:pt idx="38">
                  <c:v>9.2944269799524122</c:v>
                </c:pt>
                <c:pt idx="39">
                  <c:v>9.4465095280158238</c:v>
                </c:pt>
                <c:pt idx="40">
                  <c:v>9.5841700834704575</c:v>
                </c:pt>
                <c:pt idx="41">
                  <c:v>9.7123319400946002</c:v>
                </c:pt>
                <c:pt idx="42">
                  <c:v>9.8269741939750439</c:v>
                </c:pt>
                <c:pt idx="43">
                  <c:v>9.9432712969862216</c:v>
                </c:pt>
                <c:pt idx="44">
                  <c:v>10.0502411838022</c:v>
                </c:pt>
                <c:pt idx="45">
                  <c:v>10.152026981594584</c:v>
                </c:pt>
                <c:pt idx="46">
                  <c:v>10.254495992544916</c:v>
                </c:pt>
                <c:pt idx="47">
                  <c:v>10.346480640358402</c:v>
                </c:pt>
                <c:pt idx="48">
                  <c:v>10.440170014019772</c:v>
                </c:pt>
                <c:pt idx="49">
                  <c:v>10.525194642662283</c:v>
                </c:pt>
                <c:pt idx="50">
                  <c:v>10.605552309282636</c:v>
                </c:pt>
                <c:pt idx="51">
                  <c:v>10.681934035238324</c:v>
                </c:pt>
                <c:pt idx="52">
                  <c:v>10.763028553084048</c:v>
                </c:pt>
                <c:pt idx="53">
                  <c:v>10.839752836668254</c:v>
                </c:pt>
                <c:pt idx="54">
                  <c:v>10.920720999222358</c:v>
                </c:pt>
                <c:pt idx="55">
                  <c:v>11.007522263874442</c:v>
                </c:pt>
                <c:pt idx="56">
                  <c:v>11.098609717371259</c:v>
                </c:pt>
                <c:pt idx="57">
                  <c:v>11.195997190630703</c:v>
                </c:pt>
                <c:pt idx="58">
                  <c:v>11.286584230066621</c:v>
                </c:pt>
                <c:pt idx="59">
                  <c:v>11.380526315276121</c:v>
                </c:pt>
                <c:pt idx="60">
                  <c:v>11.472520068492216</c:v>
                </c:pt>
                <c:pt idx="61">
                  <c:v>11.57467780701611</c:v>
                </c:pt>
                <c:pt idx="62">
                  <c:v>11.674869165852806</c:v>
                </c:pt>
                <c:pt idx="63">
                  <c:v>11.76718036780583</c:v>
                </c:pt>
                <c:pt idx="64">
                  <c:v>11.863878884007928</c:v>
                </c:pt>
                <c:pt idx="65">
                  <c:v>11.954355859777809</c:v>
                </c:pt>
                <c:pt idx="66">
                  <c:v>12.046389827626351</c:v>
                </c:pt>
                <c:pt idx="67">
                  <c:v>12.14080899916727</c:v>
                </c:pt>
                <c:pt idx="68">
                  <c:v>12.230386987731713</c:v>
                </c:pt>
                <c:pt idx="69">
                  <c:v>12.31942122250916</c:v>
                </c:pt>
                <c:pt idx="70">
                  <c:v>12.402112777979738</c:v>
                </c:pt>
                <c:pt idx="71">
                  <c:v>12.484294400992464</c:v>
                </c:pt>
                <c:pt idx="72">
                  <c:v>12.564557004570226</c:v>
                </c:pt>
                <c:pt idx="73">
                  <c:v>12.644926272631373</c:v>
                </c:pt>
                <c:pt idx="74">
                  <c:v>12.732308155340018</c:v>
                </c:pt>
                <c:pt idx="75">
                  <c:v>12.809104764798681</c:v>
                </c:pt>
                <c:pt idx="76">
                  <c:v>12.884486364734304</c:v>
                </c:pt>
                <c:pt idx="77">
                  <c:v>12.957801398726966</c:v>
                </c:pt>
                <c:pt idx="78">
                  <c:v>13.033531576257623</c:v>
                </c:pt>
                <c:pt idx="79">
                  <c:v>13.110667953969074</c:v>
                </c:pt>
                <c:pt idx="80">
                  <c:v>13.181331362627272</c:v>
                </c:pt>
                <c:pt idx="81">
                  <c:v>13.254965297940993</c:v>
                </c:pt>
                <c:pt idx="82">
                  <c:v>13.328696246543167</c:v>
                </c:pt>
                <c:pt idx="83">
                  <c:v>13.405172050567593</c:v>
                </c:pt>
                <c:pt idx="84">
                  <c:v>13.484250075353419</c:v>
                </c:pt>
                <c:pt idx="85">
                  <c:v>13.563576112174257</c:v>
                </c:pt>
                <c:pt idx="86">
                  <c:v>13.652702227915807</c:v>
                </c:pt>
                <c:pt idx="87">
                  <c:v>13.742857647058116</c:v>
                </c:pt>
                <c:pt idx="88">
                  <c:v>13.83463454590186</c:v>
                </c:pt>
                <c:pt idx="89">
                  <c:v>13.922720972511074</c:v>
                </c:pt>
                <c:pt idx="90">
                  <c:v>14.006402301696168</c:v>
                </c:pt>
                <c:pt idx="91">
                  <c:v>14.084837222629437</c:v>
                </c:pt>
                <c:pt idx="92">
                  <c:v>14.154258541272604</c:v>
                </c:pt>
                <c:pt idx="93">
                  <c:v>14.229286095492252</c:v>
                </c:pt>
                <c:pt idx="94">
                  <c:v>14.311385760363876</c:v>
                </c:pt>
                <c:pt idx="95">
                  <c:v>14.382053788499377</c:v>
                </c:pt>
                <c:pt idx="96">
                  <c:v>14.458557605737305</c:v>
                </c:pt>
                <c:pt idx="97">
                  <c:v>14.528232724488932</c:v>
                </c:pt>
                <c:pt idx="98">
                  <c:v>14.594443306361246</c:v>
                </c:pt>
                <c:pt idx="99">
                  <c:v>14.664316212533553</c:v>
                </c:pt>
                <c:pt idx="100">
                  <c:v>14.734880722261106</c:v>
                </c:pt>
                <c:pt idx="101">
                  <c:v>14.800782881949091</c:v>
                </c:pt>
                <c:pt idx="102">
                  <c:v>14.866423955450081</c:v>
                </c:pt>
                <c:pt idx="103">
                  <c:v>14.92669209534121</c:v>
                </c:pt>
                <c:pt idx="104">
                  <c:v>14.988250639819151</c:v>
                </c:pt>
                <c:pt idx="105">
                  <c:v>15.050567215533452</c:v>
                </c:pt>
                <c:pt idx="106">
                  <c:v>15.105288058558884</c:v>
                </c:pt>
                <c:pt idx="107">
                  <c:v>15.161923431821048</c:v>
                </c:pt>
                <c:pt idx="108">
                  <c:v>15.221177830290459</c:v>
                </c:pt>
                <c:pt idx="109">
                  <c:v>15.284292172730062</c:v>
                </c:pt>
                <c:pt idx="110">
                  <c:v>15.344229032727798</c:v>
                </c:pt>
                <c:pt idx="111">
                  <c:v>15.399300380625526</c:v>
                </c:pt>
                <c:pt idx="112">
                  <c:v>15.45219720522674</c:v>
                </c:pt>
                <c:pt idx="113">
                  <c:v>15.498656499889124</c:v>
                </c:pt>
                <c:pt idx="114">
                  <c:v>15.540121771723223</c:v>
                </c:pt>
                <c:pt idx="115">
                  <c:v>15.589358592892536</c:v>
                </c:pt>
                <c:pt idx="116">
                  <c:v>15.633878938049248</c:v>
                </c:pt>
                <c:pt idx="117">
                  <c:v>15.669717484327341</c:v>
                </c:pt>
                <c:pt idx="118">
                  <c:v>15.704763664307782</c:v>
                </c:pt>
                <c:pt idx="119">
                  <c:v>15.7429085594899</c:v>
                </c:pt>
                <c:pt idx="120">
                  <c:v>15.77521837405766</c:v>
                </c:pt>
                <c:pt idx="121">
                  <c:v>15.806401146599967</c:v>
                </c:pt>
                <c:pt idx="122">
                  <c:v>15.836487050135666</c:v>
                </c:pt>
                <c:pt idx="123">
                  <c:v>15.864132980444063</c:v>
                </c:pt>
                <c:pt idx="124">
                  <c:v>15.894078007444959</c:v>
                </c:pt>
                <c:pt idx="125">
                  <c:v>15.923510727596378</c:v>
                </c:pt>
                <c:pt idx="126">
                  <c:v>15.948913048294777</c:v>
                </c:pt>
                <c:pt idx="127">
                  <c:v>15.972693762018229</c:v>
                </c:pt>
                <c:pt idx="128">
                  <c:v>15.99574742850533</c:v>
                </c:pt>
                <c:pt idx="129">
                  <c:v>16.015399124031386</c:v>
                </c:pt>
                <c:pt idx="130">
                  <c:v>16.034998423505947</c:v>
                </c:pt>
                <c:pt idx="131">
                  <c:v>16.054606291377112</c:v>
                </c:pt>
                <c:pt idx="132">
                  <c:v>16.080003504471286</c:v>
                </c:pt>
                <c:pt idx="133">
                  <c:v>16.106669837391991</c:v>
                </c:pt>
                <c:pt idx="134">
                  <c:v>16.133284897541465</c:v>
                </c:pt>
                <c:pt idx="135">
                  <c:v>16.163130791453536</c:v>
                </c:pt>
                <c:pt idx="136">
                  <c:v>16.193248400683501</c:v>
                </c:pt>
                <c:pt idx="137">
                  <c:v>16.224276260702347</c:v>
                </c:pt>
                <c:pt idx="138">
                  <c:v>16.25483583342028</c:v>
                </c:pt>
                <c:pt idx="139">
                  <c:v>16.287140284974313</c:v>
                </c:pt>
                <c:pt idx="140">
                  <c:v>16.324026806908591</c:v>
                </c:pt>
                <c:pt idx="141">
                  <c:v>16.359059748850498</c:v>
                </c:pt>
                <c:pt idx="142">
                  <c:v>16.3965298839151</c:v>
                </c:pt>
                <c:pt idx="143">
                  <c:v>16.435244070917353</c:v>
                </c:pt>
                <c:pt idx="144">
                  <c:v>16.475426109133085</c:v>
                </c:pt>
                <c:pt idx="145">
                  <c:v>16.518553292821068</c:v>
                </c:pt>
                <c:pt idx="146">
                  <c:v>16.564092681439533</c:v>
                </c:pt>
                <c:pt idx="147">
                  <c:v>16.605632048867303</c:v>
                </c:pt>
                <c:pt idx="148">
                  <c:v>16.648274063461066</c:v>
                </c:pt>
                <c:pt idx="149">
                  <c:v>16.689014324963122</c:v>
                </c:pt>
                <c:pt idx="150">
                  <c:v>16.728666564483326</c:v>
                </c:pt>
                <c:pt idx="151">
                  <c:v>16.768018185624847</c:v>
                </c:pt>
                <c:pt idx="152">
                  <c:v>16.808920968177667</c:v>
                </c:pt>
                <c:pt idx="153">
                  <c:v>16.845926323934073</c:v>
                </c:pt>
                <c:pt idx="154">
                  <c:v>16.883380041144449</c:v>
                </c:pt>
                <c:pt idx="155">
                  <c:v>16.919984469749807</c:v>
                </c:pt>
                <c:pt idx="156">
                  <c:v>16.955680555289291</c:v>
                </c:pt>
                <c:pt idx="157">
                  <c:v>16.98956844276892</c:v>
                </c:pt>
                <c:pt idx="158">
                  <c:v>17.022767330920217</c:v>
                </c:pt>
                <c:pt idx="159">
                  <c:v>17.057325989918041</c:v>
                </c:pt>
                <c:pt idx="160">
                  <c:v>17.090930856842597</c:v>
                </c:pt>
                <c:pt idx="161">
                  <c:v>17.128251250882194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ConceptDemo!$Z$18:$Z$662</c:f>
              <c:numCache>
                <c:formatCode>General</c:formatCode>
                <c:ptCount val="645"/>
                <c:pt idx="0">
                  <c:v>37.551747118129896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1.4906127963132452</c:v>
                </c:pt>
                <c:pt idx="17">
                  <c:v>1.9212548486239411</c:v>
                </c:pt>
                <c:pt idx="18">
                  <c:v>1.8744195248006958</c:v>
                </c:pt>
                <c:pt idx="19">
                  <c:v>1.8689899748433056</c:v>
                </c:pt>
                <c:pt idx="20">
                  <c:v>1.8809882094273496</c:v>
                </c:pt>
                <c:pt idx="21">
                  <c:v>2.1741811603143493</c:v>
                </c:pt>
                <c:pt idx="22">
                  <c:v>2.5913663777871214</c:v>
                </c:pt>
                <c:pt idx="23">
                  <c:v>2.5161126558197804</c:v>
                </c:pt>
                <c:pt idx="24">
                  <c:v>2.6505212446189814</c:v>
                </c:pt>
                <c:pt idx="25">
                  <c:v>2.8308750093672073</c:v>
                </c:pt>
                <c:pt idx="26">
                  <c:v>3.5040201038451277</c:v>
                </c:pt>
                <c:pt idx="27">
                  <c:v>3.2061676821045078</c:v>
                </c:pt>
                <c:pt idx="28">
                  <c:v>3.3563890107906786</c:v>
                </c:pt>
                <c:pt idx="29">
                  <c:v>3.594654494162949</c:v>
                </c:pt>
                <c:pt idx="30">
                  <c:v>3.9285669543559241</c:v>
                </c:pt>
                <c:pt idx="31">
                  <c:v>4.827513595299175</c:v>
                </c:pt>
                <c:pt idx="32">
                  <c:v>4.837891308259497</c:v>
                </c:pt>
                <c:pt idx="33">
                  <c:v>5.6062957818049011</c:v>
                </c:pt>
                <c:pt idx="34">
                  <c:v>6.1483376549001125</c:v>
                </c:pt>
                <c:pt idx="35">
                  <c:v>6.3084736218131123</c:v>
                </c:pt>
                <c:pt idx="36">
                  <c:v>6.6794120893448898</c:v>
                </c:pt>
                <c:pt idx="37">
                  <c:v>7.7380943247067684</c:v>
                </c:pt>
                <c:pt idx="38">
                  <c:v>7.6135978989178899</c:v>
                </c:pt>
                <c:pt idx="39">
                  <c:v>8.3388717489214521</c:v>
                </c:pt>
                <c:pt idx="40">
                  <c:v>8.9779810362225021</c:v>
                </c:pt>
                <c:pt idx="41">
                  <c:v>9.3708219932835206</c:v>
                </c:pt>
                <c:pt idx="42">
                  <c:v>9.3118750187799222</c:v>
                </c:pt>
                <c:pt idx="43">
                  <c:v>10.276747546375315</c:v>
                </c:pt>
                <c:pt idx="44">
                  <c:v>10.858361754820521</c:v>
                </c:pt>
                <c:pt idx="45">
                  <c:v>11.968390347003332</c:v>
                </c:pt>
                <c:pt idx="46">
                  <c:v>15.299326643406541</c:v>
                </c:pt>
                <c:pt idx="47">
                  <c:v>15.256480962298067</c:v>
                </c:pt>
                <c:pt idx="48">
                  <c:v>15.63648912570601</c:v>
                </c:pt>
                <c:pt idx="49">
                  <c:v>14.867129995448096</c:v>
                </c:pt>
                <c:pt idx="50">
                  <c:v>17.020070099452461</c:v>
                </c:pt>
                <c:pt idx="51">
                  <c:v>19.106888478453627</c:v>
                </c:pt>
                <c:pt idx="52">
                  <c:v>21.224279629657843</c:v>
                </c:pt>
                <c:pt idx="53">
                  <c:v>20.330673580434116</c:v>
                </c:pt>
                <c:pt idx="54">
                  <c:v>20.072484125984673</c:v>
                </c:pt>
                <c:pt idx="55">
                  <c:v>20.598421443977969</c:v>
                </c:pt>
                <c:pt idx="56">
                  <c:v>24.475104441440614</c:v>
                </c:pt>
                <c:pt idx="57">
                  <c:v>25.629806190698503</c:v>
                </c:pt>
                <c:pt idx="58">
                  <c:v>24.699823338642226</c:v>
                </c:pt>
                <c:pt idx="59">
                  <c:v>30.910963929731018</c:v>
                </c:pt>
                <c:pt idx="60">
                  <c:v>33.915991902634516</c:v>
                </c:pt>
                <c:pt idx="61">
                  <c:v>37.364808571874917</c:v>
                </c:pt>
                <c:pt idx="62">
                  <c:v>38.394936474289977</c:v>
                </c:pt>
                <c:pt idx="63">
                  <c:v>39.14069214319008</c:v>
                </c:pt>
                <c:pt idx="64">
                  <c:v>40.248422657670361</c:v>
                </c:pt>
                <c:pt idx="65">
                  <c:v>40.836688347981877</c:v>
                </c:pt>
                <c:pt idx="66">
                  <c:v>45.029306368253771</c:v>
                </c:pt>
                <c:pt idx="67">
                  <c:v>52.872781633266541</c:v>
                </c:pt>
                <c:pt idx="68">
                  <c:v>57.283034347844335</c:v>
                </c:pt>
                <c:pt idx="69">
                  <c:v>64.290837298905473</c:v>
                </c:pt>
                <c:pt idx="70">
                  <c:v>64.792660944404275</c:v>
                </c:pt>
                <c:pt idx="71">
                  <c:v>67.15008896608785</c:v>
                </c:pt>
                <c:pt idx="72">
                  <c:v>65.749840623502536</c:v>
                </c:pt>
                <c:pt idx="73">
                  <c:v>72.224542236007096</c:v>
                </c:pt>
                <c:pt idx="74">
                  <c:v>75.30142373238408</c:v>
                </c:pt>
                <c:pt idx="75">
                  <c:v>72.591676207743319</c:v>
                </c:pt>
                <c:pt idx="76">
                  <c:v>80.353786198081906</c:v>
                </c:pt>
                <c:pt idx="77">
                  <c:v>91.262275554582288</c:v>
                </c:pt>
                <c:pt idx="78">
                  <c:v>99.610651221993663</c:v>
                </c:pt>
                <c:pt idx="79">
                  <c:v>92.932942223970173</c:v>
                </c:pt>
                <c:pt idx="80">
                  <c:v>87.910257156718416</c:v>
                </c:pt>
                <c:pt idx="81">
                  <c:v>98.93282116643752</c:v>
                </c:pt>
                <c:pt idx="82">
                  <c:v>95.715287415855983</c:v>
                </c:pt>
                <c:pt idx="83">
                  <c:v>93.202439253792988</c:v>
                </c:pt>
                <c:pt idx="84">
                  <c:v>95.37548622178673</c:v>
                </c:pt>
                <c:pt idx="85">
                  <c:v>95.048174484326296</c:v>
                </c:pt>
                <c:pt idx="86">
                  <c:v>91.201037712803782</c:v>
                </c:pt>
                <c:pt idx="87">
                  <c:v>88.240511851797919</c:v>
                </c:pt>
                <c:pt idx="88">
                  <c:v>89.602547625954401</c:v>
                </c:pt>
                <c:pt idx="89">
                  <c:v>85.858140034808685</c:v>
                </c:pt>
                <c:pt idx="90">
                  <c:v>89.079539173472313</c:v>
                </c:pt>
                <c:pt idx="91">
                  <c:v>86.810296806951442</c:v>
                </c:pt>
                <c:pt idx="92">
                  <c:v>78.826827035404165</c:v>
                </c:pt>
                <c:pt idx="93">
                  <c:v>88.955338799409446</c:v>
                </c:pt>
                <c:pt idx="94">
                  <c:v>86.571323981940566</c:v>
                </c:pt>
                <c:pt idx="95">
                  <c:v>73.325955812521443</c:v>
                </c:pt>
                <c:pt idx="96">
                  <c:v>73.160675469546163</c:v>
                </c:pt>
                <c:pt idx="97">
                  <c:v>66.163147197642047</c:v>
                </c:pt>
                <c:pt idx="98">
                  <c:v>64.496411254141663</c:v>
                </c:pt>
                <c:pt idx="99">
                  <c:v>65.797344688430996</c:v>
                </c:pt>
                <c:pt idx="100">
                  <c:v>59.637431964465407</c:v>
                </c:pt>
                <c:pt idx="101">
                  <c:v>50.812589349518817</c:v>
                </c:pt>
                <c:pt idx="102">
                  <c:v>48.700906496099435</c:v>
                </c:pt>
                <c:pt idx="103">
                  <c:v>45.943008538695665</c:v>
                </c:pt>
                <c:pt idx="104">
                  <c:v>47.02582733461395</c:v>
                </c:pt>
                <c:pt idx="105">
                  <c:v>42.194163261592507</c:v>
                </c:pt>
                <c:pt idx="106">
                  <c:v>36.014354199198124</c:v>
                </c:pt>
                <c:pt idx="107">
                  <c:v>32.314756585794612</c:v>
                </c:pt>
                <c:pt idx="108">
                  <c:v>30.782067249987904</c:v>
                </c:pt>
                <c:pt idx="109">
                  <c:v>29.290939509496184</c:v>
                </c:pt>
                <c:pt idx="110">
                  <c:v>27.184788262613893</c:v>
                </c:pt>
                <c:pt idx="111">
                  <c:v>24.837061786632034</c:v>
                </c:pt>
                <c:pt idx="112">
                  <c:v>23.553874292199907</c:v>
                </c:pt>
                <c:pt idx="113">
                  <c:v>20.52118112121957</c:v>
                </c:pt>
                <c:pt idx="114">
                  <c:v>18.502639415454155</c:v>
                </c:pt>
                <c:pt idx="115">
                  <c:v>17.622980266456352</c:v>
                </c:pt>
                <c:pt idx="116">
                  <c:v>15.632721958443767</c:v>
                </c:pt>
                <c:pt idx="117">
                  <c:v>12.911991450861024</c:v>
                </c:pt>
                <c:pt idx="118">
                  <c:v>13.369705245386854</c:v>
                </c:pt>
                <c:pt idx="119">
                  <c:v>12.751686603532107</c:v>
                </c:pt>
                <c:pt idx="120">
                  <c:v>10.535071182020374</c:v>
                </c:pt>
                <c:pt idx="121">
                  <c:v>9.2540246847956951</c:v>
                </c:pt>
                <c:pt idx="122">
                  <c:v>8.2695269694404487</c:v>
                </c:pt>
                <c:pt idx="123">
                  <c:v>7.3277799622313751</c:v>
                </c:pt>
                <c:pt idx="124">
                  <c:v>6.590668608451324</c:v>
                </c:pt>
                <c:pt idx="125">
                  <c:v>6.3364435411011755</c:v>
                </c:pt>
                <c:pt idx="126">
                  <c:v>5.9110013735206621</c:v>
                </c:pt>
                <c:pt idx="127">
                  <c:v>5.5208080922679983</c:v>
                </c:pt>
                <c:pt idx="128">
                  <c:v>4.9762737437363285</c:v>
                </c:pt>
                <c:pt idx="129">
                  <c:v>4.2584012293883688</c:v>
                </c:pt>
                <c:pt idx="130">
                  <c:v>3.520517339565572</c:v>
                </c:pt>
                <c:pt idx="131">
                  <c:v>3.1344583309551126</c:v>
                </c:pt>
                <c:pt idx="132">
                  <c:v>3.2132268001158764</c:v>
                </c:pt>
                <c:pt idx="133">
                  <c:v>2.4811943749837155</c:v>
                </c:pt>
                <c:pt idx="134">
                  <c:v>2.3410137916957865</c:v>
                </c:pt>
                <c:pt idx="135">
                  <c:v>2.1143940874381997</c:v>
                </c:pt>
                <c:pt idx="136">
                  <c:v>1.9631614686957164</c:v>
                </c:pt>
                <c:pt idx="137">
                  <c:v>1.78339844120012</c:v>
                </c:pt>
                <c:pt idx="138">
                  <c:v>1.5942223472278556</c:v>
                </c:pt>
                <c:pt idx="139">
                  <c:v>1.5073654342114651</c:v>
                </c:pt>
                <c:pt idx="140">
                  <c:v>1.4006584858481119</c:v>
                </c:pt>
                <c:pt idx="141">
                  <c:v>1.1049501603150702</c:v>
                </c:pt>
                <c:pt idx="142">
                  <c:v>0.95686785874340785</c:v>
                </c:pt>
                <c:pt idx="143">
                  <c:v>0.83737200499570008</c:v>
                </c:pt>
                <c:pt idx="144">
                  <c:v>0.80318229330725899</c:v>
                </c:pt>
                <c:pt idx="145">
                  <c:v>0.79876859754210727</c:v>
                </c:pt>
                <c:pt idx="146">
                  <c:v>0.74045220277628232</c:v>
                </c:pt>
                <c:pt idx="147">
                  <c:v>0.63376729790161335</c:v>
                </c:pt>
                <c:pt idx="148">
                  <c:v>0.55525896307597122</c:v>
                </c:pt>
                <c:pt idx="149">
                  <c:v>0.5026026908814174</c:v>
                </c:pt>
                <c:pt idx="150">
                  <c:v>0.44187534260254324</c:v>
                </c:pt>
                <c:pt idx="151">
                  <c:v>0.38958752228279536</c:v>
                </c:pt>
                <c:pt idx="152">
                  <c:v>0.37410353705706711</c:v>
                </c:pt>
                <c:pt idx="153">
                  <c:v>0.32107669329536748</c:v>
                </c:pt>
                <c:pt idx="154">
                  <c:v>0.29086043082656943</c:v>
                </c:pt>
                <c:pt idx="155">
                  <c:v>0.26393209494608527</c:v>
                </c:pt>
                <c:pt idx="156">
                  <c:v>0.23640637795745079</c:v>
                </c:pt>
                <c:pt idx="157">
                  <c:v>0.21767047119374183</c:v>
                </c:pt>
                <c:pt idx="158">
                  <c:v>0.19222118783409314</c:v>
                </c:pt>
                <c:pt idx="159">
                  <c:v>0.16306380630783224</c:v>
                </c:pt>
                <c:pt idx="160">
                  <c:v>0.14046055820574566</c:v>
                </c:pt>
                <c:pt idx="161">
                  <c:v>0.14386764127823426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03-4901-8D4F-141310547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4122207547977645"/>
          <c:h val="0.53807846095033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3.1383073592145814</c:v>
                </c:pt>
                <c:pt idx="15">
                  <c:v>3.5533160164828197</c:v>
                </c:pt>
                <c:pt idx="16">
                  <c:v>4.0021647326342071</c:v>
                </c:pt>
                <c:pt idx="17">
                  <c:v>4.4757788299228993</c:v>
                </c:pt>
                <c:pt idx="18">
                  <c:v>5.0122240340404911</c:v>
                </c:pt>
                <c:pt idx="19">
                  <c:v>5.6330164211983451</c:v>
                </c:pt>
                <c:pt idx="20">
                  <c:v>6.2678408771241649</c:v>
                </c:pt>
                <c:pt idx="21">
                  <c:v>7.0475571021150589</c:v>
                </c:pt>
                <c:pt idx="22">
                  <c:v>7.9674797145089782</c:v>
                </c:pt>
                <c:pt idx="23">
                  <c:v>8.9981620424985795</c:v>
                </c:pt>
                <c:pt idx="24">
                  <c:v>10.167553862571809</c:v>
                </c:pt>
                <c:pt idx="25">
                  <c:v>11.357425039766341</c:v>
                </c:pt>
                <c:pt idx="26">
                  <c:v>12.59427462131498</c:v>
                </c:pt>
                <c:pt idx="27">
                  <c:v>14.056491164578459</c:v>
                </c:pt>
                <c:pt idx="28">
                  <c:v>15.604161747520772</c:v>
                </c:pt>
                <c:pt idx="29">
                  <c:v>17.206603454139834</c:v>
                </c:pt>
                <c:pt idx="30">
                  <c:v>18.911162268229365</c:v>
                </c:pt>
                <c:pt idx="31">
                  <c:v>20.81047929992755</c:v>
                </c:pt>
                <c:pt idx="32">
                  <c:v>22.86225424877351</c:v>
                </c:pt>
                <c:pt idx="33">
                  <c:v>25.11223945780171</c:v>
                </c:pt>
                <c:pt idx="34">
                  <c:v>27.387244740738417</c:v>
                </c:pt>
                <c:pt idx="35">
                  <c:v>29.505867278512</c:v>
                </c:pt>
                <c:pt idx="36">
                  <c:v>31.863519679449382</c:v>
                </c:pt>
                <c:pt idx="37">
                  <c:v>34.333164568885365</c:v>
                </c:pt>
                <c:pt idx="38">
                  <c:v>37.166643721013209</c:v>
                </c:pt>
                <c:pt idx="39">
                  <c:v>40.026792152297851</c:v>
                </c:pt>
                <c:pt idx="40">
                  <c:v>43.550012437384737</c:v>
                </c:pt>
                <c:pt idx="41">
                  <c:v>47.143865241737089</c:v>
                </c:pt>
                <c:pt idx="42">
                  <c:v>51.122708617367621</c:v>
                </c:pt>
                <c:pt idx="43">
                  <c:v>54.959438766815921</c:v>
                </c:pt>
                <c:pt idx="44">
                  <c:v>59.107050516646012</c:v>
                </c:pt>
                <c:pt idx="45">
                  <c:v>63.769303774561507</c:v>
                </c:pt>
                <c:pt idx="46">
                  <c:v>68.081584263225807</c:v>
                </c:pt>
                <c:pt idx="47">
                  <c:v>72.481729575013759</c:v>
                </c:pt>
                <c:pt idx="48">
                  <c:v>77.568903586852841</c:v>
                </c:pt>
                <c:pt idx="49">
                  <c:v>82.43523405761141</c:v>
                </c:pt>
                <c:pt idx="50">
                  <c:v>88.004994619958893</c:v>
                </c:pt>
                <c:pt idx="51">
                  <c:v>93.980772489336957</c:v>
                </c:pt>
                <c:pt idx="52">
                  <c:v>100.36091104239333</c:v>
                </c:pt>
                <c:pt idx="53">
                  <c:v>107.32776021411507</c:v>
                </c:pt>
                <c:pt idx="54">
                  <c:v>113.25201246284331</c:v>
                </c:pt>
                <c:pt idx="55">
                  <c:v>119.07660898647651</c:v>
                </c:pt>
                <c:pt idx="56">
                  <c:v>124.69203060688397</c:v>
                </c:pt>
                <c:pt idx="57">
                  <c:v>130.58897469322392</c:v>
                </c:pt>
                <c:pt idx="58">
                  <c:v>136.5747093230932</c:v>
                </c:pt>
                <c:pt idx="59">
                  <c:v>143.33014811364546</c:v>
                </c:pt>
                <c:pt idx="60">
                  <c:v>150.18940414351039</c:v>
                </c:pt>
                <c:pt idx="61">
                  <c:v>158.17694999455586</c:v>
                </c:pt>
                <c:pt idx="62">
                  <c:v>165.77056934489244</c:v>
                </c:pt>
                <c:pt idx="63">
                  <c:v>172.14133897081967</c:v>
                </c:pt>
                <c:pt idx="64">
                  <c:v>178.77035257518386</c:v>
                </c:pt>
                <c:pt idx="65">
                  <c:v>185.29043762704106</c:v>
                </c:pt>
                <c:pt idx="66">
                  <c:v>192.29134817706364</c:v>
                </c:pt>
                <c:pt idx="67">
                  <c:v>199.7903220519643</c:v>
                </c:pt>
                <c:pt idx="68">
                  <c:v>206.46332793511209</c:v>
                </c:pt>
                <c:pt idx="69">
                  <c:v>212.97998527442959</c:v>
                </c:pt>
                <c:pt idx="70">
                  <c:v>218.953452507234</c:v>
                </c:pt>
                <c:pt idx="71">
                  <c:v>225.62455706395301</c:v>
                </c:pt>
                <c:pt idx="72">
                  <c:v>231.10601498639409</c:v>
                </c:pt>
                <c:pt idx="73">
                  <c:v>236.25999613397772</c:v>
                </c:pt>
                <c:pt idx="74">
                  <c:v>241.76532239617165</c:v>
                </c:pt>
                <c:pt idx="75">
                  <c:v>247.31796661262223</c:v>
                </c:pt>
                <c:pt idx="76">
                  <c:v>252.4767302852689</c:v>
                </c:pt>
                <c:pt idx="77">
                  <c:v>256.57735434515632</c:v>
                </c:pt>
                <c:pt idx="78">
                  <c:v>261.43007666346142</c:v>
                </c:pt>
                <c:pt idx="79">
                  <c:v>265.95647800542264</c:v>
                </c:pt>
                <c:pt idx="80">
                  <c:v>269.92897355424975</c:v>
                </c:pt>
                <c:pt idx="81">
                  <c:v>274.06896473183843</c:v>
                </c:pt>
                <c:pt idx="82">
                  <c:v>278.03438677406712</c:v>
                </c:pt>
                <c:pt idx="83">
                  <c:v>281.63732809715907</c:v>
                </c:pt>
                <c:pt idx="84">
                  <c:v>285.39730105963127</c:v>
                </c:pt>
                <c:pt idx="85">
                  <c:v>288.59639992865925</c:v>
                </c:pt>
                <c:pt idx="86">
                  <c:v>291.80226829436867</c:v>
                </c:pt>
                <c:pt idx="87">
                  <c:v>295.06400994282797</c:v>
                </c:pt>
                <c:pt idx="88">
                  <c:v>297.9399155798335</c:v>
                </c:pt>
                <c:pt idx="89">
                  <c:v>300.46497418941487</c:v>
                </c:pt>
                <c:pt idx="90">
                  <c:v>302.77288516925614</c:v>
                </c:pt>
                <c:pt idx="91">
                  <c:v>304.98026969420204</c:v>
                </c:pt>
                <c:pt idx="92">
                  <c:v>306.82376407252798</c:v>
                </c:pt>
                <c:pt idx="93">
                  <c:v>308.86042452560883</c:v>
                </c:pt>
                <c:pt idx="94">
                  <c:v>311.38817146640304</c:v>
                </c:pt>
                <c:pt idx="95">
                  <c:v>314.07101129978099</c:v>
                </c:pt>
                <c:pt idx="96">
                  <c:v>316.70418631112642</c:v>
                </c:pt>
                <c:pt idx="97">
                  <c:v>319.08841559508994</c:v>
                </c:pt>
                <c:pt idx="98">
                  <c:v>321.51001923083601</c:v>
                </c:pt>
                <c:pt idx="99">
                  <c:v>323.16041847231554</c:v>
                </c:pt>
                <c:pt idx="100">
                  <c:v>325.09985226769254</c:v>
                </c:pt>
                <c:pt idx="101">
                  <c:v>327.10138860181598</c:v>
                </c:pt>
                <c:pt idx="102">
                  <c:v>328.50044934417684</c:v>
                </c:pt>
                <c:pt idx="103">
                  <c:v>329.35154346918426</c:v>
                </c:pt>
                <c:pt idx="104">
                  <c:v>330.57487655298581</c:v>
                </c:pt>
                <c:pt idx="105">
                  <c:v>331.70320594803758</c:v>
                </c:pt>
                <c:pt idx="106">
                  <c:v>332.86791070215833</c:v>
                </c:pt>
                <c:pt idx="107">
                  <c:v>334.11508599199061</c:v>
                </c:pt>
                <c:pt idx="108">
                  <c:v>335.01690873493612</c:v>
                </c:pt>
                <c:pt idx="109">
                  <c:v>335.96528089281793</c:v>
                </c:pt>
                <c:pt idx="110">
                  <c:v>337.13606936066907</c:v>
                </c:pt>
                <c:pt idx="111">
                  <c:v>338.23946686665369</c:v>
                </c:pt>
                <c:pt idx="112">
                  <c:v>339.51815043045673</c:v>
                </c:pt>
                <c:pt idx="113">
                  <c:v>340.40057487965822</c:v>
                </c:pt>
                <c:pt idx="114">
                  <c:v>341.08266208349949</c:v>
                </c:pt>
                <c:pt idx="115">
                  <c:v>341.92801708797941</c:v>
                </c:pt>
                <c:pt idx="116">
                  <c:v>343.01135721080561</c:v>
                </c:pt>
                <c:pt idx="117">
                  <c:v>343.58747185782079</c:v>
                </c:pt>
                <c:pt idx="118">
                  <c:v>343.92413788780982</c:v>
                </c:pt>
                <c:pt idx="119">
                  <c:v>344.64311172499566</c:v>
                </c:pt>
                <c:pt idx="120">
                  <c:v>345.53847748714958</c:v>
                </c:pt>
                <c:pt idx="121">
                  <c:v>346.61126577833579</c:v>
                </c:pt>
                <c:pt idx="122">
                  <c:v>347.52641509687328</c:v>
                </c:pt>
                <c:pt idx="123">
                  <c:v>347.915415479572</c:v>
                </c:pt>
                <c:pt idx="124">
                  <c:v>348.0650427892553</c:v>
                </c:pt>
                <c:pt idx="125">
                  <c:v>348.37697776257454</c:v>
                </c:pt>
                <c:pt idx="126">
                  <c:v>348.82908986207764</c:v>
                </c:pt>
                <c:pt idx="127">
                  <c:v>349.21834181779877</c:v>
                </c:pt>
                <c:pt idx="128">
                  <c:v>349.76530231955297</c:v>
                </c:pt>
                <c:pt idx="129">
                  <c:v>350.36110674991994</c:v>
                </c:pt>
                <c:pt idx="130">
                  <c:v>351.12208621775505</c:v>
                </c:pt>
                <c:pt idx="131">
                  <c:v>351.68123198879437</c:v>
                </c:pt>
                <c:pt idx="132">
                  <c:v>352.53756752903166</c:v>
                </c:pt>
                <c:pt idx="133">
                  <c:v>353.45330111802315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27.807908205265555</c:v>
                </c:pt>
                <c:pt idx="1">
                  <c:v>27.45412944895179</c:v>
                </c:pt>
                <c:pt idx="2">
                  <c:v>27.115946887534562</c:v>
                </c:pt>
                <c:pt idx="3">
                  <c:v>26.814831876903526</c:v>
                </c:pt>
                <c:pt idx="4">
                  <c:v>26.502780997277739</c:v>
                </c:pt>
                <c:pt idx="5">
                  <c:v>26.207881219876747</c:v>
                </c:pt>
                <c:pt idx="6">
                  <c:v>25.899962095304588</c:v>
                </c:pt>
                <c:pt idx="7">
                  <c:v>25.583339815624619</c:v>
                </c:pt>
                <c:pt idx="8">
                  <c:v>25.28131861351001</c:v>
                </c:pt>
                <c:pt idx="9">
                  <c:v>25.014091117763094</c:v>
                </c:pt>
                <c:pt idx="10">
                  <c:v>24.765359745430686</c:v>
                </c:pt>
                <c:pt idx="11">
                  <c:v>24.536480192469565</c:v>
                </c:pt>
                <c:pt idx="12">
                  <c:v>24.331891813854142</c:v>
                </c:pt>
                <c:pt idx="13">
                  <c:v>24.135253799187105</c:v>
                </c:pt>
                <c:pt idx="14">
                  <c:v>23.953843320047834</c:v>
                </c:pt>
                <c:pt idx="15">
                  <c:v>23.379752201483836</c:v>
                </c:pt>
                <c:pt idx="16">
                  <c:v>22.790392225993667</c:v>
                </c:pt>
                <c:pt idx="17">
                  <c:v>22.18534886658896</c:v>
                </c:pt>
                <c:pt idx="18">
                  <c:v>21.530913088929928</c:v>
                </c:pt>
                <c:pt idx="19">
                  <c:v>20.797572151820926</c:v>
                </c:pt>
                <c:pt idx="20">
                  <c:v>20.071313964087071</c:v>
                </c:pt>
                <c:pt idx="21">
                  <c:v>19.208316474944723</c:v>
                </c:pt>
                <c:pt idx="22">
                  <c:v>18.217509838352314</c:v>
                </c:pt>
                <c:pt idx="23">
                  <c:v>17.129305125509699</c:v>
                </c:pt>
                <c:pt idx="24">
                  <c:v>15.907543022215805</c:v>
                </c:pt>
                <c:pt idx="25">
                  <c:v>14.67567367284299</c:v>
                </c:pt>
                <c:pt idx="26">
                  <c:v>13.408309835662036</c:v>
                </c:pt>
                <c:pt idx="27">
                  <c:v>11.927460183484689</c:v>
                </c:pt>
                <c:pt idx="28">
                  <c:v>10.36972944297675</c:v>
                </c:pt>
                <c:pt idx="29">
                  <c:v>8.7632817688028233</c:v>
                </c:pt>
                <c:pt idx="30">
                  <c:v>7.0613326727980894</c:v>
                </c:pt>
                <c:pt idx="31">
                  <c:v>5.1691906236792287</c:v>
                </c:pt>
                <c:pt idx="32">
                  <c:v>3.1260916196844599</c:v>
                </c:pt>
                <c:pt idx="33">
                  <c:v>0.89038665766810654</c:v>
                </c:pt>
                <c:pt idx="34">
                  <c:v>-1.3689578827032127</c:v>
                </c:pt>
                <c:pt idx="35">
                  <c:v>-3.4708741047039355</c:v>
                </c:pt>
                <c:pt idx="36">
                  <c:v>-5.8061338962998086</c:v>
                </c:pt>
                <c:pt idx="37">
                  <c:v>-8.2502986246857297</c:v>
                </c:pt>
                <c:pt idx="38">
                  <c:v>-11.052199619245211</c:v>
                </c:pt>
                <c:pt idx="39">
                  <c:v>-13.8786368231622</c:v>
                </c:pt>
                <c:pt idx="40">
                  <c:v>-17.359111714673894</c:v>
                </c:pt>
                <c:pt idx="41">
                  <c:v>-20.908919574799096</c:v>
                </c:pt>
                <c:pt idx="42">
                  <c:v>-24.840210036407427</c:v>
                </c:pt>
                <c:pt idx="43">
                  <c:v>-28.630639516310168</c:v>
                </c:pt>
                <c:pt idx="44">
                  <c:v>-32.728930701168508</c:v>
                </c:pt>
                <c:pt idx="45">
                  <c:v>-37.338108865046749</c:v>
                </c:pt>
                <c:pt idx="46">
                  <c:v>-41.600809350648404</c:v>
                </c:pt>
                <c:pt idx="47">
                  <c:v>-45.950595887558983</c:v>
                </c:pt>
                <c:pt idx="48">
                  <c:v>-50.982422772993104</c:v>
                </c:pt>
                <c:pt idx="49">
                  <c:v>-55.795834383211691</c:v>
                </c:pt>
                <c:pt idx="50">
                  <c:v>-61.308464182712932</c:v>
                </c:pt>
                <c:pt idx="51">
                  <c:v>-67.224679500773632</c:v>
                </c:pt>
                <c:pt idx="52">
                  <c:v>-73.54359264681689</c:v>
                </c:pt>
                <c:pt idx="53">
                  <c:v>-80.446435963221589</c:v>
                </c:pt>
                <c:pt idx="54">
                  <c:v>-86.313808796589328</c:v>
                </c:pt>
                <c:pt idx="55">
                  <c:v>-92.081669109161908</c:v>
                </c:pt>
                <c:pt idx="56">
                  <c:v>-97.641153713005551</c:v>
                </c:pt>
                <c:pt idx="57">
                  <c:v>-103.48024748894184</c:v>
                </c:pt>
                <c:pt idx="58">
                  <c:v>-109.40744898266377</c:v>
                </c:pt>
                <c:pt idx="59">
                  <c:v>-116.09979981419195</c:v>
                </c:pt>
                <c:pt idx="60">
                  <c:v>-122.89527585313282</c:v>
                </c:pt>
                <c:pt idx="61">
                  <c:v>-130.81167022570116</c:v>
                </c:pt>
                <c:pt idx="62">
                  <c:v>-138.33623134901742</c:v>
                </c:pt>
                <c:pt idx="63">
                  <c:v>-144.64316238363557</c:v>
                </c:pt>
                <c:pt idx="64">
                  <c:v>-151.20673474976704</c:v>
                </c:pt>
                <c:pt idx="65">
                  <c:v>-157.66080019792048</c:v>
                </c:pt>
                <c:pt idx="66">
                  <c:v>-164.59283854585121</c:v>
                </c:pt>
                <c:pt idx="67">
                  <c:v>-172.01921212379906</c:v>
                </c:pt>
                <c:pt idx="68">
                  <c:v>-178.62354698627382</c:v>
                </c:pt>
                <c:pt idx="69">
                  <c:v>-185.07138615942412</c:v>
                </c:pt>
                <c:pt idx="70">
                  <c:v>-190.97807694877991</c:v>
                </c:pt>
                <c:pt idx="71">
                  <c:v>-197.57740593391492</c:v>
                </c:pt>
                <c:pt idx="72">
                  <c:v>-202.99137925010314</c:v>
                </c:pt>
                <c:pt idx="73">
                  <c:v>-208.0785549771818</c:v>
                </c:pt>
                <c:pt idx="74">
                  <c:v>-213.51391618497945</c:v>
                </c:pt>
                <c:pt idx="75">
                  <c:v>-218.99455866876247</c:v>
                </c:pt>
                <c:pt idx="76">
                  <c:v>-224.08113225125581</c:v>
                </c:pt>
                <c:pt idx="77">
                  <c:v>-228.11409335269676</c:v>
                </c:pt>
                <c:pt idx="78">
                  <c:v>-232.89320194864226</c:v>
                </c:pt>
                <c:pt idx="79">
                  <c:v>-237.34388941872908</c:v>
                </c:pt>
                <c:pt idx="80">
                  <c:v>-241.24203729648696</c:v>
                </c:pt>
                <c:pt idx="81">
                  <c:v>-245.30056857188916</c:v>
                </c:pt>
                <c:pt idx="82">
                  <c:v>-249.18489833564192</c:v>
                </c:pt>
                <c:pt idx="83">
                  <c:v>-252.70664146929889</c:v>
                </c:pt>
                <c:pt idx="84">
                  <c:v>-256.38040431561848</c:v>
                </c:pt>
                <c:pt idx="85">
                  <c:v>-259.49556346812221</c:v>
                </c:pt>
                <c:pt idx="86">
                  <c:v>-262.61727560291314</c:v>
                </c:pt>
                <c:pt idx="87">
                  <c:v>-265.79061882468659</c:v>
                </c:pt>
                <c:pt idx="88">
                  <c:v>-268.57888613193785</c:v>
                </c:pt>
                <c:pt idx="89">
                  <c:v>-271.01672990351449</c:v>
                </c:pt>
                <c:pt idx="90">
                  <c:v>-273.23653513394822</c:v>
                </c:pt>
                <c:pt idx="91">
                  <c:v>-275.35535868761917</c:v>
                </c:pt>
                <c:pt idx="92">
                  <c:v>-277.1119777470015</c:v>
                </c:pt>
                <c:pt idx="93">
                  <c:v>-279.05710521177059</c:v>
                </c:pt>
                <c:pt idx="94">
                  <c:v>-281.48583912336841</c:v>
                </c:pt>
                <c:pt idx="95">
                  <c:v>-284.06620686918592</c:v>
                </c:pt>
                <c:pt idx="96">
                  <c:v>-286.59470577278688</c:v>
                </c:pt>
                <c:pt idx="97">
                  <c:v>-288.87557222043489</c:v>
                </c:pt>
                <c:pt idx="98">
                  <c:v>-291.18785515935792</c:v>
                </c:pt>
                <c:pt idx="99">
                  <c:v>-292.7355287568318</c:v>
                </c:pt>
                <c:pt idx="100">
                  <c:v>-294.56723185346317</c:v>
                </c:pt>
                <c:pt idx="101">
                  <c:v>-296.45538637429615</c:v>
                </c:pt>
                <c:pt idx="102">
                  <c:v>-297.74549187055163</c:v>
                </c:pt>
                <c:pt idx="103">
                  <c:v>-298.4909960226172</c:v>
                </c:pt>
                <c:pt idx="104">
                  <c:v>-299.60116183355615</c:v>
                </c:pt>
                <c:pt idx="105">
                  <c:v>-300.61510417840122</c:v>
                </c:pt>
                <c:pt idx="106">
                  <c:v>-301.66245779611734</c:v>
                </c:pt>
                <c:pt idx="107">
                  <c:v>-302.78860829940493</c:v>
                </c:pt>
                <c:pt idx="108">
                  <c:v>-303.57220286427088</c:v>
                </c:pt>
                <c:pt idx="109">
                  <c:v>-304.40061302185251</c:v>
                </c:pt>
                <c:pt idx="110">
                  <c:v>-305.44592339304296</c:v>
                </c:pt>
                <c:pt idx="111">
                  <c:v>-306.42364487229031</c:v>
                </c:pt>
                <c:pt idx="112">
                  <c:v>-307.57272541173654</c:v>
                </c:pt>
                <c:pt idx="113">
                  <c:v>-308.33044282242531</c:v>
                </c:pt>
                <c:pt idx="114">
                  <c:v>-308.88955547406727</c:v>
                </c:pt>
                <c:pt idx="115">
                  <c:v>-309.60473662612503</c:v>
                </c:pt>
                <c:pt idx="116">
                  <c:v>-310.55106071847416</c:v>
                </c:pt>
                <c:pt idx="117">
                  <c:v>-310.99880445401334</c:v>
                </c:pt>
                <c:pt idx="118">
                  <c:v>-311.21020982370209</c:v>
                </c:pt>
                <c:pt idx="119">
                  <c:v>-311.79532615900627</c:v>
                </c:pt>
                <c:pt idx="120">
                  <c:v>-312.55244592140826</c:v>
                </c:pt>
                <c:pt idx="121">
                  <c:v>-313.4830933029624</c:v>
                </c:pt>
                <c:pt idx="122">
                  <c:v>-314.25463158718696</c:v>
                </c:pt>
                <c:pt idx="123">
                  <c:v>-314.51087993922994</c:v>
                </c:pt>
                <c:pt idx="124">
                  <c:v>-314.53111193986018</c:v>
                </c:pt>
                <c:pt idx="125">
                  <c:v>-314.70985818469046</c:v>
                </c:pt>
                <c:pt idx="126">
                  <c:v>-315.02574927121361</c:v>
                </c:pt>
                <c:pt idx="127">
                  <c:v>-315.27880319932967</c:v>
                </c:pt>
                <c:pt idx="128">
                  <c:v>-315.68590236884768</c:v>
                </c:pt>
                <c:pt idx="129">
                  <c:v>-316.14004560064973</c:v>
                </c:pt>
                <c:pt idx="130">
                  <c:v>-316.75568124604285</c:v>
                </c:pt>
                <c:pt idx="131">
                  <c:v>-317.17403172678445</c:v>
                </c:pt>
                <c:pt idx="132">
                  <c:v>-317.88074124752524</c:v>
                </c:pt>
                <c:pt idx="133">
                  <c:v>-318.64209863553623</c:v>
                </c:pt>
                <c:pt idx="134">
                  <c:v>-319.31347469102752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ConceptDemo!$AJ$17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ConceptDemo!$AK$17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0.13898409416401378</c:v>
                </c:pt>
                <c:pt idx="1">
                  <c:v>0.26631214187122998</c:v>
                </c:pt>
                <c:pt idx="2">
                  <c:v>0.39638855982270282</c:v>
                </c:pt>
                <c:pt idx="3">
                  <c:v>0.51838522704200363</c:v>
                </c:pt>
                <c:pt idx="4">
                  <c:v>0.65325324386958594</c:v>
                </c:pt>
                <c:pt idx="5">
                  <c:v>0.78224324921488497</c:v>
                </c:pt>
                <c:pt idx="6">
                  <c:v>0.91516096646705092</c:v>
                </c:pt>
                <c:pt idx="7">
                  <c:v>1.0550233307132024</c:v>
                </c:pt>
                <c:pt idx="8">
                  <c:v>1.19368697347638</c:v>
                </c:pt>
                <c:pt idx="9">
                  <c:v>1.3301656807942661</c:v>
                </c:pt>
                <c:pt idx="10">
                  <c:v>1.4668452211113481</c:v>
                </c:pt>
                <c:pt idx="11">
                  <c:v>1.6016311278218736</c:v>
                </c:pt>
                <c:pt idx="12">
                  <c:v>1.7259058942686532</c:v>
                </c:pt>
                <c:pt idx="13">
                  <c:v>1.8588623738215235</c:v>
                </c:pt>
                <c:pt idx="14">
                  <c:v>1.9984835356031925</c:v>
                </c:pt>
                <c:pt idx="15">
                  <c:v>2.1326473607262848</c:v>
                </c:pt>
                <c:pt idx="16">
                  <c:v>2.2618611814874905</c:v>
                </c:pt>
                <c:pt idx="17">
                  <c:v>2.387351734863628</c:v>
                </c:pt>
                <c:pt idx="18">
                  <c:v>2.5134412235614385</c:v>
                </c:pt>
                <c:pt idx="19">
                  <c:v>2.6445702050490087</c:v>
                </c:pt>
                <c:pt idx="20">
                  <c:v>2.7650097478974573</c:v>
                </c:pt>
                <c:pt idx="21">
                  <c:v>2.8941914788660905</c:v>
                </c:pt>
                <c:pt idx="22">
                  <c:v>3.0270701152295079</c:v>
                </c:pt>
                <c:pt idx="23">
                  <c:v>3.1579721354110664</c:v>
                </c:pt>
                <c:pt idx="24">
                  <c:v>3.2919504071063166</c:v>
                </c:pt>
                <c:pt idx="25">
                  <c:v>3.4162178674049923</c:v>
                </c:pt>
                <c:pt idx="26">
                  <c:v>3.5327847462619646</c:v>
                </c:pt>
                <c:pt idx="27">
                  <c:v>3.6524424966207913</c:v>
                </c:pt>
                <c:pt idx="28">
                  <c:v>3.7664732402440144</c:v>
                </c:pt>
                <c:pt idx="29">
                  <c:v>3.8746698482362558</c:v>
                </c:pt>
                <c:pt idx="30">
                  <c:v>3.9791925878223835</c:v>
                </c:pt>
                <c:pt idx="31">
                  <c:v>4.085276380800531</c:v>
                </c:pt>
                <c:pt idx="32">
                  <c:v>4.1927090520562063</c:v>
                </c:pt>
                <c:pt idx="33">
                  <c:v>4.2997924924985345</c:v>
                </c:pt>
                <c:pt idx="34">
                  <c:v>4.4029005375425987</c:v>
                </c:pt>
                <c:pt idx="35">
                  <c:v>4.49657626357211</c:v>
                </c:pt>
                <c:pt idx="36">
                  <c:v>4.5910097637424983</c:v>
                </c:pt>
                <c:pt idx="37">
                  <c:v>4.683747355315635</c:v>
                </c:pt>
                <c:pt idx="38">
                  <c:v>4.7790949595360717</c:v>
                </c:pt>
                <c:pt idx="39">
                  <c:v>4.8696459441805642</c:v>
                </c:pt>
                <c:pt idx="40">
                  <c:v>4.9658540099865878</c:v>
                </c:pt>
                <c:pt idx="41">
                  <c:v>5.0575865849706361</c:v>
                </c:pt>
                <c:pt idx="42">
                  <c:v>5.1509703496861654</c:v>
                </c:pt>
                <c:pt idx="43">
                  <c:v>5.2375942197322418</c:v>
                </c:pt>
                <c:pt idx="44">
                  <c:v>5.3238546766922461</c:v>
                </c:pt>
                <c:pt idx="45">
                  <c:v>5.4130522772546206</c:v>
                </c:pt>
                <c:pt idx="46">
                  <c:v>5.4950334615440291</c:v>
                </c:pt>
                <c:pt idx="47">
                  <c:v>5.5744775625685197</c:v>
                </c:pt>
                <c:pt idx="48">
                  <c:v>5.6574089902770783</c:v>
                </c:pt>
                <c:pt idx="49">
                  <c:v>5.7361435468560149</c:v>
                </c:pt>
                <c:pt idx="50">
                  <c:v>5.8192556386806977</c:v>
                </c:pt>
                <c:pt idx="51">
                  <c:v>5.9021183974110407</c:v>
                </c:pt>
                <c:pt idx="52">
                  <c:v>5.9864251382543463</c:v>
                </c:pt>
                <c:pt idx="53">
                  <c:v>6.073967827632047</c:v>
                </c:pt>
                <c:pt idx="54">
                  <c:v>6.156389403330075</c:v>
                </c:pt>
                <c:pt idx="55">
                  <c:v>6.2378789111285959</c:v>
                </c:pt>
                <c:pt idx="56">
                  <c:v>6.3158973751095697</c:v>
                </c:pt>
                <c:pt idx="57">
                  <c:v>6.3940382111303009</c:v>
                </c:pt>
                <c:pt idx="58">
                  <c:v>6.470755168144751</c:v>
                </c:pt>
                <c:pt idx="59">
                  <c:v>6.5515299440600261</c:v>
                </c:pt>
                <c:pt idx="60">
                  <c:v>6.6313729976984286</c:v>
                </c:pt>
                <c:pt idx="61">
                  <c:v>6.7196385278963886</c:v>
                </c:pt>
                <c:pt idx="62">
                  <c:v>6.8035603835236325</c:v>
                </c:pt>
                <c:pt idx="63">
                  <c:v>6.8810450811628101</c:v>
                </c:pt>
                <c:pt idx="64">
                  <c:v>6.9586118590810093</c:v>
                </c:pt>
                <c:pt idx="65">
                  <c:v>7.0359295285794179</c:v>
                </c:pt>
                <c:pt idx="66">
                  <c:v>7.1148898609332765</c:v>
                </c:pt>
                <c:pt idx="67">
                  <c:v>7.196858319151306</c:v>
                </c:pt>
                <c:pt idx="68">
                  <c:v>7.2733367839884195</c:v>
                </c:pt>
                <c:pt idx="69">
                  <c:v>7.3490311409146338</c:v>
                </c:pt>
                <c:pt idx="70">
                  <c:v>7.4216224500148931</c:v>
                </c:pt>
                <c:pt idx="71">
                  <c:v>7.4986491903366019</c:v>
                </c:pt>
                <c:pt idx="72">
                  <c:v>7.5705049334354033</c:v>
                </c:pt>
                <c:pt idx="73">
                  <c:v>7.6407871964231804</c:v>
                </c:pt>
                <c:pt idx="74">
                  <c:v>7.7134778618373527</c:v>
                </c:pt>
                <c:pt idx="75">
                  <c:v>7.7874078146788435</c:v>
                </c:pt>
                <c:pt idx="76">
                  <c:v>7.8606694172840639</c:v>
                </c:pt>
                <c:pt idx="77">
                  <c:v>7.928505136385521</c:v>
                </c:pt>
                <c:pt idx="78">
                  <c:v>8.0014071829999516</c:v>
                </c:pt>
                <c:pt idx="79">
                  <c:v>8.0753552447867758</c:v>
                </c:pt>
                <c:pt idx="80">
                  <c:v>8.1469430556285989</c:v>
                </c:pt>
                <c:pt idx="81">
                  <c:v>8.224097402159904</c:v>
                </c:pt>
                <c:pt idx="82">
                  <c:v>8.299813294594264</c:v>
                </c:pt>
                <c:pt idx="83">
                  <c:v>8.3744584669290525</c:v>
                </c:pt>
                <c:pt idx="84">
                  <c:v>8.4525166486938375</c:v>
                </c:pt>
                <c:pt idx="85">
                  <c:v>8.5273198897654012</c:v>
                </c:pt>
                <c:pt idx="86">
                  <c:v>8.6014643695753517</c:v>
                </c:pt>
                <c:pt idx="87">
                  <c:v>8.6782346880463592</c:v>
                </c:pt>
                <c:pt idx="88">
                  <c:v>8.7532118676416815</c:v>
                </c:pt>
                <c:pt idx="89">
                  <c:v>8.8267209528249353</c:v>
                </c:pt>
                <c:pt idx="90">
                  <c:v>8.8999229061867027</c:v>
                </c:pt>
                <c:pt idx="91">
                  <c:v>8.9726382991530311</c:v>
                </c:pt>
                <c:pt idx="92">
                  <c:v>9.042998889085256</c:v>
                </c:pt>
                <c:pt idx="93">
                  <c:v>9.1163521372779428</c:v>
                </c:pt>
                <c:pt idx="94">
                  <c:v>9.1953197629856618</c:v>
                </c:pt>
                <c:pt idx="95">
                  <c:v>9.2764499613453726</c:v>
                </c:pt>
                <c:pt idx="96">
                  <c:v>9.3588158814167706</c:v>
                </c:pt>
                <c:pt idx="97">
                  <c:v>9.4392991642691726</c:v>
                </c:pt>
                <c:pt idx="98">
                  <c:v>9.5247268040606183</c:v>
                </c:pt>
                <c:pt idx="99">
                  <c:v>9.604127428588594</c:v>
                </c:pt>
                <c:pt idx="100">
                  <c:v>9.6872020108526975</c:v>
                </c:pt>
                <c:pt idx="101">
                  <c:v>9.7750113634518829</c:v>
                </c:pt>
                <c:pt idx="102">
                  <c:v>9.8589197352322415</c:v>
                </c:pt>
                <c:pt idx="103">
                  <c:v>9.9399790880301495</c:v>
                </c:pt>
                <c:pt idx="104">
                  <c:v>10.027260111516252</c:v>
                </c:pt>
                <c:pt idx="105">
                  <c:v>10.115399559277176</c:v>
                </c:pt>
                <c:pt idx="106">
                  <c:v>10.205875446066043</c:v>
                </c:pt>
                <c:pt idx="107">
                  <c:v>10.29929777868549</c:v>
                </c:pt>
                <c:pt idx="108">
                  <c:v>10.390253691707379</c:v>
                </c:pt>
                <c:pt idx="109">
                  <c:v>10.482373031932562</c:v>
                </c:pt>
                <c:pt idx="110">
                  <c:v>10.57899144123283</c:v>
                </c:pt>
                <c:pt idx="111">
                  <c:v>10.675534519404412</c:v>
                </c:pt>
                <c:pt idx="112">
                  <c:v>10.775093046571948</c:v>
                </c:pt>
                <c:pt idx="113">
                  <c:v>10.87043313726973</c:v>
                </c:pt>
                <c:pt idx="114">
                  <c:v>10.964232679217202</c:v>
                </c:pt>
                <c:pt idx="115">
                  <c:v>11.064442044011587</c:v>
                </c:pt>
                <c:pt idx="116">
                  <c:v>11.170461497699105</c:v>
                </c:pt>
                <c:pt idx="117">
                  <c:v>11.26900011226286</c:v>
                </c:pt>
                <c:pt idx="118">
                  <c:v>11.36485016466111</c:v>
                </c:pt>
                <c:pt idx="119">
                  <c:v>11.467925172016226</c:v>
                </c:pt>
                <c:pt idx="120">
                  <c:v>11.574581795189806</c:v>
                </c:pt>
                <c:pt idx="121">
                  <c:v>11.684295398741309</c:v>
                </c:pt>
                <c:pt idx="122">
                  <c:v>11.795724298149397</c:v>
                </c:pt>
                <c:pt idx="123">
                  <c:v>11.897753564691191</c:v>
                </c:pt>
                <c:pt idx="124">
                  <c:v>11.99699358483004</c:v>
                </c:pt>
                <c:pt idx="125">
                  <c:v>12.099361159845714</c:v>
                </c:pt>
                <c:pt idx="126">
                  <c:v>12.204155284948675</c:v>
                </c:pt>
                <c:pt idx="127">
                  <c:v>12.308979228120419</c:v>
                </c:pt>
                <c:pt idx="128">
                  <c:v>12.416805270988597</c:v>
                </c:pt>
                <c:pt idx="129">
                  <c:v>12.526126671750028</c:v>
                </c:pt>
                <c:pt idx="130">
                  <c:v>12.638423341313061</c:v>
                </c:pt>
                <c:pt idx="131">
                  <c:v>12.746745354143007</c:v>
                </c:pt>
                <c:pt idx="132">
                  <c:v>12.862722968651459</c:v>
                </c:pt>
                <c:pt idx="133">
                  <c:v>12.983101285098774</c:v>
                </c:pt>
                <c:pt idx="134">
                  <c:v>13.106979974765283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ConceptDemo!$AL$17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ConceptDemo!$AL$17:$AL$662</c:f>
              <c:numCache>
                <c:formatCode>General</c:formatCode>
                <c:ptCount val="646"/>
                <c:pt idx="0">
                  <c:v>0</c:v>
                </c:pt>
                <c:pt idx="1">
                  <c:v>-0.54585614391669601</c:v>
                </c:pt>
                <c:pt idx="2">
                  <c:v>-1.0269629479376778</c:v>
                </c:pt>
                <c:pt idx="3">
                  <c:v>-1.4952219273063747</c:v>
                </c:pt>
                <c:pt idx="4">
                  <c:v>-1.9183336051567128</c:v>
                </c:pt>
                <c:pt idx="5">
                  <c:v>-2.3652525016100832</c:v>
                </c:pt>
                <c:pt idx="6">
                  <c:v>-2.7891422843563749</c:v>
                </c:pt>
                <c:pt idx="7">
                  <c:v>-3.2299791261807016</c:v>
                </c:pt>
                <c:pt idx="8">
                  <c:v>-3.6864637701068208</c:v>
                </c:pt>
                <c:pt idx="9">
                  <c:v>-4.1271486149846091</c:v>
                </c:pt>
                <c:pt idx="10">
                  <c:v>-4.530854818049411</c:v>
                </c:pt>
                <c:pt idx="11">
                  <c:v>-4.9162657306989015</c:v>
                </c:pt>
                <c:pt idx="12">
                  <c:v>-5.279931190370549</c:v>
                </c:pt>
                <c:pt idx="13">
                  <c:v>-5.6087943354327479</c:v>
                </c:pt>
                <c:pt idx="14">
                  <c:v>-5.9383888296526539</c:v>
                </c:pt>
                <c:pt idx="15">
                  <c:v>-6.259420470573593</c:v>
                </c:pt>
                <c:pt idx="16">
                  <c:v>-6.5526667569924468</c:v>
                </c:pt>
                <c:pt idx="17">
                  <c:v>-6.8223918370924324</c:v>
                </c:pt>
                <c:pt idx="18">
                  <c:v>-7.0793116525845878</c:v>
                </c:pt>
                <c:pt idx="19">
                  <c:v>-7.3233917148238419</c:v>
                </c:pt>
                <c:pt idx="20">
                  <c:v>-7.5670692462625588</c:v>
                </c:pt>
                <c:pt idx="21">
                  <c:v>-7.7789425209190419</c:v>
                </c:pt>
                <c:pt idx="22">
                  <c:v>-7.9914055160391282</c:v>
                </c:pt>
                <c:pt idx="23">
                  <c:v>-8.1951681766010367</c:v>
                </c:pt>
                <c:pt idx="24">
                  <c:v>-8.3835925816356074</c:v>
                </c:pt>
                <c:pt idx="25">
                  <c:v>-8.5699411365515239</c:v>
                </c:pt>
                <c:pt idx="26">
                  <c:v>-8.736206769028481</c:v>
                </c:pt>
                <c:pt idx="27">
                  <c:v>-8.8832879035177665</c:v>
                </c:pt>
                <c:pt idx="28">
                  <c:v>-9.0215787627904636</c:v>
                </c:pt>
                <c:pt idx="29">
                  <c:v>-9.1456696639793122</c:v>
                </c:pt>
                <c:pt idx="30">
                  <c:v>-9.2578722395264172</c:v>
                </c:pt>
                <c:pt idx="31">
                  <c:v>-9.3597852610277474</c:v>
                </c:pt>
                <c:pt idx="32">
                  <c:v>-9.4586940714265708</c:v>
                </c:pt>
                <c:pt idx="33">
                  <c:v>-9.5574507978310557</c:v>
                </c:pt>
                <c:pt idx="34">
                  <c:v>-9.6502539912615379</c:v>
                </c:pt>
                <c:pt idx="35">
                  <c:v>-9.7377012937402156</c:v>
                </c:pt>
                <c:pt idx="36">
                  <c:v>-9.8146707039968675</c:v>
                </c:pt>
                <c:pt idx="37">
                  <c:v>-9.886711594825746</c:v>
                </c:pt>
                <c:pt idx="38">
                  <c:v>-9.9539690253488189</c:v>
                </c:pt>
                <c:pt idx="39">
                  <c:v>-10.017738472000893</c:v>
                </c:pt>
                <c:pt idx="40">
                  <c:v>-10.074578229277733</c:v>
                </c:pt>
                <c:pt idx="41">
                  <c:v>-10.128040901508566</c:v>
                </c:pt>
                <c:pt idx="42">
                  <c:v>-10.175728532265467</c:v>
                </c:pt>
                <c:pt idx="43">
                  <c:v>-10.221559382958795</c:v>
                </c:pt>
                <c:pt idx="44">
                  <c:v>-10.261882583459313</c:v>
                </c:pt>
                <c:pt idx="45">
                  <c:v>-10.298822475447565</c:v>
                </c:pt>
                <c:pt idx="46">
                  <c:v>-10.334944981972683</c:v>
                </c:pt>
                <c:pt idx="47">
                  <c:v>-10.367346163199453</c:v>
                </c:pt>
                <c:pt idx="48">
                  <c:v>-10.396431489346572</c:v>
                </c:pt>
                <c:pt idx="49">
                  <c:v>-10.424015790650174</c:v>
                </c:pt>
                <c:pt idx="50">
                  <c:v>-10.449831486689128</c:v>
                </c:pt>
                <c:pt idx="51">
                  <c:v>-10.475812815667567</c:v>
                </c:pt>
                <c:pt idx="52">
                  <c:v>-10.499113023080549</c:v>
                </c:pt>
                <c:pt idx="53">
                  <c:v>-10.522194356910735</c:v>
                </c:pt>
                <c:pt idx="54">
                  <c:v>-10.545731190971388</c:v>
                </c:pt>
                <c:pt idx="55">
                  <c:v>-10.571273351308903</c:v>
                </c:pt>
                <c:pt idx="56">
                  <c:v>-10.596026648046799</c:v>
                </c:pt>
                <c:pt idx="57">
                  <c:v>-10.618108095463949</c:v>
                </c:pt>
                <c:pt idx="58">
                  <c:v>-10.638398621081031</c:v>
                </c:pt>
                <c:pt idx="59">
                  <c:v>-10.656582441948121</c:v>
                </c:pt>
                <c:pt idx="60">
                  <c:v>-10.674269258839313</c:v>
                </c:pt>
                <c:pt idx="61">
                  <c:v>-10.690332321553647</c:v>
                </c:pt>
                <c:pt idx="62">
                  <c:v>-10.707446373274506</c:v>
                </c:pt>
                <c:pt idx="63">
                  <c:v>-10.722310001881418</c:v>
                </c:pt>
                <c:pt idx="64">
                  <c:v>-10.7359561082115</c:v>
                </c:pt>
                <c:pt idx="65">
                  <c:v>-10.748081647896988</c:v>
                </c:pt>
                <c:pt idx="66">
                  <c:v>-10.759379713691633</c:v>
                </c:pt>
                <c:pt idx="67">
                  <c:v>-10.769467843953651</c:v>
                </c:pt>
                <c:pt idx="68">
                  <c:v>-10.778836005218867</c:v>
                </c:pt>
                <c:pt idx="69">
                  <c:v>-10.786643449382963</c:v>
                </c:pt>
                <c:pt idx="70">
                  <c:v>-10.793519640141978</c:v>
                </c:pt>
                <c:pt idx="71">
                  <c:v>-10.799334505793619</c:v>
                </c:pt>
                <c:pt idx="72">
                  <c:v>-10.804585674531339</c:v>
                </c:pt>
                <c:pt idx="73">
                  <c:v>-10.8089568113773</c:v>
                </c:pt>
                <c:pt idx="74">
                  <c:v>-10.81243365386009</c:v>
                </c:pt>
                <c:pt idx="75">
                  <c:v>-10.815159264877977</c:v>
                </c:pt>
                <c:pt idx="76">
                  <c:v>-10.817087485051921</c:v>
                </c:pt>
                <c:pt idx="77">
                  <c:v>-10.818158997503806</c:v>
                </c:pt>
                <c:pt idx="78">
                  <c:v>-10.818331758158781</c:v>
                </c:pt>
                <c:pt idx="79">
                  <c:v>-10.817620082413601</c:v>
                </c:pt>
                <c:pt idx="80">
                  <c:v>-10.815854272326051</c:v>
                </c:pt>
                <c:pt idx="81">
                  <c:v>-10.813094412098666</c:v>
                </c:pt>
                <c:pt idx="82">
                  <c:v>-10.808788856443499</c:v>
                </c:pt>
                <c:pt idx="83">
                  <c:v>-10.803412470401952</c:v>
                </c:pt>
                <c:pt idx="84">
                  <c:v>-10.79685945330176</c:v>
                </c:pt>
                <c:pt idx="85">
                  <c:v>-10.788707518913945</c:v>
                </c:pt>
                <c:pt idx="86">
                  <c:v>-10.779571043461271</c:v>
                </c:pt>
                <c:pt idx="87">
                  <c:v>-10.769559292352721</c:v>
                </c:pt>
                <c:pt idx="88">
                  <c:v>-10.757931184137867</c:v>
                </c:pt>
                <c:pt idx="89">
                  <c:v>-10.745270033978873</c:v>
                </c:pt>
                <c:pt idx="90">
                  <c:v>-10.731564281157432</c:v>
                </c:pt>
                <c:pt idx="91">
                  <c:v>-10.716660485111678</c:v>
                </c:pt>
                <c:pt idx="92">
                  <c:v>-10.700814906803025</c:v>
                </c:pt>
                <c:pt idx="93">
                  <c:v>-10.68430017779165</c:v>
                </c:pt>
                <c:pt idx="94">
                  <c:v>-10.66612043767255</c:v>
                </c:pt>
                <c:pt idx="95">
                  <c:v>-10.646075034183911</c:v>
                </c:pt>
                <c:pt idx="96">
                  <c:v>-10.624733144983137</c:v>
                </c:pt>
                <c:pt idx="97">
                  <c:v>-10.602422957310115</c:v>
                </c:pt>
                <c:pt idx="98">
                  <c:v>-10.579543403847023</c:v>
                </c:pt>
                <c:pt idx="99">
                  <c:v>-10.555650346815384</c:v>
                </c:pt>
                <c:pt idx="100">
                  <c:v>-10.532325327337691</c:v>
                </c:pt>
                <c:pt idx="101">
                  <c:v>-10.507669210856163</c:v>
                </c:pt>
                <c:pt idx="102">
                  <c:v>-10.482096750164924</c:v>
                </c:pt>
                <c:pt idx="103">
                  <c:v>-10.457049875839896</c:v>
                </c:pt>
                <c:pt idx="104">
                  <c:v>-10.432519255695972</c:v>
                </c:pt>
                <c:pt idx="105">
                  <c:v>-10.406633006319476</c:v>
                </c:pt>
                <c:pt idx="106">
                  <c:v>-10.380385403873714</c:v>
                </c:pt>
                <c:pt idx="107">
                  <c:v>-10.353510154257931</c:v>
                </c:pt>
                <c:pt idx="108">
                  <c:v>-10.325907700332694</c:v>
                </c:pt>
                <c:pt idx="109">
                  <c:v>-10.298635435275019</c:v>
                </c:pt>
                <c:pt idx="110">
                  <c:v>-10.270792775200002</c:v>
                </c:pt>
                <c:pt idx="111">
                  <c:v>-10.241933087839589</c:v>
                </c:pt>
                <c:pt idx="112">
                  <c:v>-10.212800139273881</c:v>
                </c:pt>
                <c:pt idx="113">
                  <c:v>-10.18275564208459</c:v>
                </c:pt>
                <c:pt idx="114">
                  <c:v>-10.153388694269637</c:v>
                </c:pt>
                <c:pt idx="115">
                  <c:v>-10.124213684017814</c:v>
                </c:pt>
                <c:pt idx="116">
                  <c:v>-10.094249196390079</c:v>
                </c:pt>
                <c:pt idx="117">
                  <c:v>-10.063252619600537</c:v>
                </c:pt>
                <c:pt idx="118">
                  <c:v>-10.033420322688327</c:v>
                </c:pt>
                <c:pt idx="119">
                  <c:v>-10.004009714786315</c:v>
                </c:pt>
                <c:pt idx="120">
                  <c:v>-9.97322722025981</c:v>
                </c:pt>
                <c:pt idx="121">
                  <c:v>-9.9416378436814803</c:v>
                </c:pt>
                <c:pt idx="122">
                  <c:v>-9.9092105376008739</c:v>
                </c:pt>
                <c:pt idx="123">
                  <c:v>-9.877028402696034</c:v>
                </c:pt>
                <c:pt idx="124">
                  <c:v>-9.8463056385821091</c:v>
                </c:pt>
                <c:pt idx="125">
                  <c:v>-9.816150349667895</c:v>
                </c:pt>
                <c:pt idx="126">
                  <c:v>-9.7853291961945885</c:v>
                </c:pt>
                <c:pt idx="127">
                  <c:v>-9.7539023083175831</c:v>
                </c:pt>
                <c:pt idx="128">
                  <c:v>-9.7225282238842858</c:v>
                </c:pt>
                <c:pt idx="129">
                  <c:v>-9.6904929345162607</c:v>
                </c:pt>
                <c:pt idx="130">
                  <c:v>-9.6581531367127464</c:v>
                </c:pt>
                <c:pt idx="131">
                  <c:v>-9.6251059838337945</c:v>
                </c:pt>
                <c:pt idx="132">
                  <c:v>-9.5926327063660093</c:v>
                </c:pt>
                <c:pt idx="133">
                  <c:v>-9.558984301377933</c:v>
                </c:pt>
                <c:pt idx="134">
                  <c:v>-9.5249864168447491</c:v>
                </c:pt>
                <c:pt idx="135">
                  <c:v>-9.4911893388492494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ConceptDemo!$AA$17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108</c:v>
                </c:pt>
                <c:pt idx="1">
                  <c:v>105.85739130434783</c:v>
                </c:pt>
                <c:pt idx="2">
                  <c:v>101.85439899180845</c:v>
                </c:pt>
                <c:pt idx="3">
                  <c:v>102.13534326635801</c:v>
                </c:pt>
                <c:pt idx="4">
                  <c:v>101.5407435093763</c:v>
                </c:pt>
                <c:pt idx="5">
                  <c:v>97.113874880869446</c:v>
                </c:pt>
                <c:pt idx="6">
                  <c:v>92.870193618727313</c:v>
                </c:pt>
                <c:pt idx="7">
                  <c:v>89.780105761103414</c:v>
                </c:pt>
                <c:pt idx="8">
                  <c:v>90.607950008981405</c:v>
                </c:pt>
                <c:pt idx="9">
                  <c:v>91.999437356424806</c:v>
                </c:pt>
                <c:pt idx="10">
                  <c:v>90.118885207660796</c:v>
                </c:pt>
                <c:pt idx="11">
                  <c:v>87.217409381546389</c:v>
                </c:pt>
                <c:pt idx="12">
                  <c:v>84.839147608121252</c:v>
                </c:pt>
                <c:pt idx="13">
                  <c:v>87.968768142078758</c:v>
                </c:pt>
                <c:pt idx="14">
                  <c:v>89.397322635838066</c:v>
                </c:pt>
                <c:pt idx="15">
                  <c:v>90.043625311878387</c:v>
                </c:pt>
                <c:pt idx="16">
                  <c:v>88.837308347646939</c:v>
                </c:pt>
                <c:pt idx="17">
                  <c:v>86.862085764406757</c:v>
                </c:pt>
                <c:pt idx="18">
                  <c:v>87.71059780909728</c:v>
                </c:pt>
                <c:pt idx="19">
                  <c:v>86.282752187878359</c:v>
                </c:pt>
                <c:pt idx="20">
                  <c:v>83.898703964207641</c:v>
                </c:pt>
                <c:pt idx="21">
                  <c:v>81.101401646914653</c:v>
                </c:pt>
                <c:pt idx="22">
                  <c:v>79.201445619208926</c:v>
                </c:pt>
                <c:pt idx="23">
                  <c:v>75.919951313536487</c:v>
                </c:pt>
                <c:pt idx="24">
                  <c:v>75.007691540840057</c:v>
                </c:pt>
                <c:pt idx="25">
                  <c:v>71.597152805078878</c:v>
                </c:pt>
                <c:pt idx="26">
                  <c:v>68.639531923167368</c:v>
                </c:pt>
                <c:pt idx="27">
                  <c:v>66.478866567889725</c:v>
                </c:pt>
                <c:pt idx="28">
                  <c:v>65.413731660401353</c:v>
                </c:pt>
                <c:pt idx="29">
                  <c:v>63.028028208944249</c:v>
                </c:pt>
                <c:pt idx="30">
                  <c:v>59.33491104002804</c:v>
                </c:pt>
                <c:pt idx="31">
                  <c:v>57.068869851520674</c:v>
                </c:pt>
                <c:pt idx="32">
                  <c:v>56.159027683131868</c:v>
                </c:pt>
                <c:pt idx="33">
                  <c:v>55.152213748436502</c:v>
                </c:pt>
                <c:pt idx="34">
                  <c:v>53.096404405310636</c:v>
                </c:pt>
                <c:pt idx="35">
                  <c:v>51.427371879867508</c:v>
                </c:pt>
                <c:pt idx="36">
                  <c:v>47.648580331208272</c:v>
                </c:pt>
                <c:pt idx="37">
                  <c:v>44.365690191004489</c:v>
                </c:pt>
                <c:pt idx="38">
                  <c:v>42.512361571748201</c:v>
                </c:pt>
                <c:pt idx="39">
                  <c:v>38.913528305709796</c:v>
                </c:pt>
                <c:pt idx="40">
                  <c:v>35.409090518866492</c:v>
                </c:pt>
                <c:pt idx="41">
                  <c:v>33.682108700070756</c:v>
                </c:pt>
                <c:pt idx="42">
                  <c:v>31.503086206105181</c:v>
                </c:pt>
                <c:pt idx="43">
                  <c:v>31.608588947670167</c:v>
                </c:pt>
                <c:pt idx="44">
                  <c:v>29.420554485433946</c:v>
                </c:pt>
                <c:pt idx="45">
                  <c:v>27.698864296459</c:v>
                </c:pt>
                <c:pt idx="46">
                  <c:v>25.318970919356605</c:v>
                </c:pt>
                <c:pt idx="47">
                  <c:v>23.998854893775988</c:v>
                </c:pt>
                <c:pt idx="48">
                  <c:v>25.257031655636133</c:v>
                </c:pt>
                <c:pt idx="49">
                  <c:v>24.550231730487301</c:v>
                </c:pt>
                <c:pt idx="50">
                  <c:v>22.450494754216255</c:v>
                </c:pt>
                <c:pt idx="51">
                  <c:v>20.858688881714823</c:v>
                </c:pt>
                <c:pt idx="52">
                  <c:v>21.78571703669132</c:v>
                </c:pt>
                <c:pt idx="53">
                  <c:v>22.069279854176251</c:v>
                </c:pt>
                <c:pt idx="54">
                  <c:v>24.342650369862422</c:v>
                </c:pt>
                <c:pt idx="55">
                  <c:v>26.675907291145389</c:v>
                </c:pt>
                <c:pt idx="56">
                  <c:v>26.550241473774133</c:v>
                </c:pt>
                <c:pt idx="57">
                  <c:v>28.836708792404703</c:v>
                </c:pt>
                <c:pt idx="58">
                  <c:v>28.410722748796019</c:v>
                </c:pt>
                <c:pt idx="59">
                  <c:v>27.111622677985178</c:v>
                </c:pt>
                <c:pt idx="60">
                  <c:v>26.282370006792075</c:v>
                </c:pt>
                <c:pt idx="61">
                  <c:v>28.832215269849023</c:v>
                </c:pt>
                <c:pt idx="62">
                  <c:v>29.181437037840873</c:v>
                </c:pt>
                <c:pt idx="63">
                  <c:v>27.795200425910814</c:v>
                </c:pt>
                <c:pt idx="64">
                  <c:v>29.873173923948492</c:v>
                </c:pt>
                <c:pt idx="65">
                  <c:v>28.840938145209261</c:v>
                </c:pt>
                <c:pt idx="66">
                  <c:v>28.836196788994368</c:v>
                </c:pt>
                <c:pt idx="67">
                  <c:v>27.945994481025505</c:v>
                </c:pt>
                <c:pt idx="68">
                  <c:v>26.329552530251323</c:v>
                </c:pt>
                <c:pt idx="69">
                  <c:v>25.327882211538345</c:v>
                </c:pt>
                <c:pt idx="70">
                  <c:v>24.514071381887696</c:v>
                </c:pt>
                <c:pt idx="71">
                  <c:v>24.808651281474159</c:v>
                </c:pt>
                <c:pt idx="72">
                  <c:v>25.543869689393919</c:v>
                </c:pt>
                <c:pt idx="73">
                  <c:v>24.936122683138237</c:v>
                </c:pt>
                <c:pt idx="74">
                  <c:v>27.345967254727615</c:v>
                </c:pt>
                <c:pt idx="75">
                  <c:v>25.462774543733026</c:v>
                </c:pt>
                <c:pt idx="76">
                  <c:v>24.098603801228201</c:v>
                </c:pt>
                <c:pt idx="77">
                  <c:v>22.070925467760805</c:v>
                </c:pt>
                <c:pt idx="78">
                  <c:v>21.985286136156521</c:v>
                </c:pt>
                <c:pt idx="79">
                  <c:v>24.308290789791315</c:v>
                </c:pt>
                <c:pt idx="80">
                  <c:v>23.703370805377972</c:v>
                </c:pt>
                <c:pt idx="81">
                  <c:v>23.141591227746552</c:v>
                </c:pt>
                <c:pt idx="82">
                  <c:v>24.183868011922041</c:v>
                </c:pt>
                <c:pt idx="83">
                  <c:v>25.956714541709683</c:v>
                </c:pt>
                <c:pt idx="84">
                  <c:v>26.7348952999582</c:v>
                </c:pt>
                <c:pt idx="85">
                  <c:v>27.157010927889811</c:v>
                </c:pt>
                <c:pt idx="86">
                  <c:v>31.693447378499172</c:v>
                </c:pt>
                <c:pt idx="87">
                  <c:v>33.045807118250622</c:v>
                </c:pt>
                <c:pt idx="88">
                  <c:v>33.445546860568818</c:v>
                </c:pt>
                <c:pt idx="89">
                  <c:v>33.161841994787231</c:v>
                </c:pt>
                <c:pt idx="90">
                  <c:v>30.628250875055674</c:v>
                </c:pt>
                <c:pt idx="91">
                  <c:v>29.078457876915074</c:v>
                </c:pt>
                <c:pt idx="92">
                  <c:v>27.35321338100151</c:v>
                </c:pt>
                <c:pt idx="93">
                  <c:v>26.565712225426246</c:v>
                </c:pt>
                <c:pt idx="94">
                  <c:v>29.074354195553855</c:v>
                </c:pt>
                <c:pt idx="95">
                  <c:v>27.923437602284874</c:v>
                </c:pt>
                <c:pt idx="96">
                  <c:v>29.600657018620325</c:v>
                </c:pt>
                <c:pt idx="97">
                  <c:v>28.397111240545716</c:v>
                </c:pt>
                <c:pt idx="98">
                  <c:v>26.757398752281166</c:v>
                </c:pt>
                <c:pt idx="99">
                  <c:v>26.812092761593195</c:v>
                </c:pt>
                <c:pt idx="100">
                  <c:v>28.217839344577285</c:v>
                </c:pt>
                <c:pt idx="101">
                  <c:v>28.804750586811263</c:v>
                </c:pt>
                <c:pt idx="102">
                  <c:v>28.609764303300132</c:v>
                </c:pt>
                <c:pt idx="103">
                  <c:v>26.420577794569073</c:v>
                </c:pt>
                <c:pt idx="104">
                  <c:v>25.232381699341055</c:v>
                </c:pt>
                <c:pt idx="105">
                  <c:v>26.51545143118549</c:v>
                </c:pt>
                <c:pt idx="106">
                  <c:v>25.163307962731238</c:v>
                </c:pt>
                <c:pt idx="107">
                  <c:v>27.042978655337844</c:v>
                </c:pt>
                <c:pt idx="108">
                  <c:v>28.052774360181083</c:v>
                </c:pt>
                <c:pt idx="109">
                  <c:v>29.560901417916046</c:v>
                </c:pt>
                <c:pt idx="110">
                  <c:v>28.251785286340226</c:v>
                </c:pt>
                <c:pt idx="111">
                  <c:v>26.393318699940689</c:v>
                </c:pt>
                <c:pt idx="112">
                  <c:v>24.896848318100968</c:v>
                </c:pt>
                <c:pt idx="113">
                  <c:v>23.008362951414192</c:v>
                </c:pt>
                <c:pt idx="114">
                  <c:v>20.983646936240028</c:v>
                </c:pt>
                <c:pt idx="115">
                  <c:v>24.288382473234947</c:v>
                </c:pt>
                <c:pt idx="116">
                  <c:v>22.692809448462597</c:v>
                </c:pt>
                <c:pt idx="117">
                  <c:v>19.995224957890763</c:v>
                </c:pt>
                <c:pt idx="118">
                  <c:v>17.786038126378333</c:v>
                </c:pt>
                <c:pt idx="119">
                  <c:v>18.585033731161683</c:v>
                </c:pt>
                <c:pt idx="120">
                  <c:v>17.163506956170103</c:v>
                </c:pt>
                <c:pt idx="121">
                  <c:v>17.151169354921194</c:v>
                </c:pt>
                <c:pt idx="122">
                  <c:v>16.905107049170844</c:v>
                </c:pt>
                <c:pt idx="123">
                  <c:v>15.982765765023068</c:v>
                </c:pt>
                <c:pt idx="124">
                  <c:v>17.617258921980401</c:v>
                </c:pt>
                <c:pt idx="125">
                  <c:v>16.666779155361215</c:v>
                </c:pt>
                <c:pt idx="126">
                  <c:v>14.09664292708382</c:v>
                </c:pt>
                <c:pt idx="127">
                  <c:v>12.839936015461644</c:v>
                </c:pt>
                <c:pt idx="128">
                  <c:v>12.455518375857153</c:v>
                </c:pt>
                <c:pt idx="129">
                  <c:v>11.136953962818726</c:v>
                </c:pt>
                <c:pt idx="130">
                  <c:v>12.020943815287772</c:v>
                </c:pt>
                <c:pt idx="131">
                  <c:v>12.279987477558929</c:v>
                </c:pt>
                <c:pt idx="132">
                  <c:v>14.383779740145725</c:v>
                </c:pt>
                <c:pt idx="133">
                  <c:v>17.337131341733812</c:v>
                </c:pt>
                <c:pt idx="134">
                  <c:v>16.943041900357002</c:v>
                </c:pt>
                <c:pt idx="135">
                  <c:v>19.234884414666073</c:v>
                </c:pt>
                <c:pt idx="136">
                  <c:v>19.20938992536718</c:v>
                </c:pt>
                <c:pt idx="137">
                  <c:v>19.908588656440475</c:v>
                </c:pt>
                <c:pt idx="138">
                  <c:v>19.992691903181015</c:v>
                </c:pt>
                <c:pt idx="139">
                  <c:v>20.523600123366251</c:v>
                </c:pt>
                <c:pt idx="140">
                  <c:v>23.000659593831802</c:v>
                </c:pt>
                <c:pt idx="141">
                  <c:v>24.769607054941211</c:v>
                </c:pt>
                <c:pt idx="142">
                  <c:v>27.90432505651173</c:v>
                </c:pt>
                <c:pt idx="143">
                  <c:v>30.213073701778232</c:v>
                </c:pt>
                <c:pt idx="144">
                  <c:v>30.71308571595933</c:v>
                </c:pt>
                <c:pt idx="145">
                  <c:v>31.123411902186316</c:v>
                </c:pt>
                <c:pt idx="146">
                  <c:v>32.652329027973082</c:v>
                </c:pt>
                <c:pt idx="147">
                  <c:v>31.697391667795657</c:v>
                </c:pt>
                <c:pt idx="148">
                  <c:v>34.026234491390909</c:v>
                </c:pt>
                <c:pt idx="149">
                  <c:v>33.143665387383415</c:v>
                </c:pt>
                <c:pt idx="150">
                  <c:v>33.686222425668042</c:v>
                </c:pt>
                <c:pt idx="151">
                  <c:v>34.890379966474391</c:v>
                </c:pt>
                <c:pt idx="152">
                  <c:v>35.369792499255965</c:v>
                </c:pt>
                <c:pt idx="153">
                  <c:v>34.099405971768043</c:v>
                </c:pt>
                <c:pt idx="154">
                  <c:v>35.28641478023092</c:v>
                </c:pt>
                <c:pt idx="155">
                  <c:v>35.224468394738942</c:v>
                </c:pt>
                <c:pt idx="156">
                  <c:v>35.451645064502351</c:v>
                </c:pt>
                <c:pt idx="157">
                  <c:v>33.984639703792631</c:v>
                </c:pt>
                <c:pt idx="158">
                  <c:v>34.721545647018395</c:v>
                </c:pt>
                <c:pt idx="159">
                  <c:v>38.943442909117813</c:v>
                </c:pt>
                <c:pt idx="160">
                  <c:v>40.434892287140016</c:v>
                </c:pt>
                <c:pt idx="161">
                  <c:v>42.478553050906029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ConceptDemo!$AC$17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ConceptDemo!$AB$17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ConceptDemo!$AD$17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7.6473483727455584E-3</c:v>
                </c:pt>
                <c:pt idx="16">
                  <c:v>8.8967897060881502E-3</c:v>
                </c:pt>
                <c:pt idx="17">
                  <c:v>1.0696343599873327E-2</c:v>
                </c:pt>
                <c:pt idx="18">
                  <c:v>1.2667945143880427E-2</c:v>
                </c:pt>
                <c:pt idx="19">
                  <c:v>1.4856974449335873E-2</c:v>
                </c:pt>
                <c:pt idx="20">
                  <c:v>1.7295393355279961E-2</c:v>
                </c:pt>
                <c:pt idx="21">
                  <c:v>2.0421016499752753E-2</c:v>
                </c:pt>
                <c:pt idx="22">
                  <c:v>2.4595627546648138E-2</c:v>
                </c:pt>
                <c:pt idx="23">
                  <c:v>2.9136433207648992E-2</c:v>
                </c:pt>
                <c:pt idx="24">
                  <c:v>3.4459417495298371E-2</c:v>
                </c:pt>
                <c:pt idx="25">
                  <c:v>4.0776318990418774E-2</c:v>
                </c:pt>
                <c:pt idx="26">
                  <c:v>4.9525241352661266E-2</c:v>
                </c:pt>
                <c:pt idx="27">
                  <c:v>5.8451376560968688E-2</c:v>
                </c:pt>
                <c:pt idx="28">
                  <c:v>6.8750706383364044E-2</c:v>
                </c:pt>
                <c:pt idx="29">
                  <c:v>8.0866908428892909E-2</c:v>
                </c:pt>
                <c:pt idx="30">
                  <c:v>9.5380559394040595E-2</c:v>
                </c:pt>
                <c:pt idx="31">
                  <c:v>0.11498647780148774</c:v>
                </c:pt>
                <c:pt idx="32">
                  <c:v>0.13649929446221731</c:v>
                </c:pt>
                <c:pt idx="33">
                  <c:v>0.16357798477929827</c:v>
                </c:pt>
                <c:pt idx="34">
                  <c:v>0.19560872278692837</c:v>
                </c:pt>
                <c:pt idx="35">
                  <c:v>0.23056595468052804</c:v>
                </c:pt>
                <c:pt idx="36">
                  <c:v>0.26931028131528623</c:v>
                </c:pt>
                <c:pt idx="37">
                  <c:v>0.3155826894798951</c:v>
                </c:pt>
                <c:pt idx="38">
                  <c:v>0.36164879380908027</c:v>
                </c:pt>
                <c:pt idx="39">
                  <c:v>0.41169191267395228</c:v>
                </c:pt>
                <c:pt idx="40">
                  <c:v>0.46402635101813056</c:v>
                </c:pt>
                <c:pt idx="41">
                  <c:v>0.51597241300039909</c:v>
                </c:pt>
                <c:pt idx="42">
                  <c:v>0.56418561745435547</c:v>
                </c:pt>
                <c:pt idx="43">
                  <c:v>0.61297928011574709</c:v>
                </c:pt>
                <c:pt idx="44">
                  <c:v>0.65930801936375594</c:v>
                </c:pt>
                <c:pt idx="45">
                  <c:v>0.70427446008314876</c:v>
                </c:pt>
                <c:pt idx="46">
                  <c:v>0.75312191211680413</c:v>
                </c:pt>
                <c:pt idx="47">
                  <c:v>0.79333531693772841</c:v>
                </c:pt>
                <c:pt idx="48">
                  <c:v>0.82712839029719198</c:v>
                </c:pt>
                <c:pt idx="49">
                  <c:v>0.85349998577353281</c:v>
                </c:pt>
                <c:pt idx="50">
                  <c:v>0.87810659668023283</c:v>
                </c:pt>
                <c:pt idx="51">
                  <c:v>0.9000997437929108</c:v>
                </c:pt>
                <c:pt idx="52">
                  <c:v>0.91916594940402474</c:v>
                </c:pt>
                <c:pt idx="53">
                  <c:v>0.93341995614901763</c:v>
                </c:pt>
                <c:pt idx="54">
                  <c:v>0.9445782969180252</c:v>
                </c:pt>
                <c:pt idx="55">
                  <c:v>0.95372514399534791</c:v>
                </c:pt>
                <c:pt idx="56">
                  <c:v>0.96229051462931103</c:v>
                </c:pt>
                <c:pt idx="57">
                  <c:v>0.96925034926962883</c:v>
                </c:pt>
                <c:pt idx="58">
                  <c:v>0.97450812054445102</c:v>
                </c:pt>
                <c:pt idx="59">
                  <c:v>0.97960904095027757</c:v>
                </c:pt>
                <c:pt idx="60">
                  <c:v>0.98382922742237899</c:v>
                </c:pt>
                <c:pt idx="61">
                  <c:v>0.9872977089255498</c:v>
                </c:pt>
                <c:pt idx="62">
                  <c:v>0.98995352030622985</c:v>
                </c:pt>
                <c:pt idx="63">
                  <c:v>0.99199133353568358</c:v>
                </c:pt>
                <c:pt idx="64">
                  <c:v>0.99358303015845795</c:v>
                </c:pt>
                <c:pt idx="65">
                  <c:v>0.99482051758059598</c:v>
                </c:pt>
                <c:pt idx="66">
                  <c:v>0.99586540702662141</c:v>
                </c:pt>
                <c:pt idx="67">
                  <c:v>0.99678549272203887</c:v>
                </c:pt>
                <c:pt idx="68">
                  <c:v>0.99751913723809094</c:v>
                </c:pt>
                <c:pt idx="69">
                  <c:v>0.99811784221886191</c:v>
                </c:pt>
                <c:pt idx="70">
                  <c:v>0.99855590716980824</c:v>
                </c:pt>
                <c:pt idx="71">
                  <c:v>0.99888918669923343</c:v>
                </c:pt>
                <c:pt idx="72">
                  <c:v>0.999131914078913</c:v>
                </c:pt>
                <c:pt idx="73">
                  <c:v>0.99933110633827704</c:v>
                </c:pt>
                <c:pt idx="74">
                  <c:v>0.99948529827830679</c:v>
                </c:pt>
                <c:pt idx="75">
                  <c:v>0.99959696545378629</c:v>
                </c:pt>
                <c:pt idx="76">
                  <c:v>0.99969013784741145</c:v>
                </c:pt>
                <c:pt idx="77">
                  <c:v>0.99976819792320137</c:v>
                </c:pt>
                <c:pt idx="78">
                  <c:v>0.9998297423702579</c:v>
                </c:pt>
                <c:pt idx="79">
                  <c:v>0.99987155190441612</c:v>
                </c:pt>
                <c:pt idx="80">
                  <c:v>0.99990120002571248</c:v>
                </c:pt>
                <c:pt idx="81">
                  <c:v>0.99992621109517055</c:v>
                </c:pt>
                <c:pt idx="82">
                  <c:v>0.99994424377887858</c:v>
                </c:pt>
                <c:pt idx="83">
                  <c:v>0.99995752177805819</c:v>
                </c:pt>
                <c:pt idx="84">
                  <c:v>0.99996785179269432</c:v>
                </c:pt>
                <c:pt idx="85">
                  <c:v>0.99997568268602366</c:v>
                </c:pt>
                <c:pt idx="86">
                  <c:v>0.99998144432127212</c:v>
                </c:pt>
                <c:pt idx="87">
                  <c:v>0.99998576549101581</c:v>
                </c:pt>
                <c:pt idx="88">
                  <c:v>0.99998917558479705</c:v>
                </c:pt>
                <c:pt idx="89">
                  <c:v>0.99999172054879115</c:v>
                </c:pt>
                <c:pt idx="90">
                  <c:v>0.99999377546231505</c:v>
                </c:pt>
                <c:pt idx="91">
                  <c:v>0.99999532656535395</c:v>
                </c:pt>
                <c:pt idx="92">
                  <c:v>0.99999642914964781</c:v>
                </c:pt>
                <c:pt idx="93">
                  <c:v>0.99999739610896354</c:v>
                </c:pt>
                <c:pt idx="94">
                  <c:v>0.99999811327841026</c:v>
                </c:pt>
                <c:pt idx="95">
                  <c:v>0.99999858343527515</c:v>
                </c:pt>
                <c:pt idx="96">
                  <c:v>0.99999895156526153</c:v>
                </c:pt>
                <c:pt idx="97">
                  <c:v>0.99999921345393772</c:v>
                </c:pt>
                <c:pt idx="98">
                  <c:v>0.99999941538077586</c:v>
                </c:pt>
                <c:pt idx="99">
                  <c:v>0.99999957662290362</c:v>
                </c:pt>
                <c:pt idx="100">
                  <c:v>0.99999969053224136</c:v>
                </c:pt>
                <c:pt idx="101">
                  <c:v>0.99999976746432162</c:v>
                </c:pt>
                <c:pt idx="102">
                  <c:v>0.98718338087923352</c:v>
                </c:pt>
                <c:pt idx="103">
                  <c:v>0.95607699622446174</c:v>
                </c:pt>
                <c:pt idx="104">
                  <c:v>0.92163778464239299</c:v>
                </c:pt>
                <c:pt idx="105">
                  <c:v>0.88803177979214842</c:v>
                </c:pt>
                <c:pt idx="106">
                  <c:v>0.8568976215796491</c:v>
                </c:pt>
                <c:pt idx="107">
                  <c:v>0.82665221721442916</c:v>
                </c:pt>
                <c:pt idx="108">
                  <c:v>0.79540696477102002</c:v>
                </c:pt>
                <c:pt idx="109">
                  <c:v>0.76302299646078453</c:v>
                </c:pt>
                <c:pt idx="110">
                  <c:v>0.73016687766918165</c:v>
                </c:pt>
                <c:pt idx="111">
                  <c:v>0.69728298531985144</c:v>
                </c:pt>
                <c:pt idx="112">
                  <c:v>0.66301041508414749</c:v>
                </c:pt>
                <c:pt idx="113">
                  <c:v>0.63015429629254471</c:v>
                </c:pt>
                <c:pt idx="114">
                  <c:v>0.59760368663594421</c:v>
                </c:pt>
                <c:pt idx="115">
                  <c:v>0.5634422106311503</c:v>
                </c:pt>
                <c:pt idx="116">
                  <c:v>0.52997507356954343</c:v>
                </c:pt>
                <c:pt idx="117">
                  <c:v>0.49959080141568579</c:v>
                </c:pt>
                <c:pt idx="118">
                  <c:v>0.46492940137179717</c:v>
                </c:pt>
                <c:pt idx="119">
                  <c:v>0.42812943738289311</c:v>
                </c:pt>
                <c:pt idx="120">
                  <c:v>0.394301244070829</c:v>
                </c:pt>
                <c:pt idx="121">
                  <c:v>0.36141735172149869</c:v>
                </c:pt>
                <c:pt idx="122">
                  <c:v>0.32895006273808058</c:v>
                </c:pt>
                <c:pt idx="123">
                  <c:v>0.29720488625557706</c:v>
                </c:pt>
                <c:pt idx="124">
                  <c:v>0.26573744535034827</c:v>
                </c:pt>
                <c:pt idx="125">
                  <c:v>0.23229808184646872</c:v>
                </c:pt>
                <c:pt idx="126">
                  <c:v>0.19763668180258021</c:v>
                </c:pt>
                <c:pt idx="127">
                  <c:v>0.16150328319913554</c:v>
                </c:pt>
                <c:pt idx="128">
                  <c:v>0.12503660190296084</c:v>
                </c:pt>
                <c:pt idx="129">
                  <c:v>9.0153013397252679E-2</c:v>
                </c:pt>
                <c:pt idx="130">
                  <c:v>5.8130101337474316E-2</c:v>
                </c:pt>
                <c:pt idx="131">
                  <c:v>2.6634886874518093E-2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1732</xdr:colOff>
      <xdr:row>16</xdr:row>
      <xdr:rowOff>17317</xdr:rowOff>
    </xdr:from>
    <xdr:to>
      <xdr:col>15</xdr:col>
      <xdr:colOff>30307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671079</xdr:colOff>
      <xdr:row>36</xdr:row>
      <xdr:rowOff>198294</xdr:rowOff>
    </xdr:from>
    <xdr:to>
      <xdr:col>16</xdr:col>
      <xdr:colOff>418233</xdr:colOff>
      <xdr:row>57</xdr:row>
      <xdr:rowOff>138547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123824</xdr:rowOff>
    </xdr:from>
    <xdr:to>
      <xdr:col>6</xdr:col>
      <xdr:colOff>552450</xdr:colOff>
      <xdr:row>22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abSelected="1" topLeftCell="B4" zoomScale="110" zoomScaleNormal="110" workbookViewId="0">
      <selection activeCell="E26" sqref="E26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6" width="9.140625" style="55" customWidth="1"/>
    <col min="27" max="30" width="9.140625" customWidth="1"/>
    <col min="31" max="31" width="10.85546875" bestFit="1" customWidth="1"/>
  </cols>
  <sheetData>
    <row r="1" spans="2:35" s="55" customFormat="1" ht="20.25" customHeight="1">
      <c r="B1" s="55">
        <f>VLOOKUP(C1,ListMembers!U8:V10,2,FALSE)</f>
        <v>3</v>
      </c>
      <c r="C1" s="110" t="s">
        <v>182</v>
      </c>
      <c r="D1" s="125" t="s">
        <v>151</v>
      </c>
      <c r="E1" s="126"/>
      <c r="F1" s="126"/>
      <c r="G1" s="126"/>
      <c r="H1" s="127"/>
      <c r="AA1"/>
      <c r="AB1"/>
      <c r="AC1"/>
      <c r="AD1"/>
    </row>
    <row r="2" spans="2:35" s="55" customFormat="1" ht="47.25" customHeight="1">
      <c r="C2" s="100"/>
      <c r="D2" s="128" t="s">
        <v>152</v>
      </c>
      <c r="E2" s="129"/>
      <c r="F2" s="129"/>
      <c r="G2" s="129"/>
      <c r="H2" s="130"/>
      <c r="AA2"/>
      <c r="AB2"/>
      <c r="AC2"/>
      <c r="AD2"/>
    </row>
    <row r="3" spans="2:35" s="54" customFormat="1" ht="15.75" thickBot="1">
      <c r="B3" s="55"/>
      <c r="C3" s="131" t="s">
        <v>183</v>
      </c>
      <c r="D3" s="131"/>
      <c r="E3" s="131"/>
      <c r="F3" s="131"/>
      <c r="G3" s="132"/>
      <c r="H3" s="132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/>
      <c r="AB3"/>
      <c r="AC3"/>
      <c r="AD3"/>
    </row>
    <row r="4" spans="2:35" s="55" customFormat="1" ht="15.75">
      <c r="C4" s="102" t="s">
        <v>171</v>
      </c>
      <c r="D4" s="103" t="s">
        <v>284</v>
      </c>
      <c r="E4" s="58"/>
      <c r="F4" s="102" t="s">
        <v>191</v>
      </c>
      <c r="G4" s="86" t="str">
        <f>IF(H4="","Typical",H4)</f>
        <v>Typical</v>
      </c>
      <c r="H4" s="98"/>
      <c r="AA4"/>
      <c r="AB4"/>
      <c r="AC4"/>
      <c r="AD4"/>
    </row>
    <row r="5" spans="2:35" s="55" customFormat="1" ht="15.75">
      <c r="C5" s="102" t="s">
        <v>26</v>
      </c>
      <c r="D5" s="104" t="s">
        <v>8</v>
      </c>
      <c r="E5" s="58"/>
      <c r="F5" s="102" t="s">
        <v>192</v>
      </c>
      <c r="G5" s="86" t="str">
        <f>IF(H5="","Typical",H5)</f>
        <v>Typical</v>
      </c>
      <c r="H5" s="98"/>
      <c r="AA5"/>
      <c r="AB5"/>
      <c r="AC5"/>
      <c r="AD5"/>
    </row>
    <row r="6" spans="2:35" s="55" customFormat="1" ht="15.75">
      <c r="C6" s="102" t="s">
        <v>94</v>
      </c>
      <c r="D6" s="104" t="s">
        <v>254</v>
      </c>
      <c r="F6" s="102" t="s">
        <v>187</v>
      </c>
      <c r="G6" s="86" t="str">
        <f>IF(H6="","None",H6)</f>
        <v>None</v>
      </c>
      <c r="H6" s="112"/>
      <c r="AA6"/>
      <c r="AB6"/>
      <c r="AC6"/>
      <c r="AD6"/>
    </row>
    <row r="7" spans="2:35" s="55" customFormat="1">
      <c r="C7" s="57" t="s">
        <v>95</v>
      </c>
      <c r="D7" s="85" t="str">
        <f>IF(E7="","General",E7)</f>
        <v>Long (Group3)</v>
      </c>
      <c r="E7" s="92" t="s">
        <v>251</v>
      </c>
      <c r="AA7"/>
      <c r="AB7"/>
      <c r="AC7"/>
      <c r="AD7"/>
    </row>
    <row r="8" spans="2:35" s="55" customFormat="1">
      <c r="C8" s="64" t="s">
        <v>150</v>
      </c>
      <c r="D8" s="65" t="str">
        <f>SUBSTITUTE(CurrentCropName&amp;" "&amp;CurrentCropType&amp;" "&amp;CurrentCropVariety,"_"," ")</f>
        <v>GroundStore Potato Long (Group3)</v>
      </c>
      <c r="AA8"/>
      <c r="AB8"/>
      <c r="AC8"/>
      <c r="AD8"/>
    </row>
    <row r="9" spans="2:35" s="55" customFormat="1">
      <c r="C9" s="57" t="s">
        <v>4</v>
      </c>
      <c r="D9" s="91">
        <f ca="1">IF(E9="",TODAY(),E9)</f>
        <v>45209</v>
      </c>
      <c r="E9" s="67">
        <v>45209</v>
      </c>
      <c r="F9" s="57" t="s">
        <v>145</v>
      </c>
      <c r="G9" s="85" t="str">
        <f>IF(H9="",VLOOKUP(CurrentCropNameFull,CropCoefficients,13,FALSE),H9)</f>
        <v>Seed</v>
      </c>
      <c r="H9" s="72"/>
      <c r="AA9"/>
      <c r="AB9"/>
      <c r="AC9"/>
      <c r="AD9"/>
    </row>
    <row r="10" spans="2:35" s="55" customFormat="1">
      <c r="C10" s="57" t="s">
        <v>5</v>
      </c>
      <c r="D10" s="91">
        <f>IF(E10="",CurrentEstablishDate+125,E10)</f>
        <v>45355</v>
      </c>
      <c r="E10" s="67">
        <v>45355</v>
      </c>
      <c r="F10" s="57" t="s">
        <v>146</v>
      </c>
      <c r="G10" s="85" t="str">
        <f>IF(H10="",VLOOKUP(CurrentCropNameFull,CropCoefficients,15,FALSE),H10)</f>
        <v>Late</v>
      </c>
      <c r="H10" s="72"/>
      <c r="AA10"/>
      <c r="AB10"/>
      <c r="AC10"/>
      <c r="AD10"/>
    </row>
    <row r="11" spans="2:35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A11"/>
      <c r="AB11"/>
      <c r="AC11"/>
      <c r="AD11"/>
    </row>
    <row r="12" spans="2:35" s="55" customFormat="1">
      <c r="C12" s="57" t="str">
        <f>"Yield ("&amp;CurrentUnits&amp;")"</f>
        <v>Yield (t/ha)</v>
      </c>
      <c r="D12" s="85">
        <f>IF(E12="",VLOOKUP(CurrentCropNameFull,CropCoefficients,17,FALSE),E12)</f>
        <v>70</v>
      </c>
      <c r="E12" s="69"/>
      <c r="F12" s="57" t="s">
        <v>135</v>
      </c>
      <c r="G12" s="85">
        <f>IF(H12="",VLOOKUP(CurrentCropNameFull,CropCoefficients,22,FALSE),H12)</f>
        <v>0</v>
      </c>
      <c r="H12" s="69"/>
      <c r="AA12"/>
      <c r="AB12"/>
      <c r="AC12"/>
      <c r="AD12"/>
    </row>
    <row r="13" spans="2:35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79</v>
      </c>
      <c r="H13" s="69"/>
      <c r="AA13"/>
      <c r="AB13"/>
      <c r="AC13"/>
      <c r="AD13"/>
    </row>
    <row r="14" spans="2:35" s="55" customFormat="1">
      <c r="B14" s="90">
        <f>IF(CurrentUnits="kg/head",CurrentYield*CurrentPopulation/1000,IF(CurrentUnits="kg/ha",CurrentYield/1000,CurrentYield))</f>
        <v>70</v>
      </c>
      <c r="C14" s="64" t="str">
        <f>"Yield "&amp;CurrentYield_tperHa&amp;" (t/ha)"</f>
        <v>Yield 70 (t/ha)</v>
      </c>
      <c r="D14" s="90" t="str">
        <f ca="1">"requires "&amp;ROUND(SUM('Model Interface'!P8:Q8),0)&amp;" kg N/ha from all sources"</f>
        <v>requires 294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45194</v>
      </c>
      <c r="AA14"/>
      <c r="AB14"/>
      <c r="AC14"/>
      <c r="AD14"/>
    </row>
    <row r="15" spans="2:35" s="55" customFormat="1" ht="16.5" thickBot="1">
      <c r="B15" s="55">
        <f ca="1">SUMIF(B30:B44,1,G30:G44)</f>
        <v>235.55793708965507</v>
      </c>
      <c r="C15" s="105" t="s">
        <v>220</v>
      </c>
      <c r="D15" s="106" t="str">
        <f ca="1">SUMIF(B30:B44,1,G30:G44)&amp;" Kg/ha"</f>
        <v>235.557937089655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4" t="s">
        <v>222</v>
      </c>
      <c r="S15" s="124"/>
      <c r="T15" s="124"/>
      <c r="U15" s="124"/>
      <c r="V15" s="124"/>
      <c r="W15" s="115"/>
      <c r="X15" s="115"/>
      <c r="Y15" s="115"/>
      <c r="Z15" s="115"/>
      <c r="AA15" s="122" t="s">
        <v>221</v>
      </c>
      <c r="AB15" s="122"/>
      <c r="AC15" s="122"/>
      <c r="AD15" s="122"/>
      <c r="AE15" s="123" t="s">
        <v>223</v>
      </c>
      <c r="AF15" s="123"/>
      <c r="AG15" s="123"/>
      <c r="AH15" s="123"/>
      <c r="AI15" s="123"/>
    </row>
    <row r="16" spans="2:35" s="55" customFormat="1" ht="5.25" customHeight="1">
      <c r="AA16"/>
      <c r="AB16"/>
      <c r="AC16"/>
      <c r="AD16"/>
    </row>
    <row r="17" spans="1:38" s="54" customFormat="1" ht="15.75" thickBot="1">
      <c r="A17" s="55"/>
      <c r="B17" s="55"/>
      <c r="C17" s="131" t="s">
        <v>184</v>
      </c>
      <c r="D17" s="131"/>
      <c r="E17" s="131"/>
      <c r="F17" s="131"/>
      <c r="G17" s="131"/>
      <c r="H17" s="131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283</v>
      </c>
      <c r="AA17" s="55" t="s">
        <v>201</v>
      </c>
      <c r="AB17" s="55" t="s">
        <v>202</v>
      </c>
      <c r="AC17" s="55" t="s">
        <v>187</v>
      </c>
      <c r="AD17" s="55" t="s">
        <v>205</v>
      </c>
      <c r="AE17" s="55" t="s">
        <v>14</v>
      </c>
      <c r="AF17" s="55"/>
      <c r="AG17" s="55" t="s">
        <v>156</v>
      </c>
      <c r="AH17" s="55" t="s">
        <v>155</v>
      </c>
      <c r="AI17" s="55" t="s">
        <v>13</v>
      </c>
      <c r="AJ17" s="54" t="s">
        <v>173</v>
      </c>
      <c r="AK17" s="55" t="s">
        <v>241</v>
      </c>
      <c r="AL17" s="55" t="s">
        <v>242</v>
      </c>
    </row>
    <row r="18" spans="1:38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45194</v>
      </c>
      <c r="S18" s="55">
        <f ca="1">IF(R18&gt;1,R18,"")</f>
        <v>45194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0.15994465864049956</v>
      </c>
      <c r="Y18" s="55">
        <f ca="1">VLOOKUP(S18,ModelOutputs,3,FALSE)</f>
        <v>2.6822676512949926</v>
      </c>
      <c r="Z18" s="55">
        <f t="shared" ref="Z18:Z81" ca="1" si="3">VLOOKUP(S18,ModelOutputs,3,FALSE)*14</f>
        <v>37.551747118129896</v>
      </c>
      <c r="AA18">
        <f t="shared" ref="AA18:AA81" ca="1" si="4">VLOOKUP(S18,ModelOutputs,10,FALSE)*AWC</f>
        <v>108</v>
      </c>
      <c r="AB18">
        <f ca="1">VLOOKUP(S18,ModelOutputs,11,FALSE)</f>
        <v>0</v>
      </c>
      <c r="AC18">
        <f t="shared" ref="AC18:AC81" ca="1" si="5">VLOOKUP(S18,ModelOutputs,12,FALSE)</f>
        <v>0</v>
      </c>
      <c r="AD18">
        <f t="shared" ref="AD18:AD81" ca="1" si="6">VLOOKUP(S18,ModelOutputs,13,FALSE)</f>
        <v>0.99999995543201425</v>
      </c>
      <c r="AE18" s="83">
        <f t="array" aca="1" ref="AE18:AE662" ca="1">_xlfn._xlws.FILTER('Model Interface'!X11:X1004,('Model Interface'!X11:X1004&gt;=CurrentHarvestDate+1)*('Model Interface'!X11:X1004&lt;=FollowingHarvestDate),"")</f>
        <v>45356</v>
      </c>
      <c r="AF18" s="55">
        <f ca="1">IF(AE18&gt;1,AE18,"")</f>
        <v>45356</v>
      </c>
      <c r="AG18" s="55">
        <f t="shared" ref="AG18:AG20" ca="1" si="7">VLOOKUP(AF18,ModelOutputs,2,FALSE)</f>
        <v>27.807908205265555</v>
      </c>
      <c r="AH18" s="55">
        <f t="shared" ref="AH18:AH20" ca="1" si="8">VLOOKUP(AF18,ModelOutputs,7,FALSE)</f>
        <v>0</v>
      </c>
      <c r="AI18" s="55">
        <f t="shared" ref="AI18:AI20" ca="1" si="9">VLOOKUP(AF18,ModelOutputs,6,FALSE)</f>
        <v>0</v>
      </c>
      <c r="AJ18" s="55">
        <f ca="1">-VLOOKUP(AF18,ModelOutputs,9,FALSE)</f>
        <v>0</v>
      </c>
      <c r="AK18" s="55">
        <f t="shared" ref="AK18" ca="1" si="10">VLOOKUP(AF18,ModelOutputs,5,FALSE)</f>
        <v>0.13898409416401378</v>
      </c>
      <c r="AL18" s="55">
        <f t="shared" ref="AL18" ca="1" si="11">VLOOKUP(AF18,ModelOutputs,4,FALSE)</f>
        <v>-0.54585614391669601</v>
      </c>
    </row>
    <row r="19" spans="1:38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20 kg N/ha available from SOM mineralisation</v>
      </c>
      <c r="R19" s="83">
        <f ca="1"/>
        <v>45195</v>
      </c>
      <c r="S19" s="55">
        <f t="shared" ref="S19:S82" ca="1" si="12">IF(R19&gt;1,R19,"")</f>
        <v>45195</v>
      </c>
      <c r="T19" s="55">
        <f t="shared" ca="1" si="0"/>
        <v>50.152309456947577</v>
      </c>
      <c r="U19" s="55">
        <f t="shared" ca="1" si="1"/>
        <v>0</v>
      </c>
      <c r="V19" s="55">
        <f t="shared" ca="1" si="2"/>
        <v>0</v>
      </c>
      <c r="W19" s="55">
        <f t="shared" ref="W19:W82" ca="1" si="13">-VLOOKUP(S19,ModelOutputs,9,FALSE)+W18</f>
        <v>0</v>
      </c>
      <c r="X19" s="55">
        <f t="shared" ref="X19:X82" ca="1" si="14">VLOOKUP(S19,ModelOutputs,5,FALSE)+X18</f>
        <v>0.32916857878391725</v>
      </c>
      <c r="Y19" s="55">
        <f t="shared" ref="Y19:Y82" ca="1" si="15">VLOOKUP(S19,ModelOutputs,4,FALSE)+Y18</f>
        <v>2.6653531880991506</v>
      </c>
      <c r="Z19" s="55">
        <f t="shared" ca="1" si="3"/>
        <v>0</v>
      </c>
      <c r="AA19">
        <f t="shared" ca="1" si="4"/>
        <v>105.85739130434783</v>
      </c>
      <c r="AB19">
        <f t="shared" ref="AB19:AB82" ca="1" si="16">VLOOKUP(S19,ModelOutputs,11,FALSE)+AB18</f>
        <v>0</v>
      </c>
      <c r="AC19">
        <f t="shared" ca="1" si="5"/>
        <v>0</v>
      </c>
      <c r="AD19">
        <f t="shared" ca="1" si="6"/>
        <v>0</v>
      </c>
      <c r="AE19" s="83">
        <f ca="1"/>
        <v>45357</v>
      </c>
      <c r="AF19" s="55">
        <f t="shared" ref="AF19:AF20" ca="1" si="17">IF(AE19&gt;1,AE19,"")</f>
        <v>45357</v>
      </c>
      <c r="AG19" s="55">
        <f t="shared" ca="1" si="7"/>
        <v>27.45412944895179</v>
      </c>
      <c r="AH19" s="55">
        <f t="shared" ca="1" si="8"/>
        <v>0</v>
      </c>
      <c r="AI19" s="55">
        <f t="shared" ca="1" si="9"/>
        <v>0</v>
      </c>
      <c r="AJ19" s="55">
        <f t="shared" ref="AJ19:AJ82" ca="1" si="18">-VLOOKUP(AF19,ModelOutputs,9,FALSE)+AJ18</f>
        <v>0</v>
      </c>
      <c r="AK19" s="55">
        <f t="shared" ref="AK19:AK82" ca="1" si="19">VLOOKUP(AF19,ModelOutputs,5,FALSE)+AK18</f>
        <v>0.26631214187122998</v>
      </c>
      <c r="AL19" s="55">
        <f t="shared" ref="AL19:AL82" ca="1" si="20">VLOOKUP(AF19,ModelOutputs,4,FALSE)+AL18</f>
        <v>-1.0269629479376778</v>
      </c>
    </row>
    <row r="20" spans="1:38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45196</v>
      </c>
      <c r="S20" s="55">
        <f t="shared" ca="1" si="12"/>
        <v>45196</v>
      </c>
      <c r="T20" s="55">
        <f t="shared" ca="1" si="0"/>
        <v>50.323908076557942</v>
      </c>
      <c r="U20" s="55">
        <f t="shared" ca="1" si="1"/>
        <v>0</v>
      </c>
      <c r="V20" s="55">
        <f t="shared" ca="1" si="2"/>
        <v>0</v>
      </c>
      <c r="W20" s="55">
        <f t="shared" ca="1" si="13"/>
        <v>0</v>
      </c>
      <c r="X20" s="55">
        <f t="shared" ca="1" si="14"/>
        <v>0.49465053831488087</v>
      </c>
      <c r="Y20" s="55">
        <f t="shared" ca="1" si="15"/>
        <v>2.6714698481785493</v>
      </c>
      <c r="Z20" s="55">
        <f t="shared" ca="1" si="3"/>
        <v>0</v>
      </c>
      <c r="AA20">
        <f t="shared" ca="1" si="4"/>
        <v>101.85439899180845</v>
      </c>
      <c r="AB20">
        <f t="shared" ca="1" si="16"/>
        <v>0</v>
      </c>
      <c r="AC20">
        <f t="shared" ca="1" si="5"/>
        <v>0</v>
      </c>
      <c r="AD20">
        <f t="shared" ca="1" si="6"/>
        <v>0</v>
      </c>
      <c r="AE20" s="83">
        <f ca="1"/>
        <v>45358</v>
      </c>
      <c r="AF20" s="55">
        <f t="shared" ca="1" si="17"/>
        <v>45358</v>
      </c>
      <c r="AG20" s="55">
        <f t="shared" ca="1" si="7"/>
        <v>27.115946887534562</v>
      </c>
      <c r="AH20" s="55">
        <f t="shared" ca="1" si="8"/>
        <v>0</v>
      </c>
      <c r="AI20" s="55">
        <f t="shared" ca="1" si="9"/>
        <v>0</v>
      </c>
      <c r="AJ20" s="55">
        <f t="shared" ca="1" si="18"/>
        <v>0</v>
      </c>
      <c r="AK20" s="55">
        <f t="shared" ca="1" si="19"/>
        <v>0.39638855982270282</v>
      </c>
      <c r="AL20" s="55">
        <f t="shared" ca="1" si="20"/>
        <v>-1.4952219273063747</v>
      </c>
    </row>
    <row r="21" spans="1:38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45197</v>
      </c>
      <c r="S21" s="55">
        <f t="shared" ca="1" si="12"/>
        <v>45197</v>
      </c>
      <c r="T21" s="55">
        <f t="shared" ca="1" si="0"/>
        <v>50.513034740050728</v>
      </c>
      <c r="U21" s="55">
        <f t="shared" ca="1" si="1"/>
        <v>0</v>
      </c>
      <c r="V21" s="55">
        <f t="shared" ca="1" si="2"/>
        <v>0</v>
      </c>
      <c r="W21" s="55">
        <f t="shared" ca="1" si="13"/>
        <v>0</v>
      </c>
      <c r="X21" s="55">
        <f t="shared" ca="1" si="14"/>
        <v>0.65664753549075328</v>
      </c>
      <c r="Y21" s="55">
        <f t="shared" ca="1" si="15"/>
        <v>2.6985995144954629</v>
      </c>
      <c r="Z21" s="55">
        <f t="shared" ca="1" si="3"/>
        <v>0</v>
      </c>
      <c r="AA21">
        <f t="shared" ca="1" si="4"/>
        <v>102.13534326635801</v>
      </c>
      <c r="AB21">
        <f t="shared" ca="1" si="16"/>
        <v>0</v>
      </c>
      <c r="AC21">
        <f t="shared" ca="1" si="5"/>
        <v>0</v>
      </c>
      <c r="AD21">
        <f t="shared" ca="1" si="6"/>
        <v>0</v>
      </c>
      <c r="AE21" s="83">
        <f ca="1"/>
        <v>45359</v>
      </c>
      <c r="AF21" s="55">
        <f t="shared" ref="AF21:AF84" ca="1" si="21">IF(AE21&gt;1,AE21,"")</f>
        <v>45359</v>
      </c>
      <c r="AG21" s="55">
        <f t="shared" ref="AG21:AG84" ca="1" si="22">VLOOKUP(AF21,ModelOutputs,2,FALSE)</f>
        <v>26.814831876903526</v>
      </c>
      <c r="AH21" s="55">
        <f t="shared" ref="AH21:AH84" ca="1" si="23">VLOOKUP(AF21,ModelOutputs,7,FALSE)</f>
        <v>0</v>
      </c>
      <c r="AI21" s="55">
        <f t="shared" ref="AI21:AI84" ca="1" si="24">VLOOKUP(AF21,ModelOutputs,6,FALSE)</f>
        <v>0</v>
      </c>
      <c r="AJ21" s="55">
        <f t="shared" ca="1" si="18"/>
        <v>0</v>
      </c>
      <c r="AK21" s="55">
        <f t="shared" ca="1" si="19"/>
        <v>0.51838522704200363</v>
      </c>
      <c r="AL21" s="55">
        <f t="shared" ca="1" si="20"/>
        <v>-1.9183336051567128</v>
      </c>
    </row>
    <row r="22" spans="1:38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45198</v>
      </c>
      <c r="S22" s="55">
        <f t="shared" ca="1" si="12"/>
        <v>45198</v>
      </c>
      <c r="T22" s="55">
        <f t="shared" ca="1" si="0"/>
        <v>50.717920094141746</v>
      </c>
      <c r="U22" s="55">
        <f t="shared" ca="1" si="1"/>
        <v>0</v>
      </c>
      <c r="V22" s="55">
        <f t="shared" ca="1" si="2"/>
        <v>0</v>
      </c>
      <c r="W22" s="55">
        <f t="shared" ca="1" si="13"/>
        <v>0</v>
      </c>
      <c r="X22" s="55">
        <f t="shared" ca="1" si="14"/>
        <v>0.81557959644274958</v>
      </c>
      <c r="Y22" s="55">
        <f t="shared" ca="1" si="15"/>
        <v>2.7445528076344816</v>
      </c>
      <c r="Z22" s="55">
        <f t="shared" ca="1" si="3"/>
        <v>0</v>
      </c>
      <c r="AA22">
        <f t="shared" ca="1" si="4"/>
        <v>101.5407435093763</v>
      </c>
      <c r="AB22">
        <f t="shared" ca="1" si="16"/>
        <v>0</v>
      </c>
      <c r="AC22">
        <f t="shared" ca="1" si="5"/>
        <v>0</v>
      </c>
      <c r="AD22">
        <f t="shared" ca="1" si="6"/>
        <v>0</v>
      </c>
      <c r="AE22" s="83">
        <f ca="1"/>
        <v>45360</v>
      </c>
      <c r="AF22" s="55">
        <f t="shared" ca="1" si="21"/>
        <v>45360</v>
      </c>
      <c r="AG22" s="55">
        <f t="shared" ca="1" si="22"/>
        <v>26.502780997277739</v>
      </c>
      <c r="AH22" s="55">
        <f t="shared" ca="1" si="23"/>
        <v>0</v>
      </c>
      <c r="AI22" s="55">
        <f t="shared" ca="1" si="24"/>
        <v>0</v>
      </c>
      <c r="AJ22" s="55">
        <f t="shared" ca="1" si="18"/>
        <v>0</v>
      </c>
      <c r="AK22" s="55">
        <f t="shared" ca="1" si="19"/>
        <v>0.65325324386958594</v>
      </c>
      <c r="AL22" s="55">
        <f t="shared" ca="1" si="20"/>
        <v>-2.3652525016100832</v>
      </c>
    </row>
    <row r="23" spans="1:38" s="55" customFormat="1">
      <c r="C23" s="57"/>
      <c r="D23" s="85"/>
      <c r="E23" s="113"/>
      <c r="F23" s="94"/>
      <c r="R23" s="83">
        <f ca="1"/>
        <v>45199</v>
      </c>
      <c r="S23" s="55">
        <f t="shared" ca="1" si="12"/>
        <v>45199</v>
      </c>
      <c r="T23" s="55">
        <f t="shared" ca="1" si="0"/>
        <v>50.957257841689795</v>
      </c>
      <c r="U23" s="55">
        <f t="shared" ca="1" si="1"/>
        <v>0</v>
      </c>
      <c r="V23" s="55">
        <f t="shared" ca="1" si="2"/>
        <v>0</v>
      </c>
      <c r="W23" s="55">
        <f t="shared" ca="1" si="13"/>
        <v>0</v>
      </c>
      <c r="X23" s="55">
        <f t="shared" ca="1" si="14"/>
        <v>0.98528489557406607</v>
      </c>
      <c r="Y23" s="55">
        <f t="shared" ca="1" si="15"/>
        <v>2.8141852560512186</v>
      </c>
      <c r="Z23" s="55">
        <f t="shared" ca="1" si="3"/>
        <v>0</v>
      </c>
      <c r="AA23">
        <f t="shared" ca="1" si="4"/>
        <v>97.113874880869446</v>
      </c>
      <c r="AB23">
        <f t="shared" ca="1" si="16"/>
        <v>0</v>
      </c>
      <c r="AC23">
        <f t="shared" ca="1" si="5"/>
        <v>0</v>
      </c>
      <c r="AD23">
        <f t="shared" ca="1" si="6"/>
        <v>0</v>
      </c>
      <c r="AE23" s="83">
        <f ca="1"/>
        <v>45361</v>
      </c>
      <c r="AF23" s="55">
        <f t="shared" ca="1" si="21"/>
        <v>45361</v>
      </c>
      <c r="AG23" s="55">
        <f t="shared" ca="1" si="22"/>
        <v>26.207881219876747</v>
      </c>
      <c r="AH23" s="55">
        <f t="shared" ca="1" si="23"/>
        <v>0</v>
      </c>
      <c r="AI23" s="55">
        <f t="shared" ca="1" si="24"/>
        <v>0</v>
      </c>
      <c r="AJ23" s="55">
        <f t="shared" ca="1" si="18"/>
        <v>0</v>
      </c>
      <c r="AK23" s="55">
        <f t="shared" ca="1" si="19"/>
        <v>0.78224324921488497</v>
      </c>
      <c r="AL23" s="55">
        <f t="shared" ca="1" si="20"/>
        <v>-2.7891422843563749</v>
      </c>
    </row>
    <row r="24" spans="1:38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45200</v>
      </c>
      <c r="S24" s="55">
        <f t="shared" ca="1" si="12"/>
        <v>45200</v>
      </c>
      <c r="T24" s="55">
        <f t="shared" ca="1" si="0"/>
        <v>51.208670976479148</v>
      </c>
      <c r="U24" s="55">
        <f t="shared" ca="1" si="1"/>
        <v>0</v>
      </c>
      <c r="V24" s="55">
        <f t="shared" ca="1" si="2"/>
        <v>0</v>
      </c>
      <c r="W24" s="55">
        <f t="shared" ca="1" si="13"/>
        <v>0</v>
      </c>
      <c r="X24" s="55">
        <f t="shared" ca="1" si="14"/>
        <v>1.1479421352048473</v>
      </c>
      <c r="Y24" s="55">
        <f t="shared" ca="1" si="15"/>
        <v>2.9029411512097889</v>
      </c>
      <c r="Z24" s="55">
        <f t="shared" ca="1" si="3"/>
        <v>0</v>
      </c>
      <c r="AA24">
        <f t="shared" ca="1" si="4"/>
        <v>92.870193618727313</v>
      </c>
      <c r="AB24">
        <f t="shared" ca="1" si="16"/>
        <v>0</v>
      </c>
      <c r="AC24">
        <f t="shared" ca="1" si="5"/>
        <v>0</v>
      </c>
      <c r="AD24">
        <f t="shared" ca="1" si="6"/>
        <v>0</v>
      </c>
      <c r="AE24" s="83">
        <f ca="1"/>
        <v>45362</v>
      </c>
      <c r="AF24" s="55">
        <f t="shared" ca="1" si="21"/>
        <v>45362</v>
      </c>
      <c r="AG24" s="55">
        <f t="shared" ca="1" si="22"/>
        <v>25.899962095304588</v>
      </c>
      <c r="AH24" s="55">
        <f t="shared" ca="1" si="23"/>
        <v>0</v>
      </c>
      <c r="AI24" s="55">
        <f t="shared" ca="1" si="24"/>
        <v>0</v>
      </c>
      <c r="AJ24" s="55">
        <f t="shared" ca="1" si="18"/>
        <v>0</v>
      </c>
      <c r="AK24" s="55">
        <f t="shared" ca="1" si="19"/>
        <v>0.91516096646705092</v>
      </c>
      <c r="AL24" s="55">
        <f t="shared" ca="1" si="20"/>
        <v>-3.2299791261807016</v>
      </c>
    </row>
    <row r="25" spans="1:38" s="55" customFormat="1">
      <c r="C25" s="61" t="str">
        <f>IF(COUNT(C30:C35)&gt;0,"Side dressings remaining","Side dressings")</f>
        <v>Side dressings</v>
      </c>
      <c r="D25" s="85">
        <f>IF(E25="",1,E25)</f>
        <v>4</v>
      </c>
      <c r="E25" s="98">
        <v>4</v>
      </c>
      <c r="R25" s="83">
        <f ca="1"/>
        <v>45201</v>
      </c>
      <c r="S25" s="55">
        <f t="shared" ca="1" si="12"/>
        <v>45201</v>
      </c>
      <c r="T25" s="55">
        <f t="shared" ca="1" si="0"/>
        <v>51.478835424964068</v>
      </c>
      <c r="U25" s="55">
        <f t="shared" ca="1" si="1"/>
        <v>0</v>
      </c>
      <c r="V25" s="55">
        <f t="shared" ca="1" si="2"/>
        <v>0</v>
      </c>
      <c r="W25" s="55">
        <f t="shared" ca="1" si="13"/>
        <v>0</v>
      </c>
      <c r="X25" s="55">
        <f t="shared" ca="1" si="14"/>
        <v>1.3096580313770796</v>
      </c>
      <c r="Y25" s="55">
        <f t="shared" ca="1" si="15"/>
        <v>3.0113897035224761</v>
      </c>
      <c r="Z25" s="55">
        <f t="shared" ca="1" si="3"/>
        <v>0</v>
      </c>
      <c r="AA25">
        <f t="shared" ca="1" si="4"/>
        <v>89.780105761103414</v>
      </c>
      <c r="AB25">
        <f t="shared" ca="1" si="16"/>
        <v>0</v>
      </c>
      <c r="AC25">
        <f t="shared" ca="1" si="5"/>
        <v>0</v>
      </c>
      <c r="AD25">
        <f t="shared" ca="1" si="6"/>
        <v>0</v>
      </c>
      <c r="AE25" s="83">
        <f ca="1"/>
        <v>45363</v>
      </c>
      <c r="AF25" s="55">
        <f t="shared" ca="1" si="21"/>
        <v>45363</v>
      </c>
      <c r="AG25" s="55">
        <f t="shared" ca="1" si="22"/>
        <v>25.583339815624619</v>
      </c>
      <c r="AH25" s="55">
        <f t="shared" ca="1" si="23"/>
        <v>0</v>
      </c>
      <c r="AI25" s="55">
        <f t="shared" ca="1" si="24"/>
        <v>0</v>
      </c>
      <c r="AJ25" s="55">
        <f t="shared" ca="1" si="18"/>
        <v>0</v>
      </c>
      <c r="AK25" s="55">
        <f t="shared" ca="1" si="19"/>
        <v>1.0550233307132024</v>
      </c>
      <c r="AL25" s="55">
        <f t="shared" ca="1" si="20"/>
        <v>-3.6864637701068208</v>
      </c>
    </row>
    <row r="26" spans="1:38" s="55" customFormat="1">
      <c r="C26" s="61" t="s">
        <v>285</v>
      </c>
      <c r="D26" s="121" t="str">
        <f>IF(E26="","",E26)</f>
        <v/>
      </c>
      <c r="E26" s="120"/>
      <c r="R26" s="83">
        <f ca="1"/>
        <v>45202</v>
      </c>
      <c r="S26" s="55">
        <f t="shared" ca="1" si="12"/>
        <v>45202</v>
      </c>
      <c r="T26" s="55">
        <f t="shared" ca="1" si="0"/>
        <v>51.749249113953773</v>
      </c>
      <c r="U26" s="55">
        <f t="shared" ca="1" si="1"/>
        <v>0</v>
      </c>
      <c r="V26" s="55">
        <f t="shared" ca="1" si="2"/>
        <v>0</v>
      </c>
      <c r="W26" s="55">
        <f t="shared" ca="1" si="13"/>
        <v>0</v>
      </c>
      <c r="X26" s="55">
        <f t="shared" ca="1" si="14"/>
        <v>1.4618633592124366</v>
      </c>
      <c r="Y26" s="55">
        <f t="shared" ca="1" si="15"/>
        <v>3.1295980646768298</v>
      </c>
      <c r="Z26" s="55">
        <f t="shared" ca="1" si="3"/>
        <v>0</v>
      </c>
      <c r="AA26">
        <f t="shared" ca="1" si="4"/>
        <v>90.607950008981405</v>
      </c>
      <c r="AB26">
        <f t="shared" ca="1" si="16"/>
        <v>0</v>
      </c>
      <c r="AC26">
        <f t="shared" ca="1" si="5"/>
        <v>0</v>
      </c>
      <c r="AD26">
        <f t="shared" ca="1" si="6"/>
        <v>0</v>
      </c>
      <c r="AE26" s="83">
        <f ca="1"/>
        <v>45364</v>
      </c>
      <c r="AF26" s="55">
        <f t="shared" ca="1" si="21"/>
        <v>45364</v>
      </c>
      <c r="AG26" s="55">
        <f t="shared" ca="1" si="22"/>
        <v>25.28131861351001</v>
      </c>
      <c r="AH26" s="55">
        <f t="shared" ca="1" si="23"/>
        <v>0</v>
      </c>
      <c r="AI26" s="55">
        <f t="shared" ca="1" si="24"/>
        <v>0</v>
      </c>
      <c r="AJ26" s="55">
        <f t="shared" ca="1" si="18"/>
        <v>0</v>
      </c>
      <c r="AK26" s="55">
        <f t="shared" ca="1" si="19"/>
        <v>1.19368697347638</v>
      </c>
      <c r="AL26" s="55">
        <f t="shared" ca="1" si="20"/>
        <v>-4.1271486149846091</v>
      </c>
    </row>
    <row r="27" spans="1:38" s="55" customFormat="1" ht="15.75" thickBot="1">
      <c r="C27" s="56"/>
      <c r="D27" s="56"/>
      <c r="E27" s="56"/>
      <c r="F27" s="56"/>
      <c r="R27" s="83">
        <f ca="1"/>
        <v>45203</v>
      </c>
      <c r="S27" s="55">
        <f t="shared" ca="1" si="12"/>
        <v>45203</v>
      </c>
      <c r="T27" s="55">
        <f t="shared" ca="1" si="0"/>
        <v>52.028932297833407</v>
      </c>
      <c r="U27" s="55">
        <f t="shared" ca="1" si="1"/>
        <v>0</v>
      </c>
      <c r="V27" s="55">
        <f t="shared" ca="1" si="2"/>
        <v>0</v>
      </c>
      <c r="W27" s="55">
        <f t="shared" ca="1" si="13"/>
        <v>0</v>
      </c>
      <c r="X27" s="55">
        <f t="shared" ca="1" si="14"/>
        <v>1.6124574163068792</v>
      </c>
      <c r="Y27" s="55">
        <f t="shared" ca="1" si="15"/>
        <v>3.2586871914620166</v>
      </c>
      <c r="Z27" s="55">
        <f t="shared" ca="1" si="3"/>
        <v>0</v>
      </c>
      <c r="AA27">
        <f t="shared" ca="1" si="4"/>
        <v>91.999437356424806</v>
      </c>
      <c r="AB27">
        <f t="shared" ca="1" si="16"/>
        <v>0</v>
      </c>
      <c r="AC27">
        <f t="shared" ca="1" si="5"/>
        <v>0</v>
      </c>
      <c r="AD27">
        <f t="shared" ca="1" si="6"/>
        <v>0</v>
      </c>
      <c r="AE27" s="83">
        <f ca="1"/>
        <v>45365</v>
      </c>
      <c r="AF27" s="55">
        <f t="shared" ca="1" si="21"/>
        <v>45365</v>
      </c>
      <c r="AG27" s="55">
        <f t="shared" ca="1" si="22"/>
        <v>25.014091117763094</v>
      </c>
      <c r="AH27" s="55">
        <f t="shared" ca="1" si="23"/>
        <v>0</v>
      </c>
      <c r="AI27" s="55">
        <f t="shared" ca="1" si="24"/>
        <v>0</v>
      </c>
      <c r="AJ27" s="55">
        <f t="shared" ca="1" si="18"/>
        <v>0</v>
      </c>
      <c r="AK27" s="55">
        <f t="shared" ca="1" si="19"/>
        <v>1.3301656807942661</v>
      </c>
      <c r="AL27" s="55">
        <f t="shared" ca="1" si="20"/>
        <v>-4.530854818049411</v>
      </c>
    </row>
    <row r="28" spans="1:38" s="55" customFormat="1" ht="15.75" thickBot="1">
      <c r="C28" s="134" t="s">
        <v>137</v>
      </c>
      <c r="D28" s="135"/>
      <c r="E28" s="60"/>
      <c r="F28" s="136" t="s">
        <v>144</v>
      </c>
      <c r="G28" s="137"/>
      <c r="R28" s="83">
        <f ca="1"/>
        <v>45204</v>
      </c>
      <c r="S28" s="55">
        <f t="shared" ca="1" si="12"/>
        <v>45204</v>
      </c>
      <c r="T28" s="55">
        <f t="shared" ca="1" si="0"/>
        <v>52.315362844503213</v>
      </c>
      <c r="U28" s="55">
        <f t="shared" ca="1" si="1"/>
        <v>0</v>
      </c>
      <c r="V28" s="55">
        <f t="shared" ca="1" si="2"/>
        <v>0</v>
      </c>
      <c r="W28" s="55">
        <f t="shared" ca="1" si="13"/>
        <v>0</v>
      </c>
      <c r="X28" s="55">
        <f t="shared" ca="1" si="14"/>
        <v>1.758846416840671</v>
      </c>
      <c r="Y28" s="55">
        <f t="shared" ca="1" si="15"/>
        <v>3.3987287375980308</v>
      </c>
      <c r="Z28" s="55">
        <f t="shared" ca="1" si="3"/>
        <v>0</v>
      </c>
      <c r="AA28">
        <f t="shared" ca="1" si="4"/>
        <v>90.118885207660796</v>
      </c>
      <c r="AB28">
        <f t="shared" ca="1" si="16"/>
        <v>0</v>
      </c>
      <c r="AC28">
        <f t="shared" ca="1" si="5"/>
        <v>0</v>
      </c>
      <c r="AD28">
        <f t="shared" ca="1" si="6"/>
        <v>0</v>
      </c>
      <c r="AE28" s="83">
        <f ca="1"/>
        <v>45366</v>
      </c>
      <c r="AF28" s="55">
        <f t="shared" ca="1" si="21"/>
        <v>45366</v>
      </c>
      <c r="AG28" s="55">
        <f t="shared" ca="1" si="22"/>
        <v>24.765359745430686</v>
      </c>
      <c r="AH28" s="55">
        <f t="shared" ca="1" si="23"/>
        <v>0</v>
      </c>
      <c r="AI28" s="55">
        <f t="shared" ca="1" si="24"/>
        <v>0</v>
      </c>
      <c r="AJ28" s="55">
        <f t="shared" ca="1" si="18"/>
        <v>0</v>
      </c>
      <c r="AK28" s="55">
        <f t="shared" ca="1" si="19"/>
        <v>1.4668452211113481</v>
      </c>
      <c r="AL28" s="55">
        <f t="shared" ca="1" si="20"/>
        <v>-4.9162657306989015</v>
      </c>
    </row>
    <row r="29" spans="1:38" s="55" customFormat="1" ht="15.75" thickBot="1">
      <c r="C29" s="108" t="s">
        <v>14</v>
      </c>
      <c r="D29" s="109" t="s">
        <v>111</v>
      </c>
      <c r="F29" s="8" t="s">
        <v>14</v>
      </c>
      <c r="G29" s="62" t="s">
        <v>111</v>
      </c>
      <c r="R29" s="83">
        <f ca="1"/>
        <v>45205</v>
      </c>
      <c r="S29" s="55">
        <f t="shared" ca="1" si="12"/>
        <v>45205</v>
      </c>
      <c r="T29" s="55">
        <f t="shared" ca="1" si="0"/>
        <v>52.622211674988392</v>
      </c>
      <c r="U29" s="55">
        <f t="shared" ca="1" si="1"/>
        <v>0</v>
      </c>
      <c r="V29" s="55">
        <f t="shared" ca="1" si="2"/>
        <v>0</v>
      </c>
      <c r="W29" s="55">
        <f t="shared" ca="1" si="13"/>
        <v>0</v>
      </c>
      <c r="X29" s="55">
        <f t="shared" ca="1" si="14"/>
        <v>1.9087236862765329</v>
      </c>
      <c r="Y29" s="55">
        <f t="shared" ca="1" si="15"/>
        <v>3.5557002986473512</v>
      </c>
      <c r="Z29" s="55">
        <f t="shared" ca="1" si="3"/>
        <v>0</v>
      </c>
      <c r="AA29">
        <f t="shared" ca="1" si="4"/>
        <v>87.217409381546389</v>
      </c>
      <c r="AB29">
        <f t="shared" ca="1" si="16"/>
        <v>0</v>
      </c>
      <c r="AC29">
        <f t="shared" ca="1" si="5"/>
        <v>0</v>
      </c>
      <c r="AD29">
        <f t="shared" ca="1" si="6"/>
        <v>0</v>
      </c>
      <c r="AE29" s="83">
        <f ca="1"/>
        <v>45367</v>
      </c>
      <c r="AF29" s="55">
        <f t="shared" ca="1" si="21"/>
        <v>45367</v>
      </c>
      <c r="AG29" s="55">
        <f t="shared" ca="1" si="22"/>
        <v>24.536480192469565</v>
      </c>
      <c r="AH29" s="55">
        <f t="shared" ca="1" si="23"/>
        <v>0</v>
      </c>
      <c r="AI29" s="55">
        <f t="shared" ca="1" si="24"/>
        <v>0</v>
      </c>
      <c r="AJ29" s="55">
        <f t="shared" ca="1" si="18"/>
        <v>0</v>
      </c>
      <c r="AK29" s="55">
        <f t="shared" ca="1" si="19"/>
        <v>1.6016311278218736</v>
      </c>
      <c r="AL29" s="55">
        <f t="shared" ca="1" si="20"/>
        <v>-5.279931190370549</v>
      </c>
    </row>
    <row r="30" spans="1:38" s="55" customFormat="1">
      <c r="A30" s="83">
        <f t="array" aca="1" ref="A30:A44" ca="1">_xlfn._xlws.FILTER('Model Interface'!X11:X500,'Model Interface'!Y11:Y500&gt;0,"")</f>
        <v>45209</v>
      </c>
      <c r="B30" s="55">
        <f t="shared" ref="B30:B44" ca="1" si="25">IF(AND(NOT(F30=""),F30&gt;=StartSchedullingDate),1,0)</f>
        <v>1</v>
      </c>
      <c r="C30" s="67"/>
      <c r="D30" s="80">
        <v>80</v>
      </c>
      <c r="F30" s="74">
        <f ca="1">A30</f>
        <v>45209</v>
      </c>
      <c r="G30" s="76">
        <f ca="1">IFERROR(VLOOKUP(F30,'Model Interface'!$J$11:$O$500,6,FALSE),"")</f>
        <v>43.03566531001271</v>
      </c>
      <c r="H30" s="55" t="str">
        <f ca="1">IF(B30=1,"Suggested","Applied or Planned")</f>
        <v>Suggested</v>
      </c>
      <c r="R30" s="83">
        <f ca="1"/>
        <v>45206</v>
      </c>
      <c r="S30" s="55">
        <f t="shared" ca="1" si="12"/>
        <v>45206</v>
      </c>
      <c r="T30" s="55">
        <f t="shared" ca="1" si="0"/>
        <v>52.937518805635754</v>
      </c>
      <c r="U30" s="55">
        <f t="shared" ca="1" si="1"/>
        <v>0</v>
      </c>
      <c r="V30" s="55">
        <f t="shared" ca="1" si="2"/>
        <v>0</v>
      </c>
      <c r="W30" s="55">
        <f t="shared" ca="1" si="13"/>
        <v>0</v>
      </c>
      <c r="X30" s="55">
        <f t="shared" ca="1" si="14"/>
        <v>2.0558269390481634</v>
      </c>
      <c r="Y30" s="55">
        <f t="shared" ca="1" si="15"/>
        <v>3.7239041765230865</v>
      </c>
      <c r="Z30" s="55">
        <f t="shared" ca="1" si="3"/>
        <v>0</v>
      </c>
      <c r="AA30">
        <f t="shared" ca="1" si="4"/>
        <v>84.839147608121252</v>
      </c>
      <c r="AB30">
        <f t="shared" ca="1" si="16"/>
        <v>0</v>
      </c>
      <c r="AC30">
        <f t="shared" ca="1" si="5"/>
        <v>0</v>
      </c>
      <c r="AD30">
        <f t="shared" ca="1" si="6"/>
        <v>0</v>
      </c>
      <c r="AE30" s="83">
        <f ca="1"/>
        <v>45368</v>
      </c>
      <c r="AF30" s="55">
        <f t="shared" ca="1" si="21"/>
        <v>45368</v>
      </c>
      <c r="AG30" s="55">
        <f t="shared" ca="1" si="22"/>
        <v>24.331891813854142</v>
      </c>
      <c r="AH30" s="55">
        <f t="shared" ca="1" si="23"/>
        <v>0</v>
      </c>
      <c r="AI30" s="55">
        <f t="shared" ca="1" si="24"/>
        <v>0</v>
      </c>
      <c r="AJ30" s="55">
        <f t="shared" ca="1" si="18"/>
        <v>0</v>
      </c>
      <c r="AK30" s="55">
        <f t="shared" ca="1" si="19"/>
        <v>1.7259058942686532</v>
      </c>
      <c r="AL30" s="55">
        <f t="shared" ca="1" si="20"/>
        <v>-5.6087943354327479</v>
      </c>
    </row>
    <row r="31" spans="1:38" s="55" customFormat="1">
      <c r="A31" s="83">
        <f ca="1"/>
        <v>45262</v>
      </c>
      <c r="B31" s="55">
        <f t="shared" ca="1" si="25"/>
        <v>1</v>
      </c>
      <c r="C31" s="78"/>
      <c r="D31" s="81"/>
      <c r="F31" s="74">
        <f t="shared" ref="F31:F44" ca="1" si="26">IFERROR(IF(A31=A30,"",A31),"")</f>
        <v>45262</v>
      </c>
      <c r="G31" s="76">
        <f ca="1">IFERROR(VLOOKUP(F31,'Model Interface'!$J$11:$O$500,6,FALSE),"")</f>
        <v>65.192322309373196</v>
      </c>
      <c r="H31" s="55" t="str">
        <f t="shared" ref="H31:H44" ca="1" si="27">IF(F31="","",IF(F31&lt;=StartSchedullingDate,"Applied or Planned","Suggested"))</f>
        <v>Suggested</v>
      </c>
      <c r="R31" s="83">
        <f ca="1"/>
        <v>45207</v>
      </c>
      <c r="S31" s="55">
        <f t="shared" ca="1" si="12"/>
        <v>45207</v>
      </c>
      <c r="T31" s="55">
        <f t="shared" ca="1" si="0"/>
        <v>53.248322847781878</v>
      </c>
      <c r="U31" s="55">
        <f t="shared" ca="1" si="1"/>
        <v>0</v>
      </c>
      <c r="V31" s="55">
        <f t="shared" ca="1" si="2"/>
        <v>0</v>
      </c>
      <c r="W31" s="55">
        <f t="shared" ca="1" si="13"/>
        <v>0</v>
      </c>
      <c r="X31" s="55">
        <f t="shared" ca="1" si="14"/>
        <v>2.1979702711505618</v>
      </c>
      <c r="Y31" s="55">
        <f t="shared" ca="1" si="15"/>
        <v>3.8925648865668125</v>
      </c>
      <c r="Z31" s="55">
        <f t="shared" ca="1" si="3"/>
        <v>0</v>
      </c>
      <c r="AA31">
        <f t="shared" ca="1" si="4"/>
        <v>87.968768142078758</v>
      </c>
      <c r="AB31">
        <f t="shared" ca="1" si="16"/>
        <v>0</v>
      </c>
      <c r="AC31">
        <f t="shared" ca="1" si="5"/>
        <v>0</v>
      </c>
      <c r="AD31">
        <f t="shared" ca="1" si="6"/>
        <v>0</v>
      </c>
      <c r="AE31" s="83">
        <f ca="1"/>
        <v>45369</v>
      </c>
      <c r="AF31" s="55">
        <f t="shared" ca="1" si="21"/>
        <v>45369</v>
      </c>
      <c r="AG31" s="55">
        <f t="shared" ca="1" si="22"/>
        <v>24.135253799187105</v>
      </c>
      <c r="AH31" s="55">
        <f t="shared" ca="1" si="23"/>
        <v>0</v>
      </c>
      <c r="AI31" s="55">
        <f t="shared" ca="1" si="24"/>
        <v>0</v>
      </c>
      <c r="AJ31" s="55">
        <f t="shared" ca="1" si="18"/>
        <v>0</v>
      </c>
      <c r="AK31" s="55">
        <f t="shared" ca="1" si="19"/>
        <v>1.8588623738215235</v>
      </c>
      <c r="AL31" s="55">
        <f t="shared" ca="1" si="20"/>
        <v>-5.9383888296526539</v>
      </c>
    </row>
    <row r="32" spans="1:38" s="55" customFormat="1">
      <c r="A32" s="83">
        <f ca="1"/>
        <v>45270</v>
      </c>
      <c r="B32" s="55">
        <f t="shared" ca="1" si="25"/>
        <v>1</v>
      </c>
      <c r="C32" s="78"/>
      <c r="D32" s="81"/>
      <c r="F32" s="74">
        <f t="shared" ca="1" si="26"/>
        <v>45270</v>
      </c>
      <c r="G32" s="76">
        <f ca="1">IFERROR(VLOOKUP(F32,'Model Interface'!$J$11:$O$500,6,FALSE),"")</f>
        <v>64.4287604303683</v>
      </c>
      <c r="H32" s="55" t="str">
        <f t="shared" ca="1" si="27"/>
        <v>Suggested</v>
      </c>
      <c r="R32" s="83">
        <f ca="1"/>
        <v>45208</v>
      </c>
      <c r="S32" s="55">
        <f t="shared" ca="1" si="12"/>
        <v>45208</v>
      </c>
      <c r="T32" s="55">
        <f t="shared" ca="1" si="0"/>
        <v>53.560801611740317</v>
      </c>
      <c r="U32" s="55">
        <f t="shared" ca="1" si="1"/>
        <v>0</v>
      </c>
      <c r="V32" s="55">
        <f t="shared" ca="1" si="2"/>
        <v>0</v>
      </c>
      <c r="W32" s="55">
        <f t="shared" ca="1" si="13"/>
        <v>0</v>
      </c>
      <c r="X32" s="55">
        <f t="shared" ca="1" si="14"/>
        <v>2.3380724005102942</v>
      </c>
      <c r="Y32" s="55">
        <f t="shared" ca="1" si="15"/>
        <v>4.0649415211655153</v>
      </c>
      <c r="Z32" s="55">
        <f t="shared" ca="1" si="3"/>
        <v>0</v>
      </c>
      <c r="AA32">
        <f t="shared" ca="1" si="4"/>
        <v>89.397322635838066</v>
      </c>
      <c r="AB32">
        <f t="shared" ca="1" si="16"/>
        <v>0</v>
      </c>
      <c r="AC32">
        <f t="shared" ca="1" si="5"/>
        <v>0</v>
      </c>
      <c r="AD32">
        <f t="shared" ca="1" si="6"/>
        <v>0</v>
      </c>
      <c r="AE32" s="83">
        <f ca="1"/>
        <v>45370</v>
      </c>
      <c r="AF32" s="55">
        <f t="shared" ca="1" si="21"/>
        <v>45370</v>
      </c>
      <c r="AG32" s="55">
        <f t="shared" ca="1" si="22"/>
        <v>23.953843320047834</v>
      </c>
      <c r="AH32" s="55">
        <f t="shared" ca="1" si="23"/>
        <v>3.1383073592145814</v>
      </c>
      <c r="AI32" s="55">
        <f t="shared" ca="1" si="24"/>
        <v>0</v>
      </c>
      <c r="AJ32" s="55">
        <f t="shared" ca="1" si="18"/>
        <v>0</v>
      </c>
      <c r="AK32" s="55">
        <f t="shared" ca="1" si="19"/>
        <v>1.9984835356031925</v>
      </c>
      <c r="AL32" s="55">
        <f t="shared" ca="1" si="20"/>
        <v>-6.259420470573593</v>
      </c>
    </row>
    <row r="33" spans="1:39" s="55" customFormat="1">
      <c r="A33" s="83">
        <f ca="1"/>
        <v>45278</v>
      </c>
      <c r="B33" s="55">
        <f t="shared" ca="1" si="25"/>
        <v>1</v>
      </c>
      <c r="C33" s="78"/>
      <c r="D33" s="81"/>
      <c r="F33" s="74">
        <f t="shared" ca="1" si="26"/>
        <v>45278</v>
      </c>
      <c r="G33" s="76">
        <f ca="1">IFERROR(VLOOKUP(F33,'Model Interface'!$J$11:$O$500,6,FALSE),"")</f>
        <v>62.901189039900871</v>
      </c>
      <c r="H33" s="55" t="str">
        <f t="shared" ca="1" si="27"/>
        <v>Suggested</v>
      </c>
      <c r="R33" s="83">
        <f ca="1"/>
        <v>45209</v>
      </c>
      <c r="S33" s="55">
        <f t="shared" ca="1" si="12"/>
        <v>45209</v>
      </c>
      <c r="T33" s="55">
        <f t="shared" ca="1" si="0"/>
        <v>96.914543478260853</v>
      </c>
      <c r="U33" s="55">
        <f t="shared" ca="1" si="1"/>
        <v>2.05562682076209</v>
      </c>
      <c r="V33" s="55">
        <f t="shared" ca="1" si="2"/>
        <v>43.03566531001271</v>
      </c>
      <c r="W33" s="55">
        <f t="shared" ca="1" si="13"/>
        <v>0</v>
      </c>
      <c r="X33" s="55">
        <f t="shared" ca="1" si="14"/>
        <v>2.4782076830531201</v>
      </c>
      <c r="Y33" s="55">
        <f t="shared" ca="1" si="15"/>
        <v>4.2428827951305106</v>
      </c>
      <c r="Z33" s="55">
        <f t="shared" ca="1" si="3"/>
        <v>0</v>
      </c>
      <c r="AA33">
        <f t="shared" ca="1" si="4"/>
        <v>90.043625311878387</v>
      </c>
      <c r="AB33">
        <f t="shared" ca="1" si="16"/>
        <v>0</v>
      </c>
      <c r="AC33">
        <f t="shared" ca="1" si="5"/>
        <v>0</v>
      </c>
      <c r="AD33">
        <f t="shared" ca="1" si="6"/>
        <v>7.6473483727455584E-3</v>
      </c>
      <c r="AE33" s="83">
        <f ca="1"/>
        <v>45371</v>
      </c>
      <c r="AF33" s="55">
        <f t="shared" ca="1" si="21"/>
        <v>45371</v>
      </c>
      <c r="AG33" s="55">
        <f t="shared" ca="1" si="22"/>
        <v>23.379752201483836</v>
      </c>
      <c r="AH33" s="55">
        <f t="shared" ca="1" si="23"/>
        <v>3.5533160164828197</v>
      </c>
      <c r="AI33" s="55">
        <f t="shared" ca="1" si="24"/>
        <v>0</v>
      </c>
      <c r="AJ33" s="55">
        <f t="shared" ca="1" si="18"/>
        <v>0</v>
      </c>
      <c r="AK33" s="55">
        <f t="shared" ca="1" si="19"/>
        <v>2.1326473607262848</v>
      </c>
      <c r="AL33" s="55">
        <f t="shared" ca="1" si="20"/>
        <v>-6.5526667569924468</v>
      </c>
    </row>
    <row r="34" spans="1:39" s="55" customFormat="1">
      <c r="A34" s="83" t="e">
        <f ca="1"/>
        <v>#N/A</v>
      </c>
      <c r="B34" s="55">
        <f t="shared" ca="1" si="25"/>
        <v>0</v>
      </c>
      <c r="C34" s="78"/>
      <c r="D34" s="81"/>
      <c r="F34" s="74" t="str">
        <f t="shared" ca="1" si="26"/>
        <v/>
      </c>
      <c r="G34" s="76" t="str">
        <f ca="1">IFERROR(VLOOKUP(F34,'Model Interface'!$J$11:$O$500,6,FALSE),"")</f>
        <v/>
      </c>
      <c r="H34" s="55" t="str">
        <f t="shared" ca="1" si="27"/>
        <v/>
      </c>
      <c r="R34" s="83">
        <f ca="1"/>
        <v>45210</v>
      </c>
      <c r="S34" s="55">
        <f t="shared" ca="1" si="12"/>
        <v>45210</v>
      </c>
      <c r="T34" s="55">
        <f t="shared" ca="1" si="0"/>
        <v>97.148665143485857</v>
      </c>
      <c r="U34" s="55">
        <f t="shared" ca="1" si="1"/>
        <v>2.1620991633558932</v>
      </c>
      <c r="V34" s="55">
        <f t="shared" ca="1" si="2"/>
        <v>0</v>
      </c>
      <c r="W34" s="55">
        <f t="shared" ca="1" si="13"/>
        <v>0</v>
      </c>
      <c r="X34" s="55">
        <f t="shared" ca="1" si="14"/>
        <v>2.6260628254926641</v>
      </c>
      <c r="Y34" s="55">
        <f t="shared" ca="1" si="15"/>
        <v>4.4356216605097778</v>
      </c>
      <c r="Z34" s="55">
        <f t="shared" ca="1" si="3"/>
        <v>1.4906127963132452</v>
      </c>
      <c r="AA34">
        <f t="shared" ca="1" si="4"/>
        <v>88.837308347646939</v>
      </c>
      <c r="AB34">
        <f t="shared" ca="1" si="16"/>
        <v>0</v>
      </c>
      <c r="AC34">
        <f t="shared" ca="1" si="5"/>
        <v>0</v>
      </c>
      <c r="AD34">
        <f t="shared" ca="1" si="6"/>
        <v>8.8967897060881502E-3</v>
      </c>
      <c r="AE34" s="83">
        <f ca="1"/>
        <v>45372</v>
      </c>
      <c r="AF34" s="55">
        <f t="shared" ca="1" si="21"/>
        <v>45372</v>
      </c>
      <c r="AG34" s="55">
        <f t="shared" ca="1" si="22"/>
        <v>22.790392225993667</v>
      </c>
      <c r="AH34" s="55">
        <f t="shared" ca="1" si="23"/>
        <v>4.0021647326342071</v>
      </c>
      <c r="AI34" s="55">
        <f t="shared" ca="1" si="24"/>
        <v>0</v>
      </c>
      <c r="AJ34" s="55">
        <f t="shared" ca="1" si="18"/>
        <v>0</v>
      </c>
      <c r="AK34" s="55">
        <f t="shared" ca="1" si="19"/>
        <v>2.2618611814874905</v>
      </c>
      <c r="AL34" s="55">
        <f t="shared" ca="1" si="20"/>
        <v>-6.8223918370924324</v>
      </c>
    </row>
    <row r="35" spans="1:39" s="55" customFormat="1" ht="15.75" thickBot="1">
      <c r="A35" s="83" t="e">
        <f ca="1"/>
        <v>#N/A</v>
      </c>
      <c r="B35" s="55">
        <f t="shared" ca="1" si="25"/>
        <v>0</v>
      </c>
      <c r="C35" s="79"/>
      <c r="D35" s="82"/>
      <c r="F35" s="74" t="str">
        <f t="shared" ca="1" si="26"/>
        <v/>
      </c>
      <c r="G35" s="76" t="str">
        <f ca="1">IFERROR(VLOOKUP(F35,'Model Interface'!$J$11:$O$500,6,FALSE),"")</f>
        <v/>
      </c>
      <c r="H35" s="55" t="str">
        <f t="shared" ca="1" si="27"/>
        <v/>
      </c>
      <c r="R35" s="83">
        <f ca="1"/>
        <v>45211</v>
      </c>
      <c r="S35" s="55">
        <f t="shared" ca="1" si="12"/>
        <v>45211</v>
      </c>
      <c r="T35" s="55">
        <f t="shared" ca="1" si="0"/>
        <v>97.390773131811244</v>
      </c>
      <c r="U35" s="55">
        <f t="shared" ca="1" si="1"/>
        <v>2.2993316525433176</v>
      </c>
      <c r="V35" s="55">
        <f t="shared" ca="1" si="2"/>
        <v>0</v>
      </c>
      <c r="W35" s="55">
        <f t="shared" ca="1" si="13"/>
        <v>0</v>
      </c>
      <c r="X35" s="55">
        <f t="shared" ca="1" si="14"/>
        <v>2.7888598362005212</v>
      </c>
      <c r="Y35" s="55">
        <f t="shared" ca="1" si="15"/>
        <v>4.6521651273147295</v>
      </c>
      <c r="Z35" s="55">
        <f t="shared" ca="1" si="3"/>
        <v>1.9212548486239411</v>
      </c>
      <c r="AA35">
        <f t="shared" ca="1" si="4"/>
        <v>86.862085764406757</v>
      </c>
      <c r="AB35">
        <f t="shared" ca="1" si="16"/>
        <v>0</v>
      </c>
      <c r="AC35">
        <f t="shared" ca="1" si="5"/>
        <v>0</v>
      </c>
      <c r="AD35">
        <f t="shared" ca="1" si="6"/>
        <v>1.0696343599873327E-2</v>
      </c>
      <c r="AE35" s="83">
        <f ca="1"/>
        <v>45373</v>
      </c>
      <c r="AF35" s="55">
        <f t="shared" ca="1" si="21"/>
        <v>45373</v>
      </c>
      <c r="AG35" s="55">
        <f t="shared" ca="1" si="22"/>
        <v>22.18534886658896</v>
      </c>
      <c r="AH35" s="55">
        <f t="shared" ca="1" si="23"/>
        <v>4.4757788299228993</v>
      </c>
      <c r="AI35" s="55">
        <f t="shared" ca="1" si="24"/>
        <v>0</v>
      </c>
      <c r="AJ35" s="55">
        <f t="shared" ca="1" si="18"/>
        <v>0</v>
      </c>
      <c r="AK35" s="55">
        <f t="shared" ca="1" si="19"/>
        <v>2.387351734863628</v>
      </c>
      <c r="AL35" s="55">
        <f t="shared" ca="1" si="20"/>
        <v>-7.0793116525845878</v>
      </c>
    </row>
    <row r="36" spans="1:39" s="55" customFormat="1" ht="15.75" thickBot="1">
      <c r="A36" s="83" t="e">
        <f ca="1"/>
        <v>#N/A</v>
      </c>
      <c r="B36" s="55">
        <f t="shared" ca="1" si="25"/>
        <v>0</v>
      </c>
      <c r="F36" s="74" t="str">
        <f t="shared" ca="1" si="26"/>
        <v/>
      </c>
      <c r="G36" s="76" t="str">
        <f ca="1">IFERROR(VLOOKUP(F36,'Model Interface'!$J$11:$O$500,6,FALSE),"")</f>
        <v/>
      </c>
      <c r="H36" s="55" t="str">
        <f t="shared" ca="1" si="27"/>
        <v/>
      </c>
      <c r="R36" s="83">
        <f ca="1"/>
        <v>45212</v>
      </c>
      <c r="S36" s="55">
        <f t="shared" ca="1" si="12"/>
        <v>45212</v>
      </c>
      <c r="T36" s="55">
        <f t="shared" ca="1" si="0"/>
        <v>97.626492264215003</v>
      </c>
      <c r="U36" s="55">
        <f t="shared" ca="1" si="1"/>
        <v>2.433218761457653</v>
      </c>
      <c r="V36" s="55">
        <f t="shared" ca="1" si="2"/>
        <v>0</v>
      </c>
      <c r="W36" s="55">
        <f t="shared" ca="1" si="13"/>
        <v>0</v>
      </c>
      <c r="X36" s="55">
        <f t="shared" ca="1" si="14"/>
        <v>2.9448884943084717</v>
      </c>
      <c r="Y36" s="55">
        <f t="shared" ca="1" si="15"/>
        <v>4.8657427105248683</v>
      </c>
      <c r="Z36" s="55">
        <f t="shared" ca="1" si="3"/>
        <v>1.8744195248006958</v>
      </c>
      <c r="AA36">
        <f t="shared" ca="1" si="4"/>
        <v>87.71059780909728</v>
      </c>
      <c r="AB36">
        <f t="shared" ca="1" si="16"/>
        <v>0</v>
      </c>
      <c r="AC36">
        <f t="shared" ca="1" si="5"/>
        <v>0</v>
      </c>
      <c r="AD36">
        <f t="shared" ca="1" si="6"/>
        <v>1.2667945143880427E-2</v>
      </c>
      <c r="AE36" s="83">
        <f ca="1"/>
        <v>45374</v>
      </c>
      <c r="AF36" s="55">
        <f t="shared" ca="1" si="21"/>
        <v>45374</v>
      </c>
      <c r="AG36" s="55">
        <f t="shared" ca="1" si="22"/>
        <v>21.530913088929928</v>
      </c>
      <c r="AH36" s="55">
        <f t="shared" ca="1" si="23"/>
        <v>5.0122240340404911</v>
      </c>
      <c r="AI36" s="55">
        <f t="shared" ca="1" si="24"/>
        <v>0</v>
      </c>
      <c r="AJ36" s="55">
        <f t="shared" ca="1" si="18"/>
        <v>0</v>
      </c>
      <c r="AK36" s="55">
        <f t="shared" ca="1" si="19"/>
        <v>2.5134412235614385</v>
      </c>
      <c r="AL36" s="55">
        <f t="shared" ca="1" si="20"/>
        <v>-7.3233917148238419</v>
      </c>
    </row>
    <row r="37" spans="1:39" s="55" customFormat="1" ht="15.75" thickBot="1">
      <c r="A37" s="83" t="e">
        <f ca="1"/>
        <v>#N/A</v>
      </c>
      <c r="B37" s="55">
        <f t="shared" ca="1" si="25"/>
        <v>0</v>
      </c>
      <c r="C37" s="134" t="s">
        <v>138</v>
      </c>
      <c r="D37" s="135"/>
      <c r="F37" s="74" t="str">
        <f t="shared" ca="1" si="26"/>
        <v/>
      </c>
      <c r="G37" s="76" t="str">
        <f ca="1">IFERROR(VLOOKUP(F37,'Model Interface'!$J$11:$O$500,6,FALSE),"")</f>
        <v/>
      </c>
      <c r="H37" s="55" t="str">
        <f t="shared" ca="1" si="27"/>
        <v/>
      </c>
      <c r="R37" s="83">
        <f ca="1"/>
        <v>45213</v>
      </c>
      <c r="S37" s="55">
        <f t="shared" ca="1" si="12"/>
        <v>45213</v>
      </c>
      <c r="T37" s="55">
        <f t="shared" ca="1" si="0"/>
        <v>97.854030223291645</v>
      </c>
      <c r="U37" s="55">
        <f t="shared" ca="1" si="1"/>
        <v>2.566718045375032</v>
      </c>
      <c r="V37" s="55">
        <f t="shared" ca="1" si="2"/>
        <v>0</v>
      </c>
      <c r="W37" s="55">
        <f t="shared" ca="1" si="13"/>
        <v>0</v>
      </c>
      <c r="X37" s="55">
        <f t="shared" ca="1" si="14"/>
        <v>3.0933697533822744</v>
      </c>
      <c r="Y37" s="55">
        <f t="shared" ca="1" si="15"/>
        <v>5.0782986944450759</v>
      </c>
      <c r="Z37" s="55">
        <f t="shared" ca="1" si="3"/>
        <v>1.8689899748433056</v>
      </c>
      <c r="AA37">
        <f t="shared" ca="1" si="4"/>
        <v>86.282752187878359</v>
      </c>
      <c r="AB37">
        <f t="shared" ca="1" si="16"/>
        <v>0</v>
      </c>
      <c r="AC37">
        <f t="shared" ca="1" si="5"/>
        <v>0</v>
      </c>
      <c r="AD37">
        <f t="shared" ca="1" si="6"/>
        <v>1.4856974449335873E-2</v>
      </c>
      <c r="AE37" s="83">
        <f ca="1"/>
        <v>45375</v>
      </c>
      <c r="AF37" s="55">
        <f t="shared" ca="1" si="21"/>
        <v>45375</v>
      </c>
      <c r="AG37" s="55">
        <f t="shared" ca="1" si="22"/>
        <v>20.797572151820926</v>
      </c>
      <c r="AH37" s="55">
        <f t="shared" ca="1" si="23"/>
        <v>5.6330164211983451</v>
      </c>
      <c r="AI37" s="55">
        <f t="shared" ca="1" si="24"/>
        <v>0</v>
      </c>
      <c r="AJ37" s="55">
        <f t="shared" ca="1" si="18"/>
        <v>0</v>
      </c>
      <c r="AK37" s="55">
        <f t="shared" ca="1" si="19"/>
        <v>2.6445702050490087</v>
      </c>
      <c r="AL37" s="55">
        <f t="shared" ca="1" si="20"/>
        <v>-7.5670692462625588</v>
      </c>
    </row>
    <row r="38" spans="1:39" s="55" customFormat="1" ht="15.75" thickBot="1">
      <c r="A38" s="83" t="e">
        <f ca="1"/>
        <v>#N/A</v>
      </c>
      <c r="B38" s="55">
        <f t="shared" ca="1" si="25"/>
        <v>0</v>
      </c>
      <c r="C38" s="108" t="s">
        <v>14</v>
      </c>
      <c r="D38" s="109" t="s">
        <v>17</v>
      </c>
      <c r="F38" s="74" t="str">
        <f t="shared" ca="1" si="26"/>
        <v/>
      </c>
      <c r="G38" s="76" t="str">
        <f ca="1">IFERROR(VLOOKUP(F38,'Model Interface'!$J$11:$O$500,6,FALSE),"")</f>
        <v/>
      </c>
      <c r="H38" s="55" t="str">
        <f t="shared" ca="1" si="27"/>
        <v/>
      </c>
      <c r="R38" s="83">
        <f ca="1"/>
        <v>45214</v>
      </c>
      <c r="S38" s="55">
        <f t="shared" ca="1" si="12"/>
        <v>45214</v>
      </c>
      <c r="T38" s="55">
        <f t="shared" ca="1" si="0"/>
        <v>98.072674269370467</v>
      </c>
      <c r="U38" s="55">
        <f t="shared" ca="1" si="1"/>
        <v>2.7010743460484141</v>
      </c>
      <c r="V38" s="55">
        <f t="shared" ca="1" si="2"/>
        <v>0</v>
      </c>
      <c r="W38" s="55">
        <f t="shared" ca="1" si="13"/>
        <v>0</v>
      </c>
      <c r="X38" s="55">
        <f t="shared" ca="1" si="14"/>
        <v>3.2343272924250481</v>
      </c>
      <c r="Y38" s="55">
        <f t="shared" ca="1" si="15"/>
        <v>5.2903415021545115</v>
      </c>
      <c r="Z38" s="55">
        <f t="shared" ca="1" si="3"/>
        <v>1.8809882094273496</v>
      </c>
      <c r="AA38">
        <f t="shared" ca="1" si="4"/>
        <v>83.898703964207641</v>
      </c>
      <c r="AB38">
        <f t="shared" ca="1" si="16"/>
        <v>0</v>
      </c>
      <c r="AC38">
        <f t="shared" ca="1" si="5"/>
        <v>0</v>
      </c>
      <c r="AD38">
        <f t="shared" ca="1" si="6"/>
        <v>1.7295393355279961E-2</v>
      </c>
      <c r="AE38" s="83">
        <f ca="1"/>
        <v>45376</v>
      </c>
      <c r="AF38" s="55">
        <f t="shared" ca="1" si="21"/>
        <v>45376</v>
      </c>
      <c r="AG38" s="55">
        <f t="shared" ca="1" si="22"/>
        <v>20.071313964087071</v>
      </c>
      <c r="AH38" s="55">
        <f t="shared" ca="1" si="23"/>
        <v>6.2678408771241649</v>
      </c>
      <c r="AI38" s="55">
        <f t="shared" ca="1" si="24"/>
        <v>0</v>
      </c>
      <c r="AJ38" s="55">
        <f t="shared" ca="1" si="18"/>
        <v>0</v>
      </c>
      <c r="AK38" s="55">
        <f t="shared" ca="1" si="19"/>
        <v>2.7650097478974573</v>
      </c>
      <c r="AL38" s="55">
        <f t="shared" ca="1" si="20"/>
        <v>-7.7789425209190419</v>
      </c>
    </row>
    <row r="39" spans="1:39" s="55" customFormat="1">
      <c r="A39" s="83" t="e">
        <f ca="1"/>
        <v>#N/A</v>
      </c>
      <c r="B39" s="55">
        <f t="shared" ca="1" si="25"/>
        <v>0</v>
      </c>
      <c r="C39" s="78"/>
      <c r="D39" s="81"/>
      <c r="F39" s="74" t="str">
        <f t="shared" ca="1" si="26"/>
        <v/>
      </c>
      <c r="G39" s="76" t="str">
        <f ca="1">IFERROR(VLOOKUP(F39,'Model Interface'!$J$11:$O$500,6,FALSE),"")</f>
        <v/>
      </c>
      <c r="H39" s="55" t="str">
        <f t="shared" ca="1" si="27"/>
        <v/>
      </c>
      <c r="R39" s="83">
        <f ca="1"/>
        <v>45215</v>
      </c>
      <c r="S39" s="55">
        <f t="shared" ca="1" si="12"/>
        <v>45215</v>
      </c>
      <c r="T39" s="55">
        <f t="shared" ca="1" si="0"/>
        <v>98.284872896612256</v>
      </c>
      <c r="U39" s="55">
        <f t="shared" ca="1" si="1"/>
        <v>2.8563730003565819</v>
      </c>
      <c r="V39" s="55">
        <f t="shared" ca="1" si="2"/>
        <v>0</v>
      </c>
      <c r="W39" s="55">
        <f t="shared" ca="1" si="13"/>
        <v>0</v>
      </c>
      <c r="X39" s="55">
        <f t="shared" ca="1" si="14"/>
        <v>3.3784173757809621</v>
      </c>
      <c r="Y39" s="55">
        <f t="shared" ca="1" si="15"/>
        <v>5.5137487003485521</v>
      </c>
      <c r="Z39" s="55">
        <f t="shared" ca="1" si="3"/>
        <v>2.1741811603143493</v>
      </c>
      <c r="AA39">
        <f t="shared" ca="1" si="4"/>
        <v>81.101401646914653</v>
      </c>
      <c r="AB39">
        <f t="shared" ca="1" si="16"/>
        <v>0</v>
      </c>
      <c r="AC39">
        <f t="shared" ca="1" si="5"/>
        <v>0</v>
      </c>
      <c r="AD39">
        <f t="shared" ca="1" si="6"/>
        <v>2.0421016499752753E-2</v>
      </c>
      <c r="AE39" s="83">
        <f ca="1"/>
        <v>45377</v>
      </c>
      <c r="AF39" s="55">
        <f t="shared" ca="1" si="21"/>
        <v>45377</v>
      </c>
      <c r="AG39" s="55">
        <f t="shared" ca="1" si="22"/>
        <v>19.208316474944723</v>
      </c>
      <c r="AH39" s="55">
        <f t="shared" ca="1" si="23"/>
        <v>7.0475571021150589</v>
      </c>
      <c r="AI39" s="55">
        <f t="shared" ca="1" si="24"/>
        <v>0</v>
      </c>
      <c r="AJ39" s="55">
        <f t="shared" ca="1" si="18"/>
        <v>0</v>
      </c>
      <c r="AK39" s="55">
        <f t="shared" ca="1" si="19"/>
        <v>2.8941914788660905</v>
      </c>
      <c r="AL39" s="55">
        <f t="shared" ca="1" si="20"/>
        <v>-7.9914055160391282</v>
      </c>
    </row>
    <row r="40" spans="1:39" s="55" customFormat="1" ht="6.75" customHeight="1">
      <c r="A40" s="83" t="e">
        <f ca="1"/>
        <v>#N/A</v>
      </c>
      <c r="B40" s="55">
        <f t="shared" ca="1" si="25"/>
        <v>0</v>
      </c>
      <c r="C40" s="78"/>
      <c r="D40" s="81"/>
      <c r="F40" s="74" t="str">
        <f t="shared" ca="1" si="26"/>
        <v/>
      </c>
      <c r="G40" s="76" t="str">
        <f ca="1">IFERROR(VLOOKUP(F40,'Model Interface'!$J$11:$O$500,6,FALSE),"")</f>
        <v/>
      </c>
      <c r="H40" s="55" t="str">
        <f t="shared" ca="1" si="27"/>
        <v/>
      </c>
      <c r="R40" s="83">
        <f ca="1"/>
        <v>45216</v>
      </c>
      <c r="S40" s="55">
        <f t="shared" ca="1" si="12"/>
        <v>45216</v>
      </c>
      <c r="T40" s="55">
        <f t="shared" ca="1" si="0"/>
        <v>98.490151824182647</v>
      </c>
      <c r="U40" s="55">
        <f t="shared" ca="1" si="1"/>
        <v>3.0414705987699477</v>
      </c>
      <c r="V40" s="55">
        <f t="shared" ca="1" si="2"/>
        <v>0</v>
      </c>
      <c r="W40" s="55">
        <f t="shared" ca="1" si="13"/>
        <v>0</v>
      </c>
      <c r="X40" s="55">
        <f t="shared" ca="1" si="14"/>
        <v>3.5301828942302453</v>
      </c>
      <c r="Y40" s="55">
        <f t="shared" ca="1" si="15"/>
        <v>5.7523597078830226</v>
      </c>
      <c r="Z40" s="55">
        <f t="shared" ca="1" si="3"/>
        <v>2.5913663777871214</v>
      </c>
      <c r="AA40">
        <f t="shared" ca="1" si="4"/>
        <v>79.201445619208926</v>
      </c>
      <c r="AB40">
        <f t="shared" ca="1" si="16"/>
        <v>0</v>
      </c>
      <c r="AC40">
        <f t="shared" ca="1" si="5"/>
        <v>0</v>
      </c>
      <c r="AD40">
        <f t="shared" ca="1" si="6"/>
        <v>2.4595627546648138E-2</v>
      </c>
      <c r="AE40" s="83">
        <f ca="1"/>
        <v>45378</v>
      </c>
      <c r="AF40" s="55">
        <f t="shared" ca="1" si="21"/>
        <v>45378</v>
      </c>
      <c r="AG40" s="55">
        <f t="shared" ca="1" si="22"/>
        <v>18.217509838352314</v>
      </c>
      <c r="AH40" s="55">
        <f t="shared" ca="1" si="23"/>
        <v>7.9674797145089782</v>
      </c>
      <c r="AI40" s="55">
        <f t="shared" ca="1" si="24"/>
        <v>0</v>
      </c>
      <c r="AJ40" s="55">
        <f t="shared" ca="1" si="18"/>
        <v>0</v>
      </c>
      <c r="AK40" s="55">
        <f t="shared" ca="1" si="19"/>
        <v>3.0270701152295079</v>
      </c>
      <c r="AL40" s="55">
        <f t="shared" ca="1" si="20"/>
        <v>-8.1951681766010367</v>
      </c>
    </row>
    <row r="41" spans="1:39" s="55" customFormat="1">
      <c r="A41" s="83" t="e">
        <f ca="1"/>
        <v>#N/A</v>
      </c>
      <c r="B41" s="55">
        <f t="shared" ca="1" si="25"/>
        <v>0</v>
      </c>
      <c r="C41" s="78"/>
      <c r="D41" s="81"/>
      <c r="F41" s="74" t="str">
        <f t="shared" ca="1" si="26"/>
        <v/>
      </c>
      <c r="G41" s="76" t="str">
        <f ca="1">IFERROR(VLOOKUP(F41,'Model Interface'!$J$11:$O$500,6,FALSE),"")</f>
        <v/>
      </c>
      <c r="H41" s="55" t="str">
        <f t="shared" ca="1" si="27"/>
        <v/>
      </c>
      <c r="R41" s="83">
        <f ca="1"/>
        <v>45217</v>
      </c>
      <c r="S41" s="55">
        <f t="shared" ca="1" si="12"/>
        <v>45217</v>
      </c>
      <c r="T41" s="55">
        <f t="shared" ca="1" si="0"/>
        <v>98.679436109124879</v>
      </c>
      <c r="U41" s="55">
        <f t="shared" ca="1" si="1"/>
        <v>3.2211929313285035</v>
      </c>
      <c r="V41" s="55">
        <f t="shared" ca="1" si="2"/>
        <v>0</v>
      </c>
      <c r="W41" s="55">
        <f t="shared" ca="1" si="13"/>
        <v>0</v>
      </c>
      <c r="X41" s="55">
        <f t="shared" ca="1" si="14"/>
        <v>3.6685207502240829</v>
      </c>
      <c r="Y41" s="55">
        <f t="shared" ca="1" si="15"/>
        <v>5.983028469389974</v>
      </c>
      <c r="Z41" s="55">
        <f t="shared" ca="1" si="3"/>
        <v>2.5161126558197804</v>
      </c>
      <c r="AA41">
        <f t="shared" ca="1" si="4"/>
        <v>75.919951313536487</v>
      </c>
      <c r="AB41">
        <f t="shared" ca="1" si="16"/>
        <v>0</v>
      </c>
      <c r="AC41">
        <f t="shared" ca="1" si="5"/>
        <v>0</v>
      </c>
      <c r="AD41">
        <f t="shared" ca="1" si="6"/>
        <v>2.9136433207648992E-2</v>
      </c>
      <c r="AE41" s="83">
        <f ca="1"/>
        <v>45379</v>
      </c>
      <c r="AF41" s="55">
        <f t="shared" ca="1" si="21"/>
        <v>45379</v>
      </c>
      <c r="AG41" s="55">
        <f t="shared" ca="1" si="22"/>
        <v>17.129305125509699</v>
      </c>
      <c r="AH41" s="55">
        <f t="shared" ca="1" si="23"/>
        <v>8.9981620424985795</v>
      </c>
      <c r="AI41" s="55">
        <f t="shared" ca="1" si="24"/>
        <v>0</v>
      </c>
      <c r="AJ41" s="55">
        <f t="shared" ca="1" si="18"/>
        <v>0</v>
      </c>
      <c r="AK41" s="55">
        <f t="shared" ca="1" si="19"/>
        <v>3.1579721354110664</v>
      </c>
      <c r="AL41" s="55">
        <f t="shared" ca="1" si="20"/>
        <v>-8.3835925816356074</v>
      </c>
    </row>
    <row r="42" spans="1:39" s="55" customFormat="1">
      <c r="A42" s="83" t="e">
        <f ca="1"/>
        <v>#N/A</v>
      </c>
      <c r="B42" s="55">
        <f t="shared" ca="1" si="25"/>
        <v>0</v>
      </c>
      <c r="C42" s="78"/>
      <c r="D42" s="81"/>
      <c r="F42" s="74" t="str">
        <f t="shared" ca="1" si="26"/>
        <v/>
      </c>
      <c r="G42" s="76" t="str">
        <f ca="1">IFERROR(VLOOKUP(F42,'Model Interface'!$J$11:$O$500,6,FALSE),"")</f>
        <v/>
      </c>
      <c r="H42" s="55" t="str">
        <f t="shared" ca="1" si="27"/>
        <v/>
      </c>
      <c r="R42" s="83">
        <f ca="1"/>
        <v>45218</v>
      </c>
      <c r="S42" s="55">
        <f t="shared" ca="1" si="12"/>
        <v>45218</v>
      </c>
      <c r="T42" s="55">
        <f t="shared" ca="1" si="0"/>
        <v>98.858210604953541</v>
      </c>
      <c r="U42" s="55">
        <f t="shared" ca="1" si="1"/>
        <v>3.4105158773727164</v>
      </c>
      <c r="V42" s="55">
        <f t="shared" ca="1" si="2"/>
        <v>0</v>
      </c>
      <c r="W42" s="55">
        <f t="shared" ca="1" si="13"/>
        <v>0</v>
      </c>
      <c r="X42" s="55">
        <f t="shared" ca="1" si="14"/>
        <v>3.8050805415090148</v>
      </c>
      <c r="Y42" s="55">
        <f t="shared" ca="1" si="15"/>
        <v>6.2145661199779081</v>
      </c>
      <c r="Z42" s="55">
        <f t="shared" ca="1" si="3"/>
        <v>2.6505212446189814</v>
      </c>
      <c r="AA42">
        <f t="shared" ca="1" si="4"/>
        <v>75.007691540840057</v>
      </c>
      <c r="AB42">
        <f t="shared" ca="1" si="16"/>
        <v>0</v>
      </c>
      <c r="AC42">
        <f t="shared" ca="1" si="5"/>
        <v>0</v>
      </c>
      <c r="AD42">
        <f t="shared" ca="1" si="6"/>
        <v>3.4459417495298371E-2</v>
      </c>
      <c r="AE42" s="83">
        <f ca="1"/>
        <v>45380</v>
      </c>
      <c r="AF42" s="55">
        <f t="shared" ca="1" si="21"/>
        <v>45380</v>
      </c>
      <c r="AG42" s="55">
        <f t="shared" ca="1" si="22"/>
        <v>15.907543022215805</v>
      </c>
      <c r="AH42" s="55">
        <f t="shared" ca="1" si="23"/>
        <v>10.167553862571809</v>
      </c>
      <c r="AI42" s="55">
        <f t="shared" ca="1" si="24"/>
        <v>0</v>
      </c>
      <c r="AJ42" s="55">
        <f t="shared" ca="1" si="18"/>
        <v>0</v>
      </c>
      <c r="AK42" s="55">
        <f t="shared" ca="1" si="19"/>
        <v>3.2919504071063166</v>
      </c>
      <c r="AL42" s="55">
        <f t="shared" ca="1" si="20"/>
        <v>-8.5699411365515239</v>
      </c>
    </row>
    <row r="43" spans="1:39" s="55" customFormat="1">
      <c r="A43" s="83" t="e">
        <f ca="1"/>
        <v>#N/A</v>
      </c>
      <c r="B43" s="55">
        <f t="shared" ca="1" si="25"/>
        <v>0</v>
      </c>
      <c r="C43" s="78"/>
      <c r="D43" s="81"/>
      <c r="F43" s="74" t="str">
        <f t="shared" ca="1" si="26"/>
        <v/>
      </c>
      <c r="G43" s="76" t="str">
        <f ca="1">IFERROR(VLOOKUP(F43,'Model Interface'!$J$11:$O$500,6,FALSE),"")</f>
        <v/>
      </c>
      <c r="H43" s="55" t="str">
        <f t="shared" ca="1" si="27"/>
        <v/>
      </c>
      <c r="R43" s="83">
        <f ca="1"/>
        <v>45219</v>
      </c>
      <c r="S43" s="55">
        <f t="shared" ca="1" si="12"/>
        <v>45219</v>
      </c>
      <c r="T43" s="55">
        <f t="shared" ca="1" si="0"/>
        <v>99.021582894564901</v>
      </c>
      <c r="U43" s="55">
        <f t="shared" ca="1" si="1"/>
        <v>3.6127212351846598</v>
      </c>
      <c r="V43" s="55">
        <f t="shared" ca="1" si="2"/>
        <v>0</v>
      </c>
      <c r="W43" s="55">
        <f t="shared" ca="1" si="13"/>
        <v>0</v>
      </c>
      <c r="X43" s="55">
        <f t="shared" ca="1" si="14"/>
        <v>3.9372951618726439</v>
      </c>
      <c r="Y43" s="55">
        <f t="shared" ca="1" si="15"/>
        <v>6.4479291470375948</v>
      </c>
      <c r="Z43" s="55">
        <f t="shared" ca="1" si="3"/>
        <v>2.8308750093672073</v>
      </c>
      <c r="AA43">
        <f t="shared" ca="1" si="4"/>
        <v>71.597152805078878</v>
      </c>
      <c r="AB43">
        <f t="shared" ca="1" si="16"/>
        <v>0</v>
      </c>
      <c r="AC43">
        <f t="shared" ca="1" si="5"/>
        <v>0</v>
      </c>
      <c r="AD43">
        <f t="shared" ca="1" si="6"/>
        <v>4.0776318990418774E-2</v>
      </c>
      <c r="AE43" s="83">
        <f ca="1"/>
        <v>45381</v>
      </c>
      <c r="AF43" s="55">
        <f t="shared" ca="1" si="21"/>
        <v>45381</v>
      </c>
      <c r="AG43" s="55">
        <f t="shared" ca="1" si="22"/>
        <v>14.67567367284299</v>
      </c>
      <c r="AH43" s="55">
        <f t="shared" ca="1" si="23"/>
        <v>11.357425039766341</v>
      </c>
      <c r="AI43" s="55">
        <f t="shared" ca="1" si="24"/>
        <v>0</v>
      </c>
      <c r="AJ43" s="55">
        <f t="shared" ca="1" si="18"/>
        <v>0</v>
      </c>
      <c r="AK43" s="55">
        <f t="shared" ca="1" si="19"/>
        <v>3.4162178674049923</v>
      </c>
      <c r="AL43" s="55">
        <f t="shared" ca="1" si="20"/>
        <v>-8.736206769028481</v>
      </c>
    </row>
    <row r="44" spans="1:39" s="54" customFormat="1" ht="15.75" thickBot="1">
      <c r="A44" s="83" t="e">
        <f ca="1"/>
        <v>#N/A</v>
      </c>
      <c r="B44" s="55">
        <f t="shared" ca="1" si="25"/>
        <v>0</v>
      </c>
      <c r="C44" s="79"/>
      <c r="D44" s="82"/>
      <c r="E44" s="55"/>
      <c r="F44" s="75" t="str">
        <f t="shared" ca="1" si="26"/>
        <v/>
      </c>
      <c r="G44" s="77" t="str">
        <f ca="1">IFERROR(VLOOKUP(F44,'Model Interface'!$J$11:$O$500,6,FALSE),"")</f>
        <v/>
      </c>
      <c r="H44" s="55" t="str">
        <f t="shared" ca="1" si="27"/>
        <v/>
      </c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45220</v>
      </c>
      <c r="S44" s="55">
        <f t="shared" ca="1" si="12"/>
        <v>45220</v>
      </c>
      <c r="T44" s="55">
        <f t="shared" ca="1" si="0"/>
        <v>99.164434480773878</v>
      </c>
      <c r="U44" s="55">
        <f t="shared" ca="1" si="1"/>
        <v>3.8630083854593118</v>
      </c>
      <c r="V44" s="55">
        <f t="shared" ca="1" si="2"/>
        <v>0</v>
      </c>
      <c r="W44" s="55">
        <f t="shared" ca="1" si="13"/>
        <v>0</v>
      </c>
      <c r="X44" s="55">
        <f t="shared" ca="1" si="14"/>
        <v>4.0784891862141306</v>
      </c>
      <c r="Y44" s="55">
        <f t="shared" ca="1" si="15"/>
        <v>6.6998738591797462</v>
      </c>
      <c r="Z44" s="55">
        <f t="shared" ca="1" si="3"/>
        <v>3.5040201038451277</v>
      </c>
      <c r="AA44">
        <f t="shared" ca="1" si="4"/>
        <v>68.639531923167368</v>
      </c>
      <c r="AB44">
        <f t="shared" ca="1" si="16"/>
        <v>0</v>
      </c>
      <c r="AC44">
        <f t="shared" ca="1" si="5"/>
        <v>0</v>
      </c>
      <c r="AD44">
        <f t="shared" ca="1" si="6"/>
        <v>4.9525241352661266E-2</v>
      </c>
      <c r="AE44" s="83">
        <f ca="1"/>
        <v>45382</v>
      </c>
      <c r="AF44" s="55">
        <f t="shared" ca="1" si="21"/>
        <v>45382</v>
      </c>
      <c r="AG44" s="55">
        <f t="shared" ca="1" si="22"/>
        <v>13.408309835662036</v>
      </c>
      <c r="AH44" s="55">
        <f t="shared" ca="1" si="23"/>
        <v>12.59427462131498</v>
      </c>
      <c r="AI44" s="55">
        <f t="shared" ca="1" si="24"/>
        <v>0</v>
      </c>
      <c r="AJ44" s="55">
        <f t="shared" ca="1" si="18"/>
        <v>0</v>
      </c>
      <c r="AK44" s="55">
        <f t="shared" ca="1" si="19"/>
        <v>3.5327847462619646</v>
      </c>
      <c r="AL44" s="55">
        <f t="shared" ca="1" si="20"/>
        <v>-8.8832879035177665</v>
      </c>
      <c r="AM44" s="55"/>
    </row>
    <row r="45" spans="1:39" s="55" customFormat="1">
      <c r="B45" s="55">
        <f ca="1">IF(C39="",CurrentEstablishDate,IF(AND(C39&gt;CurrentEstablishDate,(C39-CurrentEstablishDate)&lt;10),C39,CurrentEstablishDate))</f>
        <v>45209</v>
      </c>
      <c r="C45" s="94" t="s">
        <v>149</v>
      </c>
      <c r="D45" s="96">
        <f ca="1">MAX(CurrentEstablishDate,C39:C44,MAX(C30:C35)+1)</f>
        <v>45209</v>
      </c>
      <c r="R45" s="83">
        <f ca="1"/>
        <v>45221</v>
      </c>
      <c r="S45" s="55">
        <f t="shared" ca="1" si="12"/>
        <v>45221</v>
      </c>
      <c r="T45" s="55">
        <f t="shared" ca="1" si="0"/>
        <v>99.294349888850221</v>
      </c>
      <c r="U45" s="55">
        <f t="shared" ca="1" si="1"/>
        <v>4.0920203627524909</v>
      </c>
      <c r="V45" s="55">
        <f t="shared" ca="1" si="2"/>
        <v>0</v>
      </c>
      <c r="W45" s="55">
        <f t="shared" ca="1" si="13"/>
        <v>0</v>
      </c>
      <c r="X45" s="55">
        <f t="shared" ca="1" si="14"/>
        <v>4.2035185281063887</v>
      </c>
      <c r="Y45" s="55">
        <f t="shared" ca="1" si="15"/>
        <v>6.9337719026570177</v>
      </c>
      <c r="Z45" s="55">
        <f t="shared" ca="1" si="3"/>
        <v>3.2061676821045078</v>
      </c>
      <c r="AA45">
        <f t="shared" ca="1" si="4"/>
        <v>66.478866567889725</v>
      </c>
      <c r="AB45">
        <f t="shared" ca="1" si="16"/>
        <v>0</v>
      </c>
      <c r="AC45">
        <f t="shared" ca="1" si="5"/>
        <v>0</v>
      </c>
      <c r="AD45">
        <f t="shared" ca="1" si="6"/>
        <v>5.8451376560968688E-2</v>
      </c>
      <c r="AE45" s="83">
        <f ca="1"/>
        <v>45383</v>
      </c>
      <c r="AF45" s="55">
        <f t="shared" ca="1" si="21"/>
        <v>45383</v>
      </c>
      <c r="AG45" s="55">
        <f t="shared" ca="1" si="22"/>
        <v>11.927460183484689</v>
      </c>
      <c r="AH45" s="55">
        <f t="shared" ca="1" si="23"/>
        <v>14.056491164578459</v>
      </c>
      <c r="AI45" s="55">
        <f t="shared" ca="1" si="24"/>
        <v>0</v>
      </c>
      <c r="AJ45" s="55">
        <f t="shared" ca="1" si="18"/>
        <v>0</v>
      </c>
      <c r="AK45" s="55">
        <f t="shared" ca="1" si="19"/>
        <v>3.6524424966207913</v>
      </c>
      <c r="AL45" s="55">
        <f t="shared" ca="1" si="20"/>
        <v>-9.0215787627904636</v>
      </c>
    </row>
    <row r="46" spans="1:39" s="55" customFormat="1">
      <c r="R46" s="83">
        <f ca="1"/>
        <v>45222</v>
      </c>
      <c r="S46" s="55">
        <f t="shared" ca="1" si="12"/>
        <v>45222</v>
      </c>
      <c r="T46" s="55">
        <f t="shared" ca="1" si="0"/>
        <v>99.409709209219812</v>
      </c>
      <c r="U46" s="55">
        <f t="shared" ca="1" si="1"/>
        <v>4.3317624349518251</v>
      </c>
      <c r="V46" s="55">
        <f t="shared" ca="1" si="2"/>
        <v>0</v>
      </c>
      <c r="W46" s="55">
        <f t="shared" ca="1" si="13"/>
        <v>0</v>
      </c>
      <c r="X46" s="55">
        <f t="shared" ca="1" si="14"/>
        <v>4.3262802031527254</v>
      </c>
      <c r="Y46" s="55">
        <f t="shared" ca="1" si="15"/>
        <v>7.1661116201796045</v>
      </c>
      <c r="Z46" s="55">
        <f t="shared" ca="1" si="3"/>
        <v>3.3563890107906786</v>
      </c>
      <c r="AA46">
        <f t="shared" ca="1" si="4"/>
        <v>65.413731660401353</v>
      </c>
      <c r="AB46">
        <f t="shared" ca="1" si="16"/>
        <v>0</v>
      </c>
      <c r="AC46">
        <f t="shared" ca="1" si="5"/>
        <v>0</v>
      </c>
      <c r="AD46">
        <f t="shared" ca="1" si="6"/>
        <v>6.8750706383364044E-2</v>
      </c>
      <c r="AE46" s="83">
        <f ca="1"/>
        <v>45384</v>
      </c>
      <c r="AF46" s="55">
        <f t="shared" ca="1" si="21"/>
        <v>45384</v>
      </c>
      <c r="AG46" s="55">
        <f t="shared" ca="1" si="22"/>
        <v>10.36972944297675</v>
      </c>
      <c r="AH46" s="55">
        <f t="shared" ca="1" si="23"/>
        <v>15.604161747520772</v>
      </c>
      <c r="AI46" s="55">
        <f t="shared" ca="1" si="24"/>
        <v>0</v>
      </c>
      <c r="AJ46" s="55">
        <f t="shared" ca="1" si="18"/>
        <v>0</v>
      </c>
      <c r="AK46" s="55">
        <f t="shared" ca="1" si="19"/>
        <v>3.7664732402440144</v>
      </c>
      <c r="AL46" s="55">
        <f t="shared" ca="1" si="20"/>
        <v>-9.1456696639793122</v>
      </c>
    </row>
    <row r="47" spans="1:39" s="55" customFormat="1" ht="15.75" thickBot="1">
      <c r="C47" s="131" t="s">
        <v>153</v>
      </c>
      <c r="D47" s="131"/>
      <c r="E47" s="131"/>
      <c r="F47" s="131"/>
      <c r="G47" s="131"/>
      <c r="H47" s="131"/>
      <c r="R47" s="83">
        <f ca="1"/>
        <v>45223</v>
      </c>
      <c r="S47" s="55">
        <f t="shared" ca="1" si="12"/>
        <v>45223</v>
      </c>
      <c r="T47" s="55">
        <f t="shared" ca="1" si="0"/>
        <v>99.506263302946437</v>
      </c>
      <c r="U47" s="55">
        <f t="shared" ca="1" si="1"/>
        <v>4.5885234702491786</v>
      </c>
      <c r="V47" s="55">
        <f t="shared" ca="1" si="2"/>
        <v>0</v>
      </c>
      <c r="W47" s="55">
        <f t="shared" ca="1" si="13"/>
        <v>0</v>
      </c>
      <c r="X47" s="55">
        <f t="shared" ca="1" si="14"/>
        <v>4.4467429650094727</v>
      </c>
      <c r="Y47" s="55">
        <f t="shared" ca="1" si="15"/>
        <v>7.3989639873468462</v>
      </c>
      <c r="Z47" s="55">
        <f t="shared" ca="1" si="3"/>
        <v>3.594654494162949</v>
      </c>
      <c r="AA47">
        <f t="shared" ca="1" si="4"/>
        <v>63.028028208944249</v>
      </c>
      <c r="AB47">
        <f t="shared" ca="1" si="16"/>
        <v>0</v>
      </c>
      <c r="AC47">
        <f t="shared" ca="1" si="5"/>
        <v>0</v>
      </c>
      <c r="AD47">
        <f t="shared" ca="1" si="6"/>
        <v>8.0866908428892909E-2</v>
      </c>
      <c r="AE47" s="83">
        <f ca="1"/>
        <v>45385</v>
      </c>
      <c r="AF47" s="55">
        <f t="shared" ca="1" si="21"/>
        <v>45385</v>
      </c>
      <c r="AG47" s="55">
        <f t="shared" ca="1" si="22"/>
        <v>8.7632817688028233</v>
      </c>
      <c r="AH47" s="55">
        <f t="shared" ca="1" si="23"/>
        <v>17.206603454139834</v>
      </c>
      <c r="AI47" s="55">
        <f t="shared" ca="1" si="24"/>
        <v>0</v>
      </c>
      <c r="AJ47" s="55">
        <f t="shared" ca="1" si="18"/>
        <v>0</v>
      </c>
      <c r="AK47" s="55">
        <f t="shared" ca="1" si="19"/>
        <v>3.8746698482362558</v>
      </c>
      <c r="AL47" s="55">
        <f t="shared" ca="1" si="20"/>
        <v>-9.2578722395264172</v>
      </c>
    </row>
    <row r="48" spans="1:39" s="55" customFormat="1">
      <c r="C48" s="61" t="s">
        <v>26</v>
      </c>
      <c r="D48" s="88" t="str">
        <f>IF(E48="","Fodder",E48)</f>
        <v>Green_manure</v>
      </c>
      <c r="E48" s="87" t="s">
        <v>281</v>
      </c>
      <c r="F48" s="61" t="s">
        <v>133</v>
      </c>
      <c r="G48" s="88">
        <f>IF(H48="",VLOOKUP(PriorCropNameFull,CropCoefficients,23,FALSE),H48)</f>
        <v>0</v>
      </c>
      <c r="H48" s="89"/>
      <c r="R48" s="83">
        <f ca="1"/>
        <v>45224</v>
      </c>
      <c r="S48" s="55">
        <f t="shared" ca="1" si="12"/>
        <v>45224</v>
      </c>
      <c r="T48" s="55">
        <f t="shared" ca="1" si="0"/>
        <v>99.576134228924616</v>
      </c>
      <c r="U48" s="55">
        <f t="shared" ca="1" si="1"/>
        <v>4.869135395560316</v>
      </c>
      <c r="V48" s="55">
        <f t="shared" ca="1" si="2"/>
        <v>0</v>
      </c>
      <c r="W48" s="55">
        <f t="shared" ca="1" si="13"/>
        <v>0</v>
      </c>
      <c r="X48" s="55">
        <f t="shared" ca="1" si="14"/>
        <v>4.5646870126863499</v>
      </c>
      <c r="Y48" s="55">
        <f t="shared" ca="1" si="15"/>
        <v>7.631502790959285</v>
      </c>
      <c r="Z48" s="55">
        <f t="shared" ca="1" si="3"/>
        <v>3.9285669543559241</v>
      </c>
      <c r="AA48">
        <f t="shared" ca="1" si="4"/>
        <v>59.33491104002804</v>
      </c>
      <c r="AB48">
        <f t="shared" ca="1" si="16"/>
        <v>0</v>
      </c>
      <c r="AC48">
        <f t="shared" ca="1" si="5"/>
        <v>0</v>
      </c>
      <c r="AD48">
        <f t="shared" ca="1" si="6"/>
        <v>9.5380559394040595E-2</v>
      </c>
      <c r="AE48" s="83">
        <f ca="1"/>
        <v>45386</v>
      </c>
      <c r="AF48" s="55">
        <f t="shared" ca="1" si="21"/>
        <v>45386</v>
      </c>
      <c r="AG48" s="55">
        <f t="shared" ca="1" si="22"/>
        <v>7.0613326727980894</v>
      </c>
      <c r="AH48" s="55">
        <f t="shared" ca="1" si="23"/>
        <v>18.911162268229365</v>
      </c>
      <c r="AI48" s="55">
        <f t="shared" ca="1" si="24"/>
        <v>0</v>
      </c>
      <c r="AJ48" s="55">
        <f t="shared" ca="1" si="18"/>
        <v>0</v>
      </c>
      <c r="AK48" s="55">
        <f t="shared" ca="1" si="19"/>
        <v>3.9791925878223835</v>
      </c>
      <c r="AL48" s="55">
        <f t="shared" ca="1" si="20"/>
        <v>-9.3597852610277474</v>
      </c>
    </row>
    <row r="49" spans="1:39" s="55" customFormat="1">
      <c r="C49" s="61" t="s">
        <v>94</v>
      </c>
      <c r="D49" s="84" t="str">
        <f>IF(E49="","Barley",E49)</f>
        <v>Annual ryegrass</v>
      </c>
      <c r="E49" s="66" t="s">
        <v>40</v>
      </c>
      <c r="F49" s="61" t="s">
        <v>135</v>
      </c>
      <c r="G49" s="84">
        <f>IF(H49="",VLOOKUP(PriorCropNameFull,CropCoefficients,22,FALSE),H49)</f>
        <v>0</v>
      </c>
      <c r="H49" s="72"/>
      <c r="R49" s="83">
        <f ca="1"/>
        <v>45225</v>
      </c>
      <c r="S49" s="55">
        <f t="shared" ca="1" si="12"/>
        <v>45225</v>
      </c>
      <c r="T49" s="55">
        <f t="shared" ca="1" si="0"/>
        <v>99.596916726394895</v>
      </c>
      <c r="U49" s="55">
        <f t="shared" ca="1" si="1"/>
        <v>5.2139577952245428</v>
      </c>
      <c r="V49" s="55">
        <f t="shared" ca="1" si="2"/>
        <v>0</v>
      </c>
      <c r="W49" s="55">
        <f t="shared" ca="1" si="13"/>
        <v>0</v>
      </c>
      <c r="X49" s="55">
        <f t="shared" ca="1" si="14"/>
        <v>4.6912326515932934</v>
      </c>
      <c r="Y49" s="55">
        <f t="shared" ca="1" si="15"/>
        <v>7.8705620491868409</v>
      </c>
      <c r="Z49" s="55">
        <f t="shared" ca="1" si="3"/>
        <v>4.827513595299175</v>
      </c>
      <c r="AA49">
        <f t="shared" ca="1" si="4"/>
        <v>57.068869851520674</v>
      </c>
      <c r="AB49">
        <f t="shared" ca="1" si="16"/>
        <v>0</v>
      </c>
      <c r="AC49">
        <f t="shared" ca="1" si="5"/>
        <v>0</v>
      </c>
      <c r="AD49">
        <f t="shared" ca="1" si="6"/>
        <v>0.11498647780148774</v>
      </c>
      <c r="AE49" s="83">
        <f ca="1"/>
        <v>45387</v>
      </c>
      <c r="AF49" s="55">
        <f t="shared" ca="1" si="21"/>
        <v>45387</v>
      </c>
      <c r="AG49" s="55">
        <f t="shared" ca="1" si="22"/>
        <v>5.1691906236792287</v>
      </c>
      <c r="AH49" s="55">
        <f t="shared" ca="1" si="23"/>
        <v>20.81047929992755</v>
      </c>
      <c r="AI49" s="55">
        <f t="shared" ca="1" si="24"/>
        <v>0</v>
      </c>
      <c r="AJ49" s="55">
        <f t="shared" ca="1" si="18"/>
        <v>0</v>
      </c>
      <c r="AK49" s="55">
        <f t="shared" ca="1" si="19"/>
        <v>4.085276380800531</v>
      </c>
      <c r="AL49" s="55">
        <f t="shared" ca="1" si="20"/>
        <v>-9.4586940714265708</v>
      </c>
    </row>
    <row r="50" spans="1:39" s="55" customFormat="1">
      <c r="C50" s="61" t="s">
        <v>95</v>
      </c>
      <c r="D50" s="84" t="str">
        <f>IF(E50="","General",E50)</f>
        <v>General</v>
      </c>
      <c r="E50" s="66" t="s">
        <v>29</v>
      </c>
      <c r="F50" s="61" t="s">
        <v>134</v>
      </c>
      <c r="G50" s="84">
        <f>IF(H50="",VLOOKUP(PriorCropNameFull,CropCoefficients,26,FALSE),H50)</f>
        <v>0</v>
      </c>
      <c r="H50" s="72"/>
      <c r="R50" s="83">
        <f ca="1"/>
        <v>45226</v>
      </c>
      <c r="S50" s="55">
        <f t="shared" ca="1" si="12"/>
        <v>45226</v>
      </c>
      <c r="T50" s="55">
        <f t="shared" ca="1" si="0"/>
        <v>99.597252337141626</v>
      </c>
      <c r="U50" s="55">
        <f t="shared" ca="1" si="1"/>
        <v>5.5595214601002212</v>
      </c>
      <c r="V50" s="55">
        <f t="shared" ca="1" si="2"/>
        <v>0</v>
      </c>
      <c r="W50" s="55">
        <f t="shared" ca="1" si="13"/>
        <v>0</v>
      </c>
      <c r="X50" s="55">
        <f t="shared" ca="1" si="14"/>
        <v>4.8112529992237754</v>
      </c>
      <c r="Y50" s="55">
        <f t="shared" ca="1" si="15"/>
        <v>8.0964409771787658</v>
      </c>
      <c r="Z50" s="55">
        <f t="shared" ca="1" si="3"/>
        <v>4.837891308259497</v>
      </c>
      <c r="AA50">
        <f t="shared" ca="1" si="4"/>
        <v>56.159027683131868</v>
      </c>
      <c r="AB50">
        <f t="shared" ca="1" si="16"/>
        <v>0</v>
      </c>
      <c r="AC50">
        <f t="shared" ca="1" si="5"/>
        <v>0</v>
      </c>
      <c r="AD50">
        <f t="shared" ca="1" si="6"/>
        <v>0.13649929446221731</v>
      </c>
      <c r="AE50" s="83">
        <f ca="1"/>
        <v>45388</v>
      </c>
      <c r="AF50" s="55">
        <f t="shared" ca="1" si="21"/>
        <v>45388</v>
      </c>
      <c r="AG50" s="55">
        <f t="shared" ca="1" si="22"/>
        <v>3.1260916196844599</v>
      </c>
      <c r="AH50" s="55">
        <f t="shared" ca="1" si="23"/>
        <v>22.86225424877351</v>
      </c>
      <c r="AI50" s="55">
        <f t="shared" ca="1" si="24"/>
        <v>0</v>
      </c>
      <c r="AJ50" s="55">
        <f t="shared" ca="1" si="18"/>
        <v>0</v>
      </c>
      <c r="AK50" s="55">
        <f t="shared" ca="1" si="19"/>
        <v>4.1927090520562063</v>
      </c>
      <c r="AL50" s="55">
        <f t="shared" ca="1" si="20"/>
        <v>-9.5574507978310557</v>
      </c>
    </row>
    <row r="51" spans="1:39" s="55" customFormat="1">
      <c r="B51" s="90">
        <f>IF(PriorUnits="kg/head",PriorYield*PriorPopulation/1000,IF(PriorUnits="kg/ha",PriorYield/1000,PriorYield))</f>
        <v>3</v>
      </c>
      <c r="C51" s="64" t="s">
        <v>150</v>
      </c>
      <c r="D51" s="65" t="str">
        <f>SUBSTITUTE(PriorCropName&amp;" "&amp;PriorCropType&amp;" "&amp;PriorCropVariety,"_"," ")</f>
        <v>Annual ryegrass Green manure General</v>
      </c>
      <c r="F51" s="56"/>
      <c r="R51" s="83">
        <f ca="1"/>
        <v>45227</v>
      </c>
      <c r="S51" s="55">
        <f t="shared" ca="1" si="12"/>
        <v>45227</v>
      </c>
      <c r="T51" s="55">
        <f t="shared" ca="1" si="0"/>
        <v>99.552194861667445</v>
      </c>
      <c r="U51" s="55">
        <f t="shared" ca="1" si="1"/>
        <v>5.9599711588005713</v>
      </c>
      <c r="V51" s="55">
        <f t="shared" ca="1" si="2"/>
        <v>0</v>
      </c>
      <c r="W51" s="55">
        <f t="shared" ca="1" si="13"/>
        <v>0</v>
      </c>
      <c r="X51" s="55">
        <f t="shared" ca="1" si="14"/>
        <v>4.9368559531709435</v>
      </c>
      <c r="Y51" s="55">
        <f t="shared" ca="1" si="15"/>
        <v>8.3262302464577758</v>
      </c>
      <c r="Z51" s="55">
        <f t="shared" ca="1" si="3"/>
        <v>5.6062957818049011</v>
      </c>
      <c r="AA51">
        <f t="shared" ca="1" si="4"/>
        <v>55.152213748436502</v>
      </c>
      <c r="AB51">
        <f t="shared" ca="1" si="16"/>
        <v>0</v>
      </c>
      <c r="AC51">
        <f t="shared" ca="1" si="5"/>
        <v>0</v>
      </c>
      <c r="AD51">
        <f t="shared" ca="1" si="6"/>
        <v>0.16357798477929827</v>
      </c>
      <c r="AE51" s="83">
        <f ca="1"/>
        <v>45389</v>
      </c>
      <c r="AF51" s="55">
        <f t="shared" ca="1" si="21"/>
        <v>45389</v>
      </c>
      <c r="AG51" s="55">
        <f t="shared" ca="1" si="22"/>
        <v>0.89038665766810654</v>
      </c>
      <c r="AH51" s="55">
        <f t="shared" ca="1" si="23"/>
        <v>25.11223945780171</v>
      </c>
      <c r="AI51" s="55">
        <f t="shared" ca="1" si="24"/>
        <v>0</v>
      </c>
      <c r="AJ51" s="55">
        <f t="shared" ca="1" si="18"/>
        <v>0</v>
      </c>
      <c r="AK51" s="55">
        <f t="shared" ca="1" si="19"/>
        <v>4.2997924924985345</v>
      </c>
      <c r="AL51" s="55">
        <f t="shared" ca="1" si="20"/>
        <v>-9.6502539912615379</v>
      </c>
    </row>
    <row r="52" spans="1:39" s="55" customFormat="1">
      <c r="C52" s="61" t="s">
        <v>4</v>
      </c>
      <c r="D52" s="68">
        <f ca="1">IF(E52="",CurrentEstablishDate-60,E52)</f>
        <v>45149</v>
      </c>
      <c r="E52" s="67"/>
      <c r="F52" s="61" t="s">
        <v>145</v>
      </c>
      <c r="G52" s="84" t="str">
        <f>IF(H52="",VLOOKUP(PriorCropNameFull,CropCoefficients,13,FALSE),H52)</f>
        <v>Seed</v>
      </c>
      <c r="H52" s="72"/>
      <c r="R52" s="83">
        <f ca="1"/>
        <v>45228</v>
      </c>
      <c r="S52" s="55">
        <f t="shared" ca="1" si="12"/>
        <v>45228</v>
      </c>
      <c r="T52" s="55">
        <f t="shared" ca="1" si="0"/>
        <v>99.460002510399548</v>
      </c>
      <c r="U52" s="55">
        <f t="shared" ca="1" si="1"/>
        <v>6.3991381341505793</v>
      </c>
      <c r="V52" s="55">
        <f t="shared" ca="1" si="2"/>
        <v>0</v>
      </c>
      <c r="W52" s="55">
        <f t="shared" ca="1" si="13"/>
        <v>0</v>
      </c>
      <c r="X52" s="55">
        <f t="shared" ca="1" si="14"/>
        <v>5.0617839711074142</v>
      </c>
      <c r="Y52" s="55">
        <f t="shared" ca="1" si="15"/>
        <v>8.5482768526034114</v>
      </c>
      <c r="Z52" s="55">
        <f t="shared" ca="1" si="3"/>
        <v>6.1483376549001125</v>
      </c>
      <c r="AA52">
        <f t="shared" ca="1" si="4"/>
        <v>53.096404405310636</v>
      </c>
      <c r="AB52">
        <f t="shared" ca="1" si="16"/>
        <v>0</v>
      </c>
      <c r="AC52">
        <f t="shared" ca="1" si="5"/>
        <v>0</v>
      </c>
      <c r="AD52">
        <f t="shared" ca="1" si="6"/>
        <v>0.19560872278692837</v>
      </c>
      <c r="AE52" s="83">
        <f ca="1"/>
        <v>45390</v>
      </c>
      <c r="AF52" s="55">
        <f t="shared" ca="1" si="21"/>
        <v>45390</v>
      </c>
      <c r="AG52" s="55">
        <f t="shared" ca="1" si="22"/>
        <v>-1.3689578827032127</v>
      </c>
      <c r="AH52" s="55">
        <f t="shared" ca="1" si="23"/>
        <v>27.387244740738417</v>
      </c>
      <c r="AI52" s="55">
        <f t="shared" ca="1" si="24"/>
        <v>0</v>
      </c>
      <c r="AJ52" s="55">
        <f t="shared" ca="1" si="18"/>
        <v>0</v>
      </c>
      <c r="AK52" s="55">
        <f t="shared" ca="1" si="19"/>
        <v>4.4029005375425987</v>
      </c>
      <c r="AL52" s="55">
        <f t="shared" ca="1" si="20"/>
        <v>-9.7377012937402156</v>
      </c>
    </row>
    <row r="53" spans="1:39" s="55" customFormat="1">
      <c r="C53" s="61" t="s">
        <v>5</v>
      </c>
      <c r="D53" s="68">
        <f ca="1">IF(E53="",CurrentEstablishDate-15,E53)</f>
        <v>45194</v>
      </c>
      <c r="F53" s="61" t="s">
        <v>146</v>
      </c>
      <c r="G53" s="84" t="str">
        <f>IF(H53="",VLOOKUP(PriorCropNameFull,CropCoefficients,15,FALSE),H53)</f>
        <v>EarlyReproductive</v>
      </c>
      <c r="H53" s="72"/>
      <c r="R53" s="83">
        <f ca="1"/>
        <v>45229</v>
      </c>
      <c r="S53" s="55">
        <f t="shared" ca="1" si="12"/>
        <v>45229</v>
      </c>
      <c r="T53" s="55">
        <f t="shared" ca="1" si="0"/>
        <v>99.336443880172027</v>
      </c>
      <c r="U53" s="55">
        <f t="shared" ca="1" si="1"/>
        <v>6.8497433928515159</v>
      </c>
      <c r="V53" s="55">
        <f t="shared" ca="1" si="2"/>
        <v>0</v>
      </c>
      <c r="W53" s="55">
        <f t="shared" ca="1" si="13"/>
        <v>0</v>
      </c>
      <c r="X53" s="55">
        <f t="shared" ca="1" si="14"/>
        <v>5.1808645755010554</v>
      </c>
      <c r="Y53" s="55">
        <f t="shared" ca="1" si="15"/>
        <v>8.7562428766831815</v>
      </c>
      <c r="Z53" s="55">
        <f t="shared" ca="1" si="3"/>
        <v>6.3084736218131123</v>
      </c>
      <c r="AA53">
        <f t="shared" ca="1" si="4"/>
        <v>51.427371879867508</v>
      </c>
      <c r="AB53">
        <f t="shared" ca="1" si="16"/>
        <v>0</v>
      </c>
      <c r="AC53">
        <f t="shared" ca="1" si="5"/>
        <v>0</v>
      </c>
      <c r="AD53">
        <f t="shared" ca="1" si="6"/>
        <v>0.23056595468052804</v>
      </c>
      <c r="AE53" s="83">
        <f ca="1"/>
        <v>45391</v>
      </c>
      <c r="AF53" s="55">
        <f t="shared" ca="1" si="21"/>
        <v>45391</v>
      </c>
      <c r="AG53" s="55">
        <f t="shared" ca="1" si="22"/>
        <v>-3.4708741047039355</v>
      </c>
      <c r="AH53" s="55">
        <f t="shared" ca="1" si="23"/>
        <v>29.505867278512</v>
      </c>
      <c r="AI53" s="55">
        <f t="shared" ca="1" si="24"/>
        <v>0</v>
      </c>
      <c r="AJ53" s="55">
        <f t="shared" ca="1" si="18"/>
        <v>0</v>
      </c>
      <c r="AK53" s="55">
        <f t="shared" ca="1" si="19"/>
        <v>4.49657626357211</v>
      </c>
      <c r="AL53" s="55">
        <f t="shared" ca="1" si="20"/>
        <v>-9.8146707039968675</v>
      </c>
    </row>
    <row r="54" spans="1:39" s="54" customFormat="1">
      <c r="A54" s="55"/>
      <c r="B54" s="55"/>
      <c r="C54" s="61" t="s">
        <v>136</v>
      </c>
      <c r="D54" s="73">
        <f>IF(PriorUnits="kg/head",IF(E54="",VLOOKUP(PriorCropNameFull,CropCoefficients,20,FALSE),E54),1)</f>
        <v>1</v>
      </c>
      <c r="E54" s="72"/>
      <c r="F54" s="61"/>
      <c r="G54" s="61"/>
      <c r="H54" s="61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45230</v>
      </c>
      <c r="S54" s="55">
        <f t="shared" ca="1" si="12"/>
        <v>45230</v>
      </c>
      <c r="T54" s="55">
        <f t="shared" ca="1" si="0"/>
        <v>99.162871016588937</v>
      </c>
      <c r="U54" s="55">
        <f t="shared" ca="1" si="1"/>
        <v>7.3268442563761509</v>
      </c>
      <c r="V54" s="55">
        <f t="shared" ca="1" si="2"/>
        <v>0</v>
      </c>
      <c r="W54" s="55">
        <f t="shared" ca="1" si="13"/>
        <v>0</v>
      </c>
      <c r="X54" s="55">
        <f t="shared" ca="1" si="14"/>
        <v>5.2945699951098124</v>
      </c>
      <c r="Y54" s="55">
        <f t="shared" ca="1" si="15"/>
        <v>8.9460654570159726</v>
      </c>
      <c r="Z54" s="55">
        <f t="shared" ca="1" si="3"/>
        <v>6.6794120893448898</v>
      </c>
      <c r="AA54">
        <f t="shared" ca="1" si="4"/>
        <v>47.648580331208272</v>
      </c>
      <c r="AB54">
        <f t="shared" ca="1" si="16"/>
        <v>0</v>
      </c>
      <c r="AC54">
        <f t="shared" ca="1" si="5"/>
        <v>0</v>
      </c>
      <c r="AD54">
        <f t="shared" ca="1" si="6"/>
        <v>0.26931028131528623</v>
      </c>
      <c r="AE54" s="83">
        <f ca="1"/>
        <v>45392</v>
      </c>
      <c r="AF54" s="55">
        <f t="shared" ca="1" si="21"/>
        <v>45392</v>
      </c>
      <c r="AG54" s="55">
        <f t="shared" ca="1" si="22"/>
        <v>-5.8061338962998086</v>
      </c>
      <c r="AH54" s="55">
        <f t="shared" ca="1" si="23"/>
        <v>31.863519679449382</v>
      </c>
      <c r="AI54" s="55">
        <f t="shared" ca="1" si="24"/>
        <v>0</v>
      </c>
      <c r="AJ54" s="55">
        <f t="shared" ca="1" si="18"/>
        <v>0</v>
      </c>
      <c r="AK54" s="55">
        <f t="shared" ca="1" si="19"/>
        <v>4.5910097637424983</v>
      </c>
      <c r="AL54" s="55">
        <f t="shared" ca="1" si="20"/>
        <v>-9.886711594825746</v>
      </c>
      <c r="AM54" s="55"/>
    </row>
    <row r="55" spans="1:39" s="55" customFormat="1">
      <c r="A55" s="54"/>
      <c r="C55" s="61" t="s">
        <v>100</v>
      </c>
      <c r="D55" s="70">
        <f>IF(E55="",VLOOKUP(PriorCropNameFull,CropCoefficients,17,FALSE),E55)</f>
        <v>3</v>
      </c>
      <c r="E55" s="69"/>
      <c r="F55" s="61" t="s">
        <v>148</v>
      </c>
      <c r="G55" s="85" t="str">
        <f>IF(H55="","None removed",H55)</f>
        <v>None removed</v>
      </c>
      <c r="H55" s="72"/>
      <c r="R55" s="83">
        <f ca="1"/>
        <v>45231</v>
      </c>
      <c r="S55" s="55">
        <f t="shared" ca="1" si="12"/>
        <v>45231</v>
      </c>
      <c r="T55" s="55">
        <f t="shared" ca="1" si="0"/>
        <v>98.909312428463522</v>
      </c>
      <c r="U55" s="55">
        <f t="shared" ca="1" si="1"/>
        <v>7.8795652795694915</v>
      </c>
      <c r="V55" s="55">
        <f t="shared" ca="1" si="2"/>
        <v>0</v>
      </c>
      <c r="W55" s="55">
        <f t="shared" ca="1" si="13"/>
        <v>0</v>
      </c>
      <c r="X55" s="55">
        <f t="shared" ca="1" si="14"/>
        <v>5.4108500301361229</v>
      </c>
      <c r="Y55" s="55">
        <f t="shared" ca="1" si="15"/>
        <v>9.1289478570575948</v>
      </c>
      <c r="Z55" s="55">
        <f t="shared" ca="1" si="3"/>
        <v>7.7380943247067684</v>
      </c>
      <c r="AA55">
        <f t="shared" ca="1" si="4"/>
        <v>44.365690191004489</v>
      </c>
      <c r="AB55">
        <f t="shared" ca="1" si="16"/>
        <v>0</v>
      </c>
      <c r="AC55">
        <f t="shared" ca="1" si="5"/>
        <v>0</v>
      </c>
      <c r="AD55">
        <f t="shared" ca="1" si="6"/>
        <v>0.3155826894798951</v>
      </c>
      <c r="AE55" s="83">
        <f ca="1"/>
        <v>45393</v>
      </c>
      <c r="AF55" s="55">
        <f t="shared" ca="1" si="21"/>
        <v>45393</v>
      </c>
      <c r="AG55" s="55">
        <f t="shared" ca="1" si="22"/>
        <v>-8.2502986246857297</v>
      </c>
      <c r="AH55" s="55">
        <f t="shared" ca="1" si="23"/>
        <v>34.333164568885365</v>
      </c>
      <c r="AI55" s="55">
        <f t="shared" ca="1" si="24"/>
        <v>0</v>
      </c>
      <c r="AJ55" s="55">
        <f t="shared" ca="1" si="18"/>
        <v>0</v>
      </c>
      <c r="AK55" s="55">
        <f t="shared" ca="1" si="19"/>
        <v>4.683747355315635</v>
      </c>
      <c r="AL55" s="55">
        <f t="shared" ca="1" si="20"/>
        <v>-9.9539690253488189</v>
      </c>
    </row>
    <row r="56" spans="1:39" s="55" customFormat="1">
      <c r="C56" s="61" t="s">
        <v>15</v>
      </c>
      <c r="D56" s="84" t="str">
        <f>IF(E56="",VLOOKUP(PriorCropNameFull,CropCoefficients,18,FALSE),E56)</f>
        <v>t/ha</v>
      </c>
      <c r="E56" s="71"/>
      <c r="F56" s="58" t="s">
        <v>158</v>
      </c>
      <c r="G56" s="85" t="str">
        <f>IF(H56="","Full (Plough)",H56)</f>
        <v>Full (Plough)</v>
      </c>
      <c r="H56" s="72"/>
      <c r="R56" s="83">
        <f ca="1"/>
        <v>45232</v>
      </c>
      <c r="S56" s="55">
        <f t="shared" ca="1" si="12"/>
        <v>45232</v>
      </c>
      <c r="T56" s="55">
        <f t="shared" ca="1" si="0"/>
        <v>98.638414197310709</v>
      </c>
      <c r="U56" s="55">
        <f t="shared" ca="1" si="1"/>
        <v>8.4233937009207693</v>
      </c>
      <c r="V56" s="55">
        <f t="shared" ca="1" si="2"/>
        <v>0</v>
      </c>
      <c r="W56" s="55">
        <f t="shared" ca="1" si="13"/>
        <v>0</v>
      </c>
      <c r="X56" s="55">
        <f t="shared" ca="1" si="14"/>
        <v>5.518301097439771</v>
      </c>
      <c r="Y56" s="55">
        <f t="shared" ca="1" si="15"/>
        <v>9.2944269799524122</v>
      </c>
      <c r="Z56" s="55">
        <f t="shared" ca="1" si="3"/>
        <v>7.6135978989178899</v>
      </c>
      <c r="AA56">
        <f t="shared" ca="1" si="4"/>
        <v>42.512361571748201</v>
      </c>
      <c r="AB56">
        <f t="shared" ca="1" si="16"/>
        <v>0</v>
      </c>
      <c r="AC56">
        <f t="shared" ca="1" si="5"/>
        <v>0</v>
      </c>
      <c r="AD56">
        <f t="shared" ca="1" si="6"/>
        <v>0.36164879380908027</v>
      </c>
      <c r="AE56" s="83">
        <f ca="1"/>
        <v>45394</v>
      </c>
      <c r="AF56" s="55">
        <f t="shared" ca="1" si="21"/>
        <v>45394</v>
      </c>
      <c r="AG56" s="55">
        <f t="shared" ca="1" si="22"/>
        <v>-11.052199619245211</v>
      </c>
      <c r="AH56" s="55">
        <f t="shared" ca="1" si="23"/>
        <v>37.166643721013209</v>
      </c>
      <c r="AI56" s="55">
        <f t="shared" ca="1" si="24"/>
        <v>0</v>
      </c>
      <c r="AJ56" s="55">
        <f t="shared" ca="1" si="18"/>
        <v>0</v>
      </c>
      <c r="AK56" s="55">
        <f t="shared" ca="1" si="19"/>
        <v>4.7790949595360717</v>
      </c>
      <c r="AL56" s="55">
        <f t="shared" ca="1" si="20"/>
        <v>-10.017738472000893</v>
      </c>
    </row>
    <row r="57" spans="1:39" s="55" customFormat="1">
      <c r="C57" s="64" t="str">
        <f>"Yield "&amp;ROUND(PriorYield_tperHa,0)&amp;" (t/ha)"</f>
        <v>Yield 3 (t/ha)</v>
      </c>
      <c r="D57" s="90" t="str">
        <f ca="1">"Previous crop residues are providing "&amp;ROUND('Model Interface'!M9,0)&amp;" kg N/ha to the current crop"</f>
        <v>Previous crop residues are providing 14 kg N/ha to the current crop</v>
      </c>
      <c r="R57" s="83">
        <f ca="1"/>
        <v>45233</v>
      </c>
      <c r="S57" s="55">
        <f t="shared" ca="1" si="12"/>
        <v>45233</v>
      </c>
      <c r="T57" s="55">
        <f t="shared" ca="1" si="0"/>
        <v>98.300371296533228</v>
      </c>
      <c r="U57" s="55">
        <f t="shared" ca="1" si="1"/>
        <v>9.0190273972723016</v>
      </c>
      <c r="V57" s="55">
        <f t="shared" ca="1" si="2"/>
        <v>0</v>
      </c>
      <c r="W57" s="55">
        <f t="shared" ca="1" si="13"/>
        <v>0</v>
      </c>
      <c r="X57" s="55">
        <f t="shared" ca="1" si="14"/>
        <v>5.6238093449504047</v>
      </c>
      <c r="Y57" s="55">
        <f t="shared" ca="1" si="15"/>
        <v>9.4465095280158238</v>
      </c>
      <c r="Z57" s="55">
        <f t="shared" ca="1" si="3"/>
        <v>8.3388717489214521</v>
      </c>
      <c r="AA57">
        <f t="shared" ca="1" si="4"/>
        <v>38.913528305709796</v>
      </c>
      <c r="AB57">
        <f t="shared" ca="1" si="16"/>
        <v>0</v>
      </c>
      <c r="AC57">
        <f t="shared" ca="1" si="5"/>
        <v>0</v>
      </c>
      <c r="AD57">
        <f t="shared" ca="1" si="6"/>
        <v>0.41169191267395228</v>
      </c>
      <c r="AE57" s="83">
        <f ca="1"/>
        <v>45395</v>
      </c>
      <c r="AF57" s="55">
        <f t="shared" ca="1" si="21"/>
        <v>45395</v>
      </c>
      <c r="AG57" s="55">
        <f t="shared" ca="1" si="22"/>
        <v>-13.8786368231622</v>
      </c>
      <c r="AH57" s="55">
        <f t="shared" ca="1" si="23"/>
        <v>40.026792152297851</v>
      </c>
      <c r="AI57" s="55">
        <f t="shared" ca="1" si="24"/>
        <v>0</v>
      </c>
      <c r="AJ57" s="55">
        <f t="shared" ca="1" si="18"/>
        <v>0</v>
      </c>
      <c r="AK57" s="55">
        <f t="shared" ca="1" si="19"/>
        <v>4.8696459441805642</v>
      </c>
      <c r="AL57" s="55">
        <f t="shared" ca="1" si="20"/>
        <v>-10.074578229277733</v>
      </c>
    </row>
    <row r="58" spans="1:39" s="55" customFormat="1" ht="15.75" thickBot="1">
      <c r="C58" s="131" t="s">
        <v>154</v>
      </c>
      <c r="D58" s="131"/>
      <c r="E58" s="131"/>
      <c r="F58" s="131"/>
      <c r="G58" s="131"/>
      <c r="H58" s="131"/>
      <c r="R58" s="83">
        <f ca="1"/>
        <v>45234</v>
      </c>
      <c r="S58" s="55">
        <f t="shared" ca="1" si="12"/>
        <v>45234</v>
      </c>
      <c r="T58" s="55">
        <f t="shared" ca="1" si="0"/>
        <v>97.899265325131324</v>
      </c>
      <c r="U58" s="55">
        <f t="shared" ca="1" si="1"/>
        <v>9.6603117570024803</v>
      </c>
      <c r="V58" s="55">
        <f t="shared" ca="1" si="2"/>
        <v>0</v>
      </c>
      <c r="W58" s="55">
        <f t="shared" ca="1" si="13"/>
        <v>0</v>
      </c>
      <c r="X58" s="55">
        <f t="shared" ca="1" si="14"/>
        <v>5.7263271778240563</v>
      </c>
      <c r="Y58" s="55">
        <f t="shared" ca="1" si="15"/>
        <v>9.5841700834704575</v>
      </c>
      <c r="Z58" s="55">
        <f t="shared" ca="1" si="3"/>
        <v>8.9779810362225021</v>
      </c>
      <c r="AA58">
        <f t="shared" ca="1" si="4"/>
        <v>35.409090518866492</v>
      </c>
      <c r="AB58">
        <f t="shared" ca="1" si="16"/>
        <v>0</v>
      </c>
      <c r="AC58">
        <f t="shared" ca="1" si="5"/>
        <v>0</v>
      </c>
      <c r="AD58">
        <f t="shared" ca="1" si="6"/>
        <v>0.46402635101813056</v>
      </c>
      <c r="AE58" s="83">
        <f ca="1"/>
        <v>45396</v>
      </c>
      <c r="AF58" s="55">
        <f t="shared" ca="1" si="21"/>
        <v>45396</v>
      </c>
      <c r="AG58" s="55">
        <f t="shared" ca="1" si="22"/>
        <v>-17.359111714673894</v>
      </c>
      <c r="AH58" s="55">
        <f t="shared" ca="1" si="23"/>
        <v>43.550012437384737</v>
      </c>
      <c r="AI58" s="55">
        <f t="shared" ca="1" si="24"/>
        <v>0</v>
      </c>
      <c r="AJ58" s="55">
        <f t="shared" ca="1" si="18"/>
        <v>0</v>
      </c>
      <c r="AK58" s="55">
        <f t="shared" ca="1" si="19"/>
        <v>4.9658540099865878</v>
      </c>
      <c r="AL58" s="55">
        <f t="shared" ca="1" si="20"/>
        <v>-10.128040901508566</v>
      </c>
    </row>
    <row r="59" spans="1:39" s="55" customFormat="1">
      <c r="C59" s="61" t="s">
        <v>26</v>
      </c>
      <c r="D59" s="88" t="str">
        <f>IF(E59="","Fodder",E59)</f>
        <v>Potato</v>
      </c>
      <c r="E59" s="87" t="s">
        <v>8</v>
      </c>
      <c r="F59" s="61" t="s">
        <v>133</v>
      </c>
      <c r="G59" s="88">
        <f>IF(H59="",VLOOKUP(FollowingCropFullName,CropCoefficients,23,FALSE),H59)</f>
        <v>0</v>
      </c>
      <c r="H59" s="89"/>
      <c r="R59" s="83">
        <f ca="1"/>
        <v>45235</v>
      </c>
      <c r="S59" s="55">
        <f t="shared" ca="1" si="12"/>
        <v>45235</v>
      </c>
      <c r="T59" s="55">
        <f t="shared" ca="1" si="0"/>
        <v>97.45733715056781</v>
      </c>
      <c r="U59" s="55">
        <f t="shared" ca="1" si="1"/>
        <v>10.32965618509416</v>
      </c>
      <c r="V59" s="55">
        <f t="shared" ca="1" si="2"/>
        <v>0</v>
      </c>
      <c r="W59" s="55">
        <f t="shared" ca="1" si="13"/>
        <v>0</v>
      </c>
      <c r="X59" s="55">
        <f t="shared" ca="1" si="14"/>
        <v>5.825581574728079</v>
      </c>
      <c r="Y59" s="55">
        <f t="shared" ca="1" si="15"/>
        <v>9.7123319400946002</v>
      </c>
      <c r="Z59" s="55">
        <f t="shared" ca="1" si="3"/>
        <v>9.3708219932835206</v>
      </c>
      <c r="AA59">
        <f t="shared" ca="1" si="4"/>
        <v>33.682108700070756</v>
      </c>
      <c r="AB59">
        <f t="shared" ca="1" si="16"/>
        <v>0</v>
      </c>
      <c r="AC59">
        <f t="shared" ca="1" si="5"/>
        <v>0</v>
      </c>
      <c r="AD59">
        <f t="shared" ca="1" si="6"/>
        <v>0.51597241300039909</v>
      </c>
      <c r="AE59" s="83">
        <f ca="1"/>
        <v>45397</v>
      </c>
      <c r="AF59" s="55">
        <f t="shared" ca="1" si="21"/>
        <v>45397</v>
      </c>
      <c r="AG59" s="55">
        <f t="shared" ca="1" si="22"/>
        <v>-20.908919574799096</v>
      </c>
      <c r="AH59" s="55">
        <f t="shared" ca="1" si="23"/>
        <v>47.143865241737089</v>
      </c>
      <c r="AI59" s="55">
        <f t="shared" ca="1" si="24"/>
        <v>0</v>
      </c>
      <c r="AJ59" s="55">
        <f t="shared" ca="1" si="18"/>
        <v>0</v>
      </c>
      <c r="AK59" s="55">
        <f t="shared" ca="1" si="19"/>
        <v>5.0575865849706361</v>
      </c>
      <c r="AL59" s="55">
        <f t="shared" ca="1" si="20"/>
        <v>-10.175728532265467</v>
      </c>
    </row>
    <row r="60" spans="1:39" s="55" customFormat="1">
      <c r="C60" s="61" t="s">
        <v>94</v>
      </c>
      <c r="D60" s="84" t="str">
        <f>IF(E60="","Oat",E60)</f>
        <v>Early_harvest</v>
      </c>
      <c r="E60" s="66" t="s">
        <v>279</v>
      </c>
      <c r="F60" s="61" t="s">
        <v>135</v>
      </c>
      <c r="G60" s="84">
        <f>IF(H60="",VLOOKUP(FollowingCropFullName,CropCoefficients,22,FALSE),H60)</f>
        <v>0</v>
      </c>
      <c r="H60" s="72"/>
      <c r="R60" s="83">
        <f ca="1"/>
        <v>45236</v>
      </c>
      <c r="S60" s="55">
        <f t="shared" ca="1" si="12"/>
        <v>45236</v>
      </c>
      <c r="T60" s="55">
        <f t="shared" ca="1" si="0"/>
        <v>96.999672986271278</v>
      </c>
      <c r="U60" s="55">
        <f t="shared" ca="1" si="1"/>
        <v>10.994790115007012</v>
      </c>
      <c r="V60" s="55">
        <f t="shared" ca="1" si="2"/>
        <v>0</v>
      </c>
      <c r="W60" s="55">
        <f t="shared" ca="1" si="13"/>
        <v>0</v>
      </c>
      <c r="X60" s="55">
        <f t="shared" ca="1" si="14"/>
        <v>5.9184090864639503</v>
      </c>
      <c r="Y60" s="55">
        <f t="shared" ca="1" si="15"/>
        <v>9.8269741939750439</v>
      </c>
      <c r="Z60" s="55">
        <f t="shared" ca="1" si="3"/>
        <v>9.3118750187799222</v>
      </c>
      <c r="AA60">
        <f t="shared" ca="1" si="4"/>
        <v>31.503086206105181</v>
      </c>
      <c r="AB60">
        <f t="shared" ca="1" si="16"/>
        <v>0</v>
      </c>
      <c r="AC60">
        <f t="shared" ca="1" si="5"/>
        <v>0</v>
      </c>
      <c r="AD60">
        <f t="shared" ca="1" si="6"/>
        <v>0.56418561745435547</v>
      </c>
      <c r="AE60" s="83">
        <f ca="1"/>
        <v>45398</v>
      </c>
      <c r="AF60" s="55">
        <f t="shared" ca="1" si="21"/>
        <v>45398</v>
      </c>
      <c r="AG60" s="55">
        <f t="shared" ca="1" si="22"/>
        <v>-24.840210036407427</v>
      </c>
      <c r="AH60" s="55">
        <f t="shared" ca="1" si="23"/>
        <v>51.122708617367621</v>
      </c>
      <c r="AI60" s="55">
        <f t="shared" ca="1" si="24"/>
        <v>0</v>
      </c>
      <c r="AJ60" s="55">
        <f t="shared" ca="1" si="18"/>
        <v>0</v>
      </c>
      <c r="AK60" s="55">
        <f t="shared" ca="1" si="19"/>
        <v>5.1509703496861654</v>
      </c>
      <c r="AL60" s="55">
        <f t="shared" ca="1" si="20"/>
        <v>-10.221559382958795</v>
      </c>
    </row>
    <row r="61" spans="1:39" s="55" customFormat="1">
      <c r="C61" s="61" t="s">
        <v>95</v>
      </c>
      <c r="D61" s="84" t="str">
        <f>IF(E61="","General",E61)</f>
        <v>Moonlight</v>
      </c>
      <c r="E61" s="66" t="s">
        <v>246</v>
      </c>
      <c r="F61" s="61" t="s">
        <v>134</v>
      </c>
      <c r="G61" s="84">
        <f>IF(H61="",VLOOKUP(FollowingCropFullName,CropCoefficients,26,FALSE),H61)</f>
        <v>76</v>
      </c>
      <c r="H61" s="72"/>
      <c r="R61" s="83">
        <f ca="1"/>
        <v>45237</v>
      </c>
      <c r="S61" s="55">
        <f t="shared" ca="1" si="12"/>
        <v>45237</v>
      </c>
      <c r="T61" s="55">
        <f t="shared" ca="1" si="0"/>
        <v>96.477211304753894</v>
      </c>
      <c r="U61" s="55">
        <f t="shared" ca="1" si="1"/>
        <v>11.728843511176677</v>
      </c>
      <c r="V61" s="55">
        <f t="shared" ca="1" si="2"/>
        <v>0</v>
      </c>
      <c r="W61" s="55">
        <f t="shared" ca="1" si="13"/>
        <v>0</v>
      </c>
      <c r="X61" s="55">
        <f t="shared" ca="1" si="14"/>
        <v>6.0137036981050525</v>
      </c>
      <c r="Y61" s="55">
        <f t="shared" ca="1" si="15"/>
        <v>9.9432712969862216</v>
      </c>
      <c r="Z61" s="55">
        <f t="shared" ca="1" si="3"/>
        <v>10.276747546375315</v>
      </c>
      <c r="AA61">
        <f t="shared" ca="1" si="4"/>
        <v>31.608588947670167</v>
      </c>
      <c r="AB61">
        <f t="shared" ca="1" si="16"/>
        <v>0</v>
      </c>
      <c r="AC61">
        <f t="shared" ca="1" si="5"/>
        <v>0</v>
      </c>
      <c r="AD61">
        <f t="shared" ca="1" si="6"/>
        <v>0.61297928011574709</v>
      </c>
      <c r="AE61" s="83">
        <f ca="1"/>
        <v>45399</v>
      </c>
      <c r="AF61" s="55">
        <f t="shared" ca="1" si="21"/>
        <v>45399</v>
      </c>
      <c r="AG61" s="55">
        <f t="shared" ca="1" si="22"/>
        <v>-28.630639516310168</v>
      </c>
      <c r="AH61" s="55">
        <f t="shared" ca="1" si="23"/>
        <v>54.959438766815921</v>
      </c>
      <c r="AI61" s="55">
        <f t="shared" ca="1" si="24"/>
        <v>0</v>
      </c>
      <c r="AJ61" s="55">
        <f t="shared" ca="1" si="18"/>
        <v>0</v>
      </c>
      <c r="AK61" s="55">
        <f t="shared" ca="1" si="19"/>
        <v>5.2375942197322418</v>
      </c>
      <c r="AL61" s="55">
        <f t="shared" ca="1" si="20"/>
        <v>-10.261882583459313</v>
      </c>
    </row>
    <row r="62" spans="1:39" s="55" customFormat="1">
      <c r="B62" s="90">
        <f>IF(FollowingUnits="kg/head",FollowingYIeld*FollowingPopulation/1000,IF(FollowingUnits="kg/ha",FollowingYIeld/1000,FollowingYIeld))</f>
        <v>70</v>
      </c>
      <c r="C62" s="64" t="s">
        <v>150</v>
      </c>
      <c r="D62" s="65" t="str">
        <f>SUBSTITUTE(FollowingCropName&amp;" "&amp;FollowingCropType&amp;" "&amp;FollowingCropVariety,"_"," ")</f>
        <v>Early harvest Potato Moonlight</v>
      </c>
      <c r="F62" s="56"/>
      <c r="R62" s="83">
        <f ca="1"/>
        <v>45238</v>
      </c>
      <c r="S62" s="55">
        <f t="shared" ca="1" si="12"/>
        <v>45238</v>
      </c>
      <c r="T62" s="55">
        <f t="shared" ca="1" si="0"/>
        <v>95.901591140555794</v>
      </c>
      <c r="U62" s="55">
        <f t="shared" ca="1" si="1"/>
        <v>12.504440779378143</v>
      </c>
      <c r="V62" s="55">
        <f t="shared" ca="1" si="2"/>
        <v>0</v>
      </c>
      <c r="W62" s="55">
        <f t="shared" ca="1" si="13"/>
        <v>0</v>
      </c>
      <c r="X62" s="55">
        <f t="shared" ca="1" si="14"/>
        <v>6.1067109152924406</v>
      </c>
      <c r="Y62" s="55">
        <f t="shared" ca="1" si="15"/>
        <v>10.0502411838022</v>
      </c>
      <c r="Z62" s="55">
        <f t="shared" ca="1" si="3"/>
        <v>10.858361754820521</v>
      </c>
      <c r="AA62">
        <f t="shared" ca="1" si="4"/>
        <v>29.420554485433946</v>
      </c>
      <c r="AB62">
        <f t="shared" ca="1" si="16"/>
        <v>0</v>
      </c>
      <c r="AC62">
        <f t="shared" ca="1" si="5"/>
        <v>0</v>
      </c>
      <c r="AD62">
        <f t="shared" ca="1" si="6"/>
        <v>0.65930801936375594</v>
      </c>
      <c r="AE62" s="83">
        <f ca="1"/>
        <v>45400</v>
      </c>
      <c r="AF62" s="55">
        <f t="shared" ca="1" si="21"/>
        <v>45400</v>
      </c>
      <c r="AG62" s="55">
        <f t="shared" ca="1" si="22"/>
        <v>-32.728930701168508</v>
      </c>
      <c r="AH62" s="55">
        <f t="shared" ca="1" si="23"/>
        <v>59.107050516646012</v>
      </c>
      <c r="AI62" s="55">
        <f t="shared" ca="1" si="24"/>
        <v>0</v>
      </c>
      <c r="AJ62" s="55">
        <f t="shared" ca="1" si="18"/>
        <v>0</v>
      </c>
      <c r="AK62" s="55">
        <f t="shared" ca="1" si="19"/>
        <v>5.3238546766922461</v>
      </c>
      <c r="AL62" s="55">
        <f t="shared" ca="1" si="20"/>
        <v>-10.298822475447565</v>
      </c>
    </row>
    <row r="63" spans="1:39" s="55" customFormat="1">
      <c r="C63" s="61" t="s">
        <v>4</v>
      </c>
      <c r="D63" s="68">
        <f>IF(E63="",CurrentHarvestDate+15,E63)</f>
        <v>45370</v>
      </c>
      <c r="E63" s="67"/>
      <c r="F63" s="61" t="s">
        <v>145</v>
      </c>
      <c r="G63" s="84" t="str">
        <f>IF(H63="",VLOOKUP(FollowingCropFullName,CropCoefficients,13,FALSE),H63)</f>
        <v>Seed</v>
      </c>
      <c r="H63" s="72"/>
      <c r="R63" s="83">
        <f ca="1"/>
        <v>45239</v>
      </c>
      <c r="S63" s="55">
        <f t="shared" ca="1" si="12"/>
        <v>45239</v>
      </c>
      <c r="T63" s="55">
        <f t="shared" ca="1" si="0"/>
        <v>95.242338726376516</v>
      </c>
      <c r="U63" s="55">
        <f t="shared" ca="1" si="1"/>
        <v>13.359325804164095</v>
      </c>
      <c r="V63" s="55">
        <f t="shared" ca="1" si="2"/>
        <v>0</v>
      </c>
      <c r="W63" s="55">
        <f t="shared" ca="1" si="13"/>
        <v>0</v>
      </c>
      <c r="X63" s="55">
        <f t="shared" ca="1" si="14"/>
        <v>6.2005577281067268</v>
      </c>
      <c r="Y63" s="55">
        <f t="shared" ca="1" si="15"/>
        <v>10.152026981594584</v>
      </c>
      <c r="Z63" s="55">
        <f t="shared" ca="1" si="3"/>
        <v>11.968390347003332</v>
      </c>
      <c r="AA63">
        <f t="shared" ca="1" si="4"/>
        <v>27.698864296459</v>
      </c>
      <c r="AB63">
        <f t="shared" ca="1" si="16"/>
        <v>0</v>
      </c>
      <c r="AC63">
        <f t="shared" ca="1" si="5"/>
        <v>0</v>
      </c>
      <c r="AD63">
        <f t="shared" ca="1" si="6"/>
        <v>0.70427446008314876</v>
      </c>
      <c r="AE63" s="83">
        <f ca="1"/>
        <v>45401</v>
      </c>
      <c r="AF63" s="55">
        <f t="shared" ca="1" si="21"/>
        <v>45401</v>
      </c>
      <c r="AG63" s="55">
        <f t="shared" ca="1" si="22"/>
        <v>-37.338108865046749</v>
      </c>
      <c r="AH63" s="55">
        <f t="shared" ca="1" si="23"/>
        <v>63.769303774561507</v>
      </c>
      <c r="AI63" s="55">
        <f t="shared" ca="1" si="24"/>
        <v>0</v>
      </c>
      <c r="AJ63" s="55">
        <f t="shared" ca="1" si="18"/>
        <v>0</v>
      </c>
      <c r="AK63" s="55">
        <f t="shared" ca="1" si="19"/>
        <v>5.4130522772546206</v>
      </c>
      <c r="AL63" s="55">
        <f t="shared" ca="1" si="20"/>
        <v>-10.334944981972683</v>
      </c>
    </row>
    <row r="64" spans="1:39" s="54" customFormat="1">
      <c r="A64" s="55"/>
      <c r="B64" s="55"/>
      <c r="C64" s="61" t="s">
        <v>5</v>
      </c>
      <c r="D64" s="68">
        <f>IF(E64="",FollowingEstablishDate+120,E64)</f>
        <v>45490</v>
      </c>
      <c r="E64" s="67"/>
      <c r="F64" s="61" t="s">
        <v>146</v>
      </c>
      <c r="G64" s="84" t="str">
        <f>IF(H64="",VLOOKUP(FollowingCropFullName,CropCoefficients,15,FALSE),H64)</f>
        <v>MidReproductive</v>
      </c>
      <c r="H64" s="72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45240</v>
      </c>
      <c r="S64" s="55">
        <f t="shared" ca="1" si="12"/>
        <v>45240</v>
      </c>
      <c r="T64" s="55">
        <f t="shared" ca="1" si="0"/>
        <v>94.356844568090537</v>
      </c>
      <c r="U64" s="55">
        <f t="shared" ca="1" si="1"/>
        <v>14.452134850121706</v>
      </c>
      <c r="V64" s="55">
        <f t="shared" ca="1" si="2"/>
        <v>0</v>
      </c>
      <c r="W64" s="55">
        <f t="shared" ca="1" si="13"/>
        <v>0</v>
      </c>
      <c r="X64" s="55">
        <f t="shared" ca="1" si="14"/>
        <v>6.3054036048280189</v>
      </c>
      <c r="Y64" s="55">
        <f t="shared" ca="1" si="15"/>
        <v>10.254495992544916</v>
      </c>
      <c r="Z64" s="55">
        <f t="shared" ca="1" si="3"/>
        <v>15.299326643406541</v>
      </c>
      <c r="AA64">
        <f t="shared" ca="1" si="4"/>
        <v>25.318970919356605</v>
      </c>
      <c r="AB64">
        <f t="shared" ca="1" si="16"/>
        <v>0</v>
      </c>
      <c r="AC64">
        <f t="shared" ca="1" si="5"/>
        <v>0</v>
      </c>
      <c r="AD64">
        <f t="shared" ca="1" si="6"/>
        <v>0.75312191211680413</v>
      </c>
      <c r="AE64" s="83">
        <f ca="1"/>
        <v>45402</v>
      </c>
      <c r="AF64" s="55">
        <f t="shared" ca="1" si="21"/>
        <v>45402</v>
      </c>
      <c r="AG64" s="55">
        <f t="shared" ca="1" si="22"/>
        <v>-41.600809350648404</v>
      </c>
      <c r="AH64" s="55">
        <f t="shared" ca="1" si="23"/>
        <v>68.081584263225807</v>
      </c>
      <c r="AI64" s="55">
        <f t="shared" ca="1" si="24"/>
        <v>0</v>
      </c>
      <c r="AJ64" s="55">
        <f t="shared" ca="1" si="18"/>
        <v>0</v>
      </c>
      <c r="AK64" s="55">
        <f t="shared" ca="1" si="19"/>
        <v>5.4950334615440291</v>
      </c>
      <c r="AL64" s="55">
        <f t="shared" ca="1" si="20"/>
        <v>-10.367346163199453</v>
      </c>
      <c r="AM64" s="55"/>
    </row>
    <row r="65" spans="1:39" s="55" customFormat="1">
      <c r="A65" s="54"/>
      <c r="C65" s="61" t="s">
        <v>136</v>
      </c>
      <c r="D65" s="73">
        <f>IF(FollowingUnits="kg/head",IF(E65="",VLOOKUP(FollowingCropFullName,CropCoefficients,20,FALSE),E65),1)</f>
        <v>1</v>
      </c>
      <c r="E65" s="72"/>
      <c r="R65" s="83">
        <f ca="1"/>
        <v>45241</v>
      </c>
      <c r="S65" s="55">
        <f t="shared" ca="1" si="12"/>
        <v>45241</v>
      </c>
      <c r="T65" s="55">
        <f t="shared" ca="1" si="0"/>
        <v>93.456996521109389</v>
      </c>
      <c r="U65" s="55">
        <f t="shared" ca="1" si="1"/>
        <v>15.541883490285853</v>
      </c>
      <c r="V65" s="55">
        <f t="shared" ca="1" si="2"/>
        <v>0</v>
      </c>
      <c r="W65" s="55">
        <f t="shared" ca="1" si="13"/>
        <v>0</v>
      </c>
      <c r="X65" s="55">
        <f t="shared" ca="1" si="14"/>
        <v>6.4033195501975317</v>
      </c>
      <c r="Y65" s="55">
        <f t="shared" ca="1" si="15"/>
        <v>10.346480640358402</v>
      </c>
      <c r="Z65" s="55">
        <f t="shared" ca="1" si="3"/>
        <v>15.256480962298067</v>
      </c>
      <c r="AA65">
        <f t="shared" ca="1" si="4"/>
        <v>23.998854893775988</v>
      </c>
      <c r="AB65">
        <f t="shared" ca="1" si="16"/>
        <v>0</v>
      </c>
      <c r="AC65">
        <f t="shared" ca="1" si="5"/>
        <v>0</v>
      </c>
      <c r="AD65">
        <f t="shared" ca="1" si="6"/>
        <v>0.79333531693772841</v>
      </c>
      <c r="AE65" s="83">
        <f ca="1"/>
        <v>45403</v>
      </c>
      <c r="AF65" s="55">
        <f t="shared" ca="1" si="21"/>
        <v>45403</v>
      </c>
      <c r="AG65" s="55">
        <f t="shared" ca="1" si="22"/>
        <v>-45.950595887558983</v>
      </c>
      <c r="AH65" s="55">
        <f t="shared" ca="1" si="23"/>
        <v>72.481729575013759</v>
      </c>
      <c r="AI65" s="55">
        <f t="shared" ca="1" si="24"/>
        <v>0</v>
      </c>
      <c r="AJ65" s="55">
        <f t="shared" ca="1" si="18"/>
        <v>0</v>
      </c>
      <c r="AK65" s="55">
        <f t="shared" ca="1" si="19"/>
        <v>5.5744775625685197</v>
      </c>
      <c r="AL65" s="55">
        <f t="shared" ca="1" si="20"/>
        <v>-10.396431489346572</v>
      </c>
    </row>
    <row r="66" spans="1:39" s="55" customFormat="1">
      <c r="C66" s="61" t="s">
        <v>100</v>
      </c>
      <c r="D66" s="70">
        <f>IF(E66="",VLOOKUP(FollowingCropFullName,CropCoefficients,17,FALSE),E66)</f>
        <v>70</v>
      </c>
      <c r="E66" s="69"/>
      <c r="F66" s="61" t="s">
        <v>148</v>
      </c>
      <c r="G66" s="85" t="str">
        <f>IF(H66="","None removed",H66)</f>
        <v>None removed</v>
      </c>
      <c r="H66" s="72"/>
      <c r="R66" s="83">
        <f ca="1"/>
        <v>45242</v>
      </c>
      <c r="S66" s="55">
        <f t="shared" ca="1" si="12"/>
        <v>45242</v>
      </c>
      <c r="T66" s="55">
        <f t="shared" ca="1" si="0"/>
        <v>92.529683101410328</v>
      </c>
      <c r="U66" s="55">
        <f t="shared" ca="1" si="1"/>
        <v>16.658775570693425</v>
      </c>
      <c r="V66" s="55">
        <f t="shared" ca="1" si="2"/>
        <v>0</v>
      </c>
      <c r="W66" s="55">
        <f t="shared" ca="1" si="13"/>
        <v>0</v>
      </c>
      <c r="X66" s="55">
        <f t="shared" ca="1" si="14"/>
        <v>6.4992088372446544</v>
      </c>
      <c r="Y66" s="55">
        <f t="shared" ca="1" si="15"/>
        <v>10.440170014019772</v>
      </c>
      <c r="Z66" s="55">
        <f t="shared" ca="1" si="3"/>
        <v>15.63648912570601</v>
      </c>
      <c r="AA66">
        <f t="shared" ca="1" si="4"/>
        <v>25.257031655636133</v>
      </c>
      <c r="AB66">
        <f t="shared" ca="1" si="16"/>
        <v>0</v>
      </c>
      <c r="AC66">
        <f t="shared" ca="1" si="5"/>
        <v>0</v>
      </c>
      <c r="AD66">
        <f t="shared" ca="1" si="6"/>
        <v>0.82712839029719198</v>
      </c>
      <c r="AE66" s="83">
        <f ca="1"/>
        <v>45404</v>
      </c>
      <c r="AF66" s="55">
        <f t="shared" ca="1" si="21"/>
        <v>45404</v>
      </c>
      <c r="AG66" s="55">
        <f t="shared" ca="1" si="22"/>
        <v>-50.982422772993104</v>
      </c>
      <c r="AH66" s="55">
        <f t="shared" ca="1" si="23"/>
        <v>77.568903586852841</v>
      </c>
      <c r="AI66" s="55">
        <f t="shared" ca="1" si="24"/>
        <v>0</v>
      </c>
      <c r="AJ66" s="55">
        <f t="shared" ca="1" si="18"/>
        <v>0</v>
      </c>
      <c r="AK66" s="55">
        <f t="shared" ca="1" si="19"/>
        <v>5.6574089902770783</v>
      </c>
      <c r="AL66" s="55">
        <f t="shared" ca="1" si="20"/>
        <v>-10.424015790650174</v>
      </c>
    </row>
    <row r="67" spans="1:39">
      <c r="A67" s="55"/>
      <c r="B67" s="55"/>
      <c r="C67" s="61" t="s">
        <v>15</v>
      </c>
      <c r="D67" s="84" t="str">
        <f>IF(E67="",VLOOKUP(FollowingCropFullName,CropCoefficients,18,FALSE),E67)</f>
        <v>t/ha</v>
      </c>
      <c r="E67" s="71"/>
      <c r="F67" s="57" t="s">
        <v>158</v>
      </c>
      <c r="G67" s="85" t="str">
        <f>IF(H67="","Full (Plough)",H67)</f>
        <v>Full (Plough)</v>
      </c>
      <c r="H67" s="72"/>
      <c r="R67" s="83">
        <f ca="1"/>
        <v>45243</v>
      </c>
      <c r="S67" s="55">
        <f t="shared" ca="1" si="12"/>
        <v>45243</v>
      </c>
      <c r="T67" s="55">
        <f t="shared" ca="1" si="0"/>
        <v>91.640913146086461</v>
      </c>
      <c r="U67" s="55">
        <f t="shared" ca="1" si="1"/>
        <v>17.720713427511146</v>
      </c>
      <c r="V67" s="55">
        <f t="shared" ca="1" si="2"/>
        <v>0</v>
      </c>
      <c r="W67" s="55">
        <f t="shared" ca="1" si="13"/>
        <v>0</v>
      </c>
      <c r="X67" s="55">
        <f t="shared" ca="1" si="14"/>
        <v>6.5873521100960009</v>
      </c>
      <c r="Y67" s="55">
        <f t="shared" ca="1" si="15"/>
        <v>10.525194642662283</v>
      </c>
      <c r="Z67" s="55">
        <f t="shared" ca="1" si="3"/>
        <v>14.867129995448096</v>
      </c>
      <c r="AA67">
        <f t="shared" ca="1" si="4"/>
        <v>24.550231730487301</v>
      </c>
      <c r="AB67">
        <f t="shared" ca="1" si="16"/>
        <v>0</v>
      </c>
      <c r="AC67">
        <f t="shared" ca="1" si="5"/>
        <v>0</v>
      </c>
      <c r="AD67">
        <f t="shared" ca="1" si="6"/>
        <v>0.85349998577353281</v>
      </c>
      <c r="AE67" s="83">
        <f ca="1"/>
        <v>45405</v>
      </c>
      <c r="AF67" s="55">
        <f t="shared" ca="1" si="21"/>
        <v>45405</v>
      </c>
      <c r="AG67" s="55">
        <f t="shared" ca="1" si="22"/>
        <v>-55.795834383211691</v>
      </c>
      <c r="AH67" s="55">
        <f t="shared" ca="1" si="23"/>
        <v>82.43523405761141</v>
      </c>
      <c r="AI67" s="55">
        <f t="shared" ca="1" si="24"/>
        <v>0</v>
      </c>
      <c r="AJ67" s="55">
        <f t="shared" ca="1" si="18"/>
        <v>0</v>
      </c>
      <c r="AK67" s="55">
        <f t="shared" ca="1" si="19"/>
        <v>5.7361435468560149</v>
      </c>
      <c r="AL67" s="55">
        <f t="shared" ca="1" si="20"/>
        <v>-10.449831486689128</v>
      </c>
      <c r="AM67" s="55"/>
    </row>
    <row r="68" spans="1:39">
      <c r="B68" s="55"/>
      <c r="C68" s="64" t="str">
        <f>"Yield "&amp;ROUND(FollowingYield_tperHa,0)&amp;" (t/ha)"</f>
        <v>Yield 70 (t/ha)</v>
      </c>
      <c r="D68" s="101" t="str">
        <f ca="1">"Following crop will take up "&amp;ROUND('Model Interface'!L9,0)&amp;" kg N/ha"</f>
        <v>Following crop will take up 351 kg N/ha</v>
      </c>
      <c r="R68" s="83">
        <f ca="1"/>
        <v>45244</v>
      </c>
      <c r="S68" s="55">
        <f t="shared" ca="1" si="12"/>
        <v>45244</v>
      </c>
      <c r="T68" s="55">
        <f t="shared" ca="1" si="0"/>
        <v>90.596812257953061</v>
      </c>
      <c r="U68" s="55">
        <f t="shared" ca="1" si="1"/>
        <v>18.936432720329179</v>
      </c>
      <c r="V68" s="55">
        <f t="shared" ca="1" si="2"/>
        <v>0</v>
      </c>
      <c r="W68" s="55">
        <f t="shared" ca="1" si="13"/>
        <v>0</v>
      </c>
      <c r="X68" s="55">
        <f t="shared" ca="1" si="14"/>
        <v>6.6786128481602862</v>
      </c>
      <c r="Y68" s="55">
        <f t="shared" ca="1" si="15"/>
        <v>10.605552309282636</v>
      </c>
      <c r="Z68" s="55">
        <f t="shared" ca="1" si="3"/>
        <v>17.020070099452461</v>
      </c>
      <c r="AA68">
        <f t="shared" ca="1" si="4"/>
        <v>22.450494754216255</v>
      </c>
      <c r="AB68">
        <f t="shared" ca="1" si="16"/>
        <v>0</v>
      </c>
      <c r="AC68">
        <f t="shared" ca="1" si="5"/>
        <v>0</v>
      </c>
      <c r="AD68">
        <f t="shared" ca="1" si="6"/>
        <v>0.87810659668023283</v>
      </c>
      <c r="AE68" s="83">
        <f ca="1"/>
        <v>45406</v>
      </c>
      <c r="AF68" s="55">
        <f t="shared" ca="1" si="21"/>
        <v>45406</v>
      </c>
      <c r="AG68" s="55">
        <f t="shared" ca="1" si="22"/>
        <v>-61.308464182712932</v>
      </c>
      <c r="AH68" s="55">
        <f t="shared" ca="1" si="23"/>
        <v>88.004994619958893</v>
      </c>
      <c r="AI68" s="55">
        <f t="shared" ca="1" si="24"/>
        <v>0</v>
      </c>
      <c r="AJ68" s="55">
        <f t="shared" ca="1" si="18"/>
        <v>0</v>
      </c>
      <c r="AK68" s="55">
        <f t="shared" ca="1" si="19"/>
        <v>5.8192556386806977</v>
      </c>
      <c r="AL68" s="55">
        <f t="shared" ca="1" si="20"/>
        <v>-10.475812815667567</v>
      </c>
      <c r="AM68" s="55"/>
    </row>
    <row r="69" spans="1:39" ht="15.75" thickBot="1">
      <c r="C69" s="133" t="s">
        <v>185</v>
      </c>
      <c r="D69" s="133"/>
      <c r="E69" s="133"/>
      <c r="F69" s="133"/>
      <c r="G69" s="133"/>
      <c r="H69" s="133"/>
      <c r="R69" s="83">
        <f ca="1"/>
        <v>45245</v>
      </c>
      <c r="S69" s="55">
        <f t="shared" ca="1" si="12"/>
        <v>45245</v>
      </c>
      <c r="T69" s="55">
        <f t="shared" ca="1" si="0"/>
        <v>89.402010940659579</v>
      </c>
      <c r="U69" s="55">
        <f t="shared" ca="1" si="1"/>
        <v>20.301210468790153</v>
      </c>
      <c r="V69" s="55">
        <f t="shared" ca="1" si="2"/>
        <v>0</v>
      </c>
      <c r="W69" s="55">
        <f t="shared" ca="1" si="13"/>
        <v>0</v>
      </c>
      <c r="X69" s="55">
        <f t="shared" ca="1" si="14"/>
        <v>6.7722075533721018</v>
      </c>
      <c r="Y69" s="55">
        <f t="shared" ca="1" si="15"/>
        <v>10.681934035238324</v>
      </c>
      <c r="Z69" s="55">
        <f t="shared" ca="1" si="3"/>
        <v>19.106888478453627</v>
      </c>
      <c r="AA69">
        <f t="shared" ca="1" si="4"/>
        <v>20.858688881714823</v>
      </c>
      <c r="AB69">
        <f t="shared" ca="1" si="16"/>
        <v>0</v>
      </c>
      <c r="AC69">
        <f t="shared" ca="1" si="5"/>
        <v>0</v>
      </c>
      <c r="AD69">
        <f t="shared" ca="1" si="6"/>
        <v>0.9000997437929108</v>
      </c>
      <c r="AE69" s="83">
        <f ca="1"/>
        <v>45407</v>
      </c>
      <c r="AF69" s="55">
        <f t="shared" ca="1" si="21"/>
        <v>45407</v>
      </c>
      <c r="AG69" s="55">
        <f t="shared" ca="1" si="22"/>
        <v>-67.224679500773632</v>
      </c>
      <c r="AH69" s="55">
        <f t="shared" ca="1" si="23"/>
        <v>93.980772489336957</v>
      </c>
      <c r="AI69" s="55">
        <f t="shared" ca="1" si="24"/>
        <v>0</v>
      </c>
      <c r="AJ69" s="55">
        <f t="shared" ca="1" si="18"/>
        <v>0</v>
      </c>
      <c r="AK69" s="55">
        <f t="shared" ca="1" si="19"/>
        <v>5.9021183974110407</v>
      </c>
      <c r="AL69" s="55">
        <f t="shared" ca="1" si="20"/>
        <v>-10.499113023080549</v>
      </c>
      <c r="AM69" s="55"/>
    </row>
    <row r="70" spans="1:39">
      <c r="C70" s="61"/>
      <c r="D70" s="88"/>
      <c r="E70" s="99"/>
      <c r="R70" s="83">
        <f ca="1"/>
        <v>45246</v>
      </c>
      <c r="S70" s="55">
        <f t="shared" ca="1" si="12"/>
        <v>45246</v>
      </c>
      <c r="T70" s="55">
        <f t="shared" ca="1" si="0"/>
        <v>88.064187113670855</v>
      </c>
      <c r="U70" s="55">
        <f t="shared" ca="1" si="1"/>
        <v>21.817230442337141</v>
      </c>
      <c r="V70" s="55">
        <f t="shared" ca="1" si="2"/>
        <v>0</v>
      </c>
      <c r="W70" s="55">
        <f t="shared" ca="1" si="13"/>
        <v>0</v>
      </c>
      <c r="X70" s="55">
        <f t="shared" ca="1" si="14"/>
        <v>6.8693091820846446</v>
      </c>
      <c r="Y70" s="55">
        <f t="shared" ca="1" si="15"/>
        <v>10.763028553084048</v>
      </c>
      <c r="Z70" s="55">
        <f t="shared" ca="1" si="3"/>
        <v>21.224279629657843</v>
      </c>
      <c r="AA70">
        <f t="shared" ca="1" si="4"/>
        <v>21.78571703669132</v>
      </c>
      <c r="AB70">
        <f t="shared" ca="1" si="16"/>
        <v>0</v>
      </c>
      <c r="AC70">
        <f t="shared" ca="1" si="5"/>
        <v>0</v>
      </c>
      <c r="AD70">
        <f t="shared" ca="1" si="6"/>
        <v>0.91916594940402474</v>
      </c>
      <c r="AE70" s="83">
        <f ca="1"/>
        <v>45408</v>
      </c>
      <c r="AF70" s="55">
        <f t="shared" ca="1" si="21"/>
        <v>45408</v>
      </c>
      <c r="AG70" s="55">
        <f t="shared" ca="1" si="22"/>
        <v>-73.54359264681689</v>
      </c>
      <c r="AH70" s="55">
        <f t="shared" ca="1" si="23"/>
        <v>100.36091104239333</v>
      </c>
      <c r="AI70" s="55">
        <f t="shared" ca="1" si="24"/>
        <v>0</v>
      </c>
      <c r="AJ70" s="55">
        <f t="shared" ca="1" si="18"/>
        <v>0</v>
      </c>
      <c r="AK70" s="55">
        <f t="shared" ca="1" si="19"/>
        <v>5.9864251382543463</v>
      </c>
      <c r="AL70" s="55">
        <f t="shared" ca="1" si="20"/>
        <v>-10.522194356910735</v>
      </c>
      <c r="AM70" s="55"/>
    </row>
    <row r="71" spans="1:39">
      <c r="C71" s="61"/>
      <c r="D71" s="84"/>
      <c r="E71" s="69"/>
      <c r="R71" s="83">
        <f ca="1"/>
        <v>45247</v>
      </c>
      <c r="S71" s="55">
        <f t="shared" ca="1" si="12"/>
        <v>45247</v>
      </c>
      <c r="T71" s="55">
        <f t="shared" ca="1" si="0"/>
        <v>86.778820067668249</v>
      </c>
      <c r="U71" s="55">
        <f t="shared" ca="1" si="1"/>
        <v>23.26942141236815</v>
      </c>
      <c r="V71" s="55">
        <f t="shared" ca="1" si="2"/>
        <v>0</v>
      </c>
      <c r="W71" s="55">
        <f t="shared" ca="1" si="13"/>
        <v>0</v>
      </c>
      <c r="X71" s="55">
        <f t="shared" ca="1" si="14"/>
        <v>6.9594088225288573</v>
      </c>
      <c r="Y71" s="55">
        <f t="shared" ca="1" si="15"/>
        <v>10.839752836668254</v>
      </c>
      <c r="Z71" s="55">
        <f t="shared" ca="1" si="3"/>
        <v>20.330673580434116</v>
      </c>
      <c r="AA71">
        <f t="shared" ca="1" si="4"/>
        <v>22.069279854176251</v>
      </c>
      <c r="AB71">
        <f t="shared" ca="1" si="16"/>
        <v>0</v>
      </c>
      <c r="AC71">
        <f t="shared" ca="1" si="5"/>
        <v>0</v>
      </c>
      <c r="AD71">
        <f t="shared" ca="1" si="6"/>
        <v>0.93341995614901763</v>
      </c>
      <c r="AE71" s="83">
        <f ca="1"/>
        <v>45409</v>
      </c>
      <c r="AF71" s="55">
        <f t="shared" ca="1" si="21"/>
        <v>45409</v>
      </c>
      <c r="AG71" s="55">
        <f t="shared" ca="1" si="22"/>
        <v>-80.446435963221589</v>
      </c>
      <c r="AH71" s="55">
        <f t="shared" ca="1" si="23"/>
        <v>107.32776021411507</v>
      </c>
      <c r="AI71" s="55">
        <f t="shared" ca="1" si="24"/>
        <v>0</v>
      </c>
      <c r="AJ71" s="55">
        <f t="shared" ca="1" si="18"/>
        <v>0</v>
      </c>
      <c r="AK71" s="55">
        <f t="shared" ca="1" si="19"/>
        <v>6.073967827632047</v>
      </c>
      <c r="AL71" s="55">
        <f t="shared" ca="1" si="20"/>
        <v>-10.545731190971388</v>
      </c>
      <c r="AM71" s="55"/>
    </row>
    <row r="72" spans="1:39">
      <c r="C72" s="61"/>
      <c r="D72" s="84"/>
      <c r="E72" s="69"/>
      <c r="R72" s="83">
        <f ca="1"/>
        <v>45248</v>
      </c>
      <c r="S72" s="55">
        <f t="shared" ca="1" si="12"/>
        <v>45248</v>
      </c>
      <c r="T72" s="55">
        <f t="shared" ca="1" si="0"/>
        <v>85.513554886024394</v>
      </c>
      <c r="U72" s="55">
        <f t="shared" ca="1" si="1"/>
        <v>24.703170278509912</v>
      </c>
      <c r="V72" s="55">
        <f t="shared" ca="1" si="2"/>
        <v>0</v>
      </c>
      <c r="W72" s="55">
        <f t="shared" ca="1" si="13"/>
        <v>0</v>
      </c>
      <c r="X72" s="55">
        <f t="shared" ca="1" si="14"/>
        <v>7.0469243444726759</v>
      </c>
      <c r="Y72" s="55">
        <f t="shared" ca="1" si="15"/>
        <v>10.920720999222358</v>
      </c>
      <c r="Z72" s="55">
        <f t="shared" ca="1" si="3"/>
        <v>20.072484125984673</v>
      </c>
      <c r="AA72">
        <f t="shared" ca="1" si="4"/>
        <v>24.342650369862422</v>
      </c>
      <c r="AB72">
        <f t="shared" ca="1" si="16"/>
        <v>0</v>
      </c>
      <c r="AC72">
        <f t="shared" ca="1" si="5"/>
        <v>0</v>
      </c>
      <c r="AD72">
        <f t="shared" ca="1" si="6"/>
        <v>0.9445782969180252</v>
      </c>
      <c r="AE72" s="83">
        <f ca="1"/>
        <v>45410</v>
      </c>
      <c r="AF72" s="55">
        <f t="shared" ca="1" si="21"/>
        <v>45410</v>
      </c>
      <c r="AG72" s="55">
        <f t="shared" ca="1" si="22"/>
        <v>-86.313808796589328</v>
      </c>
      <c r="AH72" s="55">
        <f t="shared" ca="1" si="23"/>
        <v>113.25201246284331</v>
      </c>
      <c r="AI72" s="55">
        <f t="shared" ca="1" si="24"/>
        <v>0</v>
      </c>
      <c r="AJ72" s="55">
        <f t="shared" ca="1" si="18"/>
        <v>0</v>
      </c>
      <c r="AK72" s="55">
        <f t="shared" ca="1" si="19"/>
        <v>6.156389403330075</v>
      </c>
      <c r="AL72" s="55">
        <f t="shared" ca="1" si="20"/>
        <v>-10.571273351308903</v>
      </c>
      <c r="AM72" s="55"/>
    </row>
    <row r="73" spans="1:39">
      <c r="C73" s="61"/>
      <c r="D73" s="84">
        <v>120</v>
      </c>
      <c r="E73" s="69">
        <v>120</v>
      </c>
      <c r="R73" s="83">
        <f ca="1"/>
        <v>45249</v>
      </c>
      <c r="S73" s="55">
        <f t="shared" ca="1" si="12"/>
        <v>45249</v>
      </c>
      <c r="T73" s="55">
        <f t="shared" ca="1" si="0"/>
        <v>84.216687937652722</v>
      </c>
      <c r="U73" s="55">
        <f t="shared" ca="1" si="1"/>
        <v>26.17448609593691</v>
      </c>
      <c r="V73" s="55">
        <f t="shared" ca="1" si="2"/>
        <v>0</v>
      </c>
      <c r="W73" s="55">
        <f t="shared" ca="1" si="13"/>
        <v>0</v>
      </c>
      <c r="X73" s="55">
        <f t="shared" ca="1" si="14"/>
        <v>7.1345719488759212</v>
      </c>
      <c r="Y73" s="55">
        <f t="shared" ca="1" si="15"/>
        <v>11.007522263874442</v>
      </c>
      <c r="Z73" s="55">
        <f t="shared" ca="1" si="3"/>
        <v>20.598421443977969</v>
      </c>
      <c r="AA73">
        <f t="shared" ca="1" si="4"/>
        <v>26.675907291145389</v>
      </c>
      <c r="AB73">
        <f t="shared" ca="1" si="16"/>
        <v>0</v>
      </c>
      <c r="AC73">
        <f t="shared" ca="1" si="5"/>
        <v>0</v>
      </c>
      <c r="AD73">
        <f t="shared" ca="1" si="6"/>
        <v>0.95372514399534791</v>
      </c>
      <c r="AE73" s="83">
        <f ca="1"/>
        <v>45411</v>
      </c>
      <c r="AF73" s="55">
        <f t="shared" ca="1" si="21"/>
        <v>45411</v>
      </c>
      <c r="AG73" s="55">
        <f t="shared" ca="1" si="22"/>
        <v>-92.081669109161908</v>
      </c>
      <c r="AH73" s="55">
        <f t="shared" ca="1" si="23"/>
        <v>119.07660898647651</v>
      </c>
      <c r="AI73" s="55">
        <f t="shared" ca="1" si="24"/>
        <v>0</v>
      </c>
      <c r="AJ73" s="55">
        <f t="shared" ca="1" si="18"/>
        <v>0</v>
      </c>
      <c r="AK73" s="55">
        <f t="shared" ca="1" si="19"/>
        <v>6.2378789111285959</v>
      </c>
      <c r="AL73" s="55">
        <f t="shared" ca="1" si="20"/>
        <v>-10.596026648046799</v>
      </c>
      <c r="AM73" s="55"/>
    </row>
    <row r="74" spans="1:39">
      <c r="R74" s="83">
        <f ca="1"/>
        <v>45250</v>
      </c>
      <c r="S74" s="55">
        <f t="shared" ca="1" si="12"/>
        <v>45250</v>
      </c>
      <c r="T74" s="55">
        <f t="shared" ca="1" si="0"/>
        <v>82.6543901101264</v>
      </c>
      <c r="U74" s="55">
        <f t="shared" ca="1" si="1"/>
        <v>27.922707841754097</v>
      </c>
      <c r="V74" s="55">
        <f t="shared" ca="1" si="2"/>
        <v>0</v>
      </c>
      <c r="W74" s="55">
        <f t="shared" ca="1" si="13"/>
        <v>0</v>
      </c>
      <c r="X74" s="55">
        <f t="shared" ca="1" si="14"/>
        <v>7.229408413669983</v>
      </c>
      <c r="Y74" s="55">
        <f t="shared" ca="1" si="15"/>
        <v>11.098609717371259</v>
      </c>
      <c r="Z74" s="55">
        <f t="shared" ca="1" si="3"/>
        <v>24.475104441440614</v>
      </c>
      <c r="AA74">
        <f t="shared" ca="1" si="4"/>
        <v>26.550241473774133</v>
      </c>
      <c r="AB74">
        <f t="shared" ca="1" si="16"/>
        <v>0</v>
      </c>
      <c r="AC74">
        <f t="shared" ca="1" si="5"/>
        <v>0</v>
      </c>
      <c r="AD74">
        <f t="shared" ca="1" si="6"/>
        <v>0.96229051462931103</v>
      </c>
      <c r="AE74" s="83">
        <f ca="1"/>
        <v>45412</v>
      </c>
      <c r="AF74" s="55">
        <f t="shared" ca="1" si="21"/>
        <v>45412</v>
      </c>
      <c r="AG74" s="55">
        <f t="shared" ca="1" si="22"/>
        <v>-97.641153713005551</v>
      </c>
      <c r="AH74" s="55">
        <f t="shared" ca="1" si="23"/>
        <v>124.69203060688397</v>
      </c>
      <c r="AI74" s="55">
        <f t="shared" ca="1" si="24"/>
        <v>0</v>
      </c>
      <c r="AJ74" s="55">
        <f t="shared" ca="1" si="18"/>
        <v>0</v>
      </c>
      <c r="AK74" s="55">
        <f t="shared" ca="1" si="19"/>
        <v>6.3158973751095697</v>
      </c>
      <c r="AL74" s="55">
        <f t="shared" ca="1" si="20"/>
        <v>-10.618108095463949</v>
      </c>
      <c r="AM74" s="55"/>
    </row>
    <row r="75" spans="1:39">
      <c r="R75" s="83">
        <f ca="1"/>
        <v>45251</v>
      </c>
      <c r="S75" s="55">
        <f t="shared" ca="1" si="12"/>
        <v>45251</v>
      </c>
      <c r="T75" s="55">
        <f t="shared" ca="1" si="0"/>
        <v>81.017054161134894</v>
      </c>
      <c r="U75" s="55">
        <f t="shared" ca="1" si="1"/>
        <v>29.753408283946847</v>
      </c>
      <c r="V75" s="55">
        <f t="shared" ca="1" si="2"/>
        <v>0</v>
      </c>
      <c r="W75" s="55">
        <f t="shared" ca="1" si="13"/>
        <v>0</v>
      </c>
      <c r="X75" s="55">
        <f t="shared" ca="1" si="14"/>
        <v>7.3253854336117747</v>
      </c>
      <c r="Y75" s="55">
        <f t="shared" ca="1" si="15"/>
        <v>11.195997190630703</v>
      </c>
      <c r="Z75" s="55">
        <f t="shared" ca="1" si="3"/>
        <v>25.629806190698503</v>
      </c>
      <c r="AA75">
        <f t="shared" ca="1" si="4"/>
        <v>28.836708792404703</v>
      </c>
      <c r="AB75">
        <f t="shared" ca="1" si="16"/>
        <v>0</v>
      </c>
      <c r="AC75">
        <f t="shared" ca="1" si="5"/>
        <v>0</v>
      </c>
      <c r="AD75">
        <f t="shared" ca="1" si="6"/>
        <v>0.96925034926962883</v>
      </c>
      <c r="AE75" s="83">
        <f ca="1"/>
        <v>45413</v>
      </c>
      <c r="AF75" s="55">
        <f t="shared" ca="1" si="21"/>
        <v>45413</v>
      </c>
      <c r="AG75" s="55">
        <f t="shared" ca="1" si="22"/>
        <v>-103.48024748894184</v>
      </c>
      <c r="AH75" s="55">
        <f t="shared" ca="1" si="23"/>
        <v>130.58897469322392</v>
      </c>
      <c r="AI75" s="55">
        <f t="shared" ca="1" si="24"/>
        <v>0</v>
      </c>
      <c r="AJ75" s="55">
        <f t="shared" ca="1" si="18"/>
        <v>0</v>
      </c>
      <c r="AK75" s="55">
        <f t="shared" ca="1" si="19"/>
        <v>6.3940382111303009</v>
      </c>
      <c r="AL75" s="55">
        <f t="shared" ca="1" si="20"/>
        <v>-10.638398621081031</v>
      </c>
      <c r="AM75" s="55"/>
    </row>
    <row r="76" spans="1:39">
      <c r="R76" s="83">
        <f ca="1"/>
        <v>45252</v>
      </c>
      <c r="S76" s="55">
        <f t="shared" ca="1" si="12"/>
        <v>45252</v>
      </c>
      <c r="T76" s="55">
        <f t="shared" ca="1" si="0"/>
        <v>79.433243041295583</v>
      </c>
      <c r="U76" s="55">
        <f t="shared" ca="1" si="1"/>
        <v>31.517681379564149</v>
      </c>
      <c r="V76" s="55">
        <f t="shared" ca="1" si="2"/>
        <v>0</v>
      </c>
      <c r="W76" s="55">
        <f t="shared" ca="1" si="13"/>
        <v>0</v>
      </c>
      <c r="X76" s="55">
        <f t="shared" ca="1" si="14"/>
        <v>7.41526036995384</v>
      </c>
      <c r="Y76" s="55">
        <f t="shared" ca="1" si="15"/>
        <v>11.286584230066621</v>
      </c>
      <c r="Z76" s="55">
        <f t="shared" ca="1" si="3"/>
        <v>24.699823338642226</v>
      </c>
      <c r="AA76">
        <f t="shared" ca="1" si="4"/>
        <v>28.410722748796019</v>
      </c>
      <c r="AB76">
        <f t="shared" ca="1" si="16"/>
        <v>0</v>
      </c>
      <c r="AC76">
        <f t="shared" ca="1" si="5"/>
        <v>0</v>
      </c>
      <c r="AD76">
        <f t="shared" ca="1" si="6"/>
        <v>0.97450812054445102</v>
      </c>
      <c r="AE76" s="83">
        <f ca="1"/>
        <v>45414</v>
      </c>
      <c r="AF76" s="55">
        <f t="shared" ca="1" si="21"/>
        <v>45414</v>
      </c>
      <c r="AG76" s="55">
        <f t="shared" ca="1" si="22"/>
        <v>-109.40744898266377</v>
      </c>
      <c r="AH76" s="55">
        <f t="shared" ca="1" si="23"/>
        <v>136.5747093230932</v>
      </c>
      <c r="AI76" s="55">
        <f t="shared" ca="1" si="24"/>
        <v>0</v>
      </c>
      <c r="AJ76" s="55">
        <f t="shared" ca="1" si="18"/>
        <v>0</v>
      </c>
      <c r="AK76" s="55">
        <f t="shared" ca="1" si="19"/>
        <v>6.470755168144751</v>
      </c>
      <c r="AL76" s="55">
        <f t="shared" ca="1" si="20"/>
        <v>-10.656582441948121</v>
      </c>
      <c r="AM76" s="55"/>
    </row>
    <row r="77" spans="1:39">
      <c r="R77" s="83">
        <f ca="1"/>
        <v>45253</v>
      </c>
      <c r="S77" s="55">
        <f t="shared" ca="1" si="12"/>
        <v>45253</v>
      </c>
      <c r="T77" s="55">
        <f t="shared" ca="1" si="0"/>
        <v>77.419346351410326</v>
      </c>
      <c r="U77" s="55">
        <f t="shared" ca="1" si="1"/>
        <v>33.725607374544936</v>
      </c>
      <c r="V77" s="55">
        <f t="shared" ca="1" si="2"/>
        <v>0</v>
      </c>
      <c r="W77" s="55">
        <f t="shared" ca="1" si="13"/>
        <v>0</v>
      </c>
      <c r="X77" s="55">
        <f t="shared" ca="1" si="14"/>
        <v>7.5153475898398616</v>
      </c>
      <c r="Y77" s="55">
        <f t="shared" ca="1" si="15"/>
        <v>11.380526315276121</v>
      </c>
      <c r="Z77" s="55">
        <f t="shared" ca="1" si="3"/>
        <v>30.910963929731018</v>
      </c>
      <c r="AA77">
        <f t="shared" ca="1" si="4"/>
        <v>27.111622677985178</v>
      </c>
      <c r="AB77">
        <f t="shared" ca="1" si="16"/>
        <v>0</v>
      </c>
      <c r="AC77">
        <f t="shared" ca="1" si="5"/>
        <v>0</v>
      </c>
      <c r="AD77">
        <f t="shared" ca="1" si="6"/>
        <v>0.97960904095027757</v>
      </c>
      <c r="AE77" s="83">
        <f ca="1"/>
        <v>45415</v>
      </c>
      <c r="AF77" s="55">
        <f t="shared" ca="1" si="21"/>
        <v>45415</v>
      </c>
      <c r="AG77" s="55">
        <f t="shared" ca="1" si="22"/>
        <v>-116.09979981419195</v>
      </c>
      <c r="AH77" s="55">
        <f t="shared" ca="1" si="23"/>
        <v>143.33014811364546</v>
      </c>
      <c r="AI77" s="55">
        <f t="shared" ca="1" si="24"/>
        <v>0</v>
      </c>
      <c r="AJ77" s="55">
        <f t="shared" ca="1" si="18"/>
        <v>0</v>
      </c>
      <c r="AK77" s="55">
        <f t="shared" ca="1" si="19"/>
        <v>6.5515299440600261</v>
      </c>
      <c r="AL77" s="55">
        <f t="shared" ca="1" si="20"/>
        <v>-10.674269258839313</v>
      </c>
      <c r="AM77" s="55"/>
    </row>
    <row r="78" spans="1:39">
      <c r="R78" s="83">
        <f ca="1"/>
        <v>45254</v>
      </c>
      <c r="S78" s="55">
        <f t="shared" ca="1" si="12"/>
        <v>45254</v>
      </c>
      <c r="T78" s="55">
        <f t="shared" ca="1" si="0"/>
        <v>75.190666312075109</v>
      </c>
      <c r="U78" s="55">
        <f t="shared" ca="1" si="1"/>
        <v>36.148178224733115</v>
      </c>
      <c r="V78" s="55">
        <f t="shared" ca="1" si="2"/>
        <v>0</v>
      </c>
      <c r="W78" s="55">
        <f t="shared" ca="1" si="13"/>
        <v>0</v>
      </c>
      <c r="X78" s="55">
        <f t="shared" ca="1" si="14"/>
        <v>7.6172446474767268</v>
      </c>
      <c r="Y78" s="55">
        <f t="shared" ca="1" si="15"/>
        <v>11.472520068492216</v>
      </c>
      <c r="Z78" s="55">
        <f t="shared" ca="1" si="3"/>
        <v>33.915991902634516</v>
      </c>
      <c r="AA78">
        <f t="shared" ca="1" si="4"/>
        <v>26.282370006792075</v>
      </c>
      <c r="AB78">
        <f t="shared" ca="1" si="16"/>
        <v>0</v>
      </c>
      <c r="AC78">
        <f t="shared" ca="1" si="5"/>
        <v>0</v>
      </c>
      <c r="AD78">
        <f t="shared" ca="1" si="6"/>
        <v>0.98382922742237899</v>
      </c>
      <c r="AE78" s="83">
        <f ca="1"/>
        <v>45416</v>
      </c>
      <c r="AF78" s="55">
        <f t="shared" ca="1" si="21"/>
        <v>45416</v>
      </c>
      <c r="AG78" s="55">
        <f t="shared" ca="1" si="22"/>
        <v>-122.89527585313282</v>
      </c>
      <c r="AH78" s="55">
        <f t="shared" ca="1" si="23"/>
        <v>150.18940414351039</v>
      </c>
      <c r="AI78" s="55">
        <f t="shared" ca="1" si="24"/>
        <v>0</v>
      </c>
      <c r="AJ78" s="55">
        <f t="shared" ca="1" si="18"/>
        <v>0</v>
      </c>
      <c r="AK78" s="55">
        <f t="shared" ca="1" si="19"/>
        <v>6.6313729976984286</v>
      </c>
      <c r="AL78" s="55">
        <f t="shared" ca="1" si="20"/>
        <v>-10.690332321553647</v>
      </c>
      <c r="AM78" s="55"/>
    </row>
    <row r="79" spans="1:39">
      <c r="R79" s="83">
        <f ca="1"/>
        <v>45255</v>
      </c>
      <c r="S79" s="55">
        <f t="shared" ca="1" si="12"/>
        <v>45255</v>
      </c>
      <c r="T79" s="55">
        <f t="shared" ca="1" si="0"/>
        <v>72.731071519280988</v>
      </c>
      <c r="U79" s="55">
        <f t="shared" ca="1" si="1"/>
        <v>38.817093122724181</v>
      </c>
      <c r="V79" s="55">
        <f t="shared" ca="1" si="2"/>
        <v>0</v>
      </c>
      <c r="W79" s="55">
        <f t="shared" ca="1" si="13"/>
        <v>0</v>
      </c>
      <c r="X79" s="55">
        <f t="shared" ca="1" si="14"/>
        <v>7.7244070141497776</v>
      </c>
      <c r="Y79" s="55">
        <f t="shared" ca="1" si="15"/>
        <v>11.57467780701611</v>
      </c>
      <c r="Z79" s="55">
        <f t="shared" ca="1" si="3"/>
        <v>37.364808571874917</v>
      </c>
      <c r="AA79">
        <f t="shared" ca="1" si="4"/>
        <v>28.832215269849023</v>
      </c>
      <c r="AB79">
        <f t="shared" ca="1" si="16"/>
        <v>0</v>
      </c>
      <c r="AC79">
        <f t="shared" ca="1" si="5"/>
        <v>0</v>
      </c>
      <c r="AD79">
        <f t="shared" ca="1" si="6"/>
        <v>0.9872977089255498</v>
      </c>
      <c r="AE79" s="83">
        <f ca="1"/>
        <v>45417</v>
      </c>
      <c r="AF79" s="55">
        <f t="shared" ca="1" si="21"/>
        <v>45417</v>
      </c>
      <c r="AG79" s="55">
        <f t="shared" ca="1" si="22"/>
        <v>-130.81167022570116</v>
      </c>
      <c r="AH79" s="55">
        <f t="shared" ca="1" si="23"/>
        <v>158.17694999455586</v>
      </c>
      <c r="AI79" s="55">
        <f t="shared" ca="1" si="24"/>
        <v>0</v>
      </c>
      <c r="AJ79" s="55">
        <f t="shared" ca="1" si="18"/>
        <v>0</v>
      </c>
      <c r="AK79" s="55">
        <f t="shared" ca="1" si="19"/>
        <v>6.7196385278963886</v>
      </c>
      <c r="AL79" s="55">
        <f t="shared" ca="1" si="20"/>
        <v>-10.707446373274506</v>
      </c>
      <c r="AM79" s="55"/>
    </row>
    <row r="80" spans="1:39">
      <c r="R80" s="83">
        <f ca="1"/>
        <v>45256</v>
      </c>
      <c r="S80" s="55">
        <f t="shared" ca="1" si="12"/>
        <v>45256</v>
      </c>
      <c r="T80" s="55">
        <f t="shared" ca="1" si="0"/>
        <v>70.193632549299366</v>
      </c>
      <c r="U80" s="55">
        <f t="shared" ca="1" si="1"/>
        <v>41.559588585173465</v>
      </c>
      <c r="V80" s="55">
        <f t="shared" ca="1" si="2"/>
        <v>0</v>
      </c>
      <c r="W80" s="55">
        <f t="shared" ca="1" si="13"/>
        <v>0</v>
      </c>
      <c r="X80" s="55">
        <f t="shared" ca="1" si="14"/>
        <v>7.8292721477807383</v>
      </c>
      <c r="Y80" s="55">
        <f t="shared" ca="1" si="15"/>
        <v>11.674869165852806</v>
      </c>
      <c r="Z80" s="55">
        <f t="shared" ca="1" si="3"/>
        <v>38.394936474289977</v>
      </c>
      <c r="AA80">
        <f t="shared" ca="1" si="4"/>
        <v>29.181437037840873</v>
      </c>
      <c r="AB80">
        <f t="shared" ca="1" si="16"/>
        <v>0</v>
      </c>
      <c r="AC80">
        <f t="shared" ca="1" si="5"/>
        <v>0</v>
      </c>
      <c r="AD80">
        <f t="shared" ca="1" si="6"/>
        <v>0.98995352030622985</v>
      </c>
      <c r="AE80" s="83">
        <f ca="1"/>
        <v>45418</v>
      </c>
      <c r="AF80" s="55">
        <f t="shared" ca="1" si="21"/>
        <v>45418</v>
      </c>
      <c r="AG80" s="55">
        <f t="shared" ca="1" si="22"/>
        <v>-138.33623134901742</v>
      </c>
      <c r="AH80" s="55">
        <f t="shared" ca="1" si="23"/>
        <v>165.77056934489244</v>
      </c>
      <c r="AI80" s="55">
        <f t="shared" ca="1" si="24"/>
        <v>0</v>
      </c>
      <c r="AJ80" s="55">
        <f t="shared" ca="1" si="18"/>
        <v>0</v>
      </c>
      <c r="AK80" s="55">
        <f t="shared" ca="1" si="19"/>
        <v>6.8035603835236325</v>
      </c>
      <c r="AL80" s="55">
        <f t="shared" ca="1" si="20"/>
        <v>-10.722310001881418</v>
      </c>
      <c r="AM80" s="55"/>
    </row>
    <row r="81" spans="18:39">
      <c r="R81" s="83">
        <f ca="1"/>
        <v>45257</v>
      </c>
      <c r="S81" s="55">
        <f t="shared" ca="1" si="12"/>
        <v>45257</v>
      </c>
      <c r="T81" s="55">
        <f t="shared" ca="1" si="0"/>
        <v>67.590950642875882</v>
      </c>
      <c r="U81" s="55">
        <f t="shared" ca="1" si="1"/>
        <v>44.355352309687042</v>
      </c>
      <c r="V81" s="55">
        <f t="shared" ca="1" si="2"/>
        <v>0</v>
      </c>
      <c r="W81" s="55">
        <f t="shared" ca="1" si="13"/>
        <v>0</v>
      </c>
      <c r="X81" s="55">
        <f t="shared" ca="1" si="14"/>
        <v>7.9300427639178093</v>
      </c>
      <c r="Y81" s="55">
        <f t="shared" ca="1" si="15"/>
        <v>11.76718036780583</v>
      </c>
      <c r="Z81" s="55">
        <f t="shared" ca="1" si="3"/>
        <v>39.14069214319008</v>
      </c>
      <c r="AA81">
        <f t="shared" ca="1" si="4"/>
        <v>27.795200425910814</v>
      </c>
      <c r="AB81">
        <f t="shared" ca="1" si="16"/>
        <v>0</v>
      </c>
      <c r="AC81">
        <f t="shared" ca="1" si="5"/>
        <v>0</v>
      </c>
      <c r="AD81">
        <f t="shared" ca="1" si="6"/>
        <v>0.99199133353568358</v>
      </c>
      <c r="AE81" s="83">
        <f ca="1"/>
        <v>45419</v>
      </c>
      <c r="AF81" s="55">
        <f t="shared" ca="1" si="21"/>
        <v>45419</v>
      </c>
      <c r="AG81" s="55">
        <f t="shared" ca="1" si="22"/>
        <v>-144.64316238363557</v>
      </c>
      <c r="AH81" s="55">
        <f t="shared" ca="1" si="23"/>
        <v>172.14133897081967</v>
      </c>
      <c r="AI81" s="55">
        <f t="shared" ca="1" si="24"/>
        <v>0</v>
      </c>
      <c r="AJ81" s="55">
        <f t="shared" ca="1" si="18"/>
        <v>0</v>
      </c>
      <c r="AK81" s="55">
        <f t="shared" ca="1" si="19"/>
        <v>6.8810450811628101</v>
      </c>
      <c r="AL81" s="55">
        <f t="shared" ca="1" si="20"/>
        <v>-10.7359561082115</v>
      </c>
      <c r="AM81" s="55"/>
    </row>
    <row r="82" spans="18:39">
      <c r="R82" s="83">
        <f ca="1"/>
        <v>45258</v>
      </c>
      <c r="S82" s="55">
        <f t="shared" ca="1" si="12"/>
        <v>45258</v>
      </c>
      <c r="T82" s="55">
        <f t="shared" ref="T82:T145" ca="1" si="28">VLOOKUP(S82,ModelOutputs,2,FALSE)</f>
        <v>64.913544257876026</v>
      </c>
      <c r="U82" s="55">
        <f t="shared" ref="U82:U145" ca="1" si="29">VLOOKUP(S82,ModelOutputs,7,FALSE)</f>
        <v>47.230239642377782</v>
      </c>
      <c r="V82" s="55">
        <f t="shared" ref="V82:V145" ca="1" si="30">VLOOKUP(S82,ModelOutputs,6,FALSE)</f>
        <v>0</v>
      </c>
      <c r="W82" s="55">
        <f t="shared" ca="1" si="13"/>
        <v>0</v>
      </c>
      <c r="X82" s="55">
        <f t="shared" ca="1" si="14"/>
        <v>8.0308251954065852</v>
      </c>
      <c r="Y82" s="55">
        <f t="shared" ca="1" si="15"/>
        <v>11.863878884007928</v>
      </c>
      <c r="Z82" s="55">
        <f t="shared" ref="Z82:Z145" ca="1" si="31">VLOOKUP(S82,ModelOutputs,3,FALSE)*14</f>
        <v>40.248422657670361</v>
      </c>
      <c r="AA82">
        <f t="shared" ref="AA82:AA145" ca="1" si="32">VLOOKUP(S82,ModelOutputs,10,FALSE)*AWC</f>
        <v>29.873173923948492</v>
      </c>
      <c r="AB82">
        <f t="shared" ca="1" si="16"/>
        <v>0</v>
      </c>
      <c r="AC82">
        <f t="shared" ref="AC82:AC145" ca="1" si="33">VLOOKUP(S82,ModelOutputs,12,FALSE)</f>
        <v>0</v>
      </c>
      <c r="AD82">
        <f t="shared" ref="AD82:AD145" ca="1" si="34">VLOOKUP(S82,ModelOutputs,13,FALSE)</f>
        <v>0.99358303015845795</v>
      </c>
      <c r="AE82" s="83">
        <f ca="1"/>
        <v>45420</v>
      </c>
      <c r="AF82" s="55">
        <f t="shared" ca="1" si="21"/>
        <v>45420</v>
      </c>
      <c r="AG82" s="55">
        <f t="shared" ca="1" si="22"/>
        <v>-151.20673474976704</v>
      </c>
      <c r="AH82" s="55">
        <f t="shared" ca="1" si="23"/>
        <v>178.77035257518386</v>
      </c>
      <c r="AI82" s="55">
        <f t="shared" ca="1" si="24"/>
        <v>0</v>
      </c>
      <c r="AJ82" s="55">
        <f t="shared" ca="1" si="18"/>
        <v>0</v>
      </c>
      <c r="AK82" s="55">
        <f t="shared" ca="1" si="19"/>
        <v>6.9586118590810093</v>
      </c>
      <c r="AL82" s="55">
        <f t="shared" ca="1" si="20"/>
        <v>-10.748081647896988</v>
      </c>
      <c r="AM82" s="55"/>
    </row>
    <row r="83" spans="18:39">
      <c r="R83" s="83">
        <f ca="1"/>
        <v>45259</v>
      </c>
      <c r="S83" s="55">
        <f t="shared" ref="S83:S146" ca="1" si="35">IF(R83&gt;1,R83,"")</f>
        <v>45259</v>
      </c>
      <c r="T83" s="55">
        <f t="shared" ca="1" si="28"/>
        <v>62.184463689038331</v>
      </c>
      <c r="U83" s="55">
        <f t="shared" ca="1" si="29"/>
        <v>50.147145952947916</v>
      </c>
      <c r="V83" s="55">
        <f t="shared" ca="1" si="30"/>
        <v>0</v>
      </c>
      <c r="W83" s="55">
        <f t="shared" ref="W83:W146" ca="1" si="36">-VLOOKUP(S83,ModelOutputs,9,FALSE)+W82</f>
        <v>0</v>
      </c>
      <c r="X83" s="55">
        <f t="shared" ref="X83:X146" ca="1" si="37">VLOOKUP(S83,ModelOutputs,5,FALSE)+X82</f>
        <v>8.1281739613691357</v>
      </c>
      <c r="Y83" s="55">
        <f t="shared" ref="Y83:Y146" ca="1" si="38">VLOOKUP(S83,ModelOutputs,4,FALSE)+Y82</f>
        <v>11.954355859777809</v>
      </c>
      <c r="Z83" s="55">
        <f t="shared" ca="1" si="31"/>
        <v>40.836688347981877</v>
      </c>
      <c r="AA83">
        <f t="shared" ca="1" si="32"/>
        <v>28.840938145209261</v>
      </c>
      <c r="AB83">
        <f t="shared" ref="AB83:AB146" ca="1" si="39">VLOOKUP(S83,ModelOutputs,11,FALSE)+AB82</f>
        <v>0</v>
      </c>
      <c r="AC83">
        <f t="shared" ca="1" si="33"/>
        <v>0</v>
      </c>
      <c r="AD83">
        <f t="shared" ca="1" si="34"/>
        <v>0.99482051758059598</v>
      </c>
      <c r="AE83" s="83">
        <f ca="1"/>
        <v>45421</v>
      </c>
      <c r="AF83" s="55">
        <f t="shared" ca="1" si="21"/>
        <v>45421</v>
      </c>
      <c r="AG83" s="55">
        <f t="shared" ca="1" si="22"/>
        <v>-157.66080019792048</v>
      </c>
      <c r="AH83" s="55">
        <f t="shared" ca="1" si="23"/>
        <v>185.29043762704106</v>
      </c>
      <c r="AI83" s="55">
        <f t="shared" ca="1" si="24"/>
        <v>0</v>
      </c>
      <c r="AJ83" s="55">
        <f t="shared" ref="AJ83:AJ146" ca="1" si="40">-VLOOKUP(AF83,ModelOutputs,9,FALSE)+AJ82</f>
        <v>0</v>
      </c>
      <c r="AK83" s="55">
        <f t="shared" ref="AK83:AK146" ca="1" si="41">VLOOKUP(AF83,ModelOutputs,5,FALSE)+AK82</f>
        <v>7.0359295285794179</v>
      </c>
      <c r="AL83" s="55">
        <f t="shared" ref="AL83:AL146" ca="1" si="42">VLOOKUP(AF83,ModelOutputs,4,FALSE)+AL82</f>
        <v>-10.759379713691633</v>
      </c>
      <c r="AM83" s="55"/>
    </row>
    <row r="84" spans="18:39">
      <c r="R84" s="83">
        <f ca="1"/>
        <v>45260</v>
      </c>
      <c r="S84" s="55">
        <f t="shared" ca="1" si="35"/>
        <v>45260</v>
      </c>
      <c r="T84" s="55">
        <f t="shared" ca="1" si="28"/>
        <v>59.161023689014108</v>
      </c>
      <c r="U84" s="55">
        <f t="shared" ca="1" si="29"/>
        <v>53.363524979251757</v>
      </c>
      <c r="V84" s="55">
        <f t="shared" ca="1" si="30"/>
        <v>0</v>
      </c>
      <c r="W84" s="55">
        <f t="shared" ca="1" si="36"/>
        <v>0</v>
      </c>
      <c r="X84" s="55">
        <f t="shared" ca="1" si="37"/>
        <v>8.2290790198002099</v>
      </c>
      <c r="Y84" s="55">
        <f t="shared" ca="1" si="38"/>
        <v>12.046389827626351</v>
      </c>
      <c r="Z84" s="55">
        <f t="shared" ca="1" si="31"/>
        <v>45.029306368253771</v>
      </c>
      <c r="AA84">
        <f t="shared" ca="1" si="32"/>
        <v>28.836196788994368</v>
      </c>
      <c r="AB84">
        <f t="shared" ca="1" si="39"/>
        <v>0</v>
      </c>
      <c r="AC84">
        <f t="shared" ca="1" si="33"/>
        <v>0</v>
      </c>
      <c r="AD84">
        <f t="shared" ca="1" si="34"/>
        <v>0.99586540702662141</v>
      </c>
      <c r="AE84" s="83">
        <f ca="1"/>
        <v>45422</v>
      </c>
      <c r="AF84" s="55">
        <f t="shared" ca="1" si="21"/>
        <v>45422</v>
      </c>
      <c r="AG84" s="55">
        <f t="shared" ca="1" si="22"/>
        <v>-164.59283854585121</v>
      </c>
      <c r="AH84" s="55">
        <f t="shared" ca="1" si="23"/>
        <v>192.29134817706364</v>
      </c>
      <c r="AI84" s="55">
        <f t="shared" ca="1" si="24"/>
        <v>0</v>
      </c>
      <c r="AJ84" s="55">
        <f t="shared" ca="1" si="40"/>
        <v>0</v>
      </c>
      <c r="AK84" s="55">
        <f t="shared" ca="1" si="41"/>
        <v>7.1148898609332765</v>
      </c>
      <c r="AL84" s="55">
        <f t="shared" ca="1" si="42"/>
        <v>-10.769467843953651</v>
      </c>
      <c r="AM84" s="55"/>
    </row>
    <row r="85" spans="18:39">
      <c r="R85" s="83">
        <f ca="1"/>
        <v>45261</v>
      </c>
      <c r="S85" s="55">
        <f t="shared" ca="1" si="35"/>
        <v>45261</v>
      </c>
      <c r="T85" s="55">
        <f t="shared" ca="1" si="28"/>
        <v>55.587786163889177</v>
      </c>
      <c r="U85" s="55">
        <f t="shared" ca="1" si="29"/>
        <v>57.140152238770796</v>
      </c>
      <c r="V85" s="55">
        <f t="shared" ca="1" si="30"/>
        <v>0</v>
      </c>
      <c r="W85" s="55">
        <f t="shared" ca="1" si="36"/>
        <v>0</v>
      </c>
      <c r="X85" s="55">
        <f t="shared" ca="1" si="37"/>
        <v>8.3380495826533956</v>
      </c>
      <c r="Y85" s="55">
        <f t="shared" ca="1" si="38"/>
        <v>12.14080899916727</v>
      </c>
      <c r="Z85" s="55">
        <f t="shared" ca="1" si="31"/>
        <v>52.872781633266541</v>
      </c>
      <c r="AA85">
        <f t="shared" ca="1" si="32"/>
        <v>27.945994481025505</v>
      </c>
      <c r="AB85">
        <f t="shared" ca="1" si="39"/>
        <v>0</v>
      </c>
      <c r="AC85">
        <f t="shared" ca="1" si="33"/>
        <v>0</v>
      </c>
      <c r="AD85">
        <f t="shared" ca="1" si="34"/>
        <v>0.99678549272203887</v>
      </c>
      <c r="AE85" s="83">
        <f ca="1"/>
        <v>45423</v>
      </c>
      <c r="AF85" s="55">
        <f t="shared" ref="AF85:AF148" ca="1" si="43">IF(AE85&gt;1,AE85,"")</f>
        <v>45423</v>
      </c>
      <c r="AG85" s="55">
        <f t="shared" ref="AG85:AG148" ca="1" si="44">VLOOKUP(AF85,ModelOutputs,2,FALSE)</f>
        <v>-172.01921212379906</v>
      </c>
      <c r="AH85" s="55">
        <f t="shared" ref="AH85:AH148" ca="1" si="45">VLOOKUP(AF85,ModelOutputs,7,FALSE)</f>
        <v>199.7903220519643</v>
      </c>
      <c r="AI85" s="55">
        <f t="shared" ref="AI85:AI148" ca="1" si="46">VLOOKUP(AF85,ModelOutputs,6,FALSE)</f>
        <v>0</v>
      </c>
      <c r="AJ85" s="55">
        <f t="shared" ca="1" si="40"/>
        <v>0</v>
      </c>
      <c r="AK85" s="55">
        <f t="shared" ca="1" si="41"/>
        <v>7.196858319151306</v>
      </c>
      <c r="AL85" s="55">
        <f t="shared" ca="1" si="42"/>
        <v>-10.778836005218867</v>
      </c>
      <c r="AM85" s="55"/>
    </row>
    <row r="86" spans="18:39">
      <c r="R86" s="83">
        <f ca="1"/>
        <v>45262</v>
      </c>
      <c r="S86" s="55">
        <f t="shared" ca="1" si="35"/>
        <v>45262</v>
      </c>
      <c r="T86" s="55">
        <f t="shared" ca="1" si="28"/>
        <v>116.88795899743282</v>
      </c>
      <c r="U86" s="55">
        <f t="shared" ca="1" si="29"/>
        <v>61.231797549331105</v>
      </c>
      <c r="V86" s="55">
        <f t="shared" ca="1" si="30"/>
        <v>65.192322309373196</v>
      </c>
      <c r="W86" s="55">
        <f t="shared" ca="1" si="36"/>
        <v>0</v>
      </c>
      <c r="X86" s="55">
        <f t="shared" ca="1" si="37"/>
        <v>8.4479674288197035</v>
      </c>
      <c r="Y86" s="55">
        <f t="shared" ca="1" si="38"/>
        <v>12.230386987731713</v>
      </c>
      <c r="Z86" s="55">
        <f t="shared" ca="1" si="31"/>
        <v>57.283034347844335</v>
      </c>
      <c r="AA86">
        <f t="shared" ca="1" si="32"/>
        <v>26.329552530251323</v>
      </c>
      <c r="AB86">
        <f t="shared" ca="1" si="39"/>
        <v>0</v>
      </c>
      <c r="AC86">
        <f t="shared" ca="1" si="33"/>
        <v>0</v>
      </c>
      <c r="AD86">
        <f t="shared" ca="1" si="34"/>
        <v>0.99751913723809094</v>
      </c>
      <c r="AE86" s="83">
        <f ca="1"/>
        <v>45424</v>
      </c>
      <c r="AF86" s="55">
        <f t="shared" ca="1" si="43"/>
        <v>45424</v>
      </c>
      <c r="AG86" s="55">
        <f t="shared" ca="1" si="44"/>
        <v>-178.62354698627382</v>
      </c>
      <c r="AH86" s="55">
        <f t="shared" ca="1" si="45"/>
        <v>206.46332793511209</v>
      </c>
      <c r="AI86" s="55">
        <f t="shared" ca="1" si="46"/>
        <v>0</v>
      </c>
      <c r="AJ86" s="55">
        <f t="shared" ca="1" si="40"/>
        <v>0</v>
      </c>
      <c r="AK86" s="55">
        <f t="shared" ca="1" si="41"/>
        <v>7.2733367839884195</v>
      </c>
      <c r="AL86" s="55">
        <f t="shared" ca="1" si="42"/>
        <v>-10.786643449382963</v>
      </c>
      <c r="AM86" s="55"/>
    </row>
    <row r="87" spans="18:39">
      <c r="R87" s="83">
        <f ca="1"/>
        <v>45263</v>
      </c>
      <c r="S87" s="55">
        <f t="shared" ca="1" si="35"/>
        <v>45263</v>
      </c>
      <c r="T87" s="55">
        <f t="shared" ca="1" si="28"/>
        <v>112.49969376189074</v>
      </c>
      <c r="U87" s="55">
        <f t="shared" ca="1" si="29"/>
        <v>65.824000213538639</v>
      </c>
      <c r="V87" s="55">
        <f t="shared" ca="1" si="30"/>
        <v>0</v>
      </c>
      <c r="W87" s="55">
        <f t="shared" ca="1" si="36"/>
        <v>0</v>
      </c>
      <c r="X87" s="55">
        <f t="shared" ca="1" si="37"/>
        <v>8.5628706227077203</v>
      </c>
      <c r="Y87" s="55">
        <f t="shared" ca="1" si="38"/>
        <v>12.31942122250916</v>
      </c>
      <c r="Z87" s="55">
        <f t="shared" ca="1" si="31"/>
        <v>64.290837298905473</v>
      </c>
      <c r="AA87">
        <f t="shared" ca="1" si="32"/>
        <v>25.327882211538345</v>
      </c>
      <c r="AB87">
        <f t="shared" ca="1" si="39"/>
        <v>0</v>
      </c>
      <c r="AC87">
        <f t="shared" ca="1" si="33"/>
        <v>0</v>
      </c>
      <c r="AD87">
        <f t="shared" ca="1" si="34"/>
        <v>0.99811784221886191</v>
      </c>
      <c r="AE87" s="83">
        <f ca="1"/>
        <v>45425</v>
      </c>
      <c r="AF87" s="55">
        <f t="shared" ca="1" si="43"/>
        <v>45425</v>
      </c>
      <c r="AG87" s="55">
        <f t="shared" ca="1" si="44"/>
        <v>-185.07138615942412</v>
      </c>
      <c r="AH87" s="55">
        <f t="shared" ca="1" si="45"/>
        <v>212.97998527442959</v>
      </c>
      <c r="AI87" s="55">
        <f t="shared" ca="1" si="46"/>
        <v>0</v>
      </c>
      <c r="AJ87" s="55">
        <f t="shared" ca="1" si="40"/>
        <v>0</v>
      </c>
      <c r="AK87" s="55">
        <f t="shared" ca="1" si="41"/>
        <v>7.3490311409146338</v>
      </c>
      <c r="AL87" s="55">
        <f t="shared" ca="1" si="42"/>
        <v>-10.793519640141978</v>
      </c>
      <c r="AM87" s="55"/>
    </row>
    <row r="88" spans="18:39">
      <c r="R88" s="83">
        <f ca="1"/>
        <v>45264</v>
      </c>
      <c r="S88" s="55">
        <f t="shared" ca="1" si="35"/>
        <v>45264</v>
      </c>
      <c r="T88" s="55">
        <f t="shared" ca="1" si="28"/>
        <v>108.06449502761122</v>
      </c>
      <c r="U88" s="55">
        <f t="shared" ca="1" si="29"/>
        <v>70.45204742385323</v>
      </c>
      <c r="V88" s="55">
        <f t="shared" ca="1" si="30"/>
        <v>0</v>
      </c>
      <c r="W88" s="55">
        <f t="shared" ca="1" si="36"/>
        <v>0</v>
      </c>
      <c r="X88" s="55">
        <f t="shared" ca="1" si="37"/>
        <v>8.6730275432722141</v>
      </c>
      <c r="Y88" s="55">
        <f t="shared" ca="1" si="38"/>
        <v>12.402112777979738</v>
      </c>
      <c r="Z88" s="55">
        <f t="shared" ca="1" si="31"/>
        <v>64.792660944404275</v>
      </c>
      <c r="AA88">
        <f t="shared" ca="1" si="32"/>
        <v>24.514071381887696</v>
      </c>
      <c r="AB88">
        <f t="shared" ca="1" si="39"/>
        <v>0</v>
      </c>
      <c r="AC88">
        <f t="shared" ca="1" si="33"/>
        <v>0</v>
      </c>
      <c r="AD88">
        <f t="shared" ca="1" si="34"/>
        <v>0.99855590716980824</v>
      </c>
      <c r="AE88" s="83">
        <f ca="1"/>
        <v>45426</v>
      </c>
      <c r="AF88" s="55">
        <f t="shared" ca="1" si="43"/>
        <v>45426</v>
      </c>
      <c r="AG88" s="55">
        <f t="shared" ca="1" si="44"/>
        <v>-190.97807694877991</v>
      </c>
      <c r="AH88" s="55">
        <f t="shared" ca="1" si="45"/>
        <v>218.953452507234</v>
      </c>
      <c r="AI88" s="55">
        <f t="shared" ca="1" si="46"/>
        <v>0</v>
      </c>
      <c r="AJ88" s="55">
        <f t="shared" ca="1" si="40"/>
        <v>0</v>
      </c>
      <c r="AK88" s="55">
        <f t="shared" ca="1" si="41"/>
        <v>7.4216224500148931</v>
      </c>
      <c r="AL88" s="55">
        <f t="shared" ca="1" si="42"/>
        <v>-10.799334505793619</v>
      </c>
      <c r="AM88" s="55"/>
    </row>
    <row r="89" spans="18:39">
      <c r="R89" s="83">
        <f ca="1"/>
        <v>45265</v>
      </c>
      <c r="S89" s="55">
        <f t="shared" ca="1" si="35"/>
        <v>45265</v>
      </c>
      <c r="T89" s="55">
        <f t="shared" ca="1" si="28"/>
        <v>103.45975614403964</v>
      </c>
      <c r="U89" s="55">
        <f t="shared" ca="1" si="29"/>
        <v>75.248482350002362</v>
      </c>
      <c r="V89" s="55">
        <f t="shared" ca="1" si="30"/>
        <v>0</v>
      </c>
      <c r="W89" s="55">
        <f t="shared" ca="1" si="36"/>
        <v>0</v>
      </c>
      <c r="X89" s="55">
        <f t="shared" ca="1" si="37"/>
        <v>8.7825419628370511</v>
      </c>
      <c r="Y89" s="55">
        <f t="shared" ca="1" si="38"/>
        <v>12.484294400992464</v>
      </c>
      <c r="Z89" s="55">
        <f t="shared" ca="1" si="31"/>
        <v>67.15008896608785</v>
      </c>
      <c r="AA89">
        <f t="shared" ca="1" si="32"/>
        <v>24.808651281474159</v>
      </c>
      <c r="AB89">
        <f t="shared" ca="1" si="39"/>
        <v>0</v>
      </c>
      <c r="AC89">
        <f t="shared" ca="1" si="33"/>
        <v>0</v>
      </c>
      <c r="AD89">
        <f t="shared" ca="1" si="34"/>
        <v>0.99888918669923343</v>
      </c>
      <c r="AE89" s="83">
        <f ca="1"/>
        <v>45427</v>
      </c>
      <c r="AF89" s="55">
        <f t="shared" ca="1" si="43"/>
        <v>45427</v>
      </c>
      <c r="AG89" s="55">
        <f t="shared" ca="1" si="44"/>
        <v>-197.57740593391492</v>
      </c>
      <c r="AH89" s="55">
        <f t="shared" ca="1" si="45"/>
        <v>225.62455706395301</v>
      </c>
      <c r="AI89" s="55">
        <f t="shared" ca="1" si="46"/>
        <v>0</v>
      </c>
      <c r="AJ89" s="55">
        <f t="shared" ca="1" si="40"/>
        <v>0</v>
      </c>
      <c r="AK89" s="55">
        <f t="shared" ca="1" si="41"/>
        <v>7.4986491903366019</v>
      </c>
      <c r="AL89" s="55">
        <f t="shared" ca="1" si="42"/>
        <v>-10.804585674531339</v>
      </c>
      <c r="AM89" s="55"/>
    </row>
    <row r="90" spans="18:39">
      <c r="R90" s="83">
        <f ca="1"/>
        <v>45266</v>
      </c>
      <c r="S90" s="55">
        <f t="shared" ca="1" si="35"/>
        <v>45266</v>
      </c>
      <c r="T90" s="55">
        <f t="shared" ca="1" si="28"/>
        <v>98.94837948272729</v>
      </c>
      <c r="U90" s="55">
        <f t="shared" ca="1" si="29"/>
        <v>79.944899537395401</v>
      </c>
      <c r="V90" s="55">
        <f t="shared" ca="1" si="30"/>
        <v>0</v>
      </c>
      <c r="W90" s="55">
        <f t="shared" ca="1" si="36"/>
        <v>0</v>
      </c>
      <c r="X90" s="55">
        <f t="shared" ca="1" si="37"/>
        <v>8.8873198853399717</v>
      </c>
      <c r="Y90" s="55">
        <f t="shared" ca="1" si="38"/>
        <v>12.564557004570226</v>
      </c>
      <c r="Z90" s="55">
        <f t="shared" ca="1" si="31"/>
        <v>65.749840623502536</v>
      </c>
      <c r="AA90">
        <f t="shared" ca="1" si="32"/>
        <v>25.543869689393919</v>
      </c>
      <c r="AB90">
        <f t="shared" ca="1" si="39"/>
        <v>0</v>
      </c>
      <c r="AC90">
        <f t="shared" ca="1" si="33"/>
        <v>0</v>
      </c>
      <c r="AD90">
        <f t="shared" ca="1" si="34"/>
        <v>0.999131914078913</v>
      </c>
      <c r="AE90" s="83">
        <f ca="1"/>
        <v>45428</v>
      </c>
      <c r="AF90" s="55">
        <f t="shared" ca="1" si="43"/>
        <v>45428</v>
      </c>
      <c r="AG90" s="55">
        <f t="shared" ca="1" si="44"/>
        <v>-202.99137925010314</v>
      </c>
      <c r="AH90" s="55">
        <f t="shared" ca="1" si="45"/>
        <v>231.10601498639409</v>
      </c>
      <c r="AI90" s="55">
        <f t="shared" ca="1" si="46"/>
        <v>0</v>
      </c>
      <c r="AJ90" s="55">
        <f t="shared" ca="1" si="40"/>
        <v>0</v>
      </c>
      <c r="AK90" s="55">
        <f t="shared" ca="1" si="41"/>
        <v>7.5705049334354033</v>
      </c>
      <c r="AL90" s="55">
        <f t="shared" ca="1" si="42"/>
        <v>-10.8089568113773</v>
      </c>
      <c r="AM90" s="55"/>
    </row>
    <row r="91" spans="18:39">
      <c r="R91" s="83">
        <f ca="1"/>
        <v>45267</v>
      </c>
      <c r="S91" s="55">
        <f t="shared" ca="1" si="35"/>
        <v>45267</v>
      </c>
      <c r="T91" s="55">
        <f t="shared" ca="1" si="28"/>
        <v>93.978846983682217</v>
      </c>
      <c r="U91" s="55">
        <f t="shared" ca="1" si="29"/>
        <v>85.103795411395907</v>
      </c>
      <c r="V91" s="55">
        <f t="shared" ca="1" si="30"/>
        <v>0</v>
      </c>
      <c r="W91" s="55">
        <f t="shared" ca="1" si="36"/>
        <v>0</v>
      </c>
      <c r="X91" s="55">
        <f t="shared" ca="1" si="37"/>
        <v>8.9963139922342545</v>
      </c>
      <c r="Y91" s="55">
        <f t="shared" ca="1" si="38"/>
        <v>12.644926272631373</v>
      </c>
      <c r="Z91" s="55">
        <f t="shared" ca="1" si="31"/>
        <v>72.224542236007096</v>
      </c>
      <c r="AA91">
        <f t="shared" ca="1" si="32"/>
        <v>24.936122683138237</v>
      </c>
      <c r="AB91">
        <f t="shared" ca="1" si="39"/>
        <v>0</v>
      </c>
      <c r="AC91">
        <f t="shared" ca="1" si="33"/>
        <v>0</v>
      </c>
      <c r="AD91">
        <f t="shared" ca="1" si="34"/>
        <v>0.99933110633827704</v>
      </c>
      <c r="AE91" s="83">
        <f ca="1"/>
        <v>45429</v>
      </c>
      <c r="AF91" s="55">
        <f t="shared" ca="1" si="43"/>
        <v>45429</v>
      </c>
      <c r="AG91" s="55">
        <f t="shared" ca="1" si="44"/>
        <v>-208.0785549771818</v>
      </c>
      <c r="AH91" s="55">
        <f t="shared" ca="1" si="45"/>
        <v>236.25999613397772</v>
      </c>
      <c r="AI91" s="55">
        <f t="shared" ca="1" si="46"/>
        <v>0</v>
      </c>
      <c r="AJ91" s="55">
        <f t="shared" ca="1" si="40"/>
        <v>0</v>
      </c>
      <c r="AK91" s="55">
        <f t="shared" ca="1" si="41"/>
        <v>7.6407871964231804</v>
      </c>
      <c r="AL91" s="55">
        <f t="shared" ca="1" si="42"/>
        <v>-10.81243365386009</v>
      </c>
      <c r="AM91" s="55"/>
    </row>
    <row r="92" spans="18:39">
      <c r="R92" s="83">
        <f ca="1"/>
        <v>45268</v>
      </c>
      <c r="S92" s="55">
        <f t="shared" ca="1" si="35"/>
        <v>45268</v>
      </c>
      <c r="T92" s="55">
        <f t="shared" ca="1" si="28"/>
        <v>88.799274058680197</v>
      </c>
      <c r="U92" s="55">
        <f t="shared" ca="1" si="29"/>
        <v>90.482468535137627</v>
      </c>
      <c r="V92" s="55">
        <f t="shared" ca="1" si="30"/>
        <v>0</v>
      </c>
      <c r="W92" s="55">
        <f t="shared" ca="1" si="36"/>
        <v>0</v>
      </c>
      <c r="X92" s="55">
        <f t="shared" ca="1" si="37"/>
        <v>9.1080323082653116</v>
      </c>
      <c r="Y92" s="55">
        <f t="shared" ca="1" si="38"/>
        <v>12.732308155340018</v>
      </c>
      <c r="Z92" s="55">
        <f t="shared" ca="1" si="31"/>
        <v>75.30142373238408</v>
      </c>
      <c r="AA92">
        <f t="shared" ca="1" si="32"/>
        <v>27.345967254727615</v>
      </c>
      <c r="AB92">
        <f t="shared" ca="1" si="39"/>
        <v>0</v>
      </c>
      <c r="AC92">
        <f t="shared" ca="1" si="33"/>
        <v>0</v>
      </c>
      <c r="AD92">
        <f t="shared" ca="1" si="34"/>
        <v>0.99948529827830679</v>
      </c>
      <c r="AE92" s="83">
        <f ca="1"/>
        <v>45430</v>
      </c>
      <c r="AF92" s="55">
        <f t="shared" ca="1" si="43"/>
        <v>45430</v>
      </c>
      <c r="AG92" s="55">
        <f t="shared" ca="1" si="44"/>
        <v>-213.51391618497945</v>
      </c>
      <c r="AH92" s="55">
        <f t="shared" ca="1" si="45"/>
        <v>241.76532239617165</v>
      </c>
      <c r="AI92" s="55">
        <f t="shared" ca="1" si="46"/>
        <v>0</v>
      </c>
      <c r="AJ92" s="55">
        <f t="shared" ca="1" si="40"/>
        <v>0</v>
      </c>
      <c r="AK92" s="55">
        <f t="shared" ca="1" si="41"/>
        <v>7.7134778618373527</v>
      </c>
      <c r="AL92" s="55">
        <f t="shared" ca="1" si="42"/>
        <v>-10.815159264877977</v>
      </c>
      <c r="AM92" s="55"/>
    </row>
    <row r="93" spans="18:39">
      <c r="R93" s="83">
        <f ca="1"/>
        <v>45269</v>
      </c>
      <c r="S93" s="55">
        <f t="shared" ca="1" si="35"/>
        <v>45269</v>
      </c>
      <c r="T93" s="55">
        <f t="shared" ca="1" si="28"/>
        <v>83.794948332462141</v>
      </c>
      <c r="U93" s="55">
        <f t="shared" ca="1" si="29"/>
        <v>95.66758826426215</v>
      </c>
      <c r="V93" s="55">
        <f t="shared" ca="1" si="30"/>
        <v>0</v>
      </c>
      <c r="W93" s="55">
        <f t="shared" ca="1" si="36"/>
        <v>0</v>
      </c>
      <c r="X93" s="55">
        <f t="shared" ca="1" si="37"/>
        <v>9.2120297017131119</v>
      </c>
      <c r="Y93" s="55">
        <f t="shared" ca="1" si="38"/>
        <v>12.809104764798681</v>
      </c>
      <c r="Z93" s="55">
        <f t="shared" ca="1" si="31"/>
        <v>72.591676207743319</v>
      </c>
      <c r="AA93">
        <f t="shared" ca="1" si="32"/>
        <v>25.462774543733026</v>
      </c>
      <c r="AB93">
        <f t="shared" ca="1" si="39"/>
        <v>0</v>
      </c>
      <c r="AC93">
        <f t="shared" ca="1" si="33"/>
        <v>0</v>
      </c>
      <c r="AD93">
        <f t="shared" ca="1" si="34"/>
        <v>0.99959696545378629</v>
      </c>
      <c r="AE93" s="83">
        <f ca="1"/>
        <v>45431</v>
      </c>
      <c r="AF93" s="55">
        <f t="shared" ca="1" si="43"/>
        <v>45431</v>
      </c>
      <c r="AG93" s="55">
        <f t="shared" ca="1" si="44"/>
        <v>-218.99455866876247</v>
      </c>
      <c r="AH93" s="55">
        <f t="shared" ca="1" si="45"/>
        <v>247.31796661262223</v>
      </c>
      <c r="AI93" s="55">
        <f t="shared" ca="1" si="46"/>
        <v>0</v>
      </c>
      <c r="AJ93" s="55">
        <f t="shared" ca="1" si="40"/>
        <v>0</v>
      </c>
      <c r="AK93" s="55">
        <f t="shared" ca="1" si="41"/>
        <v>7.7874078146788435</v>
      </c>
      <c r="AL93" s="55">
        <f t="shared" ca="1" si="42"/>
        <v>-10.817087485051921</v>
      </c>
      <c r="AM93" s="55"/>
    </row>
    <row r="94" spans="18:39">
      <c r="R94" s="83">
        <f ca="1"/>
        <v>45270</v>
      </c>
      <c r="S94" s="55">
        <f t="shared" ca="1" si="35"/>
        <v>45270</v>
      </c>
      <c r="T94" s="55">
        <f t="shared" ca="1" si="28"/>
        <v>142.66849631387402</v>
      </c>
      <c r="U94" s="55">
        <f t="shared" ca="1" si="29"/>
        <v>101.407144421268</v>
      </c>
      <c r="V94" s="55">
        <f t="shared" ca="1" si="30"/>
        <v>64.4287604303683</v>
      </c>
      <c r="W94" s="55">
        <f t="shared" ca="1" si="36"/>
        <v>0</v>
      </c>
      <c r="X94" s="55">
        <f t="shared" ca="1" si="37"/>
        <v>9.3209918098268982</v>
      </c>
      <c r="Y94" s="55">
        <f t="shared" ca="1" si="38"/>
        <v>12.884486364734304</v>
      </c>
      <c r="Z94" s="55">
        <f t="shared" ca="1" si="31"/>
        <v>80.353786198081906</v>
      </c>
      <c r="AA94">
        <f t="shared" ca="1" si="32"/>
        <v>24.098603801228201</v>
      </c>
      <c r="AB94">
        <f t="shared" ca="1" si="39"/>
        <v>0</v>
      </c>
      <c r="AC94">
        <f t="shared" ca="1" si="33"/>
        <v>0</v>
      </c>
      <c r="AD94">
        <f t="shared" ca="1" si="34"/>
        <v>0.99969013784741145</v>
      </c>
      <c r="AE94" s="83">
        <f ca="1"/>
        <v>45432</v>
      </c>
      <c r="AF94" s="55">
        <f t="shared" ca="1" si="43"/>
        <v>45432</v>
      </c>
      <c r="AG94" s="55">
        <f t="shared" ca="1" si="44"/>
        <v>-224.08113225125581</v>
      </c>
      <c r="AH94" s="55">
        <f t="shared" ca="1" si="45"/>
        <v>252.4767302852689</v>
      </c>
      <c r="AI94" s="55">
        <f t="shared" ca="1" si="46"/>
        <v>0</v>
      </c>
      <c r="AJ94" s="55">
        <f t="shared" ca="1" si="40"/>
        <v>0</v>
      </c>
      <c r="AK94" s="55">
        <f t="shared" ca="1" si="41"/>
        <v>7.8606694172840639</v>
      </c>
      <c r="AL94" s="55">
        <f t="shared" ca="1" si="42"/>
        <v>-10.818158997503806</v>
      </c>
      <c r="AM94" s="55"/>
    </row>
    <row r="95" spans="18:39">
      <c r="R95" s="83">
        <f ca="1"/>
        <v>45271</v>
      </c>
      <c r="S95" s="55">
        <f t="shared" ca="1" si="35"/>
        <v>45271</v>
      </c>
      <c r="T95" s="55">
        <f t="shared" ca="1" si="28"/>
        <v>136.33967893083556</v>
      </c>
      <c r="U95" s="55">
        <f t="shared" ca="1" si="29"/>
        <v>107.92587838945245</v>
      </c>
      <c r="V95" s="55">
        <f t="shared" ca="1" si="30"/>
        <v>0</v>
      </c>
      <c r="W95" s="55">
        <f t="shared" ca="1" si="36"/>
        <v>0</v>
      </c>
      <c r="X95" s="55">
        <f t="shared" ca="1" si="37"/>
        <v>9.437593360980232</v>
      </c>
      <c r="Y95" s="55">
        <f t="shared" ca="1" si="38"/>
        <v>12.957801398726966</v>
      </c>
      <c r="Z95" s="55">
        <f t="shared" ca="1" si="31"/>
        <v>91.262275554582288</v>
      </c>
      <c r="AA95">
        <f t="shared" ca="1" si="32"/>
        <v>22.070925467760805</v>
      </c>
      <c r="AB95">
        <f t="shared" ca="1" si="39"/>
        <v>0</v>
      </c>
      <c r="AC95">
        <f t="shared" ca="1" si="33"/>
        <v>0</v>
      </c>
      <c r="AD95">
        <f t="shared" ca="1" si="34"/>
        <v>0.99976819792320137</v>
      </c>
      <c r="AE95" s="83">
        <f ca="1"/>
        <v>45433</v>
      </c>
      <c r="AF95" s="55">
        <f t="shared" ca="1" si="43"/>
        <v>45433</v>
      </c>
      <c r="AG95" s="55">
        <f t="shared" ca="1" si="44"/>
        <v>-228.11409335269676</v>
      </c>
      <c r="AH95" s="55">
        <f t="shared" ca="1" si="45"/>
        <v>256.57735434515632</v>
      </c>
      <c r="AI95" s="55">
        <f t="shared" ca="1" si="46"/>
        <v>0</v>
      </c>
      <c r="AJ95" s="55">
        <f t="shared" ca="1" si="40"/>
        <v>0</v>
      </c>
      <c r="AK95" s="55">
        <f t="shared" ca="1" si="41"/>
        <v>7.928505136385521</v>
      </c>
      <c r="AL95" s="55">
        <f t="shared" ca="1" si="42"/>
        <v>-10.818331758158781</v>
      </c>
      <c r="AM95" s="55"/>
    </row>
    <row r="96" spans="18:39">
      <c r="R96" s="83">
        <f ca="1"/>
        <v>45272</v>
      </c>
      <c r="S96" s="55">
        <f t="shared" ca="1" si="35"/>
        <v>45272</v>
      </c>
      <c r="T96" s="55">
        <f t="shared" ca="1" si="28"/>
        <v>129.42345427247648</v>
      </c>
      <c r="U96" s="55">
        <f t="shared" ca="1" si="29"/>
        <v>115.04092490530914</v>
      </c>
      <c r="V96" s="55">
        <f t="shared" ca="1" si="30"/>
        <v>0</v>
      </c>
      <c r="W96" s="55">
        <f t="shared" ca="1" si="36"/>
        <v>0</v>
      </c>
      <c r="X96" s="55">
        <f t="shared" ca="1" si="37"/>
        <v>9.5606850409471544</v>
      </c>
      <c r="Y96" s="55">
        <f t="shared" ca="1" si="38"/>
        <v>13.033531576257623</v>
      </c>
      <c r="Z96" s="55">
        <f t="shared" ca="1" si="31"/>
        <v>99.610651221993663</v>
      </c>
      <c r="AA96">
        <f t="shared" ca="1" si="32"/>
        <v>21.985286136156521</v>
      </c>
      <c r="AB96">
        <f t="shared" ca="1" si="39"/>
        <v>0</v>
      </c>
      <c r="AC96">
        <f t="shared" ca="1" si="33"/>
        <v>0</v>
      </c>
      <c r="AD96">
        <f t="shared" ca="1" si="34"/>
        <v>0.9998297423702579</v>
      </c>
      <c r="AE96" s="83">
        <f ca="1"/>
        <v>45434</v>
      </c>
      <c r="AF96" s="55">
        <f t="shared" ca="1" si="43"/>
        <v>45434</v>
      </c>
      <c r="AG96" s="55">
        <f t="shared" ca="1" si="44"/>
        <v>-232.89320194864226</v>
      </c>
      <c r="AH96" s="55">
        <f t="shared" ca="1" si="45"/>
        <v>261.43007666346142</v>
      </c>
      <c r="AI96" s="55">
        <f t="shared" ca="1" si="46"/>
        <v>0</v>
      </c>
      <c r="AJ96" s="55">
        <f t="shared" ca="1" si="40"/>
        <v>0</v>
      </c>
      <c r="AK96" s="55">
        <f t="shared" ca="1" si="41"/>
        <v>8.0014071829999516</v>
      </c>
      <c r="AL96" s="55">
        <f t="shared" ca="1" si="42"/>
        <v>-10.817620082413601</v>
      </c>
      <c r="AM96" s="55"/>
    </row>
    <row r="97" spans="18:39">
      <c r="R97" s="83">
        <f ca="1"/>
        <v>45273</v>
      </c>
      <c r="S97" s="55">
        <f t="shared" ca="1" si="35"/>
        <v>45273</v>
      </c>
      <c r="T97" s="55">
        <f t="shared" ca="1" si="28"/>
        <v>122.97823059020079</v>
      </c>
      <c r="U97" s="55">
        <f t="shared" ca="1" si="29"/>
        <v>121.6789922070213</v>
      </c>
      <c r="V97" s="55">
        <f t="shared" ca="1" si="30"/>
        <v>0</v>
      </c>
      <c r="W97" s="55">
        <f t="shared" ca="1" si="36"/>
        <v>0</v>
      </c>
      <c r="X97" s="55">
        <f t="shared" ca="1" si="37"/>
        <v>9.6763922826721984</v>
      </c>
      <c r="Y97" s="55">
        <f t="shared" ca="1" si="38"/>
        <v>13.110667953969074</v>
      </c>
      <c r="Z97" s="55">
        <f t="shared" ca="1" si="31"/>
        <v>92.932942223970173</v>
      </c>
      <c r="AA97">
        <f t="shared" ca="1" si="32"/>
        <v>24.308290789791315</v>
      </c>
      <c r="AB97">
        <f t="shared" ca="1" si="39"/>
        <v>0</v>
      </c>
      <c r="AC97">
        <f t="shared" ca="1" si="33"/>
        <v>0</v>
      </c>
      <c r="AD97">
        <f t="shared" ca="1" si="34"/>
        <v>0.99987155190441612</v>
      </c>
      <c r="AE97" s="83">
        <f ca="1"/>
        <v>45435</v>
      </c>
      <c r="AF97" s="55">
        <f t="shared" ca="1" si="43"/>
        <v>45435</v>
      </c>
      <c r="AG97" s="55">
        <f t="shared" ca="1" si="44"/>
        <v>-237.34388941872908</v>
      </c>
      <c r="AH97" s="55">
        <f t="shared" ca="1" si="45"/>
        <v>265.95647800542264</v>
      </c>
      <c r="AI97" s="55">
        <f t="shared" ca="1" si="46"/>
        <v>0</v>
      </c>
      <c r="AJ97" s="55">
        <f t="shared" ca="1" si="40"/>
        <v>0</v>
      </c>
      <c r="AK97" s="55">
        <f t="shared" ca="1" si="41"/>
        <v>8.0753552447867758</v>
      </c>
      <c r="AL97" s="55">
        <f t="shared" ca="1" si="42"/>
        <v>-10.815854272326051</v>
      </c>
      <c r="AM97" s="55"/>
    </row>
    <row r="98" spans="18:39">
      <c r="R98" s="83">
        <f ca="1"/>
        <v>45274</v>
      </c>
      <c r="S98" s="55">
        <f t="shared" ca="1" si="35"/>
        <v>45274</v>
      </c>
      <c r="T98" s="55">
        <f t="shared" ca="1" si="28"/>
        <v>116.87801836578548</v>
      </c>
      <c r="U98" s="55">
        <f t="shared" ca="1" si="29"/>
        <v>127.95829628964404</v>
      </c>
      <c r="V98" s="55">
        <f t="shared" ca="1" si="30"/>
        <v>0</v>
      </c>
      <c r="W98" s="55">
        <f t="shared" ca="1" si="36"/>
        <v>0</v>
      </c>
      <c r="X98" s="55">
        <f t="shared" ca="1" si="37"/>
        <v>9.7848207322214158</v>
      </c>
      <c r="Y98" s="55">
        <f t="shared" ca="1" si="38"/>
        <v>13.181331362627272</v>
      </c>
      <c r="Z98" s="55">
        <f t="shared" ca="1" si="31"/>
        <v>87.910257156718416</v>
      </c>
      <c r="AA98">
        <f t="shared" ca="1" si="32"/>
        <v>23.703370805377972</v>
      </c>
      <c r="AB98">
        <f t="shared" ca="1" si="39"/>
        <v>0</v>
      </c>
      <c r="AC98">
        <f t="shared" ca="1" si="33"/>
        <v>0</v>
      </c>
      <c r="AD98">
        <f t="shared" ca="1" si="34"/>
        <v>0.99990120002571248</v>
      </c>
      <c r="AE98" s="83">
        <f ca="1"/>
        <v>45436</v>
      </c>
      <c r="AF98" s="55">
        <f t="shared" ca="1" si="43"/>
        <v>45436</v>
      </c>
      <c r="AG98" s="55">
        <f t="shared" ca="1" si="44"/>
        <v>-241.24203729648696</v>
      </c>
      <c r="AH98" s="55">
        <f t="shared" ca="1" si="45"/>
        <v>269.92897355424975</v>
      </c>
      <c r="AI98" s="55">
        <f t="shared" ca="1" si="46"/>
        <v>0</v>
      </c>
      <c r="AJ98" s="55">
        <f t="shared" ca="1" si="40"/>
        <v>0</v>
      </c>
      <c r="AK98" s="55">
        <f t="shared" ca="1" si="41"/>
        <v>8.1469430556285989</v>
      </c>
      <c r="AL98" s="55">
        <f t="shared" ca="1" si="42"/>
        <v>-10.813094412098666</v>
      </c>
      <c r="AM98" s="55"/>
    </row>
    <row r="99" spans="18:39">
      <c r="R99" s="83">
        <f ca="1"/>
        <v>45275</v>
      </c>
      <c r="S99" s="55">
        <f t="shared" ca="1" si="35"/>
        <v>45275</v>
      </c>
      <c r="T99" s="55">
        <f t="shared" ca="1" si="28"/>
        <v>110.00319865987369</v>
      </c>
      <c r="U99" s="55">
        <f t="shared" ca="1" si="29"/>
        <v>135.024926372961</v>
      </c>
      <c r="V99" s="55">
        <f t="shared" ca="1" si="30"/>
        <v>0</v>
      </c>
      <c r="W99" s="55">
        <f t="shared" ca="1" si="36"/>
        <v>0</v>
      </c>
      <c r="X99" s="55">
        <f t="shared" ca="1" si="37"/>
        <v>9.9029971743128655</v>
      </c>
      <c r="Y99" s="55">
        <f t="shared" ca="1" si="38"/>
        <v>13.254965297940993</v>
      </c>
      <c r="Z99" s="55">
        <f t="shared" ca="1" si="31"/>
        <v>98.93282116643752</v>
      </c>
      <c r="AA99">
        <f t="shared" ca="1" si="32"/>
        <v>23.141591227746552</v>
      </c>
      <c r="AB99">
        <f t="shared" ca="1" si="39"/>
        <v>0</v>
      </c>
      <c r="AC99">
        <f t="shared" ca="1" si="33"/>
        <v>0</v>
      </c>
      <c r="AD99">
        <f t="shared" ca="1" si="34"/>
        <v>0.99992621109517055</v>
      </c>
      <c r="AE99" s="83">
        <f ca="1"/>
        <v>45437</v>
      </c>
      <c r="AF99" s="55">
        <f t="shared" ca="1" si="43"/>
        <v>45437</v>
      </c>
      <c r="AG99" s="55">
        <f t="shared" ca="1" si="44"/>
        <v>-245.30056857188916</v>
      </c>
      <c r="AH99" s="55">
        <f t="shared" ca="1" si="45"/>
        <v>274.06896473183843</v>
      </c>
      <c r="AI99" s="55">
        <f t="shared" ca="1" si="46"/>
        <v>0</v>
      </c>
      <c r="AJ99" s="55">
        <f t="shared" ca="1" si="40"/>
        <v>0</v>
      </c>
      <c r="AK99" s="55">
        <f t="shared" ca="1" si="41"/>
        <v>8.224097402159904</v>
      </c>
      <c r="AL99" s="55">
        <f t="shared" ca="1" si="42"/>
        <v>-10.808788856443499</v>
      </c>
      <c r="AM99" s="55"/>
    </row>
    <row r="100" spans="18:39">
      <c r="R100" s="83">
        <f ca="1"/>
        <v>45276</v>
      </c>
      <c r="S100" s="55">
        <f t="shared" ca="1" si="35"/>
        <v>45276</v>
      </c>
      <c r="T100" s="55">
        <f t="shared" ca="1" si="28"/>
        <v>103.35514931068766</v>
      </c>
      <c r="U100" s="55">
        <f t="shared" ca="1" si="29"/>
        <v>141.86173261695072</v>
      </c>
      <c r="V100" s="55">
        <f t="shared" ca="1" si="30"/>
        <v>0</v>
      </c>
      <c r="W100" s="55">
        <f t="shared" ca="1" si="36"/>
        <v>0</v>
      </c>
      <c r="X100" s="55">
        <f t="shared" ca="1" si="37"/>
        <v>10.018023120514375</v>
      </c>
      <c r="Y100" s="55">
        <f t="shared" ca="1" si="38"/>
        <v>13.328696246543167</v>
      </c>
      <c r="Z100" s="55">
        <f t="shared" ca="1" si="31"/>
        <v>95.715287415855983</v>
      </c>
      <c r="AA100">
        <f t="shared" ca="1" si="32"/>
        <v>24.183868011922041</v>
      </c>
      <c r="AB100">
        <f t="shared" ca="1" si="39"/>
        <v>0</v>
      </c>
      <c r="AC100">
        <f t="shared" ca="1" si="33"/>
        <v>0</v>
      </c>
      <c r="AD100">
        <f t="shared" ca="1" si="34"/>
        <v>0.99994424377887858</v>
      </c>
      <c r="AE100" s="83">
        <f ca="1"/>
        <v>45438</v>
      </c>
      <c r="AF100" s="55">
        <f t="shared" ca="1" si="43"/>
        <v>45438</v>
      </c>
      <c r="AG100" s="55">
        <f t="shared" ca="1" si="44"/>
        <v>-249.18489833564192</v>
      </c>
      <c r="AH100" s="55">
        <f t="shared" ca="1" si="45"/>
        <v>278.03438677406712</v>
      </c>
      <c r="AI100" s="55">
        <f t="shared" ca="1" si="46"/>
        <v>0</v>
      </c>
      <c r="AJ100" s="55">
        <f t="shared" ca="1" si="40"/>
        <v>0</v>
      </c>
      <c r="AK100" s="55">
        <f t="shared" ca="1" si="41"/>
        <v>8.299813294594264</v>
      </c>
      <c r="AL100" s="55">
        <f t="shared" ca="1" si="42"/>
        <v>-10.803412470401952</v>
      </c>
      <c r="AM100" s="55"/>
    </row>
    <row r="101" spans="18:39">
      <c r="R101" s="83">
        <f ca="1"/>
        <v>45277</v>
      </c>
      <c r="S101" s="55">
        <f t="shared" ca="1" si="35"/>
        <v>45277</v>
      </c>
      <c r="T101" s="55">
        <f t="shared" ca="1" si="28"/>
        <v>96.888131987127849</v>
      </c>
      <c r="U101" s="55">
        <f t="shared" ca="1" si="29"/>
        <v>148.51904970650736</v>
      </c>
      <c r="V101" s="55">
        <f t="shared" ca="1" si="30"/>
        <v>0</v>
      </c>
      <c r="W101" s="55">
        <f t="shared" ca="1" si="36"/>
        <v>0</v>
      </c>
      <c r="X101" s="55">
        <f t="shared" ca="1" si="37"/>
        <v>10.131847082486772</v>
      </c>
      <c r="Y101" s="55">
        <f t="shared" ca="1" si="38"/>
        <v>13.405172050567593</v>
      </c>
      <c r="Z101" s="55">
        <f t="shared" ca="1" si="31"/>
        <v>93.202439253792988</v>
      </c>
      <c r="AA101">
        <f t="shared" ca="1" si="32"/>
        <v>25.956714541709683</v>
      </c>
      <c r="AB101">
        <f t="shared" ca="1" si="39"/>
        <v>0</v>
      </c>
      <c r="AC101">
        <f t="shared" ca="1" si="33"/>
        <v>0</v>
      </c>
      <c r="AD101">
        <f t="shared" ca="1" si="34"/>
        <v>0.99995752177805819</v>
      </c>
      <c r="AE101" s="83">
        <f ca="1"/>
        <v>45439</v>
      </c>
      <c r="AF101" s="55">
        <f t="shared" ca="1" si="43"/>
        <v>45439</v>
      </c>
      <c r="AG101" s="55">
        <f t="shared" ca="1" si="44"/>
        <v>-252.70664146929889</v>
      </c>
      <c r="AH101" s="55">
        <f t="shared" ca="1" si="45"/>
        <v>281.63732809715907</v>
      </c>
      <c r="AI101" s="55">
        <f t="shared" ca="1" si="46"/>
        <v>0</v>
      </c>
      <c r="AJ101" s="55">
        <f t="shared" ca="1" si="40"/>
        <v>0</v>
      </c>
      <c r="AK101" s="55">
        <f t="shared" ca="1" si="41"/>
        <v>8.3744584669290525</v>
      </c>
      <c r="AL101" s="55">
        <f t="shared" ca="1" si="42"/>
        <v>-10.79685945330176</v>
      </c>
      <c r="AM101" s="55"/>
    </row>
    <row r="102" spans="18:39">
      <c r="R102" s="83">
        <f ca="1"/>
        <v>45278</v>
      </c>
      <c r="S102" s="55">
        <f t="shared" ca="1" si="35"/>
        <v>45278</v>
      </c>
      <c r="T102" s="55">
        <f t="shared" ca="1" si="28"/>
        <v>153.17281672887532</v>
      </c>
      <c r="U102" s="55">
        <f t="shared" ca="1" si="29"/>
        <v>155.33158443663498</v>
      </c>
      <c r="V102" s="55">
        <f t="shared" ca="1" si="30"/>
        <v>62.901189039900871</v>
      </c>
      <c r="W102" s="55">
        <f t="shared" ca="1" si="36"/>
        <v>0</v>
      </c>
      <c r="X102" s="55">
        <f t="shared" ca="1" si="37"/>
        <v>10.248799489675159</v>
      </c>
      <c r="Y102" s="55">
        <f t="shared" ca="1" si="38"/>
        <v>13.484250075353419</v>
      </c>
      <c r="Z102" s="55">
        <f t="shared" ca="1" si="31"/>
        <v>95.37548622178673</v>
      </c>
      <c r="AA102">
        <f t="shared" ca="1" si="32"/>
        <v>26.7348952999582</v>
      </c>
      <c r="AB102">
        <f t="shared" ca="1" si="39"/>
        <v>0</v>
      </c>
      <c r="AC102">
        <f t="shared" ca="1" si="33"/>
        <v>0</v>
      </c>
      <c r="AD102">
        <f t="shared" ca="1" si="34"/>
        <v>0.99996785179269432</v>
      </c>
      <c r="AE102" s="83">
        <f ca="1"/>
        <v>45440</v>
      </c>
      <c r="AF102" s="55">
        <f t="shared" ca="1" si="43"/>
        <v>45440</v>
      </c>
      <c r="AG102" s="55">
        <f t="shared" ca="1" si="44"/>
        <v>-256.38040431561848</v>
      </c>
      <c r="AH102" s="55">
        <f t="shared" ca="1" si="45"/>
        <v>285.39730105963127</v>
      </c>
      <c r="AI102" s="55">
        <f t="shared" ca="1" si="46"/>
        <v>0</v>
      </c>
      <c r="AJ102" s="55">
        <f t="shared" ca="1" si="40"/>
        <v>0</v>
      </c>
      <c r="AK102" s="55">
        <f t="shared" ca="1" si="41"/>
        <v>8.4525166486938375</v>
      </c>
      <c r="AL102" s="55">
        <f t="shared" ca="1" si="42"/>
        <v>-10.788707518913945</v>
      </c>
      <c r="AM102" s="55"/>
    </row>
    <row r="103" spans="18:39">
      <c r="R103" s="83">
        <f ca="1"/>
        <v>45279</v>
      </c>
      <c r="S103" s="55">
        <f t="shared" ca="1" si="35"/>
        <v>45279</v>
      </c>
      <c r="T103" s="55">
        <f t="shared" ca="1" si="28"/>
        <v>146.58055772791295</v>
      </c>
      <c r="U103" s="55">
        <f t="shared" ca="1" si="29"/>
        <v>162.120739756944</v>
      </c>
      <c r="V103" s="55">
        <f t="shared" ca="1" si="30"/>
        <v>0</v>
      </c>
      <c r="W103" s="55">
        <f t="shared" ca="1" si="36"/>
        <v>0</v>
      </c>
      <c r="X103" s="55">
        <f t="shared" ca="1" si="37"/>
        <v>10.366369772200951</v>
      </c>
      <c r="Y103" s="55">
        <f t="shared" ca="1" si="38"/>
        <v>13.563576112174257</v>
      </c>
      <c r="Z103" s="55">
        <f t="shared" ca="1" si="31"/>
        <v>95.048174484326296</v>
      </c>
      <c r="AA103">
        <f t="shared" ca="1" si="32"/>
        <v>27.157010927889811</v>
      </c>
      <c r="AB103">
        <f t="shared" ca="1" si="39"/>
        <v>0</v>
      </c>
      <c r="AC103">
        <f t="shared" ca="1" si="33"/>
        <v>0</v>
      </c>
      <c r="AD103">
        <f t="shared" ca="1" si="34"/>
        <v>0.99997568268602366</v>
      </c>
      <c r="AE103" s="83">
        <f ca="1"/>
        <v>45441</v>
      </c>
      <c r="AF103" s="55">
        <f t="shared" ca="1" si="43"/>
        <v>45441</v>
      </c>
      <c r="AG103" s="55">
        <f t="shared" ca="1" si="44"/>
        <v>-259.49556346812221</v>
      </c>
      <c r="AH103" s="55">
        <f t="shared" ca="1" si="45"/>
        <v>288.59639992865925</v>
      </c>
      <c r="AI103" s="55">
        <f t="shared" ca="1" si="46"/>
        <v>0</v>
      </c>
      <c r="AJ103" s="55">
        <f t="shared" ca="1" si="40"/>
        <v>0</v>
      </c>
      <c r="AK103" s="55">
        <f t="shared" ca="1" si="41"/>
        <v>8.5273198897654012</v>
      </c>
      <c r="AL103" s="55">
        <f t="shared" ca="1" si="42"/>
        <v>-10.779571043461271</v>
      </c>
      <c r="AM103" s="55"/>
    </row>
    <row r="104" spans="18:39">
      <c r="R104" s="83">
        <f ca="1"/>
        <v>45280</v>
      </c>
      <c r="S104" s="55">
        <f t="shared" ca="1" si="35"/>
        <v>45280</v>
      </c>
      <c r="T104" s="55">
        <f t="shared" ca="1" si="28"/>
        <v>140.27448532898489</v>
      </c>
      <c r="U104" s="55">
        <f t="shared" ca="1" si="29"/>
        <v>168.63509959357285</v>
      </c>
      <c r="V104" s="55">
        <f t="shared" ca="1" si="30"/>
        <v>0</v>
      </c>
      <c r="W104" s="55">
        <f t="shared" ca="1" si="36"/>
        <v>0</v>
      </c>
      <c r="X104" s="55">
        <f t="shared" ca="1" si="37"/>
        <v>10.485531094160198</v>
      </c>
      <c r="Y104" s="55">
        <f t="shared" ca="1" si="38"/>
        <v>13.652702227915807</v>
      </c>
      <c r="Z104" s="55">
        <f t="shared" ca="1" si="31"/>
        <v>91.201037712803782</v>
      </c>
      <c r="AA104">
        <f t="shared" ca="1" si="32"/>
        <v>31.693447378499172</v>
      </c>
      <c r="AB104">
        <f t="shared" ca="1" si="39"/>
        <v>0</v>
      </c>
      <c r="AC104">
        <f t="shared" ca="1" si="33"/>
        <v>0</v>
      </c>
      <c r="AD104">
        <f t="shared" ca="1" si="34"/>
        <v>0.99998144432127212</v>
      </c>
      <c r="AE104" s="83">
        <f ca="1"/>
        <v>45442</v>
      </c>
      <c r="AF104" s="55">
        <f t="shared" ca="1" si="43"/>
        <v>45442</v>
      </c>
      <c r="AG104" s="55">
        <f t="shared" ca="1" si="44"/>
        <v>-262.61727560291314</v>
      </c>
      <c r="AH104" s="55">
        <f t="shared" ca="1" si="45"/>
        <v>291.80226829436867</v>
      </c>
      <c r="AI104" s="55">
        <f t="shared" ca="1" si="46"/>
        <v>0</v>
      </c>
      <c r="AJ104" s="55">
        <f t="shared" ca="1" si="40"/>
        <v>0</v>
      </c>
      <c r="AK104" s="55">
        <f t="shared" ca="1" si="41"/>
        <v>8.6014643695753517</v>
      </c>
      <c r="AL104" s="55">
        <f t="shared" ca="1" si="42"/>
        <v>-10.769559292352721</v>
      </c>
      <c r="AM104" s="55"/>
    </row>
    <row r="105" spans="18:39">
      <c r="R105" s="83">
        <f ca="1"/>
        <v>45281</v>
      </c>
      <c r="S105" s="55">
        <f t="shared" ca="1" si="35"/>
        <v>45281</v>
      </c>
      <c r="T105" s="55">
        <f t="shared" ca="1" si="28"/>
        <v>134.18043159384635</v>
      </c>
      <c r="U105" s="55">
        <f t="shared" ca="1" si="29"/>
        <v>174.9379932972727</v>
      </c>
      <c r="V105" s="55">
        <f t="shared" ca="1" si="30"/>
        <v>0</v>
      </c>
      <c r="W105" s="55">
        <f t="shared" ca="1" si="36"/>
        <v>0</v>
      </c>
      <c r="X105" s="55">
        <f t="shared" ca="1" si="37"/>
        <v>10.604215643579183</v>
      </c>
      <c r="Y105" s="55">
        <f t="shared" ca="1" si="38"/>
        <v>13.742857647058116</v>
      </c>
      <c r="Z105" s="55">
        <f t="shared" ca="1" si="31"/>
        <v>88.240511851797919</v>
      </c>
      <c r="AA105">
        <f t="shared" ca="1" si="32"/>
        <v>33.045807118250622</v>
      </c>
      <c r="AB105">
        <f t="shared" ca="1" si="39"/>
        <v>0</v>
      </c>
      <c r="AC105">
        <f t="shared" ca="1" si="33"/>
        <v>0</v>
      </c>
      <c r="AD105">
        <f t="shared" ca="1" si="34"/>
        <v>0.99998576549101581</v>
      </c>
      <c r="AE105" s="83">
        <f ca="1"/>
        <v>45443</v>
      </c>
      <c r="AF105" s="55">
        <f t="shared" ca="1" si="43"/>
        <v>45443</v>
      </c>
      <c r="AG105" s="55">
        <f t="shared" ca="1" si="44"/>
        <v>-265.79061882468659</v>
      </c>
      <c r="AH105" s="55">
        <f t="shared" ca="1" si="45"/>
        <v>295.06400994282797</v>
      </c>
      <c r="AI105" s="55">
        <f t="shared" ca="1" si="46"/>
        <v>0</v>
      </c>
      <c r="AJ105" s="55">
        <f t="shared" ca="1" si="40"/>
        <v>0</v>
      </c>
      <c r="AK105" s="55">
        <f t="shared" ca="1" si="41"/>
        <v>8.6782346880463592</v>
      </c>
      <c r="AL105" s="55">
        <f t="shared" ca="1" si="42"/>
        <v>-10.757931184137867</v>
      </c>
      <c r="AM105" s="55"/>
    </row>
    <row r="106" spans="18:39">
      <c r="R106" s="83">
        <f ca="1"/>
        <v>45282</v>
      </c>
      <c r="S106" s="55">
        <f t="shared" ca="1" si="35"/>
        <v>45282</v>
      </c>
      <c r="T106" s="55">
        <f t="shared" ca="1" si="28"/>
        <v>127.99444120140848</v>
      </c>
      <c r="U106" s="55">
        <f t="shared" ca="1" si="29"/>
        <v>181.33817527055515</v>
      </c>
      <c r="V106" s="55">
        <f t="shared" ca="1" si="30"/>
        <v>0</v>
      </c>
      <c r="W106" s="55">
        <f t="shared" ca="1" si="36"/>
        <v>0</v>
      </c>
      <c r="X106" s="55">
        <f t="shared" ca="1" si="37"/>
        <v>10.72663032558002</v>
      </c>
      <c r="Y106" s="55">
        <f t="shared" ca="1" si="38"/>
        <v>13.83463454590186</v>
      </c>
      <c r="Z106" s="55">
        <f t="shared" ca="1" si="31"/>
        <v>89.602547625954401</v>
      </c>
      <c r="AA106">
        <f t="shared" ca="1" si="32"/>
        <v>33.445546860568818</v>
      </c>
      <c r="AB106">
        <f t="shared" ca="1" si="39"/>
        <v>0</v>
      </c>
      <c r="AC106">
        <f t="shared" ca="1" si="33"/>
        <v>0</v>
      </c>
      <c r="AD106">
        <f t="shared" ca="1" si="34"/>
        <v>0.99998917558479705</v>
      </c>
      <c r="AE106" s="83">
        <f ca="1"/>
        <v>45444</v>
      </c>
      <c r="AF106" s="55">
        <f t="shared" ca="1" si="43"/>
        <v>45444</v>
      </c>
      <c r="AG106" s="55">
        <f t="shared" ca="1" si="44"/>
        <v>-268.57888613193785</v>
      </c>
      <c r="AH106" s="55">
        <f t="shared" ca="1" si="45"/>
        <v>297.9399155798335</v>
      </c>
      <c r="AI106" s="55">
        <f t="shared" ca="1" si="46"/>
        <v>0</v>
      </c>
      <c r="AJ106" s="55">
        <f t="shared" ca="1" si="40"/>
        <v>0</v>
      </c>
      <c r="AK106" s="55">
        <f t="shared" ca="1" si="41"/>
        <v>8.7532118676416815</v>
      </c>
      <c r="AL106" s="55">
        <f t="shared" ca="1" si="42"/>
        <v>-10.745270033978873</v>
      </c>
      <c r="AM106" s="55"/>
    </row>
    <row r="107" spans="18:39">
      <c r="R107" s="83">
        <f ca="1"/>
        <v>45283</v>
      </c>
      <c r="S107" s="55">
        <f t="shared" ca="1" si="35"/>
        <v>45283</v>
      </c>
      <c r="T107" s="55">
        <f t="shared" ca="1" si="28"/>
        <v>122.06970288327787</v>
      </c>
      <c r="U107" s="55">
        <f t="shared" ca="1" si="29"/>
        <v>187.47089955875578</v>
      </c>
      <c r="V107" s="55">
        <f t="shared" ca="1" si="30"/>
        <v>0</v>
      </c>
      <c r="W107" s="55">
        <f t="shared" ca="1" si="36"/>
        <v>0</v>
      </c>
      <c r="X107" s="55">
        <f t="shared" ca="1" si="37"/>
        <v>10.84652986904082</v>
      </c>
      <c r="Y107" s="55">
        <f t="shared" ca="1" si="38"/>
        <v>13.922720972511074</v>
      </c>
      <c r="Z107" s="55">
        <f t="shared" ca="1" si="31"/>
        <v>85.858140034808685</v>
      </c>
      <c r="AA107">
        <f t="shared" ca="1" si="32"/>
        <v>33.161841994787231</v>
      </c>
      <c r="AB107">
        <f t="shared" ca="1" si="39"/>
        <v>0</v>
      </c>
      <c r="AC107">
        <f t="shared" ca="1" si="33"/>
        <v>0</v>
      </c>
      <c r="AD107">
        <f t="shared" ca="1" si="34"/>
        <v>0.99999172054879115</v>
      </c>
      <c r="AE107" s="83">
        <f ca="1"/>
        <v>45445</v>
      </c>
      <c r="AF107" s="55">
        <f t="shared" ca="1" si="43"/>
        <v>45445</v>
      </c>
      <c r="AG107" s="55">
        <f t="shared" ca="1" si="44"/>
        <v>-271.01672990351449</v>
      </c>
      <c r="AH107" s="55">
        <f t="shared" ca="1" si="45"/>
        <v>300.46497418941487</v>
      </c>
      <c r="AI107" s="55">
        <f t="shared" ca="1" si="46"/>
        <v>0</v>
      </c>
      <c r="AJ107" s="55">
        <f t="shared" ca="1" si="40"/>
        <v>0</v>
      </c>
      <c r="AK107" s="55">
        <f t="shared" ca="1" si="41"/>
        <v>8.8267209528249353</v>
      </c>
      <c r="AL107" s="55">
        <f t="shared" ca="1" si="42"/>
        <v>-10.731564281157432</v>
      </c>
      <c r="AM107" s="55"/>
    </row>
    <row r="108" spans="18:39">
      <c r="R108" s="83">
        <f ca="1"/>
        <v>45284</v>
      </c>
      <c r="S108" s="55">
        <f t="shared" ca="1" si="35"/>
        <v>45284</v>
      </c>
      <c r="T108" s="55">
        <f t="shared" ca="1" si="28"/>
        <v>115.91408714084861</v>
      </c>
      <c r="U108" s="55">
        <f t="shared" ca="1" si="29"/>
        <v>193.83372378543237</v>
      </c>
      <c r="V108" s="55">
        <f t="shared" ca="1" si="30"/>
        <v>0</v>
      </c>
      <c r="W108" s="55">
        <f t="shared" ca="1" si="36"/>
        <v>0</v>
      </c>
      <c r="X108" s="55">
        <f t="shared" ca="1" si="37"/>
        <v>10.970057024103056</v>
      </c>
      <c r="Y108" s="55">
        <f t="shared" ca="1" si="38"/>
        <v>14.006402301696168</v>
      </c>
      <c r="Z108" s="55">
        <f t="shared" ca="1" si="31"/>
        <v>89.079539173472313</v>
      </c>
      <c r="AA108">
        <f t="shared" ca="1" si="32"/>
        <v>30.628250875055674</v>
      </c>
      <c r="AB108">
        <f t="shared" ca="1" si="39"/>
        <v>0</v>
      </c>
      <c r="AC108">
        <f t="shared" ca="1" si="33"/>
        <v>0</v>
      </c>
      <c r="AD108">
        <f t="shared" ca="1" si="34"/>
        <v>0.99999377546231505</v>
      </c>
      <c r="AE108" s="83">
        <f ca="1"/>
        <v>45446</v>
      </c>
      <c r="AF108" s="55">
        <f t="shared" ca="1" si="43"/>
        <v>45446</v>
      </c>
      <c r="AG108" s="55">
        <f t="shared" ca="1" si="44"/>
        <v>-273.23653513394822</v>
      </c>
      <c r="AH108" s="55">
        <f t="shared" ca="1" si="45"/>
        <v>302.77288516925614</v>
      </c>
      <c r="AI108" s="55">
        <f t="shared" ca="1" si="46"/>
        <v>0</v>
      </c>
      <c r="AJ108" s="55">
        <f t="shared" ca="1" si="40"/>
        <v>0</v>
      </c>
      <c r="AK108" s="55">
        <f t="shared" ca="1" si="41"/>
        <v>8.8999229061867027</v>
      </c>
      <c r="AL108" s="55">
        <f t="shared" ca="1" si="42"/>
        <v>-10.716660485111678</v>
      </c>
      <c r="AM108" s="55"/>
    </row>
    <row r="109" spans="18:39">
      <c r="R109" s="83">
        <f ca="1"/>
        <v>45285</v>
      </c>
      <c r="S109" s="55">
        <f t="shared" ca="1" si="35"/>
        <v>45285</v>
      </c>
      <c r="T109" s="55">
        <f t="shared" ca="1" si="28"/>
        <v>109.91410063627973</v>
      </c>
      <c r="U109" s="55">
        <f t="shared" ca="1" si="29"/>
        <v>200.03445927164319</v>
      </c>
      <c r="V109" s="55">
        <f t="shared" ca="1" si="30"/>
        <v>0</v>
      </c>
      <c r="W109" s="55">
        <f t="shared" ca="1" si="36"/>
        <v>0</v>
      </c>
      <c r="X109" s="55">
        <f t="shared" ca="1" si="37"/>
        <v>11.092371084811729</v>
      </c>
      <c r="Y109" s="55">
        <f t="shared" ca="1" si="38"/>
        <v>14.084837222629437</v>
      </c>
      <c r="Z109" s="55">
        <f t="shared" ca="1" si="31"/>
        <v>86.810296806951442</v>
      </c>
      <c r="AA109">
        <f t="shared" ca="1" si="32"/>
        <v>29.078457876915074</v>
      </c>
      <c r="AB109">
        <f t="shared" ca="1" si="39"/>
        <v>0</v>
      </c>
      <c r="AC109">
        <f t="shared" ca="1" si="33"/>
        <v>0</v>
      </c>
      <c r="AD109">
        <f t="shared" ca="1" si="34"/>
        <v>0.99999532656535395</v>
      </c>
      <c r="AE109" s="83">
        <f ca="1"/>
        <v>45447</v>
      </c>
      <c r="AF109" s="55">
        <f t="shared" ca="1" si="43"/>
        <v>45447</v>
      </c>
      <c r="AG109" s="55">
        <f t="shared" ca="1" si="44"/>
        <v>-275.35535868761917</v>
      </c>
      <c r="AH109" s="55">
        <f t="shared" ca="1" si="45"/>
        <v>304.98026969420204</v>
      </c>
      <c r="AI109" s="55">
        <f t="shared" ca="1" si="46"/>
        <v>0</v>
      </c>
      <c r="AJ109" s="55">
        <f t="shared" ca="1" si="40"/>
        <v>0</v>
      </c>
      <c r="AK109" s="55">
        <f t="shared" ca="1" si="41"/>
        <v>8.9726382991530311</v>
      </c>
      <c r="AL109" s="55">
        <f t="shared" ca="1" si="42"/>
        <v>-10.700814906803025</v>
      </c>
      <c r="AM109" s="55"/>
    </row>
    <row r="110" spans="18:39">
      <c r="R110" s="83">
        <f ca="1"/>
        <v>45286</v>
      </c>
      <c r="S110" s="55">
        <f t="shared" ca="1" si="35"/>
        <v>45286</v>
      </c>
      <c r="T110" s="55">
        <f t="shared" ca="1" si="28"/>
        <v>104.46719221686364</v>
      </c>
      <c r="U110" s="55">
        <f t="shared" ca="1" si="29"/>
        <v>205.6649469170292</v>
      </c>
      <c r="V110" s="55">
        <f t="shared" ca="1" si="30"/>
        <v>0</v>
      </c>
      <c r="W110" s="55">
        <f t="shared" ca="1" si="36"/>
        <v>0</v>
      </c>
      <c r="X110" s="55">
        <f t="shared" ca="1" si="37"/>
        <v>11.206528992138486</v>
      </c>
      <c r="Y110" s="55">
        <f t="shared" ca="1" si="38"/>
        <v>14.154258541272604</v>
      </c>
      <c r="Z110" s="55">
        <f t="shared" ca="1" si="31"/>
        <v>78.826827035404165</v>
      </c>
      <c r="AA110">
        <f t="shared" ca="1" si="32"/>
        <v>27.35321338100151</v>
      </c>
      <c r="AB110">
        <f t="shared" ca="1" si="39"/>
        <v>0</v>
      </c>
      <c r="AC110">
        <f t="shared" ca="1" si="33"/>
        <v>0</v>
      </c>
      <c r="AD110">
        <f t="shared" ca="1" si="34"/>
        <v>0.99999642914964781</v>
      </c>
      <c r="AE110" s="83">
        <f ca="1"/>
        <v>45448</v>
      </c>
      <c r="AF110" s="55">
        <f t="shared" ca="1" si="43"/>
        <v>45448</v>
      </c>
      <c r="AG110" s="55">
        <f t="shared" ca="1" si="44"/>
        <v>-277.1119777470015</v>
      </c>
      <c r="AH110" s="55">
        <f t="shared" ca="1" si="45"/>
        <v>306.82376407252798</v>
      </c>
      <c r="AI110" s="55">
        <f t="shared" ca="1" si="46"/>
        <v>0</v>
      </c>
      <c r="AJ110" s="55">
        <f t="shared" ca="1" si="40"/>
        <v>0</v>
      </c>
      <c r="AK110" s="55">
        <f t="shared" ca="1" si="41"/>
        <v>9.042998889085256</v>
      </c>
      <c r="AL110" s="55">
        <f t="shared" ca="1" si="42"/>
        <v>-10.68430017779165</v>
      </c>
      <c r="AM110" s="55"/>
    </row>
    <row r="111" spans="18:39">
      <c r="R111" s="83">
        <f ca="1"/>
        <v>45287</v>
      </c>
      <c r="S111" s="55">
        <f t="shared" ca="1" si="35"/>
        <v>45287</v>
      </c>
      <c r="T111" s="55">
        <f t="shared" ca="1" si="28"/>
        <v>98.318837653220342</v>
      </c>
      <c r="U111" s="55">
        <f t="shared" ca="1" si="29"/>
        <v>212.01889968841559</v>
      </c>
      <c r="V111" s="55">
        <f t="shared" ca="1" si="30"/>
        <v>0</v>
      </c>
      <c r="W111" s="55">
        <f t="shared" ca="1" si="36"/>
        <v>0</v>
      </c>
      <c r="X111" s="55">
        <f t="shared" ca="1" si="37"/>
        <v>11.337099645661931</v>
      </c>
      <c r="Y111" s="55">
        <f t="shared" ca="1" si="38"/>
        <v>14.229286095492252</v>
      </c>
      <c r="Z111" s="55">
        <f t="shared" ca="1" si="31"/>
        <v>88.955338799409446</v>
      </c>
      <c r="AA111">
        <f t="shared" ca="1" si="32"/>
        <v>26.565712225426246</v>
      </c>
      <c r="AB111">
        <f t="shared" ca="1" si="39"/>
        <v>0</v>
      </c>
      <c r="AC111">
        <f t="shared" ca="1" si="33"/>
        <v>0</v>
      </c>
      <c r="AD111">
        <f t="shared" ca="1" si="34"/>
        <v>0.99999739610896354</v>
      </c>
      <c r="AE111" s="83">
        <f ca="1"/>
        <v>45449</v>
      </c>
      <c r="AF111" s="55">
        <f t="shared" ca="1" si="43"/>
        <v>45449</v>
      </c>
      <c r="AG111" s="55">
        <f t="shared" ca="1" si="44"/>
        <v>-279.05710521177059</v>
      </c>
      <c r="AH111" s="55">
        <f t="shared" ca="1" si="45"/>
        <v>308.86042452560883</v>
      </c>
      <c r="AI111" s="55">
        <f t="shared" ca="1" si="46"/>
        <v>0</v>
      </c>
      <c r="AJ111" s="55">
        <f t="shared" ca="1" si="40"/>
        <v>0</v>
      </c>
      <c r="AK111" s="55">
        <f t="shared" ca="1" si="41"/>
        <v>9.1163521372779428</v>
      </c>
      <c r="AL111" s="55">
        <f t="shared" ca="1" si="42"/>
        <v>-10.66612043767255</v>
      </c>
      <c r="AM111" s="55"/>
    </row>
    <row r="112" spans="18:39">
      <c r="R112" s="83">
        <f ca="1"/>
        <v>45288</v>
      </c>
      <c r="S112" s="55">
        <f t="shared" ca="1" si="35"/>
        <v>45288</v>
      </c>
      <c r="T112" s="55">
        <f t="shared" ca="1" si="28"/>
        <v>92.353243460971242</v>
      </c>
      <c r="U112" s="55">
        <f t="shared" ca="1" si="29"/>
        <v>218.20256568712563</v>
      </c>
      <c r="V112" s="55">
        <f t="shared" ca="1" si="30"/>
        <v>0</v>
      </c>
      <c r="W112" s="55">
        <f t="shared" ca="1" si="36"/>
        <v>0</v>
      </c>
      <c r="X112" s="55">
        <f t="shared" ca="1" si="37"/>
        <v>11.473071787251246</v>
      </c>
      <c r="Y112" s="55">
        <f t="shared" ca="1" si="38"/>
        <v>14.311385760363876</v>
      </c>
      <c r="Z112" s="55">
        <f t="shared" ca="1" si="31"/>
        <v>86.571323981940566</v>
      </c>
      <c r="AA112">
        <f t="shared" ca="1" si="32"/>
        <v>29.074354195553855</v>
      </c>
      <c r="AB112">
        <f t="shared" ca="1" si="39"/>
        <v>0</v>
      </c>
      <c r="AC112">
        <f t="shared" ca="1" si="33"/>
        <v>0</v>
      </c>
      <c r="AD112">
        <f t="shared" ca="1" si="34"/>
        <v>0.99999811327841026</v>
      </c>
      <c r="AE112" s="83">
        <f ca="1"/>
        <v>45450</v>
      </c>
      <c r="AF112" s="55">
        <f t="shared" ca="1" si="43"/>
        <v>45450</v>
      </c>
      <c r="AG112" s="55">
        <f t="shared" ca="1" si="44"/>
        <v>-281.48583912336841</v>
      </c>
      <c r="AH112" s="55">
        <f t="shared" ca="1" si="45"/>
        <v>311.38817146640304</v>
      </c>
      <c r="AI112" s="55">
        <f t="shared" ca="1" si="46"/>
        <v>0</v>
      </c>
      <c r="AJ112" s="55">
        <f t="shared" ca="1" si="40"/>
        <v>0</v>
      </c>
      <c r="AK112" s="55">
        <f t="shared" ca="1" si="41"/>
        <v>9.1953197629856618</v>
      </c>
      <c r="AL112" s="55">
        <f t="shared" ca="1" si="42"/>
        <v>-10.646075034183911</v>
      </c>
      <c r="AM112" s="55"/>
    </row>
    <row r="113" spans="18:39">
      <c r="R113" s="83">
        <f ca="1"/>
        <v>45289</v>
      </c>
      <c r="S113" s="55">
        <f t="shared" ca="1" si="35"/>
        <v>45289</v>
      </c>
      <c r="T113" s="55">
        <f t="shared" ca="1" si="28"/>
        <v>87.307418321747008</v>
      </c>
      <c r="U113" s="55">
        <f t="shared" ca="1" si="29"/>
        <v>223.44013395944859</v>
      </c>
      <c r="V113" s="55">
        <f t="shared" ca="1" si="30"/>
        <v>0</v>
      </c>
      <c r="W113" s="55">
        <f t="shared" ca="1" si="36"/>
        <v>0</v>
      </c>
      <c r="X113" s="55">
        <f t="shared" ca="1" si="37"/>
        <v>11.594146892214477</v>
      </c>
      <c r="Y113" s="55">
        <f t="shared" ca="1" si="38"/>
        <v>14.382053788499377</v>
      </c>
      <c r="Z113" s="55">
        <f t="shared" ca="1" si="31"/>
        <v>73.325955812521443</v>
      </c>
      <c r="AA113">
        <f t="shared" ca="1" si="32"/>
        <v>27.923437602284874</v>
      </c>
      <c r="AB113">
        <f t="shared" ca="1" si="39"/>
        <v>0</v>
      </c>
      <c r="AC113">
        <f t="shared" ca="1" si="33"/>
        <v>0</v>
      </c>
      <c r="AD113">
        <f t="shared" ca="1" si="34"/>
        <v>0.99999858343527515</v>
      </c>
      <c r="AE113" s="83">
        <f ca="1"/>
        <v>45451</v>
      </c>
      <c r="AF113" s="55">
        <f t="shared" ca="1" si="43"/>
        <v>45451</v>
      </c>
      <c r="AG113" s="55">
        <f t="shared" ca="1" si="44"/>
        <v>-284.06620686918592</v>
      </c>
      <c r="AH113" s="55">
        <f t="shared" ca="1" si="45"/>
        <v>314.07101129978099</v>
      </c>
      <c r="AI113" s="55">
        <f t="shared" ca="1" si="46"/>
        <v>0</v>
      </c>
      <c r="AJ113" s="55">
        <f t="shared" ca="1" si="40"/>
        <v>0</v>
      </c>
      <c r="AK113" s="55">
        <f t="shared" ca="1" si="41"/>
        <v>9.2764499613453726</v>
      </c>
      <c r="AL113" s="55">
        <f t="shared" ca="1" si="42"/>
        <v>-10.624733144983137</v>
      </c>
      <c r="AM113" s="55"/>
    </row>
    <row r="114" spans="18:39">
      <c r="R114" s="83">
        <f ca="1"/>
        <v>45290</v>
      </c>
      <c r="S114" s="55">
        <f t="shared" ca="1" si="35"/>
        <v>45290</v>
      </c>
      <c r="T114" s="55">
        <f t="shared" ca="1" si="28"/>
        <v>82.286472117838457</v>
      </c>
      <c r="U114" s="55">
        <f t="shared" ca="1" si="29"/>
        <v>228.6658964929876</v>
      </c>
      <c r="V114" s="55">
        <f t="shared" ca="1" si="30"/>
        <v>0</v>
      </c>
      <c r="W114" s="55">
        <f t="shared" ca="1" si="36"/>
        <v>0</v>
      </c>
      <c r="X114" s="55">
        <f t="shared" ca="1" si="37"/>
        <v>11.722459404607006</v>
      </c>
      <c r="Y114" s="55">
        <f t="shared" ca="1" si="38"/>
        <v>14.458557605737305</v>
      </c>
      <c r="Z114" s="55">
        <f t="shared" ca="1" si="31"/>
        <v>73.160675469546163</v>
      </c>
      <c r="AA114">
        <f t="shared" ca="1" si="32"/>
        <v>29.600657018620325</v>
      </c>
      <c r="AB114">
        <f t="shared" ca="1" si="39"/>
        <v>0</v>
      </c>
      <c r="AC114">
        <f t="shared" ca="1" si="33"/>
        <v>0</v>
      </c>
      <c r="AD114">
        <f t="shared" ca="1" si="34"/>
        <v>0.99999895156526153</v>
      </c>
      <c r="AE114" s="83">
        <f ca="1"/>
        <v>45452</v>
      </c>
      <c r="AF114" s="55">
        <f t="shared" ca="1" si="43"/>
        <v>45452</v>
      </c>
      <c r="AG114" s="55">
        <f t="shared" ca="1" si="44"/>
        <v>-286.59470577278688</v>
      </c>
      <c r="AH114" s="55">
        <f t="shared" ca="1" si="45"/>
        <v>316.70418631112642</v>
      </c>
      <c r="AI114" s="55">
        <f t="shared" ca="1" si="46"/>
        <v>0</v>
      </c>
      <c r="AJ114" s="55">
        <f t="shared" ca="1" si="40"/>
        <v>0</v>
      </c>
      <c r="AK114" s="55">
        <f t="shared" ca="1" si="41"/>
        <v>9.3588158814167706</v>
      </c>
      <c r="AL114" s="55">
        <f t="shared" ca="1" si="42"/>
        <v>-10.602422957310115</v>
      </c>
      <c r="AM114" s="55"/>
    </row>
    <row r="115" spans="18:39">
      <c r="R115" s="83">
        <f ca="1"/>
        <v>45291</v>
      </c>
      <c r="S115" s="55">
        <f t="shared" ca="1" si="35"/>
        <v>45291</v>
      </c>
      <c r="T115" s="55">
        <f t="shared" ca="1" si="28"/>
        <v>77.752082141678756</v>
      </c>
      <c r="U115" s="55">
        <f t="shared" ca="1" si="29"/>
        <v>233.39183557853346</v>
      </c>
      <c r="V115" s="55">
        <f t="shared" ca="1" si="30"/>
        <v>0</v>
      </c>
      <c r="W115" s="55">
        <f t="shared" ca="1" si="36"/>
        <v>0</v>
      </c>
      <c r="X115" s="55">
        <f t="shared" ca="1" si="37"/>
        <v>11.844333395241531</v>
      </c>
      <c r="Y115" s="55">
        <f t="shared" ca="1" si="38"/>
        <v>14.528232724488932</v>
      </c>
      <c r="Z115" s="55">
        <f t="shared" ca="1" si="31"/>
        <v>66.163147197642047</v>
      </c>
      <c r="AA115">
        <f t="shared" ca="1" si="32"/>
        <v>28.397111240545716</v>
      </c>
      <c r="AB115">
        <f t="shared" ca="1" si="39"/>
        <v>0</v>
      </c>
      <c r="AC115">
        <f t="shared" ca="1" si="33"/>
        <v>0</v>
      </c>
      <c r="AD115">
        <f t="shared" ca="1" si="34"/>
        <v>0.99999921345393772</v>
      </c>
      <c r="AE115" s="83">
        <f ca="1"/>
        <v>45453</v>
      </c>
      <c r="AF115" s="55">
        <f t="shared" ca="1" si="43"/>
        <v>45453</v>
      </c>
      <c r="AG115" s="55">
        <f t="shared" ca="1" si="44"/>
        <v>-288.87557222043489</v>
      </c>
      <c r="AH115" s="55">
        <f t="shared" ca="1" si="45"/>
        <v>319.08841559508994</v>
      </c>
      <c r="AI115" s="55">
        <f t="shared" ca="1" si="46"/>
        <v>0</v>
      </c>
      <c r="AJ115" s="55">
        <f t="shared" ca="1" si="40"/>
        <v>0</v>
      </c>
      <c r="AK115" s="55">
        <f t="shared" ca="1" si="41"/>
        <v>9.4392991642691726</v>
      </c>
      <c r="AL115" s="55">
        <f t="shared" ca="1" si="42"/>
        <v>-10.579543403847023</v>
      </c>
      <c r="AM115" s="55"/>
    </row>
    <row r="116" spans="18:39">
      <c r="R116" s="83">
        <f ca="1"/>
        <v>45292</v>
      </c>
      <c r="S116" s="55">
        <f t="shared" ca="1" si="35"/>
        <v>45292</v>
      </c>
      <c r="T116" s="55">
        <f t="shared" ca="1" si="28"/>
        <v>73.334974437326082</v>
      </c>
      <c r="U116" s="55">
        <f t="shared" ca="1" si="29"/>
        <v>237.99872209668644</v>
      </c>
      <c r="V116" s="55">
        <f t="shared" ca="1" si="30"/>
        <v>0</v>
      </c>
      <c r="W116" s="55">
        <f t="shared" ca="1" si="36"/>
        <v>0</v>
      </c>
      <c r="X116" s="55">
        <f t="shared" ca="1" si="37"/>
        <v>11.967901627169516</v>
      </c>
      <c r="Y116" s="55">
        <f t="shared" ca="1" si="38"/>
        <v>14.594443306361246</v>
      </c>
      <c r="Z116" s="55">
        <f t="shared" ca="1" si="31"/>
        <v>64.496411254141663</v>
      </c>
      <c r="AA116">
        <f t="shared" ca="1" si="32"/>
        <v>26.757398752281166</v>
      </c>
      <c r="AB116">
        <f t="shared" ca="1" si="39"/>
        <v>0</v>
      </c>
      <c r="AC116">
        <f t="shared" ca="1" si="33"/>
        <v>0</v>
      </c>
      <c r="AD116">
        <f t="shared" ca="1" si="34"/>
        <v>0.99999941538077586</v>
      </c>
      <c r="AE116" s="83">
        <f ca="1"/>
        <v>45454</v>
      </c>
      <c r="AF116" s="55">
        <f t="shared" ca="1" si="43"/>
        <v>45454</v>
      </c>
      <c r="AG116" s="55">
        <f t="shared" ca="1" si="44"/>
        <v>-291.18785515935792</v>
      </c>
      <c r="AH116" s="55">
        <f t="shared" ca="1" si="45"/>
        <v>321.51001923083601</v>
      </c>
      <c r="AI116" s="55">
        <f t="shared" ca="1" si="46"/>
        <v>0</v>
      </c>
      <c r="AJ116" s="55">
        <f t="shared" ca="1" si="40"/>
        <v>0</v>
      </c>
      <c r="AK116" s="55">
        <f t="shared" ca="1" si="41"/>
        <v>9.5247268040606183</v>
      </c>
      <c r="AL116" s="55">
        <f t="shared" ca="1" si="42"/>
        <v>-10.555650346815384</v>
      </c>
      <c r="AM116" s="55"/>
    </row>
    <row r="117" spans="18:39">
      <c r="R117" s="83">
        <f ca="1"/>
        <v>45293</v>
      </c>
      <c r="S117" s="55">
        <f t="shared" ca="1" si="35"/>
        <v>45293</v>
      </c>
      <c r="T117" s="55">
        <f t="shared" ca="1" si="28"/>
        <v>68.838551711846748</v>
      </c>
      <c r="U117" s="55">
        <f t="shared" ca="1" si="29"/>
        <v>242.69853243157436</v>
      </c>
      <c r="V117" s="55">
        <f t="shared" ca="1" si="30"/>
        <v>0</v>
      </c>
      <c r="W117" s="55">
        <f t="shared" ca="1" si="36"/>
        <v>0</v>
      </c>
      <c r="X117" s="55">
        <f t="shared" ca="1" si="37"/>
        <v>12.101416330405804</v>
      </c>
      <c r="Y117" s="55">
        <f t="shared" ca="1" si="38"/>
        <v>14.664316212533553</v>
      </c>
      <c r="Z117" s="55">
        <f t="shared" ca="1" si="31"/>
        <v>65.797344688430996</v>
      </c>
      <c r="AA117">
        <f t="shared" ca="1" si="32"/>
        <v>26.812092761593195</v>
      </c>
      <c r="AB117">
        <f t="shared" ca="1" si="39"/>
        <v>0</v>
      </c>
      <c r="AC117">
        <f t="shared" ca="1" si="33"/>
        <v>0</v>
      </c>
      <c r="AD117">
        <f t="shared" ca="1" si="34"/>
        <v>0.99999957662290362</v>
      </c>
      <c r="AE117" s="83">
        <f ca="1"/>
        <v>45455</v>
      </c>
      <c r="AF117" s="55">
        <f t="shared" ca="1" si="43"/>
        <v>45455</v>
      </c>
      <c r="AG117" s="55">
        <f t="shared" ca="1" si="44"/>
        <v>-292.7355287568318</v>
      </c>
      <c r="AH117" s="55">
        <f t="shared" ca="1" si="45"/>
        <v>323.16041847231554</v>
      </c>
      <c r="AI117" s="55">
        <f t="shared" ca="1" si="46"/>
        <v>0</v>
      </c>
      <c r="AJ117" s="55">
        <f t="shared" ca="1" si="40"/>
        <v>0</v>
      </c>
      <c r="AK117" s="55">
        <f t="shared" ca="1" si="41"/>
        <v>9.604127428588594</v>
      </c>
      <c r="AL117" s="55">
        <f t="shared" ca="1" si="42"/>
        <v>-10.532325327337691</v>
      </c>
      <c r="AM117" s="55"/>
    </row>
    <row r="118" spans="18:39">
      <c r="R118" s="83">
        <f ca="1"/>
        <v>45294</v>
      </c>
      <c r="S118" s="55">
        <f t="shared" ca="1" si="35"/>
        <v>45294</v>
      </c>
      <c r="T118" s="55">
        <f t="shared" ca="1" si="28"/>
        <v>64.780828454016557</v>
      </c>
      <c r="U118" s="55">
        <f t="shared" ca="1" si="29"/>
        <v>246.95834900046475</v>
      </c>
      <c r="V118" s="55">
        <f t="shared" ca="1" si="30"/>
        <v>0</v>
      </c>
      <c r="W118" s="55">
        <f t="shared" ca="1" si="36"/>
        <v>0</v>
      </c>
      <c r="X118" s="55">
        <f t="shared" ca="1" si="37"/>
        <v>12.232945131738438</v>
      </c>
      <c r="Y118" s="55">
        <f t="shared" ca="1" si="38"/>
        <v>14.734880722261106</v>
      </c>
      <c r="Z118" s="55">
        <f t="shared" ca="1" si="31"/>
        <v>59.637431964465407</v>
      </c>
      <c r="AA118">
        <f t="shared" ca="1" si="32"/>
        <v>28.217839344577285</v>
      </c>
      <c r="AB118">
        <f t="shared" ca="1" si="39"/>
        <v>0</v>
      </c>
      <c r="AC118">
        <f t="shared" ca="1" si="33"/>
        <v>0</v>
      </c>
      <c r="AD118">
        <f t="shared" ca="1" si="34"/>
        <v>0.99999969053224136</v>
      </c>
      <c r="AE118" s="83">
        <f ca="1"/>
        <v>45456</v>
      </c>
      <c r="AF118" s="55">
        <f t="shared" ca="1" si="43"/>
        <v>45456</v>
      </c>
      <c r="AG118" s="55">
        <f t="shared" ca="1" si="44"/>
        <v>-294.56723185346317</v>
      </c>
      <c r="AH118" s="55">
        <f t="shared" ca="1" si="45"/>
        <v>325.09985226769254</v>
      </c>
      <c r="AI118" s="55">
        <f t="shared" ca="1" si="46"/>
        <v>0</v>
      </c>
      <c r="AJ118" s="55">
        <f t="shared" ca="1" si="40"/>
        <v>0</v>
      </c>
      <c r="AK118" s="55">
        <f t="shared" ca="1" si="41"/>
        <v>9.6872020108526975</v>
      </c>
      <c r="AL118" s="55">
        <f t="shared" ca="1" si="42"/>
        <v>-10.507669210856163</v>
      </c>
      <c r="AM118" s="55"/>
    </row>
    <row r="119" spans="18:39">
      <c r="R119" s="83">
        <f ca="1"/>
        <v>45295</v>
      </c>
      <c r="S119" s="55">
        <f t="shared" ca="1" si="35"/>
        <v>45295</v>
      </c>
      <c r="T119" s="55">
        <f t="shared" ca="1" si="28"/>
        <v>61.338982156332008</v>
      </c>
      <c r="U119" s="55">
        <f t="shared" ca="1" si="29"/>
        <v>250.58781966828752</v>
      </c>
      <c r="V119" s="55">
        <f t="shared" ca="1" si="30"/>
        <v>0</v>
      </c>
      <c r="W119" s="55">
        <f t="shared" ca="1" si="36"/>
        <v>0</v>
      </c>
      <c r="X119" s="55">
        <f t="shared" ca="1" si="37"/>
        <v>12.354667342188677</v>
      </c>
      <c r="Y119" s="55">
        <f t="shared" ca="1" si="38"/>
        <v>14.800782881949091</v>
      </c>
      <c r="Z119" s="55">
        <f t="shared" ca="1" si="31"/>
        <v>50.812589349518817</v>
      </c>
      <c r="AA119">
        <f t="shared" ca="1" si="32"/>
        <v>28.804750586811263</v>
      </c>
      <c r="AB119">
        <f t="shared" ca="1" si="39"/>
        <v>0</v>
      </c>
      <c r="AC119">
        <f t="shared" ca="1" si="33"/>
        <v>0</v>
      </c>
      <c r="AD119">
        <f t="shared" ca="1" si="34"/>
        <v>0.99999976746432162</v>
      </c>
      <c r="AE119" s="83">
        <f ca="1"/>
        <v>45457</v>
      </c>
      <c r="AF119" s="55">
        <f t="shared" ca="1" si="43"/>
        <v>45457</v>
      </c>
      <c r="AG119" s="55">
        <f t="shared" ca="1" si="44"/>
        <v>-296.45538637429615</v>
      </c>
      <c r="AH119" s="55">
        <f t="shared" ca="1" si="45"/>
        <v>327.10138860181598</v>
      </c>
      <c r="AI119" s="55">
        <f t="shared" ca="1" si="46"/>
        <v>0</v>
      </c>
      <c r="AJ119" s="55">
        <f t="shared" ca="1" si="40"/>
        <v>0</v>
      </c>
      <c r="AK119" s="55">
        <f t="shared" ca="1" si="41"/>
        <v>9.7750113634518829</v>
      </c>
      <c r="AL119" s="55">
        <f t="shared" ca="1" si="42"/>
        <v>-10.482096750164924</v>
      </c>
      <c r="AM119" s="55"/>
    </row>
    <row r="120" spans="18:39">
      <c r="R120" s="83">
        <f ca="1"/>
        <v>45296</v>
      </c>
      <c r="S120" s="55">
        <f t="shared" ca="1" si="35"/>
        <v>45296</v>
      </c>
      <c r="T120" s="55">
        <f t="shared" ca="1" si="28"/>
        <v>58.050267982633784</v>
      </c>
      <c r="U120" s="55">
        <f t="shared" ca="1" si="29"/>
        <v>254.06645584658034</v>
      </c>
      <c r="V120" s="55">
        <f t="shared" ca="1" si="30"/>
        <v>0</v>
      </c>
      <c r="W120" s="55">
        <f t="shared" ca="1" si="36"/>
        <v>0</v>
      </c>
      <c r="X120" s="55">
        <f t="shared" ca="1" si="37"/>
        <v>12.478948273282274</v>
      </c>
      <c r="Y120" s="55">
        <f t="shared" ca="1" si="38"/>
        <v>14.866423955450081</v>
      </c>
      <c r="Z120" s="55">
        <f t="shared" ca="1" si="31"/>
        <v>48.700906496099435</v>
      </c>
      <c r="AA120">
        <f t="shared" ca="1" si="32"/>
        <v>28.609764303300132</v>
      </c>
      <c r="AB120">
        <f t="shared" ca="1" si="39"/>
        <v>0</v>
      </c>
      <c r="AC120">
        <f t="shared" ca="1" si="33"/>
        <v>0</v>
      </c>
      <c r="AD120">
        <f t="shared" ca="1" si="34"/>
        <v>0.98718338087923352</v>
      </c>
      <c r="AE120" s="83">
        <f ca="1"/>
        <v>45458</v>
      </c>
      <c r="AF120" s="55">
        <f t="shared" ca="1" si="43"/>
        <v>45458</v>
      </c>
      <c r="AG120" s="55">
        <f t="shared" ca="1" si="44"/>
        <v>-297.74549187055163</v>
      </c>
      <c r="AH120" s="55">
        <f t="shared" ca="1" si="45"/>
        <v>328.50044934417684</v>
      </c>
      <c r="AI120" s="55">
        <f t="shared" ca="1" si="46"/>
        <v>0</v>
      </c>
      <c r="AJ120" s="55">
        <f t="shared" ca="1" si="40"/>
        <v>0</v>
      </c>
      <c r="AK120" s="55">
        <f t="shared" ca="1" si="41"/>
        <v>9.8589197352322415</v>
      </c>
      <c r="AL120" s="55">
        <f t="shared" ca="1" si="42"/>
        <v>-10.457049875839896</v>
      </c>
      <c r="AM120" s="55"/>
    </row>
    <row r="121" spans="18:39">
      <c r="R121" s="83">
        <f ca="1"/>
        <v>45297</v>
      </c>
      <c r="S121" s="55">
        <f t="shared" ca="1" si="35"/>
        <v>45297</v>
      </c>
      <c r="T121" s="55">
        <f t="shared" ca="1" si="28"/>
        <v>54.952301111619875</v>
      </c>
      <c r="U121" s="55">
        <f t="shared" ca="1" si="29"/>
        <v>257.34809931363003</v>
      </c>
      <c r="V121" s="55">
        <f t="shared" ca="1" si="30"/>
        <v>0</v>
      </c>
      <c r="W121" s="55">
        <f t="shared" ca="1" si="36"/>
        <v>0</v>
      </c>
      <c r="X121" s="55">
        <f t="shared" ca="1" si="37"/>
        <v>12.602356729426928</v>
      </c>
      <c r="Y121" s="55">
        <f t="shared" ca="1" si="38"/>
        <v>14.92669209534121</v>
      </c>
      <c r="Z121" s="55">
        <f t="shared" ca="1" si="31"/>
        <v>45.943008538695665</v>
      </c>
      <c r="AA121">
        <f t="shared" ca="1" si="32"/>
        <v>26.420577794569073</v>
      </c>
      <c r="AB121">
        <f t="shared" ca="1" si="39"/>
        <v>0</v>
      </c>
      <c r="AC121">
        <f t="shared" ca="1" si="33"/>
        <v>0</v>
      </c>
      <c r="AD121">
        <f t="shared" ca="1" si="34"/>
        <v>0.95607699622446174</v>
      </c>
      <c r="AE121" s="83">
        <f ca="1"/>
        <v>45459</v>
      </c>
      <c r="AF121" s="55">
        <f t="shared" ca="1" si="43"/>
        <v>45459</v>
      </c>
      <c r="AG121" s="55">
        <f t="shared" ca="1" si="44"/>
        <v>-298.4909960226172</v>
      </c>
      <c r="AH121" s="55">
        <f t="shared" ca="1" si="45"/>
        <v>329.35154346918426</v>
      </c>
      <c r="AI121" s="55">
        <f t="shared" ca="1" si="46"/>
        <v>0</v>
      </c>
      <c r="AJ121" s="55">
        <f t="shared" ca="1" si="40"/>
        <v>0</v>
      </c>
      <c r="AK121" s="55">
        <f t="shared" ca="1" si="41"/>
        <v>9.9399790880301495</v>
      </c>
      <c r="AL121" s="55">
        <f t="shared" ca="1" si="42"/>
        <v>-10.432519255695972</v>
      </c>
      <c r="AM121" s="55"/>
    </row>
    <row r="122" spans="18:39">
      <c r="R122" s="83">
        <f ca="1"/>
        <v>45298</v>
      </c>
      <c r="S122" s="55">
        <f t="shared" ca="1" si="35"/>
        <v>45298</v>
      </c>
      <c r="T122" s="55">
        <f t="shared" ca="1" si="28"/>
        <v>51.789062889164867</v>
      </c>
      <c r="U122" s="55">
        <f t="shared" ca="1" si="29"/>
        <v>260.70708698038817</v>
      </c>
      <c r="V122" s="55">
        <f t="shared" ca="1" si="30"/>
        <v>0</v>
      </c>
      <c r="W122" s="55">
        <f t="shared" ca="1" si="36"/>
        <v>0</v>
      </c>
      <c r="X122" s="55">
        <f t="shared" ca="1" si="37"/>
        <v>12.736547629252122</v>
      </c>
      <c r="Y122" s="55">
        <f t="shared" ca="1" si="38"/>
        <v>14.988250639819151</v>
      </c>
      <c r="Z122" s="55">
        <f t="shared" ca="1" si="31"/>
        <v>47.02582733461395</v>
      </c>
      <c r="AA122">
        <f t="shared" ca="1" si="32"/>
        <v>25.232381699341055</v>
      </c>
      <c r="AB122">
        <f t="shared" ca="1" si="39"/>
        <v>0</v>
      </c>
      <c r="AC122">
        <f t="shared" ca="1" si="33"/>
        <v>0</v>
      </c>
      <c r="AD122">
        <f t="shared" ca="1" si="34"/>
        <v>0.92163778464239299</v>
      </c>
      <c r="AE122" s="83">
        <f ca="1"/>
        <v>45460</v>
      </c>
      <c r="AF122" s="55">
        <f t="shared" ca="1" si="43"/>
        <v>45460</v>
      </c>
      <c r="AG122" s="55">
        <f t="shared" ca="1" si="44"/>
        <v>-299.60116183355615</v>
      </c>
      <c r="AH122" s="55">
        <f t="shared" ca="1" si="45"/>
        <v>330.57487655298581</v>
      </c>
      <c r="AI122" s="55">
        <f t="shared" ca="1" si="46"/>
        <v>0</v>
      </c>
      <c r="AJ122" s="55">
        <f t="shared" ca="1" si="40"/>
        <v>0</v>
      </c>
      <c r="AK122" s="55">
        <f t="shared" ca="1" si="41"/>
        <v>10.027260111516252</v>
      </c>
      <c r="AL122" s="55">
        <f t="shared" ca="1" si="42"/>
        <v>-10.406633006319476</v>
      </c>
      <c r="AM122" s="55"/>
    </row>
    <row r="123" spans="18:39">
      <c r="R123" s="83">
        <f ca="1"/>
        <v>45299</v>
      </c>
      <c r="S123" s="55">
        <f t="shared" ca="1" si="35"/>
        <v>45299</v>
      </c>
      <c r="T123" s="55">
        <f t="shared" ca="1" si="28"/>
        <v>48.970068948081703</v>
      </c>
      <c r="U123" s="55">
        <f t="shared" ca="1" si="29"/>
        <v>263.72095578478763</v>
      </c>
      <c r="V123" s="55">
        <f t="shared" ca="1" si="30"/>
        <v>0</v>
      </c>
      <c r="W123" s="55">
        <f t="shared" ca="1" si="36"/>
        <v>0</v>
      </c>
      <c r="X123" s="55">
        <f t="shared" ca="1" si="37"/>
        <v>12.869105916854123</v>
      </c>
      <c r="Y123" s="55">
        <f t="shared" ca="1" si="38"/>
        <v>15.050567215533452</v>
      </c>
      <c r="Z123" s="55">
        <f t="shared" ca="1" si="31"/>
        <v>42.194163261592507</v>
      </c>
      <c r="AA123">
        <f t="shared" ca="1" si="32"/>
        <v>26.51545143118549</v>
      </c>
      <c r="AB123">
        <f t="shared" ca="1" si="39"/>
        <v>0</v>
      </c>
      <c r="AC123">
        <f t="shared" ca="1" si="33"/>
        <v>0</v>
      </c>
      <c r="AD123">
        <f t="shared" ca="1" si="34"/>
        <v>0.88803177979214842</v>
      </c>
      <c r="AE123" s="83">
        <f ca="1"/>
        <v>45461</v>
      </c>
      <c r="AF123" s="55">
        <f t="shared" ca="1" si="43"/>
        <v>45461</v>
      </c>
      <c r="AG123" s="55">
        <f t="shared" ca="1" si="44"/>
        <v>-300.61510417840122</v>
      </c>
      <c r="AH123" s="55">
        <f t="shared" ca="1" si="45"/>
        <v>331.70320594803758</v>
      </c>
      <c r="AI123" s="55">
        <f t="shared" ca="1" si="46"/>
        <v>0</v>
      </c>
      <c r="AJ123" s="55">
        <f t="shared" ca="1" si="40"/>
        <v>0</v>
      </c>
      <c r="AK123" s="55">
        <f t="shared" ca="1" si="41"/>
        <v>10.115399559277176</v>
      </c>
      <c r="AL123" s="55">
        <f t="shared" ca="1" si="42"/>
        <v>-10.380385403873714</v>
      </c>
      <c r="AM123" s="55"/>
    </row>
    <row r="124" spans="18:39">
      <c r="R124" s="83">
        <f ca="1"/>
        <v>45300</v>
      </c>
      <c r="S124" s="55">
        <f t="shared" ca="1" si="35"/>
        <v>45300</v>
      </c>
      <c r="T124" s="55">
        <f t="shared" ca="1" si="28"/>
        <v>46.574534284459006</v>
      </c>
      <c r="U124" s="55">
        <f t="shared" ca="1" si="29"/>
        <v>266.29340965615893</v>
      </c>
      <c r="V124" s="55">
        <f t="shared" ca="1" si="30"/>
        <v>0</v>
      </c>
      <c r="W124" s="55">
        <f t="shared" ca="1" si="36"/>
        <v>0</v>
      </c>
      <c r="X124" s="55">
        <f t="shared" ca="1" si="37"/>
        <v>12.991304281577287</v>
      </c>
      <c r="Y124" s="55">
        <f t="shared" ca="1" si="38"/>
        <v>15.105288058558884</v>
      </c>
      <c r="Z124" s="55">
        <f t="shared" ca="1" si="31"/>
        <v>36.014354199198124</v>
      </c>
      <c r="AA124">
        <f t="shared" ca="1" si="32"/>
        <v>25.163307962731238</v>
      </c>
      <c r="AB124">
        <f t="shared" ca="1" si="39"/>
        <v>0</v>
      </c>
      <c r="AC124">
        <f t="shared" ca="1" si="33"/>
        <v>0</v>
      </c>
      <c r="AD124">
        <f t="shared" ca="1" si="34"/>
        <v>0.8568976215796491</v>
      </c>
      <c r="AE124" s="83">
        <f ca="1"/>
        <v>45462</v>
      </c>
      <c r="AF124" s="55">
        <f t="shared" ca="1" si="43"/>
        <v>45462</v>
      </c>
      <c r="AG124" s="55">
        <f t="shared" ca="1" si="44"/>
        <v>-301.66245779611734</v>
      </c>
      <c r="AH124" s="55">
        <f t="shared" ca="1" si="45"/>
        <v>332.86791070215833</v>
      </c>
      <c r="AI124" s="55">
        <f t="shared" ca="1" si="46"/>
        <v>0</v>
      </c>
      <c r="AJ124" s="55">
        <f t="shared" ca="1" si="40"/>
        <v>0</v>
      </c>
      <c r="AK124" s="55">
        <f t="shared" ca="1" si="41"/>
        <v>10.205875446066043</v>
      </c>
      <c r="AL124" s="55">
        <f t="shared" ca="1" si="42"/>
        <v>-10.353510154257931</v>
      </c>
      <c r="AM124" s="55"/>
    </row>
    <row r="125" spans="18:39">
      <c r="R125" s="83">
        <f ca="1"/>
        <v>45301</v>
      </c>
      <c r="S125" s="55">
        <f t="shared" ca="1" si="35"/>
        <v>45301</v>
      </c>
      <c r="T125" s="55">
        <f t="shared" ca="1" si="28"/>
        <v>44.444000110020298</v>
      </c>
      <c r="U125" s="55">
        <f t="shared" ca="1" si="29"/>
        <v>268.60160655514426</v>
      </c>
      <c r="V125" s="55">
        <f t="shared" ca="1" si="30"/>
        <v>0</v>
      </c>
      <c r="W125" s="55">
        <f t="shared" ca="1" si="36"/>
        <v>0</v>
      </c>
      <c r="X125" s="55">
        <f t="shared" ca="1" si="37"/>
        <v>13.112331632861741</v>
      </c>
      <c r="Y125" s="55">
        <f t="shared" ca="1" si="38"/>
        <v>15.161923431821048</v>
      </c>
      <c r="Z125" s="55">
        <f t="shared" ca="1" si="31"/>
        <v>32.314756585794612</v>
      </c>
      <c r="AA125">
        <f t="shared" ca="1" si="32"/>
        <v>27.042978655337844</v>
      </c>
      <c r="AB125">
        <f t="shared" ca="1" si="39"/>
        <v>0</v>
      </c>
      <c r="AC125">
        <f t="shared" ca="1" si="33"/>
        <v>0</v>
      </c>
      <c r="AD125">
        <f t="shared" ca="1" si="34"/>
        <v>0.82665221721442916</v>
      </c>
      <c r="AE125" s="83">
        <f ca="1"/>
        <v>45463</v>
      </c>
      <c r="AF125" s="55">
        <f t="shared" ca="1" si="43"/>
        <v>45463</v>
      </c>
      <c r="AG125" s="55">
        <f t="shared" ca="1" si="44"/>
        <v>-302.78860829940493</v>
      </c>
      <c r="AH125" s="55">
        <f t="shared" ca="1" si="45"/>
        <v>334.11508599199061</v>
      </c>
      <c r="AI125" s="55">
        <f t="shared" ca="1" si="46"/>
        <v>0</v>
      </c>
      <c r="AJ125" s="55">
        <f t="shared" ca="1" si="40"/>
        <v>0</v>
      </c>
      <c r="AK125" s="55">
        <f t="shared" ca="1" si="41"/>
        <v>10.29929777868549</v>
      </c>
      <c r="AL125" s="55">
        <f t="shared" ca="1" si="42"/>
        <v>-10.325907700332694</v>
      </c>
      <c r="AM125" s="55"/>
    </row>
    <row r="126" spans="18:39">
      <c r="R126" s="83">
        <f ca="1"/>
        <v>45302</v>
      </c>
      <c r="S126" s="55">
        <f t="shared" ca="1" si="35"/>
        <v>45302</v>
      </c>
      <c r="T126" s="55">
        <f t="shared" ca="1" si="28"/>
        <v>42.430199567140882</v>
      </c>
      <c r="U126" s="55">
        <f t="shared" ca="1" si="29"/>
        <v>270.80032564442911</v>
      </c>
      <c r="V126" s="55">
        <f t="shared" ca="1" si="30"/>
        <v>0</v>
      </c>
      <c r="W126" s="55">
        <f t="shared" ca="1" si="36"/>
        <v>0</v>
      </c>
      <c r="X126" s="55">
        <f t="shared" ca="1" si="37"/>
        <v>13.23799578079776</v>
      </c>
      <c r="Y126" s="55">
        <f t="shared" ca="1" si="38"/>
        <v>15.221177830290459</v>
      </c>
      <c r="Z126" s="55">
        <f t="shared" ca="1" si="31"/>
        <v>30.782067249987904</v>
      </c>
      <c r="AA126">
        <f t="shared" ca="1" si="32"/>
        <v>28.052774360181083</v>
      </c>
      <c r="AB126">
        <f t="shared" ca="1" si="39"/>
        <v>0</v>
      </c>
      <c r="AC126">
        <f t="shared" ca="1" si="33"/>
        <v>0</v>
      </c>
      <c r="AD126">
        <f t="shared" ca="1" si="34"/>
        <v>0.79540696477102002</v>
      </c>
      <c r="AE126" s="83">
        <f ca="1"/>
        <v>45464</v>
      </c>
      <c r="AF126" s="55">
        <f t="shared" ca="1" si="43"/>
        <v>45464</v>
      </c>
      <c r="AG126" s="55">
        <f t="shared" ca="1" si="44"/>
        <v>-303.57220286427088</v>
      </c>
      <c r="AH126" s="55">
        <f t="shared" ca="1" si="45"/>
        <v>335.01690873493612</v>
      </c>
      <c r="AI126" s="55">
        <f t="shared" ca="1" si="46"/>
        <v>0</v>
      </c>
      <c r="AJ126" s="55">
        <f t="shared" ca="1" si="40"/>
        <v>0</v>
      </c>
      <c r="AK126" s="55">
        <f t="shared" ca="1" si="41"/>
        <v>10.390253691707379</v>
      </c>
      <c r="AL126" s="55">
        <f t="shared" ca="1" si="42"/>
        <v>-10.298635435275019</v>
      </c>
      <c r="AM126" s="55"/>
    </row>
    <row r="127" spans="18:39">
      <c r="R127" s="83">
        <f ca="1"/>
        <v>45303</v>
      </c>
      <c r="S127" s="55">
        <f t="shared" ca="1" si="35"/>
        <v>45303</v>
      </c>
      <c r="T127" s="55">
        <f t="shared" ca="1" si="28"/>
        <v>40.532652295175751</v>
      </c>
      <c r="U127" s="55">
        <f t="shared" ca="1" si="29"/>
        <v>272.89253560939312</v>
      </c>
      <c r="V127" s="55">
        <f t="shared" ca="1" si="30"/>
        <v>0</v>
      </c>
      <c r="W127" s="55">
        <f t="shared" ca="1" si="36"/>
        <v>0</v>
      </c>
      <c r="X127" s="55">
        <f t="shared" ca="1" si="37"/>
        <v>13.36954413135704</v>
      </c>
      <c r="Y127" s="55">
        <f t="shared" ca="1" si="38"/>
        <v>15.284292172730062</v>
      </c>
      <c r="Z127" s="55">
        <f t="shared" ca="1" si="31"/>
        <v>29.290939509496184</v>
      </c>
      <c r="AA127">
        <f t="shared" ca="1" si="32"/>
        <v>29.560901417916046</v>
      </c>
      <c r="AB127">
        <f t="shared" ca="1" si="39"/>
        <v>0</v>
      </c>
      <c r="AC127">
        <f t="shared" ca="1" si="33"/>
        <v>0</v>
      </c>
      <c r="AD127">
        <f t="shared" ca="1" si="34"/>
        <v>0.76302299646078453</v>
      </c>
      <c r="AE127" s="83">
        <f ca="1"/>
        <v>45465</v>
      </c>
      <c r="AF127" s="55">
        <f t="shared" ca="1" si="43"/>
        <v>45465</v>
      </c>
      <c r="AG127" s="55">
        <f t="shared" ca="1" si="44"/>
        <v>-304.40061302185251</v>
      </c>
      <c r="AH127" s="55">
        <f t="shared" ca="1" si="45"/>
        <v>335.96528089281793</v>
      </c>
      <c r="AI127" s="55">
        <f t="shared" ca="1" si="46"/>
        <v>0</v>
      </c>
      <c r="AJ127" s="55">
        <f t="shared" ca="1" si="40"/>
        <v>0</v>
      </c>
      <c r="AK127" s="55">
        <f t="shared" ca="1" si="41"/>
        <v>10.482373031932562</v>
      </c>
      <c r="AL127" s="55">
        <f t="shared" ca="1" si="42"/>
        <v>-10.270792775200002</v>
      </c>
      <c r="AM127" s="55"/>
    </row>
    <row r="128" spans="18:39">
      <c r="R128" s="83">
        <f ca="1"/>
        <v>45304</v>
      </c>
      <c r="S128" s="55">
        <f t="shared" ca="1" si="35"/>
        <v>45304</v>
      </c>
      <c r="T128" s="55">
        <f t="shared" ca="1" si="28"/>
        <v>38.782592356379922</v>
      </c>
      <c r="U128" s="55">
        <f t="shared" ca="1" si="29"/>
        <v>274.83430619957983</v>
      </c>
      <c r="V128" s="55">
        <f t="shared" ca="1" si="30"/>
        <v>0</v>
      </c>
      <c r="W128" s="55">
        <f t="shared" ca="1" si="36"/>
        <v>0</v>
      </c>
      <c r="X128" s="55">
        <f t="shared" ca="1" si="37"/>
        <v>13.501317922750186</v>
      </c>
      <c r="Y128" s="55">
        <f t="shared" ca="1" si="38"/>
        <v>15.344229032727798</v>
      </c>
      <c r="Z128" s="55">
        <f t="shared" ca="1" si="31"/>
        <v>27.184788262613893</v>
      </c>
      <c r="AA128">
        <f t="shared" ca="1" si="32"/>
        <v>28.251785286340226</v>
      </c>
      <c r="AB128">
        <f t="shared" ca="1" si="39"/>
        <v>0</v>
      </c>
      <c r="AC128">
        <f t="shared" ca="1" si="33"/>
        <v>0</v>
      </c>
      <c r="AD128">
        <f t="shared" ca="1" si="34"/>
        <v>0.73016687766918165</v>
      </c>
      <c r="AE128" s="83">
        <f ca="1"/>
        <v>45466</v>
      </c>
      <c r="AF128" s="55">
        <f t="shared" ca="1" si="43"/>
        <v>45466</v>
      </c>
      <c r="AG128" s="55">
        <f t="shared" ca="1" si="44"/>
        <v>-305.44592339304296</v>
      </c>
      <c r="AH128" s="55">
        <f t="shared" ca="1" si="45"/>
        <v>337.13606936066907</v>
      </c>
      <c r="AI128" s="55">
        <f t="shared" ca="1" si="46"/>
        <v>0</v>
      </c>
      <c r="AJ128" s="55">
        <f t="shared" ca="1" si="40"/>
        <v>0</v>
      </c>
      <c r="AK128" s="55">
        <f t="shared" ca="1" si="41"/>
        <v>10.57899144123283</v>
      </c>
      <c r="AL128" s="55">
        <f t="shared" ca="1" si="42"/>
        <v>-10.241933087839589</v>
      </c>
      <c r="AM128" s="55"/>
    </row>
    <row r="129" spans="18:39">
      <c r="R129" s="83">
        <f ca="1"/>
        <v>45305</v>
      </c>
      <c r="S129" s="55">
        <f t="shared" ca="1" si="35"/>
        <v>45305</v>
      </c>
      <c r="T129" s="55">
        <f t="shared" ca="1" si="28"/>
        <v>37.193357084347042</v>
      </c>
      <c r="U129" s="55">
        <f t="shared" ca="1" si="29"/>
        <v>276.60838204148212</v>
      </c>
      <c r="V129" s="55">
        <f t="shared" ca="1" si="30"/>
        <v>0</v>
      </c>
      <c r="W129" s="55">
        <f t="shared" ca="1" si="36"/>
        <v>0</v>
      </c>
      <c r="X129" s="55">
        <f t="shared" ca="1" si="37"/>
        <v>13.631087144721864</v>
      </c>
      <c r="Y129" s="55">
        <f t="shared" ca="1" si="38"/>
        <v>15.399300380625526</v>
      </c>
      <c r="Z129" s="55">
        <f t="shared" ca="1" si="31"/>
        <v>24.837061786632034</v>
      </c>
      <c r="AA129">
        <f t="shared" ca="1" si="32"/>
        <v>26.393318699940689</v>
      </c>
      <c r="AB129">
        <f t="shared" ca="1" si="39"/>
        <v>0</v>
      </c>
      <c r="AC129">
        <f t="shared" ca="1" si="33"/>
        <v>0</v>
      </c>
      <c r="AD129">
        <f t="shared" ca="1" si="34"/>
        <v>0.69728298531985144</v>
      </c>
      <c r="AE129" s="83">
        <f ca="1"/>
        <v>45467</v>
      </c>
      <c r="AF129" s="55">
        <f t="shared" ca="1" si="43"/>
        <v>45467</v>
      </c>
      <c r="AG129" s="55">
        <f t="shared" ca="1" si="44"/>
        <v>-306.42364487229031</v>
      </c>
      <c r="AH129" s="55">
        <f t="shared" ca="1" si="45"/>
        <v>338.23946686665369</v>
      </c>
      <c r="AI129" s="55">
        <f t="shared" ca="1" si="46"/>
        <v>0</v>
      </c>
      <c r="AJ129" s="55">
        <f t="shared" ca="1" si="40"/>
        <v>0</v>
      </c>
      <c r="AK129" s="55">
        <f t="shared" ca="1" si="41"/>
        <v>10.675534519404412</v>
      </c>
      <c r="AL129" s="55">
        <f t="shared" ca="1" si="42"/>
        <v>-10.212800139273881</v>
      </c>
      <c r="AM129" s="55"/>
    </row>
    <row r="130" spans="18:39">
      <c r="R130" s="83">
        <f ca="1"/>
        <v>45306</v>
      </c>
      <c r="S130" s="55">
        <f t="shared" ca="1" si="35"/>
        <v>45306</v>
      </c>
      <c r="T130" s="55">
        <f t="shared" ca="1" si="28"/>
        <v>35.697033563906942</v>
      </c>
      <c r="U130" s="55">
        <f t="shared" ca="1" si="29"/>
        <v>278.29080163378211</v>
      </c>
      <c r="V130" s="55">
        <f t="shared" ca="1" si="30"/>
        <v>0</v>
      </c>
      <c r="W130" s="55">
        <f t="shared" ca="1" si="36"/>
        <v>0</v>
      </c>
      <c r="X130" s="55">
        <f t="shared" ca="1" si="37"/>
        <v>13.764286391980544</v>
      </c>
      <c r="Y130" s="55">
        <f t="shared" ca="1" si="38"/>
        <v>15.45219720522674</v>
      </c>
      <c r="Z130" s="55">
        <f t="shared" ca="1" si="31"/>
        <v>23.553874292199907</v>
      </c>
      <c r="AA130">
        <f t="shared" ca="1" si="32"/>
        <v>24.896848318100968</v>
      </c>
      <c r="AB130">
        <f t="shared" ca="1" si="39"/>
        <v>0</v>
      </c>
      <c r="AC130">
        <f t="shared" ca="1" si="33"/>
        <v>0</v>
      </c>
      <c r="AD130">
        <f t="shared" ca="1" si="34"/>
        <v>0.66301041508414749</v>
      </c>
      <c r="AE130" s="83">
        <f ca="1"/>
        <v>45468</v>
      </c>
      <c r="AF130" s="55">
        <f t="shared" ca="1" si="43"/>
        <v>45468</v>
      </c>
      <c r="AG130" s="55">
        <f t="shared" ca="1" si="44"/>
        <v>-307.57272541173654</v>
      </c>
      <c r="AH130" s="55">
        <f t="shared" ca="1" si="45"/>
        <v>339.51815043045673</v>
      </c>
      <c r="AI130" s="55">
        <f t="shared" ca="1" si="46"/>
        <v>0</v>
      </c>
      <c r="AJ130" s="55">
        <f t="shared" ca="1" si="40"/>
        <v>0</v>
      </c>
      <c r="AK130" s="55">
        <f t="shared" ca="1" si="41"/>
        <v>10.775093046571948</v>
      </c>
      <c r="AL130" s="55">
        <f t="shared" ca="1" si="42"/>
        <v>-10.18275564208459</v>
      </c>
      <c r="AM130" s="55"/>
    </row>
    <row r="131" spans="18:39">
      <c r="R131" s="83">
        <f ca="1"/>
        <v>45307</v>
      </c>
      <c r="S131" s="55">
        <f t="shared" ca="1" si="35"/>
        <v>45307</v>
      </c>
      <c r="T131" s="55">
        <f t="shared" ca="1" si="28"/>
        <v>34.40375977484414</v>
      </c>
      <c r="U131" s="55">
        <f t="shared" ca="1" si="29"/>
        <v>279.75660028529779</v>
      </c>
      <c r="V131" s="55">
        <f t="shared" ca="1" si="30"/>
        <v>0</v>
      </c>
      <c r="W131" s="55">
        <f t="shared" ca="1" si="36"/>
        <v>0</v>
      </c>
      <c r="X131" s="55">
        <f t="shared" ca="1" si="37"/>
        <v>13.890351959771042</v>
      </c>
      <c r="Y131" s="55">
        <f t="shared" ca="1" si="38"/>
        <v>15.498656499889124</v>
      </c>
      <c r="Z131" s="55">
        <f t="shared" ca="1" si="31"/>
        <v>20.52118112121957</v>
      </c>
      <c r="AA131">
        <f t="shared" ca="1" si="32"/>
        <v>23.008362951414192</v>
      </c>
      <c r="AB131">
        <f t="shared" ca="1" si="39"/>
        <v>0</v>
      </c>
      <c r="AC131">
        <f t="shared" ca="1" si="33"/>
        <v>0</v>
      </c>
      <c r="AD131">
        <f t="shared" ca="1" si="34"/>
        <v>0.63015429629254471</v>
      </c>
      <c r="AE131" s="83">
        <f ca="1"/>
        <v>45469</v>
      </c>
      <c r="AF131" s="55">
        <f t="shared" ca="1" si="43"/>
        <v>45469</v>
      </c>
      <c r="AG131" s="55">
        <f t="shared" ca="1" si="44"/>
        <v>-308.33044282242531</v>
      </c>
      <c r="AH131" s="55">
        <f t="shared" ca="1" si="45"/>
        <v>340.40057487965822</v>
      </c>
      <c r="AI131" s="55">
        <f t="shared" ca="1" si="46"/>
        <v>0</v>
      </c>
      <c r="AJ131" s="55">
        <f t="shared" ca="1" si="40"/>
        <v>0</v>
      </c>
      <c r="AK131" s="55">
        <f t="shared" ca="1" si="41"/>
        <v>10.87043313726973</v>
      </c>
      <c r="AL131" s="55">
        <f t="shared" ca="1" si="42"/>
        <v>-10.153388694269637</v>
      </c>
      <c r="AM131" s="55"/>
    </row>
    <row r="132" spans="18:39">
      <c r="R132" s="83">
        <f ca="1"/>
        <v>45308</v>
      </c>
      <c r="S132" s="55">
        <f t="shared" ca="1" si="35"/>
        <v>45308</v>
      </c>
      <c r="T132" s="55">
        <f t="shared" ca="1" si="28"/>
        <v>33.246599476601538</v>
      </c>
      <c r="U132" s="55">
        <f t="shared" ca="1" si="29"/>
        <v>281.07821738640166</v>
      </c>
      <c r="V132" s="55">
        <f t="shared" ca="1" si="30"/>
        <v>0</v>
      </c>
      <c r="W132" s="55">
        <f t="shared" ca="1" si="36"/>
        <v>0</v>
      </c>
      <c r="X132" s="55">
        <f t="shared" ca="1" si="37"/>
        <v>14.01334349079821</v>
      </c>
      <c r="Y132" s="55">
        <f t="shared" ca="1" si="38"/>
        <v>15.540121771723223</v>
      </c>
      <c r="Z132" s="55">
        <f t="shared" ca="1" si="31"/>
        <v>18.502639415454155</v>
      </c>
      <c r="AA132">
        <f t="shared" ca="1" si="32"/>
        <v>20.983646936240028</v>
      </c>
      <c r="AB132">
        <f t="shared" ca="1" si="39"/>
        <v>0</v>
      </c>
      <c r="AC132">
        <f t="shared" ca="1" si="33"/>
        <v>0</v>
      </c>
      <c r="AD132">
        <f t="shared" ca="1" si="34"/>
        <v>0.59760368663594421</v>
      </c>
      <c r="AE132" s="83">
        <f ca="1"/>
        <v>45470</v>
      </c>
      <c r="AF132" s="55">
        <f t="shared" ca="1" si="43"/>
        <v>45470</v>
      </c>
      <c r="AG132" s="55">
        <f t="shared" ca="1" si="44"/>
        <v>-308.88955547406727</v>
      </c>
      <c r="AH132" s="55">
        <f t="shared" ca="1" si="45"/>
        <v>341.08266208349949</v>
      </c>
      <c r="AI132" s="55">
        <f t="shared" ca="1" si="46"/>
        <v>0</v>
      </c>
      <c r="AJ132" s="55">
        <f t="shared" ca="1" si="40"/>
        <v>0</v>
      </c>
      <c r="AK132" s="55">
        <f t="shared" ca="1" si="41"/>
        <v>10.964232679217202</v>
      </c>
      <c r="AL132" s="55">
        <f t="shared" ca="1" si="42"/>
        <v>-10.124213684017814</v>
      </c>
      <c r="AM132" s="55"/>
    </row>
    <row r="133" spans="18:39">
      <c r="R133" s="83">
        <f ca="1"/>
        <v>45309</v>
      </c>
      <c r="S133" s="55">
        <f t="shared" ca="1" si="35"/>
        <v>45309</v>
      </c>
      <c r="T133" s="55">
        <f t="shared" ca="1" si="28"/>
        <v>32.169172315463939</v>
      </c>
      <c r="U133" s="55">
        <f t="shared" ca="1" si="29"/>
        <v>282.33700169114854</v>
      </c>
      <c r="V133" s="55">
        <f t="shared" ca="1" si="30"/>
        <v>0</v>
      </c>
      <c r="W133" s="55">
        <f t="shared" ca="1" si="36"/>
        <v>0</v>
      </c>
      <c r="X133" s="55">
        <f t="shared" ca="1" si="37"/>
        <v>14.14546381323818</v>
      </c>
      <c r="Y133" s="55">
        <f t="shared" ca="1" si="38"/>
        <v>15.589358592892536</v>
      </c>
      <c r="Z133" s="55">
        <f t="shared" ca="1" si="31"/>
        <v>17.622980266456352</v>
      </c>
      <c r="AA133">
        <f t="shared" ca="1" si="32"/>
        <v>24.288382473234947</v>
      </c>
      <c r="AB133">
        <f t="shared" ca="1" si="39"/>
        <v>0</v>
      </c>
      <c r="AC133">
        <f t="shared" ca="1" si="33"/>
        <v>0</v>
      </c>
      <c r="AD133">
        <f t="shared" ca="1" si="34"/>
        <v>0.5634422106311503</v>
      </c>
      <c r="AE133" s="83">
        <f ca="1"/>
        <v>45471</v>
      </c>
      <c r="AF133" s="55">
        <f t="shared" ca="1" si="43"/>
        <v>45471</v>
      </c>
      <c r="AG133" s="55">
        <f t="shared" ca="1" si="44"/>
        <v>-309.60473662612503</v>
      </c>
      <c r="AH133" s="55">
        <f t="shared" ca="1" si="45"/>
        <v>341.92801708797941</v>
      </c>
      <c r="AI133" s="55">
        <f t="shared" ca="1" si="46"/>
        <v>0</v>
      </c>
      <c r="AJ133" s="55">
        <f t="shared" ca="1" si="40"/>
        <v>0</v>
      </c>
      <c r="AK133" s="55">
        <f t="shared" ca="1" si="41"/>
        <v>11.064442044011587</v>
      </c>
      <c r="AL133" s="55">
        <f t="shared" ca="1" si="42"/>
        <v>-10.094249196390079</v>
      </c>
      <c r="AM133" s="55"/>
    </row>
    <row r="134" spans="18:39">
      <c r="R134" s="83">
        <f ca="1"/>
        <v>45310</v>
      </c>
      <c r="S134" s="55">
        <f t="shared" ca="1" si="35"/>
        <v>45310</v>
      </c>
      <c r="T134" s="55">
        <f t="shared" ca="1" si="28"/>
        <v>31.224986705314549</v>
      </c>
      <c r="U134" s="55">
        <f t="shared" ca="1" si="29"/>
        <v>283.45362468818024</v>
      </c>
      <c r="V134" s="55">
        <f t="shared" ca="1" si="30"/>
        <v>0</v>
      </c>
      <c r="W134" s="55">
        <f t="shared" ca="1" si="36"/>
        <v>0</v>
      </c>
      <c r="X134" s="55">
        <f t="shared" ca="1" si="37"/>
        <v>14.273380854963772</v>
      </c>
      <c r="Y134" s="55">
        <f t="shared" ca="1" si="38"/>
        <v>15.633878938049248</v>
      </c>
      <c r="Z134" s="55">
        <f t="shared" ca="1" si="31"/>
        <v>15.632721958443767</v>
      </c>
      <c r="AA134">
        <f t="shared" ca="1" si="32"/>
        <v>22.692809448462597</v>
      </c>
      <c r="AB134">
        <f t="shared" ca="1" si="39"/>
        <v>0</v>
      </c>
      <c r="AC134">
        <f t="shared" ca="1" si="33"/>
        <v>0</v>
      </c>
      <c r="AD134">
        <f t="shared" ca="1" si="34"/>
        <v>0.52997507356954343</v>
      </c>
      <c r="AE134" s="83">
        <f ca="1"/>
        <v>45472</v>
      </c>
      <c r="AF134" s="55">
        <f t="shared" ca="1" si="43"/>
        <v>45472</v>
      </c>
      <c r="AG134" s="55">
        <f t="shared" ca="1" si="44"/>
        <v>-310.55106071847416</v>
      </c>
      <c r="AH134" s="55">
        <f t="shared" ca="1" si="45"/>
        <v>343.01135721080561</v>
      </c>
      <c r="AI134" s="55">
        <f t="shared" ca="1" si="46"/>
        <v>0</v>
      </c>
      <c r="AJ134" s="55">
        <f t="shared" ca="1" si="40"/>
        <v>0</v>
      </c>
      <c r="AK134" s="55">
        <f t="shared" ca="1" si="41"/>
        <v>11.170461497699105</v>
      </c>
      <c r="AL134" s="55">
        <f t="shared" ca="1" si="42"/>
        <v>-10.063252619600537</v>
      </c>
      <c r="AM134" s="55"/>
    </row>
    <row r="135" spans="18:39">
      <c r="R135" s="83">
        <f ca="1"/>
        <v>45311</v>
      </c>
      <c r="S135" s="55">
        <f t="shared" ca="1" si="35"/>
        <v>45311</v>
      </c>
      <c r="T135" s="55">
        <f t="shared" ca="1" si="28"/>
        <v>30.453269582781743</v>
      </c>
      <c r="U135" s="55">
        <f t="shared" ca="1" si="29"/>
        <v>284.37590979181317</v>
      </c>
      <c r="V135" s="55">
        <f t="shared" ca="1" si="30"/>
        <v>0</v>
      </c>
      <c r="W135" s="55">
        <f t="shared" ca="1" si="36"/>
        <v>0</v>
      </c>
      <c r="X135" s="55">
        <f t="shared" ca="1" si="37"/>
        <v>14.388110289785802</v>
      </c>
      <c r="Y135" s="55">
        <f t="shared" ca="1" si="38"/>
        <v>15.669717484327341</v>
      </c>
      <c r="Z135" s="55">
        <f t="shared" ca="1" si="31"/>
        <v>12.911991450861024</v>
      </c>
      <c r="AA135">
        <f t="shared" ca="1" si="32"/>
        <v>19.995224957890763</v>
      </c>
      <c r="AB135">
        <f t="shared" ca="1" si="39"/>
        <v>0</v>
      </c>
      <c r="AC135">
        <f t="shared" ca="1" si="33"/>
        <v>0</v>
      </c>
      <c r="AD135">
        <f t="shared" ca="1" si="34"/>
        <v>0.49959080141568579</v>
      </c>
      <c r="AE135" s="83">
        <f ca="1"/>
        <v>45473</v>
      </c>
      <c r="AF135" s="55">
        <f t="shared" ca="1" si="43"/>
        <v>45473</v>
      </c>
      <c r="AG135" s="55">
        <f t="shared" ca="1" si="44"/>
        <v>-310.99880445401334</v>
      </c>
      <c r="AH135" s="55">
        <f t="shared" ca="1" si="45"/>
        <v>343.58747185782079</v>
      </c>
      <c r="AI135" s="55">
        <f t="shared" ca="1" si="46"/>
        <v>0</v>
      </c>
      <c r="AJ135" s="55">
        <f t="shared" ca="1" si="40"/>
        <v>0</v>
      </c>
      <c r="AK135" s="55">
        <f t="shared" ca="1" si="41"/>
        <v>11.26900011226286</v>
      </c>
      <c r="AL135" s="55">
        <f t="shared" ca="1" si="42"/>
        <v>-10.033420322688327</v>
      </c>
      <c r="AM135" s="55"/>
    </row>
    <row r="136" spans="18:39">
      <c r="R136" s="83">
        <f ca="1"/>
        <v>45312</v>
      </c>
      <c r="S136" s="55">
        <f t="shared" ca="1" si="35"/>
        <v>45312</v>
      </c>
      <c r="T136" s="55">
        <f t="shared" ca="1" si="28"/>
        <v>29.660676640109198</v>
      </c>
      <c r="U136" s="55">
        <f t="shared" ca="1" si="29"/>
        <v>285.33088873791223</v>
      </c>
      <c r="V136" s="55">
        <f t="shared" ca="1" si="30"/>
        <v>0</v>
      </c>
      <c r="W136" s="55">
        <f t="shared" ca="1" si="36"/>
        <v>0</v>
      </c>
      <c r="X136" s="55">
        <f t="shared" ca="1" si="37"/>
        <v>14.515450113231879</v>
      </c>
      <c r="Y136" s="55">
        <f t="shared" ca="1" si="38"/>
        <v>15.704763664307782</v>
      </c>
      <c r="Z136" s="55">
        <f t="shared" ca="1" si="31"/>
        <v>13.369705245386854</v>
      </c>
      <c r="AA136">
        <f t="shared" ca="1" si="32"/>
        <v>17.786038126378333</v>
      </c>
      <c r="AB136">
        <f t="shared" ca="1" si="39"/>
        <v>0</v>
      </c>
      <c r="AC136">
        <f t="shared" ca="1" si="33"/>
        <v>0</v>
      </c>
      <c r="AD136">
        <f t="shared" ca="1" si="34"/>
        <v>0.46492940137179717</v>
      </c>
      <c r="AE136" s="83">
        <f ca="1"/>
        <v>45474</v>
      </c>
      <c r="AF136" s="55">
        <f t="shared" ca="1" si="43"/>
        <v>45474</v>
      </c>
      <c r="AG136" s="55">
        <f t="shared" ca="1" si="44"/>
        <v>-311.21020982370209</v>
      </c>
      <c r="AH136" s="55">
        <f t="shared" ca="1" si="45"/>
        <v>343.92413788780982</v>
      </c>
      <c r="AI136" s="55">
        <f t="shared" ca="1" si="46"/>
        <v>0</v>
      </c>
      <c r="AJ136" s="55">
        <f t="shared" ca="1" si="40"/>
        <v>0</v>
      </c>
      <c r="AK136" s="55">
        <f t="shared" ca="1" si="41"/>
        <v>11.36485016466111</v>
      </c>
      <c r="AL136" s="55">
        <f t="shared" ca="1" si="42"/>
        <v>-10.004009714786315</v>
      </c>
      <c r="AM136" s="55"/>
    </row>
    <row r="137" spans="18:39">
      <c r="R137" s="83">
        <f ca="1"/>
        <v>45313</v>
      </c>
      <c r="S137" s="55">
        <f t="shared" ca="1" si="35"/>
        <v>45313</v>
      </c>
      <c r="T137" s="55">
        <f t="shared" ca="1" si="28"/>
        <v>28.923755188107044</v>
      </c>
      <c r="U137" s="55">
        <f t="shared" ca="1" si="29"/>
        <v>286.24172349530738</v>
      </c>
      <c r="V137" s="55">
        <f t="shared" ca="1" si="30"/>
        <v>0</v>
      </c>
      <c r="W137" s="55">
        <f t="shared" ca="1" si="36"/>
        <v>0</v>
      </c>
      <c r="X137" s="55">
        <f t="shared" ca="1" si="37"/>
        <v>14.651218523442758</v>
      </c>
      <c r="Y137" s="55">
        <f t="shared" ca="1" si="38"/>
        <v>15.7429085594899</v>
      </c>
      <c r="Z137" s="55">
        <f t="shared" ca="1" si="31"/>
        <v>12.751686603532107</v>
      </c>
      <c r="AA137">
        <f t="shared" ca="1" si="32"/>
        <v>18.585033731161683</v>
      </c>
      <c r="AB137">
        <f t="shared" ca="1" si="39"/>
        <v>0</v>
      </c>
      <c r="AC137">
        <f t="shared" ca="1" si="33"/>
        <v>0</v>
      </c>
      <c r="AD137">
        <f t="shared" ca="1" si="34"/>
        <v>0.42812943738289311</v>
      </c>
      <c r="AE137" s="83">
        <f ca="1"/>
        <v>45475</v>
      </c>
      <c r="AF137" s="55">
        <f t="shared" ca="1" si="43"/>
        <v>45475</v>
      </c>
      <c r="AG137" s="55">
        <f t="shared" ca="1" si="44"/>
        <v>-311.79532615900627</v>
      </c>
      <c r="AH137" s="55">
        <f t="shared" ca="1" si="45"/>
        <v>344.64311172499566</v>
      </c>
      <c r="AI137" s="55">
        <f t="shared" ca="1" si="46"/>
        <v>0</v>
      </c>
      <c r="AJ137" s="55">
        <f t="shared" ca="1" si="40"/>
        <v>0</v>
      </c>
      <c r="AK137" s="55">
        <f t="shared" ca="1" si="41"/>
        <v>11.467925172016226</v>
      </c>
      <c r="AL137" s="55">
        <f t="shared" ca="1" si="42"/>
        <v>-9.97322722025981</v>
      </c>
      <c r="AM137" s="55"/>
    </row>
    <row r="138" spans="18:39">
      <c r="R138" s="83">
        <f ca="1"/>
        <v>45314</v>
      </c>
      <c r="S138" s="55">
        <f t="shared" ca="1" si="35"/>
        <v>45314</v>
      </c>
      <c r="T138" s="55">
        <f t="shared" ca="1" si="28"/>
        <v>28.327436874384123</v>
      </c>
      <c r="U138" s="55">
        <f t="shared" ca="1" si="29"/>
        <v>286.99422857973741</v>
      </c>
      <c r="V138" s="55">
        <f t="shared" ca="1" si="30"/>
        <v>0</v>
      </c>
      <c r="W138" s="55">
        <f t="shared" ca="1" si="36"/>
        <v>0</v>
      </c>
      <c r="X138" s="55">
        <f t="shared" ca="1" si="37"/>
        <v>14.775095479582104</v>
      </c>
      <c r="Y138" s="55">
        <f t="shared" ca="1" si="38"/>
        <v>15.77521837405766</v>
      </c>
      <c r="Z138" s="55">
        <f t="shared" ca="1" si="31"/>
        <v>10.535071182020374</v>
      </c>
      <c r="AA138">
        <f t="shared" ca="1" si="32"/>
        <v>17.163506956170103</v>
      </c>
      <c r="AB138">
        <f t="shared" ca="1" si="39"/>
        <v>0</v>
      </c>
      <c r="AC138">
        <f t="shared" ca="1" si="33"/>
        <v>0</v>
      </c>
      <c r="AD138">
        <f t="shared" ca="1" si="34"/>
        <v>0.394301244070829</v>
      </c>
      <c r="AE138" s="83">
        <f ca="1"/>
        <v>45476</v>
      </c>
      <c r="AF138" s="55">
        <f t="shared" ca="1" si="43"/>
        <v>45476</v>
      </c>
      <c r="AG138" s="55">
        <f t="shared" ca="1" si="44"/>
        <v>-312.55244592140826</v>
      </c>
      <c r="AH138" s="55">
        <f t="shared" ca="1" si="45"/>
        <v>345.53847748714958</v>
      </c>
      <c r="AI138" s="55">
        <f t="shared" ca="1" si="46"/>
        <v>0</v>
      </c>
      <c r="AJ138" s="55">
        <f t="shared" ca="1" si="40"/>
        <v>0</v>
      </c>
      <c r="AK138" s="55">
        <f t="shared" ca="1" si="41"/>
        <v>11.574581795189806</v>
      </c>
      <c r="AL138" s="55">
        <f t="shared" ca="1" si="42"/>
        <v>-9.9416378436814803</v>
      </c>
      <c r="AM138" s="55"/>
    </row>
    <row r="139" spans="18:39">
      <c r="R139" s="83">
        <f ca="1"/>
        <v>45315</v>
      </c>
      <c r="S139" s="55">
        <f t="shared" ca="1" si="35"/>
        <v>45315</v>
      </c>
      <c r="T139" s="55">
        <f t="shared" ca="1" si="28"/>
        <v>27.818255683952884</v>
      </c>
      <c r="U139" s="55">
        <f t="shared" ca="1" si="29"/>
        <v>287.6552303429371</v>
      </c>
      <c r="V139" s="55">
        <f t="shared" ca="1" si="30"/>
        <v>0</v>
      </c>
      <c r="W139" s="55">
        <f t="shared" ca="1" si="36"/>
        <v>0</v>
      </c>
      <c r="X139" s="55">
        <f t="shared" ca="1" si="37"/>
        <v>14.895733279808255</v>
      </c>
      <c r="Y139" s="55">
        <f t="shared" ca="1" si="38"/>
        <v>15.806401146599967</v>
      </c>
      <c r="Z139" s="55">
        <f t="shared" ca="1" si="31"/>
        <v>9.2540246847956951</v>
      </c>
      <c r="AA139">
        <f t="shared" ca="1" si="32"/>
        <v>17.151169354921194</v>
      </c>
      <c r="AB139">
        <f t="shared" ca="1" si="39"/>
        <v>0</v>
      </c>
      <c r="AC139">
        <f t="shared" ca="1" si="33"/>
        <v>0</v>
      </c>
      <c r="AD139">
        <f t="shared" ca="1" si="34"/>
        <v>0.36141735172149869</v>
      </c>
      <c r="AE139" s="83">
        <f ca="1"/>
        <v>45477</v>
      </c>
      <c r="AF139" s="55">
        <f t="shared" ca="1" si="43"/>
        <v>45477</v>
      </c>
      <c r="AG139" s="55">
        <f t="shared" ca="1" si="44"/>
        <v>-313.4830933029624</v>
      </c>
      <c r="AH139" s="55">
        <f t="shared" ca="1" si="45"/>
        <v>346.61126577833579</v>
      </c>
      <c r="AI139" s="55">
        <f t="shared" ca="1" si="46"/>
        <v>0</v>
      </c>
      <c r="AJ139" s="55">
        <f t="shared" ca="1" si="40"/>
        <v>0</v>
      </c>
      <c r="AK139" s="55">
        <f t="shared" ca="1" si="41"/>
        <v>11.684295398741309</v>
      </c>
      <c r="AL139" s="55">
        <f t="shared" ca="1" si="42"/>
        <v>-9.9092105376008739</v>
      </c>
      <c r="AM139" s="55"/>
    </row>
    <row r="140" spans="18:39">
      <c r="R140" s="83">
        <f ca="1"/>
        <v>45316</v>
      </c>
      <c r="S140" s="55">
        <f t="shared" ca="1" si="35"/>
        <v>45316</v>
      </c>
      <c r="T140" s="55">
        <f t="shared" ca="1" si="28"/>
        <v>27.376680787756662</v>
      </c>
      <c r="U140" s="55">
        <f t="shared" ca="1" si="29"/>
        <v>288.24591084075428</v>
      </c>
      <c r="V140" s="55">
        <f t="shared" ca="1" si="30"/>
        <v>0</v>
      </c>
      <c r="W140" s="55">
        <f t="shared" ca="1" si="36"/>
        <v>0</v>
      </c>
      <c r="X140" s="55">
        <f t="shared" ca="1" si="37"/>
        <v>15.014752977893506</v>
      </c>
      <c r="Y140" s="55">
        <f t="shared" ca="1" si="38"/>
        <v>15.836487050135666</v>
      </c>
      <c r="Z140" s="55">
        <f t="shared" ca="1" si="31"/>
        <v>8.2695269694404487</v>
      </c>
      <c r="AA140">
        <f t="shared" ca="1" si="32"/>
        <v>16.905107049170844</v>
      </c>
      <c r="AB140">
        <f t="shared" ca="1" si="39"/>
        <v>0</v>
      </c>
      <c r="AC140">
        <f t="shared" ca="1" si="33"/>
        <v>0</v>
      </c>
      <c r="AD140">
        <f t="shared" ca="1" si="34"/>
        <v>0.32895006273808058</v>
      </c>
      <c r="AE140" s="83">
        <f ca="1"/>
        <v>45478</v>
      </c>
      <c r="AF140" s="55">
        <f t="shared" ca="1" si="43"/>
        <v>45478</v>
      </c>
      <c r="AG140" s="55">
        <f t="shared" ca="1" si="44"/>
        <v>-314.25463158718696</v>
      </c>
      <c r="AH140" s="55">
        <f t="shared" ca="1" si="45"/>
        <v>347.52641509687328</v>
      </c>
      <c r="AI140" s="55">
        <f t="shared" ca="1" si="46"/>
        <v>0</v>
      </c>
      <c r="AJ140" s="55">
        <f t="shared" ca="1" si="40"/>
        <v>0</v>
      </c>
      <c r="AK140" s="55">
        <f t="shared" ca="1" si="41"/>
        <v>11.795724298149397</v>
      </c>
      <c r="AL140" s="55">
        <f t="shared" ca="1" si="42"/>
        <v>-9.877028402696034</v>
      </c>
      <c r="AM140" s="55"/>
    </row>
    <row r="141" spans="18:39">
      <c r="R141" s="83">
        <f ca="1"/>
        <v>45317</v>
      </c>
      <c r="S141" s="55">
        <f t="shared" ca="1" si="35"/>
        <v>45317</v>
      </c>
      <c r="T141" s="55">
        <f t="shared" ca="1" si="28"/>
        <v>26.996762983457053</v>
      </c>
      <c r="U141" s="55">
        <f t="shared" ca="1" si="29"/>
        <v>288.76932369519938</v>
      </c>
      <c r="V141" s="55">
        <f t="shared" ca="1" si="30"/>
        <v>0</v>
      </c>
      <c r="W141" s="55">
        <f t="shared" ca="1" si="36"/>
        <v>0</v>
      </c>
      <c r="X141" s="55">
        <f t="shared" ca="1" si="37"/>
        <v>15.1306020977306</v>
      </c>
      <c r="Y141" s="55">
        <f t="shared" ca="1" si="38"/>
        <v>15.864132980444063</v>
      </c>
      <c r="Z141" s="55">
        <f t="shared" ca="1" si="31"/>
        <v>7.3277799622313751</v>
      </c>
      <c r="AA141">
        <f t="shared" ca="1" si="32"/>
        <v>15.982765765023068</v>
      </c>
      <c r="AB141">
        <f t="shared" ca="1" si="39"/>
        <v>0</v>
      </c>
      <c r="AC141">
        <f t="shared" ca="1" si="33"/>
        <v>0</v>
      </c>
      <c r="AD141">
        <f t="shared" ca="1" si="34"/>
        <v>0.29720488625557706</v>
      </c>
      <c r="AE141" s="83">
        <f ca="1"/>
        <v>45479</v>
      </c>
      <c r="AF141" s="55">
        <f t="shared" ca="1" si="43"/>
        <v>45479</v>
      </c>
      <c r="AG141" s="55">
        <f t="shared" ca="1" si="44"/>
        <v>-314.51087993922994</v>
      </c>
      <c r="AH141" s="55">
        <f t="shared" ca="1" si="45"/>
        <v>347.915415479572</v>
      </c>
      <c r="AI141" s="55">
        <f t="shared" ca="1" si="46"/>
        <v>0</v>
      </c>
      <c r="AJ141" s="55">
        <f t="shared" ca="1" si="40"/>
        <v>0</v>
      </c>
      <c r="AK141" s="55">
        <f t="shared" ca="1" si="41"/>
        <v>11.897753564691191</v>
      </c>
      <c r="AL141" s="55">
        <f t="shared" ca="1" si="42"/>
        <v>-9.8463056385821091</v>
      </c>
      <c r="AM141" s="55"/>
    </row>
    <row r="142" spans="18:39">
      <c r="R142" s="83">
        <f ca="1"/>
        <v>45318</v>
      </c>
      <c r="S142" s="55">
        <f t="shared" ca="1" si="35"/>
        <v>45318</v>
      </c>
      <c r="T142" s="55">
        <f t="shared" ca="1" si="28"/>
        <v>26.672226664845002</v>
      </c>
      <c r="U142" s="55">
        <f t="shared" ca="1" si="29"/>
        <v>289.24008573866018</v>
      </c>
      <c r="V142" s="55">
        <f t="shared" ca="1" si="30"/>
        <v>0</v>
      </c>
      <c r="W142" s="55">
        <f t="shared" ca="1" si="36"/>
        <v>0</v>
      </c>
      <c r="X142" s="55">
        <f t="shared" ca="1" si="37"/>
        <v>15.246882795578465</v>
      </c>
      <c r="Y142" s="55">
        <f t="shared" ca="1" si="38"/>
        <v>15.894078007444959</v>
      </c>
      <c r="Z142" s="55">
        <f t="shared" ca="1" si="31"/>
        <v>6.590668608451324</v>
      </c>
      <c r="AA142">
        <f t="shared" ca="1" si="32"/>
        <v>17.617258921980401</v>
      </c>
      <c r="AB142">
        <f t="shared" ca="1" si="39"/>
        <v>0</v>
      </c>
      <c r="AC142">
        <f t="shared" ca="1" si="33"/>
        <v>0</v>
      </c>
      <c r="AD142">
        <f t="shared" ca="1" si="34"/>
        <v>0.26573744535034827</v>
      </c>
      <c r="AE142" s="83">
        <f ca="1"/>
        <v>45480</v>
      </c>
      <c r="AF142" s="55">
        <f t="shared" ca="1" si="43"/>
        <v>45480</v>
      </c>
      <c r="AG142" s="55">
        <f t="shared" ca="1" si="44"/>
        <v>-314.53111193986018</v>
      </c>
      <c r="AH142" s="55">
        <f t="shared" ca="1" si="45"/>
        <v>348.0650427892553</v>
      </c>
      <c r="AI142" s="55">
        <f t="shared" ca="1" si="46"/>
        <v>0</v>
      </c>
      <c r="AJ142" s="55">
        <f t="shared" ca="1" si="40"/>
        <v>0</v>
      </c>
      <c r="AK142" s="55">
        <f t="shared" ca="1" si="41"/>
        <v>11.99699358483004</v>
      </c>
      <c r="AL142" s="55">
        <f t="shared" ca="1" si="42"/>
        <v>-9.816150349667895</v>
      </c>
      <c r="AM142" s="55"/>
    </row>
    <row r="143" spans="18:39">
      <c r="R143" s="83">
        <f ca="1"/>
        <v>45319</v>
      </c>
      <c r="S143" s="55">
        <f t="shared" ca="1" si="35"/>
        <v>45319</v>
      </c>
      <c r="T143" s="55">
        <f t="shared" ca="1" si="28"/>
        <v>26.371163737658623</v>
      </c>
      <c r="U143" s="55">
        <f t="shared" ca="1" si="29"/>
        <v>289.69268884873884</v>
      </c>
      <c r="V143" s="55">
        <f t="shared" ca="1" si="30"/>
        <v>0</v>
      </c>
      <c r="W143" s="55">
        <f t="shared" ca="1" si="36"/>
        <v>0</v>
      </c>
      <c r="X143" s="55">
        <f t="shared" ca="1" si="37"/>
        <v>15.368990258319322</v>
      </c>
      <c r="Y143" s="55">
        <f t="shared" ca="1" si="38"/>
        <v>15.923510727596378</v>
      </c>
      <c r="Z143" s="55">
        <f t="shared" ca="1" si="31"/>
        <v>6.3364435411011755</v>
      </c>
      <c r="AA143">
        <f t="shared" ca="1" si="32"/>
        <v>16.666779155361215</v>
      </c>
      <c r="AB143">
        <f t="shared" ca="1" si="39"/>
        <v>0</v>
      </c>
      <c r="AC143">
        <f t="shared" ca="1" si="33"/>
        <v>0</v>
      </c>
      <c r="AD143">
        <f t="shared" ca="1" si="34"/>
        <v>0.23229808184646872</v>
      </c>
      <c r="AE143" s="83">
        <f ca="1"/>
        <v>45481</v>
      </c>
      <c r="AF143" s="55">
        <f t="shared" ca="1" si="43"/>
        <v>45481</v>
      </c>
      <c r="AG143" s="55">
        <f t="shared" ca="1" si="44"/>
        <v>-314.70985818469046</v>
      </c>
      <c r="AH143" s="55">
        <f t="shared" ca="1" si="45"/>
        <v>348.37697776257454</v>
      </c>
      <c r="AI143" s="55">
        <f t="shared" ca="1" si="46"/>
        <v>0</v>
      </c>
      <c r="AJ143" s="55">
        <f t="shared" ca="1" si="40"/>
        <v>0</v>
      </c>
      <c r="AK143" s="55">
        <f t="shared" ca="1" si="41"/>
        <v>12.099361159845714</v>
      </c>
      <c r="AL143" s="55">
        <f t="shared" ca="1" si="42"/>
        <v>-9.7853291961945885</v>
      </c>
      <c r="AM143" s="55"/>
    </row>
    <row r="144" spans="18:39">
      <c r="R144" s="83">
        <f ca="1"/>
        <v>45320</v>
      </c>
      <c r="S144" s="55">
        <f t="shared" ca="1" si="35"/>
        <v>45320</v>
      </c>
      <c r="T144" s="55">
        <f t="shared" ca="1" si="28"/>
        <v>26.098455990699811</v>
      </c>
      <c r="U144" s="55">
        <f t="shared" ca="1" si="29"/>
        <v>290.11490323256174</v>
      </c>
      <c r="V144" s="55">
        <f t="shared" ca="1" si="30"/>
        <v>0</v>
      </c>
      <c r="W144" s="55">
        <f t="shared" ca="1" si="36"/>
        <v>0</v>
      </c>
      <c r="X144" s="55">
        <f t="shared" ca="1" si="37"/>
        <v>15.493094574485012</v>
      </c>
      <c r="Y144" s="55">
        <f t="shared" ca="1" si="38"/>
        <v>15.948913048294777</v>
      </c>
      <c r="Z144" s="55">
        <f t="shared" ca="1" si="31"/>
        <v>5.9110013735206621</v>
      </c>
      <c r="AA144">
        <f t="shared" ca="1" si="32"/>
        <v>14.09664292708382</v>
      </c>
      <c r="AB144">
        <f t="shared" ca="1" si="39"/>
        <v>0</v>
      </c>
      <c r="AC144">
        <f t="shared" ca="1" si="33"/>
        <v>0</v>
      </c>
      <c r="AD144">
        <f t="shared" ca="1" si="34"/>
        <v>0.19763668180258021</v>
      </c>
      <c r="AE144" s="83">
        <f ca="1"/>
        <v>45482</v>
      </c>
      <c r="AF144" s="55">
        <f t="shared" ca="1" si="43"/>
        <v>45482</v>
      </c>
      <c r="AG144" s="55">
        <f t="shared" ca="1" si="44"/>
        <v>-315.02574927121361</v>
      </c>
      <c r="AH144" s="55">
        <f t="shared" ca="1" si="45"/>
        <v>348.82908986207764</v>
      </c>
      <c r="AI144" s="55">
        <f t="shared" ca="1" si="46"/>
        <v>0</v>
      </c>
      <c r="AJ144" s="55">
        <f t="shared" ca="1" si="40"/>
        <v>0</v>
      </c>
      <c r="AK144" s="55">
        <f t="shared" ca="1" si="41"/>
        <v>12.204155284948675</v>
      </c>
      <c r="AL144" s="55">
        <f t="shared" ca="1" si="42"/>
        <v>-9.7539023083175831</v>
      </c>
      <c r="AM144" s="55"/>
    </row>
    <row r="145" spans="18:39">
      <c r="R145" s="83">
        <f ca="1"/>
        <v>45321</v>
      </c>
      <c r="S145" s="55">
        <f t="shared" ca="1" si="35"/>
        <v>45321</v>
      </c>
      <c r="T145" s="55">
        <f t="shared" ca="1" si="28"/>
        <v>25.856033081955729</v>
      </c>
      <c r="U145" s="55">
        <f t="shared" ca="1" si="29"/>
        <v>290.50924666772374</v>
      </c>
      <c r="V145" s="55">
        <f t="shared" ca="1" si="30"/>
        <v>0</v>
      </c>
      <c r="W145" s="55">
        <f t="shared" ca="1" si="36"/>
        <v>0</v>
      </c>
      <c r="X145" s="55">
        <f t="shared" ca="1" si="37"/>
        <v>15.621234387179474</v>
      </c>
      <c r="Y145" s="55">
        <f t="shared" ca="1" si="38"/>
        <v>15.972693762018229</v>
      </c>
      <c r="Z145" s="55">
        <f t="shared" ca="1" si="31"/>
        <v>5.5208080922679983</v>
      </c>
      <c r="AA145">
        <f t="shared" ca="1" si="32"/>
        <v>12.839936015461644</v>
      </c>
      <c r="AB145">
        <f t="shared" ca="1" si="39"/>
        <v>0</v>
      </c>
      <c r="AC145">
        <f t="shared" ca="1" si="33"/>
        <v>0</v>
      </c>
      <c r="AD145">
        <f t="shared" ca="1" si="34"/>
        <v>0.16150328319913554</v>
      </c>
      <c r="AE145" s="83">
        <f ca="1"/>
        <v>45483</v>
      </c>
      <c r="AF145" s="55">
        <f t="shared" ca="1" si="43"/>
        <v>45483</v>
      </c>
      <c r="AG145" s="55">
        <f t="shared" ca="1" si="44"/>
        <v>-315.27880319932967</v>
      </c>
      <c r="AH145" s="55">
        <f t="shared" ca="1" si="45"/>
        <v>349.21834181779877</v>
      </c>
      <c r="AI145" s="55">
        <f t="shared" ca="1" si="46"/>
        <v>0</v>
      </c>
      <c r="AJ145" s="55">
        <f t="shared" ca="1" si="40"/>
        <v>0</v>
      </c>
      <c r="AK145" s="55">
        <f t="shared" ca="1" si="41"/>
        <v>12.308979228120419</v>
      </c>
      <c r="AL145" s="55">
        <f t="shared" ca="1" si="42"/>
        <v>-9.7225282238842858</v>
      </c>
      <c r="AM145" s="55"/>
    </row>
    <row r="146" spans="18:39">
      <c r="R146" s="83">
        <f ca="1"/>
        <v>45322</v>
      </c>
      <c r="S146" s="55">
        <f t="shared" ca="1" si="35"/>
        <v>45322</v>
      </c>
      <c r="T146" s="55">
        <f t="shared" ref="T146:T209" ca="1" si="47">VLOOKUP(S146,ModelOutputs,2,FALSE)</f>
        <v>25.652621392863889</v>
      </c>
      <c r="U146" s="55">
        <f t="shared" ref="U146:U209" ca="1" si="48">VLOOKUP(S146,ModelOutputs,7,FALSE)</f>
        <v>290.86469479227634</v>
      </c>
      <c r="V146" s="55">
        <f t="shared" ref="V146:V209" ca="1" si="49">VLOOKUP(S146,ModelOutputs,6,FALSE)</f>
        <v>0</v>
      </c>
      <c r="W146" s="55">
        <f t="shared" ca="1" si="36"/>
        <v>0</v>
      </c>
      <c r="X146" s="55">
        <f t="shared" ca="1" si="37"/>
        <v>15.750217156153127</v>
      </c>
      <c r="Y146" s="55">
        <f t="shared" ca="1" si="38"/>
        <v>15.99574742850533</v>
      </c>
      <c r="Z146" s="55">
        <f t="shared" ref="Z146:Z209" ca="1" si="50">VLOOKUP(S146,ModelOutputs,3,FALSE)*14</f>
        <v>4.9762737437363285</v>
      </c>
      <c r="AA146">
        <f t="shared" ref="AA146:AA209" ca="1" si="51">VLOOKUP(S146,ModelOutputs,10,FALSE)*AWC</f>
        <v>12.455518375857153</v>
      </c>
      <c r="AB146">
        <f t="shared" ca="1" si="39"/>
        <v>0</v>
      </c>
      <c r="AC146">
        <f t="shared" ref="AC146:AC209" ca="1" si="52">VLOOKUP(S146,ModelOutputs,12,FALSE)</f>
        <v>0</v>
      </c>
      <c r="AD146">
        <f t="shared" ref="AD146:AD209" ca="1" si="53">VLOOKUP(S146,ModelOutputs,13,FALSE)</f>
        <v>0.12503660190296084</v>
      </c>
      <c r="AE146" s="83">
        <f ca="1"/>
        <v>45484</v>
      </c>
      <c r="AF146" s="55">
        <f t="shared" ca="1" si="43"/>
        <v>45484</v>
      </c>
      <c r="AG146" s="55">
        <f t="shared" ca="1" si="44"/>
        <v>-315.68590236884768</v>
      </c>
      <c r="AH146" s="55">
        <f t="shared" ca="1" si="45"/>
        <v>349.76530231955297</v>
      </c>
      <c r="AI146" s="55">
        <f t="shared" ca="1" si="46"/>
        <v>0</v>
      </c>
      <c r="AJ146" s="55">
        <f t="shared" ca="1" si="40"/>
        <v>0</v>
      </c>
      <c r="AK146" s="55">
        <f t="shared" ca="1" si="41"/>
        <v>12.416805270988597</v>
      </c>
      <c r="AL146" s="55">
        <f t="shared" ca="1" si="42"/>
        <v>-9.6904929345162607</v>
      </c>
      <c r="AM146" s="55"/>
    </row>
    <row r="147" spans="18:39">
      <c r="R147" s="83">
        <f ca="1"/>
        <v>45323</v>
      </c>
      <c r="S147" s="55">
        <f t="shared" ref="S147:S210" ca="1" si="54">IF(R147&gt;1,R147,"")</f>
        <v>45323</v>
      </c>
      <c r="T147" s="55">
        <f t="shared" ca="1" si="47"/>
        <v>25.490629126817602</v>
      </c>
      <c r="U147" s="55">
        <f t="shared" ca="1" si="48"/>
        <v>291.16886630866122</v>
      </c>
      <c r="V147" s="55">
        <f t="shared" ca="1" si="49"/>
        <v>0</v>
      </c>
      <c r="W147" s="55">
        <f t="shared" ref="W147:W210" ca="1" si="55">-VLOOKUP(S147,ModelOutputs,9,FALSE)+W146</f>
        <v>0</v>
      </c>
      <c r="X147" s="55">
        <f t="shared" ref="X147:X210" ca="1" si="56">VLOOKUP(S147,ModelOutputs,5,FALSE)+X146</f>
        <v>15.872744710965669</v>
      </c>
      <c r="Y147" s="55">
        <f t="shared" ref="Y147:Y210" ca="1" si="57">VLOOKUP(S147,ModelOutputs,4,FALSE)+Y146</f>
        <v>16.015399124031386</v>
      </c>
      <c r="Z147" s="55">
        <f t="shared" ca="1" si="50"/>
        <v>4.2584012293883688</v>
      </c>
      <c r="AA147">
        <f t="shared" ca="1" si="51"/>
        <v>11.136953962818726</v>
      </c>
      <c r="AB147">
        <f t="shared" ref="AB147:AB210" ca="1" si="58">VLOOKUP(S147,ModelOutputs,11,FALSE)+AB146</f>
        <v>0</v>
      </c>
      <c r="AC147">
        <f t="shared" ca="1" si="52"/>
        <v>0</v>
      </c>
      <c r="AD147">
        <f t="shared" ca="1" si="53"/>
        <v>9.0153013397252679E-2</v>
      </c>
      <c r="AE147" s="83">
        <f ca="1"/>
        <v>45485</v>
      </c>
      <c r="AF147" s="55">
        <f t="shared" ca="1" si="43"/>
        <v>45485</v>
      </c>
      <c r="AG147" s="55">
        <f t="shared" ca="1" si="44"/>
        <v>-316.14004560064973</v>
      </c>
      <c r="AH147" s="55">
        <f t="shared" ca="1" si="45"/>
        <v>350.36110674991994</v>
      </c>
      <c r="AI147" s="55">
        <f t="shared" ca="1" si="46"/>
        <v>0</v>
      </c>
      <c r="AJ147" s="55">
        <f t="shared" ref="AJ147:AJ210" ca="1" si="59">-VLOOKUP(AF147,ModelOutputs,9,FALSE)+AJ146</f>
        <v>0</v>
      </c>
      <c r="AK147" s="55">
        <f t="shared" ref="AK147:AK210" ca="1" si="60">VLOOKUP(AF147,ModelOutputs,5,FALSE)+AK146</f>
        <v>12.526126671750028</v>
      </c>
      <c r="AL147" s="55">
        <f t="shared" ref="AL147:AL210" ca="1" si="61">VLOOKUP(AF147,ModelOutputs,4,FALSE)+AL146</f>
        <v>-9.6581531367127464</v>
      </c>
      <c r="AM147" s="55"/>
    </row>
    <row r="148" spans="18:39">
      <c r="R148" s="83">
        <f ca="1"/>
        <v>45324</v>
      </c>
      <c r="S148" s="55">
        <f t="shared" ca="1" si="54"/>
        <v>45324</v>
      </c>
      <c r="T148" s="55">
        <f t="shared" ca="1" si="47"/>
        <v>25.372500776426879</v>
      </c>
      <c r="U148" s="55">
        <f t="shared" ca="1" si="48"/>
        <v>291.42033183291591</v>
      </c>
      <c r="V148" s="55">
        <f t="shared" ca="1" si="49"/>
        <v>0</v>
      </c>
      <c r="W148" s="55">
        <f t="shared" ca="1" si="55"/>
        <v>0</v>
      </c>
      <c r="X148" s="55">
        <f t="shared" ca="1" si="56"/>
        <v>15.986482585355068</v>
      </c>
      <c r="Y148" s="55">
        <f t="shared" ca="1" si="57"/>
        <v>16.034998423505947</v>
      </c>
      <c r="Z148" s="55">
        <f t="shared" ca="1" si="50"/>
        <v>3.520517339565572</v>
      </c>
      <c r="AA148">
        <f t="shared" ca="1" si="51"/>
        <v>12.020943815287772</v>
      </c>
      <c r="AB148">
        <f t="shared" ca="1" si="58"/>
        <v>0</v>
      </c>
      <c r="AC148">
        <f t="shared" ca="1" si="52"/>
        <v>0</v>
      </c>
      <c r="AD148">
        <f t="shared" ca="1" si="53"/>
        <v>5.8130101337474316E-2</v>
      </c>
      <c r="AE148" s="83">
        <f ca="1"/>
        <v>45486</v>
      </c>
      <c r="AF148" s="55">
        <f t="shared" ca="1" si="43"/>
        <v>45486</v>
      </c>
      <c r="AG148" s="55">
        <f t="shared" ca="1" si="44"/>
        <v>-316.75568124604285</v>
      </c>
      <c r="AH148" s="55">
        <f t="shared" ca="1" si="45"/>
        <v>351.12208621775505</v>
      </c>
      <c r="AI148" s="55">
        <f t="shared" ca="1" si="46"/>
        <v>0</v>
      </c>
      <c r="AJ148" s="55">
        <f t="shared" ca="1" si="59"/>
        <v>0</v>
      </c>
      <c r="AK148" s="55">
        <f t="shared" ca="1" si="60"/>
        <v>12.638423341313061</v>
      </c>
      <c r="AL148" s="55">
        <f t="shared" ca="1" si="61"/>
        <v>-9.6251059838337945</v>
      </c>
      <c r="AM148" s="55"/>
    </row>
    <row r="149" spans="18:39">
      <c r="R149" s="83">
        <f ca="1"/>
        <v>45325</v>
      </c>
      <c r="S149" s="55">
        <f t="shared" ca="1" si="54"/>
        <v>45325</v>
      </c>
      <c r="T149" s="55">
        <f t="shared" ca="1" si="47"/>
        <v>25.280442968471714</v>
      </c>
      <c r="U149" s="55">
        <f t="shared" ca="1" si="48"/>
        <v>291.64422171369841</v>
      </c>
      <c r="V149" s="55">
        <f t="shared" ca="1" si="49"/>
        <v>0</v>
      </c>
      <c r="W149" s="55">
        <f t="shared" ca="1" si="55"/>
        <v>0</v>
      </c>
      <c r="X149" s="55">
        <f t="shared" ca="1" si="56"/>
        <v>16.098706790311248</v>
      </c>
      <c r="Y149" s="55">
        <f t="shared" ca="1" si="57"/>
        <v>16.054606291377112</v>
      </c>
      <c r="Z149" s="55">
        <f t="shared" ca="1" si="50"/>
        <v>3.1344583309551126</v>
      </c>
      <c r="AA149">
        <f t="shared" ca="1" si="51"/>
        <v>12.279987477558929</v>
      </c>
      <c r="AB149">
        <f t="shared" ca="1" si="58"/>
        <v>0</v>
      </c>
      <c r="AC149">
        <f t="shared" ca="1" si="52"/>
        <v>0</v>
      </c>
      <c r="AD149">
        <f t="shared" ca="1" si="53"/>
        <v>2.6634886874518093E-2</v>
      </c>
      <c r="AE149" s="83">
        <f ca="1"/>
        <v>45487</v>
      </c>
      <c r="AF149" s="55">
        <f t="shared" ref="AF149:AF212" ca="1" si="62">IF(AE149&gt;1,AE149,"")</f>
        <v>45487</v>
      </c>
      <c r="AG149" s="55">
        <f t="shared" ref="AG149:AG212" ca="1" si="63">VLOOKUP(AF149,ModelOutputs,2,FALSE)</f>
        <v>-317.17403172678445</v>
      </c>
      <c r="AH149" s="55">
        <f t="shared" ref="AH149:AH212" ca="1" si="64">VLOOKUP(AF149,ModelOutputs,7,FALSE)</f>
        <v>351.68123198879437</v>
      </c>
      <c r="AI149" s="55">
        <f t="shared" ref="AI149:AI212" ca="1" si="65">VLOOKUP(AF149,ModelOutputs,6,FALSE)</f>
        <v>0</v>
      </c>
      <c r="AJ149" s="55">
        <f t="shared" ca="1" si="59"/>
        <v>0</v>
      </c>
      <c r="AK149" s="55">
        <f t="shared" ca="1" si="60"/>
        <v>12.746745354143007</v>
      </c>
      <c r="AL149" s="55">
        <f t="shared" ca="1" si="61"/>
        <v>-9.5926327063660093</v>
      </c>
      <c r="AM149" s="55"/>
    </row>
    <row r="150" spans="18:39">
      <c r="R150" s="83">
        <f ca="1"/>
        <v>45326</v>
      </c>
      <c r="S150" s="55">
        <f t="shared" ca="1" si="54"/>
        <v>45326</v>
      </c>
      <c r="T150" s="55">
        <f t="shared" ca="1" si="47"/>
        <v>25.204894729374026</v>
      </c>
      <c r="U150" s="55">
        <f t="shared" ca="1" si="48"/>
        <v>291.87373791370669</v>
      </c>
      <c r="V150" s="55">
        <f t="shared" ca="1" si="49"/>
        <v>0</v>
      </c>
      <c r="W150" s="55">
        <f t="shared" ca="1" si="55"/>
        <v>0</v>
      </c>
      <c r="X150" s="55">
        <f t="shared" ca="1" si="56"/>
        <v>16.227277538127662</v>
      </c>
      <c r="Y150" s="55">
        <f t="shared" ca="1" si="57"/>
        <v>16.080003504471286</v>
      </c>
      <c r="Z150" s="55">
        <f t="shared" ca="1" si="50"/>
        <v>3.2132268001158764</v>
      </c>
      <c r="AA150">
        <f t="shared" ca="1" si="51"/>
        <v>14.383779740145725</v>
      </c>
      <c r="AB150">
        <f t="shared" ca="1" si="58"/>
        <v>0</v>
      </c>
      <c r="AC150">
        <f t="shared" ca="1" si="52"/>
        <v>0</v>
      </c>
      <c r="AD150">
        <f t="shared" ca="1" si="53"/>
        <v>0</v>
      </c>
      <c r="AE150" s="83">
        <f ca="1"/>
        <v>45488</v>
      </c>
      <c r="AF150" s="55">
        <f t="shared" ca="1" si="62"/>
        <v>45488</v>
      </c>
      <c r="AG150" s="55">
        <f t="shared" ca="1" si="63"/>
        <v>-317.88074124752524</v>
      </c>
      <c r="AH150" s="55">
        <f t="shared" ca="1" si="64"/>
        <v>352.53756752903166</v>
      </c>
      <c r="AI150" s="55">
        <f t="shared" ca="1" si="65"/>
        <v>0</v>
      </c>
      <c r="AJ150" s="55">
        <f t="shared" ca="1" si="59"/>
        <v>0</v>
      </c>
      <c r="AK150" s="55">
        <f t="shared" ca="1" si="60"/>
        <v>12.862722968651459</v>
      </c>
      <c r="AL150" s="55">
        <f t="shared" ca="1" si="61"/>
        <v>-9.558984301377933</v>
      </c>
      <c r="AM150" s="55"/>
    </row>
    <row r="151" spans="18:39">
      <c r="R151" s="83">
        <f ca="1"/>
        <v>45327</v>
      </c>
      <c r="S151" s="55">
        <f t="shared" ca="1" si="54"/>
        <v>45327</v>
      </c>
      <c r="T151" s="55">
        <f t="shared" ca="1" si="47"/>
        <v>25.16808903996219</v>
      </c>
      <c r="U151" s="55">
        <f t="shared" ca="1" si="48"/>
        <v>292.05096608334838</v>
      </c>
      <c r="V151" s="55">
        <f t="shared" ca="1" si="49"/>
        <v>0</v>
      </c>
      <c r="W151" s="55">
        <f t="shared" ca="1" si="55"/>
        <v>0</v>
      </c>
      <c r="X151" s="55">
        <f t="shared" ca="1" si="56"/>
        <v>16.34103368543682</v>
      </c>
      <c r="Y151" s="55">
        <f t="shared" ca="1" si="57"/>
        <v>16.106669837391991</v>
      </c>
      <c r="Z151" s="55">
        <f t="shared" ca="1" si="50"/>
        <v>2.4811943749837155</v>
      </c>
      <c r="AA151">
        <f t="shared" ca="1" si="51"/>
        <v>17.337131341733812</v>
      </c>
      <c r="AB151">
        <f t="shared" ca="1" si="58"/>
        <v>0</v>
      </c>
      <c r="AC151">
        <f t="shared" ca="1" si="52"/>
        <v>0</v>
      </c>
      <c r="AD151">
        <f t="shared" ca="1" si="53"/>
        <v>0</v>
      </c>
      <c r="AE151" s="83">
        <f ca="1"/>
        <v>45489</v>
      </c>
      <c r="AF151" s="55">
        <f t="shared" ca="1" si="62"/>
        <v>45489</v>
      </c>
      <c r="AG151" s="55">
        <f t="shared" ca="1" si="63"/>
        <v>-318.64209863553623</v>
      </c>
      <c r="AH151" s="55">
        <f t="shared" ca="1" si="64"/>
        <v>353.45330111802315</v>
      </c>
      <c r="AI151" s="55">
        <f t="shared" ca="1" si="65"/>
        <v>0</v>
      </c>
      <c r="AJ151" s="55">
        <f t="shared" ca="1" si="59"/>
        <v>0</v>
      </c>
      <c r="AK151" s="55">
        <f t="shared" ca="1" si="60"/>
        <v>12.983101285098774</v>
      </c>
      <c r="AL151" s="55">
        <f t="shared" ca="1" si="61"/>
        <v>-9.5249864168447491</v>
      </c>
      <c r="AM151" s="55"/>
    </row>
    <row r="152" spans="18:39">
      <c r="R152" s="83">
        <f ca="1"/>
        <v>45328</v>
      </c>
      <c r="S152" s="55">
        <f t="shared" ca="1" si="54"/>
        <v>45328</v>
      </c>
      <c r="T152" s="55">
        <f t="shared" ca="1" si="47"/>
        <v>25.145144502416198</v>
      </c>
      <c r="U152" s="55">
        <f t="shared" ca="1" si="48"/>
        <v>292.2181813541838</v>
      </c>
      <c r="V152" s="55">
        <f t="shared" ca="1" si="49"/>
        <v>0</v>
      </c>
      <c r="W152" s="55">
        <f t="shared" ca="1" si="55"/>
        <v>0</v>
      </c>
      <c r="X152" s="55">
        <f t="shared" ca="1" si="56"/>
        <v>16.458689358576766</v>
      </c>
      <c r="Y152" s="55">
        <f t="shared" ca="1" si="57"/>
        <v>16.133284897541465</v>
      </c>
      <c r="Z152" s="55">
        <f t="shared" ca="1" si="50"/>
        <v>2.3410137916957865</v>
      </c>
      <c r="AA152">
        <f t="shared" ca="1" si="51"/>
        <v>16.943041900357002</v>
      </c>
      <c r="AB152">
        <f t="shared" ca="1" si="58"/>
        <v>0</v>
      </c>
      <c r="AC152">
        <f t="shared" ca="1" si="52"/>
        <v>0</v>
      </c>
      <c r="AD152">
        <f t="shared" ca="1" si="53"/>
        <v>0</v>
      </c>
      <c r="AE152" s="83">
        <f ca="1"/>
        <v>45490</v>
      </c>
      <c r="AF152" s="55">
        <f t="shared" ca="1" si="62"/>
        <v>45490</v>
      </c>
      <c r="AG152" s="55">
        <f t="shared" ca="1" si="63"/>
        <v>-319.31347469102752</v>
      </c>
      <c r="AH152" s="55">
        <f t="shared" ca="1" si="64"/>
        <v>354.28235294117644</v>
      </c>
      <c r="AI152" s="55">
        <f t="shared" ca="1" si="65"/>
        <v>0</v>
      </c>
      <c r="AJ152" s="55">
        <f t="shared" ca="1" si="59"/>
        <v>0</v>
      </c>
      <c r="AK152" s="55">
        <f t="shared" ca="1" si="60"/>
        <v>13.106979974765283</v>
      </c>
      <c r="AL152" s="55">
        <f t="shared" ca="1" si="61"/>
        <v>-9.4911893388492494</v>
      </c>
      <c r="AM152" s="55"/>
    </row>
    <row r="153" spans="18:39">
      <c r="R153" s="83">
        <f ca="1"/>
        <v>45329</v>
      </c>
      <c r="S153" s="55">
        <f t="shared" ca="1" si="54"/>
        <v>45329</v>
      </c>
      <c r="T153" s="55">
        <f t="shared" ca="1" si="47"/>
        <v>25.143518436997631</v>
      </c>
      <c r="U153" s="55">
        <f t="shared" ca="1" si="48"/>
        <v>292.36920950328653</v>
      </c>
      <c r="V153" s="55">
        <f t="shared" ca="1" si="49"/>
        <v>0</v>
      </c>
      <c r="W153" s="55">
        <f t="shared" ca="1" si="55"/>
        <v>0</v>
      </c>
      <c r="X153" s="55">
        <f t="shared" ca="1" si="56"/>
        <v>16.578245548348857</v>
      </c>
      <c r="Y153" s="55">
        <f t="shared" ca="1" si="57"/>
        <v>16.163130791453536</v>
      </c>
      <c r="Z153" s="55">
        <f t="shared" ca="1" si="50"/>
        <v>2.1143940874381997</v>
      </c>
      <c r="AA153">
        <f t="shared" ca="1" si="51"/>
        <v>19.234884414666073</v>
      </c>
      <c r="AB153">
        <f t="shared" ca="1" si="58"/>
        <v>0</v>
      </c>
      <c r="AC153">
        <f t="shared" ca="1" si="52"/>
        <v>0</v>
      </c>
      <c r="AD153">
        <f t="shared" ca="1" si="53"/>
        <v>0</v>
      </c>
      <c r="AE153" s="83" t="e">
        <f ca="1"/>
        <v>#N/A</v>
      </c>
      <c r="AF153" s="55" t="e">
        <f t="shared" ca="1" si="62"/>
        <v>#N/A</v>
      </c>
      <c r="AG153" s="55" t="e">
        <f t="shared" ca="1" si="63"/>
        <v>#N/A</v>
      </c>
      <c r="AH153" s="55" t="e">
        <f t="shared" ca="1" si="64"/>
        <v>#N/A</v>
      </c>
      <c r="AI153" s="55" t="e">
        <f t="shared" ca="1" si="65"/>
        <v>#N/A</v>
      </c>
      <c r="AJ153" s="55" t="e">
        <f t="shared" ca="1" si="59"/>
        <v>#N/A</v>
      </c>
      <c r="AK153" s="55" t="e">
        <f t="shared" ca="1" si="60"/>
        <v>#N/A</v>
      </c>
      <c r="AL153" s="55" t="e">
        <f t="shared" ca="1" si="61"/>
        <v>#N/A</v>
      </c>
      <c r="AM153" s="55"/>
    </row>
    <row r="154" spans="18:39">
      <c r="R154" s="83">
        <f ca="1"/>
        <v>45330</v>
      </c>
      <c r="S154" s="55">
        <f t="shared" ca="1" si="54"/>
        <v>45330</v>
      </c>
      <c r="T154" s="55">
        <f t="shared" ca="1" si="47"/>
        <v>25.156078493689709</v>
      </c>
      <c r="U154" s="55">
        <f t="shared" ca="1" si="48"/>
        <v>292.50943532247908</v>
      </c>
      <c r="V154" s="55">
        <f t="shared" ca="1" si="49"/>
        <v>0</v>
      </c>
      <c r="W154" s="55">
        <f t="shared" ca="1" si="55"/>
        <v>0</v>
      </c>
      <c r="X154" s="55">
        <f t="shared" ca="1" si="56"/>
        <v>16.700913815003521</v>
      </c>
      <c r="Y154" s="55">
        <f t="shared" ca="1" si="57"/>
        <v>16.193248400683501</v>
      </c>
      <c r="Z154" s="55">
        <f t="shared" ca="1" si="50"/>
        <v>1.9631614686957164</v>
      </c>
      <c r="AA154">
        <f t="shared" ca="1" si="51"/>
        <v>19.20938992536718</v>
      </c>
      <c r="AB154">
        <f t="shared" ca="1" si="58"/>
        <v>0</v>
      </c>
      <c r="AC154">
        <f t="shared" ca="1" si="52"/>
        <v>0</v>
      </c>
      <c r="AD154">
        <f t="shared" ca="1" si="53"/>
        <v>0</v>
      </c>
      <c r="AE154" s="83" t="e">
        <f ca="1"/>
        <v>#N/A</v>
      </c>
      <c r="AF154" s="55" t="e">
        <f t="shared" ca="1" si="62"/>
        <v>#N/A</v>
      </c>
      <c r="AG154" s="55" t="e">
        <f t="shared" ca="1" si="63"/>
        <v>#N/A</v>
      </c>
      <c r="AH154" s="55" t="e">
        <f t="shared" ca="1" si="64"/>
        <v>#N/A</v>
      </c>
      <c r="AI154" s="55" t="e">
        <f t="shared" ca="1" si="65"/>
        <v>#N/A</v>
      </c>
      <c r="AJ154" s="55" t="e">
        <f t="shared" ca="1" si="59"/>
        <v>#N/A</v>
      </c>
      <c r="AK154" s="55" t="e">
        <f t="shared" ca="1" si="60"/>
        <v>#N/A</v>
      </c>
      <c r="AL154" s="55" t="e">
        <f t="shared" ca="1" si="61"/>
        <v>#N/A</v>
      </c>
      <c r="AM154" s="55"/>
    </row>
    <row r="155" spans="18:39">
      <c r="R155" s="83">
        <f ca="1"/>
        <v>45331</v>
      </c>
      <c r="S155" s="55">
        <f t="shared" ca="1" si="54"/>
        <v>45331</v>
      </c>
      <c r="T155" s="55">
        <f t="shared" ca="1" si="47"/>
        <v>25.184004753197208</v>
      </c>
      <c r="U155" s="55">
        <f t="shared" ca="1" si="48"/>
        <v>292.63682092542194</v>
      </c>
      <c r="V155" s="55">
        <f t="shared" ca="1" si="49"/>
        <v>0</v>
      </c>
      <c r="W155" s="55">
        <f t="shared" ca="1" si="55"/>
        <v>0</v>
      </c>
      <c r="X155" s="55">
        <f t="shared" ca="1" si="56"/>
        <v>16.825197817435036</v>
      </c>
      <c r="Y155" s="55">
        <f t="shared" ca="1" si="57"/>
        <v>16.224276260702347</v>
      </c>
      <c r="Z155" s="55">
        <f t="shared" ca="1" si="50"/>
        <v>1.78339844120012</v>
      </c>
      <c r="AA155">
        <f t="shared" ca="1" si="51"/>
        <v>19.908588656440475</v>
      </c>
      <c r="AB155">
        <f t="shared" ca="1" si="58"/>
        <v>0</v>
      </c>
      <c r="AC155">
        <f t="shared" ca="1" si="52"/>
        <v>0</v>
      </c>
      <c r="AD155">
        <f t="shared" ca="1" si="53"/>
        <v>0</v>
      </c>
      <c r="AE155" s="83" t="e">
        <f ca="1"/>
        <v>#N/A</v>
      </c>
      <c r="AF155" s="55" t="e">
        <f t="shared" ca="1" si="62"/>
        <v>#N/A</v>
      </c>
      <c r="AG155" s="55" t="e">
        <f t="shared" ca="1" si="63"/>
        <v>#N/A</v>
      </c>
      <c r="AH155" s="55" t="e">
        <f t="shared" ca="1" si="64"/>
        <v>#N/A</v>
      </c>
      <c r="AI155" s="55" t="e">
        <f t="shared" ca="1" si="65"/>
        <v>#N/A</v>
      </c>
      <c r="AJ155" s="55" t="e">
        <f t="shared" ca="1" si="59"/>
        <v>#N/A</v>
      </c>
      <c r="AK155" s="55" t="e">
        <f t="shared" ca="1" si="60"/>
        <v>#N/A</v>
      </c>
      <c r="AL155" s="55" t="e">
        <f t="shared" ca="1" si="61"/>
        <v>#N/A</v>
      </c>
      <c r="AM155" s="55"/>
    </row>
    <row r="156" spans="18:39">
      <c r="R156" s="83">
        <f ca="1"/>
        <v>45332</v>
      </c>
      <c r="S156" s="55">
        <f t="shared" ca="1" si="54"/>
        <v>45332</v>
      </c>
      <c r="T156" s="55">
        <f t="shared" ca="1" si="47"/>
        <v>25.224186211269224</v>
      </c>
      <c r="U156" s="55">
        <f t="shared" ca="1" si="48"/>
        <v>292.75069395022393</v>
      </c>
      <c r="V156" s="55">
        <f t="shared" ca="1" si="49"/>
        <v>0</v>
      </c>
      <c r="W156" s="55">
        <f t="shared" ca="1" si="55"/>
        <v>0</v>
      </c>
      <c r="X156" s="55">
        <f t="shared" ca="1" si="56"/>
        <v>16.948692727591109</v>
      </c>
      <c r="Y156" s="55">
        <f t="shared" ca="1" si="57"/>
        <v>16.25483583342028</v>
      </c>
      <c r="Z156" s="55">
        <f t="shared" ca="1" si="50"/>
        <v>1.5942223472278556</v>
      </c>
      <c r="AA156">
        <f t="shared" ca="1" si="51"/>
        <v>19.992691903181015</v>
      </c>
      <c r="AB156">
        <f t="shared" ca="1" si="58"/>
        <v>0</v>
      </c>
      <c r="AC156">
        <f t="shared" ca="1" si="52"/>
        <v>0</v>
      </c>
      <c r="AD156">
        <f t="shared" ca="1" si="53"/>
        <v>0</v>
      </c>
      <c r="AE156" s="83" t="e">
        <f ca="1"/>
        <v>#N/A</v>
      </c>
      <c r="AF156" s="55" t="e">
        <f t="shared" ca="1" si="62"/>
        <v>#N/A</v>
      </c>
      <c r="AG156" s="55" t="e">
        <f t="shared" ca="1" si="63"/>
        <v>#N/A</v>
      </c>
      <c r="AH156" s="55" t="e">
        <f t="shared" ca="1" si="64"/>
        <v>#N/A</v>
      </c>
      <c r="AI156" s="55" t="e">
        <f t="shared" ca="1" si="65"/>
        <v>#N/A</v>
      </c>
      <c r="AJ156" s="55" t="e">
        <f t="shared" ca="1" si="59"/>
        <v>#N/A</v>
      </c>
      <c r="AK156" s="55" t="e">
        <f t="shared" ca="1" si="60"/>
        <v>#N/A</v>
      </c>
      <c r="AL156" s="55" t="e">
        <f t="shared" ca="1" si="61"/>
        <v>#N/A</v>
      </c>
      <c r="AM156" s="55"/>
    </row>
    <row r="157" spans="18:39">
      <c r="R157" s="83">
        <f ca="1"/>
        <v>45333</v>
      </c>
      <c r="S157" s="55">
        <f t="shared" ca="1" si="54"/>
        <v>45333</v>
      </c>
      <c r="T157" s="55">
        <f t="shared" ca="1" si="47"/>
        <v>25.278904923760301</v>
      </c>
      <c r="U157" s="55">
        <f t="shared" ca="1" si="48"/>
        <v>292.85836290981047</v>
      </c>
      <c r="V157" s="55">
        <f t="shared" ca="1" si="49"/>
        <v>0</v>
      </c>
      <c r="W157" s="55">
        <f t="shared" ca="1" si="55"/>
        <v>0</v>
      </c>
      <c r="X157" s="55">
        <f t="shared" ca="1" si="56"/>
        <v>17.078775948114686</v>
      </c>
      <c r="Y157" s="55">
        <f t="shared" ca="1" si="57"/>
        <v>16.287140284974313</v>
      </c>
      <c r="Z157" s="55">
        <f t="shared" ca="1" si="50"/>
        <v>1.5073654342114651</v>
      </c>
      <c r="AA157">
        <f t="shared" ca="1" si="51"/>
        <v>20.523600123366251</v>
      </c>
      <c r="AB157">
        <f t="shared" ca="1" si="58"/>
        <v>0</v>
      </c>
      <c r="AC157">
        <f t="shared" ca="1" si="52"/>
        <v>0</v>
      </c>
      <c r="AD157">
        <f t="shared" ca="1" si="53"/>
        <v>0</v>
      </c>
      <c r="AE157" s="83" t="e">
        <f ca="1"/>
        <v>#N/A</v>
      </c>
      <c r="AF157" s="55" t="e">
        <f t="shared" ca="1" si="62"/>
        <v>#N/A</v>
      </c>
      <c r="AG157" s="55" t="e">
        <f t="shared" ca="1" si="63"/>
        <v>#N/A</v>
      </c>
      <c r="AH157" s="55" t="e">
        <f t="shared" ca="1" si="64"/>
        <v>#N/A</v>
      </c>
      <c r="AI157" s="55" t="e">
        <f t="shared" ca="1" si="65"/>
        <v>#N/A</v>
      </c>
      <c r="AJ157" s="55" t="e">
        <f t="shared" ca="1" si="59"/>
        <v>#N/A</v>
      </c>
      <c r="AK157" s="55" t="e">
        <f t="shared" ca="1" si="60"/>
        <v>#N/A</v>
      </c>
      <c r="AL157" s="55" t="e">
        <f t="shared" ca="1" si="61"/>
        <v>#N/A</v>
      </c>
      <c r="AM157" s="55"/>
    </row>
    <row r="158" spans="18:39">
      <c r="R158" s="83">
        <f ca="1"/>
        <v>45334</v>
      </c>
      <c r="S158" s="55">
        <f t="shared" ca="1" si="54"/>
        <v>45334</v>
      </c>
      <c r="T158" s="55">
        <f t="shared" ca="1" si="47"/>
        <v>25.353427808437374</v>
      </c>
      <c r="U158" s="55">
        <f t="shared" ca="1" si="48"/>
        <v>292.9584099445139</v>
      </c>
      <c r="V158" s="55">
        <f t="shared" ca="1" si="49"/>
        <v>0</v>
      </c>
      <c r="W158" s="55">
        <f t="shared" ca="1" si="55"/>
        <v>0</v>
      </c>
      <c r="X158" s="55">
        <f t="shared" ca="1" si="56"/>
        <v>17.216459345560914</v>
      </c>
      <c r="Y158" s="55">
        <f t="shared" ca="1" si="57"/>
        <v>16.324026806908591</v>
      </c>
      <c r="Z158" s="55">
        <f t="shared" ca="1" si="50"/>
        <v>1.4006584858481119</v>
      </c>
      <c r="AA158">
        <f t="shared" ca="1" si="51"/>
        <v>23.000659593831802</v>
      </c>
      <c r="AB158">
        <f t="shared" ca="1" si="58"/>
        <v>0</v>
      </c>
      <c r="AC158">
        <f t="shared" ca="1" si="52"/>
        <v>0</v>
      </c>
      <c r="AD158">
        <f t="shared" ca="1" si="53"/>
        <v>0</v>
      </c>
      <c r="AE158" s="83" t="e">
        <f ca="1"/>
        <v>#N/A</v>
      </c>
      <c r="AF158" s="55" t="e">
        <f t="shared" ca="1" si="62"/>
        <v>#N/A</v>
      </c>
      <c r="AG158" s="55" t="e">
        <f t="shared" ca="1" si="63"/>
        <v>#N/A</v>
      </c>
      <c r="AH158" s="55" t="e">
        <f t="shared" ca="1" si="64"/>
        <v>#N/A</v>
      </c>
      <c r="AI158" s="55" t="e">
        <f t="shared" ca="1" si="65"/>
        <v>#N/A</v>
      </c>
      <c r="AJ158" s="55" t="e">
        <f t="shared" ca="1" si="59"/>
        <v>#N/A</v>
      </c>
      <c r="AK158" s="55" t="e">
        <f t="shared" ca="1" si="60"/>
        <v>#N/A</v>
      </c>
      <c r="AL158" s="55" t="e">
        <f t="shared" ca="1" si="61"/>
        <v>#N/A</v>
      </c>
      <c r="AM158" s="55"/>
    </row>
    <row r="159" spans="18:39">
      <c r="R159" s="83">
        <f ca="1"/>
        <v>45335</v>
      </c>
      <c r="S159" s="55">
        <f t="shared" ca="1" si="54"/>
        <v>45335</v>
      </c>
      <c r="T159" s="55">
        <f t="shared" ca="1" si="47"/>
        <v>25.433184697969629</v>
      </c>
      <c r="U159" s="55">
        <f t="shared" ca="1" si="48"/>
        <v>293.03733495596498</v>
      </c>
      <c r="V159" s="55">
        <f t="shared" ca="1" si="49"/>
        <v>0</v>
      </c>
      <c r="W159" s="55">
        <f t="shared" ca="1" si="55"/>
        <v>0</v>
      </c>
      <c r="X159" s="55">
        <f t="shared" ca="1" si="56"/>
        <v>17.340108304602339</v>
      </c>
      <c r="Y159" s="55">
        <f t="shared" ca="1" si="57"/>
        <v>16.359059748850498</v>
      </c>
      <c r="Z159" s="55">
        <f t="shared" ca="1" si="50"/>
        <v>1.1049501603150702</v>
      </c>
      <c r="AA159">
        <f t="shared" ca="1" si="51"/>
        <v>24.769607054941211</v>
      </c>
      <c r="AB159">
        <f t="shared" ca="1" si="58"/>
        <v>0</v>
      </c>
      <c r="AC159">
        <f t="shared" ca="1" si="52"/>
        <v>0</v>
      </c>
      <c r="AD159">
        <f t="shared" ca="1" si="53"/>
        <v>0</v>
      </c>
      <c r="AE159" s="83" t="e">
        <f ca="1"/>
        <v>#N/A</v>
      </c>
      <c r="AF159" s="55" t="e">
        <f t="shared" ca="1" si="62"/>
        <v>#N/A</v>
      </c>
      <c r="AG159" s="55" t="e">
        <f t="shared" ca="1" si="63"/>
        <v>#N/A</v>
      </c>
      <c r="AH159" s="55" t="e">
        <f t="shared" ca="1" si="64"/>
        <v>#N/A</v>
      </c>
      <c r="AI159" s="55" t="e">
        <f t="shared" ca="1" si="65"/>
        <v>#N/A</v>
      </c>
      <c r="AJ159" s="55" t="e">
        <f t="shared" ca="1" si="59"/>
        <v>#N/A</v>
      </c>
      <c r="AK159" s="55" t="e">
        <f t="shared" ca="1" si="60"/>
        <v>#N/A</v>
      </c>
      <c r="AL159" s="55" t="e">
        <f t="shared" ca="1" si="61"/>
        <v>#N/A</v>
      </c>
      <c r="AM159" s="55"/>
    </row>
    <row r="160" spans="18:39">
      <c r="R160" s="83">
        <f ca="1"/>
        <v>45336</v>
      </c>
      <c r="S160" s="55">
        <f t="shared" ca="1" si="54"/>
        <v>45336</v>
      </c>
      <c r="T160" s="55">
        <f t="shared" ca="1" si="47"/>
        <v>25.524243562656828</v>
      </c>
      <c r="U160" s="55">
        <f t="shared" ca="1" si="48"/>
        <v>293.10568266016094</v>
      </c>
      <c r="V160" s="55">
        <f t="shared" ca="1" si="49"/>
        <v>0</v>
      </c>
      <c r="W160" s="55">
        <f t="shared" ca="1" si="55"/>
        <v>0</v>
      </c>
      <c r="X160" s="55">
        <f t="shared" ca="1" si="56"/>
        <v>17.462044738420893</v>
      </c>
      <c r="Y160" s="55">
        <f t="shared" ca="1" si="57"/>
        <v>16.3965298839151</v>
      </c>
      <c r="Z160" s="55">
        <f t="shared" ca="1" si="50"/>
        <v>0.95686785874340785</v>
      </c>
      <c r="AA160">
        <f t="shared" ca="1" si="51"/>
        <v>27.90432505651173</v>
      </c>
      <c r="AB160">
        <f t="shared" ca="1" si="58"/>
        <v>0</v>
      </c>
      <c r="AC160">
        <f t="shared" ca="1" si="52"/>
        <v>0</v>
      </c>
      <c r="AD160">
        <f t="shared" ca="1" si="53"/>
        <v>0</v>
      </c>
      <c r="AE160" s="83" t="e">
        <f ca="1"/>
        <v>#N/A</v>
      </c>
      <c r="AF160" s="55" t="e">
        <f t="shared" ca="1" si="62"/>
        <v>#N/A</v>
      </c>
      <c r="AG160" s="55" t="e">
        <f t="shared" ca="1" si="63"/>
        <v>#N/A</v>
      </c>
      <c r="AH160" s="55" t="e">
        <f t="shared" ca="1" si="64"/>
        <v>#N/A</v>
      </c>
      <c r="AI160" s="55" t="e">
        <f t="shared" ca="1" si="65"/>
        <v>#N/A</v>
      </c>
      <c r="AJ160" s="55" t="e">
        <f t="shared" ca="1" si="59"/>
        <v>#N/A</v>
      </c>
      <c r="AK160" s="55" t="e">
        <f t="shared" ca="1" si="60"/>
        <v>#N/A</v>
      </c>
      <c r="AL160" s="55" t="e">
        <f t="shared" ca="1" si="61"/>
        <v>#N/A</v>
      </c>
      <c r="AM160" s="55"/>
    </row>
    <row r="161" spans="18:39">
      <c r="R161" s="83">
        <f ca="1"/>
        <v>45337</v>
      </c>
      <c r="S161" s="55">
        <f t="shared" ca="1" si="54"/>
        <v>45337</v>
      </c>
      <c r="T161" s="55">
        <f t="shared" ca="1" si="47"/>
        <v>25.623442147806596</v>
      </c>
      <c r="U161" s="55">
        <f t="shared" ca="1" si="48"/>
        <v>293.16549494623206</v>
      </c>
      <c r="V161" s="55">
        <f t="shared" ca="1" si="49"/>
        <v>0</v>
      </c>
      <c r="W161" s="55">
        <f t="shared" ca="1" si="55"/>
        <v>0</v>
      </c>
      <c r="X161" s="55">
        <f t="shared" ca="1" si="56"/>
        <v>17.58234142263953</v>
      </c>
      <c r="Y161" s="55">
        <f t="shared" ca="1" si="57"/>
        <v>16.435244070917353</v>
      </c>
      <c r="Z161" s="55">
        <f t="shared" ca="1" si="50"/>
        <v>0.83737200499570008</v>
      </c>
      <c r="AA161">
        <f t="shared" ca="1" si="51"/>
        <v>30.213073701778232</v>
      </c>
      <c r="AB161">
        <f t="shared" ca="1" si="58"/>
        <v>0</v>
      </c>
      <c r="AC161">
        <f t="shared" ca="1" si="52"/>
        <v>0</v>
      </c>
      <c r="AD161">
        <f t="shared" ca="1" si="53"/>
        <v>0</v>
      </c>
      <c r="AE161" s="83" t="e">
        <f ca="1"/>
        <v>#N/A</v>
      </c>
      <c r="AF161" s="55" t="e">
        <f t="shared" ca="1" si="62"/>
        <v>#N/A</v>
      </c>
      <c r="AG161" s="55" t="e">
        <f t="shared" ca="1" si="63"/>
        <v>#N/A</v>
      </c>
      <c r="AH161" s="55" t="e">
        <f t="shared" ca="1" si="64"/>
        <v>#N/A</v>
      </c>
      <c r="AI161" s="55" t="e">
        <f t="shared" ca="1" si="65"/>
        <v>#N/A</v>
      </c>
      <c r="AJ161" s="55" t="e">
        <f t="shared" ca="1" si="59"/>
        <v>#N/A</v>
      </c>
      <c r="AK161" s="55" t="e">
        <f t="shared" ca="1" si="60"/>
        <v>#N/A</v>
      </c>
      <c r="AL161" s="55" t="e">
        <f t="shared" ca="1" si="61"/>
        <v>#N/A</v>
      </c>
      <c r="AM161" s="55"/>
    </row>
    <row r="162" spans="18:39">
      <c r="R162" s="83">
        <f ca="1"/>
        <v>45338</v>
      </c>
      <c r="S162" s="55">
        <f t="shared" ca="1" si="54"/>
        <v>45338</v>
      </c>
      <c r="T162" s="55">
        <f t="shared" ca="1" si="47"/>
        <v>25.732795850746175</v>
      </c>
      <c r="U162" s="55">
        <f t="shared" ca="1" si="48"/>
        <v>293.22286511003972</v>
      </c>
      <c r="V162" s="55">
        <f t="shared" ca="1" si="49"/>
        <v>0</v>
      </c>
      <c r="W162" s="55">
        <f t="shared" ca="1" si="55"/>
        <v>0</v>
      </c>
      <c r="X162" s="55">
        <f t="shared" ca="1" si="56"/>
        <v>17.708883251171038</v>
      </c>
      <c r="Y162" s="55">
        <f t="shared" ca="1" si="57"/>
        <v>16.475426109133085</v>
      </c>
      <c r="Z162" s="55">
        <f t="shared" ca="1" si="50"/>
        <v>0.80318229330725899</v>
      </c>
      <c r="AA162">
        <f t="shared" ca="1" si="51"/>
        <v>30.71308571595933</v>
      </c>
      <c r="AB162">
        <f t="shared" ca="1" si="58"/>
        <v>0</v>
      </c>
      <c r="AC162">
        <f t="shared" ca="1" si="52"/>
        <v>0</v>
      </c>
      <c r="AD162">
        <f t="shared" ca="1" si="53"/>
        <v>0</v>
      </c>
      <c r="AE162" s="83" t="e">
        <f ca="1"/>
        <v>#N/A</v>
      </c>
      <c r="AF162" s="55" t="e">
        <f t="shared" ca="1" si="62"/>
        <v>#N/A</v>
      </c>
      <c r="AG162" s="55" t="e">
        <f t="shared" ca="1" si="63"/>
        <v>#N/A</v>
      </c>
      <c r="AH162" s="55" t="e">
        <f t="shared" ca="1" si="64"/>
        <v>#N/A</v>
      </c>
      <c r="AI162" s="55" t="e">
        <f t="shared" ca="1" si="65"/>
        <v>#N/A</v>
      </c>
      <c r="AJ162" s="55" t="e">
        <f t="shared" ca="1" si="59"/>
        <v>#N/A</v>
      </c>
      <c r="AK162" s="55" t="e">
        <f t="shared" ca="1" si="60"/>
        <v>#N/A</v>
      </c>
      <c r="AL162" s="55" t="e">
        <f t="shared" ca="1" si="61"/>
        <v>#N/A</v>
      </c>
      <c r="AM162" s="55"/>
    </row>
    <row r="163" spans="18:39">
      <c r="R163" s="83">
        <f ca="1"/>
        <v>45339</v>
      </c>
      <c r="S163" s="55">
        <f t="shared" ca="1" si="54"/>
        <v>45339</v>
      </c>
      <c r="T163" s="55">
        <f t="shared" ca="1" si="47"/>
        <v>25.857586279954806</v>
      </c>
      <c r="U163" s="55">
        <f t="shared" ca="1" si="48"/>
        <v>293.27992000986416</v>
      </c>
      <c r="V163" s="55">
        <f t="shared" ca="1" si="49"/>
        <v>0</v>
      </c>
      <c r="W163" s="55">
        <f t="shared" ca="1" si="55"/>
        <v>0</v>
      </c>
      <c r="X163" s="55">
        <f t="shared" ca="1" si="56"/>
        <v>17.847601396516122</v>
      </c>
      <c r="Y163" s="55">
        <f t="shared" ca="1" si="57"/>
        <v>16.518553292821068</v>
      </c>
      <c r="Z163" s="55">
        <f t="shared" ca="1" si="50"/>
        <v>0.79876859754210727</v>
      </c>
      <c r="AA163">
        <f t="shared" ca="1" si="51"/>
        <v>31.123411902186316</v>
      </c>
      <c r="AB163">
        <f t="shared" ca="1" si="58"/>
        <v>0</v>
      </c>
      <c r="AC163">
        <f t="shared" ca="1" si="52"/>
        <v>0</v>
      </c>
      <c r="AD163">
        <f t="shared" ca="1" si="53"/>
        <v>0</v>
      </c>
      <c r="AE163" s="83" t="e">
        <f ca="1"/>
        <v>#N/A</v>
      </c>
      <c r="AF163" s="55" t="e">
        <f t="shared" ca="1" si="62"/>
        <v>#N/A</v>
      </c>
      <c r="AG163" s="55" t="e">
        <f t="shared" ca="1" si="63"/>
        <v>#N/A</v>
      </c>
      <c r="AH163" s="55" t="e">
        <f t="shared" ca="1" si="64"/>
        <v>#N/A</v>
      </c>
      <c r="AI163" s="55" t="e">
        <f t="shared" ca="1" si="65"/>
        <v>#N/A</v>
      </c>
      <c r="AJ163" s="55" t="e">
        <f t="shared" ca="1" si="59"/>
        <v>#N/A</v>
      </c>
      <c r="AK163" s="55" t="e">
        <f t="shared" ca="1" si="60"/>
        <v>#N/A</v>
      </c>
      <c r="AL163" s="55" t="e">
        <f t="shared" ca="1" si="61"/>
        <v>#N/A</v>
      </c>
      <c r="AM163" s="55"/>
    </row>
    <row r="164" spans="18:39">
      <c r="R164" s="83">
        <f ca="1"/>
        <v>45340</v>
      </c>
      <c r="S164" s="55">
        <f t="shared" ca="1" si="54"/>
        <v>45340</v>
      </c>
      <c r="T164" s="55">
        <f t="shared" ca="1" si="47"/>
        <v>25.995420492098823</v>
      </c>
      <c r="U164" s="55">
        <f t="shared" ca="1" si="48"/>
        <v>293.33280945291961</v>
      </c>
      <c r="V164" s="55">
        <f t="shared" ca="1" si="49"/>
        <v>0</v>
      </c>
      <c r="W164" s="55">
        <f t="shared" ca="1" si="55"/>
        <v>0</v>
      </c>
      <c r="X164" s="55">
        <f t="shared" ca="1" si="56"/>
        <v>17.992785663097123</v>
      </c>
      <c r="Y164" s="55">
        <f t="shared" ca="1" si="57"/>
        <v>16.564092681439533</v>
      </c>
      <c r="Z164" s="55">
        <f t="shared" ca="1" si="50"/>
        <v>0.74045220277628232</v>
      </c>
      <c r="AA164">
        <f t="shared" ca="1" si="51"/>
        <v>32.652329027973082</v>
      </c>
      <c r="AB164">
        <f t="shared" ca="1" si="58"/>
        <v>0</v>
      </c>
      <c r="AC164">
        <f t="shared" ca="1" si="52"/>
        <v>0</v>
      </c>
      <c r="AD164">
        <f t="shared" ca="1" si="53"/>
        <v>0</v>
      </c>
      <c r="AE164" s="83" t="e">
        <f ca="1"/>
        <v>#N/A</v>
      </c>
      <c r="AF164" s="55" t="e">
        <f t="shared" ca="1" si="62"/>
        <v>#N/A</v>
      </c>
      <c r="AG164" s="55" t="e">
        <f t="shared" ca="1" si="63"/>
        <v>#N/A</v>
      </c>
      <c r="AH164" s="55" t="e">
        <f t="shared" ca="1" si="64"/>
        <v>#N/A</v>
      </c>
      <c r="AI164" s="55" t="e">
        <f t="shared" ca="1" si="65"/>
        <v>#N/A</v>
      </c>
      <c r="AJ164" s="55" t="e">
        <f t="shared" ca="1" si="59"/>
        <v>#N/A</v>
      </c>
      <c r="AK164" s="55" t="e">
        <f t="shared" ca="1" si="60"/>
        <v>#N/A</v>
      </c>
      <c r="AL164" s="55" t="e">
        <f t="shared" ca="1" si="61"/>
        <v>#N/A</v>
      </c>
      <c r="AM164" s="55"/>
    </row>
    <row r="165" spans="18:39">
      <c r="R165" s="83">
        <f ca="1"/>
        <v>45341</v>
      </c>
      <c r="S165" s="55">
        <f t="shared" ca="1" si="54"/>
        <v>45341</v>
      </c>
      <c r="T165" s="55">
        <f t="shared" ca="1" si="47"/>
        <v>26.129314079684473</v>
      </c>
      <c r="U165" s="55">
        <f t="shared" ca="1" si="48"/>
        <v>293.37807854562686</v>
      </c>
      <c r="V165" s="55">
        <f t="shared" ca="1" si="49"/>
        <v>0</v>
      </c>
      <c r="W165" s="55">
        <f t="shared" ca="1" si="55"/>
        <v>0</v>
      </c>
      <c r="X165" s="55">
        <f t="shared" ca="1" si="56"/>
        <v>18.130408975962261</v>
      </c>
      <c r="Y165" s="55">
        <f t="shared" ca="1" si="57"/>
        <v>16.605632048867303</v>
      </c>
      <c r="Z165" s="55">
        <f t="shared" ca="1" si="50"/>
        <v>0.63376729790161335</v>
      </c>
      <c r="AA165">
        <f t="shared" ca="1" si="51"/>
        <v>31.697391667795657</v>
      </c>
      <c r="AB165">
        <f t="shared" ca="1" si="58"/>
        <v>0</v>
      </c>
      <c r="AC165">
        <f t="shared" ca="1" si="52"/>
        <v>0</v>
      </c>
      <c r="AD165">
        <f t="shared" ca="1" si="53"/>
        <v>0</v>
      </c>
      <c r="AE165" s="83" t="e">
        <f ca="1"/>
        <v>#N/A</v>
      </c>
      <c r="AF165" s="55" t="e">
        <f t="shared" ca="1" si="62"/>
        <v>#N/A</v>
      </c>
      <c r="AG165" s="55" t="e">
        <f t="shared" ca="1" si="63"/>
        <v>#N/A</v>
      </c>
      <c r="AH165" s="55" t="e">
        <f t="shared" ca="1" si="64"/>
        <v>#N/A</v>
      </c>
      <c r="AI165" s="55" t="e">
        <f t="shared" ca="1" si="65"/>
        <v>#N/A</v>
      </c>
      <c r="AJ165" s="55" t="e">
        <f t="shared" ca="1" si="59"/>
        <v>#N/A</v>
      </c>
      <c r="AK165" s="55" t="e">
        <f t="shared" ca="1" si="60"/>
        <v>#N/A</v>
      </c>
      <c r="AL165" s="55" t="e">
        <f t="shared" ca="1" si="61"/>
        <v>#N/A</v>
      </c>
      <c r="AM165" s="55"/>
    </row>
    <row r="166" spans="18:39">
      <c r="R166" s="83">
        <f ca="1"/>
        <v>45342</v>
      </c>
      <c r="S166" s="55">
        <f t="shared" ca="1" si="54"/>
        <v>45342</v>
      </c>
      <c r="T166" s="55">
        <f t="shared" ca="1" si="47"/>
        <v>26.269353755672164</v>
      </c>
      <c r="U166" s="55">
        <f t="shared" ca="1" si="48"/>
        <v>293.41773990013229</v>
      </c>
      <c r="V166" s="55">
        <f t="shared" ca="1" si="49"/>
        <v>0</v>
      </c>
      <c r="W166" s="55">
        <f t="shared" ca="1" si="55"/>
        <v>0</v>
      </c>
      <c r="X166" s="55">
        <f t="shared" ca="1" si="56"/>
        <v>18.267467991861611</v>
      </c>
      <c r="Y166" s="55">
        <f t="shared" ca="1" si="57"/>
        <v>16.648274063461066</v>
      </c>
      <c r="Z166" s="55">
        <f t="shared" ca="1" si="50"/>
        <v>0.55525896307597122</v>
      </c>
      <c r="AA166">
        <f t="shared" ca="1" si="51"/>
        <v>34.026234491390909</v>
      </c>
      <c r="AB166">
        <f t="shared" ca="1" si="58"/>
        <v>0</v>
      </c>
      <c r="AC166">
        <f t="shared" ca="1" si="52"/>
        <v>0</v>
      </c>
      <c r="AD166">
        <f t="shared" ca="1" si="53"/>
        <v>0</v>
      </c>
      <c r="AE166" s="83" t="e">
        <f ca="1"/>
        <v>#N/A</v>
      </c>
      <c r="AF166" s="55" t="e">
        <f t="shared" ca="1" si="62"/>
        <v>#N/A</v>
      </c>
      <c r="AG166" s="55" t="e">
        <f t="shared" ca="1" si="63"/>
        <v>#N/A</v>
      </c>
      <c r="AH166" s="55" t="e">
        <f t="shared" ca="1" si="64"/>
        <v>#N/A</v>
      </c>
      <c r="AI166" s="55" t="e">
        <f t="shared" ca="1" si="65"/>
        <v>#N/A</v>
      </c>
      <c r="AJ166" s="55" t="e">
        <f t="shared" ca="1" si="59"/>
        <v>#N/A</v>
      </c>
      <c r="AK166" s="55" t="e">
        <f t="shared" ca="1" si="60"/>
        <v>#N/A</v>
      </c>
      <c r="AL166" s="55" t="e">
        <f t="shared" ca="1" si="61"/>
        <v>#N/A</v>
      </c>
      <c r="AM166" s="55"/>
    </row>
    <row r="167" spans="18:39">
      <c r="R167" s="83">
        <f ca="1"/>
        <v>45343</v>
      </c>
      <c r="S167" s="55">
        <f t="shared" ca="1" si="54"/>
        <v>45343</v>
      </c>
      <c r="T167" s="55">
        <f t="shared" ca="1" si="47"/>
        <v>26.410550081148511</v>
      </c>
      <c r="U167" s="55">
        <f t="shared" ca="1" si="48"/>
        <v>293.45364009233811</v>
      </c>
      <c r="V167" s="55">
        <f t="shared" ca="1" si="49"/>
        <v>0</v>
      </c>
      <c r="W167" s="55">
        <f t="shared" ca="1" si="55"/>
        <v>0</v>
      </c>
      <c r="X167" s="55">
        <f t="shared" ca="1" si="56"/>
        <v>18.403824248041719</v>
      </c>
      <c r="Y167" s="55">
        <f t="shared" ca="1" si="57"/>
        <v>16.689014324963122</v>
      </c>
      <c r="Z167" s="55">
        <f t="shared" ca="1" si="50"/>
        <v>0.5026026908814174</v>
      </c>
      <c r="AA167">
        <f t="shared" ca="1" si="51"/>
        <v>33.143665387383415</v>
      </c>
      <c r="AB167">
        <f t="shared" ca="1" si="58"/>
        <v>0</v>
      </c>
      <c r="AC167">
        <f t="shared" ca="1" si="52"/>
        <v>0</v>
      </c>
      <c r="AD167">
        <f t="shared" ca="1" si="53"/>
        <v>0</v>
      </c>
      <c r="AE167" s="83" t="e">
        <f ca="1"/>
        <v>#N/A</v>
      </c>
      <c r="AF167" s="55" t="e">
        <f t="shared" ca="1" si="62"/>
        <v>#N/A</v>
      </c>
      <c r="AG167" s="55" t="e">
        <f t="shared" ca="1" si="63"/>
        <v>#N/A</v>
      </c>
      <c r="AH167" s="55" t="e">
        <f t="shared" ca="1" si="64"/>
        <v>#N/A</v>
      </c>
      <c r="AI167" s="55" t="e">
        <f t="shared" ca="1" si="65"/>
        <v>#N/A</v>
      </c>
      <c r="AJ167" s="55" t="e">
        <f t="shared" ca="1" si="59"/>
        <v>#N/A</v>
      </c>
      <c r="AK167" s="55" t="e">
        <f t="shared" ca="1" si="60"/>
        <v>#N/A</v>
      </c>
      <c r="AL167" s="55" t="e">
        <f t="shared" ca="1" si="61"/>
        <v>#N/A</v>
      </c>
      <c r="AM167" s="55"/>
    </row>
    <row r="168" spans="18:39">
      <c r="R168" s="83">
        <f ca="1"/>
        <v>45344</v>
      </c>
      <c r="S168" s="55">
        <f t="shared" ca="1" si="54"/>
        <v>45344</v>
      </c>
      <c r="T168" s="55">
        <f t="shared" ca="1" si="47"/>
        <v>26.552382144426151</v>
      </c>
      <c r="U168" s="55">
        <f t="shared" ca="1" si="48"/>
        <v>293.48520261680972</v>
      </c>
      <c r="V168" s="55">
        <f t="shared" ca="1" si="49"/>
        <v>0</v>
      </c>
      <c r="W168" s="55">
        <f t="shared" ca="1" si="55"/>
        <v>0</v>
      </c>
      <c r="X168" s="55">
        <f t="shared" ca="1" si="56"/>
        <v>18.537566596270764</v>
      </c>
      <c r="Y168" s="55">
        <f t="shared" ca="1" si="57"/>
        <v>16.728666564483326</v>
      </c>
      <c r="Z168" s="55">
        <f t="shared" ca="1" si="50"/>
        <v>0.44187534260254324</v>
      </c>
      <c r="AA168">
        <f t="shared" ca="1" si="51"/>
        <v>33.686222425668042</v>
      </c>
      <c r="AB168">
        <f t="shared" ca="1" si="58"/>
        <v>0</v>
      </c>
      <c r="AC168">
        <f t="shared" ca="1" si="52"/>
        <v>0</v>
      </c>
      <c r="AD168">
        <f t="shared" ca="1" si="53"/>
        <v>0</v>
      </c>
      <c r="AE168" s="83" t="e">
        <f ca="1"/>
        <v>#N/A</v>
      </c>
      <c r="AF168" s="55" t="e">
        <f t="shared" ca="1" si="62"/>
        <v>#N/A</v>
      </c>
      <c r="AG168" s="55" t="e">
        <f t="shared" ca="1" si="63"/>
        <v>#N/A</v>
      </c>
      <c r="AH168" s="55" t="e">
        <f t="shared" ca="1" si="64"/>
        <v>#N/A</v>
      </c>
      <c r="AI168" s="55" t="e">
        <f t="shared" ca="1" si="65"/>
        <v>#N/A</v>
      </c>
      <c r="AJ168" s="55" t="e">
        <f t="shared" ca="1" si="59"/>
        <v>#N/A</v>
      </c>
      <c r="AK168" s="55" t="e">
        <f t="shared" ca="1" si="60"/>
        <v>#N/A</v>
      </c>
      <c r="AL168" s="55" t="e">
        <f t="shared" ca="1" si="61"/>
        <v>#N/A</v>
      </c>
      <c r="AM168" s="55"/>
    </row>
    <row r="169" spans="18:39">
      <c r="R169" s="83">
        <f ca="1"/>
        <v>45345</v>
      </c>
      <c r="S169" s="55">
        <f t="shared" ca="1" si="54"/>
        <v>45345</v>
      </c>
      <c r="T169" s="55">
        <f t="shared" ca="1" si="47"/>
        <v>26.695987298808067</v>
      </c>
      <c r="U169" s="55">
        <f t="shared" ca="1" si="48"/>
        <v>293.51303029697277</v>
      </c>
      <c r="V169" s="55">
        <f t="shared" ca="1" si="49"/>
        <v>0</v>
      </c>
      <c r="W169" s="55">
        <f t="shared" ca="1" si="55"/>
        <v>0</v>
      </c>
      <c r="X169" s="55">
        <f t="shared" ca="1" si="56"/>
        <v>18.669647809674217</v>
      </c>
      <c r="Y169" s="55">
        <f t="shared" ca="1" si="57"/>
        <v>16.768018185624847</v>
      </c>
      <c r="Z169" s="55">
        <f t="shared" ca="1" si="50"/>
        <v>0.38958752228279536</v>
      </c>
      <c r="AA169">
        <f t="shared" ca="1" si="51"/>
        <v>34.890379966474391</v>
      </c>
      <c r="AB169">
        <f t="shared" ca="1" si="58"/>
        <v>0</v>
      </c>
      <c r="AC169">
        <f t="shared" ca="1" si="52"/>
        <v>0</v>
      </c>
      <c r="AD169">
        <f t="shared" ca="1" si="53"/>
        <v>0</v>
      </c>
      <c r="AE169" s="83" t="e">
        <f ca="1"/>
        <v>#N/A</v>
      </c>
      <c r="AF169" s="55" t="e">
        <f t="shared" ca="1" si="62"/>
        <v>#N/A</v>
      </c>
      <c r="AG169" s="55" t="e">
        <f t="shared" ca="1" si="63"/>
        <v>#N/A</v>
      </c>
      <c r="AH169" s="55" t="e">
        <f t="shared" ca="1" si="64"/>
        <v>#N/A</v>
      </c>
      <c r="AI169" s="55" t="e">
        <f t="shared" ca="1" si="65"/>
        <v>#N/A</v>
      </c>
      <c r="AJ169" s="55" t="e">
        <f t="shared" ca="1" si="59"/>
        <v>#N/A</v>
      </c>
      <c r="AK169" s="55" t="e">
        <f t="shared" ca="1" si="60"/>
        <v>#N/A</v>
      </c>
      <c r="AL169" s="55" t="e">
        <f t="shared" ca="1" si="61"/>
        <v>#N/A</v>
      </c>
      <c r="AM169" s="55"/>
    </row>
    <row r="170" spans="18:39">
      <c r="R170" s="83">
        <f ca="1"/>
        <v>45346</v>
      </c>
      <c r="S170" s="55">
        <f t="shared" ca="1" si="54"/>
        <v>45346</v>
      </c>
      <c r="T170" s="55">
        <f t="shared" ca="1" si="47"/>
        <v>26.850298676857122</v>
      </c>
      <c r="U170" s="55">
        <f t="shared" ca="1" si="48"/>
        <v>293.53975197819113</v>
      </c>
      <c r="V170" s="55">
        <f t="shared" ca="1" si="49"/>
        <v>0</v>
      </c>
      <c r="W170" s="55">
        <f t="shared" ca="1" si="55"/>
        <v>0</v>
      </c>
      <c r="X170" s="55">
        <f t="shared" ca="1" si="56"/>
        <v>18.809778086388814</v>
      </c>
      <c r="Y170" s="55">
        <f t="shared" ca="1" si="57"/>
        <v>16.808920968177667</v>
      </c>
      <c r="Z170" s="55">
        <f t="shared" ca="1" si="50"/>
        <v>0.37410353705706711</v>
      </c>
      <c r="AA170">
        <f t="shared" ca="1" si="51"/>
        <v>35.369792499255965</v>
      </c>
      <c r="AB170">
        <f t="shared" ca="1" si="58"/>
        <v>0</v>
      </c>
      <c r="AC170">
        <f t="shared" ca="1" si="52"/>
        <v>0</v>
      </c>
      <c r="AD170">
        <f t="shared" ca="1" si="53"/>
        <v>0</v>
      </c>
      <c r="AE170" s="83" t="e">
        <f ca="1"/>
        <v>#N/A</v>
      </c>
      <c r="AF170" s="55" t="e">
        <f t="shared" ca="1" si="62"/>
        <v>#N/A</v>
      </c>
      <c r="AG170" s="55" t="e">
        <f t="shared" ca="1" si="63"/>
        <v>#N/A</v>
      </c>
      <c r="AH170" s="55" t="e">
        <f t="shared" ca="1" si="64"/>
        <v>#N/A</v>
      </c>
      <c r="AI170" s="55" t="e">
        <f t="shared" ca="1" si="65"/>
        <v>#N/A</v>
      </c>
      <c r="AJ170" s="55" t="e">
        <f t="shared" ca="1" si="59"/>
        <v>#N/A</v>
      </c>
      <c r="AK170" s="55" t="e">
        <f t="shared" ca="1" si="60"/>
        <v>#N/A</v>
      </c>
      <c r="AL170" s="55" t="e">
        <f t="shared" ca="1" si="61"/>
        <v>#N/A</v>
      </c>
      <c r="AM170" s="55"/>
    </row>
    <row r="171" spans="18:39">
      <c r="R171" s="83">
        <f ca="1"/>
        <v>45347</v>
      </c>
      <c r="S171" s="55">
        <f t="shared" ca="1" si="54"/>
        <v>45347</v>
      </c>
      <c r="T171" s="55">
        <f t="shared" ca="1" si="47"/>
        <v>26.996516296203858</v>
      </c>
      <c r="U171" s="55">
        <f t="shared" ca="1" si="48"/>
        <v>293.56268602771223</v>
      </c>
      <c r="V171" s="55">
        <f t="shared" ca="1" si="49"/>
        <v>0</v>
      </c>
      <c r="W171" s="55">
        <f t="shared" ca="1" si="55"/>
        <v>0</v>
      </c>
      <c r="X171" s="55">
        <f t="shared" ca="1" si="56"/>
        <v>18.941924399500245</v>
      </c>
      <c r="Y171" s="55">
        <f t="shared" ca="1" si="57"/>
        <v>16.845926323934073</v>
      </c>
      <c r="Z171" s="55">
        <f t="shared" ca="1" si="50"/>
        <v>0.32107669329536748</v>
      </c>
      <c r="AA171">
        <f t="shared" ca="1" si="51"/>
        <v>34.099405971768043</v>
      </c>
      <c r="AB171">
        <f t="shared" ca="1" si="58"/>
        <v>0</v>
      </c>
      <c r="AC171">
        <f t="shared" ca="1" si="52"/>
        <v>0</v>
      </c>
      <c r="AD171">
        <f t="shared" ca="1" si="53"/>
        <v>0</v>
      </c>
      <c r="AE171" s="83" t="e">
        <f ca="1"/>
        <v>#N/A</v>
      </c>
      <c r="AF171" s="55" t="e">
        <f t="shared" ca="1" si="62"/>
        <v>#N/A</v>
      </c>
      <c r="AG171" s="55" t="e">
        <f t="shared" ca="1" si="63"/>
        <v>#N/A</v>
      </c>
      <c r="AH171" s="55" t="e">
        <f t="shared" ca="1" si="64"/>
        <v>#N/A</v>
      </c>
      <c r="AI171" s="55" t="e">
        <f t="shared" ca="1" si="65"/>
        <v>#N/A</v>
      </c>
      <c r="AJ171" s="55" t="e">
        <f t="shared" ca="1" si="59"/>
        <v>#N/A</v>
      </c>
      <c r="AK171" s="55" t="e">
        <f t="shared" ca="1" si="60"/>
        <v>#N/A</v>
      </c>
      <c r="AL171" s="55" t="e">
        <f t="shared" ca="1" si="61"/>
        <v>#N/A</v>
      </c>
      <c r="AM171" s="55"/>
    </row>
    <row r="172" spans="18:39">
      <c r="R172" s="83">
        <f ca="1"/>
        <v>45348</v>
      </c>
      <c r="S172" s="55">
        <f t="shared" ca="1" si="54"/>
        <v>45348</v>
      </c>
      <c r="T172" s="55">
        <f t="shared" ca="1" si="47"/>
        <v>27.146837987375484</v>
      </c>
      <c r="U172" s="55">
        <f t="shared" ca="1" si="48"/>
        <v>293.58346177277127</v>
      </c>
      <c r="V172" s="55">
        <f t="shared" ca="1" si="49"/>
        <v>0</v>
      </c>
      <c r="W172" s="55">
        <f t="shared" ca="1" si="55"/>
        <v>0</v>
      </c>
      <c r="X172" s="55">
        <f t="shared" ca="1" si="56"/>
        <v>19.075568118520536</v>
      </c>
      <c r="Y172" s="55">
        <f t="shared" ca="1" si="57"/>
        <v>16.883380041144449</v>
      </c>
      <c r="Z172" s="55">
        <f t="shared" ca="1" si="50"/>
        <v>0.29086043082656943</v>
      </c>
      <c r="AA172">
        <f t="shared" ca="1" si="51"/>
        <v>35.28641478023092</v>
      </c>
      <c r="AB172">
        <f t="shared" ca="1" si="58"/>
        <v>0</v>
      </c>
      <c r="AC172">
        <f t="shared" ca="1" si="52"/>
        <v>0</v>
      </c>
      <c r="AD172">
        <f t="shared" ca="1" si="53"/>
        <v>0</v>
      </c>
      <c r="AE172" s="83" t="e">
        <f ca="1"/>
        <v>#N/A</v>
      </c>
      <c r="AF172" s="55" t="e">
        <f t="shared" ca="1" si="62"/>
        <v>#N/A</v>
      </c>
      <c r="AG172" s="55" t="e">
        <f t="shared" ca="1" si="63"/>
        <v>#N/A</v>
      </c>
      <c r="AH172" s="55" t="e">
        <f t="shared" ca="1" si="64"/>
        <v>#N/A</v>
      </c>
      <c r="AI172" s="55" t="e">
        <f t="shared" ca="1" si="65"/>
        <v>#N/A</v>
      </c>
      <c r="AJ172" s="55" t="e">
        <f t="shared" ca="1" si="59"/>
        <v>#N/A</v>
      </c>
      <c r="AK172" s="55" t="e">
        <f t="shared" ca="1" si="60"/>
        <v>#N/A</v>
      </c>
      <c r="AL172" s="55" t="e">
        <f t="shared" ca="1" si="61"/>
        <v>#N/A</v>
      </c>
      <c r="AM172" s="55"/>
    </row>
    <row r="173" spans="18:39">
      <c r="R173" s="83">
        <f ca="1"/>
        <v>45349</v>
      </c>
      <c r="S173" s="55">
        <f t="shared" ca="1" si="54"/>
        <v>45349</v>
      </c>
      <c r="T173" s="55">
        <f t="shared" ca="1" si="47"/>
        <v>27.298367909027341</v>
      </c>
      <c r="U173" s="55">
        <f t="shared" ca="1" si="48"/>
        <v>293.60231406526742</v>
      </c>
      <c r="V173" s="55">
        <f t="shared" ca="1" si="49"/>
        <v>0</v>
      </c>
      <c r="W173" s="55">
        <f t="shared" ca="1" si="55"/>
        <v>0</v>
      </c>
      <c r="X173" s="55">
        <f t="shared" ca="1" si="56"/>
        <v>19.209345904063184</v>
      </c>
      <c r="Y173" s="55">
        <f t="shared" ca="1" si="57"/>
        <v>16.919984469749807</v>
      </c>
      <c r="Z173" s="55">
        <f t="shared" ca="1" si="50"/>
        <v>0.26393209494608527</v>
      </c>
      <c r="AA173">
        <f t="shared" ca="1" si="51"/>
        <v>35.224468394738942</v>
      </c>
      <c r="AB173">
        <f t="shared" ca="1" si="58"/>
        <v>0</v>
      </c>
      <c r="AC173">
        <f t="shared" ca="1" si="52"/>
        <v>0</v>
      </c>
      <c r="AD173">
        <f t="shared" ca="1" si="53"/>
        <v>0</v>
      </c>
      <c r="AE173" s="83" t="e">
        <f ca="1"/>
        <v>#N/A</v>
      </c>
      <c r="AF173" s="55" t="e">
        <f t="shared" ca="1" si="62"/>
        <v>#N/A</v>
      </c>
      <c r="AG173" s="55" t="e">
        <f t="shared" ca="1" si="63"/>
        <v>#N/A</v>
      </c>
      <c r="AH173" s="55" t="e">
        <f t="shared" ca="1" si="64"/>
        <v>#N/A</v>
      </c>
      <c r="AI173" s="55" t="e">
        <f t="shared" ca="1" si="65"/>
        <v>#N/A</v>
      </c>
      <c r="AJ173" s="55" t="e">
        <f t="shared" ca="1" si="59"/>
        <v>#N/A</v>
      </c>
      <c r="AK173" s="55" t="e">
        <f t="shared" ca="1" si="60"/>
        <v>#N/A</v>
      </c>
      <c r="AL173" s="55" t="e">
        <f t="shared" ca="1" si="61"/>
        <v>#N/A</v>
      </c>
      <c r="AM173" s="55"/>
    </row>
    <row r="174" spans="18:39">
      <c r="R174" s="83">
        <f ca="1"/>
        <v>45350</v>
      </c>
      <c r="S174" s="55">
        <f t="shared" ca="1" si="54"/>
        <v>45350</v>
      </c>
      <c r="T174" s="55">
        <f t="shared" ca="1" si="47"/>
        <v>27.449861902988687</v>
      </c>
      <c r="U174" s="55">
        <f t="shared" ca="1" si="48"/>
        <v>293.61920023512153</v>
      </c>
      <c r="V174" s="55">
        <f t="shared" ca="1" si="49"/>
        <v>0</v>
      </c>
      <c r="W174" s="55">
        <f t="shared" ca="1" si="55"/>
        <v>0</v>
      </c>
      <c r="X174" s="55">
        <f t="shared" ca="1" si="56"/>
        <v>19.342029982339145</v>
      </c>
      <c r="Y174" s="55">
        <f t="shared" ca="1" si="57"/>
        <v>16.955680555289291</v>
      </c>
      <c r="Z174" s="55">
        <f t="shared" ca="1" si="50"/>
        <v>0.23640637795745079</v>
      </c>
      <c r="AA174">
        <f t="shared" ca="1" si="51"/>
        <v>35.451645064502351</v>
      </c>
      <c r="AB174">
        <f t="shared" ca="1" si="58"/>
        <v>0</v>
      </c>
      <c r="AC174">
        <f t="shared" ca="1" si="52"/>
        <v>0</v>
      </c>
      <c r="AD174">
        <f t="shared" ca="1" si="53"/>
        <v>0</v>
      </c>
      <c r="AE174" s="83" t="e">
        <f ca="1"/>
        <v>#N/A</v>
      </c>
      <c r="AF174" s="55" t="e">
        <f t="shared" ca="1" si="62"/>
        <v>#N/A</v>
      </c>
      <c r="AG174" s="55" t="e">
        <f t="shared" ca="1" si="63"/>
        <v>#N/A</v>
      </c>
      <c r="AH174" s="55" t="e">
        <f t="shared" ca="1" si="64"/>
        <v>#N/A</v>
      </c>
      <c r="AI174" s="55" t="e">
        <f t="shared" ca="1" si="65"/>
        <v>#N/A</v>
      </c>
      <c r="AJ174" s="55" t="e">
        <f t="shared" ca="1" si="59"/>
        <v>#N/A</v>
      </c>
      <c r="AK174" s="55" t="e">
        <f t="shared" ca="1" si="60"/>
        <v>#N/A</v>
      </c>
      <c r="AL174" s="55" t="e">
        <f t="shared" ca="1" si="61"/>
        <v>#N/A</v>
      </c>
      <c r="AM174" s="55"/>
    </row>
    <row r="175" spans="18:39">
      <c r="R175" s="83">
        <f ca="1"/>
        <v>45351</v>
      </c>
      <c r="S175" s="55">
        <f t="shared" ca="1" si="54"/>
        <v>45351</v>
      </c>
      <c r="T175" s="55">
        <f t="shared" ca="1" si="47"/>
        <v>27.600943249227022</v>
      </c>
      <c r="U175" s="55">
        <f t="shared" ca="1" si="48"/>
        <v>293.63474812592108</v>
      </c>
      <c r="V175" s="55">
        <f t="shared" ca="1" si="49"/>
        <v>0</v>
      </c>
      <c r="W175" s="55">
        <f t="shared" ca="1" si="55"/>
        <v>0</v>
      </c>
      <c r="X175" s="55">
        <f t="shared" ca="1" si="56"/>
        <v>19.474771331897401</v>
      </c>
      <c r="Y175" s="55">
        <f t="shared" ca="1" si="57"/>
        <v>16.98956844276892</v>
      </c>
      <c r="Z175" s="55">
        <f t="shared" ca="1" si="50"/>
        <v>0.21767047119374183</v>
      </c>
      <c r="AA175">
        <f t="shared" ca="1" si="51"/>
        <v>33.984639703792631</v>
      </c>
      <c r="AB175">
        <f t="shared" ca="1" si="58"/>
        <v>0</v>
      </c>
      <c r="AC175">
        <f t="shared" ca="1" si="52"/>
        <v>0</v>
      </c>
      <c r="AD175">
        <f t="shared" ca="1" si="53"/>
        <v>0</v>
      </c>
      <c r="AE175" s="83" t="e">
        <f ca="1"/>
        <v>#N/A</v>
      </c>
      <c r="AF175" s="55" t="e">
        <f t="shared" ca="1" si="62"/>
        <v>#N/A</v>
      </c>
      <c r="AG175" s="55" t="e">
        <f t="shared" ca="1" si="63"/>
        <v>#N/A</v>
      </c>
      <c r="AH175" s="55" t="e">
        <f t="shared" ca="1" si="64"/>
        <v>#N/A</v>
      </c>
      <c r="AI175" s="55" t="e">
        <f t="shared" ca="1" si="65"/>
        <v>#N/A</v>
      </c>
      <c r="AJ175" s="55" t="e">
        <f t="shared" ca="1" si="59"/>
        <v>#N/A</v>
      </c>
      <c r="AK175" s="55" t="e">
        <f t="shared" ca="1" si="60"/>
        <v>#N/A</v>
      </c>
      <c r="AL175" s="55" t="e">
        <f t="shared" ca="1" si="61"/>
        <v>#N/A</v>
      </c>
      <c r="AM175" s="55"/>
    </row>
    <row r="176" spans="18:39">
      <c r="R176" s="83">
        <f ca="1"/>
        <v>45352</v>
      </c>
      <c r="S176" s="55">
        <f t="shared" ca="1" si="54"/>
        <v>45352</v>
      </c>
      <c r="T176" s="55">
        <f t="shared" ca="1" si="47"/>
        <v>27.7510193987519</v>
      </c>
      <c r="U176" s="55">
        <f t="shared" ca="1" si="48"/>
        <v>293.64847821076637</v>
      </c>
      <c r="V176" s="55">
        <f t="shared" ca="1" si="49"/>
        <v>0</v>
      </c>
      <c r="W176" s="55">
        <f t="shared" ca="1" si="55"/>
        <v>0</v>
      </c>
      <c r="X176" s="55">
        <f t="shared" ca="1" si="56"/>
        <v>19.605378678116274</v>
      </c>
      <c r="Y176" s="55">
        <f t="shared" ca="1" si="57"/>
        <v>17.022767330920217</v>
      </c>
      <c r="Z176" s="55">
        <f t="shared" ca="1" si="50"/>
        <v>0.19222118783409314</v>
      </c>
      <c r="AA176">
        <f t="shared" ca="1" si="51"/>
        <v>34.721545647018395</v>
      </c>
      <c r="AB176">
        <f t="shared" ca="1" si="58"/>
        <v>0</v>
      </c>
      <c r="AC176">
        <f t="shared" ca="1" si="52"/>
        <v>0</v>
      </c>
      <c r="AD176">
        <f t="shared" ca="1" si="53"/>
        <v>0</v>
      </c>
      <c r="AE176" s="83" t="e">
        <f ca="1"/>
        <v>#N/A</v>
      </c>
      <c r="AF176" s="55" t="e">
        <f t="shared" ca="1" si="62"/>
        <v>#N/A</v>
      </c>
      <c r="AG176" s="55" t="e">
        <f t="shared" ca="1" si="63"/>
        <v>#N/A</v>
      </c>
      <c r="AH176" s="55" t="e">
        <f t="shared" ca="1" si="64"/>
        <v>#N/A</v>
      </c>
      <c r="AI176" s="55" t="e">
        <f t="shared" ca="1" si="65"/>
        <v>#N/A</v>
      </c>
      <c r="AJ176" s="55" t="e">
        <f t="shared" ca="1" si="59"/>
        <v>#N/A</v>
      </c>
      <c r="AK176" s="55" t="e">
        <f t="shared" ca="1" si="60"/>
        <v>#N/A</v>
      </c>
      <c r="AL176" s="55" t="e">
        <f t="shared" ca="1" si="61"/>
        <v>#N/A</v>
      </c>
      <c r="AM176" s="55"/>
    </row>
    <row r="177" spans="18:39">
      <c r="R177" s="83">
        <f ca="1"/>
        <v>45353</v>
      </c>
      <c r="S177" s="55">
        <f t="shared" ca="1" si="54"/>
        <v>45353</v>
      </c>
      <c r="T177" s="55">
        <f t="shared" ca="1" si="47"/>
        <v>27.901946171858935</v>
      </c>
      <c r="U177" s="55">
        <f t="shared" ca="1" si="48"/>
        <v>293.66012562550264</v>
      </c>
      <c r="V177" s="55">
        <f t="shared" ca="1" si="49"/>
        <v>0</v>
      </c>
      <c r="W177" s="55">
        <f t="shared" ca="1" si="55"/>
        <v>0</v>
      </c>
      <c r="X177" s="55">
        <f t="shared" ca="1" si="56"/>
        <v>19.733394206961758</v>
      </c>
      <c r="Y177" s="55">
        <f t="shared" ca="1" si="57"/>
        <v>17.057325989918041</v>
      </c>
      <c r="Z177" s="55">
        <f t="shared" ca="1" si="50"/>
        <v>0.16306380630783224</v>
      </c>
      <c r="AA177">
        <f t="shared" ca="1" si="51"/>
        <v>38.943442909117813</v>
      </c>
      <c r="AB177">
        <f t="shared" ca="1" si="58"/>
        <v>0</v>
      </c>
      <c r="AC177">
        <f t="shared" ca="1" si="52"/>
        <v>0</v>
      </c>
      <c r="AD177">
        <f t="shared" ca="1" si="53"/>
        <v>0</v>
      </c>
      <c r="AE177" s="83" t="e">
        <f ca="1"/>
        <v>#N/A</v>
      </c>
      <c r="AF177" s="55" t="e">
        <f t="shared" ca="1" si="62"/>
        <v>#N/A</v>
      </c>
      <c r="AG177" s="55" t="e">
        <f t="shared" ca="1" si="63"/>
        <v>#N/A</v>
      </c>
      <c r="AH177" s="55" t="e">
        <f t="shared" ca="1" si="64"/>
        <v>#N/A</v>
      </c>
      <c r="AI177" s="55" t="e">
        <f t="shared" ca="1" si="65"/>
        <v>#N/A</v>
      </c>
      <c r="AJ177" s="55" t="e">
        <f t="shared" ca="1" si="59"/>
        <v>#N/A</v>
      </c>
      <c r="AK177" s="55" t="e">
        <f t="shared" ca="1" si="60"/>
        <v>#N/A</v>
      </c>
      <c r="AL177" s="55" t="e">
        <f t="shared" ca="1" si="61"/>
        <v>#N/A</v>
      </c>
      <c r="AM177" s="55"/>
    </row>
    <row r="178" spans="18:39">
      <c r="R178" s="83">
        <f ca="1"/>
        <v>45354</v>
      </c>
      <c r="S178" s="55">
        <f t="shared" ca="1" si="54"/>
        <v>45354</v>
      </c>
      <c r="T178" s="55">
        <f t="shared" ca="1" si="47"/>
        <v>28.049022898011192</v>
      </c>
      <c r="U178" s="55">
        <f t="shared" ca="1" si="48"/>
        <v>293.67015852251734</v>
      </c>
      <c r="V178" s="55">
        <f t="shared" ca="1" si="49"/>
        <v>0</v>
      </c>
      <c r="W178" s="55">
        <f t="shared" ca="1" si="55"/>
        <v>0</v>
      </c>
      <c r="X178" s="55">
        <f t="shared" ca="1" si="56"/>
        <v>19.856898963204156</v>
      </c>
      <c r="Y178" s="55">
        <f t="shared" ca="1" si="57"/>
        <v>17.090930856842597</v>
      </c>
      <c r="Z178" s="55">
        <f t="shared" ca="1" si="50"/>
        <v>0.14046055820574566</v>
      </c>
      <c r="AA178">
        <f t="shared" ca="1" si="51"/>
        <v>40.434892287140016</v>
      </c>
      <c r="AB178">
        <f t="shared" ca="1" si="58"/>
        <v>0</v>
      </c>
      <c r="AC178">
        <f t="shared" ca="1" si="52"/>
        <v>0</v>
      </c>
      <c r="AD178">
        <f t="shared" ca="1" si="53"/>
        <v>0</v>
      </c>
      <c r="AE178" s="83" t="e">
        <f ca="1"/>
        <v>#N/A</v>
      </c>
      <c r="AF178" s="55" t="e">
        <f t="shared" ca="1" si="62"/>
        <v>#N/A</v>
      </c>
      <c r="AG178" s="55" t="e">
        <f t="shared" ca="1" si="63"/>
        <v>#N/A</v>
      </c>
      <c r="AH178" s="55" t="e">
        <f t="shared" ca="1" si="64"/>
        <v>#N/A</v>
      </c>
      <c r="AI178" s="55" t="e">
        <f t="shared" ca="1" si="65"/>
        <v>#N/A</v>
      </c>
      <c r="AJ178" s="55" t="e">
        <f t="shared" ca="1" si="59"/>
        <v>#N/A</v>
      </c>
      <c r="AK178" s="55" t="e">
        <f t="shared" ca="1" si="60"/>
        <v>#N/A</v>
      </c>
      <c r="AL178" s="55" t="e">
        <f t="shared" ca="1" si="61"/>
        <v>#N/A</v>
      </c>
      <c r="AM178" s="55"/>
    </row>
    <row r="179" spans="18:39">
      <c r="R179" s="83">
        <f ca="1"/>
        <v>45355</v>
      </c>
      <c r="S179" s="55">
        <f t="shared" ca="1" si="54"/>
        <v>45355</v>
      </c>
      <c r="T179" s="55">
        <f t="shared" ca="1" si="47"/>
        <v>28.21478025501824</v>
      </c>
      <c r="U179" s="55">
        <f t="shared" ca="1" si="48"/>
        <v>293.68043478260864</v>
      </c>
      <c r="V179" s="55">
        <f t="shared" ca="1" si="49"/>
        <v>0</v>
      </c>
      <c r="W179" s="55">
        <f t="shared" ca="1" si="55"/>
        <v>0</v>
      </c>
      <c r="X179" s="55">
        <f t="shared" ca="1" si="56"/>
        <v>19.995612186262914</v>
      </c>
      <c r="Y179" s="55">
        <f t="shared" ca="1" si="57"/>
        <v>17.128251250882194</v>
      </c>
      <c r="Z179" s="55">
        <f t="shared" ca="1" si="50"/>
        <v>0.14386764127823426</v>
      </c>
      <c r="AA179">
        <f t="shared" ca="1" si="51"/>
        <v>42.478553050906029</v>
      </c>
      <c r="AB179">
        <f t="shared" ca="1" si="58"/>
        <v>0</v>
      </c>
      <c r="AC179">
        <f t="shared" ca="1" si="52"/>
        <v>0</v>
      </c>
      <c r="AD179">
        <f t="shared" ca="1" si="53"/>
        <v>0</v>
      </c>
      <c r="AE179" s="83" t="e">
        <f ca="1"/>
        <v>#N/A</v>
      </c>
      <c r="AF179" s="55" t="e">
        <f t="shared" ca="1" si="62"/>
        <v>#N/A</v>
      </c>
      <c r="AG179" s="55" t="e">
        <f t="shared" ca="1" si="63"/>
        <v>#N/A</v>
      </c>
      <c r="AH179" s="55" t="e">
        <f t="shared" ca="1" si="64"/>
        <v>#N/A</v>
      </c>
      <c r="AI179" s="55" t="e">
        <f t="shared" ca="1" si="65"/>
        <v>#N/A</v>
      </c>
      <c r="AJ179" s="55" t="e">
        <f t="shared" ca="1" si="59"/>
        <v>#N/A</v>
      </c>
      <c r="AK179" s="55" t="e">
        <f t="shared" ca="1" si="60"/>
        <v>#N/A</v>
      </c>
      <c r="AL179" s="55" t="e">
        <f t="shared" ca="1" si="61"/>
        <v>#N/A</v>
      </c>
      <c r="AM179" s="55"/>
    </row>
    <row r="180" spans="18:39">
      <c r="R180" s="83" t="e">
        <f ca="1"/>
        <v>#N/A</v>
      </c>
      <c r="S180" s="55" t="e">
        <f t="shared" ca="1" si="54"/>
        <v>#N/A</v>
      </c>
      <c r="T180" s="55" t="e">
        <f t="shared" ca="1" si="47"/>
        <v>#N/A</v>
      </c>
      <c r="U180" s="55" t="e">
        <f t="shared" ca="1" si="48"/>
        <v>#N/A</v>
      </c>
      <c r="V180" s="55" t="e">
        <f t="shared" ca="1" si="49"/>
        <v>#N/A</v>
      </c>
      <c r="W180" s="55" t="e">
        <f t="shared" ca="1" si="55"/>
        <v>#N/A</v>
      </c>
      <c r="X180" s="55" t="e">
        <f t="shared" ca="1" si="56"/>
        <v>#N/A</v>
      </c>
      <c r="Y180" s="55" t="e">
        <f t="shared" ca="1" si="57"/>
        <v>#N/A</v>
      </c>
      <c r="Z180" s="55" t="e">
        <f t="shared" ca="1" si="50"/>
        <v>#N/A</v>
      </c>
      <c r="AA180" t="e">
        <f t="shared" ca="1" si="51"/>
        <v>#N/A</v>
      </c>
      <c r="AB180" t="e">
        <f t="shared" ca="1" si="58"/>
        <v>#N/A</v>
      </c>
      <c r="AC180" t="e">
        <f t="shared" ca="1" si="52"/>
        <v>#N/A</v>
      </c>
      <c r="AD180" t="e">
        <f t="shared" ca="1" si="53"/>
        <v>#N/A</v>
      </c>
      <c r="AE180" s="83" t="e">
        <f ca="1"/>
        <v>#N/A</v>
      </c>
      <c r="AF180" s="55" t="e">
        <f t="shared" ca="1" si="62"/>
        <v>#N/A</v>
      </c>
      <c r="AG180" s="55" t="e">
        <f t="shared" ca="1" si="63"/>
        <v>#N/A</v>
      </c>
      <c r="AH180" s="55" t="e">
        <f t="shared" ca="1" si="64"/>
        <v>#N/A</v>
      </c>
      <c r="AI180" s="55" t="e">
        <f t="shared" ca="1" si="65"/>
        <v>#N/A</v>
      </c>
      <c r="AJ180" s="55" t="e">
        <f t="shared" ca="1" si="59"/>
        <v>#N/A</v>
      </c>
      <c r="AK180" s="55" t="e">
        <f t="shared" ca="1" si="60"/>
        <v>#N/A</v>
      </c>
      <c r="AL180" s="55" t="e">
        <f t="shared" ca="1" si="61"/>
        <v>#N/A</v>
      </c>
      <c r="AM180" s="55"/>
    </row>
    <row r="181" spans="18:39">
      <c r="R181" s="83" t="e">
        <f ca="1"/>
        <v>#N/A</v>
      </c>
      <c r="S181" s="55" t="e">
        <f t="shared" ca="1" si="54"/>
        <v>#N/A</v>
      </c>
      <c r="T181" s="55" t="e">
        <f t="shared" ca="1" si="47"/>
        <v>#N/A</v>
      </c>
      <c r="U181" s="55" t="e">
        <f t="shared" ca="1" si="48"/>
        <v>#N/A</v>
      </c>
      <c r="V181" s="55" t="e">
        <f t="shared" ca="1" si="49"/>
        <v>#N/A</v>
      </c>
      <c r="W181" s="55" t="e">
        <f t="shared" ca="1" si="55"/>
        <v>#N/A</v>
      </c>
      <c r="X181" s="55" t="e">
        <f t="shared" ca="1" si="56"/>
        <v>#N/A</v>
      </c>
      <c r="Y181" s="55" t="e">
        <f t="shared" ca="1" si="57"/>
        <v>#N/A</v>
      </c>
      <c r="Z181" s="55" t="e">
        <f t="shared" ca="1" si="50"/>
        <v>#N/A</v>
      </c>
      <c r="AA181" t="e">
        <f t="shared" ca="1" si="51"/>
        <v>#N/A</v>
      </c>
      <c r="AB181" t="e">
        <f t="shared" ca="1" si="58"/>
        <v>#N/A</v>
      </c>
      <c r="AC181" t="e">
        <f t="shared" ca="1" si="52"/>
        <v>#N/A</v>
      </c>
      <c r="AD181" t="e">
        <f t="shared" ca="1" si="53"/>
        <v>#N/A</v>
      </c>
      <c r="AE181" s="83" t="e">
        <f ca="1"/>
        <v>#N/A</v>
      </c>
      <c r="AF181" s="55" t="e">
        <f t="shared" ca="1" si="62"/>
        <v>#N/A</v>
      </c>
      <c r="AG181" s="55" t="e">
        <f t="shared" ca="1" si="63"/>
        <v>#N/A</v>
      </c>
      <c r="AH181" s="55" t="e">
        <f t="shared" ca="1" si="64"/>
        <v>#N/A</v>
      </c>
      <c r="AI181" s="55" t="e">
        <f t="shared" ca="1" si="65"/>
        <v>#N/A</v>
      </c>
      <c r="AJ181" s="55" t="e">
        <f t="shared" ca="1" si="59"/>
        <v>#N/A</v>
      </c>
      <c r="AK181" s="55" t="e">
        <f t="shared" ca="1" si="60"/>
        <v>#N/A</v>
      </c>
      <c r="AL181" s="55" t="e">
        <f t="shared" ca="1" si="61"/>
        <v>#N/A</v>
      </c>
      <c r="AM181" s="55"/>
    </row>
    <row r="182" spans="18:39">
      <c r="R182" s="83" t="e">
        <f ca="1"/>
        <v>#N/A</v>
      </c>
      <c r="S182" s="55" t="e">
        <f t="shared" ca="1" si="54"/>
        <v>#N/A</v>
      </c>
      <c r="T182" s="55" t="e">
        <f t="shared" ca="1" si="47"/>
        <v>#N/A</v>
      </c>
      <c r="U182" s="55" t="e">
        <f t="shared" ca="1" si="48"/>
        <v>#N/A</v>
      </c>
      <c r="V182" s="55" t="e">
        <f t="shared" ca="1" si="49"/>
        <v>#N/A</v>
      </c>
      <c r="W182" s="55" t="e">
        <f t="shared" ca="1" si="55"/>
        <v>#N/A</v>
      </c>
      <c r="X182" s="55" t="e">
        <f t="shared" ca="1" si="56"/>
        <v>#N/A</v>
      </c>
      <c r="Y182" s="55" t="e">
        <f t="shared" ca="1" si="57"/>
        <v>#N/A</v>
      </c>
      <c r="Z182" s="55" t="e">
        <f t="shared" ca="1" si="50"/>
        <v>#N/A</v>
      </c>
      <c r="AA182" t="e">
        <f t="shared" ca="1" si="51"/>
        <v>#N/A</v>
      </c>
      <c r="AB182" t="e">
        <f t="shared" ca="1" si="58"/>
        <v>#N/A</v>
      </c>
      <c r="AC182" t="e">
        <f t="shared" ca="1" si="52"/>
        <v>#N/A</v>
      </c>
      <c r="AD182" t="e">
        <f t="shared" ca="1" si="53"/>
        <v>#N/A</v>
      </c>
      <c r="AE182" s="83" t="e">
        <f ca="1"/>
        <v>#N/A</v>
      </c>
      <c r="AF182" s="55" t="e">
        <f t="shared" ca="1" si="62"/>
        <v>#N/A</v>
      </c>
      <c r="AG182" s="55" t="e">
        <f t="shared" ca="1" si="63"/>
        <v>#N/A</v>
      </c>
      <c r="AH182" s="55" t="e">
        <f t="shared" ca="1" si="64"/>
        <v>#N/A</v>
      </c>
      <c r="AI182" s="55" t="e">
        <f t="shared" ca="1" si="65"/>
        <v>#N/A</v>
      </c>
      <c r="AJ182" s="55" t="e">
        <f t="shared" ca="1" si="59"/>
        <v>#N/A</v>
      </c>
      <c r="AK182" s="55" t="e">
        <f t="shared" ca="1" si="60"/>
        <v>#N/A</v>
      </c>
      <c r="AL182" s="55" t="e">
        <f t="shared" ca="1" si="61"/>
        <v>#N/A</v>
      </c>
      <c r="AM182" s="55"/>
    </row>
    <row r="183" spans="18:39">
      <c r="R183" s="83" t="e">
        <f ca="1"/>
        <v>#N/A</v>
      </c>
      <c r="S183" s="55" t="e">
        <f t="shared" ca="1" si="54"/>
        <v>#N/A</v>
      </c>
      <c r="T183" s="55" t="e">
        <f t="shared" ca="1" si="47"/>
        <v>#N/A</v>
      </c>
      <c r="U183" s="55" t="e">
        <f t="shared" ca="1" si="48"/>
        <v>#N/A</v>
      </c>
      <c r="V183" s="55" t="e">
        <f t="shared" ca="1" si="49"/>
        <v>#N/A</v>
      </c>
      <c r="W183" s="55" t="e">
        <f t="shared" ca="1" si="55"/>
        <v>#N/A</v>
      </c>
      <c r="X183" s="55" t="e">
        <f t="shared" ca="1" si="56"/>
        <v>#N/A</v>
      </c>
      <c r="Y183" s="55" t="e">
        <f t="shared" ca="1" si="57"/>
        <v>#N/A</v>
      </c>
      <c r="Z183" s="55" t="e">
        <f t="shared" ca="1" si="50"/>
        <v>#N/A</v>
      </c>
      <c r="AA183" t="e">
        <f t="shared" ca="1" si="51"/>
        <v>#N/A</v>
      </c>
      <c r="AB183" t="e">
        <f t="shared" ca="1" si="58"/>
        <v>#N/A</v>
      </c>
      <c r="AC183" t="e">
        <f t="shared" ca="1" si="52"/>
        <v>#N/A</v>
      </c>
      <c r="AD183" t="e">
        <f t="shared" ca="1" si="53"/>
        <v>#N/A</v>
      </c>
      <c r="AE183" s="83" t="e">
        <f ca="1"/>
        <v>#N/A</v>
      </c>
      <c r="AF183" s="55" t="e">
        <f t="shared" ca="1" si="62"/>
        <v>#N/A</v>
      </c>
      <c r="AG183" s="55" t="e">
        <f t="shared" ca="1" si="63"/>
        <v>#N/A</v>
      </c>
      <c r="AH183" s="55" t="e">
        <f t="shared" ca="1" si="64"/>
        <v>#N/A</v>
      </c>
      <c r="AI183" s="55" t="e">
        <f t="shared" ca="1" si="65"/>
        <v>#N/A</v>
      </c>
      <c r="AJ183" s="55" t="e">
        <f t="shared" ca="1" si="59"/>
        <v>#N/A</v>
      </c>
      <c r="AK183" s="55" t="e">
        <f t="shared" ca="1" si="60"/>
        <v>#N/A</v>
      </c>
      <c r="AL183" s="55" t="e">
        <f t="shared" ca="1" si="61"/>
        <v>#N/A</v>
      </c>
      <c r="AM183" s="55"/>
    </row>
    <row r="184" spans="18:39">
      <c r="R184" s="83" t="e">
        <f ca="1"/>
        <v>#N/A</v>
      </c>
      <c r="S184" s="55" t="e">
        <f t="shared" ca="1" si="54"/>
        <v>#N/A</v>
      </c>
      <c r="T184" s="55" t="e">
        <f t="shared" ca="1" si="47"/>
        <v>#N/A</v>
      </c>
      <c r="U184" s="55" t="e">
        <f t="shared" ca="1" si="48"/>
        <v>#N/A</v>
      </c>
      <c r="V184" s="55" t="e">
        <f t="shared" ca="1" si="49"/>
        <v>#N/A</v>
      </c>
      <c r="W184" s="55" t="e">
        <f t="shared" ca="1" si="55"/>
        <v>#N/A</v>
      </c>
      <c r="X184" s="55" t="e">
        <f t="shared" ca="1" si="56"/>
        <v>#N/A</v>
      </c>
      <c r="Y184" s="55" t="e">
        <f t="shared" ca="1" si="57"/>
        <v>#N/A</v>
      </c>
      <c r="Z184" s="55" t="e">
        <f t="shared" ca="1" si="50"/>
        <v>#N/A</v>
      </c>
      <c r="AA184" t="e">
        <f t="shared" ca="1" si="51"/>
        <v>#N/A</v>
      </c>
      <c r="AB184" t="e">
        <f t="shared" ca="1" si="58"/>
        <v>#N/A</v>
      </c>
      <c r="AC184" t="e">
        <f t="shared" ca="1" si="52"/>
        <v>#N/A</v>
      </c>
      <c r="AD184" t="e">
        <f t="shared" ca="1" si="53"/>
        <v>#N/A</v>
      </c>
      <c r="AE184" s="83" t="e">
        <f ca="1"/>
        <v>#N/A</v>
      </c>
      <c r="AF184" s="55" t="e">
        <f t="shared" ca="1" si="62"/>
        <v>#N/A</v>
      </c>
      <c r="AG184" s="55" t="e">
        <f t="shared" ca="1" si="63"/>
        <v>#N/A</v>
      </c>
      <c r="AH184" s="55" t="e">
        <f t="shared" ca="1" si="64"/>
        <v>#N/A</v>
      </c>
      <c r="AI184" s="55" t="e">
        <f t="shared" ca="1" si="65"/>
        <v>#N/A</v>
      </c>
      <c r="AJ184" s="55" t="e">
        <f t="shared" ca="1" si="59"/>
        <v>#N/A</v>
      </c>
      <c r="AK184" s="55" t="e">
        <f t="shared" ca="1" si="60"/>
        <v>#N/A</v>
      </c>
      <c r="AL184" s="55" t="e">
        <f t="shared" ca="1" si="61"/>
        <v>#N/A</v>
      </c>
      <c r="AM184" s="55"/>
    </row>
    <row r="185" spans="18:39">
      <c r="R185" s="83" t="e">
        <f ca="1"/>
        <v>#N/A</v>
      </c>
      <c r="S185" s="55" t="e">
        <f t="shared" ca="1" si="54"/>
        <v>#N/A</v>
      </c>
      <c r="T185" s="55" t="e">
        <f t="shared" ca="1" si="47"/>
        <v>#N/A</v>
      </c>
      <c r="U185" s="55" t="e">
        <f t="shared" ca="1" si="48"/>
        <v>#N/A</v>
      </c>
      <c r="V185" s="55" t="e">
        <f t="shared" ca="1" si="49"/>
        <v>#N/A</v>
      </c>
      <c r="W185" s="55" t="e">
        <f t="shared" ca="1" si="55"/>
        <v>#N/A</v>
      </c>
      <c r="X185" s="55" t="e">
        <f t="shared" ca="1" si="56"/>
        <v>#N/A</v>
      </c>
      <c r="Y185" s="55" t="e">
        <f t="shared" ca="1" si="57"/>
        <v>#N/A</v>
      </c>
      <c r="Z185" s="55" t="e">
        <f t="shared" ca="1" si="50"/>
        <v>#N/A</v>
      </c>
      <c r="AA185" t="e">
        <f t="shared" ca="1" si="51"/>
        <v>#N/A</v>
      </c>
      <c r="AB185" t="e">
        <f t="shared" ca="1" si="58"/>
        <v>#N/A</v>
      </c>
      <c r="AC185" t="e">
        <f t="shared" ca="1" si="52"/>
        <v>#N/A</v>
      </c>
      <c r="AD185" t="e">
        <f t="shared" ca="1" si="53"/>
        <v>#N/A</v>
      </c>
      <c r="AE185" s="83" t="e">
        <f ca="1"/>
        <v>#N/A</v>
      </c>
      <c r="AF185" s="55" t="e">
        <f t="shared" ca="1" si="62"/>
        <v>#N/A</v>
      </c>
      <c r="AG185" s="55" t="e">
        <f t="shared" ca="1" si="63"/>
        <v>#N/A</v>
      </c>
      <c r="AH185" s="55" t="e">
        <f t="shared" ca="1" si="64"/>
        <v>#N/A</v>
      </c>
      <c r="AI185" s="55" t="e">
        <f t="shared" ca="1" si="65"/>
        <v>#N/A</v>
      </c>
      <c r="AJ185" s="55" t="e">
        <f t="shared" ca="1" si="59"/>
        <v>#N/A</v>
      </c>
      <c r="AK185" s="55" t="e">
        <f t="shared" ca="1" si="60"/>
        <v>#N/A</v>
      </c>
      <c r="AL185" s="55" t="e">
        <f t="shared" ca="1" si="61"/>
        <v>#N/A</v>
      </c>
      <c r="AM185" s="55"/>
    </row>
    <row r="186" spans="18:39">
      <c r="R186" s="83" t="e">
        <f ca="1"/>
        <v>#N/A</v>
      </c>
      <c r="S186" s="55" t="e">
        <f t="shared" ca="1" si="54"/>
        <v>#N/A</v>
      </c>
      <c r="T186" s="55" t="e">
        <f t="shared" ca="1" si="47"/>
        <v>#N/A</v>
      </c>
      <c r="U186" s="55" t="e">
        <f t="shared" ca="1" si="48"/>
        <v>#N/A</v>
      </c>
      <c r="V186" s="55" t="e">
        <f t="shared" ca="1" si="49"/>
        <v>#N/A</v>
      </c>
      <c r="W186" s="55" t="e">
        <f t="shared" ca="1" si="55"/>
        <v>#N/A</v>
      </c>
      <c r="X186" s="55" t="e">
        <f t="shared" ca="1" si="56"/>
        <v>#N/A</v>
      </c>
      <c r="Y186" s="55" t="e">
        <f t="shared" ca="1" si="57"/>
        <v>#N/A</v>
      </c>
      <c r="Z186" s="55" t="e">
        <f t="shared" ca="1" si="50"/>
        <v>#N/A</v>
      </c>
      <c r="AA186" t="e">
        <f t="shared" ca="1" si="51"/>
        <v>#N/A</v>
      </c>
      <c r="AB186" t="e">
        <f t="shared" ca="1" si="58"/>
        <v>#N/A</v>
      </c>
      <c r="AC186" t="e">
        <f t="shared" ca="1" si="52"/>
        <v>#N/A</v>
      </c>
      <c r="AD186" t="e">
        <f t="shared" ca="1" si="53"/>
        <v>#N/A</v>
      </c>
      <c r="AE186" s="83" t="e">
        <f ca="1"/>
        <v>#N/A</v>
      </c>
      <c r="AF186" s="55" t="e">
        <f t="shared" ca="1" si="62"/>
        <v>#N/A</v>
      </c>
      <c r="AG186" s="55" t="e">
        <f t="shared" ca="1" si="63"/>
        <v>#N/A</v>
      </c>
      <c r="AH186" s="55" t="e">
        <f t="shared" ca="1" si="64"/>
        <v>#N/A</v>
      </c>
      <c r="AI186" s="55" t="e">
        <f t="shared" ca="1" si="65"/>
        <v>#N/A</v>
      </c>
      <c r="AJ186" s="55" t="e">
        <f t="shared" ca="1" si="59"/>
        <v>#N/A</v>
      </c>
      <c r="AK186" s="55" t="e">
        <f t="shared" ca="1" si="60"/>
        <v>#N/A</v>
      </c>
      <c r="AL186" s="55" t="e">
        <f t="shared" ca="1" si="61"/>
        <v>#N/A</v>
      </c>
      <c r="AM186" s="55"/>
    </row>
    <row r="187" spans="18:39">
      <c r="R187" s="83" t="e">
        <f ca="1"/>
        <v>#N/A</v>
      </c>
      <c r="S187" s="55" t="e">
        <f t="shared" ca="1" si="54"/>
        <v>#N/A</v>
      </c>
      <c r="T187" s="55" t="e">
        <f t="shared" ca="1" si="47"/>
        <v>#N/A</v>
      </c>
      <c r="U187" s="55" t="e">
        <f t="shared" ca="1" si="48"/>
        <v>#N/A</v>
      </c>
      <c r="V187" s="55" t="e">
        <f t="shared" ca="1" si="49"/>
        <v>#N/A</v>
      </c>
      <c r="W187" s="55" t="e">
        <f t="shared" ca="1" si="55"/>
        <v>#N/A</v>
      </c>
      <c r="X187" s="55" t="e">
        <f t="shared" ca="1" si="56"/>
        <v>#N/A</v>
      </c>
      <c r="Y187" s="55" t="e">
        <f t="shared" ca="1" si="57"/>
        <v>#N/A</v>
      </c>
      <c r="Z187" s="55" t="e">
        <f t="shared" ca="1" si="50"/>
        <v>#N/A</v>
      </c>
      <c r="AA187" t="e">
        <f t="shared" ca="1" si="51"/>
        <v>#N/A</v>
      </c>
      <c r="AB187" t="e">
        <f t="shared" ca="1" si="58"/>
        <v>#N/A</v>
      </c>
      <c r="AC187" t="e">
        <f t="shared" ca="1" si="52"/>
        <v>#N/A</v>
      </c>
      <c r="AD187" t="e">
        <f t="shared" ca="1" si="53"/>
        <v>#N/A</v>
      </c>
      <c r="AE187" s="83" t="e">
        <f ca="1"/>
        <v>#N/A</v>
      </c>
      <c r="AF187" s="55" t="e">
        <f t="shared" ca="1" si="62"/>
        <v>#N/A</v>
      </c>
      <c r="AG187" s="55" t="e">
        <f t="shared" ca="1" si="63"/>
        <v>#N/A</v>
      </c>
      <c r="AH187" s="55" t="e">
        <f t="shared" ca="1" si="64"/>
        <v>#N/A</v>
      </c>
      <c r="AI187" s="55" t="e">
        <f t="shared" ca="1" si="65"/>
        <v>#N/A</v>
      </c>
      <c r="AJ187" s="55" t="e">
        <f t="shared" ca="1" si="59"/>
        <v>#N/A</v>
      </c>
      <c r="AK187" s="55" t="e">
        <f t="shared" ca="1" si="60"/>
        <v>#N/A</v>
      </c>
      <c r="AL187" s="55" t="e">
        <f t="shared" ca="1" si="61"/>
        <v>#N/A</v>
      </c>
      <c r="AM187" s="55"/>
    </row>
    <row r="188" spans="18:39">
      <c r="R188" s="83" t="e">
        <f ca="1"/>
        <v>#N/A</v>
      </c>
      <c r="S188" s="55" t="e">
        <f t="shared" ca="1" si="54"/>
        <v>#N/A</v>
      </c>
      <c r="T188" s="55" t="e">
        <f t="shared" ca="1" si="47"/>
        <v>#N/A</v>
      </c>
      <c r="U188" s="55" t="e">
        <f t="shared" ca="1" si="48"/>
        <v>#N/A</v>
      </c>
      <c r="V188" s="55" t="e">
        <f t="shared" ca="1" si="49"/>
        <v>#N/A</v>
      </c>
      <c r="W188" s="55" t="e">
        <f t="shared" ca="1" si="55"/>
        <v>#N/A</v>
      </c>
      <c r="X188" s="55" t="e">
        <f t="shared" ca="1" si="56"/>
        <v>#N/A</v>
      </c>
      <c r="Y188" s="55" t="e">
        <f t="shared" ca="1" si="57"/>
        <v>#N/A</v>
      </c>
      <c r="Z188" s="55" t="e">
        <f t="shared" ca="1" si="50"/>
        <v>#N/A</v>
      </c>
      <c r="AA188" t="e">
        <f t="shared" ca="1" si="51"/>
        <v>#N/A</v>
      </c>
      <c r="AB188" t="e">
        <f t="shared" ca="1" si="58"/>
        <v>#N/A</v>
      </c>
      <c r="AC188" t="e">
        <f t="shared" ca="1" si="52"/>
        <v>#N/A</v>
      </c>
      <c r="AD188" t="e">
        <f t="shared" ca="1" si="53"/>
        <v>#N/A</v>
      </c>
      <c r="AE188" s="83" t="e">
        <f ca="1"/>
        <v>#N/A</v>
      </c>
      <c r="AF188" s="55" t="e">
        <f t="shared" ca="1" si="62"/>
        <v>#N/A</v>
      </c>
      <c r="AG188" s="55" t="e">
        <f t="shared" ca="1" si="63"/>
        <v>#N/A</v>
      </c>
      <c r="AH188" s="55" t="e">
        <f t="shared" ca="1" si="64"/>
        <v>#N/A</v>
      </c>
      <c r="AI188" s="55" t="e">
        <f t="shared" ca="1" si="65"/>
        <v>#N/A</v>
      </c>
      <c r="AJ188" s="55" t="e">
        <f t="shared" ca="1" si="59"/>
        <v>#N/A</v>
      </c>
      <c r="AK188" s="55" t="e">
        <f t="shared" ca="1" si="60"/>
        <v>#N/A</v>
      </c>
      <c r="AL188" s="55" t="e">
        <f t="shared" ca="1" si="61"/>
        <v>#N/A</v>
      </c>
      <c r="AM188" s="55"/>
    </row>
    <row r="189" spans="18:39">
      <c r="R189" s="83" t="e">
        <f ca="1"/>
        <v>#N/A</v>
      </c>
      <c r="S189" s="55" t="e">
        <f t="shared" ca="1" si="54"/>
        <v>#N/A</v>
      </c>
      <c r="T189" s="55" t="e">
        <f t="shared" ca="1" si="47"/>
        <v>#N/A</v>
      </c>
      <c r="U189" s="55" t="e">
        <f t="shared" ca="1" si="48"/>
        <v>#N/A</v>
      </c>
      <c r="V189" s="55" t="e">
        <f t="shared" ca="1" si="49"/>
        <v>#N/A</v>
      </c>
      <c r="W189" s="55" t="e">
        <f t="shared" ca="1" si="55"/>
        <v>#N/A</v>
      </c>
      <c r="X189" s="55" t="e">
        <f t="shared" ca="1" si="56"/>
        <v>#N/A</v>
      </c>
      <c r="Y189" s="55" t="e">
        <f t="shared" ca="1" si="57"/>
        <v>#N/A</v>
      </c>
      <c r="Z189" s="55" t="e">
        <f t="shared" ca="1" si="50"/>
        <v>#N/A</v>
      </c>
      <c r="AA189" t="e">
        <f t="shared" ca="1" si="51"/>
        <v>#N/A</v>
      </c>
      <c r="AB189" t="e">
        <f t="shared" ca="1" si="58"/>
        <v>#N/A</v>
      </c>
      <c r="AC189" t="e">
        <f t="shared" ca="1" si="52"/>
        <v>#N/A</v>
      </c>
      <c r="AD189" t="e">
        <f t="shared" ca="1" si="53"/>
        <v>#N/A</v>
      </c>
      <c r="AE189" s="83" t="e">
        <f ca="1"/>
        <v>#N/A</v>
      </c>
      <c r="AF189" s="55" t="e">
        <f t="shared" ca="1" si="62"/>
        <v>#N/A</v>
      </c>
      <c r="AG189" s="55" t="e">
        <f t="shared" ca="1" si="63"/>
        <v>#N/A</v>
      </c>
      <c r="AH189" s="55" t="e">
        <f t="shared" ca="1" si="64"/>
        <v>#N/A</v>
      </c>
      <c r="AI189" s="55" t="e">
        <f t="shared" ca="1" si="65"/>
        <v>#N/A</v>
      </c>
      <c r="AJ189" s="55" t="e">
        <f t="shared" ca="1" si="59"/>
        <v>#N/A</v>
      </c>
      <c r="AK189" s="55" t="e">
        <f t="shared" ca="1" si="60"/>
        <v>#N/A</v>
      </c>
      <c r="AL189" s="55" t="e">
        <f t="shared" ca="1" si="61"/>
        <v>#N/A</v>
      </c>
      <c r="AM189" s="55"/>
    </row>
    <row r="190" spans="18:39">
      <c r="R190" s="83" t="e">
        <f ca="1"/>
        <v>#N/A</v>
      </c>
      <c r="S190" s="55" t="e">
        <f t="shared" ca="1" si="54"/>
        <v>#N/A</v>
      </c>
      <c r="T190" s="55" t="e">
        <f t="shared" ca="1" si="47"/>
        <v>#N/A</v>
      </c>
      <c r="U190" s="55" t="e">
        <f t="shared" ca="1" si="48"/>
        <v>#N/A</v>
      </c>
      <c r="V190" s="55" t="e">
        <f t="shared" ca="1" si="49"/>
        <v>#N/A</v>
      </c>
      <c r="W190" s="55" t="e">
        <f t="shared" ca="1" si="55"/>
        <v>#N/A</v>
      </c>
      <c r="X190" s="55" t="e">
        <f t="shared" ca="1" si="56"/>
        <v>#N/A</v>
      </c>
      <c r="Y190" s="55" t="e">
        <f t="shared" ca="1" si="57"/>
        <v>#N/A</v>
      </c>
      <c r="Z190" s="55" t="e">
        <f t="shared" ca="1" si="50"/>
        <v>#N/A</v>
      </c>
      <c r="AA190" t="e">
        <f t="shared" ca="1" si="51"/>
        <v>#N/A</v>
      </c>
      <c r="AB190" t="e">
        <f t="shared" ca="1" si="58"/>
        <v>#N/A</v>
      </c>
      <c r="AC190" t="e">
        <f t="shared" ca="1" si="52"/>
        <v>#N/A</v>
      </c>
      <c r="AD190" t="e">
        <f t="shared" ca="1" si="53"/>
        <v>#N/A</v>
      </c>
      <c r="AE190" s="83" t="e">
        <f ca="1"/>
        <v>#N/A</v>
      </c>
      <c r="AF190" s="55" t="e">
        <f t="shared" ca="1" si="62"/>
        <v>#N/A</v>
      </c>
      <c r="AG190" s="55" t="e">
        <f t="shared" ca="1" si="63"/>
        <v>#N/A</v>
      </c>
      <c r="AH190" s="55" t="e">
        <f t="shared" ca="1" si="64"/>
        <v>#N/A</v>
      </c>
      <c r="AI190" s="55" t="e">
        <f t="shared" ca="1" si="65"/>
        <v>#N/A</v>
      </c>
      <c r="AJ190" s="55" t="e">
        <f t="shared" ca="1" si="59"/>
        <v>#N/A</v>
      </c>
      <c r="AK190" s="55" t="e">
        <f t="shared" ca="1" si="60"/>
        <v>#N/A</v>
      </c>
      <c r="AL190" s="55" t="e">
        <f t="shared" ca="1" si="61"/>
        <v>#N/A</v>
      </c>
      <c r="AM190" s="55"/>
    </row>
    <row r="191" spans="18:39">
      <c r="R191" s="83" t="e">
        <f ca="1"/>
        <v>#N/A</v>
      </c>
      <c r="S191" s="55" t="e">
        <f t="shared" ca="1" si="54"/>
        <v>#N/A</v>
      </c>
      <c r="T191" s="55" t="e">
        <f t="shared" ca="1" si="47"/>
        <v>#N/A</v>
      </c>
      <c r="U191" s="55" t="e">
        <f t="shared" ca="1" si="48"/>
        <v>#N/A</v>
      </c>
      <c r="V191" s="55" t="e">
        <f t="shared" ca="1" si="49"/>
        <v>#N/A</v>
      </c>
      <c r="W191" s="55" t="e">
        <f t="shared" ca="1" si="55"/>
        <v>#N/A</v>
      </c>
      <c r="X191" s="55" t="e">
        <f t="shared" ca="1" si="56"/>
        <v>#N/A</v>
      </c>
      <c r="Y191" s="55" t="e">
        <f t="shared" ca="1" si="57"/>
        <v>#N/A</v>
      </c>
      <c r="Z191" s="55" t="e">
        <f t="shared" ca="1" si="50"/>
        <v>#N/A</v>
      </c>
      <c r="AA191" t="e">
        <f t="shared" ca="1" si="51"/>
        <v>#N/A</v>
      </c>
      <c r="AB191" t="e">
        <f t="shared" ca="1" si="58"/>
        <v>#N/A</v>
      </c>
      <c r="AC191" t="e">
        <f t="shared" ca="1" si="52"/>
        <v>#N/A</v>
      </c>
      <c r="AD191" t="e">
        <f t="shared" ca="1" si="53"/>
        <v>#N/A</v>
      </c>
      <c r="AE191" s="83" t="e">
        <f ca="1"/>
        <v>#N/A</v>
      </c>
      <c r="AF191" s="55" t="e">
        <f t="shared" ca="1" si="62"/>
        <v>#N/A</v>
      </c>
      <c r="AG191" s="55" t="e">
        <f t="shared" ca="1" si="63"/>
        <v>#N/A</v>
      </c>
      <c r="AH191" s="55" t="e">
        <f t="shared" ca="1" si="64"/>
        <v>#N/A</v>
      </c>
      <c r="AI191" s="55" t="e">
        <f t="shared" ca="1" si="65"/>
        <v>#N/A</v>
      </c>
      <c r="AJ191" s="55" t="e">
        <f t="shared" ca="1" si="59"/>
        <v>#N/A</v>
      </c>
      <c r="AK191" s="55" t="e">
        <f t="shared" ca="1" si="60"/>
        <v>#N/A</v>
      </c>
      <c r="AL191" s="55" t="e">
        <f t="shared" ca="1" si="61"/>
        <v>#N/A</v>
      </c>
      <c r="AM191" s="55"/>
    </row>
    <row r="192" spans="18:39">
      <c r="R192" s="83" t="e">
        <f ca="1"/>
        <v>#N/A</v>
      </c>
      <c r="S192" s="55" t="e">
        <f t="shared" ca="1" si="54"/>
        <v>#N/A</v>
      </c>
      <c r="T192" s="55" t="e">
        <f t="shared" ca="1" si="47"/>
        <v>#N/A</v>
      </c>
      <c r="U192" s="55" t="e">
        <f t="shared" ca="1" si="48"/>
        <v>#N/A</v>
      </c>
      <c r="V192" s="55" t="e">
        <f t="shared" ca="1" si="49"/>
        <v>#N/A</v>
      </c>
      <c r="W192" s="55" t="e">
        <f t="shared" ca="1" si="55"/>
        <v>#N/A</v>
      </c>
      <c r="X192" s="55" t="e">
        <f t="shared" ca="1" si="56"/>
        <v>#N/A</v>
      </c>
      <c r="Y192" s="55" t="e">
        <f t="shared" ca="1" si="57"/>
        <v>#N/A</v>
      </c>
      <c r="Z192" s="55" t="e">
        <f t="shared" ca="1" si="50"/>
        <v>#N/A</v>
      </c>
      <c r="AA192" t="e">
        <f t="shared" ca="1" si="51"/>
        <v>#N/A</v>
      </c>
      <c r="AB192" t="e">
        <f t="shared" ca="1" si="58"/>
        <v>#N/A</v>
      </c>
      <c r="AC192" t="e">
        <f t="shared" ca="1" si="52"/>
        <v>#N/A</v>
      </c>
      <c r="AD192" t="e">
        <f t="shared" ca="1" si="53"/>
        <v>#N/A</v>
      </c>
      <c r="AE192" s="83" t="e">
        <f ca="1"/>
        <v>#N/A</v>
      </c>
      <c r="AF192" s="55" t="e">
        <f t="shared" ca="1" si="62"/>
        <v>#N/A</v>
      </c>
      <c r="AG192" s="55" t="e">
        <f t="shared" ca="1" si="63"/>
        <v>#N/A</v>
      </c>
      <c r="AH192" s="55" t="e">
        <f t="shared" ca="1" si="64"/>
        <v>#N/A</v>
      </c>
      <c r="AI192" s="55" t="e">
        <f t="shared" ca="1" si="65"/>
        <v>#N/A</v>
      </c>
      <c r="AJ192" s="55" t="e">
        <f t="shared" ca="1" si="59"/>
        <v>#N/A</v>
      </c>
      <c r="AK192" s="55" t="e">
        <f t="shared" ca="1" si="60"/>
        <v>#N/A</v>
      </c>
      <c r="AL192" s="55" t="e">
        <f t="shared" ca="1" si="61"/>
        <v>#N/A</v>
      </c>
      <c r="AM192" s="55"/>
    </row>
    <row r="193" spans="18:39">
      <c r="R193" s="83" t="e">
        <f ca="1"/>
        <v>#N/A</v>
      </c>
      <c r="S193" s="55" t="e">
        <f t="shared" ca="1" si="54"/>
        <v>#N/A</v>
      </c>
      <c r="T193" s="55" t="e">
        <f t="shared" ca="1" si="47"/>
        <v>#N/A</v>
      </c>
      <c r="U193" s="55" t="e">
        <f t="shared" ca="1" si="48"/>
        <v>#N/A</v>
      </c>
      <c r="V193" s="55" t="e">
        <f t="shared" ca="1" si="49"/>
        <v>#N/A</v>
      </c>
      <c r="W193" s="55" t="e">
        <f t="shared" ca="1" si="55"/>
        <v>#N/A</v>
      </c>
      <c r="X193" s="55" t="e">
        <f t="shared" ca="1" si="56"/>
        <v>#N/A</v>
      </c>
      <c r="Y193" s="55" t="e">
        <f t="shared" ca="1" si="57"/>
        <v>#N/A</v>
      </c>
      <c r="Z193" s="55" t="e">
        <f t="shared" ca="1" si="50"/>
        <v>#N/A</v>
      </c>
      <c r="AA193" t="e">
        <f t="shared" ca="1" si="51"/>
        <v>#N/A</v>
      </c>
      <c r="AB193" t="e">
        <f t="shared" ca="1" si="58"/>
        <v>#N/A</v>
      </c>
      <c r="AC193" t="e">
        <f t="shared" ca="1" si="52"/>
        <v>#N/A</v>
      </c>
      <c r="AD193" t="e">
        <f t="shared" ca="1" si="53"/>
        <v>#N/A</v>
      </c>
      <c r="AE193" s="83" t="e">
        <f ca="1"/>
        <v>#N/A</v>
      </c>
      <c r="AF193" s="55" t="e">
        <f t="shared" ca="1" si="62"/>
        <v>#N/A</v>
      </c>
      <c r="AG193" s="55" t="e">
        <f t="shared" ca="1" si="63"/>
        <v>#N/A</v>
      </c>
      <c r="AH193" s="55" t="e">
        <f t="shared" ca="1" si="64"/>
        <v>#N/A</v>
      </c>
      <c r="AI193" s="55" t="e">
        <f t="shared" ca="1" si="65"/>
        <v>#N/A</v>
      </c>
      <c r="AJ193" s="55" t="e">
        <f t="shared" ca="1" si="59"/>
        <v>#N/A</v>
      </c>
      <c r="AK193" s="55" t="e">
        <f t="shared" ca="1" si="60"/>
        <v>#N/A</v>
      </c>
      <c r="AL193" s="55" t="e">
        <f t="shared" ca="1" si="61"/>
        <v>#N/A</v>
      </c>
      <c r="AM193" s="55"/>
    </row>
    <row r="194" spans="18:39">
      <c r="R194" s="83" t="e">
        <f ca="1"/>
        <v>#N/A</v>
      </c>
      <c r="S194" s="55" t="e">
        <f t="shared" ca="1" si="54"/>
        <v>#N/A</v>
      </c>
      <c r="T194" s="55" t="e">
        <f t="shared" ca="1" si="47"/>
        <v>#N/A</v>
      </c>
      <c r="U194" s="55" t="e">
        <f t="shared" ca="1" si="48"/>
        <v>#N/A</v>
      </c>
      <c r="V194" s="55" t="e">
        <f t="shared" ca="1" si="49"/>
        <v>#N/A</v>
      </c>
      <c r="W194" s="55" t="e">
        <f t="shared" ca="1" si="55"/>
        <v>#N/A</v>
      </c>
      <c r="X194" s="55" t="e">
        <f t="shared" ca="1" si="56"/>
        <v>#N/A</v>
      </c>
      <c r="Y194" s="55" t="e">
        <f t="shared" ca="1" si="57"/>
        <v>#N/A</v>
      </c>
      <c r="Z194" s="55" t="e">
        <f t="shared" ca="1" si="50"/>
        <v>#N/A</v>
      </c>
      <c r="AA194" t="e">
        <f t="shared" ca="1" si="51"/>
        <v>#N/A</v>
      </c>
      <c r="AB194" t="e">
        <f t="shared" ca="1" si="58"/>
        <v>#N/A</v>
      </c>
      <c r="AC194" t="e">
        <f t="shared" ca="1" si="52"/>
        <v>#N/A</v>
      </c>
      <c r="AD194" t="e">
        <f t="shared" ca="1" si="53"/>
        <v>#N/A</v>
      </c>
      <c r="AE194" s="83" t="e">
        <f ca="1"/>
        <v>#N/A</v>
      </c>
      <c r="AF194" s="55" t="e">
        <f t="shared" ca="1" si="62"/>
        <v>#N/A</v>
      </c>
      <c r="AG194" s="55" t="e">
        <f t="shared" ca="1" si="63"/>
        <v>#N/A</v>
      </c>
      <c r="AH194" s="55" t="e">
        <f t="shared" ca="1" si="64"/>
        <v>#N/A</v>
      </c>
      <c r="AI194" s="55" t="e">
        <f t="shared" ca="1" si="65"/>
        <v>#N/A</v>
      </c>
      <c r="AJ194" s="55" t="e">
        <f t="shared" ca="1" si="59"/>
        <v>#N/A</v>
      </c>
      <c r="AK194" s="55" t="e">
        <f t="shared" ca="1" si="60"/>
        <v>#N/A</v>
      </c>
      <c r="AL194" s="55" t="e">
        <f t="shared" ca="1" si="61"/>
        <v>#N/A</v>
      </c>
      <c r="AM194" s="55"/>
    </row>
    <row r="195" spans="18:39">
      <c r="R195" s="83" t="e">
        <f ca="1"/>
        <v>#N/A</v>
      </c>
      <c r="S195" s="55" t="e">
        <f t="shared" ca="1" si="54"/>
        <v>#N/A</v>
      </c>
      <c r="T195" s="55" t="e">
        <f t="shared" ca="1" si="47"/>
        <v>#N/A</v>
      </c>
      <c r="U195" s="55" t="e">
        <f t="shared" ca="1" si="48"/>
        <v>#N/A</v>
      </c>
      <c r="V195" s="55" t="e">
        <f t="shared" ca="1" si="49"/>
        <v>#N/A</v>
      </c>
      <c r="W195" s="55" t="e">
        <f t="shared" ca="1" si="55"/>
        <v>#N/A</v>
      </c>
      <c r="X195" s="55" t="e">
        <f t="shared" ca="1" si="56"/>
        <v>#N/A</v>
      </c>
      <c r="Y195" s="55" t="e">
        <f t="shared" ca="1" si="57"/>
        <v>#N/A</v>
      </c>
      <c r="Z195" s="55" t="e">
        <f t="shared" ca="1" si="50"/>
        <v>#N/A</v>
      </c>
      <c r="AA195" t="e">
        <f t="shared" ca="1" si="51"/>
        <v>#N/A</v>
      </c>
      <c r="AB195" t="e">
        <f t="shared" ca="1" si="58"/>
        <v>#N/A</v>
      </c>
      <c r="AC195" t="e">
        <f t="shared" ca="1" si="52"/>
        <v>#N/A</v>
      </c>
      <c r="AD195" t="e">
        <f t="shared" ca="1" si="53"/>
        <v>#N/A</v>
      </c>
      <c r="AE195" s="83" t="e">
        <f ca="1"/>
        <v>#N/A</v>
      </c>
      <c r="AF195" s="55" t="e">
        <f t="shared" ca="1" si="62"/>
        <v>#N/A</v>
      </c>
      <c r="AG195" s="55" t="e">
        <f t="shared" ca="1" si="63"/>
        <v>#N/A</v>
      </c>
      <c r="AH195" s="55" t="e">
        <f t="shared" ca="1" si="64"/>
        <v>#N/A</v>
      </c>
      <c r="AI195" s="55" t="e">
        <f t="shared" ca="1" si="65"/>
        <v>#N/A</v>
      </c>
      <c r="AJ195" s="55" t="e">
        <f t="shared" ca="1" si="59"/>
        <v>#N/A</v>
      </c>
      <c r="AK195" s="55" t="e">
        <f t="shared" ca="1" si="60"/>
        <v>#N/A</v>
      </c>
      <c r="AL195" s="55" t="e">
        <f t="shared" ca="1" si="61"/>
        <v>#N/A</v>
      </c>
      <c r="AM195" s="55"/>
    </row>
    <row r="196" spans="18:39">
      <c r="R196" s="83" t="e">
        <f ca="1"/>
        <v>#N/A</v>
      </c>
      <c r="S196" s="55" t="e">
        <f t="shared" ca="1" si="54"/>
        <v>#N/A</v>
      </c>
      <c r="T196" s="55" t="e">
        <f t="shared" ca="1" si="47"/>
        <v>#N/A</v>
      </c>
      <c r="U196" s="55" t="e">
        <f t="shared" ca="1" si="48"/>
        <v>#N/A</v>
      </c>
      <c r="V196" s="55" t="e">
        <f t="shared" ca="1" si="49"/>
        <v>#N/A</v>
      </c>
      <c r="W196" s="55" t="e">
        <f t="shared" ca="1" si="55"/>
        <v>#N/A</v>
      </c>
      <c r="X196" s="55" t="e">
        <f t="shared" ca="1" si="56"/>
        <v>#N/A</v>
      </c>
      <c r="Y196" s="55" t="e">
        <f t="shared" ca="1" si="57"/>
        <v>#N/A</v>
      </c>
      <c r="Z196" s="55" t="e">
        <f t="shared" ca="1" si="50"/>
        <v>#N/A</v>
      </c>
      <c r="AA196" t="e">
        <f t="shared" ca="1" si="51"/>
        <v>#N/A</v>
      </c>
      <c r="AB196" t="e">
        <f t="shared" ca="1" si="58"/>
        <v>#N/A</v>
      </c>
      <c r="AC196" t="e">
        <f t="shared" ca="1" si="52"/>
        <v>#N/A</v>
      </c>
      <c r="AD196" t="e">
        <f t="shared" ca="1" si="53"/>
        <v>#N/A</v>
      </c>
      <c r="AE196" s="83" t="e">
        <f ca="1"/>
        <v>#N/A</v>
      </c>
      <c r="AF196" s="55" t="e">
        <f t="shared" ca="1" si="62"/>
        <v>#N/A</v>
      </c>
      <c r="AG196" s="55" t="e">
        <f t="shared" ca="1" si="63"/>
        <v>#N/A</v>
      </c>
      <c r="AH196" s="55" t="e">
        <f t="shared" ca="1" si="64"/>
        <v>#N/A</v>
      </c>
      <c r="AI196" s="55" t="e">
        <f t="shared" ca="1" si="65"/>
        <v>#N/A</v>
      </c>
      <c r="AJ196" s="55" t="e">
        <f t="shared" ca="1" si="59"/>
        <v>#N/A</v>
      </c>
      <c r="AK196" s="55" t="e">
        <f t="shared" ca="1" si="60"/>
        <v>#N/A</v>
      </c>
      <c r="AL196" s="55" t="e">
        <f t="shared" ca="1" si="61"/>
        <v>#N/A</v>
      </c>
      <c r="AM196" s="55"/>
    </row>
    <row r="197" spans="18:39">
      <c r="R197" s="83" t="e">
        <f ca="1"/>
        <v>#N/A</v>
      </c>
      <c r="S197" s="55" t="e">
        <f t="shared" ca="1" si="54"/>
        <v>#N/A</v>
      </c>
      <c r="T197" s="55" t="e">
        <f t="shared" ca="1" si="47"/>
        <v>#N/A</v>
      </c>
      <c r="U197" s="55" t="e">
        <f t="shared" ca="1" si="48"/>
        <v>#N/A</v>
      </c>
      <c r="V197" s="55" t="e">
        <f t="shared" ca="1" si="49"/>
        <v>#N/A</v>
      </c>
      <c r="W197" s="55" t="e">
        <f t="shared" ca="1" si="55"/>
        <v>#N/A</v>
      </c>
      <c r="X197" s="55" t="e">
        <f t="shared" ca="1" si="56"/>
        <v>#N/A</v>
      </c>
      <c r="Y197" s="55" t="e">
        <f t="shared" ca="1" si="57"/>
        <v>#N/A</v>
      </c>
      <c r="Z197" s="55" t="e">
        <f t="shared" ca="1" si="50"/>
        <v>#N/A</v>
      </c>
      <c r="AA197" t="e">
        <f t="shared" ca="1" si="51"/>
        <v>#N/A</v>
      </c>
      <c r="AB197" t="e">
        <f t="shared" ca="1" si="58"/>
        <v>#N/A</v>
      </c>
      <c r="AC197" t="e">
        <f t="shared" ca="1" si="52"/>
        <v>#N/A</v>
      </c>
      <c r="AD197" t="e">
        <f t="shared" ca="1" si="53"/>
        <v>#N/A</v>
      </c>
      <c r="AE197" s="83" t="e">
        <f ca="1"/>
        <v>#N/A</v>
      </c>
      <c r="AF197" s="55" t="e">
        <f t="shared" ca="1" si="62"/>
        <v>#N/A</v>
      </c>
      <c r="AG197" s="55" t="e">
        <f t="shared" ca="1" si="63"/>
        <v>#N/A</v>
      </c>
      <c r="AH197" s="55" t="e">
        <f t="shared" ca="1" si="64"/>
        <v>#N/A</v>
      </c>
      <c r="AI197" s="55" t="e">
        <f t="shared" ca="1" si="65"/>
        <v>#N/A</v>
      </c>
      <c r="AJ197" s="55" t="e">
        <f t="shared" ca="1" si="59"/>
        <v>#N/A</v>
      </c>
      <c r="AK197" s="55" t="e">
        <f t="shared" ca="1" si="60"/>
        <v>#N/A</v>
      </c>
      <c r="AL197" s="55" t="e">
        <f t="shared" ca="1" si="61"/>
        <v>#N/A</v>
      </c>
      <c r="AM197" s="55"/>
    </row>
    <row r="198" spans="18:39">
      <c r="R198" s="83" t="e">
        <f ca="1"/>
        <v>#N/A</v>
      </c>
      <c r="S198" s="55" t="e">
        <f t="shared" ca="1" si="54"/>
        <v>#N/A</v>
      </c>
      <c r="T198" s="55" t="e">
        <f t="shared" ca="1" si="47"/>
        <v>#N/A</v>
      </c>
      <c r="U198" s="55" t="e">
        <f t="shared" ca="1" si="48"/>
        <v>#N/A</v>
      </c>
      <c r="V198" s="55" t="e">
        <f t="shared" ca="1" si="49"/>
        <v>#N/A</v>
      </c>
      <c r="W198" s="55" t="e">
        <f t="shared" ca="1" si="55"/>
        <v>#N/A</v>
      </c>
      <c r="X198" s="55" t="e">
        <f t="shared" ca="1" si="56"/>
        <v>#N/A</v>
      </c>
      <c r="Y198" s="55" t="e">
        <f t="shared" ca="1" si="57"/>
        <v>#N/A</v>
      </c>
      <c r="Z198" s="55" t="e">
        <f t="shared" ca="1" si="50"/>
        <v>#N/A</v>
      </c>
      <c r="AA198" t="e">
        <f t="shared" ca="1" si="51"/>
        <v>#N/A</v>
      </c>
      <c r="AB198" t="e">
        <f t="shared" ca="1" si="58"/>
        <v>#N/A</v>
      </c>
      <c r="AC198" t="e">
        <f t="shared" ca="1" si="52"/>
        <v>#N/A</v>
      </c>
      <c r="AD198" t="e">
        <f t="shared" ca="1" si="53"/>
        <v>#N/A</v>
      </c>
      <c r="AE198" s="83" t="e">
        <f ca="1"/>
        <v>#N/A</v>
      </c>
      <c r="AF198" s="55" t="e">
        <f t="shared" ca="1" si="62"/>
        <v>#N/A</v>
      </c>
      <c r="AG198" s="55" t="e">
        <f t="shared" ca="1" si="63"/>
        <v>#N/A</v>
      </c>
      <c r="AH198" s="55" t="e">
        <f t="shared" ca="1" si="64"/>
        <v>#N/A</v>
      </c>
      <c r="AI198" s="55" t="e">
        <f t="shared" ca="1" si="65"/>
        <v>#N/A</v>
      </c>
      <c r="AJ198" s="55" t="e">
        <f t="shared" ca="1" si="59"/>
        <v>#N/A</v>
      </c>
      <c r="AK198" s="55" t="e">
        <f t="shared" ca="1" si="60"/>
        <v>#N/A</v>
      </c>
      <c r="AL198" s="55" t="e">
        <f t="shared" ca="1" si="61"/>
        <v>#N/A</v>
      </c>
      <c r="AM198" s="55"/>
    </row>
    <row r="199" spans="18:39">
      <c r="R199" s="83" t="e">
        <f ca="1"/>
        <v>#N/A</v>
      </c>
      <c r="S199" s="55" t="e">
        <f t="shared" ca="1" si="54"/>
        <v>#N/A</v>
      </c>
      <c r="T199" s="55" t="e">
        <f t="shared" ca="1" si="47"/>
        <v>#N/A</v>
      </c>
      <c r="U199" s="55" t="e">
        <f t="shared" ca="1" si="48"/>
        <v>#N/A</v>
      </c>
      <c r="V199" s="55" t="e">
        <f t="shared" ca="1" si="49"/>
        <v>#N/A</v>
      </c>
      <c r="W199" s="55" t="e">
        <f t="shared" ca="1" si="55"/>
        <v>#N/A</v>
      </c>
      <c r="X199" s="55" t="e">
        <f t="shared" ca="1" si="56"/>
        <v>#N/A</v>
      </c>
      <c r="Y199" s="55" t="e">
        <f t="shared" ca="1" si="57"/>
        <v>#N/A</v>
      </c>
      <c r="Z199" s="55" t="e">
        <f t="shared" ca="1" si="50"/>
        <v>#N/A</v>
      </c>
      <c r="AA199" t="e">
        <f t="shared" ca="1" si="51"/>
        <v>#N/A</v>
      </c>
      <c r="AB199" t="e">
        <f t="shared" ca="1" si="58"/>
        <v>#N/A</v>
      </c>
      <c r="AC199" t="e">
        <f t="shared" ca="1" si="52"/>
        <v>#N/A</v>
      </c>
      <c r="AD199" t="e">
        <f t="shared" ca="1" si="53"/>
        <v>#N/A</v>
      </c>
      <c r="AE199" s="83" t="e">
        <f ca="1"/>
        <v>#N/A</v>
      </c>
      <c r="AF199" s="55" t="e">
        <f t="shared" ca="1" si="62"/>
        <v>#N/A</v>
      </c>
      <c r="AG199" s="55" t="e">
        <f t="shared" ca="1" si="63"/>
        <v>#N/A</v>
      </c>
      <c r="AH199" s="55" t="e">
        <f t="shared" ca="1" si="64"/>
        <v>#N/A</v>
      </c>
      <c r="AI199" s="55" t="e">
        <f t="shared" ca="1" si="65"/>
        <v>#N/A</v>
      </c>
      <c r="AJ199" s="55" t="e">
        <f t="shared" ca="1" si="59"/>
        <v>#N/A</v>
      </c>
      <c r="AK199" s="55" t="e">
        <f t="shared" ca="1" si="60"/>
        <v>#N/A</v>
      </c>
      <c r="AL199" s="55" t="e">
        <f t="shared" ca="1" si="61"/>
        <v>#N/A</v>
      </c>
      <c r="AM199" s="55"/>
    </row>
    <row r="200" spans="18:39">
      <c r="R200" s="83" t="e">
        <f ca="1"/>
        <v>#N/A</v>
      </c>
      <c r="S200" s="55" t="e">
        <f t="shared" ca="1" si="54"/>
        <v>#N/A</v>
      </c>
      <c r="T200" s="55" t="e">
        <f t="shared" ca="1" si="47"/>
        <v>#N/A</v>
      </c>
      <c r="U200" s="55" t="e">
        <f t="shared" ca="1" si="48"/>
        <v>#N/A</v>
      </c>
      <c r="V200" s="55" t="e">
        <f t="shared" ca="1" si="49"/>
        <v>#N/A</v>
      </c>
      <c r="W200" s="55" t="e">
        <f t="shared" ca="1" si="55"/>
        <v>#N/A</v>
      </c>
      <c r="X200" s="55" t="e">
        <f t="shared" ca="1" si="56"/>
        <v>#N/A</v>
      </c>
      <c r="Y200" s="55" t="e">
        <f t="shared" ca="1" si="57"/>
        <v>#N/A</v>
      </c>
      <c r="Z200" s="55" t="e">
        <f t="shared" ca="1" si="50"/>
        <v>#N/A</v>
      </c>
      <c r="AA200" t="e">
        <f t="shared" ca="1" si="51"/>
        <v>#N/A</v>
      </c>
      <c r="AB200" t="e">
        <f t="shared" ca="1" si="58"/>
        <v>#N/A</v>
      </c>
      <c r="AC200" t="e">
        <f t="shared" ca="1" si="52"/>
        <v>#N/A</v>
      </c>
      <c r="AD200" t="e">
        <f t="shared" ca="1" si="53"/>
        <v>#N/A</v>
      </c>
      <c r="AE200" s="83" t="e">
        <f ca="1"/>
        <v>#N/A</v>
      </c>
      <c r="AF200" s="55" t="e">
        <f t="shared" ca="1" si="62"/>
        <v>#N/A</v>
      </c>
      <c r="AG200" s="55" t="e">
        <f t="shared" ca="1" si="63"/>
        <v>#N/A</v>
      </c>
      <c r="AH200" s="55" t="e">
        <f t="shared" ca="1" si="64"/>
        <v>#N/A</v>
      </c>
      <c r="AI200" s="55" t="e">
        <f t="shared" ca="1" si="65"/>
        <v>#N/A</v>
      </c>
      <c r="AJ200" s="55" t="e">
        <f t="shared" ca="1" si="59"/>
        <v>#N/A</v>
      </c>
      <c r="AK200" s="55" t="e">
        <f t="shared" ca="1" si="60"/>
        <v>#N/A</v>
      </c>
      <c r="AL200" s="55" t="e">
        <f t="shared" ca="1" si="61"/>
        <v>#N/A</v>
      </c>
      <c r="AM200" s="55"/>
    </row>
    <row r="201" spans="18:39">
      <c r="R201" s="83" t="e">
        <f ca="1"/>
        <v>#N/A</v>
      </c>
      <c r="S201" s="55" t="e">
        <f t="shared" ca="1" si="54"/>
        <v>#N/A</v>
      </c>
      <c r="T201" s="55" t="e">
        <f t="shared" ca="1" si="47"/>
        <v>#N/A</v>
      </c>
      <c r="U201" s="55" t="e">
        <f t="shared" ca="1" si="48"/>
        <v>#N/A</v>
      </c>
      <c r="V201" s="55" t="e">
        <f t="shared" ca="1" si="49"/>
        <v>#N/A</v>
      </c>
      <c r="W201" s="55" t="e">
        <f t="shared" ca="1" si="55"/>
        <v>#N/A</v>
      </c>
      <c r="X201" s="55" t="e">
        <f t="shared" ca="1" si="56"/>
        <v>#N/A</v>
      </c>
      <c r="Y201" s="55" t="e">
        <f t="shared" ca="1" si="57"/>
        <v>#N/A</v>
      </c>
      <c r="Z201" s="55" t="e">
        <f t="shared" ca="1" si="50"/>
        <v>#N/A</v>
      </c>
      <c r="AA201" t="e">
        <f t="shared" ca="1" si="51"/>
        <v>#N/A</v>
      </c>
      <c r="AB201" t="e">
        <f t="shared" ca="1" si="58"/>
        <v>#N/A</v>
      </c>
      <c r="AC201" t="e">
        <f t="shared" ca="1" si="52"/>
        <v>#N/A</v>
      </c>
      <c r="AD201" t="e">
        <f t="shared" ca="1" si="53"/>
        <v>#N/A</v>
      </c>
      <c r="AE201" s="83" t="e">
        <f ca="1"/>
        <v>#N/A</v>
      </c>
      <c r="AF201" s="55" t="e">
        <f t="shared" ca="1" si="62"/>
        <v>#N/A</v>
      </c>
      <c r="AG201" s="55" t="e">
        <f t="shared" ca="1" si="63"/>
        <v>#N/A</v>
      </c>
      <c r="AH201" s="55" t="e">
        <f t="shared" ca="1" si="64"/>
        <v>#N/A</v>
      </c>
      <c r="AI201" s="55" t="e">
        <f t="shared" ca="1" si="65"/>
        <v>#N/A</v>
      </c>
      <c r="AJ201" s="55" t="e">
        <f t="shared" ca="1" si="59"/>
        <v>#N/A</v>
      </c>
      <c r="AK201" s="55" t="e">
        <f t="shared" ca="1" si="60"/>
        <v>#N/A</v>
      </c>
      <c r="AL201" s="55" t="e">
        <f t="shared" ca="1" si="61"/>
        <v>#N/A</v>
      </c>
      <c r="AM201" s="55"/>
    </row>
    <row r="202" spans="18:39">
      <c r="R202" s="83" t="e">
        <f ca="1"/>
        <v>#N/A</v>
      </c>
      <c r="S202" s="55" t="e">
        <f t="shared" ca="1" si="54"/>
        <v>#N/A</v>
      </c>
      <c r="T202" s="55" t="e">
        <f t="shared" ca="1" si="47"/>
        <v>#N/A</v>
      </c>
      <c r="U202" s="55" t="e">
        <f t="shared" ca="1" si="48"/>
        <v>#N/A</v>
      </c>
      <c r="V202" s="55" t="e">
        <f t="shared" ca="1" si="49"/>
        <v>#N/A</v>
      </c>
      <c r="W202" s="55" t="e">
        <f t="shared" ca="1" si="55"/>
        <v>#N/A</v>
      </c>
      <c r="X202" s="55" t="e">
        <f t="shared" ca="1" si="56"/>
        <v>#N/A</v>
      </c>
      <c r="Y202" s="55" t="e">
        <f t="shared" ca="1" si="57"/>
        <v>#N/A</v>
      </c>
      <c r="Z202" s="55" t="e">
        <f t="shared" ca="1" si="50"/>
        <v>#N/A</v>
      </c>
      <c r="AA202" t="e">
        <f t="shared" ca="1" si="51"/>
        <v>#N/A</v>
      </c>
      <c r="AB202" t="e">
        <f t="shared" ca="1" si="58"/>
        <v>#N/A</v>
      </c>
      <c r="AC202" t="e">
        <f t="shared" ca="1" si="52"/>
        <v>#N/A</v>
      </c>
      <c r="AD202" t="e">
        <f t="shared" ca="1" si="53"/>
        <v>#N/A</v>
      </c>
      <c r="AE202" s="83" t="e">
        <f ca="1"/>
        <v>#N/A</v>
      </c>
      <c r="AF202" s="55" t="e">
        <f t="shared" ca="1" si="62"/>
        <v>#N/A</v>
      </c>
      <c r="AG202" s="55" t="e">
        <f t="shared" ca="1" si="63"/>
        <v>#N/A</v>
      </c>
      <c r="AH202" s="55" t="e">
        <f t="shared" ca="1" si="64"/>
        <v>#N/A</v>
      </c>
      <c r="AI202" s="55" t="e">
        <f t="shared" ca="1" si="65"/>
        <v>#N/A</v>
      </c>
      <c r="AJ202" s="55" t="e">
        <f t="shared" ca="1" si="59"/>
        <v>#N/A</v>
      </c>
      <c r="AK202" s="55" t="e">
        <f t="shared" ca="1" si="60"/>
        <v>#N/A</v>
      </c>
      <c r="AL202" s="55" t="e">
        <f t="shared" ca="1" si="61"/>
        <v>#N/A</v>
      </c>
      <c r="AM202" s="55"/>
    </row>
    <row r="203" spans="18:39">
      <c r="R203" s="83" t="e">
        <f ca="1"/>
        <v>#N/A</v>
      </c>
      <c r="S203" s="55" t="e">
        <f t="shared" ca="1" si="54"/>
        <v>#N/A</v>
      </c>
      <c r="T203" s="55" t="e">
        <f t="shared" ca="1" si="47"/>
        <v>#N/A</v>
      </c>
      <c r="U203" s="55" t="e">
        <f t="shared" ca="1" si="48"/>
        <v>#N/A</v>
      </c>
      <c r="V203" s="55" t="e">
        <f t="shared" ca="1" si="49"/>
        <v>#N/A</v>
      </c>
      <c r="W203" s="55" t="e">
        <f t="shared" ca="1" si="55"/>
        <v>#N/A</v>
      </c>
      <c r="X203" s="55" t="e">
        <f t="shared" ca="1" si="56"/>
        <v>#N/A</v>
      </c>
      <c r="Y203" s="55" t="e">
        <f t="shared" ca="1" si="57"/>
        <v>#N/A</v>
      </c>
      <c r="Z203" s="55" t="e">
        <f t="shared" ca="1" si="50"/>
        <v>#N/A</v>
      </c>
      <c r="AA203" t="e">
        <f t="shared" ca="1" si="51"/>
        <v>#N/A</v>
      </c>
      <c r="AB203" t="e">
        <f t="shared" ca="1" si="58"/>
        <v>#N/A</v>
      </c>
      <c r="AC203" t="e">
        <f t="shared" ca="1" si="52"/>
        <v>#N/A</v>
      </c>
      <c r="AD203" t="e">
        <f t="shared" ca="1" si="53"/>
        <v>#N/A</v>
      </c>
      <c r="AE203" s="83" t="e">
        <f ca="1"/>
        <v>#N/A</v>
      </c>
      <c r="AF203" s="55" t="e">
        <f t="shared" ca="1" si="62"/>
        <v>#N/A</v>
      </c>
      <c r="AG203" s="55" t="e">
        <f t="shared" ca="1" si="63"/>
        <v>#N/A</v>
      </c>
      <c r="AH203" s="55" t="e">
        <f t="shared" ca="1" si="64"/>
        <v>#N/A</v>
      </c>
      <c r="AI203" s="55" t="e">
        <f t="shared" ca="1" si="65"/>
        <v>#N/A</v>
      </c>
      <c r="AJ203" s="55" t="e">
        <f t="shared" ca="1" si="59"/>
        <v>#N/A</v>
      </c>
      <c r="AK203" s="55" t="e">
        <f t="shared" ca="1" si="60"/>
        <v>#N/A</v>
      </c>
      <c r="AL203" s="55" t="e">
        <f t="shared" ca="1" si="61"/>
        <v>#N/A</v>
      </c>
      <c r="AM203" s="55"/>
    </row>
    <row r="204" spans="18:39">
      <c r="R204" s="83" t="e">
        <f ca="1"/>
        <v>#N/A</v>
      </c>
      <c r="S204" s="55" t="e">
        <f t="shared" ca="1" si="54"/>
        <v>#N/A</v>
      </c>
      <c r="T204" s="55" t="e">
        <f t="shared" ca="1" si="47"/>
        <v>#N/A</v>
      </c>
      <c r="U204" s="55" t="e">
        <f t="shared" ca="1" si="48"/>
        <v>#N/A</v>
      </c>
      <c r="V204" s="55" t="e">
        <f t="shared" ca="1" si="49"/>
        <v>#N/A</v>
      </c>
      <c r="W204" s="55" t="e">
        <f t="shared" ca="1" si="55"/>
        <v>#N/A</v>
      </c>
      <c r="X204" s="55" t="e">
        <f t="shared" ca="1" si="56"/>
        <v>#N/A</v>
      </c>
      <c r="Y204" s="55" t="e">
        <f t="shared" ca="1" si="57"/>
        <v>#N/A</v>
      </c>
      <c r="Z204" s="55" t="e">
        <f t="shared" ca="1" si="50"/>
        <v>#N/A</v>
      </c>
      <c r="AA204" t="e">
        <f t="shared" ca="1" si="51"/>
        <v>#N/A</v>
      </c>
      <c r="AB204" t="e">
        <f t="shared" ca="1" si="58"/>
        <v>#N/A</v>
      </c>
      <c r="AC204" t="e">
        <f t="shared" ca="1" si="52"/>
        <v>#N/A</v>
      </c>
      <c r="AD204" t="e">
        <f t="shared" ca="1" si="53"/>
        <v>#N/A</v>
      </c>
      <c r="AE204" s="83" t="e">
        <f ca="1"/>
        <v>#N/A</v>
      </c>
      <c r="AF204" s="55" t="e">
        <f t="shared" ca="1" si="62"/>
        <v>#N/A</v>
      </c>
      <c r="AG204" s="55" t="e">
        <f t="shared" ca="1" si="63"/>
        <v>#N/A</v>
      </c>
      <c r="AH204" s="55" t="e">
        <f t="shared" ca="1" si="64"/>
        <v>#N/A</v>
      </c>
      <c r="AI204" s="55" t="e">
        <f t="shared" ca="1" si="65"/>
        <v>#N/A</v>
      </c>
      <c r="AJ204" s="55" t="e">
        <f t="shared" ca="1" si="59"/>
        <v>#N/A</v>
      </c>
      <c r="AK204" s="55" t="e">
        <f t="shared" ca="1" si="60"/>
        <v>#N/A</v>
      </c>
      <c r="AL204" s="55" t="e">
        <f t="shared" ca="1" si="61"/>
        <v>#N/A</v>
      </c>
      <c r="AM204" s="55"/>
    </row>
    <row r="205" spans="18:39">
      <c r="R205" s="83" t="e">
        <f ca="1"/>
        <v>#N/A</v>
      </c>
      <c r="S205" s="55" t="e">
        <f t="shared" ca="1" si="54"/>
        <v>#N/A</v>
      </c>
      <c r="T205" s="55" t="e">
        <f t="shared" ca="1" si="47"/>
        <v>#N/A</v>
      </c>
      <c r="U205" s="55" t="e">
        <f t="shared" ca="1" si="48"/>
        <v>#N/A</v>
      </c>
      <c r="V205" s="55" t="e">
        <f t="shared" ca="1" si="49"/>
        <v>#N/A</v>
      </c>
      <c r="W205" s="55" t="e">
        <f t="shared" ca="1" si="55"/>
        <v>#N/A</v>
      </c>
      <c r="X205" s="55" t="e">
        <f t="shared" ca="1" si="56"/>
        <v>#N/A</v>
      </c>
      <c r="Y205" s="55" t="e">
        <f t="shared" ca="1" si="57"/>
        <v>#N/A</v>
      </c>
      <c r="Z205" s="55" t="e">
        <f t="shared" ca="1" si="50"/>
        <v>#N/A</v>
      </c>
      <c r="AA205" t="e">
        <f t="shared" ca="1" si="51"/>
        <v>#N/A</v>
      </c>
      <c r="AB205" t="e">
        <f t="shared" ca="1" si="58"/>
        <v>#N/A</v>
      </c>
      <c r="AC205" t="e">
        <f t="shared" ca="1" si="52"/>
        <v>#N/A</v>
      </c>
      <c r="AD205" t="e">
        <f t="shared" ca="1" si="53"/>
        <v>#N/A</v>
      </c>
      <c r="AE205" s="83" t="e">
        <f ca="1"/>
        <v>#N/A</v>
      </c>
      <c r="AF205" s="55" t="e">
        <f t="shared" ca="1" si="62"/>
        <v>#N/A</v>
      </c>
      <c r="AG205" s="55" t="e">
        <f t="shared" ca="1" si="63"/>
        <v>#N/A</v>
      </c>
      <c r="AH205" s="55" t="e">
        <f t="shared" ca="1" si="64"/>
        <v>#N/A</v>
      </c>
      <c r="AI205" s="55" t="e">
        <f t="shared" ca="1" si="65"/>
        <v>#N/A</v>
      </c>
      <c r="AJ205" s="55" t="e">
        <f t="shared" ca="1" si="59"/>
        <v>#N/A</v>
      </c>
      <c r="AK205" s="55" t="e">
        <f t="shared" ca="1" si="60"/>
        <v>#N/A</v>
      </c>
      <c r="AL205" s="55" t="e">
        <f t="shared" ca="1" si="61"/>
        <v>#N/A</v>
      </c>
      <c r="AM205" s="55"/>
    </row>
    <row r="206" spans="18:39">
      <c r="R206" s="83" t="e">
        <f ca="1"/>
        <v>#N/A</v>
      </c>
      <c r="S206" s="55" t="e">
        <f t="shared" ca="1" si="54"/>
        <v>#N/A</v>
      </c>
      <c r="T206" s="55" t="e">
        <f t="shared" ca="1" si="47"/>
        <v>#N/A</v>
      </c>
      <c r="U206" s="55" t="e">
        <f t="shared" ca="1" si="48"/>
        <v>#N/A</v>
      </c>
      <c r="V206" s="55" t="e">
        <f t="shared" ca="1" si="49"/>
        <v>#N/A</v>
      </c>
      <c r="W206" s="55" t="e">
        <f t="shared" ca="1" si="55"/>
        <v>#N/A</v>
      </c>
      <c r="X206" s="55" t="e">
        <f t="shared" ca="1" si="56"/>
        <v>#N/A</v>
      </c>
      <c r="Y206" s="55" t="e">
        <f t="shared" ca="1" si="57"/>
        <v>#N/A</v>
      </c>
      <c r="Z206" s="55" t="e">
        <f t="shared" ca="1" si="50"/>
        <v>#N/A</v>
      </c>
      <c r="AA206" t="e">
        <f t="shared" ca="1" si="51"/>
        <v>#N/A</v>
      </c>
      <c r="AB206" t="e">
        <f t="shared" ca="1" si="58"/>
        <v>#N/A</v>
      </c>
      <c r="AC206" t="e">
        <f t="shared" ca="1" si="52"/>
        <v>#N/A</v>
      </c>
      <c r="AD206" t="e">
        <f t="shared" ca="1" si="53"/>
        <v>#N/A</v>
      </c>
      <c r="AE206" s="83" t="e">
        <f ca="1"/>
        <v>#N/A</v>
      </c>
      <c r="AF206" s="55" t="e">
        <f t="shared" ca="1" si="62"/>
        <v>#N/A</v>
      </c>
      <c r="AG206" s="55" t="e">
        <f t="shared" ca="1" si="63"/>
        <v>#N/A</v>
      </c>
      <c r="AH206" s="55" t="e">
        <f t="shared" ca="1" si="64"/>
        <v>#N/A</v>
      </c>
      <c r="AI206" s="55" t="e">
        <f t="shared" ca="1" si="65"/>
        <v>#N/A</v>
      </c>
      <c r="AJ206" s="55" t="e">
        <f t="shared" ca="1" si="59"/>
        <v>#N/A</v>
      </c>
      <c r="AK206" s="55" t="e">
        <f t="shared" ca="1" si="60"/>
        <v>#N/A</v>
      </c>
      <c r="AL206" s="55" t="e">
        <f t="shared" ca="1" si="61"/>
        <v>#N/A</v>
      </c>
      <c r="AM206" s="55"/>
    </row>
    <row r="207" spans="18:39">
      <c r="R207" s="83" t="e">
        <f ca="1"/>
        <v>#N/A</v>
      </c>
      <c r="S207" s="55" t="e">
        <f t="shared" ca="1" si="54"/>
        <v>#N/A</v>
      </c>
      <c r="T207" s="55" t="e">
        <f t="shared" ca="1" si="47"/>
        <v>#N/A</v>
      </c>
      <c r="U207" s="55" t="e">
        <f t="shared" ca="1" si="48"/>
        <v>#N/A</v>
      </c>
      <c r="V207" s="55" t="e">
        <f t="shared" ca="1" si="49"/>
        <v>#N/A</v>
      </c>
      <c r="W207" s="55" t="e">
        <f t="shared" ca="1" si="55"/>
        <v>#N/A</v>
      </c>
      <c r="X207" s="55" t="e">
        <f t="shared" ca="1" si="56"/>
        <v>#N/A</v>
      </c>
      <c r="Y207" s="55" t="e">
        <f t="shared" ca="1" si="57"/>
        <v>#N/A</v>
      </c>
      <c r="Z207" s="55" t="e">
        <f t="shared" ca="1" si="50"/>
        <v>#N/A</v>
      </c>
      <c r="AA207" t="e">
        <f t="shared" ca="1" si="51"/>
        <v>#N/A</v>
      </c>
      <c r="AB207" t="e">
        <f t="shared" ca="1" si="58"/>
        <v>#N/A</v>
      </c>
      <c r="AC207" t="e">
        <f t="shared" ca="1" si="52"/>
        <v>#N/A</v>
      </c>
      <c r="AD207" t="e">
        <f t="shared" ca="1" si="53"/>
        <v>#N/A</v>
      </c>
      <c r="AE207" s="83" t="e">
        <f ca="1"/>
        <v>#N/A</v>
      </c>
      <c r="AF207" s="55" t="e">
        <f t="shared" ca="1" si="62"/>
        <v>#N/A</v>
      </c>
      <c r="AG207" s="55" t="e">
        <f t="shared" ca="1" si="63"/>
        <v>#N/A</v>
      </c>
      <c r="AH207" s="55" t="e">
        <f t="shared" ca="1" si="64"/>
        <v>#N/A</v>
      </c>
      <c r="AI207" s="55" t="e">
        <f t="shared" ca="1" si="65"/>
        <v>#N/A</v>
      </c>
      <c r="AJ207" s="55" t="e">
        <f t="shared" ca="1" si="59"/>
        <v>#N/A</v>
      </c>
      <c r="AK207" s="55" t="e">
        <f t="shared" ca="1" si="60"/>
        <v>#N/A</v>
      </c>
      <c r="AL207" s="55" t="e">
        <f t="shared" ca="1" si="61"/>
        <v>#N/A</v>
      </c>
      <c r="AM207" s="55"/>
    </row>
    <row r="208" spans="18:39">
      <c r="R208" s="83" t="e">
        <f ca="1"/>
        <v>#N/A</v>
      </c>
      <c r="S208" s="55" t="e">
        <f t="shared" ca="1" si="54"/>
        <v>#N/A</v>
      </c>
      <c r="T208" s="55" t="e">
        <f t="shared" ca="1" si="47"/>
        <v>#N/A</v>
      </c>
      <c r="U208" s="55" t="e">
        <f t="shared" ca="1" si="48"/>
        <v>#N/A</v>
      </c>
      <c r="V208" s="55" t="e">
        <f t="shared" ca="1" si="49"/>
        <v>#N/A</v>
      </c>
      <c r="W208" s="55" t="e">
        <f t="shared" ca="1" si="55"/>
        <v>#N/A</v>
      </c>
      <c r="X208" s="55" t="e">
        <f t="shared" ca="1" si="56"/>
        <v>#N/A</v>
      </c>
      <c r="Y208" s="55" t="e">
        <f t="shared" ca="1" si="57"/>
        <v>#N/A</v>
      </c>
      <c r="Z208" s="55" t="e">
        <f t="shared" ca="1" si="50"/>
        <v>#N/A</v>
      </c>
      <c r="AA208" t="e">
        <f t="shared" ca="1" si="51"/>
        <v>#N/A</v>
      </c>
      <c r="AB208" t="e">
        <f t="shared" ca="1" si="58"/>
        <v>#N/A</v>
      </c>
      <c r="AC208" t="e">
        <f t="shared" ca="1" si="52"/>
        <v>#N/A</v>
      </c>
      <c r="AD208" t="e">
        <f t="shared" ca="1" si="53"/>
        <v>#N/A</v>
      </c>
      <c r="AE208" s="83" t="e">
        <f ca="1"/>
        <v>#N/A</v>
      </c>
      <c r="AF208" s="55" t="e">
        <f t="shared" ca="1" si="62"/>
        <v>#N/A</v>
      </c>
      <c r="AG208" s="55" t="e">
        <f t="shared" ca="1" si="63"/>
        <v>#N/A</v>
      </c>
      <c r="AH208" s="55" t="e">
        <f t="shared" ca="1" si="64"/>
        <v>#N/A</v>
      </c>
      <c r="AI208" s="55" t="e">
        <f t="shared" ca="1" si="65"/>
        <v>#N/A</v>
      </c>
      <c r="AJ208" s="55" t="e">
        <f t="shared" ca="1" si="59"/>
        <v>#N/A</v>
      </c>
      <c r="AK208" s="55" t="e">
        <f t="shared" ca="1" si="60"/>
        <v>#N/A</v>
      </c>
      <c r="AL208" s="55" t="e">
        <f t="shared" ca="1" si="61"/>
        <v>#N/A</v>
      </c>
      <c r="AM208" s="55"/>
    </row>
    <row r="209" spans="18:39">
      <c r="R209" s="83" t="e">
        <f ca="1"/>
        <v>#N/A</v>
      </c>
      <c r="S209" s="55" t="e">
        <f t="shared" ca="1" si="54"/>
        <v>#N/A</v>
      </c>
      <c r="T209" s="55" t="e">
        <f t="shared" ca="1" si="47"/>
        <v>#N/A</v>
      </c>
      <c r="U209" s="55" t="e">
        <f t="shared" ca="1" si="48"/>
        <v>#N/A</v>
      </c>
      <c r="V209" s="55" t="e">
        <f t="shared" ca="1" si="49"/>
        <v>#N/A</v>
      </c>
      <c r="W209" s="55" t="e">
        <f t="shared" ca="1" si="55"/>
        <v>#N/A</v>
      </c>
      <c r="X209" s="55" t="e">
        <f t="shared" ca="1" si="56"/>
        <v>#N/A</v>
      </c>
      <c r="Y209" s="55" t="e">
        <f t="shared" ca="1" si="57"/>
        <v>#N/A</v>
      </c>
      <c r="Z209" s="55" t="e">
        <f t="shared" ca="1" si="50"/>
        <v>#N/A</v>
      </c>
      <c r="AA209" t="e">
        <f t="shared" ca="1" si="51"/>
        <v>#N/A</v>
      </c>
      <c r="AB209" t="e">
        <f t="shared" ca="1" si="58"/>
        <v>#N/A</v>
      </c>
      <c r="AC209" t="e">
        <f t="shared" ca="1" si="52"/>
        <v>#N/A</v>
      </c>
      <c r="AD209" t="e">
        <f t="shared" ca="1" si="53"/>
        <v>#N/A</v>
      </c>
      <c r="AE209" s="83" t="e">
        <f ca="1"/>
        <v>#N/A</v>
      </c>
      <c r="AF209" s="55" t="e">
        <f t="shared" ca="1" si="62"/>
        <v>#N/A</v>
      </c>
      <c r="AG209" s="55" t="e">
        <f t="shared" ca="1" si="63"/>
        <v>#N/A</v>
      </c>
      <c r="AH209" s="55" t="e">
        <f t="shared" ca="1" si="64"/>
        <v>#N/A</v>
      </c>
      <c r="AI209" s="55" t="e">
        <f t="shared" ca="1" si="65"/>
        <v>#N/A</v>
      </c>
      <c r="AJ209" s="55" t="e">
        <f t="shared" ca="1" si="59"/>
        <v>#N/A</v>
      </c>
      <c r="AK209" s="55" t="e">
        <f t="shared" ca="1" si="60"/>
        <v>#N/A</v>
      </c>
      <c r="AL209" s="55" t="e">
        <f t="shared" ca="1" si="61"/>
        <v>#N/A</v>
      </c>
      <c r="AM209" s="55"/>
    </row>
    <row r="210" spans="18:39">
      <c r="R210" s="83" t="e">
        <f ca="1"/>
        <v>#N/A</v>
      </c>
      <c r="S210" s="55" t="e">
        <f t="shared" ca="1" si="54"/>
        <v>#N/A</v>
      </c>
      <c r="T210" s="55" t="e">
        <f t="shared" ref="T210:T273" ca="1" si="66">VLOOKUP(S210,ModelOutputs,2,FALSE)</f>
        <v>#N/A</v>
      </c>
      <c r="U210" s="55" t="e">
        <f t="shared" ref="U210:U273" ca="1" si="67">VLOOKUP(S210,ModelOutputs,7,FALSE)</f>
        <v>#N/A</v>
      </c>
      <c r="V210" s="55" t="e">
        <f t="shared" ref="V210:V273" ca="1" si="68">VLOOKUP(S210,ModelOutputs,6,FALSE)</f>
        <v>#N/A</v>
      </c>
      <c r="W210" s="55" t="e">
        <f t="shared" ca="1" si="55"/>
        <v>#N/A</v>
      </c>
      <c r="X210" s="55" t="e">
        <f t="shared" ca="1" si="56"/>
        <v>#N/A</v>
      </c>
      <c r="Y210" s="55" t="e">
        <f t="shared" ca="1" si="57"/>
        <v>#N/A</v>
      </c>
      <c r="Z210" s="55" t="e">
        <f t="shared" ref="Z210:Z273" ca="1" si="69">VLOOKUP(S210,ModelOutputs,3,FALSE)*14</f>
        <v>#N/A</v>
      </c>
      <c r="AA210" t="e">
        <f t="shared" ref="AA210:AA273" ca="1" si="70">VLOOKUP(S210,ModelOutputs,10,FALSE)*AWC</f>
        <v>#N/A</v>
      </c>
      <c r="AB210" t="e">
        <f t="shared" ca="1" si="58"/>
        <v>#N/A</v>
      </c>
      <c r="AC210" t="e">
        <f t="shared" ref="AC210:AC273" ca="1" si="71">VLOOKUP(S210,ModelOutputs,12,FALSE)</f>
        <v>#N/A</v>
      </c>
      <c r="AD210" t="e">
        <f t="shared" ref="AD210:AD273" ca="1" si="72">VLOOKUP(S210,ModelOutputs,13,FALSE)</f>
        <v>#N/A</v>
      </c>
      <c r="AE210" s="83" t="e">
        <f ca="1"/>
        <v>#N/A</v>
      </c>
      <c r="AF210" s="55" t="e">
        <f t="shared" ca="1" si="62"/>
        <v>#N/A</v>
      </c>
      <c r="AG210" s="55" t="e">
        <f t="shared" ca="1" si="63"/>
        <v>#N/A</v>
      </c>
      <c r="AH210" s="55" t="e">
        <f t="shared" ca="1" si="64"/>
        <v>#N/A</v>
      </c>
      <c r="AI210" s="55" t="e">
        <f t="shared" ca="1" si="65"/>
        <v>#N/A</v>
      </c>
      <c r="AJ210" s="55" t="e">
        <f t="shared" ca="1" si="59"/>
        <v>#N/A</v>
      </c>
      <c r="AK210" s="55" t="e">
        <f t="shared" ca="1" si="60"/>
        <v>#N/A</v>
      </c>
      <c r="AL210" s="55" t="e">
        <f t="shared" ca="1" si="61"/>
        <v>#N/A</v>
      </c>
      <c r="AM210" s="55"/>
    </row>
    <row r="211" spans="18:39">
      <c r="R211" s="83" t="e">
        <f ca="1"/>
        <v>#N/A</v>
      </c>
      <c r="S211" s="55" t="e">
        <f t="shared" ref="S211:S274" ca="1" si="73">IF(R211&gt;1,R211,"")</f>
        <v>#N/A</v>
      </c>
      <c r="T211" s="55" t="e">
        <f t="shared" ca="1" si="66"/>
        <v>#N/A</v>
      </c>
      <c r="U211" s="55" t="e">
        <f t="shared" ca="1" si="67"/>
        <v>#N/A</v>
      </c>
      <c r="V211" s="55" t="e">
        <f t="shared" ca="1" si="68"/>
        <v>#N/A</v>
      </c>
      <c r="W211" s="55" t="e">
        <f t="shared" ref="W211:W274" ca="1" si="74">-VLOOKUP(S211,ModelOutputs,9,FALSE)+W210</f>
        <v>#N/A</v>
      </c>
      <c r="X211" s="55" t="e">
        <f t="shared" ref="X211:X274" ca="1" si="75">VLOOKUP(S211,ModelOutputs,5,FALSE)+X210</f>
        <v>#N/A</v>
      </c>
      <c r="Y211" s="55" t="e">
        <f t="shared" ref="Y211:Y274" ca="1" si="76">VLOOKUP(S211,ModelOutputs,4,FALSE)+Y210</f>
        <v>#N/A</v>
      </c>
      <c r="Z211" s="55" t="e">
        <f t="shared" ca="1" si="69"/>
        <v>#N/A</v>
      </c>
      <c r="AA211" t="e">
        <f t="shared" ca="1" si="70"/>
        <v>#N/A</v>
      </c>
      <c r="AB211" t="e">
        <f t="shared" ref="AB211:AB274" ca="1" si="77">VLOOKUP(S211,ModelOutputs,11,FALSE)+AB210</f>
        <v>#N/A</v>
      </c>
      <c r="AC211" t="e">
        <f t="shared" ca="1" si="71"/>
        <v>#N/A</v>
      </c>
      <c r="AD211" t="e">
        <f t="shared" ca="1" si="72"/>
        <v>#N/A</v>
      </c>
      <c r="AE211" s="83" t="e">
        <f ca="1"/>
        <v>#N/A</v>
      </c>
      <c r="AF211" s="55" t="e">
        <f t="shared" ca="1" si="62"/>
        <v>#N/A</v>
      </c>
      <c r="AG211" s="55" t="e">
        <f t="shared" ca="1" si="63"/>
        <v>#N/A</v>
      </c>
      <c r="AH211" s="55" t="e">
        <f t="shared" ca="1" si="64"/>
        <v>#N/A</v>
      </c>
      <c r="AI211" s="55" t="e">
        <f t="shared" ca="1" si="65"/>
        <v>#N/A</v>
      </c>
      <c r="AJ211" s="55" t="e">
        <f t="shared" ref="AJ211:AJ274" ca="1" si="78">-VLOOKUP(AF211,ModelOutputs,9,FALSE)+AJ210</f>
        <v>#N/A</v>
      </c>
      <c r="AK211" s="55" t="e">
        <f t="shared" ref="AK211:AK274" ca="1" si="79">VLOOKUP(AF211,ModelOutputs,5,FALSE)+AK210</f>
        <v>#N/A</v>
      </c>
      <c r="AL211" s="55" t="e">
        <f t="shared" ref="AL211:AL274" ca="1" si="80">VLOOKUP(AF211,ModelOutputs,4,FALSE)+AL210</f>
        <v>#N/A</v>
      </c>
      <c r="AM211" s="55"/>
    </row>
    <row r="212" spans="18:39">
      <c r="R212" s="83" t="e">
        <f ca="1"/>
        <v>#N/A</v>
      </c>
      <c r="S212" s="55" t="e">
        <f t="shared" ca="1" si="73"/>
        <v>#N/A</v>
      </c>
      <c r="T212" s="55" t="e">
        <f t="shared" ca="1" si="66"/>
        <v>#N/A</v>
      </c>
      <c r="U212" s="55" t="e">
        <f t="shared" ca="1" si="67"/>
        <v>#N/A</v>
      </c>
      <c r="V212" s="55" t="e">
        <f t="shared" ca="1" si="68"/>
        <v>#N/A</v>
      </c>
      <c r="W212" s="55" t="e">
        <f t="shared" ca="1" si="74"/>
        <v>#N/A</v>
      </c>
      <c r="X212" s="55" t="e">
        <f t="shared" ca="1" si="75"/>
        <v>#N/A</v>
      </c>
      <c r="Y212" s="55" t="e">
        <f t="shared" ca="1" si="76"/>
        <v>#N/A</v>
      </c>
      <c r="Z212" s="55" t="e">
        <f t="shared" ca="1" si="69"/>
        <v>#N/A</v>
      </c>
      <c r="AA212" t="e">
        <f t="shared" ca="1" si="70"/>
        <v>#N/A</v>
      </c>
      <c r="AB212" t="e">
        <f t="shared" ca="1" si="77"/>
        <v>#N/A</v>
      </c>
      <c r="AC212" t="e">
        <f t="shared" ca="1" si="71"/>
        <v>#N/A</v>
      </c>
      <c r="AD212" t="e">
        <f t="shared" ca="1" si="72"/>
        <v>#N/A</v>
      </c>
      <c r="AE212" s="83" t="e">
        <f ca="1"/>
        <v>#N/A</v>
      </c>
      <c r="AF212" s="55" t="e">
        <f t="shared" ca="1" si="62"/>
        <v>#N/A</v>
      </c>
      <c r="AG212" s="55" t="e">
        <f t="shared" ca="1" si="63"/>
        <v>#N/A</v>
      </c>
      <c r="AH212" s="55" t="e">
        <f t="shared" ca="1" si="64"/>
        <v>#N/A</v>
      </c>
      <c r="AI212" s="55" t="e">
        <f t="shared" ca="1" si="65"/>
        <v>#N/A</v>
      </c>
      <c r="AJ212" s="55" t="e">
        <f t="shared" ca="1" si="78"/>
        <v>#N/A</v>
      </c>
      <c r="AK212" s="55" t="e">
        <f t="shared" ca="1" si="79"/>
        <v>#N/A</v>
      </c>
      <c r="AL212" s="55" t="e">
        <f t="shared" ca="1" si="80"/>
        <v>#N/A</v>
      </c>
      <c r="AM212" s="55"/>
    </row>
    <row r="213" spans="18:39">
      <c r="R213" s="83" t="e">
        <f ca="1"/>
        <v>#N/A</v>
      </c>
      <c r="S213" s="55" t="e">
        <f t="shared" ca="1" si="73"/>
        <v>#N/A</v>
      </c>
      <c r="T213" s="55" t="e">
        <f t="shared" ca="1" si="66"/>
        <v>#N/A</v>
      </c>
      <c r="U213" s="55" t="e">
        <f t="shared" ca="1" si="67"/>
        <v>#N/A</v>
      </c>
      <c r="V213" s="55" t="e">
        <f t="shared" ca="1" si="68"/>
        <v>#N/A</v>
      </c>
      <c r="W213" s="55" t="e">
        <f t="shared" ca="1" si="74"/>
        <v>#N/A</v>
      </c>
      <c r="X213" s="55" t="e">
        <f t="shared" ca="1" si="75"/>
        <v>#N/A</v>
      </c>
      <c r="Y213" s="55" t="e">
        <f t="shared" ca="1" si="76"/>
        <v>#N/A</v>
      </c>
      <c r="Z213" s="55" t="e">
        <f t="shared" ca="1" si="69"/>
        <v>#N/A</v>
      </c>
      <c r="AA213" t="e">
        <f t="shared" ca="1" si="70"/>
        <v>#N/A</v>
      </c>
      <c r="AB213" t="e">
        <f t="shared" ca="1" si="77"/>
        <v>#N/A</v>
      </c>
      <c r="AC213" t="e">
        <f t="shared" ca="1" si="71"/>
        <v>#N/A</v>
      </c>
      <c r="AD213" t="e">
        <f t="shared" ca="1" si="72"/>
        <v>#N/A</v>
      </c>
      <c r="AE213" s="83" t="e">
        <f ca="1"/>
        <v>#N/A</v>
      </c>
      <c r="AF213" s="55" t="e">
        <f t="shared" ref="AF213:AF276" ca="1" si="81">IF(AE213&gt;1,AE213,"")</f>
        <v>#N/A</v>
      </c>
      <c r="AG213" s="55" t="e">
        <f t="shared" ref="AG213:AG276" ca="1" si="82">VLOOKUP(AF213,ModelOutputs,2,FALSE)</f>
        <v>#N/A</v>
      </c>
      <c r="AH213" s="55" t="e">
        <f t="shared" ref="AH213:AH276" ca="1" si="83">VLOOKUP(AF213,ModelOutputs,7,FALSE)</f>
        <v>#N/A</v>
      </c>
      <c r="AI213" s="55" t="e">
        <f t="shared" ref="AI213:AI276" ca="1" si="84">VLOOKUP(AF213,ModelOutputs,6,FALSE)</f>
        <v>#N/A</v>
      </c>
      <c r="AJ213" s="55" t="e">
        <f t="shared" ca="1" si="78"/>
        <v>#N/A</v>
      </c>
      <c r="AK213" s="55" t="e">
        <f t="shared" ca="1" si="79"/>
        <v>#N/A</v>
      </c>
      <c r="AL213" s="55" t="e">
        <f t="shared" ca="1" si="80"/>
        <v>#N/A</v>
      </c>
      <c r="AM213" s="55"/>
    </row>
    <row r="214" spans="18:39">
      <c r="R214" s="83" t="e">
        <f ca="1"/>
        <v>#N/A</v>
      </c>
      <c r="S214" s="55" t="e">
        <f t="shared" ca="1" si="73"/>
        <v>#N/A</v>
      </c>
      <c r="T214" s="55" t="e">
        <f t="shared" ca="1" si="66"/>
        <v>#N/A</v>
      </c>
      <c r="U214" s="55" t="e">
        <f t="shared" ca="1" si="67"/>
        <v>#N/A</v>
      </c>
      <c r="V214" s="55" t="e">
        <f t="shared" ca="1" si="68"/>
        <v>#N/A</v>
      </c>
      <c r="W214" s="55" t="e">
        <f t="shared" ca="1" si="74"/>
        <v>#N/A</v>
      </c>
      <c r="X214" s="55" t="e">
        <f t="shared" ca="1" si="75"/>
        <v>#N/A</v>
      </c>
      <c r="Y214" s="55" t="e">
        <f t="shared" ca="1" si="76"/>
        <v>#N/A</v>
      </c>
      <c r="Z214" s="55" t="e">
        <f t="shared" ca="1" si="69"/>
        <v>#N/A</v>
      </c>
      <c r="AA214" t="e">
        <f t="shared" ca="1" si="70"/>
        <v>#N/A</v>
      </c>
      <c r="AB214" t="e">
        <f t="shared" ca="1" si="77"/>
        <v>#N/A</v>
      </c>
      <c r="AC214" t="e">
        <f t="shared" ca="1" si="71"/>
        <v>#N/A</v>
      </c>
      <c r="AD214" t="e">
        <f t="shared" ca="1" si="72"/>
        <v>#N/A</v>
      </c>
      <c r="AE214" s="83" t="e">
        <f ca="1"/>
        <v>#N/A</v>
      </c>
      <c r="AF214" s="55" t="e">
        <f t="shared" ca="1" si="81"/>
        <v>#N/A</v>
      </c>
      <c r="AG214" s="55" t="e">
        <f t="shared" ca="1" si="82"/>
        <v>#N/A</v>
      </c>
      <c r="AH214" s="55" t="e">
        <f t="shared" ca="1" si="83"/>
        <v>#N/A</v>
      </c>
      <c r="AI214" s="55" t="e">
        <f t="shared" ca="1" si="84"/>
        <v>#N/A</v>
      </c>
      <c r="AJ214" s="55" t="e">
        <f t="shared" ca="1" si="78"/>
        <v>#N/A</v>
      </c>
      <c r="AK214" s="55" t="e">
        <f t="shared" ca="1" si="79"/>
        <v>#N/A</v>
      </c>
      <c r="AL214" s="55" t="e">
        <f t="shared" ca="1" si="80"/>
        <v>#N/A</v>
      </c>
      <c r="AM214" s="55"/>
    </row>
    <row r="215" spans="18:39">
      <c r="R215" s="83" t="e">
        <f ca="1"/>
        <v>#N/A</v>
      </c>
      <c r="S215" s="55" t="e">
        <f t="shared" ca="1" si="73"/>
        <v>#N/A</v>
      </c>
      <c r="T215" s="55" t="e">
        <f t="shared" ca="1" si="66"/>
        <v>#N/A</v>
      </c>
      <c r="U215" s="55" t="e">
        <f t="shared" ca="1" si="67"/>
        <v>#N/A</v>
      </c>
      <c r="V215" s="55" t="e">
        <f t="shared" ca="1" si="68"/>
        <v>#N/A</v>
      </c>
      <c r="W215" s="55" t="e">
        <f t="shared" ca="1" si="74"/>
        <v>#N/A</v>
      </c>
      <c r="X215" s="55" t="e">
        <f t="shared" ca="1" si="75"/>
        <v>#N/A</v>
      </c>
      <c r="Y215" s="55" t="e">
        <f t="shared" ca="1" si="76"/>
        <v>#N/A</v>
      </c>
      <c r="Z215" s="55" t="e">
        <f t="shared" ca="1" si="69"/>
        <v>#N/A</v>
      </c>
      <c r="AA215" t="e">
        <f t="shared" ca="1" si="70"/>
        <v>#N/A</v>
      </c>
      <c r="AB215" t="e">
        <f t="shared" ca="1" si="77"/>
        <v>#N/A</v>
      </c>
      <c r="AC215" t="e">
        <f t="shared" ca="1" si="71"/>
        <v>#N/A</v>
      </c>
      <c r="AD215" t="e">
        <f t="shared" ca="1" si="72"/>
        <v>#N/A</v>
      </c>
      <c r="AE215" s="83" t="e">
        <f ca="1"/>
        <v>#N/A</v>
      </c>
      <c r="AF215" s="55" t="e">
        <f t="shared" ca="1" si="81"/>
        <v>#N/A</v>
      </c>
      <c r="AG215" s="55" t="e">
        <f t="shared" ca="1" si="82"/>
        <v>#N/A</v>
      </c>
      <c r="AH215" s="55" t="e">
        <f t="shared" ca="1" si="83"/>
        <v>#N/A</v>
      </c>
      <c r="AI215" s="55" t="e">
        <f t="shared" ca="1" si="84"/>
        <v>#N/A</v>
      </c>
      <c r="AJ215" s="55" t="e">
        <f t="shared" ca="1" si="78"/>
        <v>#N/A</v>
      </c>
      <c r="AK215" s="55" t="e">
        <f t="shared" ca="1" si="79"/>
        <v>#N/A</v>
      </c>
      <c r="AL215" s="55" t="e">
        <f t="shared" ca="1" si="80"/>
        <v>#N/A</v>
      </c>
      <c r="AM215" s="55"/>
    </row>
    <row r="216" spans="18:39">
      <c r="R216" s="83" t="e">
        <f ca="1"/>
        <v>#N/A</v>
      </c>
      <c r="S216" s="55" t="e">
        <f t="shared" ca="1" si="73"/>
        <v>#N/A</v>
      </c>
      <c r="T216" s="55" t="e">
        <f t="shared" ca="1" si="66"/>
        <v>#N/A</v>
      </c>
      <c r="U216" s="55" t="e">
        <f t="shared" ca="1" si="67"/>
        <v>#N/A</v>
      </c>
      <c r="V216" s="55" t="e">
        <f t="shared" ca="1" si="68"/>
        <v>#N/A</v>
      </c>
      <c r="W216" s="55" t="e">
        <f t="shared" ca="1" si="74"/>
        <v>#N/A</v>
      </c>
      <c r="X216" s="55" t="e">
        <f t="shared" ca="1" si="75"/>
        <v>#N/A</v>
      </c>
      <c r="Y216" s="55" t="e">
        <f t="shared" ca="1" si="76"/>
        <v>#N/A</v>
      </c>
      <c r="Z216" s="55" t="e">
        <f t="shared" ca="1" si="69"/>
        <v>#N/A</v>
      </c>
      <c r="AA216" t="e">
        <f t="shared" ca="1" si="70"/>
        <v>#N/A</v>
      </c>
      <c r="AB216" t="e">
        <f t="shared" ca="1" si="77"/>
        <v>#N/A</v>
      </c>
      <c r="AC216" t="e">
        <f t="shared" ca="1" si="71"/>
        <v>#N/A</v>
      </c>
      <c r="AD216" t="e">
        <f t="shared" ca="1" si="72"/>
        <v>#N/A</v>
      </c>
      <c r="AE216" s="83" t="e">
        <f ca="1"/>
        <v>#N/A</v>
      </c>
      <c r="AF216" s="55" t="e">
        <f t="shared" ca="1" si="81"/>
        <v>#N/A</v>
      </c>
      <c r="AG216" s="55" t="e">
        <f t="shared" ca="1" si="82"/>
        <v>#N/A</v>
      </c>
      <c r="AH216" s="55" t="e">
        <f t="shared" ca="1" si="83"/>
        <v>#N/A</v>
      </c>
      <c r="AI216" s="55" t="e">
        <f t="shared" ca="1" si="84"/>
        <v>#N/A</v>
      </c>
      <c r="AJ216" s="55" t="e">
        <f t="shared" ca="1" si="78"/>
        <v>#N/A</v>
      </c>
      <c r="AK216" s="55" t="e">
        <f t="shared" ca="1" si="79"/>
        <v>#N/A</v>
      </c>
      <c r="AL216" s="55" t="e">
        <f t="shared" ca="1" si="80"/>
        <v>#N/A</v>
      </c>
      <c r="AM216" s="55"/>
    </row>
    <row r="217" spans="18:39">
      <c r="R217" s="83" t="e">
        <f ca="1"/>
        <v>#N/A</v>
      </c>
      <c r="S217" s="55" t="e">
        <f t="shared" ca="1" si="73"/>
        <v>#N/A</v>
      </c>
      <c r="T217" s="55" t="e">
        <f t="shared" ca="1" si="66"/>
        <v>#N/A</v>
      </c>
      <c r="U217" s="55" t="e">
        <f t="shared" ca="1" si="67"/>
        <v>#N/A</v>
      </c>
      <c r="V217" s="55" t="e">
        <f t="shared" ca="1" si="68"/>
        <v>#N/A</v>
      </c>
      <c r="W217" s="55" t="e">
        <f t="shared" ca="1" si="74"/>
        <v>#N/A</v>
      </c>
      <c r="X217" s="55" t="e">
        <f t="shared" ca="1" si="75"/>
        <v>#N/A</v>
      </c>
      <c r="Y217" s="55" t="e">
        <f t="shared" ca="1" si="76"/>
        <v>#N/A</v>
      </c>
      <c r="Z217" s="55" t="e">
        <f t="shared" ca="1" si="69"/>
        <v>#N/A</v>
      </c>
      <c r="AA217" t="e">
        <f t="shared" ca="1" si="70"/>
        <v>#N/A</v>
      </c>
      <c r="AB217" t="e">
        <f t="shared" ca="1" si="77"/>
        <v>#N/A</v>
      </c>
      <c r="AC217" t="e">
        <f t="shared" ca="1" si="71"/>
        <v>#N/A</v>
      </c>
      <c r="AD217" t="e">
        <f t="shared" ca="1" si="72"/>
        <v>#N/A</v>
      </c>
      <c r="AE217" s="83" t="e">
        <f ca="1"/>
        <v>#N/A</v>
      </c>
      <c r="AF217" s="55" t="e">
        <f t="shared" ca="1" si="81"/>
        <v>#N/A</v>
      </c>
      <c r="AG217" s="55" t="e">
        <f t="shared" ca="1" si="82"/>
        <v>#N/A</v>
      </c>
      <c r="AH217" s="55" t="e">
        <f t="shared" ca="1" si="83"/>
        <v>#N/A</v>
      </c>
      <c r="AI217" s="55" t="e">
        <f t="shared" ca="1" si="84"/>
        <v>#N/A</v>
      </c>
      <c r="AJ217" s="55" t="e">
        <f t="shared" ca="1" si="78"/>
        <v>#N/A</v>
      </c>
      <c r="AK217" s="55" t="e">
        <f t="shared" ca="1" si="79"/>
        <v>#N/A</v>
      </c>
      <c r="AL217" s="55" t="e">
        <f t="shared" ca="1" si="80"/>
        <v>#N/A</v>
      </c>
      <c r="AM217" s="55"/>
    </row>
    <row r="218" spans="18:39">
      <c r="R218" s="83" t="e">
        <f ca="1"/>
        <v>#N/A</v>
      </c>
      <c r="S218" s="55" t="e">
        <f t="shared" ca="1" si="73"/>
        <v>#N/A</v>
      </c>
      <c r="T218" s="55" t="e">
        <f t="shared" ca="1" si="66"/>
        <v>#N/A</v>
      </c>
      <c r="U218" s="55" t="e">
        <f t="shared" ca="1" si="67"/>
        <v>#N/A</v>
      </c>
      <c r="V218" s="55" t="e">
        <f t="shared" ca="1" si="68"/>
        <v>#N/A</v>
      </c>
      <c r="W218" s="55" t="e">
        <f t="shared" ca="1" si="74"/>
        <v>#N/A</v>
      </c>
      <c r="X218" s="55" t="e">
        <f t="shared" ca="1" si="75"/>
        <v>#N/A</v>
      </c>
      <c r="Y218" s="55" t="e">
        <f t="shared" ca="1" si="76"/>
        <v>#N/A</v>
      </c>
      <c r="Z218" s="55" t="e">
        <f t="shared" ca="1" si="69"/>
        <v>#N/A</v>
      </c>
      <c r="AA218" t="e">
        <f t="shared" ca="1" si="70"/>
        <v>#N/A</v>
      </c>
      <c r="AB218" t="e">
        <f t="shared" ca="1" si="77"/>
        <v>#N/A</v>
      </c>
      <c r="AC218" t="e">
        <f t="shared" ca="1" si="71"/>
        <v>#N/A</v>
      </c>
      <c r="AD218" t="e">
        <f t="shared" ca="1" si="72"/>
        <v>#N/A</v>
      </c>
      <c r="AE218" s="83" t="e">
        <f ca="1"/>
        <v>#N/A</v>
      </c>
      <c r="AF218" s="55" t="e">
        <f t="shared" ca="1" si="81"/>
        <v>#N/A</v>
      </c>
      <c r="AG218" s="55" t="e">
        <f t="shared" ca="1" si="82"/>
        <v>#N/A</v>
      </c>
      <c r="AH218" s="55" t="e">
        <f t="shared" ca="1" si="83"/>
        <v>#N/A</v>
      </c>
      <c r="AI218" s="55" t="e">
        <f t="shared" ca="1" si="84"/>
        <v>#N/A</v>
      </c>
      <c r="AJ218" s="55" t="e">
        <f t="shared" ca="1" si="78"/>
        <v>#N/A</v>
      </c>
      <c r="AK218" s="55" t="e">
        <f t="shared" ca="1" si="79"/>
        <v>#N/A</v>
      </c>
      <c r="AL218" s="55" t="e">
        <f t="shared" ca="1" si="80"/>
        <v>#N/A</v>
      </c>
      <c r="AM218" s="55"/>
    </row>
    <row r="219" spans="18:39">
      <c r="R219" s="83" t="e">
        <f ca="1"/>
        <v>#N/A</v>
      </c>
      <c r="S219" s="55" t="e">
        <f t="shared" ca="1" si="73"/>
        <v>#N/A</v>
      </c>
      <c r="T219" s="55" t="e">
        <f t="shared" ca="1" si="66"/>
        <v>#N/A</v>
      </c>
      <c r="U219" s="55" t="e">
        <f t="shared" ca="1" si="67"/>
        <v>#N/A</v>
      </c>
      <c r="V219" s="55" t="e">
        <f t="shared" ca="1" si="68"/>
        <v>#N/A</v>
      </c>
      <c r="W219" s="55" t="e">
        <f t="shared" ca="1" si="74"/>
        <v>#N/A</v>
      </c>
      <c r="X219" s="55" t="e">
        <f t="shared" ca="1" si="75"/>
        <v>#N/A</v>
      </c>
      <c r="Y219" s="55" t="e">
        <f t="shared" ca="1" si="76"/>
        <v>#N/A</v>
      </c>
      <c r="Z219" s="55" t="e">
        <f t="shared" ca="1" si="69"/>
        <v>#N/A</v>
      </c>
      <c r="AA219" t="e">
        <f t="shared" ca="1" si="70"/>
        <v>#N/A</v>
      </c>
      <c r="AB219" t="e">
        <f t="shared" ca="1" si="77"/>
        <v>#N/A</v>
      </c>
      <c r="AC219" t="e">
        <f t="shared" ca="1" si="71"/>
        <v>#N/A</v>
      </c>
      <c r="AD219" t="e">
        <f t="shared" ca="1" si="72"/>
        <v>#N/A</v>
      </c>
      <c r="AE219" s="83" t="e">
        <f ca="1"/>
        <v>#N/A</v>
      </c>
      <c r="AF219" s="55" t="e">
        <f t="shared" ca="1" si="81"/>
        <v>#N/A</v>
      </c>
      <c r="AG219" s="55" t="e">
        <f t="shared" ca="1" si="82"/>
        <v>#N/A</v>
      </c>
      <c r="AH219" s="55" t="e">
        <f t="shared" ca="1" si="83"/>
        <v>#N/A</v>
      </c>
      <c r="AI219" s="55" t="e">
        <f t="shared" ca="1" si="84"/>
        <v>#N/A</v>
      </c>
      <c r="AJ219" s="55" t="e">
        <f t="shared" ca="1" si="78"/>
        <v>#N/A</v>
      </c>
      <c r="AK219" s="55" t="e">
        <f t="shared" ca="1" si="79"/>
        <v>#N/A</v>
      </c>
      <c r="AL219" s="55" t="e">
        <f t="shared" ca="1" si="80"/>
        <v>#N/A</v>
      </c>
      <c r="AM219" s="55"/>
    </row>
    <row r="220" spans="18:39">
      <c r="R220" s="83" t="e">
        <f ca="1"/>
        <v>#N/A</v>
      </c>
      <c r="S220" s="55" t="e">
        <f t="shared" ca="1" si="73"/>
        <v>#N/A</v>
      </c>
      <c r="T220" s="55" t="e">
        <f t="shared" ca="1" si="66"/>
        <v>#N/A</v>
      </c>
      <c r="U220" s="55" t="e">
        <f t="shared" ca="1" si="67"/>
        <v>#N/A</v>
      </c>
      <c r="V220" s="55" t="e">
        <f t="shared" ca="1" si="68"/>
        <v>#N/A</v>
      </c>
      <c r="W220" s="55" t="e">
        <f t="shared" ca="1" si="74"/>
        <v>#N/A</v>
      </c>
      <c r="X220" s="55" t="e">
        <f t="shared" ca="1" si="75"/>
        <v>#N/A</v>
      </c>
      <c r="Y220" s="55" t="e">
        <f t="shared" ca="1" si="76"/>
        <v>#N/A</v>
      </c>
      <c r="Z220" s="55" t="e">
        <f t="shared" ca="1" si="69"/>
        <v>#N/A</v>
      </c>
      <c r="AA220" t="e">
        <f t="shared" ca="1" si="70"/>
        <v>#N/A</v>
      </c>
      <c r="AB220" t="e">
        <f t="shared" ca="1" si="77"/>
        <v>#N/A</v>
      </c>
      <c r="AC220" t="e">
        <f t="shared" ca="1" si="71"/>
        <v>#N/A</v>
      </c>
      <c r="AD220" t="e">
        <f t="shared" ca="1" si="72"/>
        <v>#N/A</v>
      </c>
      <c r="AE220" s="83" t="e">
        <f ca="1"/>
        <v>#N/A</v>
      </c>
      <c r="AF220" s="55" t="e">
        <f t="shared" ca="1" si="81"/>
        <v>#N/A</v>
      </c>
      <c r="AG220" s="55" t="e">
        <f t="shared" ca="1" si="82"/>
        <v>#N/A</v>
      </c>
      <c r="AH220" s="55" t="e">
        <f t="shared" ca="1" si="83"/>
        <v>#N/A</v>
      </c>
      <c r="AI220" s="55" t="e">
        <f t="shared" ca="1" si="84"/>
        <v>#N/A</v>
      </c>
      <c r="AJ220" s="55" t="e">
        <f t="shared" ca="1" si="78"/>
        <v>#N/A</v>
      </c>
      <c r="AK220" s="55" t="e">
        <f t="shared" ca="1" si="79"/>
        <v>#N/A</v>
      </c>
      <c r="AL220" s="55" t="e">
        <f t="shared" ca="1" si="80"/>
        <v>#N/A</v>
      </c>
      <c r="AM220" s="55"/>
    </row>
    <row r="221" spans="18:39">
      <c r="R221" s="83" t="e">
        <f ca="1"/>
        <v>#N/A</v>
      </c>
      <c r="S221" s="55" t="e">
        <f t="shared" ca="1" si="73"/>
        <v>#N/A</v>
      </c>
      <c r="T221" s="55" t="e">
        <f t="shared" ca="1" si="66"/>
        <v>#N/A</v>
      </c>
      <c r="U221" s="55" t="e">
        <f t="shared" ca="1" si="67"/>
        <v>#N/A</v>
      </c>
      <c r="V221" s="55" t="e">
        <f t="shared" ca="1" si="68"/>
        <v>#N/A</v>
      </c>
      <c r="W221" s="55" t="e">
        <f t="shared" ca="1" si="74"/>
        <v>#N/A</v>
      </c>
      <c r="X221" s="55" t="e">
        <f t="shared" ca="1" si="75"/>
        <v>#N/A</v>
      </c>
      <c r="Y221" s="55" t="e">
        <f t="shared" ca="1" si="76"/>
        <v>#N/A</v>
      </c>
      <c r="Z221" s="55" t="e">
        <f t="shared" ca="1" si="69"/>
        <v>#N/A</v>
      </c>
      <c r="AA221" t="e">
        <f t="shared" ca="1" si="70"/>
        <v>#N/A</v>
      </c>
      <c r="AB221" t="e">
        <f t="shared" ca="1" si="77"/>
        <v>#N/A</v>
      </c>
      <c r="AC221" t="e">
        <f t="shared" ca="1" si="71"/>
        <v>#N/A</v>
      </c>
      <c r="AD221" t="e">
        <f t="shared" ca="1" si="72"/>
        <v>#N/A</v>
      </c>
      <c r="AE221" s="83" t="e">
        <f ca="1"/>
        <v>#N/A</v>
      </c>
      <c r="AF221" s="55" t="e">
        <f t="shared" ca="1" si="81"/>
        <v>#N/A</v>
      </c>
      <c r="AG221" s="55" t="e">
        <f t="shared" ca="1" si="82"/>
        <v>#N/A</v>
      </c>
      <c r="AH221" s="55" t="e">
        <f t="shared" ca="1" si="83"/>
        <v>#N/A</v>
      </c>
      <c r="AI221" s="55" t="e">
        <f t="shared" ca="1" si="84"/>
        <v>#N/A</v>
      </c>
      <c r="AJ221" s="55" t="e">
        <f t="shared" ca="1" si="78"/>
        <v>#N/A</v>
      </c>
      <c r="AK221" s="55" t="e">
        <f t="shared" ca="1" si="79"/>
        <v>#N/A</v>
      </c>
      <c r="AL221" s="55" t="e">
        <f t="shared" ca="1" si="80"/>
        <v>#N/A</v>
      </c>
      <c r="AM221" s="55"/>
    </row>
    <row r="222" spans="18:39">
      <c r="R222" s="83" t="e">
        <f ca="1"/>
        <v>#N/A</v>
      </c>
      <c r="S222" s="55" t="e">
        <f t="shared" ca="1" si="73"/>
        <v>#N/A</v>
      </c>
      <c r="T222" s="55" t="e">
        <f t="shared" ca="1" si="66"/>
        <v>#N/A</v>
      </c>
      <c r="U222" s="55" t="e">
        <f t="shared" ca="1" si="67"/>
        <v>#N/A</v>
      </c>
      <c r="V222" s="55" t="e">
        <f t="shared" ca="1" si="68"/>
        <v>#N/A</v>
      </c>
      <c r="W222" s="55" t="e">
        <f t="shared" ca="1" si="74"/>
        <v>#N/A</v>
      </c>
      <c r="X222" s="55" t="e">
        <f t="shared" ca="1" si="75"/>
        <v>#N/A</v>
      </c>
      <c r="Y222" s="55" t="e">
        <f t="shared" ca="1" si="76"/>
        <v>#N/A</v>
      </c>
      <c r="Z222" s="55" t="e">
        <f t="shared" ca="1" si="69"/>
        <v>#N/A</v>
      </c>
      <c r="AA222" t="e">
        <f t="shared" ca="1" si="70"/>
        <v>#N/A</v>
      </c>
      <c r="AB222" t="e">
        <f t="shared" ca="1" si="77"/>
        <v>#N/A</v>
      </c>
      <c r="AC222" t="e">
        <f t="shared" ca="1" si="71"/>
        <v>#N/A</v>
      </c>
      <c r="AD222" t="e">
        <f t="shared" ca="1" si="72"/>
        <v>#N/A</v>
      </c>
      <c r="AE222" s="83" t="e">
        <f ca="1"/>
        <v>#N/A</v>
      </c>
      <c r="AF222" s="55" t="e">
        <f t="shared" ca="1" si="81"/>
        <v>#N/A</v>
      </c>
      <c r="AG222" s="55" t="e">
        <f t="shared" ca="1" si="82"/>
        <v>#N/A</v>
      </c>
      <c r="AH222" s="55" t="e">
        <f t="shared" ca="1" si="83"/>
        <v>#N/A</v>
      </c>
      <c r="AI222" s="55" t="e">
        <f t="shared" ca="1" si="84"/>
        <v>#N/A</v>
      </c>
      <c r="AJ222" s="55" t="e">
        <f t="shared" ca="1" si="78"/>
        <v>#N/A</v>
      </c>
      <c r="AK222" s="55" t="e">
        <f t="shared" ca="1" si="79"/>
        <v>#N/A</v>
      </c>
      <c r="AL222" s="55" t="e">
        <f t="shared" ca="1" si="80"/>
        <v>#N/A</v>
      </c>
      <c r="AM222" s="55"/>
    </row>
    <row r="223" spans="18:39">
      <c r="R223" s="83" t="e">
        <f ca="1"/>
        <v>#N/A</v>
      </c>
      <c r="S223" s="55" t="e">
        <f t="shared" ca="1" si="73"/>
        <v>#N/A</v>
      </c>
      <c r="T223" s="55" t="e">
        <f t="shared" ca="1" si="66"/>
        <v>#N/A</v>
      </c>
      <c r="U223" s="55" t="e">
        <f t="shared" ca="1" si="67"/>
        <v>#N/A</v>
      </c>
      <c r="V223" s="55" t="e">
        <f t="shared" ca="1" si="68"/>
        <v>#N/A</v>
      </c>
      <c r="W223" s="55" t="e">
        <f t="shared" ca="1" si="74"/>
        <v>#N/A</v>
      </c>
      <c r="X223" s="55" t="e">
        <f t="shared" ca="1" si="75"/>
        <v>#N/A</v>
      </c>
      <c r="Y223" s="55" t="e">
        <f t="shared" ca="1" si="76"/>
        <v>#N/A</v>
      </c>
      <c r="Z223" s="55" t="e">
        <f t="shared" ca="1" si="69"/>
        <v>#N/A</v>
      </c>
      <c r="AA223" t="e">
        <f t="shared" ca="1" si="70"/>
        <v>#N/A</v>
      </c>
      <c r="AB223" t="e">
        <f t="shared" ca="1" si="77"/>
        <v>#N/A</v>
      </c>
      <c r="AC223" t="e">
        <f t="shared" ca="1" si="71"/>
        <v>#N/A</v>
      </c>
      <c r="AD223" t="e">
        <f t="shared" ca="1" si="72"/>
        <v>#N/A</v>
      </c>
      <c r="AE223" s="83" t="e">
        <f ca="1"/>
        <v>#N/A</v>
      </c>
      <c r="AF223" s="55" t="e">
        <f t="shared" ca="1" si="81"/>
        <v>#N/A</v>
      </c>
      <c r="AG223" s="55" t="e">
        <f t="shared" ca="1" si="82"/>
        <v>#N/A</v>
      </c>
      <c r="AH223" s="55" t="e">
        <f t="shared" ca="1" si="83"/>
        <v>#N/A</v>
      </c>
      <c r="AI223" s="55" t="e">
        <f t="shared" ca="1" si="84"/>
        <v>#N/A</v>
      </c>
      <c r="AJ223" s="55" t="e">
        <f t="shared" ca="1" si="78"/>
        <v>#N/A</v>
      </c>
      <c r="AK223" s="55" t="e">
        <f t="shared" ca="1" si="79"/>
        <v>#N/A</v>
      </c>
      <c r="AL223" s="55" t="e">
        <f t="shared" ca="1" si="80"/>
        <v>#N/A</v>
      </c>
      <c r="AM223" s="55"/>
    </row>
    <row r="224" spans="18:39">
      <c r="R224" s="83" t="e">
        <f ca="1"/>
        <v>#N/A</v>
      </c>
      <c r="S224" s="55" t="e">
        <f t="shared" ca="1" si="73"/>
        <v>#N/A</v>
      </c>
      <c r="T224" s="55" t="e">
        <f t="shared" ca="1" si="66"/>
        <v>#N/A</v>
      </c>
      <c r="U224" s="55" t="e">
        <f t="shared" ca="1" si="67"/>
        <v>#N/A</v>
      </c>
      <c r="V224" s="55" t="e">
        <f t="shared" ca="1" si="68"/>
        <v>#N/A</v>
      </c>
      <c r="W224" s="55" t="e">
        <f t="shared" ca="1" si="74"/>
        <v>#N/A</v>
      </c>
      <c r="X224" s="55" t="e">
        <f t="shared" ca="1" si="75"/>
        <v>#N/A</v>
      </c>
      <c r="Y224" s="55" t="e">
        <f t="shared" ca="1" si="76"/>
        <v>#N/A</v>
      </c>
      <c r="Z224" s="55" t="e">
        <f t="shared" ca="1" si="69"/>
        <v>#N/A</v>
      </c>
      <c r="AA224" t="e">
        <f t="shared" ca="1" si="70"/>
        <v>#N/A</v>
      </c>
      <c r="AB224" t="e">
        <f t="shared" ca="1" si="77"/>
        <v>#N/A</v>
      </c>
      <c r="AC224" t="e">
        <f t="shared" ca="1" si="71"/>
        <v>#N/A</v>
      </c>
      <c r="AD224" t="e">
        <f t="shared" ca="1" si="72"/>
        <v>#N/A</v>
      </c>
      <c r="AE224" s="83" t="e">
        <f ca="1"/>
        <v>#N/A</v>
      </c>
      <c r="AF224" s="55" t="e">
        <f t="shared" ca="1" si="81"/>
        <v>#N/A</v>
      </c>
      <c r="AG224" s="55" t="e">
        <f t="shared" ca="1" si="82"/>
        <v>#N/A</v>
      </c>
      <c r="AH224" s="55" t="e">
        <f t="shared" ca="1" si="83"/>
        <v>#N/A</v>
      </c>
      <c r="AI224" s="55" t="e">
        <f t="shared" ca="1" si="84"/>
        <v>#N/A</v>
      </c>
      <c r="AJ224" s="55" t="e">
        <f t="shared" ca="1" si="78"/>
        <v>#N/A</v>
      </c>
      <c r="AK224" s="55" t="e">
        <f t="shared" ca="1" si="79"/>
        <v>#N/A</v>
      </c>
      <c r="AL224" s="55" t="e">
        <f t="shared" ca="1" si="80"/>
        <v>#N/A</v>
      </c>
      <c r="AM224" s="55"/>
    </row>
    <row r="225" spans="18:39">
      <c r="R225" s="83" t="e">
        <f ca="1"/>
        <v>#N/A</v>
      </c>
      <c r="S225" s="55" t="e">
        <f t="shared" ca="1" si="73"/>
        <v>#N/A</v>
      </c>
      <c r="T225" s="55" t="e">
        <f t="shared" ca="1" si="66"/>
        <v>#N/A</v>
      </c>
      <c r="U225" s="55" t="e">
        <f t="shared" ca="1" si="67"/>
        <v>#N/A</v>
      </c>
      <c r="V225" s="55" t="e">
        <f t="shared" ca="1" si="68"/>
        <v>#N/A</v>
      </c>
      <c r="W225" s="55" t="e">
        <f t="shared" ca="1" si="74"/>
        <v>#N/A</v>
      </c>
      <c r="X225" s="55" t="e">
        <f t="shared" ca="1" si="75"/>
        <v>#N/A</v>
      </c>
      <c r="Y225" s="55" t="e">
        <f t="shared" ca="1" si="76"/>
        <v>#N/A</v>
      </c>
      <c r="Z225" s="55" t="e">
        <f t="shared" ca="1" si="69"/>
        <v>#N/A</v>
      </c>
      <c r="AA225" t="e">
        <f t="shared" ca="1" si="70"/>
        <v>#N/A</v>
      </c>
      <c r="AB225" t="e">
        <f t="shared" ca="1" si="77"/>
        <v>#N/A</v>
      </c>
      <c r="AC225" t="e">
        <f t="shared" ca="1" si="71"/>
        <v>#N/A</v>
      </c>
      <c r="AD225" t="e">
        <f t="shared" ca="1" si="72"/>
        <v>#N/A</v>
      </c>
      <c r="AE225" s="83" t="e">
        <f ca="1"/>
        <v>#N/A</v>
      </c>
      <c r="AF225" s="55" t="e">
        <f t="shared" ca="1" si="81"/>
        <v>#N/A</v>
      </c>
      <c r="AG225" s="55" t="e">
        <f t="shared" ca="1" si="82"/>
        <v>#N/A</v>
      </c>
      <c r="AH225" s="55" t="e">
        <f t="shared" ca="1" si="83"/>
        <v>#N/A</v>
      </c>
      <c r="AI225" s="55" t="e">
        <f t="shared" ca="1" si="84"/>
        <v>#N/A</v>
      </c>
      <c r="AJ225" s="55" t="e">
        <f t="shared" ca="1" si="78"/>
        <v>#N/A</v>
      </c>
      <c r="AK225" s="55" t="e">
        <f t="shared" ca="1" si="79"/>
        <v>#N/A</v>
      </c>
      <c r="AL225" s="55" t="e">
        <f t="shared" ca="1" si="80"/>
        <v>#N/A</v>
      </c>
      <c r="AM225" s="55"/>
    </row>
    <row r="226" spans="18:39">
      <c r="R226" s="83" t="e">
        <f ca="1"/>
        <v>#N/A</v>
      </c>
      <c r="S226" s="55" t="e">
        <f t="shared" ca="1" si="73"/>
        <v>#N/A</v>
      </c>
      <c r="T226" s="55" t="e">
        <f t="shared" ca="1" si="66"/>
        <v>#N/A</v>
      </c>
      <c r="U226" s="55" t="e">
        <f t="shared" ca="1" si="67"/>
        <v>#N/A</v>
      </c>
      <c r="V226" s="55" t="e">
        <f t="shared" ca="1" si="68"/>
        <v>#N/A</v>
      </c>
      <c r="W226" s="55" t="e">
        <f t="shared" ca="1" si="74"/>
        <v>#N/A</v>
      </c>
      <c r="X226" s="55" t="e">
        <f t="shared" ca="1" si="75"/>
        <v>#N/A</v>
      </c>
      <c r="Y226" s="55" t="e">
        <f t="shared" ca="1" si="76"/>
        <v>#N/A</v>
      </c>
      <c r="Z226" s="55" t="e">
        <f t="shared" ca="1" si="69"/>
        <v>#N/A</v>
      </c>
      <c r="AA226" t="e">
        <f t="shared" ca="1" si="70"/>
        <v>#N/A</v>
      </c>
      <c r="AB226" t="e">
        <f t="shared" ca="1" si="77"/>
        <v>#N/A</v>
      </c>
      <c r="AC226" t="e">
        <f t="shared" ca="1" si="71"/>
        <v>#N/A</v>
      </c>
      <c r="AD226" t="e">
        <f t="shared" ca="1" si="72"/>
        <v>#N/A</v>
      </c>
      <c r="AE226" s="83" t="e">
        <f ca="1"/>
        <v>#N/A</v>
      </c>
      <c r="AF226" s="55" t="e">
        <f t="shared" ca="1" si="81"/>
        <v>#N/A</v>
      </c>
      <c r="AG226" s="55" t="e">
        <f t="shared" ca="1" si="82"/>
        <v>#N/A</v>
      </c>
      <c r="AH226" s="55" t="e">
        <f t="shared" ca="1" si="83"/>
        <v>#N/A</v>
      </c>
      <c r="AI226" s="55" t="e">
        <f t="shared" ca="1" si="84"/>
        <v>#N/A</v>
      </c>
      <c r="AJ226" s="55" t="e">
        <f t="shared" ca="1" si="78"/>
        <v>#N/A</v>
      </c>
      <c r="AK226" s="55" t="e">
        <f t="shared" ca="1" si="79"/>
        <v>#N/A</v>
      </c>
      <c r="AL226" s="55" t="e">
        <f t="shared" ca="1" si="80"/>
        <v>#N/A</v>
      </c>
      <c r="AM226" s="55"/>
    </row>
    <row r="227" spans="18:39">
      <c r="R227" s="83" t="e">
        <f ca="1"/>
        <v>#N/A</v>
      </c>
      <c r="S227" s="55" t="e">
        <f t="shared" ca="1" si="73"/>
        <v>#N/A</v>
      </c>
      <c r="T227" s="55" t="e">
        <f t="shared" ca="1" si="66"/>
        <v>#N/A</v>
      </c>
      <c r="U227" s="55" t="e">
        <f t="shared" ca="1" si="67"/>
        <v>#N/A</v>
      </c>
      <c r="V227" s="55" t="e">
        <f t="shared" ca="1" si="68"/>
        <v>#N/A</v>
      </c>
      <c r="W227" s="55" t="e">
        <f t="shared" ca="1" si="74"/>
        <v>#N/A</v>
      </c>
      <c r="X227" s="55" t="e">
        <f t="shared" ca="1" si="75"/>
        <v>#N/A</v>
      </c>
      <c r="Y227" s="55" t="e">
        <f t="shared" ca="1" si="76"/>
        <v>#N/A</v>
      </c>
      <c r="Z227" s="55" t="e">
        <f t="shared" ca="1" si="69"/>
        <v>#N/A</v>
      </c>
      <c r="AA227" t="e">
        <f t="shared" ca="1" si="70"/>
        <v>#N/A</v>
      </c>
      <c r="AB227" t="e">
        <f t="shared" ca="1" si="77"/>
        <v>#N/A</v>
      </c>
      <c r="AC227" t="e">
        <f t="shared" ca="1" si="71"/>
        <v>#N/A</v>
      </c>
      <c r="AD227" t="e">
        <f t="shared" ca="1" si="72"/>
        <v>#N/A</v>
      </c>
      <c r="AE227" s="83" t="e">
        <f ca="1"/>
        <v>#N/A</v>
      </c>
      <c r="AF227" s="55" t="e">
        <f t="shared" ca="1" si="81"/>
        <v>#N/A</v>
      </c>
      <c r="AG227" s="55" t="e">
        <f t="shared" ca="1" si="82"/>
        <v>#N/A</v>
      </c>
      <c r="AH227" s="55" t="e">
        <f t="shared" ca="1" si="83"/>
        <v>#N/A</v>
      </c>
      <c r="AI227" s="55" t="e">
        <f t="shared" ca="1" si="84"/>
        <v>#N/A</v>
      </c>
      <c r="AJ227" s="55" t="e">
        <f t="shared" ca="1" si="78"/>
        <v>#N/A</v>
      </c>
      <c r="AK227" s="55" t="e">
        <f t="shared" ca="1" si="79"/>
        <v>#N/A</v>
      </c>
      <c r="AL227" s="55" t="e">
        <f t="shared" ca="1" si="80"/>
        <v>#N/A</v>
      </c>
      <c r="AM227" s="55"/>
    </row>
    <row r="228" spans="18:39">
      <c r="R228" s="83" t="e">
        <f ca="1"/>
        <v>#N/A</v>
      </c>
      <c r="S228" s="55" t="e">
        <f t="shared" ca="1" si="73"/>
        <v>#N/A</v>
      </c>
      <c r="T228" s="55" t="e">
        <f t="shared" ca="1" si="66"/>
        <v>#N/A</v>
      </c>
      <c r="U228" s="55" t="e">
        <f t="shared" ca="1" si="67"/>
        <v>#N/A</v>
      </c>
      <c r="V228" s="55" t="e">
        <f t="shared" ca="1" si="68"/>
        <v>#N/A</v>
      </c>
      <c r="W228" s="55" t="e">
        <f t="shared" ca="1" si="74"/>
        <v>#N/A</v>
      </c>
      <c r="X228" s="55" t="e">
        <f t="shared" ca="1" si="75"/>
        <v>#N/A</v>
      </c>
      <c r="Y228" s="55" t="e">
        <f t="shared" ca="1" si="76"/>
        <v>#N/A</v>
      </c>
      <c r="Z228" s="55" t="e">
        <f t="shared" ca="1" si="69"/>
        <v>#N/A</v>
      </c>
      <c r="AA228" t="e">
        <f t="shared" ca="1" si="70"/>
        <v>#N/A</v>
      </c>
      <c r="AB228" t="e">
        <f t="shared" ca="1" si="77"/>
        <v>#N/A</v>
      </c>
      <c r="AC228" t="e">
        <f t="shared" ca="1" si="71"/>
        <v>#N/A</v>
      </c>
      <c r="AD228" t="e">
        <f t="shared" ca="1" si="72"/>
        <v>#N/A</v>
      </c>
      <c r="AE228" s="83" t="e">
        <f ca="1"/>
        <v>#N/A</v>
      </c>
      <c r="AF228" s="55" t="e">
        <f t="shared" ca="1" si="81"/>
        <v>#N/A</v>
      </c>
      <c r="AG228" s="55" t="e">
        <f t="shared" ca="1" si="82"/>
        <v>#N/A</v>
      </c>
      <c r="AH228" s="55" t="e">
        <f t="shared" ca="1" si="83"/>
        <v>#N/A</v>
      </c>
      <c r="AI228" s="55" t="e">
        <f t="shared" ca="1" si="84"/>
        <v>#N/A</v>
      </c>
      <c r="AJ228" s="55" t="e">
        <f t="shared" ca="1" si="78"/>
        <v>#N/A</v>
      </c>
      <c r="AK228" s="55" t="e">
        <f t="shared" ca="1" si="79"/>
        <v>#N/A</v>
      </c>
      <c r="AL228" s="55" t="e">
        <f t="shared" ca="1" si="80"/>
        <v>#N/A</v>
      </c>
      <c r="AM228" s="55"/>
    </row>
    <row r="229" spans="18:39">
      <c r="R229" s="83" t="e">
        <f ca="1"/>
        <v>#N/A</v>
      </c>
      <c r="S229" s="55" t="e">
        <f t="shared" ca="1" si="73"/>
        <v>#N/A</v>
      </c>
      <c r="T229" s="55" t="e">
        <f t="shared" ca="1" si="66"/>
        <v>#N/A</v>
      </c>
      <c r="U229" s="55" t="e">
        <f t="shared" ca="1" si="67"/>
        <v>#N/A</v>
      </c>
      <c r="V229" s="55" t="e">
        <f t="shared" ca="1" si="68"/>
        <v>#N/A</v>
      </c>
      <c r="W229" s="55" t="e">
        <f t="shared" ca="1" si="74"/>
        <v>#N/A</v>
      </c>
      <c r="X229" s="55" t="e">
        <f t="shared" ca="1" si="75"/>
        <v>#N/A</v>
      </c>
      <c r="Y229" s="55" t="e">
        <f t="shared" ca="1" si="76"/>
        <v>#N/A</v>
      </c>
      <c r="Z229" s="55" t="e">
        <f t="shared" ca="1" si="69"/>
        <v>#N/A</v>
      </c>
      <c r="AA229" t="e">
        <f t="shared" ca="1" si="70"/>
        <v>#N/A</v>
      </c>
      <c r="AB229" t="e">
        <f t="shared" ca="1" si="77"/>
        <v>#N/A</v>
      </c>
      <c r="AC229" t="e">
        <f t="shared" ca="1" si="71"/>
        <v>#N/A</v>
      </c>
      <c r="AD229" t="e">
        <f t="shared" ca="1" si="72"/>
        <v>#N/A</v>
      </c>
      <c r="AE229" s="83" t="e">
        <f ca="1"/>
        <v>#N/A</v>
      </c>
      <c r="AF229" s="55" t="e">
        <f t="shared" ca="1" si="81"/>
        <v>#N/A</v>
      </c>
      <c r="AG229" s="55" t="e">
        <f t="shared" ca="1" si="82"/>
        <v>#N/A</v>
      </c>
      <c r="AH229" s="55" t="e">
        <f t="shared" ca="1" si="83"/>
        <v>#N/A</v>
      </c>
      <c r="AI229" s="55" t="e">
        <f t="shared" ca="1" si="84"/>
        <v>#N/A</v>
      </c>
      <c r="AJ229" s="55" t="e">
        <f t="shared" ca="1" si="78"/>
        <v>#N/A</v>
      </c>
      <c r="AK229" s="55" t="e">
        <f t="shared" ca="1" si="79"/>
        <v>#N/A</v>
      </c>
      <c r="AL229" s="55" t="e">
        <f t="shared" ca="1" si="80"/>
        <v>#N/A</v>
      </c>
      <c r="AM229" s="55"/>
    </row>
    <row r="230" spans="18:39">
      <c r="R230" s="83" t="e">
        <f ca="1"/>
        <v>#N/A</v>
      </c>
      <c r="S230" s="55" t="e">
        <f t="shared" ca="1" si="73"/>
        <v>#N/A</v>
      </c>
      <c r="T230" s="55" t="e">
        <f t="shared" ca="1" si="66"/>
        <v>#N/A</v>
      </c>
      <c r="U230" s="55" t="e">
        <f t="shared" ca="1" si="67"/>
        <v>#N/A</v>
      </c>
      <c r="V230" s="55" t="e">
        <f t="shared" ca="1" si="68"/>
        <v>#N/A</v>
      </c>
      <c r="W230" s="55" t="e">
        <f t="shared" ca="1" si="74"/>
        <v>#N/A</v>
      </c>
      <c r="X230" s="55" t="e">
        <f t="shared" ca="1" si="75"/>
        <v>#N/A</v>
      </c>
      <c r="Y230" s="55" t="e">
        <f t="shared" ca="1" si="76"/>
        <v>#N/A</v>
      </c>
      <c r="Z230" s="55" t="e">
        <f t="shared" ca="1" si="69"/>
        <v>#N/A</v>
      </c>
      <c r="AA230" t="e">
        <f t="shared" ca="1" si="70"/>
        <v>#N/A</v>
      </c>
      <c r="AB230" t="e">
        <f t="shared" ca="1" si="77"/>
        <v>#N/A</v>
      </c>
      <c r="AC230" t="e">
        <f t="shared" ca="1" si="71"/>
        <v>#N/A</v>
      </c>
      <c r="AD230" t="e">
        <f t="shared" ca="1" si="72"/>
        <v>#N/A</v>
      </c>
      <c r="AE230" s="83" t="e">
        <f ca="1"/>
        <v>#N/A</v>
      </c>
      <c r="AF230" s="55" t="e">
        <f t="shared" ca="1" si="81"/>
        <v>#N/A</v>
      </c>
      <c r="AG230" s="55" t="e">
        <f t="shared" ca="1" si="82"/>
        <v>#N/A</v>
      </c>
      <c r="AH230" s="55" t="e">
        <f t="shared" ca="1" si="83"/>
        <v>#N/A</v>
      </c>
      <c r="AI230" s="55" t="e">
        <f t="shared" ca="1" si="84"/>
        <v>#N/A</v>
      </c>
      <c r="AJ230" s="55" t="e">
        <f t="shared" ca="1" si="78"/>
        <v>#N/A</v>
      </c>
      <c r="AK230" s="55" t="e">
        <f t="shared" ca="1" si="79"/>
        <v>#N/A</v>
      </c>
      <c r="AL230" s="55" t="e">
        <f t="shared" ca="1" si="80"/>
        <v>#N/A</v>
      </c>
      <c r="AM230" s="55"/>
    </row>
    <row r="231" spans="18:39">
      <c r="R231" s="83" t="e">
        <f ca="1"/>
        <v>#N/A</v>
      </c>
      <c r="S231" s="55" t="e">
        <f t="shared" ca="1" si="73"/>
        <v>#N/A</v>
      </c>
      <c r="T231" s="55" t="e">
        <f t="shared" ca="1" si="66"/>
        <v>#N/A</v>
      </c>
      <c r="U231" s="55" t="e">
        <f t="shared" ca="1" si="67"/>
        <v>#N/A</v>
      </c>
      <c r="V231" s="55" t="e">
        <f t="shared" ca="1" si="68"/>
        <v>#N/A</v>
      </c>
      <c r="W231" s="55" t="e">
        <f t="shared" ca="1" si="74"/>
        <v>#N/A</v>
      </c>
      <c r="X231" s="55" t="e">
        <f t="shared" ca="1" si="75"/>
        <v>#N/A</v>
      </c>
      <c r="Y231" s="55" t="e">
        <f t="shared" ca="1" si="76"/>
        <v>#N/A</v>
      </c>
      <c r="Z231" s="55" t="e">
        <f t="shared" ca="1" si="69"/>
        <v>#N/A</v>
      </c>
      <c r="AA231" t="e">
        <f t="shared" ca="1" si="70"/>
        <v>#N/A</v>
      </c>
      <c r="AB231" t="e">
        <f t="shared" ca="1" si="77"/>
        <v>#N/A</v>
      </c>
      <c r="AC231" t="e">
        <f t="shared" ca="1" si="71"/>
        <v>#N/A</v>
      </c>
      <c r="AD231" t="e">
        <f t="shared" ca="1" si="72"/>
        <v>#N/A</v>
      </c>
      <c r="AE231" s="83" t="e">
        <f ca="1"/>
        <v>#N/A</v>
      </c>
      <c r="AF231" s="55" t="e">
        <f t="shared" ca="1" si="81"/>
        <v>#N/A</v>
      </c>
      <c r="AG231" s="55" t="e">
        <f t="shared" ca="1" si="82"/>
        <v>#N/A</v>
      </c>
      <c r="AH231" s="55" t="e">
        <f t="shared" ca="1" si="83"/>
        <v>#N/A</v>
      </c>
      <c r="AI231" s="55" t="e">
        <f t="shared" ca="1" si="84"/>
        <v>#N/A</v>
      </c>
      <c r="AJ231" s="55" t="e">
        <f t="shared" ca="1" si="78"/>
        <v>#N/A</v>
      </c>
      <c r="AK231" s="55" t="e">
        <f t="shared" ca="1" si="79"/>
        <v>#N/A</v>
      </c>
      <c r="AL231" s="55" t="e">
        <f t="shared" ca="1" si="80"/>
        <v>#N/A</v>
      </c>
      <c r="AM231" s="55"/>
    </row>
    <row r="232" spans="18:39">
      <c r="R232" s="83" t="e">
        <f ca="1"/>
        <v>#N/A</v>
      </c>
      <c r="S232" s="55" t="e">
        <f t="shared" ca="1" si="73"/>
        <v>#N/A</v>
      </c>
      <c r="T232" s="55" t="e">
        <f t="shared" ca="1" si="66"/>
        <v>#N/A</v>
      </c>
      <c r="U232" s="55" t="e">
        <f t="shared" ca="1" si="67"/>
        <v>#N/A</v>
      </c>
      <c r="V232" s="55" t="e">
        <f t="shared" ca="1" si="68"/>
        <v>#N/A</v>
      </c>
      <c r="W232" s="55" t="e">
        <f t="shared" ca="1" si="74"/>
        <v>#N/A</v>
      </c>
      <c r="X232" s="55" t="e">
        <f t="shared" ca="1" si="75"/>
        <v>#N/A</v>
      </c>
      <c r="Y232" s="55" t="e">
        <f t="shared" ca="1" si="76"/>
        <v>#N/A</v>
      </c>
      <c r="Z232" s="55" t="e">
        <f t="shared" ca="1" si="69"/>
        <v>#N/A</v>
      </c>
      <c r="AA232" t="e">
        <f t="shared" ca="1" si="70"/>
        <v>#N/A</v>
      </c>
      <c r="AB232" t="e">
        <f t="shared" ca="1" si="77"/>
        <v>#N/A</v>
      </c>
      <c r="AC232" t="e">
        <f t="shared" ca="1" si="71"/>
        <v>#N/A</v>
      </c>
      <c r="AD232" t="e">
        <f t="shared" ca="1" si="72"/>
        <v>#N/A</v>
      </c>
      <c r="AE232" s="83" t="e">
        <f ca="1"/>
        <v>#N/A</v>
      </c>
      <c r="AF232" s="55" t="e">
        <f t="shared" ca="1" si="81"/>
        <v>#N/A</v>
      </c>
      <c r="AG232" s="55" t="e">
        <f t="shared" ca="1" si="82"/>
        <v>#N/A</v>
      </c>
      <c r="AH232" s="55" t="e">
        <f t="shared" ca="1" si="83"/>
        <v>#N/A</v>
      </c>
      <c r="AI232" s="55" t="e">
        <f t="shared" ca="1" si="84"/>
        <v>#N/A</v>
      </c>
      <c r="AJ232" s="55" t="e">
        <f t="shared" ca="1" si="78"/>
        <v>#N/A</v>
      </c>
      <c r="AK232" s="55" t="e">
        <f t="shared" ca="1" si="79"/>
        <v>#N/A</v>
      </c>
      <c r="AL232" s="55" t="e">
        <f t="shared" ca="1" si="80"/>
        <v>#N/A</v>
      </c>
      <c r="AM232" s="55"/>
    </row>
    <row r="233" spans="18:39">
      <c r="R233" s="83" t="e">
        <f ca="1"/>
        <v>#N/A</v>
      </c>
      <c r="S233" s="55" t="e">
        <f t="shared" ca="1" si="73"/>
        <v>#N/A</v>
      </c>
      <c r="T233" s="55" t="e">
        <f t="shared" ca="1" si="66"/>
        <v>#N/A</v>
      </c>
      <c r="U233" s="55" t="e">
        <f t="shared" ca="1" si="67"/>
        <v>#N/A</v>
      </c>
      <c r="V233" s="55" t="e">
        <f t="shared" ca="1" si="68"/>
        <v>#N/A</v>
      </c>
      <c r="W233" s="55" t="e">
        <f t="shared" ca="1" si="74"/>
        <v>#N/A</v>
      </c>
      <c r="X233" s="55" t="e">
        <f t="shared" ca="1" si="75"/>
        <v>#N/A</v>
      </c>
      <c r="Y233" s="55" t="e">
        <f t="shared" ca="1" si="76"/>
        <v>#N/A</v>
      </c>
      <c r="Z233" s="55" t="e">
        <f t="shared" ca="1" si="69"/>
        <v>#N/A</v>
      </c>
      <c r="AA233" t="e">
        <f t="shared" ca="1" si="70"/>
        <v>#N/A</v>
      </c>
      <c r="AB233" t="e">
        <f t="shared" ca="1" si="77"/>
        <v>#N/A</v>
      </c>
      <c r="AC233" t="e">
        <f t="shared" ca="1" si="71"/>
        <v>#N/A</v>
      </c>
      <c r="AD233" t="e">
        <f t="shared" ca="1" si="72"/>
        <v>#N/A</v>
      </c>
      <c r="AE233" s="83" t="e">
        <f ca="1"/>
        <v>#N/A</v>
      </c>
      <c r="AF233" s="55" t="e">
        <f t="shared" ca="1" si="81"/>
        <v>#N/A</v>
      </c>
      <c r="AG233" s="55" t="e">
        <f t="shared" ca="1" si="82"/>
        <v>#N/A</v>
      </c>
      <c r="AH233" s="55" t="e">
        <f t="shared" ca="1" si="83"/>
        <v>#N/A</v>
      </c>
      <c r="AI233" s="55" t="e">
        <f t="shared" ca="1" si="84"/>
        <v>#N/A</v>
      </c>
      <c r="AJ233" s="55" t="e">
        <f t="shared" ca="1" si="78"/>
        <v>#N/A</v>
      </c>
      <c r="AK233" s="55" t="e">
        <f t="shared" ca="1" si="79"/>
        <v>#N/A</v>
      </c>
      <c r="AL233" s="55" t="e">
        <f t="shared" ca="1" si="80"/>
        <v>#N/A</v>
      </c>
      <c r="AM233" s="55"/>
    </row>
    <row r="234" spans="18:39">
      <c r="R234" s="83" t="e">
        <f ca="1"/>
        <v>#N/A</v>
      </c>
      <c r="S234" s="55" t="e">
        <f t="shared" ca="1" si="73"/>
        <v>#N/A</v>
      </c>
      <c r="T234" s="55" t="e">
        <f t="shared" ca="1" si="66"/>
        <v>#N/A</v>
      </c>
      <c r="U234" s="55" t="e">
        <f t="shared" ca="1" si="67"/>
        <v>#N/A</v>
      </c>
      <c r="V234" s="55" t="e">
        <f t="shared" ca="1" si="68"/>
        <v>#N/A</v>
      </c>
      <c r="W234" s="55" t="e">
        <f t="shared" ca="1" si="74"/>
        <v>#N/A</v>
      </c>
      <c r="X234" s="55" t="e">
        <f t="shared" ca="1" si="75"/>
        <v>#N/A</v>
      </c>
      <c r="Y234" s="55" t="e">
        <f t="shared" ca="1" si="76"/>
        <v>#N/A</v>
      </c>
      <c r="Z234" s="55" t="e">
        <f t="shared" ca="1" si="69"/>
        <v>#N/A</v>
      </c>
      <c r="AA234" t="e">
        <f t="shared" ca="1" si="70"/>
        <v>#N/A</v>
      </c>
      <c r="AB234" t="e">
        <f t="shared" ca="1" si="77"/>
        <v>#N/A</v>
      </c>
      <c r="AC234" t="e">
        <f t="shared" ca="1" si="71"/>
        <v>#N/A</v>
      </c>
      <c r="AD234" t="e">
        <f t="shared" ca="1" si="72"/>
        <v>#N/A</v>
      </c>
      <c r="AE234" s="83" t="e">
        <f ca="1"/>
        <v>#N/A</v>
      </c>
      <c r="AF234" s="55" t="e">
        <f t="shared" ca="1" si="81"/>
        <v>#N/A</v>
      </c>
      <c r="AG234" s="55" t="e">
        <f t="shared" ca="1" si="82"/>
        <v>#N/A</v>
      </c>
      <c r="AH234" s="55" t="e">
        <f t="shared" ca="1" si="83"/>
        <v>#N/A</v>
      </c>
      <c r="AI234" s="55" t="e">
        <f t="shared" ca="1" si="84"/>
        <v>#N/A</v>
      </c>
      <c r="AJ234" s="55" t="e">
        <f t="shared" ca="1" si="78"/>
        <v>#N/A</v>
      </c>
      <c r="AK234" s="55" t="e">
        <f t="shared" ca="1" si="79"/>
        <v>#N/A</v>
      </c>
      <c r="AL234" s="55" t="e">
        <f t="shared" ca="1" si="80"/>
        <v>#N/A</v>
      </c>
      <c r="AM234" s="55"/>
    </row>
    <row r="235" spans="18:39">
      <c r="R235" s="83" t="e">
        <f ca="1"/>
        <v>#N/A</v>
      </c>
      <c r="S235" s="55" t="e">
        <f t="shared" ca="1" si="73"/>
        <v>#N/A</v>
      </c>
      <c r="T235" s="55" t="e">
        <f t="shared" ca="1" si="66"/>
        <v>#N/A</v>
      </c>
      <c r="U235" s="55" t="e">
        <f t="shared" ca="1" si="67"/>
        <v>#N/A</v>
      </c>
      <c r="V235" s="55" t="e">
        <f t="shared" ca="1" si="68"/>
        <v>#N/A</v>
      </c>
      <c r="W235" s="55" t="e">
        <f t="shared" ca="1" si="74"/>
        <v>#N/A</v>
      </c>
      <c r="X235" s="55" t="e">
        <f t="shared" ca="1" si="75"/>
        <v>#N/A</v>
      </c>
      <c r="Y235" s="55" t="e">
        <f t="shared" ca="1" si="76"/>
        <v>#N/A</v>
      </c>
      <c r="Z235" s="55" t="e">
        <f t="shared" ca="1" si="69"/>
        <v>#N/A</v>
      </c>
      <c r="AA235" t="e">
        <f t="shared" ca="1" si="70"/>
        <v>#N/A</v>
      </c>
      <c r="AB235" t="e">
        <f t="shared" ca="1" si="77"/>
        <v>#N/A</v>
      </c>
      <c r="AC235" t="e">
        <f t="shared" ca="1" si="71"/>
        <v>#N/A</v>
      </c>
      <c r="AD235" t="e">
        <f t="shared" ca="1" si="72"/>
        <v>#N/A</v>
      </c>
      <c r="AE235" s="83" t="e">
        <f ca="1"/>
        <v>#N/A</v>
      </c>
      <c r="AF235" s="55" t="e">
        <f t="shared" ca="1" si="81"/>
        <v>#N/A</v>
      </c>
      <c r="AG235" s="55" t="e">
        <f t="shared" ca="1" si="82"/>
        <v>#N/A</v>
      </c>
      <c r="AH235" s="55" t="e">
        <f t="shared" ca="1" si="83"/>
        <v>#N/A</v>
      </c>
      <c r="AI235" s="55" t="e">
        <f t="shared" ca="1" si="84"/>
        <v>#N/A</v>
      </c>
      <c r="AJ235" s="55" t="e">
        <f t="shared" ca="1" si="78"/>
        <v>#N/A</v>
      </c>
      <c r="AK235" s="55" t="e">
        <f t="shared" ca="1" si="79"/>
        <v>#N/A</v>
      </c>
      <c r="AL235" s="55" t="e">
        <f t="shared" ca="1" si="80"/>
        <v>#N/A</v>
      </c>
      <c r="AM235" s="55"/>
    </row>
    <row r="236" spans="18:39">
      <c r="R236" s="83" t="e">
        <f ca="1"/>
        <v>#N/A</v>
      </c>
      <c r="S236" s="55" t="e">
        <f t="shared" ca="1" si="73"/>
        <v>#N/A</v>
      </c>
      <c r="T236" s="55" t="e">
        <f t="shared" ca="1" si="66"/>
        <v>#N/A</v>
      </c>
      <c r="U236" s="55" t="e">
        <f t="shared" ca="1" si="67"/>
        <v>#N/A</v>
      </c>
      <c r="V236" s="55" t="e">
        <f t="shared" ca="1" si="68"/>
        <v>#N/A</v>
      </c>
      <c r="W236" s="55" t="e">
        <f t="shared" ca="1" si="74"/>
        <v>#N/A</v>
      </c>
      <c r="X236" s="55" t="e">
        <f t="shared" ca="1" si="75"/>
        <v>#N/A</v>
      </c>
      <c r="Y236" s="55" t="e">
        <f t="shared" ca="1" si="76"/>
        <v>#N/A</v>
      </c>
      <c r="Z236" s="55" t="e">
        <f t="shared" ca="1" si="69"/>
        <v>#N/A</v>
      </c>
      <c r="AA236" t="e">
        <f t="shared" ca="1" si="70"/>
        <v>#N/A</v>
      </c>
      <c r="AB236" t="e">
        <f t="shared" ca="1" si="77"/>
        <v>#N/A</v>
      </c>
      <c r="AC236" t="e">
        <f t="shared" ca="1" si="71"/>
        <v>#N/A</v>
      </c>
      <c r="AD236" t="e">
        <f t="shared" ca="1" si="72"/>
        <v>#N/A</v>
      </c>
      <c r="AE236" s="83" t="e">
        <f ca="1"/>
        <v>#N/A</v>
      </c>
      <c r="AF236" s="55" t="e">
        <f t="shared" ca="1" si="81"/>
        <v>#N/A</v>
      </c>
      <c r="AG236" s="55" t="e">
        <f t="shared" ca="1" si="82"/>
        <v>#N/A</v>
      </c>
      <c r="AH236" s="55" t="e">
        <f t="shared" ca="1" si="83"/>
        <v>#N/A</v>
      </c>
      <c r="AI236" s="55" t="e">
        <f t="shared" ca="1" si="84"/>
        <v>#N/A</v>
      </c>
      <c r="AJ236" s="55" t="e">
        <f t="shared" ca="1" si="78"/>
        <v>#N/A</v>
      </c>
      <c r="AK236" s="55" t="e">
        <f t="shared" ca="1" si="79"/>
        <v>#N/A</v>
      </c>
      <c r="AL236" s="55" t="e">
        <f t="shared" ca="1" si="80"/>
        <v>#N/A</v>
      </c>
      <c r="AM236" s="55"/>
    </row>
    <row r="237" spans="18:39">
      <c r="R237" s="83" t="e">
        <f ca="1"/>
        <v>#N/A</v>
      </c>
      <c r="S237" s="55" t="e">
        <f t="shared" ca="1" si="73"/>
        <v>#N/A</v>
      </c>
      <c r="T237" s="55" t="e">
        <f t="shared" ca="1" si="66"/>
        <v>#N/A</v>
      </c>
      <c r="U237" s="55" t="e">
        <f t="shared" ca="1" si="67"/>
        <v>#N/A</v>
      </c>
      <c r="V237" s="55" t="e">
        <f t="shared" ca="1" si="68"/>
        <v>#N/A</v>
      </c>
      <c r="W237" s="55" t="e">
        <f t="shared" ca="1" si="74"/>
        <v>#N/A</v>
      </c>
      <c r="X237" s="55" t="e">
        <f t="shared" ca="1" si="75"/>
        <v>#N/A</v>
      </c>
      <c r="Y237" s="55" t="e">
        <f t="shared" ca="1" si="76"/>
        <v>#N/A</v>
      </c>
      <c r="Z237" s="55" t="e">
        <f t="shared" ca="1" si="69"/>
        <v>#N/A</v>
      </c>
      <c r="AA237" t="e">
        <f t="shared" ca="1" si="70"/>
        <v>#N/A</v>
      </c>
      <c r="AB237" t="e">
        <f t="shared" ca="1" si="77"/>
        <v>#N/A</v>
      </c>
      <c r="AC237" t="e">
        <f t="shared" ca="1" si="71"/>
        <v>#N/A</v>
      </c>
      <c r="AD237" t="e">
        <f t="shared" ca="1" si="72"/>
        <v>#N/A</v>
      </c>
      <c r="AE237" s="83" t="e">
        <f ca="1"/>
        <v>#N/A</v>
      </c>
      <c r="AF237" s="55" t="e">
        <f t="shared" ca="1" si="81"/>
        <v>#N/A</v>
      </c>
      <c r="AG237" s="55" t="e">
        <f t="shared" ca="1" si="82"/>
        <v>#N/A</v>
      </c>
      <c r="AH237" s="55" t="e">
        <f t="shared" ca="1" si="83"/>
        <v>#N/A</v>
      </c>
      <c r="AI237" s="55" t="e">
        <f t="shared" ca="1" si="84"/>
        <v>#N/A</v>
      </c>
      <c r="AJ237" s="55" t="e">
        <f t="shared" ca="1" si="78"/>
        <v>#N/A</v>
      </c>
      <c r="AK237" s="55" t="e">
        <f t="shared" ca="1" si="79"/>
        <v>#N/A</v>
      </c>
      <c r="AL237" s="55" t="e">
        <f t="shared" ca="1" si="80"/>
        <v>#N/A</v>
      </c>
      <c r="AM237" s="55"/>
    </row>
    <row r="238" spans="18:39">
      <c r="R238" s="83" t="e">
        <f ca="1"/>
        <v>#N/A</v>
      </c>
      <c r="S238" s="55" t="e">
        <f t="shared" ca="1" si="73"/>
        <v>#N/A</v>
      </c>
      <c r="T238" s="55" t="e">
        <f t="shared" ca="1" si="66"/>
        <v>#N/A</v>
      </c>
      <c r="U238" s="55" t="e">
        <f t="shared" ca="1" si="67"/>
        <v>#N/A</v>
      </c>
      <c r="V238" s="55" t="e">
        <f t="shared" ca="1" si="68"/>
        <v>#N/A</v>
      </c>
      <c r="W238" s="55" t="e">
        <f t="shared" ca="1" si="74"/>
        <v>#N/A</v>
      </c>
      <c r="X238" s="55" t="e">
        <f t="shared" ca="1" si="75"/>
        <v>#N/A</v>
      </c>
      <c r="Y238" s="55" t="e">
        <f t="shared" ca="1" si="76"/>
        <v>#N/A</v>
      </c>
      <c r="Z238" s="55" t="e">
        <f t="shared" ca="1" si="69"/>
        <v>#N/A</v>
      </c>
      <c r="AA238" t="e">
        <f t="shared" ca="1" si="70"/>
        <v>#N/A</v>
      </c>
      <c r="AB238" t="e">
        <f t="shared" ca="1" si="77"/>
        <v>#N/A</v>
      </c>
      <c r="AC238" t="e">
        <f t="shared" ca="1" si="71"/>
        <v>#N/A</v>
      </c>
      <c r="AD238" t="e">
        <f t="shared" ca="1" si="72"/>
        <v>#N/A</v>
      </c>
      <c r="AE238" s="83" t="e">
        <f ca="1"/>
        <v>#N/A</v>
      </c>
      <c r="AF238" s="55" t="e">
        <f t="shared" ca="1" si="81"/>
        <v>#N/A</v>
      </c>
      <c r="AG238" s="55" t="e">
        <f t="shared" ca="1" si="82"/>
        <v>#N/A</v>
      </c>
      <c r="AH238" s="55" t="e">
        <f t="shared" ca="1" si="83"/>
        <v>#N/A</v>
      </c>
      <c r="AI238" s="55" t="e">
        <f t="shared" ca="1" si="84"/>
        <v>#N/A</v>
      </c>
      <c r="AJ238" s="55" t="e">
        <f t="shared" ca="1" si="78"/>
        <v>#N/A</v>
      </c>
      <c r="AK238" s="55" t="e">
        <f t="shared" ca="1" si="79"/>
        <v>#N/A</v>
      </c>
      <c r="AL238" s="55" t="e">
        <f t="shared" ca="1" si="80"/>
        <v>#N/A</v>
      </c>
      <c r="AM238" s="55"/>
    </row>
    <row r="239" spans="18:39">
      <c r="R239" s="83" t="e">
        <f ca="1"/>
        <v>#N/A</v>
      </c>
      <c r="S239" s="55" t="e">
        <f t="shared" ca="1" si="73"/>
        <v>#N/A</v>
      </c>
      <c r="T239" s="55" t="e">
        <f t="shared" ca="1" si="66"/>
        <v>#N/A</v>
      </c>
      <c r="U239" s="55" t="e">
        <f t="shared" ca="1" si="67"/>
        <v>#N/A</v>
      </c>
      <c r="V239" s="55" t="e">
        <f t="shared" ca="1" si="68"/>
        <v>#N/A</v>
      </c>
      <c r="W239" s="55" t="e">
        <f t="shared" ca="1" si="74"/>
        <v>#N/A</v>
      </c>
      <c r="X239" s="55" t="e">
        <f t="shared" ca="1" si="75"/>
        <v>#N/A</v>
      </c>
      <c r="Y239" s="55" t="e">
        <f t="shared" ca="1" si="76"/>
        <v>#N/A</v>
      </c>
      <c r="Z239" s="55" t="e">
        <f t="shared" ca="1" si="69"/>
        <v>#N/A</v>
      </c>
      <c r="AA239" t="e">
        <f t="shared" ca="1" si="70"/>
        <v>#N/A</v>
      </c>
      <c r="AB239" t="e">
        <f t="shared" ca="1" si="77"/>
        <v>#N/A</v>
      </c>
      <c r="AC239" t="e">
        <f t="shared" ca="1" si="71"/>
        <v>#N/A</v>
      </c>
      <c r="AD239" t="e">
        <f t="shared" ca="1" si="72"/>
        <v>#N/A</v>
      </c>
      <c r="AE239" s="83" t="e">
        <f ca="1"/>
        <v>#N/A</v>
      </c>
      <c r="AF239" s="55" t="e">
        <f t="shared" ca="1" si="81"/>
        <v>#N/A</v>
      </c>
      <c r="AG239" s="55" t="e">
        <f t="shared" ca="1" si="82"/>
        <v>#N/A</v>
      </c>
      <c r="AH239" s="55" t="e">
        <f t="shared" ca="1" si="83"/>
        <v>#N/A</v>
      </c>
      <c r="AI239" s="55" t="e">
        <f t="shared" ca="1" si="84"/>
        <v>#N/A</v>
      </c>
      <c r="AJ239" s="55" t="e">
        <f t="shared" ca="1" si="78"/>
        <v>#N/A</v>
      </c>
      <c r="AK239" s="55" t="e">
        <f t="shared" ca="1" si="79"/>
        <v>#N/A</v>
      </c>
      <c r="AL239" s="55" t="e">
        <f t="shared" ca="1" si="80"/>
        <v>#N/A</v>
      </c>
      <c r="AM239" s="55"/>
    </row>
    <row r="240" spans="18:39">
      <c r="R240" s="83" t="e">
        <f ca="1"/>
        <v>#N/A</v>
      </c>
      <c r="S240" s="55" t="e">
        <f t="shared" ca="1" si="73"/>
        <v>#N/A</v>
      </c>
      <c r="T240" s="55" t="e">
        <f t="shared" ca="1" si="66"/>
        <v>#N/A</v>
      </c>
      <c r="U240" s="55" t="e">
        <f t="shared" ca="1" si="67"/>
        <v>#N/A</v>
      </c>
      <c r="V240" s="55" t="e">
        <f t="shared" ca="1" si="68"/>
        <v>#N/A</v>
      </c>
      <c r="W240" s="55" t="e">
        <f t="shared" ca="1" si="74"/>
        <v>#N/A</v>
      </c>
      <c r="X240" s="55" t="e">
        <f t="shared" ca="1" si="75"/>
        <v>#N/A</v>
      </c>
      <c r="Y240" s="55" t="e">
        <f t="shared" ca="1" si="76"/>
        <v>#N/A</v>
      </c>
      <c r="Z240" s="55" t="e">
        <f t="shared" ca="1" si="69"/>
        <v>#N/A</v>
      </c>
      <c r="AA240" t="e">
        <f t="shared" ca="1" si="70"/>
        <v>#N/A</v>
      </c>
      <c r="AB240" t="e">
        <f t="shared" ca="1" si="77"/>
        <v>#N/A</v>
      </c>
      <c r="AC240" t="e">
        <f t="shared" ca="1" si="71"/>
        <v>#N/A</v>
      </c>
      <c r="AD240" t="e">
        <f t="shared" ca="1" si="72"/>
        <v>#N/A</v>
      </c>
      <c r="AE240" s="83" t="e">
        <f ca="1"/>
        <v>#N/A</v>
      </c>
      <c r="AF240" s="55" t="e">
        <f t="shared" ca="1" si="81"/>
        <v>#N/A</v>
      </c>
      <c r="AG240" s="55" t="e">
        <f t="shared" ca="1" si="82"/>
        <v>#N/A</v>
      </c>
      <c r="AH240" s="55" t="e">
        <f t="shared" ca="1" si="83"/>
        <v>#N/A</v>
      </c>
      <c r="AI240" s="55" t="e">
        <f t="shared" ca="1" si="84"/>
        <v>#N/A</v>
      </c>
      <c r="AJ240" s="55" t="e">
        <f t="shared" ca="1" si="78"/>
        <v>#N/A</v>
      </c>
      <c r="AK240" s="55" t="e">
        <f t="shared" ca="1" si="79"/>
        <v>#N/A</v>
      </c>
      <c r="AL240" s="55" t="e">
        <f t="shared" ca="1" si="80"/>
        <v>#N/A</v>
      </c>
      <c r="AM240" s="55"/>
    </row>
    <row r="241" spans="18:39">
      <c r="R241" s="83" t="e">
        <f ca="1"/>
        <v>#N/A</v>
      </c>
      <c r="S241" s="55" t="e">
        <f t="shared" ca="1" si="73"/>
        <v>#N/A</v>
      </c>
      <c r="T241" s="55" t="e">
        <f t="shared" ca="1" si="66"/>
        <v>#N/A</v>
      </c>
      <c r="U241" s="55" t="e">
        <f t="shared" ca="1" si="67"/>
        <v>#N/A</v>
      </c>
      <c r="V241" s="55" t="e">
        <f t="shared" ca="1" si="68"/>
        <v>#N/A</v>
      </c>
      <c r="W241" s="55" t="e">
        <f t="shared" ca="1" si="74"/>
        <v>#N/A</v>
      </c>
      <c r="X241" s="55" t="e">
        <f t="shared" ca="1" si="75"/>
        <v>#N/A</v>
      </c>
      <c r="Y241" s="55" t="e">
        <f t="shared" ca="1" si="76"/>
        <v>#N/A</v>
      </c>
      <c r="Z241" s="55" t="e">
        <f t="shared" ca="1" si="69"/>
        <v>#N/A</v>
      </c>
      <c r="AA241" t="e">
        <f t="shared" ca="1" si="70"/>
        <v>#N/A</v>
      </c>
      <c r="AB241" t="e">
        <f t="shared" ca="1" si="77"/>
        <v>#N/A</v>
      </c>
      <c r="AC241" t="e">
        <f t="shared" ca="1" si="71"/>
        <v>#N/A</v>
      </c>
      <c r="AD241" t="e">
        <f t="shared" ca="1" si="72"/>
        <v>#N/A</v>
      </c>
      <c r="AE241" s="83" t="e">
        <f ca="1"/>
        <v>#N/A</v>
      </c>
      <c r="AF241" s="55" t="e">
        <f t="shared" ca="1" si="81"/>
        <v>#N/A</v>
      </c>
      <c r="AG241" s="55" t="e">
        <f t="shared" ca="1" si="82"/>
        <v>#N/A</v>
      </c>
      <c r="AH241" s="55" t="e">
        <f t="shared" ca="1" si="83"/>
        <v>#N/A</v>
      </c>
      <c r="AI241" s="55" t="e">
        <f t="shared" ca="1" si="84"/>
        <v>#N/A</v>
      </c>
      <c r="AJ241" s="55" t="e">
        <f t="shared" ca="1" si="78"/>
        <v>#N/A</v>
      </c>
      <c r="AK241" s="55" t="e">
        <f t="shared" ca="1" si="79"/>
        <v>#N/A</v>
      </c>
      <c r="AL241" s="55" t="e">
        <f t="shared" ca="1" si="80"/>
        <v>#N/A</v>
      </c>
      <c r="AM241" s="55"/>
    </row>
    <row r="242" spans="18:39">
      <c r="R242" s="83" t="e">
        <f ca="1"/>
        <v>#N/A</v>
      </c>
      <c r="S242" s="55" t="e">
        <f t="shared" ca="1" si="73"/>
        <v>#N/A</v>
      </c>
      <c r="T242" s="55" t="e">
        <f t="shared" ca="1" si="66"/>
        <v>#N/A</v>
      </c>
      <c r="U242" s="55" t="e">
        <f t="shared" ca="1" si="67"/>
        <v>#N/A</v>
      </c>
      <c r="V242" s="55" t="e">
        <f t="shared" ca="1" si="68"/>
        <v>#N/A</v>
      </c>
      <c r="W242" s="55" t="e">
        <f t="shared" ca="1" si="74"/>
        <v>#N/A</v>
      </c>
      <c r="X242" s="55" t="e">
        <f t="shared" ca="1" si="75"/>
        <v>#N/A</v>
      </c>
      <c r="Y242" s="55" t="e">
        <f t="shared" ca="1" si="76"/>
        <v>#N/A</v>
      </c>
      <c r="Z242" s="55" t="e">
        <f t="shared" ca="1" si="69"/>
        <v>#N/A</v>
      </c>
      <c r="AA242" t="e">
        <f t="shared" ca="1" si="70"/>
        <v>#N/A</v>
      </c>
      <c r="AB242" t="e">
        <f t="shared" ca="1" si="77"/>
        <v>#N/A</v>
      </c>
      <c r="AC242" t="e">
        <f t="shared" ca="1" si="71"/>
        <v>#N/A</v>
      </c>
      <c r="AD242" t="e">
        <f t="shared" ca="1" si="72"/>
        <v>#N/A</v>
      </c>
      <c r="AE242" s="83" t="e">
        <f ca="1"/>
        <v>#N/A</v>
      </c>
      <c r="AF242" s="55" t="e">
        <f t="shared" ca="1" si="81"/>
        <v>#N/A</v>
      </c>
      <c r="AG242" s="55" t="e">
        <f t="shared" ca="1" si="82"/>
        <v>#N/A</v>
      </c>
      <c r="AH242" s="55" t="e">
        <f t="shared" ca="1" si="83"/>
        <v>#N/A</v>
      </c>
      <c r="AI242" s="55" t="e">
        <f t="shared" ca="1" si="84"/>
        <v>#N/A</v>
      </c>
      <c r="AJ242" s="55" t="e">
        <f t="shared" ca="1" si="78"/>
        <v>#N/A</v>
      </c>
      <c r="AK242" s="55" t="e">
        <f t="shared" ca="1" si="79"/>
        <v>#N/A</v>
      </c>
      <c r="AL242" s="55" t="e">
        <f t="shared" ca="1" si="80"/>
        <v>#N/A</v>
      </c>
      <c r="AM242" s="55"/>
    </row>
    <row r="243" spans="18:39">
      <c r="R243" s="83" t="e">
        <f ca="1"/>
        <v>#N/A</v>
      </c>
      <c r="S243" s="55" t="e">
        <f t="shared" ca="1" si="73"/>
        <v>#N/A</v>
      </c>
      <c r="T243" s="55" t="e">
        <f t="shared" ca="1" si="66"/>
        <v>#N/A</v>
      </c>
      <c r="U243" s="55" t="e">
        <f t="shared" ca="1" si="67"/>
        <v>#N/A</v>
      </c>
      <c r="V243" s="55" t="e">
        <f t="shared" ca="1" si="68"/>
        <v>#N/A</v>
      </c>
      <c r="W243" s="55" t="e">
        <f t="shared" ca="1" si="74"/>
        <v>#N/A</v>
      </c>
      <c r="X243" s="55" t="e">
        <f t="shared" ca="1" si="75"/>
        <v>#N/A</v>
      </c>
      <c r="Y243" s="55" t="e">
        <f t="shared" ca="1" si="76"/>
        <v>#N/A</v>
      </c>
      <c r="Z243" s="55" t="e">
        <f t="shared" ca="1" si="69"/>
        <v>#N/A</v>
      </c>
      <c r="AA243" t="e">
        <f t="shared" ca="1" si="70"/>
        <v>#N/A</v>
      </c>
      <c r="AB243" t="e">
        <f t="shared" ca="1" si="77"/>
        <v>#N/A</v>
      </c>
      <c r="AC243" t="e">
        <f t="shared" ca="1" si="71"/>
        <v>#N/A</v>
      </c>
      <c r="AD243" t="e">
        <f t="shared" ca="1" si="72"/>
        <v>#N/A</v>
      </c>
      <c r="AE243" s="83" t="e">
        <f ca="1"/>
        <v>#N/A</v>
      </c>
      <c r="AF243" s="55" t="e">
        <f t="shared" ca="1" si="81"/>
        <v>#N/A</v>
      </c>
      <c r="AG243" s="55" t="e">
        <f t="shared" ca="1" si="82"/>
        <v>#N/A</v>
      </c>
      <c r="AH243" s="55" t="e">
        <f t="shared" ca="1" si="83"/>
        <v>#N/A</v>
      </c>
      <c r="AI243" s="55" t="e">
        <f t="shared" ca="1" si="84"/>
        <v>#N/A</v>
      </c>
      <c r="AJ243" s="55" t="e">
        <f t="shared" ca="1" si="78"/>
        <v>#N/A</v>
      </c>
      <c r="AK243" s="55" t="e">
        <f t="shared" ca="1" si="79"/>
        <v>#N/A</v>
      </c>
      <c r="AL243" s="55" t="e">
        <f t="shared" ca="1" si="80"/>
        <v>#N/A</v>
      </c>
      <c r="AM243" s="55"/>
    </row>
    <row r="244" spans="18:39">
      <c r="R244" s="83" t="e">
        <f ca="1"/>
        <v>#N/A</v>
      </c>
      <c r="S244" s="55" t="e">
        <f t="shared" ca="1" si="73"/>
        <v>#N/A</v>
      </c>
      <c r="T244" s="55" t="e">
        <f t="shared" ca="1" si="66"/>
        <v>#N/A</v>
      </c>
      <c r="U244" s="55" t="e">
        <f t="shared" ca="1" si="67"/>
        <v>#N/A</v>
      </c>
      <c r="V244" s="55" t="e">
        <f t="shared" ca="1" si="68"/>
        <v>#N/A</v>
      </c>
      <c r="W244" s="55" t="e">
        <f t="shared" ca="1" si="74"/>
        <v>#N/A</v>
      </c>
      <c r="X244" s="55" t="e">
        <f t="shared" ca="1" si="75"/>
        <v>#N/A</v>
      </c>
      <c r="Y244" s="55" t="e">
        <f t="shared" ca="1" si="76"/>
        <v>#N/A</v>
      </c>
      <c r="Z244" s="55" t="e">
        <f t="shared" ca="1" si="69"/>
        <v>#N/A</v>
      </c>
      <c r="AA244" t="e">
        <f t="shared" ca="1" si="70"/>
        <v>#N/A</v>
      </c>
      <c r="AB244" t="e">
        <f t="shared" ca="1" si="77"/>
        <v>#N/A</v>
      </c>
      <c r="AC244" t="e">
        <f t="shared" ca="1" si="71"/>
        <v>#N/A</v>
      </c>
      <c r="AD244" t="e">
        <f t="shared" ca="1" si="72"/>
        <v>#N/A</v>
      </c>
      <c r="AE244" s="83" t="e">
        <f ca="1"/>
        <v>#N/A</v>
      </c>
      <c r="AF244" s="55" t="e">
        <f t="shared" ca="1" si="81"/>
        <v>#N/A</v>
      </c>
      <c r="AG244" s="55" t="e">
        <f t="shared" ca="1" si="82"/>
        <v>#N/A</v>
      </c>
      <c r="AH244" s="55" t="e">
        <f t="shared" ca="1" si="83"/>
        <v>#N/A</v>
      </c>
      <c r="AI244" s="55" t="e">
        <f t="shared" ca="1" si="84"/>
        <v>#N/A</v>
      </c>
      <c r="AJ244" s="55" t="e">
        <f t="shared" ca="1" si="78"/>
        <v>#N/A</v>
      </c>
      <c r="AK244" s="55" t="e">
        <f t="shared" ca="1" si="79"/>
        <v>#N/A</v>
      </c>
      <c r="AL244" s="55" t="e">
        <f t="shared" ca="1" si="80"/>
        <v>#N/A</v>
      </c>
      <c r="AM244" s="55"/>
    </row>
    <row r="245" spans="18:39">
      <c r="R245" s="83" t="e">
        <f ca="1"/>
        <v>#N/A</v>
      </c>
      <c r="S245" s="55" t="e">
        <f t="shared" ca="1" si="73"/>
        <v>#N/A</v>
      </c>
      <c r="T245" s="55" t="e">
        <f t="shared" ca="1" si="66"/>
        <v>#N/A</v>
      </c>
      <c r="U245" s="55" t="e">
        <f t="shared" ca="1" si="67"/>
        <v>#N/A</v>
      </c>
      <c r="V245" s="55" t="e">
        <f t="shared" ca="1" si="68"/>
        <v>#N/A</v>
      </c>
      <c r="W245" s="55" t="e">
        <f t="shared" ca="1" si="74"/>
        <v>#N/A</v>
      </c>
      <c r="X245" s="55" t="e">
        <f t="shared" ca="1" si="75"/>
        <v>#N/A</v>
      </c>
      <c r="Y245" s="55" t="e">
        <f t="shared" ca="1" si="76"/>
        <v>#N/A</v>
      </c>
      <c r="Z245" s="55" t="e">
        <f t="shared" ca="1" si="69"/>
        <v>#N/A</v>
      </c>
      <c r="AA245" t="e">
        <f t="shared" ca="1" si="70"/>
        <v>#N/A</v>
      </c>
      <c r="AB245" t="e">
        <f t="shared" ca="1" si="77"/>
        <v>#N/A</v>
      </c>
      <c r="AC245" t="e">
        <f t="shared" ca="1" si="71"/>
        <v>#N/A</v>
      </c>
      <c r="AD245" t="e">
        <f t="shared" ca="1" si="72"/>
        <v>#N/A</v>
      </c>
      <c r="AE245" s="83" t="e">
        <f ca="1"/>
        <v>#N/A</v>
      </c>
      <c r="AF245" s="55" t="e">
        <f t="shared" ca="1" si="81"/>
        <v>#N/A</v>
      </c>
      <c r="AG245" s="55" t="e">
        <f t="shared" ca="1" si="82"/>
        <v>#N/A</v>
      </c>
      <c r="AH245" s="55" t="e">
        <f t="shared" ca="1" si="83"/>
        <v>#N/A</v>
      </c>
      <c r="AI245" s="55" t="e">
        <f t="shared" ca="1" si="84"/>
        <v>#N/A</v>
      </c>
      <c r="AJ245" s="55" t="e">
        <f t="shared" ca="1" si="78"/>
        <v>#N/A</v>
      </c>
      <c r="AK245" s="55" t="e">
        <f t="shared" ca="1" si="79"/>
        <v>#N/A</v>
      </c>
      <c r="AL245" s="55" t="e">
        <f t="shared" ca="1" si="80"/>
        <v>#N/A</v>
      </c>
      <c r="AM245" s="55"/>
    </row>
    <row r="246" spans="18:39">
      <c r="R246" s="83" t="e">
        <f ca="1"/>
        <v>#N/A</v>
      </c>
      <c r="S246" s="55" t="e">
        <f t="shared" ca="1" si="73"/>
        <v>#N/A</v>
      </c>
      <c r="T246" s="55" t="e">
        <f t="shared" ca="1" si="66"/>
        <v>#N/A</v>
      </c>
      <c r="U246" s="55" t="e">
        <f t="shared" ca="1" si="67"/>
        <v>#N/A</v>
      </c>
      <c r="V246" s="55" t="e">
        <f t="shared" ca="1" si="68"/>
        <v>#N/A</v>
      </c>
      <c r="W246" s="55" t="e">
        <f t="shared" ca="1" si="74"/>
        <v>#N/A</v>
      </c>
      <c r="X246" s="55" t="e">
        <f t="shared" ca="1" si="75"/>
        <v>#N/A</v>
      </c>
      <c r="Y246" s="55" t="e">
        <f t="shared" ca="1" si="76"/>
        <v>#N/A</v>
      </c>
      <c r="Z246" s="55" t="e">
        <f t="shared" ca="1" si="69"/>
        <v>#N/A</v>
      </c>
      <c r="AA246" t="e">
        <f t="shared" ca="1" si="70"/>
        <v>#N/A</v>
      </c>
      <c r="AB246" t="e">
        <f t="shared" ca="1" si="77"/>
        <v>#N/A</v>
      </c>
      <c r="AC246" t="e">
        <f t="shared" ca="1" si="71"/>
        <v>#N/A</v>
      </c>
      <c r="AD246" t="e">
        <f t="shared" ca="1" si="72"/>
        <v>#N/A</v>
      </c>
      <c r="AE246" s="83" t="e">
        <f ca="1"/>
        <v>#N/A</v>
      </c>
      <c r="AF246" s="55" t="e">
        <f t="shared" ca="1" si="81"/>
        <v>#N/A</v>
      </c>
      <c r="AG246" s="55" t="e">
        <f t="shared" ca="1" si="82"/>
        <v>#N/A</v>
      </c>
      <c r="AH246" s="55" t="e">
        <f t="shared" ca="1" si="83"/>
        <v>#N/A</v>
      </c>
      <c r="AI246" s="55" t="e">
        <f t="shared" ca="1" si="84"/>
        <v>#N/A</v>
      </c>
      <c r="AJ246" s="55" t="e">
        <f t="shared" ca="1" si="78"/>
        <v>#N/A</v>
      </c>
      <c r="AK246" s="55" t="e">
        <f t="shared" ca="1" si="79"/>
        <v>#N/A</v>
      </c>
      <c r="AL246" s="55" t="e">
        <f t="shared" ca="1" si="80"/>
        <v>#N/A</v>
      </c>
      <c r="AM246" s="55"/>
    </row>
    <row r="247" spans="18:39">
      <c r="R247" s="83" t="e">
        <f ca="1"/>
        <v>#N/A</v>
      </c>
      <c r="S247" s="55" t="e">
        <f t="shared" ca="1" si="73"/>
        <v>#N/A</v>
      </c>
      <c r="T247" s="55" t="e">
        <f t="shared" ca="1" si="66"/>
        <v>#N/A</v>
      </c>
      <c r="U247" s="55" t="e">
        <f t="shared" ca="1" si="67"/>
        <v>#N/A</v>
      </c>
      <c r="V247" s="55" t="e">
        <f t="shared" ca="1" si="68"/>
        <v>#N/A</v>
      </c>
      <c r="W247" s="55" t="e">
        <f t="shared" ca="1" si="74"/>
        <v>#N/A</v>
      </c>
      <c r="X247" s="55" t="e">
        <f t="shared" ca="1" si="75"/>
        <v>#N/A</v>
      </c>
      <c r="Y247" s="55" t="e">
        <f t="shared" ca="1" si="76"/>
        <v>#N/A</v>
      </c>
      <c r="Z247" s="55" t="e">
        <f t="shared" ca="1" si="69"/>
        <v>#N/A</v>
      </c>
      <c r="AA247" t="e">
        <f t="shared" ca="1" si="70"/>
        <v>#N/A</v>
      </c>
      <c r="AB247" t="e">
        <f t="shared" ca="1" si="77"/>
        <v>#N/A</v>
      </c>
      <c r="AC247" t="e">
        <f t="shared" ca="1" si="71"/>
        <v>#N/A</v>
      </c>
      <c r="AD247" t="e">
        <f t="shared" ca="1" si="72"/>
        <v>#N/A</v>
      </c>
      <c r="AE247" s="83" t="e">
        <f ca="1"/>
        <v>#N/A</v>
      </c>
      <c r="AF247" s="55" t="e">
        <f t="shared" ca="1" si="81"/>
        <v>#N/A</v>
      </c>
      <c r="AG247" s="55" t="e">
        <f t="shared" ca="1" si="82"/>
        <v>#N/A</v>
      </c>
      <c r="AH247" s="55" t="e">
        <f t="shared" ca="1" si="83"/>
        <v>#N/A</v>
      </c>
      <c r="AI247" s="55" t="e">
        <f t="shared" ca="1" si="84"/>
        <v>#N/A</v>
      </c>
      <c r="AJ247" s="55" t="e">
        <f t="shared" ca="1" si="78"/>
        <v>#N/A</v>
      </c>
      <c r="AK247" s="55" t="e">
        <f t="shared" ca="1" si="79"/>
        <v>#N/A</v>
      </c>
      <c r="AL247" s="55" t="e">
        <f t="shared" ca="1" si="80"/>
        <v>#N/A</v>
      </c>
      <c r="AM247" s="55"/>
    </row>
    <row r="248" spans="18:39">
      <c r="R248" s="83" t="e">
        <f ca="1"/>
        <v>#N/A</v>
      </c>
      <c r="S248" s="55" t="e">
        <f t="shared" ca="1" si="73"/>
        <v>#N/A</v>
      </c>
      <c r="T248" s="55" t="e">
        <f t="shared" ca="1" si="66"/>
        <v>#N/A</v>
      </c>
      <c r="U248" s="55" t="e">
        <f t="shared" ca="1" si="67"/>
        <v>#N/A</v>
      </c>
      <c r="V248" s="55" t="e">
        <f t="shared" ca="1" si="68"/>
        <v>#N/A</v>
      </c>
      <c r="W248" s="55" t="e">
        <f t="shared" ca="1" si="74"/>
        <v>#N/A</v>
      </c>
      <c r="X248" s="55" t="e">
        <f t="shared" ca="1" si="75"/>
        <v>#N/A</v>
      </c>
      <c r="Y248" s="55" t="e">
        <f t="shared" ca="1" si="76"/>
        <v>#N/A</v>
      </c>
      <c r="Z248" s="55" t="e">
        <f t="shared" ca="1" si="69"/>
        <v>#N/A</v>
      </c>
      <c r="AA248" t="e">
        <f t="shared" ca="1" si="70"/>
        <v>#N/A</v>
      </c>
      <c r="AB248" t="e">
        <f t="shared" ca="1" si="77"/>
        <v>#N/A</v>
      </c>
      <c r="AC248" t="e">
        <f t="shared" ca="1" si="71"/>
        <v>#N/A</v>
      </c>
      <c r="AD248" t="e">
        <f t="shared" ca="1" si="72"/>
        <v>#N/A</v>
      </c>
      <c r="AE248" s="83" t="e">
        <f ca="1"/>
        <v>#N/A</v>
      </c>
      <c r="AF248" s="55" t="e">
        <f t="shared" ca="1" si="81"/>
        <v>#N/A</v>
      </c>
      <c r="AG248" s="55" t="e">
        <f t="shared" ca="1" si="82"/>
        <v>#N/A</v>
      </c>
      <c r="AH248" s="55" t="e">
        <f t="shared" ca="1" si="83"/>
        <v>#N/A</v>
      </c>
      <c r="AI248" s="55" t="e">
        <f t="shared" ca="1" si="84"/>
        <v>#N/A</v>
      </c>
      <c r="AJ248" s="55" t="e">
        <f t="shared" ca="1" si="78"/>
        <v>#N/A</v>
      </c>
      <c r="AK248" s="55" t="e">
        <f t="shared" ca="1" si="79"/>
        <v>#N/A</v>
      </c>
      <c r="AL248" s="55" t="e">
        <f t="shared" ca="1" si="80"/>
        <v>#N/A</v>
      </c>
      <c r="AM248" s="55"/>
    </row>
    <row r="249" spans="18:39">
      <c r="R249" s="83" t="e">
        <f ca="1"/>
        <v>#N/A</v>
      </c>
      <c r="S249" s="55" t="e">
        <f t="shared" ca="1" si="73"/>
        <v>#N/A</v>
      </c>
      <c r="T249" s="55" t="e">
        <f t="shared" ca="1" si="66"/>
        <v>#N/A</v>
      </c>
      <c r="U249" s="55" t="e">
        <f t="shared" ca="1" si="67"/>
        <v>#N/A</v>
      </c>
      <c r="V249" s="55" t="e">
        <f t="shared" ca="1" si="68"/>
        <v>#N/A</v>
      </c>
      <c r="W249" s="55" t="e">
        <f t="shared" ca="1" si="74"/>
        <v>#N/A</v>
      </c>
      <c r="X249" s="55" t="e">
        <f t="shared" ca="1" si="75"/>
        <v>#N/A</v>
      </c>
      <c r="Y249" s="55" t="e">
        <f t="shared" ca="1" si="76"/>
        <v>#N/A</v>
      </c>
      <c r="Z249" s="55" t="e">
        <f t="shared" ca="1" si="69"/>
        <v>#N/A</v>
      </c>
      <c r="AA249" t="e">
        <f t="shared" ca="1" si="70"/>
        <v>#N/A</v>
      </c>
      <c r="AB249" t="e">
        <f t="shared" ca="1" si="77"/>
        <v>#N/A</v>
      </c>
      <c r="AC249" t="e">
        <f t="shared" ca="1" si="71"/>
        <v>#N/A</v>
      </c>
      <c r="AD249" t="e">
        <f t="shared" ca="1" si="72"/>
        <v>#N/A</v>
      </c>
      <c r="AE249" s="83" t="e">
        <f ca="1"/>
        <v>#N/A</v>
      </c>
      <c r="AF249" s="55" t="e">
        <f t="shared" ca="1" si="81"/>
        <v>#N/A</v>
      </c>
      <c r="AG249" s="55" t="e">
        <f t="shared" ca="1" si="82"/>
        <v>#N/A</v>
      </c>
      <c r="AH249" s="55" t="e">
        <f t="shared" ca="1" si="83"/>
        <v>#N/A</v>
      </c>
      <c r="AI249" s="55" t="e">
        <f t="shared" ca="1" si="84"/>
        <v>#N/A</v>
      </c>
      <c r="AJ249" s="55" t="e">
        <f t="shared" ca="1" si="78"/>
        <v>#N/A</v>
      </c>
      <c r="AK249" s="55" t="e">
        <f t="shared" ca="1" si="79"/>
        <v>#N/A</v>
      </c>
      <c r="AL249" s="55" t="e">
        <f t="shared" ca="1" si="80"/>
        <v>#N/A</v>
      </c>
      <c r="AM249" s="55"/>
    </row>
    <row r="250" spans="18:39">
      <c r="R250" s="83" t="e">
        <f ca="1"/>
        <v>#N/A</v>
      </c>
      <c r="S250" s="55" t="e">
        <f t="shared" ca="1" si="73"/>
        <v>#N/A</v>
      </c>
      <c r="T250" s="55" t="e">
        <f t="shared" ca="1" si="66"/>
        <v>#N/A</v>
      </c>
      <c r="U250" s="55" t="e">
        <f t="shared" ca="1" si="67"/>
        <v>#N/A</v>
      </c>
      <c r="V250" s="55" t="e">
        <f t="shared" ca="1" si="68"/>
        <v>#N/A</v>
      </c>
      <c r="W250" s="55" t="e">
        <f t="shared" ca="1" si="74"/>
        <v>#N/A</v>
      </c>
      <c r="X250" s="55" t="e">
        <f t="shared" ca="1" si="75"/>
        <v>#N/A</v>
      </c>
      <c r="Y250" s="55" t="e">
        <f t="shared" ca="1" si="76"/>
        <v>#N/A</v>
      </c>
      <c r="Z250" s="55" t="e">
        <f t="shared" ca="1" si="69"/>
        <v>#N/A</v>
      </c>
      <c r="AA250" t="e">
        <f t="shared" ca="1" si="70"/>
        <v>#N/A</v>
      </c>
      <c r="AB250" t="e">
        <f t="shared" ca="1" si="77"/>
        <v>#N/A</v>
      </c>
      <c r="AC250" t="e">
        <f t="shared" ca="1" si="71"/>
        <v>#N/A</v>
      </c>
      <c r="AD250" t="e">
        <f t="shared" ca="1" si="72"/>
        <v>#N/A</v>
      </c>
      <c r="AE250" s="83" t="e">
        <f ca="1"/>
        <v>#N/A</v>
      </c>
      <c r="AF250" s="55" t="e">
        <f t="shared" ca="1" si="81"/>
        <v>#N/A</v>
      </c>
      <c r="AG250" s="55" t="e">
        <f t="shared" ca="1" si="82"/>
        <v>#N/A</v>
      </c>
      <c r="AH250" s="55" t="e">
        <f t="shared" ca="1" si="83"/>
        <v>#N/A</v>
      </c>
      <c r="AI250" s="55" t="e">
        <f t="shared" ca="1" si="84"/>
        <v>#N/A</v>
      </c>
      <c r="AJ250" s="55" t="e">
        <f t="shared" ca="1" si="78"/>
        <v>#N/A</v>
      </c>
      <c r="AK250" s="55" t="e">
        <f t="shared" ca="1" si="79"/>
        <v>#N/A</v>
      </c>
      <c r="AL250" s="55" t="e">
        <f t="shared" ca="1" si="80"/>
        <v>#N/A</v>
      </c>
      <c r="AM250" s="55"/>
    </row>
    <row r="251" spans="18:39">
      <c r="R251" s="83" t="e">
        <f ca="1"/>
        <v>#N/A</v>
      </c>
      <c r="S251" s="55" t="e">
        <f t="shared" ca="1" si="73"/>
        <v>#N/A</v>
      </c>
      <c r="T251" s="55" t="e">
        <f t="shared" ca="1" si="66"/>
        <v>#N/A</v>
      </c>
      <c r="U251" s="55" t="e">
        <f t="shared" ca="1" si="67"/>
        <v>#N/A</v>
      </c>
      <c r="V251" s="55" t="e">
        <f t="shared" ca="1" si="68"/>
        <v>#N/A</v>
      </c>
      <c r="W251" s="55" t="e">
        <f t="shared" ca="1" si="74"/>
        <v>#N/A</v>
      </c>
      <c r="X251" s="55" t="e">
        <f t="shared" ca="1" si="75"/>
        <v>#N/A</v>
      </c>
      <c r="Y251" s="55" t="e">
        <f t="shared" ca="1" si="76"/>
        <v>#N/A</v>
      </c>
      <c r="Z251" s="55" t="e">
        <f t="shared" ca="1" si="69"/>
        <v>#N/A</v>
      </c>
      <c r="AA251" t="e">
        <f t="shared" ca="1" si="70"/>
        <v>#N/A</v>
      </c>
      <c r="AB251" t="e">
        <f t="shared" ca="1" si="77"/>
        <v>#N/A</v>
      </c>
      <c r="AC251" t="e">
        <f t="shared" ca="1" si="71"/>
        <v>#N/A</v>
      </c>
      <c r="AD251" t="e">
        <f t="shared" ca="1" si="72"/>
        <v>#N/A</v>
      </c>
      <c r="AE251" s="83" t="e">
        <f ca="1"/>
        <v>#N/A</v>
      </c>
      <c r="AF251" s="55" t="e">
        <f t="shared" ca="1" si="81"/>
        <v>#N/A</v>
      </c>
      <c r="AG251" s="55" t="e">
        <f t="shared" ca="1" si="82"/>
        <v>#N/A</v>
      </c>
      <c r="AH251" s="55" t="e">
        <f t="shared" ca="1" si="83"/>
        <v>#N/A</v>
      </c>
      <c r="AI251" s="55" t="e">
        <f t="shared" ca="1" si="84"/>
        <v>#N/A</v>
      </c>
      <c r="AJ251" s="55" t="e">
        <f t="shared" ca="1" si="78"/>
        <v>#N/A</v>
      </c>
      <c r="AK251" s="55" t="e">
        <f t="shared" ca="1" si="79"/>
        <v>#N/A</v>
      </c>
      <c r="AL251" s="55" t="e">
        <f t="shared" ca="1" si="80"/>
        <v>#N/A</v>
      </c>
      <c r="AM251" s="55"/>
    </row>
    <row r="252" spans="18:39">
      <c r="R252" s="83" t="e">
        <f ca="1"/>
        <v>#N/A</v>
      </c>
      <c r="S252" s="55" t="e">
        <f t="shared" ca="1" si="73"/>
        <v>#N/A</v>
      </c>
      <c r="T252" s="55" t="e">
        <f t="shared" ca="1" si="66"/>
        <v>#N/A</v>
      </c>
      <c r="U252" s="55" t="e">
        <f t="shared" ca="1" si="67"/>
        <v>#N/A</v>
      </c>
      <c r="V252" s="55" t="e">
        <f t="shared" ca="1" si="68"/>
        <v>#N/A</v>
      </c>
      <c r="W252" s="55" t="e">
        <f t="shared" ca="1" si="74"/>
        <v>#N/A</v>
      </c>
      <c r="X252" s="55" t="e">
        <f t="shared" ca="1" si="75"/>
        <v>#N/A</v>
      </c>
      <c r="Y252" s="55" t="e">
        <f t="shared" ca="1" si="76"/>
        <v>#N/A</v>
      </c>
      <c r="Z252" s="55" t="e">
        <f t="shared" ca="1" si="69"/>
        <v>#N/A</v>
      </c>
      <c r="AA252" t="e">
        <f t="shared" ca="1" si="70"/>
        <v>#N/A</v>
      </c>
      <c r="AB252" t="e">
        <f t="shared" ca="1" si="77"/>
        <v>#N/A</v>
      </c>
      <c r="AC252" t="e">
        <f t="shared" ca="1" si="71"/>
        <v>#N/A</v>
      </c>
      <c r="AD252" t="e">
        <f t="shared" ca="1" si="72"/>
        <v>#N/A</v>
      </c>
      <c r="AE252" s="83" t="e">
        <f ca="1"/>
        <v>#N/A</v>
      </c>
      <c r="AF252" s="55" t="e">
        <f t="shared" ca="1" si="81"/>
        <v>#N/A</v>
      </c>
      <c r="AG252" s="55" t="e">
        <f t="shared" ca="1" si="82"/>
        <v>#N/A</v>
      </c>
      <c r="AH252" s="55" t="e">
        <f t="shared" ca="1" si="83"/>
        <v>#N/A</v>
      </c>
      <c r="AI252" s="55" t="e">
        <f t="shared" ca="1" si="84"/>
        <v>#N/A</v>
      </c>
      <c r="AJ252" s="55" t="e">
        <f t="shared" ca="1" si="78"/>
        <v>#N/A</v>
      </c>
      <c r="AK252" s="55" t="e">
        <f t="shared" ca="1" si="79"/>
        <v>#N/A</v>
      </c>
      <c r="AL252" s="55" t="e">
        <f t="shared" ca="1" si="80"/>
        <v>#N/A</v>
      </c>
      <c r="AM252" s="55"/>
    </row>
    <row r="253" spans="18:39">
      <c r="R253" s="83" t="e">
        <f ca="1"/>
        <v>#N/A</v>
      </c>
      <c r="S253" s="55" t="e">
        <f t="shared" ca="1" si="73"/>
        <v>#N/A</v>
      </c>
      <c r="T253" s="55" t="e">
        <f t="shared" ca="1" si="66"/>
        <v>#N/A</v>
      </c>
      <c r="U253" s="55" t="e">
        <f t="shared" ca="1" si="67"/>
        <v>#N/A</v>
      </c>
      <c r="V253" s="55" t="e">
        <f t="shared" ca="1" si="68"/>
        <v>#N/A</v>
      </c>
      <c r="W253" s="55" t="e">
        <f t="shared" ca="1" si="74"/>
        <v>#N/A</v>
      </c>
      <c r="X253" s="55" t="e">
        <f t="shared" ca="1" si="75"/>
        <v>#N/A</v>
      </c>
      <c r="Y253" s="55" t="e">
        <f t="shared" ca="1" si="76"/>
        <v>#N/A</v>
      </c>
      <c r="Z253" s="55" t="e">
        <f t="shared" ca="1" si="69"/>
        <v>#N/A</v>
      </c>
      <c r="AA253" t="e">
        <f t="shared" ca="1" si="70"/>
        <v>#N/A</v>
      </c>
      <c r="AB253" t="e">
        <f t="shared" ca="1" si="77"/>
        <v>#N/A</v>
      </c>
      <c r="AC253" t="e">
        <f t="shared" ca="1" si="71"/>
        <v>#N/A</v>
      </c>
      <c r="AD253" t="e">
        <f t="shared" ca="1" si="72"/>
        <v>#N/A</v>
      </c>
      <c r="AE253" s="83" t="e">
        <f ca="1"/>
        <v>#N/A</v>
      </c>
      <c r="AF253" s="55" t="e">
        <f t="shared" ca="1" si="81"/>
        <v>#N/A</v>
      </c>
      <c r="AG253" s="55" t="e">
        <f t="shared" ca="1" si="82"/>
        <v>#N/A</v>
      </c>
      <c r="AH253" s="55" t="e">
        <f t="shared" ca="1" si="83"/>
        <v>#N/A</v>
      </c>
      <c r="AI253" s="55" t="e">
        <f t="shared" ca="1" si="84"/>
        <v>#N/A</v>
      </c>
      <c r="AJ253" s="55" t="e">
        <f t="shared" ca="1" si="78"/>
        <v>#N/A</v>
      </c>
      <c r="AK253" s="55" t="e">
        <f t="shared" ca="1" si="79"/>
        <v>#N/A</v>
      </c>
      <c r="AL253" s="55" t="e">
        <f t="shared" ca="1" si="80"/>
        <v>#N/A</v>
      </c>
      <c r="AM253" s="55"/>
    </row>
    <row r="254" spans="18:39">
      <c r="R254" s="83" t="e">
        <f ca="1"/>
        <v>#N/A</v>
      </c>
      <c r="S254" s="55" t="e">
        <f t="shared" ca="1" si="73"/>
        <v>#N/A</v>
      </c>
      <c r="T254" s="55" t="e">
        <f t="shared" ca="1" si="66"/>
        <v>#N/A</v>
      </c>
      <c r="U254" s="55" t="e">
        <f t="shared" ca="1" si="67"/>
        <v>#N/A</v>
      </c>
      <c r="V254" s="55" t="e">
        <f t="shared" ca="1" si="68"/>
        <v>#N/A</v>
      </c>
      <c r="W254" s="55" t="e">
        <f t="shared" ca="1" si="74"/>
        <v>#N/A</v>
      </c>
      <c r="X254" s="55" t="e">
        <f t="shared" ca="1" si="75"/>
        <v>#N/A</v>
      </c>
      <c r="Y254" s="55" t="e">
        <f t="shared" ca="1" si="76"/>
        <v>#N/A</v>
      </c>
      <c r="Z254" s="55" t="e">
        <f t="shared" ca="1" si="69"/>
        <v>#N/A</v>
      </c>
      <c r="AA254" t="e">
        <f t="shared" ca="1" si="70"/>
        <v>#N/A</v>
      </c>
      <c r="AB254" t="e">
        <f t="shared" ca="1" si="77"/>
        <v>#N/A</v>
      </c>
      <c r="AC254" t="e">
        <f t="shared" ca="1" si="71"/>
        <v>#N/A</v>
      </c>
      <c r="AD254" t="e">
        <f t="shared" ca="1" si="72"/>
        <v>#N/A</v>
      </c>
      <c r="AE254" s="83" t="e">
        <f ca="1"/>
        <v>#N/A</v>
      </c>
      <c r="AF254" s="55" t="e">
        <f t="shared" ca="1" si="81"/>
        <v>#N/A</v>
      </c>
      <c r="AG254" s="55" t="e">
        <f t="shared" ca="1" si="82"/>
        <v>#N/A</v>
      </c>
      <c r="AH254" s="55" t="e">
        <f t="shared" ca="1" si="83"/>
        <v>#N/A</v>
      </c>
      <c r="AI254" s="55" t="e">
        <f t="shared" ca="1" si="84"/>
        <v>#N/A</v>
      </c>
      <c r="AJ254" s="55" t="e">
        <f t="shared" ca="1" si="78"/>
        <v>#N/A</v>
      </c>
      <c r="AK254" s="55" t="e">
        <f t="shared" ca="1" si="79"/>
        <v>#N/A</v>
      </c>
      <c r="AL254" s="55" t="e">
        <f t="shared" ca="1" si="80"/>
        <v>#N/A</v>
      </c>
      <c r="AM254" s="55"/>
    </row>
    <row r="255" spans="18:39">
      <c r="R255" s="83" t="e">
        <f ca="1"/>
        <v>#N/A</v>
      </c>
      <c r="S255" s="55" t="e">
        <f t="shared" ca="1" si="73"/>
        <v>#N/A</v>
      </c>
      <c r="T255" s="55" t="e">
        <f t="shared" ca="1" si="66"/>
        <v>#N/A</v>
      </c>
      <c r="U255" s="55" t="e">
        <f t="shared" ca="1" si="67"/>
        <v>#N/A</v>
      </c>
      <c r="V255" s="55" t="e">
        <f t="shared" ca="1" si="68"/>
        <v>#N/A</v>
      </c>
      <c r="W255" s="55" t="e">
        <f t="shared" ca="1" si="74"/>
        <v>#N/A</v>
      </c>
      <c r="X255" s="55" t="e">
        <f t="shared" ca="1" si="75"/>
        <v>#N/A</v>
      </c>
      <c r="Y255" s="55" t="e">
        <f t="shared" ca="1" si="76"/>
        <v>#N/A</v>
      </c>
      <c r="Z255" s="55" t="e">
        <f t="shared" ca="1" si="69"/>
        <v>#N/A</v>
      </c>
      <c r="AA255" t="e">
        <f t="shared" ca="1" si="70"/>
        <v>#N/A</v>
      </c>
      <c r="AB255" t="e">
        <f t="shared" ca="1" si="77"/>
        <v>#N/A</v>
      </c>
      <c r="AC255" t="e">
        <f t="shared" ca="1" si="71"/>
        <v>#N/A</v>
      </c>
      <c r="AD255" t="e">
        <f t="shared" ca="1" si="72"/>
        <v>#N/A</v>
      </c>
      <c r="AE255" s="83" t="e">
        <f ca="1"/>
        <v>#N/A</v>
      </c>
      <c r="AF255" s="55" t="e">
        <f t="shared" ca="1" si="81"/>
        <v>#N/A</v>
      </c>
      <c r="AG255" s="55" t="e">
        <f t="shared" ca="1" si="82"/>
        <v>#N/A</v>
      </c>
      <c r="AH255" s="55" t="e">
        <f t="shared" ca="1" si="83"/>
        <v>#N/A</v>
      </c>
      <c r="AI255" s="55" t="e">
        <f t="shared" ca="1" si="84"/>
        <v>#N/A</v>
      </c>
      <c r="AJ255" s="55" t="e">
        <f t="shared" ca="1" si="78"/>
        <v>#N/A</v>
      </c>
      <c r="AK255" s="55" t="e">
        <f t="shared" ca="1" si="79"/>
        <v>#N/A</v>
      </c>
      <c r="AL255" s="55" t="e">
        <f t="shared" ca="1" si="80"/>
        <v>#N/A</v>
      </c>
      <c r="AM255" s="55"/>
    </row>
    <row r="256" spans="18:39">
      <c r="R256" s="83" t="e">
        <f ca="1"/>
        <v>#N/A</v>
      </c>
      <c r="S256" s="55" t="e">
        <f t="shared" ca="1" si="73"/>
        <v>#N/A</v>
      </c>
      <c r="T256" s="55" t="e">
        <f t="shared" ca="1" si="66"/>
        <v>#N/A</v>
      </c>
      <c r="U256" s="55" t="e">
        <f t="shared" ca="1" si="67"/>
        <v>#N/A</v>
      </c>
      <c r="V256" s="55" t="e">
        <f t="shared" ca="1" si="68"/>
        <v>#N/A</v>
      </c>
      <c r="W256" s="55" t="e">
        <f t="shared" ca="1" si="74"/>
        <v>#N/A</v>
      </c>
      <c r="X256" s="55" t="e">
        <f t="shared" ca="1" si="75"/>
        <v>#N/A</v>
      </c>
      <c r="Y256" s="55" t="e">
        <f t="shared" ca="1" si="76"/>
        <v>#N/A</v>
      </c>
      <c r="Z256" s="55" t="e">
        <f t="shared" ca="1" si="69"/>
        <v>#N/A</v>
      </c>
      <c r="AA256" t="e">
        <f t="shared" ca="1" si="70"/>
        <v>#N/A</v>
      </c>
      <c r="AB256" t="e">
        <f t="shared" ca="1" si="77"/>
        <v>#N/A</v>
      </c>
      <c r="AC256" t="e">
        <f t="shared" ca="1" si="71"/>
        <v>#N/A</v>
      </c>
      <c r="AD256" t="e">
        <f t="shared" ca="1" si="72"/>
        <v>#N/A</v>
      </c>
      <c r="AE256" s="83" t="e">
        <f ca="1"/>
        <v>#N/A</v>
      </c>
      <c r="AF256" s="55" t="e">
        <f t="shared" ca="1" si="81"/>
        <v>#N/A</v>
      </c>
      <c r="AG256" s="55" t="e">
        <f t="shared" ca="1" si="82"/>
        <v>#N/A</v>
      </c>
      <c r="AH256" s="55" t="e">
        <f t="shared" ca="1" si="83"/>
        <v>#N/A</v>
      </c>
      <c r="AI256" s="55" t="e">
        <f t="shared" ca="1" si="84"/>
        <v>#N/A</v>
      </c>
      <c r="AJ256" s="55" t="e">
        <f t="shared" ca="1" si="78"/>
        <v>#N/A</v>
      </c>
      <c r="AK256" s="55" t="e">
        <f t="shared" ca="1" si="79"/>
        <v>#N/A</v>
      </c>
      <c r="AL256" s="55" t="e">
        <f t="shared" ca="1" si="80"/>
        <v>#N/A</v>
      </c>
      <c r="AM256" s="55"/>
    </row>
    <row r="257" spans="18:39">
      <c r="R257" s="83" t="e">
        <f ca="1"/>
        <v>#N/A</v>
      </c>
      <c r="S257" s="55" t="e">
        <f t="shared" ca="1" si="73"/>
        <v>#N/A</v>
      </c>
      <c r="T257" s="55" t="e">
        <f t="shared" ca="1" si="66"/>
        <v>#N/A</v>
      </c>
      <c r="U257" s="55" t="e">
        <f t="shared" ca="1" si="67"/>
        <v>#N/A</v>
      </c>
      <c r="V257" s="55" t="e">
        <f t="shared" ca="1" si="68"/>
        <v>#N/A</v>
      </c>
      <c r="W257" s="55" t="e">
        <f t="shared" ca="1" si="74"/>
        <v>#N/A</v>
      </c>
      <c r="X257" s="55" t="e">
        <f t="shared" ca="1" si="75"/>
        <v>#N/A</v>
      </c>
      <c r="Y257" s="55" t="e">
        <f t="shared" ca="1" si="76"/>
        <v>#N/A</v>
      </c>
      <c r="Z257" s="55" t="e">
        <f t="shared" ca="1" si="69"/>
        <v>#N/A</v>
      </c>
      <c r="AA257" t="e">
        <f t="shared" ca="1" si="70"/>
        <v>#N/A</v>
      </c>
      <c r="AB257" t="e">
        <f t="shared" ca="1" si="77"/>
        <v>#N/A</v>
      </c>
      <c r="AC257" t="e">
        <f t="shared" ca="1" si="71"/>
        <v>#N/A</v>
      </c>
      <c r="AD257" t="e">
        <f t="shared" ca="1" si="72"/>
        <v>#N/A</v>
      </c>
      <c r="AE257" s="83" t="e">
        <f ca="1"/>
        <v>#N/A</v>
      </c>
      <c r="AF257" s="55" t="e">
        <f t="shared" ca="1" si="81"/>
        <v>#N/A</v>
      </c>
      <c r="AG257" s="55" t="e">
        <f t="shared" ca="1" si="82"/>
        <v>#N/A</v>
      </c>
      <c r="AH257" s="55" t="e">
        <f t="shared" ca="1" si="83"/>
        <v>#N/A</v>
      </c>
      <c r="AI257" s="55" t="e">
        <f t="shared" ca="1" si="84"/>
        <v>#N/A</v>
      </c>
      <c r="AJ257" s="55" t="e">
        <f t="shared" ca="1" si="78"/>
        <v>#N/A</v>
      </c>
      <c r="AK257" s="55" t="e">
        <f t="shared" ca="1" si="79"/>
        <v>#N/A</v>
      </c>
      <c r="AL257" s="55" t="e">
        <f t="shared" ca="1" si="80"/>
        <v>#N/A</v>
      </c>
      <c r="AM257" s="55"/>
    </row>
    <row r="258" spans="18:39">
      <c r="R258" s="83" t="e">
        <f ca="1"/>
        <v>#N/A</v>
      </c>
      <c r="S258" s="55" t="e">
        <f t="shared" ca="1" si="73"/>
        <v>#N/A</v>
      </c>
      <c r="T258" s="55" t="e">
        <f t="shared" ca="1" si="66"/>
        <v>#N/A</v>
      </c>
      <c r="U258" s="55" t="e">
        <f t="shared" ca="1" si="67"/>
        <v>#N/A</v>
      </c>
      <c r="V258" s="55" t="e">
        <f t="shared" ca="1" si="68"/>
        <v>#N/A</v>
      </c>
      <c r="W258" s="55" t="e">
        <f t="shared" ca="1" si="74"/>
        <v>#N/A</v>
      </c>
      <c r="X258" s="55" t="e">
        <f t="shared" ca="1" si="75"/>
        <v>#N/A</v>
      </c>
      <c r="Y258" s="55" t="e">
        <f t="shared" ca="1" si="76"/>
        <v>#N/A</v>
      </c>
      <c r="Z258" s="55" t="e">
        <f t="shared" ca="1" si="69"/>
        <v>#N/A</v>
      </c>
      <c r="AA258" t="e">
        <f t="shared" ca="1" si="70"/>
        <v>#N/A</v>
      </c>
      <c r="AB258" t="e">
        <f t="shared" ca="1" si="77"/>
        <v>#N/A</v>
      </c>
      <c r="AC258" t="e">
        <f t="shared" ca="1" si="71"/>
        <v>#N/A</v>
      </c>
      <c r="AD258" t="e">
        <f t="shared" ca="1" si="72"/>
        <v>#N/A</v>
      </c>
      <c r="AE258" s="83" t="e">
        <f ca="1"/>
        <v>#N/A</v>
      </c>
      <c r="AF258" s="55" t="e">
        <f t="shared" ca="1" si="81"/>
        <v>#N/A</v>
      </c>
      <c r="AG258" s="55" t="e">
        <f t="shared" ca="1" si="82"/>
        <v>#N/A</v>
      </c>
      <c r="AH258" s="55" t="e">
        <f t="shared" ca="1" si="83"/>
        <v>#N/A</v>
      </c>
      <c r="AI258" s="55" t="e">
        <f t="shared" ca="1" si="84"/>
        <v>#N/A</v>
      </c>
      <c r="AJ258" s="55" t="e">
        <f t="shared" ca="1" si="78"/>
        <v>#N/A</v>
      </c>
      <c r="AK258" s="55" t="e">
        <f t="shared" ca="1" si="79"/>
        <v>#N/A</v>
      </c>
      <c r="AL258" s="55" t="e">
        <f t="shared" ca="1" si="80"/>
        <v>#N/A</v>
      </c>
      <c r="AM258" s="55"/>
    </row>
    <row r="259" spans="18:39">
      <c r="R259" s="83" t="e">
        <f ca="1"/>
        <v>#N/A</v>
      </c>
      <c r="S259" s="55" t="e">
        <f t="shared" ca="1" si="73"/>
        <v>#N/A</v>
      </c>
      <c r="T259" s="55" t="e">
        <f t="shared" ca="1" si="66"/>
        <v>#N/A</v>
      </c>
      <c r="U259" s="55" t="e">
        <f t="shared" ca="1" si="67"/>
        <v>#N/A</v>
      </c>
      <c r="V259" s="55" t="e">
        <f t="shared" ca="1" si="68"/>
        <v>#N/A</v>
      </c>
      <c r="W259" s="55" t="e">
        <f t="shared" ca="1" si="74"/>
        <v>#N/A</v>
      </c>
      <c r="X259" s="55" t="e">
        <f t="shared" ca="1" si="75"/>
        <v>#N/A</v>
      </c>
      <c r="Y259" s="55" t="e">
        <f t="shared" ca="1" si="76"/>
        <v>#N/A</v>
      </c>
      <c r="Z259" s="55" t="e">
        <f t="shared" ca="1" si="69"/>
        <v>#N/A</v>
      </c>
      <c r="AA259" t="e">
        <f t="shared" ca="1" si="70"/>
        <v>#N/A</v>
      </c>
      <c r="AB259" t="e">
        <f t="shared" ca="1" si="77"/>
        <v>#N/A</v>
      </c>
      <c r="AC259" t="e">
        <f t="shared" ca="1" si="71"/>
        <v>#N/A</v>
      </c>
      <c r="AD259" t="e">
        <f t="shared" ca="1" si="72"/>
        <v>#N/A</v>
      </c>
      <c r="AE259" s="83" t="e">
        <f ca="1"/>
        <v>#N/A</v>
      </c>
      <c r="AF259" s="55" t="e">
        <f t="shared" ca="1" si="81"/>
        <v>#N/A</v>
      </c>
      <c r="AG259" s="55" t="e">
        <f t="shared" ca="1" si="82"/>
        <v>#N/A</v>
      </c>
      <c r="AH259" s="55" t="e">
        <f t="shared" ca="1" si="83"/>
        <v>#N/A</v>
      </c>
      <c r="AI259" s="55" t="e">
        <f t="shared" ca="1" si="84"/>
        <v>#N/A</v>
      </c>
      <c r="AJ259" s="55" t="e">
        <f t="shared" ca="1" si="78"/>
        <v>#N/A</v>
      </c>
      <c r="AK259" s="55" t="e">
        <f t="shared" ca="1" si="79"/>
        <v>#N/A</v>
      </c>
      <c r="AL259" s="55" t="e">
        <f t="shared" ca="1" si="80"/>
        <v>#N/A</v>
      </c>
      <c r="AM259" s="55"/>
    </row>
    <row r="260" spans="18:39">
      <c r="R260" s="83" t="e">
        <f ca="1"/>
        <v>#N/A</v>
      </c>
      <c r="S260" s="55" t="e">
        <f t="shared" ca="1" si="73"/>
        <v>#N/A</v>
      </c>
      <c r="T260" s="55" t="e">
        <f t="shared" ca="1" si="66"/>
        <v>#N/A</v>
      </c>
      <c r="U260" s="55" t="e">
        <f t="shared" ca="1" si="67"/>
        <v>#N/A</v>
      </c>
      <c r="V260" s="55" t="e">
        <f t="shared" ca="1" si="68"/>
        <v>#N/A</v>
      </c>
      <c r="W260" s="55" t="e">
        <f t="shared" ca="1" si="74"/>
        <v>#N/A</v>
      </c>
      <c r="X260" s="55" t="e">
        <f t="shared" ca="1" si="75"/>
        <v>#N/A</v>
      </c>
      <c r="Y260" s="55" t="e">
        <f t="shared" ca="1" si="76"/>
        <v>#N/A</v>
      </c>
      <c r="Z260" s="55" t="e">
        <f t="shared" ca="1" si="69"/>
        <v>#N/A</v>
      </c>
      <c r="AA260" t="e">
        <f t="shared" ca="1" si="70"/>
        <v>#N/A</v>
      </c>
      <c r="AB260" t="e">
        <f t="shared" ca="1" si="77"/>
        <v>#N/A</v>
      </c>
      <c r="AC260" t="e">
        <f t="shared" ca="1" si="71"/>
        <v>#N/A</v>
      </c>
      <c r="AD260" t="e">
        <f t="shared" ca="1" si="72"/>
        <v>#N/A</v>
      </c>
      <c r="AE260" s="83" t="e">
        <f ca="1"/>
        <v>#N/A</v>
      </c>
      <c r="AF260" s="55" t="e">
        <f t="shared" ca="1" si="81"/>
        <v>#N/A</v>
      </c>
      <c r="AG260" s="55" t="e">
        <f t="shared" ca="1" si="82"/>
        <v>#N/A</v>
      </c>
      <c r="AH260" s="55" t="e">
        <f t="shared" ca="1" si="83"/>
        <v>#N/A</v>
      </c>
      <c r="AI260" s="55" t="e">
        <f t="shared" ca="1" si="84"/>
        <v>#N/A</v>
      </c>
      <c r="AJ260" s="55" t="e">
        <f t="shared" ca="1" si="78"/>
        <v>#N/A</v>
      </c>
      <c r="AK260" s="55" t="e">
        <f t="shared" ca="1" si="79"/>
        <v>#N/A</v>
      </c>
      <c r="AL260" s="55" t="e">
        <f t="shared" ca="1" si="80"/>
        <v>#N/A</v>
      </c>
      <c r="AM260" s="55"/>
    </row>
    <row r="261" spans="18:39">
      <c r="R261" s="83" t="e">
        <f ca="1"/>
        <v>#N/A</v>
      </c>
      <c r="S261" s="55" t="e">
        <f t="shared" ca="1" si="73"/>
        <v>#N/A</v>
      </c>
      <c r="T261" s="55" t="e">
        <f t="shared" ca="1" si="66"/>
        <v>#N/A</v>
      </c>
      <c r="U261" s="55" t="e">
        <f t="shared" ca="1" si="67"/>
        <v>#N/A</v>
      </c>
      <c r="V261" s="55" t="e">
        <f t="shared" ca="1" si="68"/>
        <v>#N/A</v>
      </c>
      <c r="W261" s="55" t="e">
        <f t="shared" ca="1" si="74"/>
        <v>#N/A</v>
      </c>
      <c r="X261" s="55" t="e">
        <f t="shared" ca="1" si="75"/>
        <v>#N/A</v>
      </c>
      <c r="Y261" s="55" t="e">
        <f t="shared" ca="1" si="76"/>
        <v>#N/A</v>
      </c>
      <c r="Z261" s="55" t="e">
        <f t="shared" ca="1" si="69"/>
        <v>#N/A</v>
      </c>
      <c r="AA261" t="e">
        <f t="shared" ca="1" si="70"/>
        <v>#N/A</v>
      </c>
      <c r="AB261" t="e">
        <f t="shared" ca="1" si="77"/>
        <v>#N/A</v>
      </c>
      <c r="AC261" t="e">
        <f t="shared" ca="1" si="71"/>
        <v>#N/A</v>
      </c>
      <c r="AD261" t="e">
        <f t="shared" ca="1" si="72"/>
        <v>#N/A</v>
      </c>
      <c r="AE261" s="83" t="e">
        <f ca="1"/>
        <v>#N/A</v>
      </c>
      <c r="AF261" s="55" t="e">
        <f t="shared" ca="1" si="81"/>
        <v>#N/A</v>
      </c>
      <c r="AG261" s="55" t="e">
        <f t="shared" ca="1" si="82"/>
        <v>#N/A</v>
      </c>
      <c r="AH261" s="55" t="e">
        <f t="shared" ca="1" si="83"/>
        <v>#N/A</v>
      </c>
      <c r="AI261" s="55" t="e">
        <f t="shared" ca="1" si="84"/>
        <v>#N/A</v>
      </c>
      <c r="AJ261" s="55" t="e">
        <f t="shared" ca="1" si="78"/>
        <v>#N/A</v>
      </c>
      <c r="AK261" s="55" t="e">
        <f t="shared" ca="1" si="79"/>
        <v>#N/A</v>
      </c>
      <c r="AL261" s="55" t="e">
        <f t="shared" ca="1" si="80"/>
        <v>#N/A</v>
      </c>
      <c r="AM261" s="55"/>
    </row>
    <row r="262" spans="18:39">
      <c r="R262" s="83" t="e">
        <f ca="1"/>
        <v>#N/A</v>
      </c>
      <c r="S262" s="55" t="e">
        <f t="shared" ca="1" si="73"/>
        <v>#N/A</v>
      </c>
      <c r="T262" s="55" t="e">
        <f t="shared" ca="1" si="66"/>
        <v>#N/A</v>
      </c>
      <c r="U262" s="55" t="e">
        <f t="shared" ca="1" si="67"/>
        <v>#N/A</v>
      </c>
      <c r="V262" s="55" t="e">
        <f t="shared" ca="1" si="68"/>
        <v>#N/A</v>
      </c>
      <c r="W262" s="55" t="e">
        <f t="shared" ca="1" si="74"/>
        <v>#N/A</v>
      </c>
      <c r="X262" s="55" t="e">
        <f t="shared" ca="1" si="75"/>
        <v>#N/A</v>
      </c>
      <c r="Y262" s="55" t="e">
        <f t="shared" ca="1" si="76"/>
        <v>#N/A</v>
      </c>
      <c r="Z262" s="55" t="e">
        <f t="shared" ca="1" si="69"/>
        <v>#N/A</v>
      </c>
      <c r="AA262" t="e">
        <f t="shared" ca="1" si="70"/>
        <v>#N/A</v>
      </c>
      <c r="AB262" t="e">
        <f t="shared" ca="1" si="77"/>
        <v>#N/A</v>
      </c>
      <c r="AC262" t="e">
        <f t="shared" ca="1" si="71"/>
        <v>#N/A</v>
      </c>
      <c r="AD262" t="e">
        <f t="shared" ca="1" si="72"/>
        <v>#N/A</v>
      </c>
      <c r="AE262" s="83" t="e">
        <f ca="1"/>
        <v>#N/A</v>
      </c>
      <c r="AF262" s="55" t="e">
        <f t="shared" ca="1" si="81"/>
        <v>#N/A</v>
      </c>
      <c r="AG262" s="55" t="e">
        <f t="shared" ca="1" si="82"/>
        <v>#N/A</v>
      </c>
      <c r="AH262" s="55" t="e">
        <f t="shared" ca="1" si="83"/>
        <v>#N/A</v>
      </c>
      <c r="AI262" s="55" t="e">
        <f t="shared" ca="1" si="84"/>
        <v>#N/A</v>
      </c>
      <c r="AJ262" s="55" t="e">
        <f t="shared" ca="1" si="78"/>
        <v>#N/A</v>
      </c>
      <c r="AK262" s="55" t="e">
        <f t="shared" ca="1" si="79"/>
        <v>#N/A</v>
      </c>
      <c r="AL262" s="55" t="e">
        <f t="shared" ca="1" si="80"/>
        <v>#N/A</v>
      </c>
      <c r="AM262" s="55"/>
    </row>
    <row r="263" spans="18:39">
      <c r="R263" s="83" t="e">
        <f ca="1"/>
        <v>#N/A</v>
      </c>
      <c r="S263" s="55" t="e">
        <f t="shared" ca="1" si="73"/>
        <v>#N/A</v>
      </c>
      <c r="T263" s="55" t="e">
        <f t="shared" ca="1" si="66"/>
        <v>#N/A</v>
      </c>
      <c r="U263" s="55" t="e">
        <f t="shared" ca="1" si="67"/>
        <v>#N/A</v>
      </c>
      <c r="V263" s="55" t="e">
        <f t="shared" ca="1" si="68"/>
        <v>#N/A</v>
      </c>
      <c r="W263" s="55" t="e">
        <f t="shared" ca="1" si="74"/>
        <v>#N/A</v>
      </c>
      <c r="X263" s="55" t="e">
        <f t="shared" ca="1" si="75"/>
        <v>#N/A</v>
      </c>
      <c r="Y263" s="55" t="e">
        <f t="shared" ca="1" si="76"/>
        <v>#N/A</v>
      </c>
      <c r="Z263" s="55" t="e">
        <f t="shared" ca="1" si="69"/>
        <v>#N/A</v>
      </c>
      <c r="AA263" t="e">
        <f t="shared" ca="1" si="70"/>
        <v>#N/A</v>
      </c>
      <c r="AB263" t="e">
        <f t="shared" ca="1" si="77"/>
        <v>#N/A</v>
      </c>
      <c r="AC263" t="e">
        <f t="shared" ca="1" si="71"/>
        <v>#N/A</v>
      </c>
      <c r="AD263" t="e">
        <f t="shared" ca="1" si="72"/>
        <v>#N/A</v>
      </c>
      <c r="AE263" s="83" t="e">
        <f ca="1"/>
        <v>#N/A</v>
      </c>
      <c r="AF263" s="55" t="e">
        <f t="shared" ca="1" si="81"/>
        <v>#N/A</v>
      </c>
      <c r="AG263" s="55" t="e">
        <f t="shared" ca="1" si="82"/>
        <v>#N/A</v>
      </c>
      <c r="AH263" s="55" t="e">
        <f t="shared" ca="1" si="83"/>
        <v>#N/A</v>
      </c>
      <c r="AI263" s="55" t="e">
        <f t="shared" ca="1" si="84"/>
        <v>#N/A</v>
      </c>
      <c r="AJ263" s="55" t="e">
        <f t="shared" ca="1" si="78"/>
        <v>#N/A</v>
      </c>
      <c r="AK263" s="55" t="e">
        <f t="shared" ca="1" si="79"/>
        <v>#N/A</v>
      </c>
      <c r="AL263" s="55" t="e">
        <f t="shared" ca="1" si="80"/>
        <v>#N/A</v>
      </c>
      <c r="AM263" s="55"/>
    </row>
    <row r="264" spans="18:39">
      <c r="R264" s="83" t="e">
        <f ca="1"/>
        <v>#N/A</v>
      </c>
      <c r="S264" s="55" t="e">
        <f t="shared" ca="1" si="73"/>
        <v>#N/A</v>
      </c>
      <c r="T264" s="55" t="e">
        <f t="shared" ca="1" si="66"/>
        <v>#N/A</v>
      </c>
      <c r="U264" s="55" t="e">
        <f t="shared" ca="1" si="67"/>
        <v>#N/A</v>
      </c>
      <c r="V264" s="55" t="e">
        <f t="shared" ca="1" si="68"/>
        <v>#N/A</v>
      </c>
      <c r="W264" s="55" t="e">
        <f t="shared" ca="1" si="74"/>
        <v>#N/A</v>
      </c>
      <c r="X264" s="55" t="e">
        <f t="shared" ca="1" si="75"/>
        <v>#N/A</v>
      </c>
      <c r="Y264" s="55" t="e">
        <f t="shared" ca="1" si="76"/>
        <v>#N/A</v>
      </c>
      <c r="Z264" s="55" t="e">
        <f t="shared" ca="1" si="69"/>
        <v>#N/A</v>
      </c>
      <c r="AA264" t="e">
        <f t="shared" ca="1" si="70"/>
        <v>#N/A</v>
      </c>
      <c r="AB264" t="e">
        <f t="shared" ca="1" si="77"/>
        <v>#N/A</v>
      </c>
      <c r="AC264" t="e">
        <f t="shared" ca="1" si="71"/>
        <v>#N/A</v>
      </c>
      <c r="AD264" t="e">
        <f t="shared" ca="1" si="72"/>
        <v>#N/A</v>
      </c>
      <c r="AE264" s="83" t="e">
        <f ca="1"/>
        <v>#N/A</v>
      </c>
      <c r="AF264" s="55" t="e">
        <f t="shared" ca="1" si="81"/>
        <v>#N/A</v>
      </c>
      <c r="AG264" s="55" t="e">
        <f t="shared" ca="1" si="82"/>
        <v>#N/A</v>
      </c>
      <c r="AH264" s="55" t="e">
        <f t="shared" ca="1" si="83"/>
        <v>#N/A</v>
      </c>
      <c r="AI264" s="55" t="e">
        <f t="shared" ca="1" si="84"/>
        <v>#N/A</v>
      </c>
      <c r="AJ264" s="55" t="e">
        <f t="shared" ca="1" si="78"/>
        <v>#N/A</v>
      </c>
      <c r="AK264" s="55" t="e">
        <f t="shared" ca="1" si="79"/>
        <v>#N/A</v>
      </c>
      <c r="AL264" s="55" t="e">
        <f t="shared" ca="1" si="80"/>
        <v>#N/A</v>
      </c>
      <c r="AM264" s="55"/>
    </row>
    <row r="265" spans="18:39">
      <c r="R265" s="83" t="e">
        <f ca="1"/>
        <v>#N/A</v>
      </c>
      <c r="S265" s="55" t="e">
        <f t="shared" ca="1" si="73"/>
        <v>#N/A</v>
      </c>
      <c r="T265" s="55" t="e">
        <f t="shared" ca="1" si="66"/>
        <v>#N/A</v>
      </c>
      <c r="U265" s="55" t="e">
        <f t="shared" ca="1" si="67"/>
        <v>#N/A</v>
      </c>
      <c r="V265" s="55" t="e">
        <f t="shared" ca="1" si="68"/>
        <v>#N/A</v>
      </c>
      <c r="W265" s="55" t="e">
        <f t="shared" ca="1" si="74"/>
        <v>#N/A</v>
      </c>
      <c r="X265" s="55" t="e">
        <f t="shared" ca="1" si="75"/>
        <v>#N/A</v>
      </c>
      <c r="Y265" s="55" t="e">
        <f t="shared" ca="1" si="76"/>
        <v>#N/A</v>
      </c>
      <c r="Z265" s="55" t="e">
        <f t="shared" ca="1" si="69"/>
        <v>#N/A</v>
      </c>
      <c r="AA265" t="e">
        <f t="shared" ca="1" si="70"/>
        <v>#N/A</v>
      </c>
      <c r="AB265" t="e">
        <f t="shared" ca="1" si="77"/>
        <v>#N/A</v>
      </c>
      <c r="AC265" t="e">
        <f t="shared" ca="1" si="71"/>
        <v>#N/A</v>
      </c>
      <c r="AD265" t="e">
        <f t="shared" ca="1" si="72"/>
        <v>#N/A</v>
      </c>
      <c r="AE265" s="83" t="e">
        <f ca="1"/>
        <v>#N/A</v>
      </c>
      <c r="AF265" s="55" t="e">
        <f t="shared" ca="1" si="81"/>
        <v>#N/A</v>
      </c>
      <c r="AG265" s="55" t="e">
        <f t="shared" ca="1" si="82"/>
        <v>#N/A</v>
      </c>
      <c r="AH265" s="55" t="e">
        <f t="shared" ca="1" si="83"/>
        <v>#N/A</v>
      </c>
      <c r="AI265" s="55" t="e">
        <f t="shared" ca="1" si="84"/>
        <v>#N/A</v>
      </c>
      <c r="AJ265" s="55" t="e">
        <f t="shared" ca="1" si="78"/>
        <v>#N/A</v>
      </c>
      <c r="AK265" s="55" t="e">
        <f t="shared" ca="1" si="79"/>
        <v>#N/A</v>
      </c>
      <c r="AL265" s="55" t="e">
        <f t="shared" ca="1" si="80"/>
        <v>#N/A</v>
      </c>
      <c r="AM265" s="55"/>
    </row>
    <row r="266" spans="18:39">
      <c r="R266" s="83" t="e">
        <f ca="1"/>
        <v>#N/A</v>
      </c>
      <c r="S266" s="55" t="e">
        <f t="shared" ca="1" si="73"/>
        <v>#N/A</v>
      </c>
      <c r="T266" s="55" t="e">
        <f t="shared" ca="1" si="66"/>
        <v>#N/A</v>
      </c>
      <c r="U266" s="55" t="e">
        <f t="shared" ca="1" si="67"/>
        <v>#N/A</v>
      </c>
      <c r="V266" s="55" t="e">
        <f t="shared" ca="1" si="68"/>
        <v>#N/A</v>
      </c>
      <c r="W266" s="55" t="e">
        <f t="shared" ca="1" si="74"/>
        <v>#N/A</v>
      </c>
      <c r="X266" s="55" t="e">
        <f t="shared" ca="1" si="75"/>
        <v>#N/A</v>
      </c>
      <c r="Y266" s="55" t="e">
        <f t="shared" ca="1" si="76"/>
        <v>#N/A</v>
      </c>
      <c r="Z266" s="55" t="e">
        <f t="shared" ca="1" si="69"/>
        <v>#N/A</v>
      </c>
      <c r="AA266" t="e">
        <f t="shared" ca="1" si="70"/>
        <v>#N/A</v>
      </c>
      <c r="AB266" t="e">
        <f t="shared" ca="1" si="77"/>
        <v>#N/A</v>
      </c>
      <c r="AC266" t="e">
        <f t="shared" ca="1" si="71"/>
        <v>#N/A</v>
      </c>
      <c r="AD266" t="e">
        <f t="shared" ca="1" si="72"/>
        <v>#N/A</v>
      </c>
      <c r="AE266" s="83" t="e">
        <f ca="1"/>
        <v>#N/A</v>
      </c>
      <c r="AF266" s="55" t="e">
        <f t="shared" ca="1" si="81"/>
        <v>#N/A</v>
      </c>
      <c r="AG266" s="55" t="e">
        <f t="shared" ca="1" si="82"/>
        <v>#N/A</v>
      </c>
      <c r="AH266" s="55" t="e">
        <f t="shared" ca="1" si="83"/>
        <v>#N/A</v>
      </c>
      <c r="AI266" s="55" t="e">
        <f t="shared" ca="1" si="84"/>
        <v>#N/A</v>
      </c>
      <c r="AJ266" s="55" t="e">
        <f t="shared" ca="1" si="78"/>
        <v>#N/A</v>
      </c>
      <c r="AK266" s="55" t="e">
        <f t="shared" ca="1" si="79"/>
        <v>#N/A</v>
      </c>
      <c r="AL266" s="55" t="e">
        <f t="shared" ca="1" si="80"/>
        <v>#N/A</v>
      </c>
      <c r="AM266" s="55"/>
    </row>
    <row r="267" spans="18:39">
      <c r="R267" s="83" t="e">
        <f ca="1"/>
        <v>#N/A</v>
      </c>
      <c r="S267" s="55" t="e">
        <f t="shared" ca="1" si="73"/>
        <v>#N/A</v>
      </c>
      <c r="T267" s="55" t="e">
        <f t="shared" ca="1" si="66"/>
        <v>#N/A</v>
      </c>
      <c r="U267" s="55" t="e">
        <f t="shared" ca="1" si="67"/>
        <v>#N/A</v>
      </c>
      <c r="V267" s="55" t="e">
        <f t="shared" ca="1" si="68"/>
        <v>#N/A</v>
      </c>
      <c r="W267" s="55" t="e">
        <f t="shared" ca="1" si="74"/>
        <v>#N/A</v>
      </c>
      <c r="X267" s="55" t="e">
        <f t="shared" ca="1" si="75"/>
        <v>#N/A</v>
      </c>
      <c r="Y267" s="55" t="e">
        <f t="shared" ca="1" si="76"/>
        <v>#N/A</v>
      </c>
      <c r="Z267" s="55" t="e">
        <f t="shared" ca="1" si="69"/>
        <v>#N/A</v>
      </c>
      <c r="AA267" t="e">
        <f t="shared" ca="1" si="70"/>
        <v>#N/A</v>
      </c>
      <c r="AB267" t="e">
        <f t="shared" ca="1" si="77"/>
        <v>#N/A</v>
      </c>
      <c r="AC267" t="e">
        <f t="shared" ca="1" si="71"/>
        <v>#N/A</v>
      </c>
      <c r="AD267" t="e">
        <f t="shared" ca="1" si="72"/>
        <v>#N/A</v>
      </c>
      <c r="AE267" s="83" t="e">
        <f ca="1"/>
        <v>#N/A</v>
      </c>
      <c r="AF267" s="55" t="e">
        <f t="shared" ca="1" si="81"/>
        <v>#N/A</v>
      </c>
      <c r="AG267" s="55" t="e">
        <f t="shared" ca="1" si="82"/>
        <v>#N/A</v>
      </c>
      <c r="AH267" s="55" t="e">
        <f t="shared" ca="1" si="83"/>
        <v>#N/A</v>
      </c>
      <c r="AI267" s="55" t="e">
        <f t="shared" ca="1" si="84"/>
        <v>#N/A</v>
      </c>
      <c r="AJ267" s="55" t="e">
        <f t="shared" ca="1" si="78"/>
        <v>#N/A</v>
      </c>
      <c r="AK267" s="55" t="e">
        <f t="shared" ca="1" si="79"/>
        <v>#N/A</v>
      </c>
      <c r="AL267" s="55" t="e">
        <f t="shared" ca="1" si="80"/>
        <v>#N/A</v>
      </c>
      <c r="AM267" s="55"/>
    </row>
    <row r="268" spans="18:39">
      <c r="R268" s="83" t="e">
        <f ca="1"/>
        <v>#N/A</v>
      </c>
      <c r="S268" s="55" t="e">
        <f t="shared" ca="1" si="73"/>
        <v>#N/A</v>
      </c>
      <c r="T268" s="55" t="e">
        <f t="shared" ca="1" si="66"/>
        <v>#N/A</v>
      </c>
      <c r="U268" s="55" t="e">
        <f t="shared" ca="1" si="67"/>
        <v>#N/A</v>
      </c>
      <c r="V268" s="55" t="e">
        <f t="shared" ca="1" si="68"/>
        <v>#N/A</v>
      </c>
      <c r="W268" s="55" t="e">
        <f t="shared" ca="1" si="74"/>
        <v>#N/A</v>
      </c>
      <c r="X268" s="55" t="e">
        <f t="shared" ca="1" si="75"/>
        <v>#N/A</v>
      </c>
      <c r="Y268" s="55" t="e">
        <f t="shared" ca="1" si="76"/>
        <v>#N/A</v>
      </c>
      <c r="Z268" s="55" t="e">
        <f t="shared" ca="1" si="69"/>
        <v>#N/A</v>
      </c>
      <c r="AA268" t="e">
        <f t="shared" ca="1" si="70"/>
        <v>#N/A</v>
      </c>
      <c r="AB268" t="e">
        <f t="shared" ca="1" si="77"/>
        <v>#N/A</v>
      </c>
      <c r="AC268" t="e">
        <f t="shared" ca="1" si="71"/>
        <v>#N/A</v>
      </c>
      <c r="AD268" t="e">
        <f t="shared" ca="1" si="72"/>
        <v>#N/A</v>
      </c>
      <c r="AE268" s="83" t="e">
        <f ca="1"/>
        <v>#N/A</v>
      </c>
      <c r="AF268" s="55" t="e">
        <f t="shared" ca="1" si="81"/>
        <v>#N/A</v>
      </c>
      <c r="AG268" s="55" t="e">
        <f t="shared" ca="1" si="82"/>
        <v>#N/A</v>
      </c>
      <c r="AH268" s="55" t="e">
        <f t="shared" ca="1" si="83"/>
        <v>#N/A</v>
      </c>
      <c r="AI268" s="55" t="e">
        <f t="shared" ca="1" si="84"/>
        <v>#N/A</v>
      </c>
      <c r="AJ268" s="55" t="e">
        <f t="shared" ca="1" si="78"/>
        <v>#N/A</v>
      </c>
      <c r="AK268" s="55" t="e">
        <f t="shared" ca="1" si="79"/>
        <v>#N/A</v>
      </c>
      <c r="AL268" s="55" t="e">
        <f t="shared" ca="1" si="80"/>
        <v>#N/A</v>
      </c>
      <c r="AM268" s="55"/>
    </row>
    <row r="269" spans="18:39">
      <c r="R269" s="83" t="e">
        <f ca="1"/>
        <v>#N/A</v>
      </c>
      <c r="S269" s="55" t="e">
        <f t="shared" ca="1" si="73"/>
        <v>#N/A</v>
      </c>
      <c r="T269" s="55" t="e">
        <f t="shared" ca="1" si="66"/>
        <v>#N/A</v>
      </c>
      <c r="U269" s="55" t="e">
        <f t="shared" ca="1" si="67"/>
        <v>#N/A</v>
      </c>
      <c r="V269" s="55" t="e">
        <f t="shared" ca="1" si="68"/>
        <v>#N/A</v>
      </c>
      <c r="W269" s="55" t="e">
        <f t="shared" ca="1" si="74"/>
        <v>#N/A</v>
      </c>
      <c r="X269" s="55" t="e">
        <f t="shared" ca="1" si="75"/>
        <v>#N/A</v>
      </c>
      <c r="Y269" s="55" t="e">
        <f t="shared" ca="1" si="76"/>
        <v>#N/A</v>
      </c>
      <c r="Z269" s="55" t="e">
        <f t="shared" ca="1" si="69"/>
        <v>#N/A</v>
      </c>
      <c r="AA269" t="e">
        <f t="shared" ca="1" si="70"/>
        <v>#N/A</v>
      </c>
      <c r="AB269" t="e">
        <f t="shared" ca="1" si="77"/>
        <v>#N/A</v>
      </c>
      <c r="AC269" t="e">
        <f t="shared" ca="1" si="71"/>
        <v>#N/A</v>
      </c>
      <c r="AD269" t="e">
        <f t="shared" ca="1" si="72"/>
        <v>#N/A</v>
      </c>
      <c r="AE269" s="83" t="e">
        <f ca="1"/>
        <v>#N/A</v>
      </c>
      <c r="AF269" s="55" t="e">
        <f t="shared" ca="1" si="81"/>
        <v>#N/A</v>
      </c>
      <c r="AG269" s="55" t="e">
        <f t="shared" ca="1" si="82"/>
        <v>#N/A</v>
      </c>
      <c r="AH269" s="55" t="e">
        <f t="shared" ca="1" si="83"/>
        <v>#N/A</v>
      </c>
      <c r="AI269" s="55" t="e">
        <f t="shared" ca="1" si="84"/>
        <v>#N/A</v>
      </c>
      <c r="AJ269" s="55" t="e">
        <f t="shared" ca="1" si="78"/>
        <v>#N/A</v>
      </c>
      <c r="AK269" s="55" t="e">
        <f t="shared" ca="1" si="79"/>
        <v>#N/A</v>
      </c>
      <c r="AL269" s="55" t="e">
        <f t="shared" ca="1" si="80"/>
        <v>#N/A</v>
      </c>
      <c r="AM269" s="55"/>
    </row>
    <row r="270" spans="18:39">
      <c r="R270" s="83" t="e">
        <f ca="1"/>
        <v>#N/A</v>
      </c>
      <c r="S270" s="55" t="e">
        <f t="shared" ca="1" si="73"/>
        <v>#N/A</v>
      </c>
      <c r="T270" s="55" t="e">
        <f t="shared" ca="1" si="66"/>
        <v>#N/A</v>
      </c>
      <c r="U270" s="55" t="e">
        <f t="shared" ca="1" si="67"/>
        <v>#N/A</v>
      </c>
      <c r="V270" s="55" t="e">
        <f t="shared" ca="1" si="68"/>
        <v>#N/A</v>
      </c>
      <c r="W270" s="55" t="e">
        <f t="shared" ca="1" si="74"/>
        <v>#N/A</v>
      </c>
      <c r="X270" s="55" t="e">
        <f t="shared" ca="1" si="75"/>
        <v>#N/A</v>
      </c>
      <c r="Y270" s="55" t="e">
        <f t="shared" ca="1" si="76"/>
        <v>#N/A</v>
      </c>
      <c r="Z270" s="55" t="e">
        <f t="shared" ca="1" si="69"/>
        <v>#N/A</v>
      </c>
      <c r="AA270" t="e">
        <f t="shared" ca="1" si="70"/>
        <v>#N/A</v>
      </c>
      <c r="AB270" t="e">
        <f t="shared" ca="1" si="77"/>
        <v>#N/A</v>
      </c>
      <c r="AC270" t="e">
        <f t="shared" ca="1" si="71"/>
        <v>#N/A</v>
      </c>
      <c r="AD270" t="e">
        <f t="shared" ca="1" si="72"/>
        <v>#N/A</v>
      </c>
      <c r="AE270" s="83" t="e">
        <f ca="1"/>
        <v>#N/A</v>
      </c>
      <c r="AF270" s="55" t="e">
        <f t="shared" ca="1" si="81"/>
        <v>#N/A</v>
      </c>
      <c r="AG270" s="55" t="e">
        <f t="shared" ca="1" si="82"/>
        <v>#N/A</v>
      </c>
      <c r="AH270" s="55" t="e">
        <f t="shared" ca="1" si="83"/>
        <v>#N/A</v>
      </c>
      <c r="AI270" s="55" t="e">
        <f t="shared" ca="1" si="84"/>
        <v>#N/A</v>
      </c>
      <c r="AJ270" s="55" t="e">
        <f t="shared" ca="1" si="78"/>
        <v>#N/A</v>
      </c>
      <c r="AK270" s="55" t="e">
        <f t="shared" ca="1" si="79"/>
        <v>#N/A</v>
      </c>
      <c r="AL270" s="55" t="e">
        <f t="shared" ca="1" si="80"/>
        <v>#N/A</v>
      </c>
      <c r="AM270" s="55"/>
    </row>
    <row r="271" spans="18:39">
      <c r="R271" s="83" t="e">
        <f ca="1"/>
        <v>#N/A</v>
      </c>
      <c r="S271" s="55" t="e">
        <f t="shared" ca="1" si="73"/>
        <v>#N/A</v>
      </c>
      <c r="T271" s="55" t="e">
        <f t="shared" ca="1" si="66"/>
        <v>#N/A</v>
      </c>
      <c r="U271" s="55" t="e">
        <f t="shared" ca="1" si="67"/>
        <v>#N/A</v>
      </c>
      <c r="V271" s="55" t="e">
        <f t="shared" ca="1" si="68"/>
        <v>#N/A</v>
      </c>
      <c r="W271" s="55" t="e">
        <f t="shared" ca="1" si="74"/>
        <v>#N/A</v>
      </c>
      <c r="X271" s="55" t="e">
        <f t="shared" ca="1" si="75"/>
        <v>#N/A</v>
      </c>
      <c r="Y271" s="55" t="e">
        <f t="shared" ca="1" si="76"/>
        <v>#N/A</v>
      </c>
      <c r="Z271" s="55" t="e">
        <f t="shared" ca="1" si="69"/>
        <v>#N/A</v>
      </c>
      <c r="AA271" t="e">
        <f t="shared" ca="1" si="70"/>
        <v>#N/A</v>
      </c>
      <c r="AB271" t="e">
        <f t="shared" ca="1" si="77"/>
        <v>#N/A</v>
      </c>
      <c r="AC271" t="e">
        <f t="shared" ca="1" si="71"/>
        <v>#N/A</v>
      </c>
      <c r="AD271" t="e">
        <f t="shared" ca="1" si="72"/>
        <v>#N/A</v>
      </c>
      <c r="AE271" s="83" t="e">
        <f ca="1"/>
        <v>#N/A</v>
      </c>
      <c r="AF271" s="55" t="e">
        <f t="shared" ca="1" si="81"/>
        <v>#N/A</v>
      </c>
      <c r="AG271" s="55" t="e">
        <f t="shared" ca="1" si="82"/>
        <v>#N/A</v>
      </c>
      <c r="AH271" s="55" t="e">
        <f t="shared" ca="1" si="83"/>
        <v>#N/A</v>
      </c>
      <c r="AI271" s="55" t="e">
        <f t="shared" ca="1" si="84"/>
        <v>#N/A</v>
      </c>
      <c r="AJ271" s="55" t="e">
        <f t="shared" ca="1" si="78"/>
        <v>#N/A</v>
      </c>
      <c r="AK271" s="55" t="e">
        <f t="shared" ca="1" si="79"/>
        <v>#N/A</v>
      </c>
      <c r="AL271" s="55" t="e">
        <f t="shared" ca="1" si="80"/>
        <v>#N/A</v>
      </c>
      <c r="AM271" s="55"/>
    </row>
    <row r="272" spans="18:39">
      <c r="R272" s="83" t="e">
        <f ca="1"/>
        <v>#N/A</v>
      </c>
      <c r="S272" s="55" t="e">
        <f t="shared" ca="1" si="73"/>
        <v>#N/A</v>
      </c>
      <c r="T272" s="55" t="e">
        <f t="shared" ca="1" si="66"/>
        <v>#N/A</v>
      </c>
      <c r="U272" s="55" t="e">
        <f t="shared" ca="1" si="67"/>
        <v>#N/A</v>
      </c>
      <c r="V272" s="55" t="e">
        <f t="shared" ca="1" si="68"/>
        <v>#N/A</v>
      </c>
      <c r="W272" s="55" t="e">
        <f t="shared" ca="1" si="74"/>
        <v>#N/A</v>
      </c>
      <c r="X272" s="55" t="e">
        <f t="shared" ca="1" si="75"/>
        <v>#N/A</v>
      </c>
      <c r="Y272" s="55" t="e">
        <f t="shared" ca="1" si="76"/>
        <v>#N/A</v>
      </c>
      <c r="Z272" s="55" t="e">
        <f t="shared" ca="1" si="69"/>
        <v>#N/A</v>
      </c>
      <c r="AA272" t="e">
        <f t="shared" ca="1" si="70"/>
        <v>#N/A</v>
      </c>
      <c r="AB272" t="e">
        <f t="shared" ca="1" si="77"/>
        <v>#N/A</v>
      </c>
      <c r="AC272" t="e">
        <f t="shared" ca="1" si="71"/>
        <v>#N/A</v>
      </c>
      <c r="AD272" t="e">
        <f t="shared" ca="1" si="72"/>
        <v>#N/A</v>
      </c>
      <c r="AE272" s="83" t="e">
        <f ca="1"/>
        <v>#N/A</v>
      </c>
      <c r="AF272" s="55" t="e">
        <f t="shared" ca="1" si="81"/>
        <v>#N/A</v>
      </c>
      <c r="AG272" s="55" t="e">
        <f t="shared" ca="1" si="82"/>
        <v>#N/A</v>
      </c>
      <c r="AH272" s="55" t="e">
        <f t="shared" ca="1" si="83"/>
        <v>#N/A</v>
      </c>
      <c r="AI272" s="55" t="e">
        <f t="shared" ca="1" si="84"/>
        <v>#N/A</v>
      </c>
      <c r="AJ272" s="55" t="e">
        <f t="shared" ca="1" si="78"/>
        <v>#N/A</v>
      </c>
      <c r="AK272" s="55" t="e">
        <f t="shared" ca="1" si="79"/>
        <v>#N/A</v>
      </c>
      <c r="AL272" s="55" t="e">
        <f t="shared" ca="1" si="80"/>
        <v>#N/A</v>
      </c>
      <c r="AM272" s="55"/>
    </row>
    <row r="273" spans="18:39">
      <c r="R273" s="83" t="e">
        <f ca="1"/>
        <v>#N/A</v>
      </c>
      <c r="S273" s="55" t="e">
        <f t="shared" ca="1" si="73"/>
        <v>#N/A</v>
      </c>
      <c r="T273" s="55" t="e">
        <f t="shared" ca="1" si="66"/>
        <v>#N/A</v>
      </c>
      <c r="U273" s="55" t="e">
        <f t="shared" ca="1" si="67"/>
        <v>#N/A</v>
      </c>
      <c r="V273" s="55" t="e">
        <f t="shared" ca="1" si="68"/>
        <v>#N/A</v>
      </c>
      <c r="W273" s="55" t="e">
        <f t="shared" ca="1" si="74"/>
        <v>#N/A</v>
      </c>
      <c r="X273" s="55" t="e">
        <f t="shared" ca="1" si="75"/>
        <v>#N/A</v>
      </c>
      <c r="Y273" s="55" t="e">
        <f t="shared" ca="1" si="76"/>
        <v>#N/A</v>
      </c>
      <c r="Z273" s="55" t="e">
        <f t="shared" ca="1" si="69"/>
        <v>#N/A</v>
      </c>
      <c r="AA273" t="e">
        <f t="shared" ca="1" si="70"/>
        <v>#N/A</v>
      </c>
      <c r="AB273" t="e">
        <f t="shared" ca="1" si="77"/>
        <v>#N/A</v>
      </c>
      <c r="AC273" t="e">
        <f t="shared" ca="1" si="71"/>
        <v>#N/A</v>
      </c>
      <c r="AD273" t="e">
        <f t="shared" ca="1" si="72"/>
        <v>#N/A</v>
      </c>
      <c r="AE273" s="83" t="e">
        <f ca="1"/>
        <v>#N/A</v>
      </c>
      <c r="AF273" s="55" t="e">
        <f t="shared" ca="1" si="81"/>
        <v>#N/A</v>
      </c>
      <c r="AG273" s="55" t="e">
        <f t="shared" ca="1" si="82"/>
        <v>#N/A</v>
      </c>
      <c r="AH273" s="55" t="e">
        <f t="shared" ca="1" si="83"/>
        <v>#N/A</v>
      </c>
      <c r="AI273" s="55" t="e">
        <f t="shared" ca="1" si="84"/>
        <v>#N/A</v>
      </c>
      <c r="AJ273" s="55" t="e">
        <f t="shared" ca="1" si="78"/>
        <v>#N/A</v>
      </c>
      <c r="AK273" s="55" t="e">
        <f t="shared" ca="1" si="79"/>
        <v>#N/A</v>
      </c>
      <c r="AL273" s="55" t="e">
        <f t="shared" ca="1" si="80"/>
        <v>#N/A</v>
      </c>
      <c r="AM273" s="55"/>
    </row>
    <row r="274" spans="18:39">
      <c r="R274" s="83" t="e">
        <f ca="1"/>
        <v>#N/A</v>
      </c>
      <c r="S274" s="55" t="e">
        <f t="shared" ca="1" si="73"/>
        <v>#N/A</v>
      </c>
      <c r="T274" s="55" t="e">
        <f t="shared" ref="T274:T337" ca="1" si="85">VLOOKUP(S274,ModelOutputs,2,FALSE)</f>
        <v>#N/A</v>
      </c>
      <c r="U274" s="55" t="e">
        <f t="shared" ref="U274:U337" ca="1" si="86">VLOOKUP(S274,ModelOutputs,7,FALSE)</f>
        <v>#N/A</v>
      </c>
      <c r="V274" s="55" t="e">
        <f t="shared" ref="V274:V337" ca="1" si="87">VLOOKUP(S274,ModelOutputs,6,FALSE)</f>
        <v>#N/A</v>
      </c>
      <c r="W274" s="55" t="e">
        <f t="shared" ca="1" si="74"/>
        <v>#N/A</v>
      </c>
      <c r="X274" s="55" t="e">
        <f t="shared" ca="1" si="75"/>
        <v>#N/A</v>
      </c>
      <c r="Y274" s="55" t="e">
        <f t="shared" ca="1" si="76"/>
        <v>#N/A</v>
      </c>
      <c r="Z274" s="55" t="e">
        <f t="shared" ref="Z274:Z337" ca="1" si="88">VLOOKUP(S274,ModelOutputs,3,FALSE)*14</f>
        <v>#N/A</v>
      </c>
      <c r="AA274" t="e">
        <f t="shared" ref="AA274:AA337" ca="1" si="89">VLOOKUP(S274,ModelOutputs,10,FALSE)*AWC</f>
        <v>#N/A</v>
      </c>
      <c r="AB274" t="e">
        <f t="shared" ca="1" si="77"/>
        <v>#N/A</v>
      </c>
      <c r="AC274" t="e">
        <f t="shared" ref="AC274:AC337" ca="1" si="90">VLOOKUP(S274,ModelOutputs,12,FALSE)</f>
        <v>#N/A</v>
      </c>
      <c r="AD274" t="e">
        <f t="shared" ref="AD274:AD337" ca="1" si="91">VLOOKUP(S274,ModelOutputs,13,FALSE)</f>
        <v>#N/A</v>
      </c>
      <c r="AE274" s="83" t="e">
        <f ca="1"/>
        <v>#N/A</v>
      </c>
      <c r="AF274" s="55" t="e">
        <f t="shared" ca="1" si="81"/>
        <v>#N/A</v>
      </c>
      <c r="AG274" s="55" t="e">
        <f t="shared" ca="1" si="82"/>
        <v>#N/A</v>
      </c>
      <c r="AH274" s="55" t="e">
        <f t="shared" ca="1" si="83"/>
        <v>#N/A</v>
      </c>
      <c r="AI274" s="55" t="e">
        <f t="shared" ca="1" si="84"/>
        <v>#N/A</v>
      </c>
      <c r="AJ274" s="55" t="e">
        <f t="shared" ca="1" si="78"/>
        <v>#N/A</v>
      </c>
      <c r="AK274" s="55" t="e">
        <f t="shared" ca="1" si="79"/>
        <v>#N/A</v>
      </c>
      <c r="AL274" s="55" t="e">
        <f t="shared" ca="1" si="80"/>
        <v>#N/A</v>
      </c>
      <c r="AM274" s="55"/>
    </row>
    <row r="275" spans="18:39">
      <c r="R275" s="83" t="e">
        <f ca="1"/>
        <v>#N/A</v>
      </c>
      <c r="S275" s="55" t="e">
        <f t="shared" ref="S275:S338" ca="1" si="92">IF(R275&gt;1,R275,"")</f>
        <v>#N/A</v>
      </c>
      <c r="T275" s="55" t="e">
        <f t="shared" ca="1" si="85"/>
        <v>#N/A</v>
      </c>
      <c r="U275" s="55" t="e">
        <f t="shared" ca="1" si="86"/>
        <v>#N/A</v>
      </c>
      <c r="V275" s="55" t="e">
        <f t="shared" ca="1" si="87"/>
        <v>#N/A</v>
      </c>
      <c r="W275" s="55" t="e">
        <f t="shared" ref="W275:W338" ca="1" si="93">-VLOOKUP(S275,ModelOutputs,9,FALSE)+W274</f>
        <v>#N/A</v>
      </c>
      <c r="X275" s="55" t="e">
        <f t="shared" ref="X275:X338" ca="1" si="94">VLOOKUP(S275,ModelOutputs,5,FALSE)+X274</f>
        <v>#N/A</v>
      </c>
      <c r="Y275" s="55" t="e">
        <f t="shared" ref="Y275:Y338" ca="1" si="95">VLOOKUP(S275,ModelOutputs,4,FALSE)+Y274</f>
        <v>#N/A</v>
      </c>
      <c r="Z275" s="55" t="e">
        <f t="shared" ca="1" si="88"/>
        <v>#N/A</v>
      </c>
      <c r="AA275" t="e">
        <f t="shared" ca="1" si="89"/>
        <v>#N/A</v>
      </c>
      <c r="AB275" t="e">
        <f t="shared" ref="AB275:AB338" ca="1" si="96">VLOOKUP(S275,ModelOutputs,11,FALSE)+AB274</f>
        <v>#N/A</v>
      </c>
      <c r="AC275" t="e">
        <f t="shared" ca="1" si="90"/>
        <v>#N/A</v>
      </c>
      <c r="AD275" t="e">
        <f t="shared" ca="1" si="91"/>
        <v>#N/A</v>
      </c>
      <c r="AE275" s="83" t="e">
        <f ca="1"/>
        <v>#N/A</v>
      </c>
      <c r="AF275" s="55" t="e">
        <f t="shared" ca="1" si="81"/>
        <v>#N/A</v>
      </c>
      <c r="AG275" s="55" t="e">
        <f t="shared" ca="1" si="82"/>
        <v>#N/A</v>
      </c>
      <c r="AH275" s="55" t="e">
        <f t="shared" ca="1" si="83"/>
        <v>#N/A</v>
      </c>
      <c r="AI275" s="55" t="e">
        <f t="shared" ca="1" si="84"/>
        <v>#N/A</v>
      </c>
      <c r="AJ275" s="55" t="e">
        <f t="shared" ref="AJ275:AJ338" ca="1" si="97">-VLOOKUP(AF275,ModelOutputs,9,FALSE)+AJ274</f>
        <v>#N/A</v>
      </c>
      <c r="AK275" s="55" t="e">
        <f t="shared" ref="AK275:AK338" ca="1" si="98">VLOOKUP(AF275,ModelOutputs,5,FALSE)+AK274</f>
        <v>#N/A</v>
      </c>
      <c r="AL275" s="55" t="e">
        <f t="shared" ref="AL275:AL338" ca="1" si="99">VLOOKUP(AF275,ModelOutputs,4,FALSE)+AL274</f>
        <v>#N/A</v>
      </c>
      <c r="AM275" s="55"/>
    </row>
    <row r="276" spans="18:39">
      <c r="R276" s="83" t="e">
        <f ca="1"/>
        <v>#N/A</v>
      </c>
      <c r="S276" s="55" t="e">
        <f t="shared" ca="1" si="92"/>
        <v>#N/A</v>
      </c>
      <c r="T276" s="55" t="e">
        <f t="shared" ca="1" si="85"/>
        <v>#N/A</v>
      </c>
      <c r="U276" s="55" t="e">
        <f t="shared" ca="1" si="86"/>
        <v>#N/A</v>
      </c>
      <c r="V276" s="55" t="e">
        <f t="shared" ca="1" si="87"/>
        <v>#N/A</v>
      </c>
      <c r="W276" s="55" t="e">
        <f t="shared" ca="1" si="93"/>
        <v>#N/A</v>
      </c>
      <c r="X276" s="55" t="e">
        <f t="shared" ca="1" si="94"/>
        <v>#N/A</v>
      </c>
      <c r="Y276" s="55" t="e">
        <f t="shared" ca="1" si="95"/>
        <v>#N/A</v>
      </c>
      <c r="Z276" s="55" t="e">
        <f t="shared" ca="1" si="88"/>
        <v>#N/A</v>
      </c>
      <c r="AA276" t="e">
        <f t="shared" ca="1" si="89"/>
        <v>#N/A</v>
      </c>
      <c r="AB276" t="e">
        <f t="shared" ca="1" si="96"/>
        <v>#N/A</v>
      </c>
      <c r="AC276" t="e">
        <f t="shared" ca="1" si="90"/>
        <v>#N/A</v>
      </c>
      <c r="AD276" t="e">
        <f t="shared" ca="1" si="91"/>
        <v>#N/A</v>
      </c>
      <c r="AE276" s="83" t="e">
        <f ca="1"/>
        <v>#N/A</v>
      </c>
      <c r="AF276" s="55" t="e">
        <f t="shared" ca="1" si="81"/>
        <v>#N/A</v>
      </c>
      <c r="AG276" s="55" t="e">
        <f t="shared" ca="1" si="82"/>
        <v>#N/A</v>
      </c>
      <c r="AH276" s="55" t="e">
        <f t="shared" ca="1" si="83"/>
        <v>#N/A</v>
      </c>
      <c r="AI276" s="55" t="e">
        <f t="shared" ca="1" si="84"/>
        <v>#N/A</v>
      </c>
      <c r="AJ276" s="55" t="e">
        <f t="shared" ca="1" si="97"/>
        <v>#N/A</v>
      </c>
      <c r="AK276" s="55" t="e">
        <f t="shared" ca="1" si="98"/>
        <v>#N/A</v>
      </c>
      <c r="AL276" s="55" t="e">
        <f t="shared" ca="1" si="99"/>
        <v>#N/A</v>
      </c>
      <c r="AM276" s="55"/>
    </row>
    <row r="277" spans="18:39">
      <c r="R277" s="83" t="e">
        <f ca="1"/>
        <v>#N/A</v>
      </c>
      <c r="S277" s="55" t="e">
        <f t="shared" ca="1" si="92"/>
        <v>#N/A</v>
      </c>
      <c r="T277" s="55" t="e">
        <f t="shared" ca="1" si="85"/>
        <v>#N/A</v>
      </c>
      <c r="U277" s="55" t="e">
        <f t="shared" ca="1" si="86"/>
        <v>#N/A</v>
      </c>
      <c r="V277" s="55" t="e">
        <f t="shared" ca="1" si="87"/>
        <v>#N/A</v>
      </c>
      <c r="W277" s="55" t="e">
        <f t="shared" ca="1" si="93"/>
        <v>#N/A</v>
      </c>
      <c r="X277" s="55" t="e">
        <f t="shared" ca="1" si="94"/>
        <v>#N/A</v>
      </c>
      <c r="Y277" s="55" t="e">
        <f t="shared" ca="1" si="95"/>
        <v>#N/A</v>
      </c>
      <c r="Z277" s="55" t="e">
        <f t="shared" ca="1" si="88"/>
        <v>#N/A</v>
      </c>
      <c r="AA277" t="e">
        <f t="shared" ca="1" si="89"/>
        <v>#N/A</v>
      </c>
      <c r="AB277" t="e">
        <f t="shared" ca="1" si="96"/>
        <v>#N/A</v>
      </c>
      <c r="AC277" t="e">
        <f t="shared" ca="1" si="90"/>
        <v>#N/A</v>
      </c>
      <c r="AD277" t="e">
        <f t="shared" ca="1" si="91"/>
        <v>#N/A</v>
      </c>
      <c r="AE277" s="83" t="e">
        <f ca="1"/>
        <v>#N/A</v>
      </c>
      <c r="AF277" s="55" t="e">
        <f t="shared" ref="AF277:AF340" ca="1" si="100">IF(AE277&gt;1,AE277,"")</f>
        <v>#N/A</v>
      </c>
      <c r="AG277" s="55" t="e">
        <f t="shared" ref="AG277:AG340" ca="1" si="101">VLOOKUP(AF277,ModelOutputs,2,FALSE)</f>
        <v>#N/A</v>
      </c>
      <c r="AH277" s="55" t="e">
        <f t="shared" ref="AH277:AH340" ca="1" si="102">VLOOKUP(AF277,ModelOutputs,7,FALSE)</f>
        <v>#N/A</v>
      </c>
      <c r="AI277" s="55" t="e">
        <f t="shared" ref="AI277:AI340" ca="1" si="103">VLOOKUP(AF277,ModelOutputs,6,FALSE)</f>
        <v>#N/A</v>
      </c>
      <c r="AJ277" s="55" t="e">
        <f t="shared" ca="1" si="97"/>
        <v>#N/A</v>
      </c>
      <c r="AK277" s="55" t="e">
        <f t="shared" ca="1" si="98"/>
        <v>#N/A</v>
      </c>
      <c r="AL277" s="55" t="e">
        <f t="shared" ca="1" si="99"/>
        <v>#N/A</v>
      </c>
      <c r="AM277" s="55"/>
    </row>
    <row r="278" spans="18:39">
      <c r="R278" s="83" t="e">
        <f ca="1"/>
        <v>#N/A</v>
      </c>
      <c r="S278" s="55" t="e">
        <f t="shared" ca="1" si="92"/>
        <v>#N/A</v>
      </c>
      <c r="T278" s="55" t="e">
        <f t="shared" ca="1" si="85"/>
        <v>#N/A</v>
      </c>
      <c r="U278" s="55" t="e">
        <f t="shared" ca="1" si="86"/>
        <v>#N/A</v>
      </c>
      <c r="V278" s="55" t="e">
        <f t="shared" ca="1" si="87"/>
        <v>#N/A</v>
      </c>
      <c r="W278" s="55" t="e">
        <f t="shared" ca="1" si="93"/>
        <v>#N/A</v>
      </c>
      <c r="X278" s="55" t="e">
        <f t="shared" ca="1" si="94"/>
        <v>#N/A</v>
      </c>
      <c r="Y278" s="55" t="e">
        <f t="shared" ca="1" si="95"/>
        <v>#N/A</v>
      </c>
      <c r="Z278" s="55" t="e">
        <f t="shared" ca="1" si="88"/>
        <v>#N/A</v>
      </c>
      <c r="AA278" t="e">
        <f t="shared" ca="1" si="89"/>
        <v>#N/A</v>
      </c>
      <c r="AB278" t="e">
        <f t="shared" ca="1" si="96"/>
        <v>#N/A</v>
      </c>
      <c r="AC278" t="e">
        <f t="shared" ca="1" si="90"/>
        <v>#N/A</v>
      </c>
      <c r="AD278" t="e">
        <f t="shared" ca="1" si="91"/>
        <v>#N/A</v>
      </c>
      <c r="AE278" s="83" t="e">
        <f ca="1"/>
        <v>#N/A</v>
      </c>
      <c r="AF278" s="55" t="e">
        <f t="shared" ca="1" si="100"/>
        <v>#N/A</v>
      </c>
      <c r="AG278" s="55" t="e">
        <f t="shared" ca="1" si="101"/>
        <v>#N/A</v>
      </c>
      <c r="AH278" s="55" t="e">
        <f t="shared" ca="1" si="102"/>
        <v>#N/A</v>
      </c>
      <c r="AI278" s="55" t="e">
        <f t="shared" ca="1" si="103"/>
        <v>#N/A</v>
      </c>
      <c r="AJ278" s="55" t="e">
        <f t="shared" ca="1" si="97"/>
        <v>#N/A</v>
      </c>
      <c r="AK278" s="55" t="e">
        <f t="shared" ca="1" si="98"/>
        <v>#N/A</v>
      </c>
      <c r="AL278" s="55" t="e">
        <f t="shared" ca="1" si="99"/>
        <v>#N/A</v>
      </c>
      <c r="AM278" s="55"/>
    </row>
    <row r="279" spans="18:39">
      <c r="R279" s="83" t="e">
        <f ca="1"/>
        <v>#N/A</v>
      </c>
      <c r="S279" s="55" t="e">
        <f t="shared" ca="1" si="92"/>
        <v>#N/A</v>
      </c>
      <c r="T279" s="55" t="e">
        <f t="shared" ca="1" si="85"/>
        <v>#N/A</v>
      </c>
      <c r="U279" s="55" t="e">
        <f t="shared" ca="1" si="86"/>
        <v>#N/A</v>
      </c>
      <c r="V279" s="55" t="e">
        <f t="shared" ca="1" si="87"/>
        <v>#N/A</v>
      </c>
      <c r="W279" s="55" t="e">
        <f t="shared" ca="1" si="93"/>
        <v>#N/A</v>
      </c>
      <c r="X279" s="55" t="e">
        <f t="shared" ca="1" si="94"/>
        <v>#N/A</v>
      </c>
      <c r="Y279" s="55" t="e">
        <f t="shared" ca="1" si="95"/>
        <v>#N/A</v>
      </c>
      <c r="Z279" s="55" t="e">
        <f t="shared" ca="1" si="88"/>
        <v>#N/A</v>
      </c>
      <c r="AA279" t="e">
        <f t="shared" ca="1" si="89"/>
        <v>#N/A</v>
      </c>
      <c r="AB279" t="e">
        <f t="shared" ca="1" si="96"/>
        <v>#N/A</v>
      </c>
      <c r="AC279" t="e">
        <f t="shared" ca="1" si="90"/>
        <v>#N/A</v>
      </c>
      <c r="AD279" t="e">
        <f t="shared" ca="1" si="91"/>
        <v>#N/A</v>
      </c>
      <c r="AE279" s="83" t="e">
        <f ca="1"/>
        <v>#N/A</v>
      </c>
      <c r="AF279" s="55" t="e">
        <f t="shared" ca="1" si="100"/>
        <v>#N/A</v>
      </c>
      <c r="AG279" s="55" t="e">
        <f t="shared" ca="1" si="101"/>
        <v>#N/A</v>
      </c>
      <c r="AH279" s="55" t="e">
        <f t="shared" ca="1" si="102"/>
        <v>#N/A</v>
      </c>
      <c r="AI279" s="55" t="e">
        <f t="shared" ca="1" si="103"/>
        <v>#N/A</v>
      </c>
      <c r="AJ279" s="55" t="e">
        <f t="shared" ca="1" si="97"/>
        <v>#N/A</v>
      </c>
      <c r="AK279" s="55" t="e">
        <f t="shared" ca="1" si="98"/>
        <v>#N/A</v>
      </c>
      <c r="AL279" s="55" t="e">
        <f t="shared" ca="1" si="99"/>
        <v>#N/A</v>
      </c>
      <c r="AM279" s="55"/>
    </row>
    <row r="280" spans="18:39">
      <c r="R280" s="83" t="e">
        <f ca="1"/>
        <v>#N/A</v>
      </c>
      <c r="S280" s="55" t="e">
        <f t="shared" ca="1" si="92"/>
        <v>#N/A</v>
      </c>
      <c r="T280" s="55" t="e">
        <f t="shared" ca="1" si="85"/>
        <v>#N/A</v>
      </c>
      <c r="U280" s="55" t="e">
        <f t="shared" ca="1" si="86"/>
        <v>#N/A</v>
      </c>
      <c r="V280" s="55" t="e">
        <f t="shared" ca="1" si="87"/>
        <v>#N/A</v>
      </c>
      <c r="W280" s="55" t="e">
        <f t="shared" ca="1" si="93"/>
        <v>#N/A</v>
      </c>
      <c r="X280" s="55" t="e">
        <f t="shared" ca="1" si="94"/>
        <v>#N/A</v>
      </c>
      <c r="Y280" s="55" t="e">
        <f t="shared" ca="1" si="95"/>
        <v>#N/A</v>
      </c>
      <c r="Z280" s="55" t="e">
        <f t="shared" ca="1" si="88"/>
        <v>#N/A</v>
      </c>
      <c r="AA280" t="e">
        <f t="shared" ca="1" si="89"/>
        <v>#N/A</v>
      </c>
      <c r="AB280" t="e">
        <f t="shared" ca="1" si="96"/>
        <v>#N/A</v>
      </c>
      <c r="AC280" t="e">
        <f t="shared" ca="1" si="90"/>
        <v>#N/A</v>
      </c>
      <c r="AD280" t="e">
        <f t="shared" ca="1" si="91"/>
        <v>#N/A</v>
      </c>
      <c r="AE280" s="83" t="e">
        <f ca="1"/>
        <v>#N/A</v>
      </c>
      <c r="AF280" s="55" t="e">
        <f t="shared" ca="1" si="100"/>
        <v>#N/A</v>
      </c>
      <c r="AG280" s="55" t="e">
        <f t="shared" ca="1" si="101"/>
        <v>#N/A</v>
      </c>
      <c r="AH280" s="55" t="e">
        <f t="shared" ca="1" si="102"/>
        <v>#N/A</v>
      </c>
      <c r="AI280" s="55" t="e">
        <f t="shared" ca="1" si="103"/>
        <v>#N/A</v>
      </c>
      <c r="AJ280" s="55" t="e">
        <f t="shared" ca="1" si="97"/>
        <v>#N/A</v>
      </c>
      <c r="AK280" s="55" t="e">
        <f t="shared" ca="1" si="98"/>
        <v>#N/A</v>
      </c>
      <c r="AL280" s="55" t="e">
        <f t="shared" ca="1" si="99"/>
        <v>#N/A</v>
      </c>
      <c r="AM280" s="55"/>
    </row>
    <row r="281" spans="18:39">
      <c r="R281" s="83" t="e">
        <f ca="1"/>
        <v>#N/A</v>
      </c>
      <c r="S281" s="55" t="e">
        <f t="shared" ca="1" si="92"/>
        <v>#N/A</v>
      </c>
      <c r="T281" s="55" t="e">
        <f t="shared" ca="1" si="85"/>
        <v>#N/A</v>
      </c>
      <c r="U281" s="55" t="e">
        <f t="shared" ca="1" si="86"/>
        <v>#N/A</v>
      </c>
      <c r="V281" s="55" t="e">
        <f t="shared" ca="1" si="87"/>
        <v>#N/A</v>
      </c>
      <c r="W281" s="55" t="e">
        <f t="shared" ca="1" si="93"/>
        <v>#N/A</v>
      </c>
      <c r="X281" s="55" t="e">
        <f t="shared" ca="1" si="94"/>
        <v>#N/A</v>
      </c>
      <c r="Y281" s="55" t="e">
        <f t="shared" ca="1" si="95"/>
        <v>#N/A</v>
      </c>
      <c r="Z281" s="55" t="e">
        <f t="shared" ca="1" si="88"/>
        <v>#N/A</v>
      </c>
      <c r="AA281" t="e">
        <f t="shared" ca="1" si="89"/>
        <v>#N/A</v>
      </c>
      <c r="AB281" t="e">
        <f t="shared" ca="1" si="96"/>
        <v>#N/A</v>
      </c>
      <c r="AC281" t="e">
        <f t="shared" ca="1" si="90"/>
        <v>#N/A</v>
      </c>
      <c r="AD281" t="e">
        <f t="shared" ca="1" si="91"/>
        <v>#N/A</v>
      </c>
      <c r="AE281" s="83" t="e">
        <f ca="1"/>
        <v>#N/A</v>
      </c>
      <c r="AF281" s="55" t="e">
        <f t="shared" ca="1" si="100"/>
        <v>#N/A</v>
      </c>
      <c r="AG281" s="55" t="e">
        <f t="shared" ca="1" si="101"/>
        <v>#N/A</v>
      </c>
      <c r="AH281" s="55" t="e">
        <f t="shared" ca="1" si="102"/>
        <v>#N/A</v>
      </c>
      <c r="AI281" s="55" t="e">
        <f t="shared" ca="1" si="103"/>
        <v>#N/A</v>
      </c>
      <c r="AJ281" s="55" t="e">
        <f t="shared" ca="1" si="97"/>
        <v>#N/A</v>
      </c>
      <c r="AK281" s="55" t="e">
        <f t="shared" ca="1" si="98"/>
        <v>#N/A</v>
      </c>
      <c r="AL281" s="55" t="e">
        <f t="shared" ca="1" si="99"/>
        <v>#N/A</v>
      </c>
      <c r="AM281" s="55"/>
    </row>
    <row r="282" spans="18:39">
      <c r="R282" s="83" t="e">
        <f ca="1"/>
        <v>#N/A</v>
      </c>
      <c r="S282" s="55" t="e">
        <f t="shared" ca="1" si="92"/>
        <v>#N/A</v>
      </c>
      <c r="T282" s="55" t="e">
        <f t="shared" ca="1" si="85"/>
        <v>#N/A</v>
      </c>
      <c r="U282" s="55" t="e">
        <f t="shared" ca="1" si="86"/>
        <v>#N/A</v>
      </c>
      <c r="V282" s="55" t="e">
        <f t="shared" ca="1" si="87"/>
        <v>#N/A</v>
      </c>
      <c r="W282" s="55" t="e">
        <f t="shared" ca="1" si="93"/>
        <v>#N/A</v>
      </c>
      <c r="X282" s="55" t="e">
        <f t="shared" ca="1" si="94"/>
        <v>#N/A</v>
      </c>
      <c r="Y282" s="55" t="e">
        <f t="shared" ca="1" si="95"/>
        <v>#N/A</v>
      </c>
      <c r="Z282" s="55" t="e">
        <f t="shared" ca="1" si="88"/>
        <v>#N/A</v>
      </c>
      <c r="AA282" t="e">
        <f t="shared" ca="1" si="89"/>
        <v>#N/A</v>
      </c>
      <c r="AB282" t="e">
        <f t="shared" ca="1" si="96"/>
        <v>#N/A</v>
      </c>
      <c r="AC282" t="e">
        <f t="shared" ca="1" si="90"/>
        <v>#N/A</v>
      </c>
      <c r="AD282" t="e">
        <f t="shared" ca="1" si="91"/>
        <v>#N/A</v>
      </c>
      <c r="AE282" s="83" t="e">
        <f ca="1"/>
        <v>#N/A</v>
      </c>
      <c r="AF282" s="55" t="e">
        <f t="shared" ca="1" si="100"/>
        <v>#N/A</v>
      </c>
      <c r="AG282" s="55" t="e">
        <f t="shared" ca="1" si="101"/>
        <v>#N/A</v>
      </c>
      <c r="AH282" s="55" t="e">
        <f t="shared" ca="1" si="102"/>
        <v>#N/A</v>
      </c>
      <c r="AI282" s="55" t="e">
        <f t="shared" ca="1" si="103"/>
        <v>#N/A</v>
      </c>
      <c r="AJ282" s="55" t="e">
        <f t="shared" ca="1" si="97"/>
        <v>#N/A</v>
      </c>
      <c r="AK282" s="55" t="e">
        <f t="shared" ca="1" si="98"/>
        <v>#N/A</v>
      </c>
      <c r="AL282" s="55" t="e">
        <f t="shared" ca="1" si="99"/>
        <v>#N/A</v>
      </c>
      <c r="AM282" s="55"/>
    </row>
    <row r="283" spans="18:39">
      <c r="R283" s="83" t="e">
        <f ca="1"/>
        <v>#N/A</v>
      </c>
      <c r="S283" s="55" t="e">
        <f t="shared" ca="1" si="92"/>
        <v>#N/A</v>
      </c>
      <c r="T283" s="55" t="e">
        <f t="shared" ca="1" si="85"/>
        <v>#N/A</v>
      </c>
      <c r="U283" s="55" t="e">
        <f t="shared" ca="1" si="86"/>
        <v>#N/A</v>
      </c>
      <c r="V283" s="55" t="e">
        <f t="shared" ca="1" si="87"/>
        <v>#N/A</v>
      </c>
      <c r="W283" s="55" t="e">
        <f t="shared" ca="1" si="93"/>
        <v>#N/A</v>
      </c>
      <c r="X283" s="55" t="e">
        <f t="shared" ca="1" si="94"/>
        <v>#N/A</v>
      </c>
      <c r="Y283" s="55" t="e">
        <f t="shared" ca="1" si="95"/>
        <v>#N/A</v>
      </c>
      <c r="Z283" s="55" t="e">
        <f t="shared" ca="1" si="88"/>
        <v>#N/A</v>
      </c>
      <c r="AA283" t="e">
        <f t="shared" ca="1" si="89"/>
        <v>#N/A</v>
      </c>
      <c r="AB283" t="e">
        <f t="shared" ca="1" si="96"/>
        <v>#N/A</v>
      </c>
      <c r="AC283" t="e">
        <f t="shared" ca="1" si="90"/>
        <v>#N/A</v>
      </c>
      <c r="AD283" t="e">
        <f t="shared" ca="1" si="91"/>
        <v>#N/A</v>
      </c>
      <c r="AE283" s="83" t="e">
        <f ca="1"/>
        <v>#N/A</v>
      </c>
      <c r="AF283" s="55" t="e">
        <f t="shared" ca="1" si="100"/>
        <v>#N/A</v>
      </c>
      <c r="AG283" s="55" t="e">
        <f t="shared" ca="1" si="101"/>
        <v>#N/A</v>
      </c>
      <c r="AH283" s="55" t="e">
        <f t="shared" ca="1" si="102"/>
        <v>#N/A</v>
      </c>
      <c r="AI283" s="55" t="e">
        <f t="shared" ca="1" si="103"/>
        <v>#N/A</v>
      </c>
      <c r="AJ283" s="55" t="e">
        <f t="shared" ca="1" si="97"/>
        <v>#N/A</v>
      </c>
      <c r="AK283" s="55" t="e">
        <f t="shared" ca="1" si="98"/>
        <v>#N/A</v>
      </c>
      <c r="AL283" s="55" t="e">
        <f t="shared" ca="1" si="99"/>
        <v>#N/A</v>
      </c>
      <c r="AM283" s="55"/>
    </row>
    <row r="284" spans="18:39">
      <c r="R284" s="83" t="e">
        <f ca="1"/>
        <v>#N/A</v>
      </c>
      <c r="S284" s="55" t="e">
        <f t="shared" ca="1" si="92"/>
        <v>#N/A</v>
      </c>
      <c r="T284" s="55" t="e">
        <f t="shared" ca="1" si="85"/>
        <v>#N/A</v>
      </c>
      <c r="U284" s="55" t="e">
        <f t="shared" ca="1" si="86"/>
        <v>#N/A</v>
      </c>
      <c r="V284" s="55" t="e">
        <f t="shared" ca="1" si="87"/>
        <v>#N/A</v>
      </c>
      <c r="W284" s="55" t="e">
        <f t="shared" ca="1" si="93"/>
        <v>#N/A</v>
      </c>
      <c r="X284" s="55" t="e">
        <f t="shared" ca="1" si="94"/>
        <v>#N/A</v>
      </c>
      <c r="Y284" s="55" t="e">
        <f t="shared" ca="1" si="95"/>
        <v>#N/A</v>
      </c>
      <c r="Z284" s="55" t="e">
        <f t="shared" ca="1" si="88"/>
        <v>#N/A</v>
      </c>
      <c r="AA284" t="e">
        <f t="shared" ca="1" si="89"/>
        <v>#N/A</v>
      </c>
      <c r="AB284" t="e">
        <f t="shared" ca="1" si="96"/>
        <v>#N/A</v>
      </c>
      <c r="AC284" t="e">
        <f t="shared" ca="1" si="90"/>
        <v>#N/A</v>
      </c>
      <c r="AD284" t="e">
        <f t="shared" ca="1" si="91"/>
        <v>#N/A</v>
      </c>
      <c r="AE284" s="83" t="e">
        <f ca="1"/>
        <v>#N/A</v>
      </c>
      <c r="AF284" s="55" t="e">
        <f t="shared" ca="1" si="100"/>
        <v>#N/A</v>
      </c>
      <c r="AG284" s="55" t="e">
        <f t="shared" ca="1" si="101"/>
        <v>#N/A</v>
      </c>
      <c r="AH284" s="55" t="e">
        <f t="shared" ca="1" si="102"/>
        <v>#N/A</v>
      </c>
      <c r="AI284" s="55" t="e">
        <f t="shared" ca="1" si="103"/>
        <v>#N/A</v>
      </c>
      <c r="AJ284" s="55" t="e">
        <f t="shared" ca="1" si="97"/>
        <v>#N/A</v>
      </c>
      <c r="AK284" s="55" t="e">
        <f t="shared" ca="1" si="98"/>
        <v>#N/A</v>
      </c>
      <c r="AL284" s="55" t="e">
        <f t="shared" ca="1" si="99"/>
        <v>#N/A</v>
      </c>
      <c r="AM284" s="55"/>
    </row>
    <row r="285" spans="18:39">
      <c r="R285" s="83" t="e">
        <f ca="1"/>
        <v>#N/A</v>
      </c>
      <c r="S285" s="55" t="e">
        <f t="shared" ca="1" si="92"/>
        <v>#N/A</v>
      </c>
      <c r="T285" s="55" t="e">
        <f t="shared" ca="1" si="85"/>
        <v>#N/A</v>
      </c>
      <c r="U285" s="55" t="e">
        <f t="shared" ca="1" si="86"/>
        <v>#N/A</v>
      </c>
      <c r="V285" s="55" t="e">
        <f t="shared" ca="1" si="87"/>
        <v>#N/A</v>
      </c>
      <c r="W285" s="55" t="e">
        <f t="shared" ca="1" si="93"/>
        <v>#N/A</v>
      </c>
      <c r="X285" s="55" t="e">
        <f t="shared" ca="1" si="94"/>
        <v>#N/A</v>
      </c>
      <c r="Y285" s="55" t="e">
        <f t="shared" ca="1" si="95"/>
        <v>#N/A</v>
      </c>
      <c r="Z285" s="55" t="e">
        <f t="shared" ca="1" si="88"/>
        <v>#N/A</v>
      </c>
      <c r="AA285" t="e">
        <f t="shared" ca="1" si="89"/>
        <v>#N/A</v>
      </c>
      <c r="AB285" t="e">
        <f t="shared" ca="1" si="96"/>
        <v>#N/A</v>
      </c>
      <c r="AC285" t="e">
        <f t="shared" ca="1" si="90"/>
        <v>#N/A</v>
      </c>
      <c r="AD285" t="e">
        <f t="shared" ca="1" si="91"/>
        <v>#N/A</v>
      </c>
      <c r="AE285" s="83" t="e">
        <f ca="1"/>
        <v>#N/A</v>
      </c>
      <c r="AF285" s="55" t="e">
        <f t="shared" ca="1" si="100"/>
        <v>#N/A</v>
      </c>
      <c r="AG285" s="55" t="e">
        <f t="shared" ca="1" si="101"/>
        <v>#N/A</v>
      </c>
      <c r="AH285" s="55" t="e">
        <f t="shared" ca="1" si="102"/>
        <v>#N/A</v>
      </c>
      <c r="AI285" s="55" t="e">
        <f t="shared" ca="1" si="103"/>
        <v>#N/A</v>
      </c>
      <c r="AJ285" s="55" t="e">
        <f t="shared" ca="1" si="97"/>
        <v>#N/A</v>
      </c>
      <c r="AK285" s="55" t="e">
        <f t="shared" ca="1" si="98"/>
        <v>#N/A</v>
      </c>
      <c r="AL285" s="55" t="e">
        <f t="shared" ca="1" si="99"/>
        <v>#N/A</v>
      </c>
      <c r="AM285" s="55"/>
    </row>
    <row r="286" spans="18:39">
      <c r="R286" s="83" t="e">
        <f ca="1"/>
        <v>#N/A</v>
      </c>
      <c r="S286" s="55" t="e">
        <f t="shared" ca="1" si="92"/>
        <v>#N/A</v>
      </c>
      <c r="T286" s="55" t="e">
        <f t="shared" ca="1" si="85"/>
        <v>#N/A</v>
      </c>
      <c r="U286" s="55" t="e">
        <f t="shared" ca="1" si="86"/>
        <v>#N/A</v>
      </c>
      <c r="V286" s="55" t="e">
        <f t="shared" ca="1" si="87"/>
        <v>#N/A</v>
      </c>
      <c r="W286" s="55" t="e">
        <f t="shared" ca="1" si="93"/>
        <v>#N/A</v>
      </c>
      <c r="X286" s="55" t="e">
        <f t="shared" ca="1" si="94"/>
        <v>#N/A</v>
      </c>
      <c r="Y286" s="55" t="e">
        <f t="shared" ca="1" si="95"/>
        <v>#N/A</v>
      </c>
      <c r="Z286" s="55" t="e">
        <f t="shared" ca="1" si="88"/>
        <v>#N/A</v>
      </c>
      <c r="AA286" t="e">
        <f t="shared" ca="1" si="89"/>
        <v>#N/A</v>
      </c>
      <c r="AB286" t="e">
        <f t="shared" ca="1" si="96"/>
        <v>#N/A</v>
      </c>
      <c r="AC286" t="e">
        <f t="shared" ca="1" si="90"/>
        <v>#N/A</v>
      </c>
      <c r="AD286" t="e">
        <f t="shared" ca="1" si="91"/>
        <v>#N/A</v>
      </c>
      <c r="AE286" s="83" t="e">
        <f ca="1"/>
        <v>#N/A</v>
      </c>
      <c r="AF286" s="55" t="e">
        <f t="shared" ca="1" si="100"/>
        <v>#N/A</v>
      </c>
      <c r="AG286" s="55" t="e">
        <f t="shared" ca="1" si="101"/>
        <v>#N/A</v>
      </c>
      <c r="AH286" s="55" t="e">
        <f t="shared" ca="1" si="102"/>
        <v>#N/A</v>
      </c>
      <c r="AI286" s="55" t="e">
        <f t="shared" ca="1" si="103"/>
        <v>#N/A</v>
      </c>
      <c r="AJ286" s="55" t="e">
        <f t="shared" ca="1" si="97"/>
        <v>#N/A</v>
      </c>
      <c r="AK286" s="55" t="e">
        <f t="shared" ca="1" si="98"/>
        <v>#N/A</v>
      </c>
      <c r="AL286" s="55" t="e">
        <f t="shared" ca="1" si="99"/>
        <v>#N/A</v>
      </c>
      <c r="AM286" s="55"/>
    </row>
    <row r="287" spans="18:39">
      <c r="R287" s="83" t="e">
        <f ca="1"/>
        <v>#N/A</v>
      </c>
      <c r="S287" s="55" t="e">
        <f t="shared" ca="1" si="92"/>
        <v>#N/A</v>
      </c>
      <c r="T287" s="55" t="e">
        <f t="shared" ca="1" si="85"/>
        <v>#N/A</v>
      </c>
      <c r="U287" s="55" t="e">
        <f t="shared" ca="1" si="86"/>
        <v>#N/A</v>
      </c>
      <c r="V287" s="55" t="e">
        <f t="shared" ca="1" si="87"/>
        <v>#N/A</v>
      </c>
      <c r="W287" s="55" t="e">
        <f t="shared" ca="1" si="93"/>
        <v>#N/A</v>
      </c>
      <c r="X287" s="55" t="e">
        <f t="shared" ca="1" si="94"/>
        <v>#N/A</v>
      </c>
      <c r="Y287" s="55" t="e">
        <f t="shared" ca="1" si="95"/>
        <v>#N/A</v>
      </c>
      <c r="Z287" s="55" t="e">
        <f t="shared" ca="1" si="88"/>
        <v>#N/A</v>
      </c>
      <c r="AA287" t="e">
        <f t="shared" ca="1" si="89"/>
        <v>#N/A</v>
      </c>
      <c r="AB287" t="e">
        <f t="shared" ca="1" si="96"/>
        <v>#N/A</v>
      </c>
      <c r="AC287" t="e">
        <f t="shared" ca="1" si="90"/>
        <v>#N/A</v>
      </c>
      <c r="AD287" t="e">
        <f t="shared" ca="1" si="91"/>
        <v>#N/A</v>
      </c>
      <c r="AE287" s="83" t="e">
        <f ca="1"/>
        <v>#N/A</v>
      </c>
      <c r="AF287" s="55" t="e">
        <f t="shared" ca="1" si="100"/>
        <v>#N/A</v>
      </c>
      <c r="AG287" s="55" t="e">
        <f t="shared" ca="1" si="101"/>
        <v>#N/A</v>
      </c>
      <c r="AH287" s="55" t="e">
        <f t="shared" ca="1" si="102"/>
        <v>#N/A</v>
      </c>
      <c r="AI287" s="55" t="e">
        <f t="shared" ca="1" si="103"/>
        <v>#N/A</v>
      </c>
      <c r="AJ287" s="55" t="e">
        <f t="shared" ca="1" si="97"/>
        <v>#N/A</v>
      </c>
      <c r="AK287" s="55" t="e">
        <f t="shared" ca="1" si="98"/>
        <v>#N/A</v>
      </c>
      <c r="AL287" s="55" t="e">
        <f t="shared" ca="1" si="99"/>
        <v>#N/A</v>
      </c>
      <c r="AM287" s="55"/>
    </row>
    <row r="288" spans="18:39">
      <c r="R288" s="83" t="e">
        <f ca="1"/>
        <v>#N/A</v>
      </c>
      <c r="S288" s="55" t="e">
        <f t="shared" ca="1" si="92"/>
        <v>#N/A</v>
      </c>
      <c r="T288" s="55" t="e">
        <f t="shared" ca="1" si="85"/>
        <v>#N/A</v>
      </c>
      <c r="U288" s="55" t="e">
        <f t="shared" ca="1" si="86"/>
        <v>#N/A</v>
      </c>
      <c r="V288" s="55" t="e">
        <f t="shared" ca="1" si="87"/>
        <v>#N/A</v>
      </c>
      <c r="W288" s="55" t="e">
        <f t="shared" ca="1" si="93"/>
        <v>#N/A</v>
      </c>
      <c r="X288" s="55" t="e">
        <f t="shared" ca="1" si="94"/>
        <v>#N/A</v>
      </c>
      <c r="Y288" s="55" t="e">
        <f t="shared" ca="1" si="95"/>
        <v>#N/A</v>
      </c>
      <c r="Z288" s="55" t="e">
        <f t="shared" ca="1" si="88"/>
        <v>#N/A</v>
      </c>
      <c r="AA288" t="e">
        <f t="shared" ca="1" si="89"/>
        <v>#N/A</v>
      </c>
      <c r="AB288" t="e">
        <f t="shared" ca="1" si="96"/>
        <v>#N/A</v>
      </c>
      <c r="AC288" t="e">
        <f t="shared" ca="1" si="90"/>
        <v>#N/A</v>
      </c>
      <c r="AD288" t="e">
        <f t="shared" ca="1" si="91"/>
        <v>#N/A</v>
      </c>
      <c r="AE288" s="83" t="e">
        <f ca="1"/>
        <v>#N/A</v>
      </c>
      <c r="AF288" s="55" t="e">
        <f t="shared" ca="1" si="100"/>
        <v>#N/A</v>
      </c>
      <c r="AG288" s="55" t="e">
        <f t="shared" ca="1" si="101"/>
        <v>#N/A</v>
      </c>
      <c r="AH288" s="55" t="e">
        <f t="shared" ca="1" si="102"/>
        <v>#N/A</v>
      </c>
      <c r="AI288" s="55" t="e">
        <f t="shared" ca="1" si="103"/>
        <v>#N/A</v>
      </c>
      <c r="AJ288" s="55" t="e">
        <f t="shared" ca="1" si="97"/>
        <v>#N/A</v>
      </c>
      <c r="AK288" s="55" t="e">
        <f t="shared" ca="1" si="98"/>
        <v>#N/A</v>
      </c>
      <c r="AL288" s="55" t="e">
        <f t="shared" ca="1" si="99"/>
        <v>#N/A</v>
      </c>
      <c r="AM288" s="55"/>
    </row>
    <row r="289" spans="18:39">
      <c r="R289" s="83" t="e">
        <f ca="1"/>
        <v>#N/A</v>
      </c>
      <c r="S289" s="55" t="e">
        <f t="shared" ca="1" si="92"/>
        <v>#N/A</v>
      </c>
      <c r="T289" s="55" t="e">
        <f t="shared" ca="1" si="85"/>
        <v>#N/A</v>
      </c>
      <c r="U289" s="55" t="e">
        <f t="shared" ca="1" si="86"/>
        <v>#N/A</v>
      </c>
      <c r="V289" s="55" t="e">
        <f t="shared" ca="1" si="87"/>
        <v>#N/A</v>
      </c>
      <c r="W289" s="55" t="e">
        <f t="shared" ca="1" si="93"/>
        <v>#N/A</v>
      </c>
      <c r="X289" s="55" t="e">
        <f t="shared" ca="1" si="94"/>
        <v>#N/A</v>
      </c>
      <c r="Y289" s="55" t="e">
        <f t="shared" ca="1" si="95"/>
        <v>#N/A</v>
      </c>
      <c r="Z289" s="55" t="e">
        <f t="shared" ca="1" si="88"/>
        <v>#N/A</v>
      </c>
      <c r="AA289" t="e">
        <f t="shared" ca="1" si="89"/>
        <v>#N/A</v>
      </c>
      <c r="AB289" t="e">
        <f t="shared" ca="1" si="96"/>
        <v>#N/A</v>
      </c>
      <c r="AC289" t="e">
        <f t="shared" ca="1" si="90"/>
        <v>#N/A</v>
      </c>
      <c r="AD289" t="e">
        <f t="shared" ca="1" si="91"/>
        <v>#N/A</v>
      </c>
      <c r="AE289" s="83" t="e">
        <f ca="1"/>
        <v>#N/A</v>
      </c>
      <c r="AF289" s="55" t="e">
        <f t="shared" ca="1" si="100"/>
        <v>#N/A</v>
      </c>
      <c r="AG289" s="55" t="e">
        <f t="shared" ca="1" si="101"/>
        <v>#N/A</v>
      </c>
      <c r="AH289" s="55" t="e">
        <f t="shared" ca="1" si="102"/>
        <v>#N/A</v>
      </c>
      <c r="AI289" s="55" t="e">
        <f t="shared" ca="1" si="103"/>
        <v>#N/A</v>
      </c>
      <c r="AJ289" s="55" t="e">
        <f t="shared" ca="1" si="97"/>
        <v>#N/A</v>
      </c>
      <c r="AK289" s="55" t="e">
        <f t="shared" ca="1" si="98"/>
        <v>#N/A</v>
      </c>
      <c r="AL289" s="55" t="e">
        <f t="shared" ca="1" si="99"/>
        <v>#N/A</v>
      </c>
      <c r="AM289" s="55"/>
    </row>
    <row r="290" spans="18:39">
      <c r="R290" s="83" t="e">
        <f ca="1"/>
        <v>#N/A</v>
      </c>
      <c r="S290" s="55" t="e">
        <f t="shared" ca="1" si="92"/>
        <v>#N/A</v>
      </c>
      <c r="T290" s="55" t="e">
        <f t="shared" ca="1" si="85"/>
        <v>#N/A</v>
      </c>
      <c r="U290" s="55" t="e">
        <f t="shared" ca="1" si="86"/>
        <v>#N/A</v>
      </c>
      <c r="V290" s="55" t="e">
        <f t="shared" ca="1" si="87"/>
        <v>#N/A</v>
      </c>
      <c r="W290" s="55" t="e">
        <f t="shared" ca="1" si="93"/>
        <v>#N/A</v>
      </c>
      <c r="X290" s="55" t="e">
        <f t="shared" ca="1" si="94"/>
        <v>#N/A</v>
      </c>
      <c r="Y290" s="55" t="e">
        <f t="shared" ca="1" si="95"/>
        <v>#N/A</v>
      </c>
      <c r="Z290" s="55" t="e">
        <f t="shared" ca="1" si="88"/>
        <v>#N/A</v>
      </c>
      <c r="AA290" t="e">
        <f t="shared" ca="1" si="89"/>
        <v>#N/A</v>
      </c>
      <c r="AB290" t="e">
        <f t="shared" ca="1" si="96"/>
        <v>#N/A</v>
      </c>
      <c r="AC290" t="e">
        <f t="shared" ca="1" si="90"/>
        <v>#N/A</v>
      </c>
      <c r="AD290" t="e">
        <f t="shared" ca="1" si="91"/>
        <v>#N/A</v>
      </c>
      <c r="AE290" s="83" t="e">
        <f ca="1"/>
        <v>#N/A</v>
      </c>
      <c r="AF290" s="55" t="e">
        <f t="shared" ca="1" si="100"/>
        <v>#N/A</v>
      </c>
      <c r="AG290" s="55" t="e">
        <f t="shared" ca="1" si="101"/>
        <v>#N/A</v>
      </c>
      <c r="AH290" s="55" t="e">
        <f t="shared" ca="1" si="102"/>
        <v>#N/A</v>
      </c>
      <c r="AI290" s="55" t="e">
        <f t="shared" ca="1" si="103"/>
        <v>#N/A</v>
      </c>
      <c r="AJ290" s="55" t="e">
        <f t="shared" ca="1" si="97"/>
        <v>#N/A</v>
      </c>
      <c r="AK290" s="55" t="e">
        <f t="shared" ca="1" si="98"/>
        <v>#N/A</v>
      </c>
      <c r="AL290" s="55" t="e">
        <f t="shared" ca="1" si="99"/>
        <v>#N/A</v>
      </c>
      <c r="AM290" s="55"/>
    </row>
    <row r="291" spans="18:39">
      <c r="R291" s="83" t="e">
        <f ca="1"/>
        <v>#N/A</v>
      </c>
      <c r="S291" s="55" t="e">
        <f t="shared" ca="1" si="92"/>
        <v>#N/A</v>
      </c>
      <c r="T291" s="55" t="e">
        <f t="shared" ca="1" si="85"/>
        <v>#N/A</v>
      </c>
      <c r="U291" s="55" t="e">
        <f t="shared" ca="1" si="86"/>
        <v>#N/A</v>
      </c>
      <c r="V291" s="55" t="e">
        <f t="shared" ca="1" si="87"/>
        <v>#N/A</v>
      </c>
      <c r="W291" s="55" t="e">
        <f t="shared" ca="1" si="93"/>
        <v>#N/A</v>
      </c>
      <c r="X291" s="55" t="e">
        <f t="shared" ca="1" si="94"/>
        <v>#N/A</v>
      </c>
      <c r="Y291" s="55" t="e">
        <f t="shared" ca="1" si="95"/>
        <v>#N/A</v>
      </c>
      <c r="Z291" s="55" t="e">
        <f t="shared" ca="1" si="88"/>
        <v>#N/A</v>
      </c>
      <c r="AA291" t="e">
        <f t="shared" ca="1" si="89"/>
        <v>#N/A</v>
      </c>
      <c r="AB291" t="e">
        <f t="shared" ca="1" si="96"/>
        <v>#N/A</v>
      </c>
      <c r="AC291" t="e">
        <f t="shared" ca="1" si="90"/>
        <v>#N/A</v>
      </c>
      <c r="AD291" t="e">
        <f t="shared" ca="1" si="91"/>
        <v>#N/A</v>
      </c>
      <c r="AE291" s="83" t="e">
        <f ca="1"/>
        <v>#N/A</v>
      </c>
      <c r="AF291" s="55" t="e">
        <f t="shared" ca="1" si="100"/>
        <v>#N/A</v>
      </c>
      <c r="AG291" s="55" t="e">
        <f t="shared" ca="1" si="101"/>
        <v>#N/A</v>
      </c>
      <c r="AH291" s="55" t="e">
        <f t="shared" ca="1" si="102"/>
        <v>#N/A</v>
      </c>
      <c r="AI291" s="55" t="e">
        <f t="shared" ca="1" si="103"/>
        <v>#N/A</v>
      </c>
      <c r="AJ291" s="55" t="e">
        <f t="shared" ca="1" si="97"/>
        <v>#N/A</v>
      </c>
      <c r="AK291" s="55" t="e">
        <f t="shared" ca="1" si="98"/>
        <v>#N/A</v>
      </c>
      <c r="AL291" s="55" t="e">
        <f t="shared" ca="1" si="99"/>
        <v>#N/A</v>
      </c>
      <c r="AM291" s="55"/>
    </row>
    <row r="292" spans="18:39">
      <c r="R292" s="83" t="e">
        <f ca="1"/>
        <v>#N/A</v>
      </c>
      <c r="S292" s="55" t="e">
        <f t="shared" ca="1" si="92"/>
        <v>#N/A</v>
      </c>
      <c r="T292" s="55" t="e">
        <f t="shared" ca="1" si="85"/>
        <v>#N/A</v>
      </c>
      <c r="U292" s="55" t="e">
        <f t="shared" ca="1" si="86"/>
        <v>#N/A</v>
      </c>
      <c r="V292" s="55" t="e">
        <f t="shared" ca="1" si="87"/>
        <v>#N/A</v>
      </c>
      <c r="W292" s="55" t="e">
        <f t="shared" ca="1" si="93"/>
        <v>#N/A</v>
      </c>
      <c r="X292" s="55" t="e">
        <f t="shared" ca="1" si="94"/>
        <v>#N/A</v>
      </c>
      <c r="Y292" s="55" t="e">
        <f t="shared" ca="1" si="95"/>
        <v>#N/A</v>
      </c>
      <c r="Z292" s="55" t="e">
        <f t="shared" ca="1" si="88"/>
        <v>#N/A</v>
      </c>
      <c r="AA292" t="e">
        <f t="shared" ca="1" si="89"/>
        <v>#N/A</v>
      </c>
      <c r="AB292" t="e">
        <f t="shared" ca="1" si="96"/>
        <v>#N/A</v>
      </c>
      <c r="AC292" t="e">
        <f t="shared" ca="1" si="90"/>
        <v>#N/A</v>
      </c>
      <c r="AD292" t="e">
        <f t="shared" ca="1" si="91"/>
        <v>#N/A</v>
      </c>
      <c r="AE292" s="83" t="e">
        <f ca="1"/>
        <v>#N/A</v>
      </c>
      <c r="AF292" s="55" t="e">
        <f t="shared" ca="1" si="100"/>
        <v>#N/A</v>
      </c>
      <c r="AG292" s="55" t="e">
        <f t="shared" ca="1" si="101"/>
        <v>#N/A</v>
      </c>
      <c r="AH292" s="55" t="e">
        <f t="shared" ca="1" si="102"/>
        <v>#N/A</v>
      </c>
      <c r="AI292" s="55" t="e">
        <f t="shared" ca="1" si="103"/>
        <v>#N/A</v>
      </c>
      <c r="AJ292" s="55" t="e">
        <f t="shared" ca="1" si="97"/>
        <v>#N/A</v>
      </c>
      <c r="AK292" s="55" t="e">
        <f t="shared" ca="1" si="98"/>
        <v>#N/A</v>
      </c>
      <c r="AL292" s="55" t="e">
        <f t="shared" ca="1" si="99"/>
        <v>#N/A</v>
      </c>
      <c r="AM292" s="55"/>
    </row>
    <row r="293" spans="18:39">
      <c r="R293" s="83" t="e">
        <f ca="1"/>
        <v>#N/A</v>
      </c>
      <c r="S293" s="55" t="e">
        <f t="shared" ca="1" si="92"/>
        <v>#N/A</v>
      </c>
      <c r="T293" s="55" t="e">
        <f t="shared" ca="1" si="85"/>
        <v>#N/A</v>
      </c>
      <c r="U293" s="55" t="e">
        <f t="shared" ca="1" si="86"/>
        <v>#N/A</v>
      </c>
      <c r="V293" s="55" t="e">
        <f t="shared" ca="1" si="87"/>
        <v>#N/A</v>
      </c>
      <c r="W293" s="55" t="e">
        <f t="shared" ca="1" si="93"/>
        <v>#N/A</v>
      </c>
      <c r="X293" s="55" t="e">
        <f t="shared" ca="1" si="94"/>
        <v>#N/A</v>
      </c>
      <c r="Y293" s="55" t="e">
        <f t="shared" ca="1" si="95"/>
        <v>#N/A</v>
      </c>
      <c r="Z293" s="55" t="e">
        <f t="shared" ca="1" si="88"/>
        <v>#N/A</v>
      </c>
      <c r="AA293" t="e">
        <f t="shared" ca="1" si="89"/>
        <v>#N/A</v>
      </c>
      <c r="AB293" t="e">
        <f t="shared" ca="1" si="96"/>
        <v>#N/A</v>
      </c>
      <c r="AC293" t="e">
        <f t="shared" ca="1" si="90"/>
        <v>#N/A</v>
      </c>
      <c r="AD293" t="e">
        <f t="shared" ca="1" si="91"/>
        <v>#N/A</v>
      </c>
      <c r="AE293" s="83" t="e">
        <f ca="1"/>
        <v>#N/A</v>
      </c>
      <c r="AF293" s="55" t="e">
        <f t="shared" ca="1" si="100"/>
        <v>#N/A</v>
      </c>
      <c r="AG293" s="55" t="e">
        <f t="shared" ca="1" si="101"/>
        <v>#N/A</v>
      </c>
      <c r="AH293" s="55" t="e">
        <f t="shared" ca="1" si="102"/>
        <v>#N/A</v>
      </c>
      <c r="AI293" s="55" t="e">
        <f t="shared" ca="1" si="103"/>
        <v>#N/A</v>
      </c>
      <c r="AJ293" s="55" t="e">
        <f t="shared" ca="1" si="97"/>
        <v>#N/A</v>
      </c>
      <c r="AK293" s="55" t="e">
        <f t="shared" ca="1" si="98"/>
        <v>#N/A</v>
      </c>
      <c r="AL293" s="55" t="e">
        <f t="shared" ca="1" si="99"/>
        <v>#N/A</v>
      </c>
      <c r="AM293" s="55"/>
    </row>
    <row r="294" spans="18:39">
      <c r="R294" s="83" t="e">
        <f ca="1"/>
        <v>#N/A</v>
      </c>
      <c r="S294" s="55" t="e">
        <f t="shared" ca="1" si="92"/>
        <v>#N/A</v>
      </c>
      <c r="T294" s="55" t="e">
        <f t="shared" ca="1" si="85"/>
        <v>#N/A</v>
      </c>
      <c r="U294" s="55" t="e">
        <f t="shared" ca="1" si="86"/>
        <v>#N/A</v>
      </c>
      <c r="V294" s="55" t="e">
        <f t="shared" ca="1" si="87"/>
        <v>#N/A</v>
      </c>
      <c r="W294" s="55" t="e">
        <f t="shared" ca="1" si="93"/>
        <v>#N/A</v>
      </c>
      <c r="X294" s="55" t="e">
        <f t="shared" ca="1" si="94"/>
        <v>#N/A</v>
      </c>
      <c r="Y294" s="55" t="e">
        <f t="shared" ca="1" si="95"/>
        <v>#N/A</v>
      </c>
      <c r="Z294" s="55" t="e">
        <f t="shared" ca="1" si="88"/>
        <v>#N/A</v>
      </c>
      <c r="AA294" t="e">
        <f t="shared" ca="1" si="89"/>
        <v>#N/A</v>
      </c>
      <c r="AB294" t="e">
        <f t="shared" ca="1" si="96"/>
        <v>#N/A</v>
      </c>
      <c r="AC294" t="e">
        <f t="shared" ca="1" si="90"/>
        <v>#N/A</v>
      </c>
      <c r="AD294" t="e">
        <f t="shared" ca="1" si="91"/>
        <v>#N/A</v>
      </c>
      <c r="AE294" s="83" t="e">
        <f ca="1"/>
        <v>#N/A</v>
      </c>
      <c r="AF294" s="55" t="e">
        <f t="shared" ca="1" si="100"/>
        <v>#N/A</v>
      </c>
      <c r="AG294" s="55" t="e">
        <f t="shared" ca="1" si="101"/>
        <v>#N/A</v>
      </c>
      <c r="AH294" s="55" t="e">
        <f t="shared" ca="1" si="102"/>
        <v>#N/A</v>
      </c>
      <c r="AI294" s="55" t="e">
        <f t="shared" ca="1" si="103"/>
        <v>#N/A</v>
      </c>
      <c r="AJ294" s="55" t="e">
        <f t="shared" ca="1" si="97"/>
        <v>#N/A</v>
      </c>
      <c r="AK294" s="55" t="e">
        <f t="shared" ca="1" si="98"/>
        <v>#N/A</v>
      </c>
      <c r="AL294" s="55" t="e">
        <f t="shared" ca="1" si="99"/>
        <v>#N/A</v>
      </c>
      <c r="AM294" s="55"/>
    </row>
    <row r="295" spans="18:39">
      <c r="R295" s="83" t="e">
        <f ca="1"/>
        <v>#N/A</v>
      </c>
      <c r="S295" s="55" t="e">
        <f t="shared" ca="1" si="92"/>
        <v>#N/A</v>
      </c>
      <c r="T295" s="55" t="e">
        <f t="shared" ca="1" si="85"/>
        <v>#N/A</v>
      </c>
      <c r="U295" s="55" t="e">
        <f t="shared" ca="1" si="86"/>
        <v>#N/A</v>
      </c>
      <c r="V295" s="55" t="e">
        <f t="shared" ca="1" si="87"/>
        <v>#N/A</v>
      </c>
      <c r="W295" s="55" t="e">
        <f t="shared" ca="1" si="93"/>
        <v>#N/A</v>
      </c>
      <c r="X295" s="55" t="e">
        <f t="shared" ca="1" si="94"/>
        <v>#N/A</v>
      </c>
      <c r="Y295" s="55" t="e">
        <f t="shared" ca="1" si="95"/>
        <v>#N/A</v>
      </c>
      <c r="Z295" s="55" t="e">
        <f t="shared" ca="1" si="88"/>
        <v>#N/A</v>
      </c>
      <c r="AA295" t="e">
        <f t="shared" ca="1" si="89"/>
        <v>#N/A</v>
      </c>
      <c r="AB295" t="e">
        <f t="shared" ca="1" si="96"/>
        <v>#N/A</v>
      </c>
      <c r="AC295" t="e">
        <f t="shared" ca="1" si="90"/>
        <v>#N/A</v>
      </c>
      <c r="AD295" t="e">
        <f t="shared" ca="1" si="91"/>
        <v>#N/A</v>
      </c>
      <c r="AE295" s="83" t="e">
        <f ca="1"/>
        <v>#N/A</v>
      </c>
      <c r="AF295" s="55" t="e">
        <f t="shared" ca="1" si="100"/>
        <v>#N/A</v>
      </c>
      <c r="AG295" s="55" t="e">
        <f t="shared" ca="1" si="101"/>
        <v>#N/A</v>
      </c>
      <c r="AH295" s="55" t="e">
        <f t="shared" ca="1" si="102"/>
        <v>#N/A</v>
      </c>
      <c r="AI295" s="55" t="e">
        <f t="shared" ca="1" si="103"/>
        <v>#N/A</v>
      </c>
      <c r="AJ295" s="55" t="e">
        <f t="shared" ca="1" si="97"/>
        <v>#N/A</v>
      </c>
      <c r="AK295" s="55" t="e">
        <f t="shared" ca="1" si="98"/>
        <v>#N/A</v>
      </c>
      <c r="AL295" s="55" t="e">
        <f t="shared" ca="1" si="99"/>
        <v>#N/A</v>
      </c>
      <c r="AM295" s="55"/>
    </row>
    <row r="296" spans="18:39">
      <c r="R296" s="83" t="e">
        <f ca="1"/>
        <v>#N/A</v>
      </c>
      <c r="S296" s="55" t="e">
        <f t="shared" ca="1" si="92"/>
        <v>#N/A</v>
      </c>
      <c r="T296" s="55" t="e">
        <f t="shared" ca="1" si="85"/>
        <v>#N/A</v>
      </c>
      <c r="U296" s="55" t="e">
        <f t="shared" ca="1" si="86"/>
        <v>#N/A</v>
      </c>
      <c r="V296" s="55" t="e">
        <f t="shared" ca="1" si="87"/>
        <v>#N/A</v>
      </c>
      <c r="W296" s="55" t="e">
        <f t="shared" ca="1" si="93"/>
        <v>#N/A</v>
      </c>
      <c r="X296" s="55" t="e">
        <f t="shared" ca="1" si="94"/>
        <v>#N/A</v>
      </c>
      <c r="Y296" s="55" t="e">
        <f t="shared" ca="1" si="95"/>
        <v>#N/A</v>
      </c>
      <c r="Z296" s="55" t="e">
        <f t="shared" ca="1" si="88"/>
        <v>#N/A</v>
      </c>
      <c r="AA296" t="e">
        <f t="shared" ca="1" si="89"/>
        <v>#N/A</v>
      </c>
      <c r="AB296" t="e">
        <f t="shared" ca="1" si="96"/>
        <v>#N/A</v>
      </c>
      <c r="AC296" t="e">
        <f t="shared" ca="1" si="90"/>
        <v>#N/A</v>
      </c>
      <c r="AD296" t="e">
        <f t="shared" ca="1" si="91"/>
        <v>#N/A</v>
      </c>
      <c r="AE296" s="83" t="e">
        <f ca="1"/>
        <v>#N/A</v>
      </c>
      <c r="AF296" s="55" t="e">
        <f t="shared" ca="1" si="100"/>
        <v>#N/A</v>
      </c>
      <c r="AG296" s="55" t="e">
        <f t="shared" ca="1" si="101"/>
        <v>#N/A</v>
      </c>
      <c r="AH296" s="55" t="e">
        <f t="shared" ca="1" si="102"/>
        <v>#N/A</v>
      </c>
      <c r="AI296" s="55" t="e">
        <f t="shared" ca="1" si="103"/>
        <v>#N/A</v>
      </c>
      <c r="AJ296" s="55" t="e">
        <f t="shared" ca="1" si="97"/>
        <v>#N/A</v>
      </c>
      <c r="AK296" s="55" t="e">
        <f t="shared" ca="1" si="98"/>
        <v>#N/A</v>
      </c>
      <c r="AL296" s="55" t="e">
        <f t="shared" ca="1" si="99"/>
        <v>#N/A</v>
      </c>
      <c r="AM296" s="55"/>
    </row>
    <row r="297" spans="18:39">
      <c r="R297" s="83" t="e">
        <f ca="1"/>
        <v>#N/A</v>
      </c>
      <c r="S297" s="55" t="e">
        <f t="shared" ca="1" si="92"/>
        <v>#N/A</v>
      </c>
      <c r="T297" s="55" t="e">
        <f t="shared" ca="1" si="85"/>
        <v>#N/A</v>
      </c>
      <c r="U297" s="55" t="e">
        <f t="shared" ca="1" si="86"/>
        <v>#N/A</v>
      </c>
      <c r="V297" s="55" t="e">
        <f t="shared" ca="1" si="87"/>
        <v>#N/A</v>
      </c>
      <c r="W297" s="55" t="e">
        <f t="shared" ca="1" si="93"/>
        <v>#N/A</v>
      </c>
      <c r="X297" s="55" t="e">
        <f t="shared" ca="1" si="94"/>
        <v>#N/A</v>
      </c>
      <c r="Y297" s="55" t="e">
        <f t="shared" ca="1" si="95"/>
        <v>#N/A</v>
      </c>
      <c r="Z297" s="55" t="e">
        <f t="shared" ca="1" si="88"/>
        <v>#N/A</v>
      </c>
      <c r="AA297" t="e">
        <f t="shared" ca="1" si="89"/>
        <v>#N/A</v>
      </c>
      <c r="AB297" t="e">
        <f t="shared" ca="1" si="96"/>
        <v>#N/A</v>
      </c>
      <c r="AC297" t="e">
        <f t="shared" ca="1" si="90"/>
        <v>#N/A</v>
      </c>
      <c r="AD297" t="e">
        <f t="shared" ca="1" si="91"/>
        <v>#N/A</v>
      </c>
      <c r="AE297" s="83" t="e">
        <f ca="1"/>
        <v>#N/A</v>
      </c>
      <c r="AF297" s="55" t="e">
        <f t="shared" ca="1" si="100"/>
        <v>#N/A</v>
      </c>
      <c r="AG297" s="55" t="e">
        <f t="shared" ca="1" si="101"/>
        <v>#N/A</v>
      </c>
      <c r="AH297" s="55" t="e">
        <f t="shared" ca="1" si="102"/>
        <v>#N/A</v>
      </c>
      <c r="AI297" s="55" t="e">
        <f t="shared" ca="1" si="103"/>
        <v>#N/A</v>
      </c>
      <c r="AJ297" s="55" t="e">
        <f t="shared" ca="1" si="97"/>
        <v>#N/A</v>
      </c>
      <c r="AK297" s="55" t="e">
        <f t="shared" ca="1" si="98"/>
        <v>#N/A</v>
      </c>
      <c r="AL297" s="55" t="e">
        <f t="shared" ca="1" si="99"/>
        <v>#N/A</v>
      </c>
      <c r="AM297" s="55"/>
    </row>
    <row r="298" spans="18:39">
      <c r="R298" s="83" t="e">
        <f ca="1"/>
        <v>#N/A</v>
      </c>
      <c r="S298" s="55" t="e">
        <f t="shared" ca="1" si="92"/>
        <v>#N/A</v>
      </c>
      <c r="T298" s="55" t="e">
        <f t="shared" ca="1" si="85"/>
        <v>#N/A</v>
      </c>
      <c r="U298" s="55" t="e">
        <f t="shared" ca="1" si="86"/>
        <v>#N/A</v>
      </c>
      <c r="V298" s="55" t="e">
        <f t="shared" ca="1" si="87"/>
        <v>#N/A</v>
      </c>
      <c r="W298" s="55" t="e">
        <f t="shared" ca="1" si="93"/>
        <v>#N/A</v>
      </c>
      <c r="X298" s="55" t="e">
        <f t="shared" ca="1" si="94"/>
        <v>#N/A</v>
      </c>
      <c r="Y298" s="55" t="e">
        <f t="shared" ca="1" si="95"/>
        <v>#N/A</v>
      </c>
      <c r="Z298" s="55" t="e">
        <f t="shared" ca="1" si="88"/>
        <v>#N/A</v>
      </c>
      <c r="AA298" t="e">
        <f t="shared" ca="1" si="89"/>
        <v>#N/A</v>
      </c>
      <c r="AB298" t="e">
        <f t="shared" ca="1" si="96"/>
        <v>#N/A</v>
      </c>
      <c r="AC298" t="e">
        <f t="shared" ca="1" si="90"/>
        <v>#N/A</v>
      </c>
      <c r="AD298" t="e">
        <f t="shared" ca="1" si="91"/>
        <v>#N/A</v>
      </c>
      <c r="AE298" s="83" t="e">
        <f ca="1"/>
        <v>#N/A</v>
      </c>
      <c r="AF298" s="55" t="e">
        <f t="shared" ca="1" si="100"/>
        <v>#N/A</v>
      </c>
      <c r="AG298" s="55" t="e">
        <f t="shared" ca="1" si="101"/>
        <v>#N/A</v>
      </c>
      <c r="AH298" s="55" t="e">
        <f t="shared" ca="1" si="102"/>
        <v>#N/A</v>
      </c>
      <c r="AI298" s="55" t="e">
        <f t="shared" ca="1" si="103"/>
        <v>#N/A</v>
      </c>
      <c r="AJ298" s="55" t="e">
        <f t="shared" ca="1" si="97"/>
        <v>#N/A</v>
      </c>
      <c r="AK298" s="55" t="e">
        <f t="shared" ca="1" si="98"/>
        <v>#N/A</v>
      </c>
      <c r="AL298" s="55" t="e">
        <f t="shared" ca="1" si="99"/>
        <v>#N/A</v>
      </c>
      <c r="AM298" s="55"/>
    </row>
    <row r="299" spans="18:39">
      <c r="R299" s="83" t="e">
        <f ca="1"/>
        <v>#N/A</v>
      </c>
      <c r="S299" s="55" t="e">
        <f t="shared" ca="1" si="92"/>
        <v>#N/A</v>
      </c>
      <c r="T299" s="55" t="e">
        <f t="shared" ca="1" si="85"/>
        <v>#N/A</v>
      </c>
      <c r="U299" s="55" t="e">
        <f t="shared" ca="1" si="86"/>
        <v>#N/A</v>
      </c>
      <c r="V299" s="55" t="e">
        <f t="shared" ca="1" si="87"/>
        <v>#N/A</v>
      </c>
      <c r="W299" s="55" t="e">
        <f t="shared" ca="1" si="93"/>
        <v>#N/A</v>
      </c>
      <c r="X299" s="55" t="e">
        <f t="shared" ca="1" si="94"/>
        <v>#N/A</v>
      </c>
      <c r="Y299" s="55" t="e">
        <f t="shared" ca="1" si="95"/>
        <v>#N/A</v>
      </c>
      <c r="Z299" s="55" t="e">
        <f t="shared" ca="1" si="88"/>
        <v>#N/A</v>
      </c>
      <c r="AA299" t="e">
        <f t="shared" ca="1" si="89"/>
        <v>#N/A</v>
      </c>
      <c r="AB299" t="e">
        <f t="shared" ca="1" si="96"/>
        <v>#N/A</v>
      </c>
      <c r="AC299" t="e">
        <f t="shared" ca="1" si="90"/>
        <v>#N/A</v>
      </c>
      <c r="AD299" t="e">
        <f t="shared" ca="1" si="91"/>
        <v>#N/A</v>
      </c>
      <c r="AE299" s="83" t="e">
        <f ca="1"/>
        <v>#N/A</v>
      </c>
      <c r="AF299" s="55" t="e">
        <f t="shared" ca="1" si="100"/>
        <v>#N/A</v>
      </c>
      <c r="AG299" s="55" t="e">
        <f t="shared" ca="1" si="101"/>
        <v>#N/A</v>
      </c>
      <c r="AH299" s="55" t="e">
        <f t="shared" ca="1" si="102"/>
        <v>#N/A</v>
      </c>
      <c r="AI299" s="55" t="e">
        <f t="shared" ca="1" si="103"/>
        <v>#N/A</v>
      </c>
      <c r="AJ299" s="55" t="e">
        <f t="shared" ca="1" si="97"/>
        <v>#N/A</v>
      </c>
      <c r="AK299" s="55" t="e">
        <f t="shared" ca="1" si="98"/>
        <v>#N/A</v>
      </c>
      <c r="AL299" s="55" t="e">
        <f t="shared" ca="1" si="99"/>
        <v>#N/A</v>
      </c>
      <c r="AM299" s="55"/>
    </row>
    <row r="300" spans="18:39">
      <c r="R300" s="83" t="e">
        <f ca="1"/>
        <v>#N/A</v>
      </c>
      <c r="S300" s="55" t="e">
        <f t="shared" ca="1" si="92"/>
        <v>#N/A</v>
      </c>
      <c r="T300" s="55" t="e">
        <f t="shared" ca="1" si="85"/>
        <v>#N/A</v>
      </c>
      <c r="U300" s="55" t="e">
        <f t="shared" ca="1" si="86"/>
        <v>#N/A</v>
      </c>
      <c r="V300" s="55" t="e">
        <f t="shared" ca="1" si="87"/>
        <v>#N/A</v>
      </c>
      <c r="W300" s="55" t="e">
        <f t="shared" ca="1" si="93"/>
        <v>#N/A</v>
      </c>
      <c r="X300" s="55" t="e">
        <f t="shared" ca="1" si="94"/>
        <v>#N/A</v>
      </c>
      <c r="Y300" s="55" t="e">
        <f t="shared" ca="1" si="95"/>
        <v>#N/A</v>
      </c>
      <c r="Z300" s="55" t="e">
        <f t="shared" ca="1" si="88"/>
        <v>#N/A</v>
      </c>
      <c r="AA300" t="e">
        <f t="shared" ca="1" si="89"/>
        <v>#N/A</v>
      </c>
      <c r="AB300" t="e">
        <f t="shared" ca="1" si="96"/>
        <v>#N/A</v>
      </c>
      <c r="AC300" t="e">
        <f t="shared" ca="1" si="90"/>
        <v>#N/A</v>
      </c>
      <c r="AD300" t="e">
        <f t="shared" ca="1" si="91"/>
        <v>#N/A</v>
      </c>
      <c r="AE300" s="83" t="e">
        <f ca="1"/>
        <v>#N/A</v>
      </c>
      <c r="AF300" s="55" t="e">
        <f t="shared" ca="1" si="100"/>
        <v>#N/A</v>
      </c>
      <c r="AG300" s="55" t="e">
        <f t="shared" ca="1" si="101"/>
        <v>#N/A</v>
      </c>
      <c r="AH300" s="55" t="e">
        <f t="shared" ca="1" si="102"/>
        <v>#N/A</v>
      </c>
      <c r="AI300" s="55" t="e">
        <f t="shared" ca="1" si="103"/>
        <v>#N/A</v>
      </c>
      <c r="AJ300" s="55" t="e">
        <f t="shared" ca="1" si="97"/>
        <v>#N/A</v>
      </c>
      <c r="AK300" s="55" t="e">
        <f t="shared" ca="1" si="98"/>
        <v>#N/A</v>
      </c>
      <c r="AL300" s="55" t="e">
        <f t="shared" ca="1" si="99"/>
        <v>#N/A</v>
      </c>
      <c r="AM300" s="55"/>
    </row>
    <row r="301" spans="18:39">
      <c r="R301" s="83" t="e">
        <f ca="1"/>
        <v>#N/A</v>
      </c>
      <c r="S301" s="55" t="e">
        <f t="shared" ca="1" si="92"/>
        <v>#N/A</v>
      </c>
      <c r="T301" s="55" t="e">
        <f t="shared" ca="1" si="85"/>
        <v>#N/A</v>
      </c>
      <c r="U301" s="55" t="e">
        <f t="shared" ca="1" si="86"/>
        <v>#N/A</v>
      </c>
      <c r="V301" s="55" t="e">
        <f t="shared" ca="1" si="87"/>
        <v>#N/A</v>
      </c>
      <c r="W301" s="55" t="e">
        <f t="shared" ca="1" si="93"/>
        <v>#N/A</v>
      </c>
      <c r="X301" s="55" t="e">
        <f t="shared" ca="1" si="94"/>
        <v>#N/A</v>
      </c>
      <c r="Y301" s="55" t="e">
        <f t="shared" ca="1" si="95"/>
        <v>#N/A</v>
      </c>
      <c r="Z301" s="55" t="e">
        <f t="shared" ca="1" si="88"/>
        <v>#N/A</v>
      </c>
      <c r="AA301" t="e">
        <f t="shared" ca="1" si="89"/>
        <v>#N/A</v>
      </c>
      <c r="AB301" t="e">
        <f t="shared" ca="1" si="96"/>
        <v>#N/A</v>
      </c>
      <c r="AC301" t="e">
        <f t="shared" ca="1" si="90"/>
        <v>#N/A</v>
      </c>
      <c r="AD301" t="e">
        <f t="shared" ca="1" si="91"/>
        <v>#N/A</v>
      </c>
      <c r="AE301" s="83" t="e">
        <f ca="1"/>
        <v>#N/A</v>
      </c>
      <c r="AF301" s="55" t="e">
        <f t="shared" ca="1" si="100"/>
        <v>#N/A</v>
      </c>
      <c r="AG301" s="55" t="e">
        <f t="shared" ca="1" si="101"/>
        <v>#N/A</v>
      </c>
      <c r="AH301" s="55" t="e">
        <f t="shared" ca="1" si="102"/>
        <v>#N/A</v>
      </c>
      <c r="AI301" s="55" t="e">
        <f t="shared" ca="1" si="103"/>
        <v>#N/A</v>
      </c>
      <c r="AJ301" s="55" t="e">
        <f t="shared" ca="1" si="97"/>
        <v>#N/A</v>
      </c>
      <c r="AK301" s="55" t="e">
        <f t="shared" ca="1" si="98"/>
        <v>#N/A</v>
      </c>
      <c r="AL301" s="55" t="e">
        <f t="shared" ca="1" si="99"/>
        <v>#N/A</v>
      </c>
      <c r="AM301" s="55"/>
    </row>
    <row r="302" spans="18:39">
      <c r="R302" s="83" t="e">
        <f ca="1"/>
        <v>#N/A</v>
      </c>
      <c r="S302" s="55" t="e">
        <f t="shared" ca="1" si="92"/>
        <v>#N/A</v>
      </c>
      <c r="T302" s="55" t="e">
        <f t="shared" ca="1" si="85"/>
        <v>#N/A</v>
      </c>
      <c r="U302" s="55" t="e">
        <f t="shared" ca="1" si="86"/>
        <v>#N/A</v>
      </c>
      <c r="V302" s="55" t="e">
        <f t="shared" ca="1" si="87"/>
        <v>#N/A</v>
      </c>
      <c r="W302" s="55" t="e">
        <f t="shared" ca="1" si="93"/>
        <v>#N/A</v>
      </c>
      <c r="X302" s="55" t="e">
        <f t="shared" ca="1" si="94"/>
        <v>#N/A</v>
      </c>
      <c r="Y302" s="55" t="e">
        <f t="shared" ca="1" si="95"/>
        <v>#N/A</v>
      </c>
      <c r="Z302" s="55" t="e">
        <f t="shared" ca="1" si="88"/>
        <v>#N/A</v>
      </c>
      <c r="AA302" t="e">
        <f t="shared" ca="1" si="89"/>
        <v>#N/A</v>
      </c>
      <c r="AB302" t="e">
        <f t="shared" ca="1" si="96"/>
        <v>#N/A</v>
      </c>
      <c r="AC302" t="e">
        <f t="shared" ca="1" si="90"/>
        <v>#N/A</v>
      </c>
      <c r="AD302" t="e">
        <f t="shared" ca="1" si="91"/>
        <v>#N/A</v>
      </c>
      <c r="AE302" s="83" t="e">
        <f ca="1"/>
        <v>#N/A</v>
      </c>
      <c r="AF302" s="55" t="e">
        <f t="shared" ca="1" si="100"/>
        <v>#N/A</v>
      </c>
      <c r="AG302" s="55" t="e">
        <f t="shared" ca="1" si="101"/>
        <v>#N/A</v>
      </c>
      <c r="AH302" s="55" t="e">
        <f t="shared" ca="1" si="102"/>
        <v>#N/A</v>
      </c>
      <c r="AI302" s="55" t="e">
        <f t="shared" ca="1" si="103"/>
        <v>#N/A</v>
      </c>
      <c r="AJ302" s="55" t="e">
        <f t="shared" ca="1" si="97"/>
        <v>#N/A</v>
      </c>
      <c r="AK302" s="55" t="e">
        <f t="shared" ca="1" si="98"/>
        <v>#N/A</v>
      </c>
      <c r="AL302" s="55" t="e">
        <f t="shared" ca="1" si="99"/>
        <v>#N/A</v>
      </c>
      <c r="AM302" s="55"/>
    </row>
    <row r="303" spans="18:39">
      <c r="R303" s="83" t="e">
        <f ca="1"/>
        <v>#N/A</v>
      </c>
      <c r="S303" s="55" t="e">
        <f t="shared" ca="1" si="92"/>
        <v>#N/A</v>
      </c>
      <c r="T303" s="55" t="e">
        <f t="shared" ca="1" si="85"/>
        <v>#N/A</v>
      </c>
      <c r="U303" s="55" t="e">
        <f t="shared" ca="1" si="86"/>
        <v>#N/A</v>
      </c>
      <c r="V303" s="55" t="e">
        <f t="shared" ca="1" si="87"/>
        <v>#N/A</v>
      </c>
      <c r="W303" s="55" t="e">
        <f t="shared" ca="1" si="93"/>
        <v>#N/A</v>
      </c>
      <c r="X303" s="55" t="e">
        <f t="shared" ca="1" si="94"/>
        <v>#N/A</v>
      </c>
      <c r="Y303" s="55" t="e">
        <f t="shared" ca="1" si="95"/>
        <v>#N/A</v>
      </c>
      <c r="Z303" s="55" t="e">
        <f t="shared" ca="1" si="88"/>
        <v>#N/A</v>
      </c>
      <c r="AA303" t="e">
        <f t="shared" ca="1" si="89"/>
        <v>#N/A</v>
      </c>
      <c r="AB303" t="e">
        <f t="shared" ca="1" si="96"/>
        <v>#N/A</v>
      </c>
      <c r="AC303" t="e">
        <f t="shared" ca="1" si="90"/>
        <v>#N/A</v>
      </c>
      <c r="AD303" t="e">
        <f t="shared" ca="1" si="91"/>
        <v>#N/A</v>
      </c>
      <c r="AE303" s="83" t="e">
        <f ca="1"/>
        <v>#N/A</v>
      </c>
      <c r="AF303" s="55" t="e">
        <f t="shared" ca="1" si="100"/>
        <v>#N/A</v>
      </c>
      <c r="AG303" s="55" t="e">
        <f t="shared" ca="1" si="101"/>
        <v>#N/A</v>
      </c>
      <c r="AH303" s="55" t="e">
        <f t="shared" ca="1" si="102"/>
        <v>#N/A</v>
      </c>
      <c r="AI303" s="55" t="e">
        <f t="shared" ca="1" si="103"/>
        <v>#N/A</v>
      </c>
      <c r="AJ303" s="55" t="e">
        <f t="shared" ca="1" si="97"/>
        <v>#N/A</v>
      </c>
      <c r="AK303" s="55" t="e">
        <f t="shared" ca="1" si="98"/>
        <v>#N/A</v>
      </c>
      <c r="AL303" s="55" t="e">
        <f t="shared" ca="1" si="99"/>
        <v>#N/A</v>
      </c>
      <c r="AM303" s="55"/>
    </row>
    <row r="304" spans="18:39">
      <c r="R304" s="83" t="e">
        <f ca="1"/>
        <v>#N/A</v>
      </c>
      <c r="S304" s="55" t="e">
        <f t="shared" ca="1" si="92"/>
        <v>#N/A</v>
      </c>
      <c r="T304" s="55" t="e">
        <f t="shared" ca="1" si="85"/>
        <v>#N/A</v>
      </c>
      <c r="U304" s="55" t="e">
        <f t="shared" ca="1" si="86"/>
        <v>#N/A</v>
      </c>
      <c r="V304" s="55" t="e">
        <f t="shared" ca="1" si="87"/>
        <v>#N/A</v>
      </c>
      <c r="W304" s="55" t="e">
        <f t="shared" ca="1" si="93"/>
        <v>#N/A</v>
      </c>
      <c r="X304" s="55" t="e">
        <f t="shared" ca="1" si="94"/>
        <v>#N/A</v>
      </c>
      <c r="Y304" s="55" t="e">
        <f t="shared" ca="1" si="95"/>
        <v>#N/A</v>
      </c>
      <c r="Z304" s="55" t="e">
        <f t="shared" ca="1" si="88"/>
        <v>#N/A</v>
      </c>
      <c r="AA304" t="e">
        <f t="shared" ca="1" si="89"/>
        <v>#N/A</v>
      </c>
      <c r="AB304" t="e">
        <f t="shared" ca="1" si="96"/>
        <v>#N/A</v>
      </c>
      <c r="AC304" t="e">
        <f t="shared" ca="1" si="90"/>
        <v>#N/A</v>
      </c>
      <c r="AD304" t="e">
        <f t="shared" ca="1" si="91"/>
        <v>#N/A</v>
      </c>
      <c r="AE304" s="83" t="e">
        <f ca="1"/>
        <v>#N/A</v>
      </c>
      <c r="AF304" s="55" t="e">
        <f t="shared" ca="1" si="100"/>
        <v>#N/A</v>
      </c>
      <c r="AG304" s="55" t="e">
        <f t="shared" ca="1" si="101"/>
        <v>#N/A</v>
      </c>
      <c r="AH304" s="55" t="e">
        <f t="shared" ca="1" si="102"/>
        <v>#N/A</v>
      </c>
      <c r="AI304" s="55" t="e">
        <f t="shared" ca="1" si="103"/>
        <v>#N/A</v>
      </c>
      <c r="AJ304" s="55" t="e">
        <f t="shared" ca="1" si="97"/>
        <v>#N/A</v>
      </c>
      <c r="AK304" s="55" t="e">
        <f t="shared" ca="1" si="98"/>
        <v>#N/A</v>
      </c>
      <c r="AL304" s="55" t="e">
        <f t="shared" ca="1" si="99"/>
        <v>#N/A</v>
      </c>
      <c r="AM304" s="55"/>
    </row>
    <row r="305" spans="18:39">
      <c r="R305" s="83" t="e">
        <f ca="1"/>
        <v>#N/A</v>
      </c>
      <c r="S305" s="55" t="e">
        <f t="shared" ca="1" si="92"/>
        <v>#N/A</v>
      </c>
      <c r="T305" s="55" t="e">
        <f t="shared" ca="1" si="85"/>
        <v>#N/A</v>
      </c>
      <c r="U305" s="55" t="e">
        <f t="shared" ca="1" si="86"/>
        <v>#N/A</v>
      </c>
      <c r="V305" s="55" t="e">
        <f t="shared" ca="1" si="87"/>
        <v>#N/A</v>
      </c>
      <c r="W305" s="55" t="e">
        <f t="shared" ca="1" si="93"/>
        <v>#N/A</v>
      </c>
      <c r="X305" s="55" t="e">
        <f t="shared" ca="1" si="94"/>
        <v>#N/A</v>
      </c>
      <c r="Y305" s="55" t="e">
        <f t="shared" ca="1" si="95"/>
        <v>#N/A</v>
      </c>
      <c r="Z305" s="55" t="e">
        <f t="shared" ca="1" si="88"/>
        <v>#N/A</v>
      </c>
      <c r="AA305" t="e">
        <f t="shared" ca="1" si="89"/>
        <v>#N/A</v>
      </c>
      <c r="AB305" t="e">
        <f t="shared" ca="1" si="96"/>
        <v>#N/A</v>
      </c>
      <c r="AC305" t="e">
        <f t="shared" ca="1" si="90"/>
        <v>#N/A</v>
      </c>
      <c r="AD305" t="e">
        <f t="shared" ca="1" si="91"/>
        <v>#N/A</v>
      </c>
      <c r="AE305" s="83" t="e">
        <f ca="1"/>
        <v>#N/A</v>
      </c>
      <c r="AF305" s="55" t="e">
        <f t="shared" ca="1" si="100"/>
        <v>#N/A</v>
      </c>
      <c r="AG305" s="55" t="e">
        <f t="shared" ca="1" si="101"/>
        <v>#N/A</v>
      </c>
      <c r="AH305" s="55" t="e">
        <f t="shared" ca="1" si="102"/>
        <v>#N/A</v>
      </c>
      <c r="AI305" s="55" t="e">
        <f t="shared" ca="1" si="103"/>
        <v>#N/A</v>
      </c>
      <c r="AJ305" s="55" t="e">
        <f t="shared" ca="1" si="97"/>
        <v>#N/A</v>
      </c>
      <c r="AK305" s="55" t="e">
        <f t="shared" ca="1" si="98"/>
        <v>#N/A</v>
      </c>
      <c r="AL305" s="55" t="e">
        <f t="shared" ca="1" si="99"/>
        <v>#N/A</v>
      </c>
      <c r="AM305" s="55"/>
    </row>
    <row r="306" spans="18:39">
      <c r="R306" s="83" t="e">
        <f ca="1"/>
        <v>#N/A</v>
      </c>
      <c r="S306" s="55" t="e">
        <f t="shared" ca="1" si="92"/>
        <v>#N/A</v>
      </c>
      <c r="T306" s="55" t="e">
        <f t="shared" ca="1" si="85"/>
        <v>#N/A</v>
      </c>
      <c r="U306" s="55" t="e">
        <f t="shared" ca="1" si="86"/>
        <v>#N/A</v>
      </c>
      <c r="V306" s="55" t="e">
        <f t="shared" ca="1" si="87"/>
        <v>#N/A</v>
      </c>
      <c r="W306" s="55" t="e">
        <f t="shared" ca="1" si="93"/>
        <v>#N/A</v>
      </c>
      <c r="X306" s="55" t="e">
        <f t="shared" ca="1" si="94"/>
        <v>#N/A</v>
      </c>
      <c r="Y306" s="55" t="e">
        <f t="shared" ca="1" si="95"/>
        <v>#N/A</v>
      </c>
      <c r="Z306" s="55" t="e">
        <f t="shared" ca="1" si="88"/>
        <v>#N/A</v>
      </c>
      <c r="AA306" t="e">
        <f t="shared" ca="1" si="89"/>
        <v>#N/A</v>
      </c>
      <c r="AB306" t="e">
        <f t="shared" ca="1" si="96"/>
        <v>#N/A</v>
      </c>
      <c r="AC306" t="e">
        <f t="shared" ca="1" si="90"/>
        <v>#N/A</v>
      </c>
      <c r="AD306" t="e">
        <f t="shared" ca="1" si="91"/>
        <v>#N/A</v>
      </c>
      <c r="AE306" s="83" t="e">
        <f ca="1"/>
        <v>#N/A</v>
      </c>
      <c r="AF306" s="55" t="e">
        <f t="shared" ca="1" si="100"/>
        <v>#N/A</v>
      </c>
      <c r="AG306" s="55" t="e">
        <f t="shared" ca="1" si="101"/>
        <v>#N/A</v>
      </c>
      <c r="AH306" s="55" t="e">
        <f t="shared" ca="1" si="102"/>
        <v>#N/A</v>
      </c>
      <c r="AI306" s="55" t="e">
        <f t="shared" ca="1" si="103"/>
        <v>#N/A</v>
      </c>
      <c r="AJ306" s="55" t="e">
        <f t="shared" ca="1" si="97"/>
        <v>#N/A</v>
      </c>
      <c r="AK306" s="55" t="e">
        <f t="shared" ca="1" si="98"/>
        <v>#N/A</v>
      </c>
      <c r="AL306" s="55" t="e">
        <f t="shared" ca="1" si="99"/>
        <v>#N/A</v>
      </c>
      <c r="AM306" s="55"/>
    </row>
    <row r="307" spans="18:39">
      <c r="R307" s="83" t="e">
        <f ca="1"/>
        <v>#N/A</v>
      </c>
      <c r="S307" s="55" t="e">
        <f t="shared" ca="1" si="92"/>
        <v>#N/A</v>
      </c>
      <c r="T307" s="55" t="e">
        <f t="shared" ca="1" si="85"/>
        <v>#N/A</v>
      </c>
      <c r="U307" s="55" t="e">
        <f t="shared" ca="1" si="86"/>
        <v>#N/A</v>
      </c>
      <c r="V307" s="55" t="e">
        <f t="shared" ca="1" si="87"/>
        <v>#N/A</v>
      </c>
      <c r="W307" s="55" t="e">
        <f t="shared" ca="1" si="93"/>
        <v>#N/A</v>
      </c>
      <c r="X307" s="55" t="e">
        <f t="shared" ca="1" si="94"/>
        <v>#N/A</v>
      </c>
      <c r="Y307" s="55" t="e">
        <f t="shared" ca="1" si="95"/>
        <v>#N/A</v>
      </c>
      <c r="Z307" s="55" t="e">
        <f t="shared" ca="1" si="88"/>
        <v>#N/A</v>
      </c>
      <c r="AA307" t="e">
        <f t="shared" ca="1" si="89"/>
        <v>#N/A</v>
      </c>
      <c r="AB307" t="e">
        <f t="shared" ca="1" si="96"/>
        <v>#N/A</v>
      </c>
      <c r="AC307" t="e">
        <f t="shared" ca="1" si="90"/>
        <v>#N/A</v>
      </c>
      <c r="AD307" t="e">
        <f t="shared" ca="1" si="91"/>
        <v>#N/A</v>
      </c>
      <c r="AE307" s="83" t="e">
        <f ca="1"/>
        <v>#N/A</v>
      </c>
      <c r="AF307" s="55" t="e">
        <f t="shared" ca="1" si="100"/>
        <v>#N/A</v>
      </c>
      <c r="AG307" s="55" t="e">
        <f t="shared" ca="1" si="101"/>
        <v>#N/A</v>
      </c>
      <c r="AH307" s="55" t="e">
        <f t="shared" ca="1" si="102"/>
        <v>#N/A</v>
      </c>
      <c r="AI307" s="55" t="e">
        <f t="shared" ca="1" si="103"/>
        <v>#N/A</v>
      </c>
      <c r="AJ307" s="55" t="e">
        <f t="shared" ca="1" si="97"/>
        <v>#N/A</v>
      </c>
      <c r="AK307" s="55" t="e">
        <f t="shared" ca="1" si="98"/>
        <v>#N/A</v>
      </c>
      <c r="AL307" s="55" t="e">
        <f t="shared" ca="1" si="99"/>
        <v>#N/A</v>
      </c>
      <c r="AM307" s="55"/>
    </row>
    <row r="308" spans="18:39">
      <c r="R308" s="83" t="e">
        <f ca="1"/>
        <v>#N/A</v>
      </c>
      <c r="S308" s="55" t="e">
        <f t="shared" ca="1" si="92"/>
        <v>#N/A</v>
      </c>
      <c r="T308" s="55" t="e">
        <f t="shared" ca="1" si="85"/>
        <v>#N/A</v>
      </c>
      <c r="U308" s="55" t="e">
        <f t="shared" ca="1" si="86"/>
        <v>#N/A</v>
      </c>
      <c r="V308" s="55" t="e">
        <f t="shared" ca="1" si="87"/>
        <v>#N/A</v>
      </c>
      <c r="W308" s="55" t="e">
        <f t="shared" ca="1" si="93"/>
        <v>#N/A</v>
      </c>
      <c r="X308" s="55" t="e">
        <f t="shared" ca="1" si="94"/>
        <v>#N/A</v>
      </c>
      <c r="Y308" s="55" t="e">
        <f t="shared" ca="1" si="95"/>
        <v>#N/A</v>
      </c>
      <c r="Z308" s="55" t="e">
        <f t="shared" ca="1" si="88"/>
        <v>#N/A</v>
      </c>
      <c r="AA308" t="e">
        <f t="shared" ca="1" si="89"/>
        <v>#N/A</v>
      </c>
      <c r="AB308" t="e">
        <f t="shared" ca="1" si="96"/>
        <v>#N/A</v>
      </c>
      <c r="AC308" t="e">
        <f t="shared" ca="1" si="90"/>
        <v>#N/A</v>
      </c>
      <c r="AD308" t="e">
        <f t="shared" ca="1" si="91"/>
        <v>#N/A</v>
      </c>
      <c r="AE308" s="83" t="e">
        <f ca="1"/>
        <v>#N/A</v>
      </c>
      <c r="AF308" s="55" t="e">
        <f t="shared" ca="1" si="100"/>
        <v>#N/A</v>
      </c>
      <c r="AG308" s="55" t="e">
        <f t="shared" ca="1" si="101"/>
        <v>#N/A</v>
      </c>
      <c r="AH308" s="55" t="e">
        <f t="shared" ca="1" si="102"/>
        <v>#N/A</v>
      </c>
      <c r="AI308" s="55" t="e">
        <f t="shared" ca="1" si="103"/>
        <v>#N/A</v>
      </c>
      <c r="AJ308" s="55" t="e">
        <f t="shared" ca="1" si="97"/>
        <v>#N/A</v>
      </c>
      <c r="AK308" s="55" t="e">
        <f t="shared" ca="1" si="98"/>
        <v>#N/A</v>
      </c>
      <c r="AL308" s="55" t="e">
        <f t="shared" ca="1" si="99"/>
        <v>#N/A</v>
      </c>
      <c r="AM308" s="55"/>
    </row>
    <row r="309" spans="18:39">
      <c r="R309" s="83" t="e">
        <f ca="1"/>
        <v>#N/A</v>
      </c>
      <c r="S309" s="55" t="e">
        <f t="shared" ca="1" si="92"/>
        <v>#N/A</v>
      </c>
      <c r="T309" s="55" t="e">
        <f t="shared" ca="1" si="85"/>
        <v>#N/A</v>
      </c>
      <c r="U309" s="55" t="e">
        <f t="shared" ca="1" si="86"/>
        <v>#N/A</v>
      </c>
      <c r="V309" s="55" t="e">
        <f t="shared" ca="1" si="87"/>
        <v>#N/A</v>
      </c>
      <c r="W309" s="55" t="e">
        <f t="shared" ca="1" si="93"/>
        <v>#N/A</v>
      </c>
      <c r="X309" s="55" t="e">
        <f t="shared" ca="1" si="94"/>
        <v>#N/A</v>
      </c>
      <c r="Y309" s="55" t="e">
        <f t="shared" ca="1" si="95"/>
        <v>#N/A</v>
      </c>
      <c r="Z309" s="55" t="e">
        <f t="shared" ca="1" si="88"/>
        <v>#N/A</v>
      </c>
      <c r="AA309" t="e">
        <f t="shared" ca="1" si="89"/>
        <v>#N/A</v>
      </c>
      <c r="AB309" t="e">
        <f t="shared" ca="1" si="96"/>
        <v>#N/A</v>
      </c>
      <c r="AC309" t="e">
        <f t="shared" ca="1" si="90"/>
        <v>#N/A</v>
      </c>
      <c r="AD309" t="e">
        <f t="shared" ca="1" si="91"/>
        <v>#N/A</v>
      </c>
      <c r="AE309" s="83" t="e">
        <f ca="1"/>
        <v>#N/A</v>
      </c>
      <c r="AF309" s="55" t="e">
        <f t="shared" ca="1" si="100"/>
        <v>#N/A</v>
      </c>
      <c r="AG309" s="55" t="e">
        <f t="shared" ca="1" si="101"/>
        <v>#N/A</v>
      </c>
      <c r="AH309" s="55" t="e">
        <f t="shared" ca="1" si="102"/>
        <v>#N/A</v>
      </c>
      <c r="AI309" s="55" t="e">
        <f t="shared" ca="1" si="103"/>
        <v>#N/A</v>
      </c>
      <c r="AJ309" s="55" t="e">
        <f t="shared" ca="1" si="97"/>
        <v>#N/A</v>
      </c>
      <c r="AK309" s="55" t="e">
        <f t="shared" ca="1" si="98"/>
        <v>#N/A</v>
      </c>
      <c r="AL309" s="55" t="e">
        <f t="shared" ca="1" si="99"/>
        <v>#N/A</v>
      </c>
      <c r="AM309" s="55"/>
    </row>
    <row r="310" spans="18:39">
      <c r="R310" s="83" t="e">
        <f ca="1"/>
        <v>#N/A</v>
      </c>
      <c r="S310" s="55" t="e">
        <f t="shared" ca="1" si="92"/>
        <v>#N/A</v>
      </c>
      <c r="T310" s="55" t="e">
        <f t="shared" ca="1" si="85"/>
        <v>#N/A</v>
      </c>
      <c r="U310" s="55" t="e">
        <f t="shared" ca="1" si="86"/>
        <v>#N/A</v>
      </c>
      <c r="V310" s="55" t="e">
        <f t="shared" ca="1" si="87"/>
        <v>#N/A</v>
      </c>
      <c r="W310" s="55" t="e">
        <f t="shared" ca="1" si="93"/>
        <v>#N/A</v>
      </c>
      <c r="X310" s="55" t="e">
        <f t="shared" ca="1" si="94"/>
        <v>#N/A</v>
      </c>
      <c r="Y310" s="55" t="e">
        <f t="shared" ca="1" si="95"/>
        <v>#N/A</v>
      </c>
      <c r="Z310" s="55" t="e">
        <f t="shared" ca="1" si="88"/>
        <v>#N/A</v>
      </c>
      <c r="AA310" t="e">
        <f t="shared" ca="1" si="89"/>
        <v>#N/A</v>
      </c>
      <c r="AB310" t="e">
        <f t="shared" ca="1" si="96"/>
        <v>#N/A</v>
      </c>
      <c r="AC310" t="e">
        <f t="shared" ca="1" si="90"/>
        <v>#N/A</v>
      </c>
      <c r="AD310" t="e">
        <f t="shared" ca="1" si="91"/>
        <v>#N/A</v>
      </c>
      <c r="AE310" s="83" t="e">
        <f ca="1"/>
        <v>#N/A</v>
      </c>
      <c r="AF310" s="55" t="e">
        <f t="shared" ca="1" si="100"/>
        <v>#N/A</v>
      </c>
      <c r="AG310" s="55" t="e">
        <f t="shared" ca="1" si="101"/>
        <v>#N/A</v>
      </c>
      <c r="AH310" s="55" t="e">
        <f t="shared" ca="1" si="102"/>
        <v>#N/A</v>
      </c>
      <c r="AI310" s="55" t="e">
        <f t="shared" ca="1" si="103"/>
        <v>#N/A</v>
      </c>
      <c r="AJ310" s="55" t="e">
        <f t="shared" ca="1" si="97"/>
        <v>#N/A</v>
      </c>
      <c r="AK310" s="55" t="e">
        <f t="shared" ca="1" si="98"/>
        <v>#N/A</v>
      </c>
      <c r="AL310" s="55" t="e">
        <f t="shared" ca="1" si="99"/>
        <v>#N/A</v>
      </c>
      <c r="AM310" s="55"/>
    </row>
    <row r="311" spans="18:39">
      <c r="R311" s="83" t="e">
        <f ca="1"/>
        <v>#N/A</v>
      </c>
      <c r="S311" s="55" t="e">
        <f t="shared" ca="1" si="92"/>
        <v>#N/A</v>
      </c>
      <c r="T311" s="55" t="e">
        <f t="shared" ca="1" si="85"/>
        <v>#N/A</v>
      </c>
      <c r="U311" s="55" t="e">
        <f t="shared" ca="1" si="86"/>
        <v>#N/A</v>
      </c>
      <c r="V311" s="55" t="e">
        <f t="shared" ca="1" si="87"/>
        <v>#N/A</v>
      </c>
      <c r="W311" s="55" t="e">
        <f t="shared" ca="1" si="93"/>
        <v>#N/A</v>
      </c>
      <c r="X311" s="55" t="e">
        <f t="shared" ca="1" si="94"/>
        <v>#N/A</v>
      </c>
      <c r="Y311" s="55" t="e">
        <f t="shared" ca="1" si="95"/>
        <v>#N/A</v>
      </c>
      <c r="Z311" s="55" t="e">
        <f t="shared" ca="1" si="88"/>
        <v>#N/A</v>
      </c>
      <c r="AA311" t="e">
        <f t="shared" ca="1" si="89"/>
        <v>#N/A</v>
      </c>
      <c r="AB311" t="e">
        <f t="shared" ca="1" si="96"/>
        <v>#N/A</v>
      </c>
      <c r="AC311" t="e">
        <f t="shared" ca="1" si="90"/>
        <v>#N/A</v>
      </c>
      <c r="AD311" t="e">
        <f t="shared" ca="1" si="91"/>
        <v>#N/A</v>
      </c>
      <c r="AE311" s="83" t="e">
        <f ca="1"/>
        <v>#N/A</v>
      </c>
      <c r="AF311" s="55" t="e">
        <f t="shared" ca="1" si="100"/>
        <v>#N/A</v>
      </c>
      <c r="AG311" s="55" t="e">
        <f t="shared" ca="1" si="101"/>
        <v>#N/A</v>
      </c>
      <c r="AH311" s="55" t="e">
        <f t="shared" ca="1" si="102"/>
        <v>#N/A</v>
      </c>
      <c r="AI311" s="55" t="e">
        <f t="shared" ca="1" si="103"/>
        <v>#N/A</v>
      </c>
      <c r="AJ311" s="55" t="e">
        <f t="shared" ca="1" si="97"/>
        <v>#N/A</v>
      </c>
      <c r="AK311" s="55" t="e">
        <f t="shared" ca="1" si="98"/>
        <v>#N/A</v>
      </c>
      <c r="AL311" s="55" t="e">
        <f t="shared" ca="1" si="99"/>
        <v>#N/A</v>
      </c>
      <c r="AM311" s="55"/>
    </row>
    <row r="312" spans="18:39">
      <c r="R312" s="83" t="e">
        <f ca="1"/>
        <v>#N/A</v>
      </c>
      <c r="S312" s="55" t="e">
        <f t="shared" ca="1" si="92"/>
        <v>#N/A</v>
      </c>
      <c r="T312" s="55" t="e">
        <f t="shared" ca="1" si="85"/>
        <v>#N/A</v>
      </c>
      <c r="U312" s="55" t="e">
        <f t="shared" ca="1" si="86"/>
        <v>#N/A</v>
      </c>
      <c r="V312" s="55" t="e">
        <f t="shared" ca="1" si="87"/>
        <v>#N/A</v>
      </c>
      <c r="W312" s="55" t="e">
        <f t="shared" ca="1" si="93"/>
        <v>#N/A</v>
      </c>
      <c r="X312" s="55" t="e">
        <f t="shared" ca="1" si="94"/>
        <v>#N/A</v>
      </c>
      <c r="Y312" s="55" t="e">
        <f t="shared" ca="1" si="95"/>
        <v>#N/A</v>
      </c>
      <c r="Z312" s="55" t="e">
        <f t="shared" ca="1" si="88"/>
        <v>#N/A</v>
      </c>
      <c r="AA312" t="e">
        <f t="shared" ca="1" si="89"/>
        <v>#N/A</v>
      </c>
      <c r="AB312" t="e">
        <f t="shared" ca="1" si="96"/>
        <v>#N/A</v>
      </c>
      <c r="AC312" t="e">
        <f t="shared" ca="1" si="90"/>
        <v>#N/A</v>
      </c>
      <c r="AD312" t="e">
        <f t="shared" ca="1" si="91"/>
        <v>#N/A</v>
      </c>
      <c r="AE312" s="83" t="e">
        <f ca="1"/>
        <v>#N/A</v>
      </c>
      <c r="AF312" s="55" t="e">
        <f t="shared" ca="1" si="100"/>
        <v>#N/A</v>
      </c>
      <c r="AG312" s="55" t="e">
        <f t="shared" ca="1" si="101"/>
        <v>#N/A</v>
      </c>
      <c r="AH312" s="55" t="e">
        <f t="shared" ca="1" si="102"/>
        <v>#N/A</v>
      </c>
      <c r="AI312" s="55" t="e">
        <f t="shared" ca="1" si="103"/>
        <v>#N/A</v>
      </c>
      <c r="AJ312" s="55" t="e">
        <f t="shared" ca="1" si="97"/>
        <v>#N/A</v>
      </c>
      <c r="AK312" s="55" t="e">
        <f t="shared" ca="1" si="98"/>
        <v>#N/A</v>
      </c>
      <c r="AL312" s="55" t="e">
        <f t="shared" ca="1" si="99"/>
        <v>#N/A</v>
      </c>
      <c r="AM312" s="55"/>
    </row>
    <row r="313" spans="18:39">
      <c r="R313" s="83" t="e">
        <f ca="1"/>
        <v>#N/A</v>
      </c>
      <c r="S313" s="55" t="e">
        <f t="shared" ca="1" si="92"/>
        <v>#N/A</v>
      </c>
      <c r="T313" s="55" t="e">
        <f t="shared" ca="1" si="85"/>
        <v>#N/A</v>
      </c>
      <c r="U313" s="55" t="e">
        <f t="shared" ca="1" si="86"/>
        <v>#N/A</v>
      </c>
      <c r="V313" s="55" t="e">
        <f t="shared" ca="1" si="87"/>
        <v>#N/A</v>
      </c>
      <c r="W313" s="55" t="e">
        <f t="shared" ca="1" si="93"/>
        <v>#N/A</v>
      </c>
      <c r="X313" s="55" t="e">
        <f t="shared" ca="1" si="94"/>
        <v>#N/A</v>
      </c>
      <c r="Y313" s="55" t="e">
        <f t="shared" ca="1" si="95"/>
        <v>#N/A</v>
      </c>
      <c r="Z313" s="55" t="e">
        <f t="shared" ca="1" si="88"/>
        <v>#N/A</v>
      </c>
      <c r="AA313" t="e">
        <f t="shared" ca="1" si="89"/>
        <v>#N/A</v>
      </c>
      <c r="AB313" t="e">
        <f t="shared" ca="1" si="96"/>
        <v>#N/A</v>
      </c>
      <c r="AC313" t="e">
        <f t="shared" ca="1" si="90"/>
        <v>#N/A</v>
      </c>
      <c r="AD313" t="e">
        <f t="shared" ca="1" si="91"/>
        <v>#N/A</v>
      </c>
      <c r="AE313" s="83" t="e">
        <f ca="1"/>
        <v>#N/A</v>
      </c>
      <c r="AF313" s="55" t="e">
        <f t="shared" ca="1" si="100"/>
        <v>#N/A</v>
      </c>
      <c r="AG313" s="55" t="e">
        <f t="shared" ca="1" si="101"/>
        <v>#N/A</v>
      </c>
      <c r="AH313" s="55" t="e">
        <f t="shared" ca="1" si="102"/>
        <v>#N/A</v>
      </c>
      <c r="AI313" s="55" t="e">
        <f t="shared" ca="1" si="103"/>
        <v>#N/A</v>
      </c>
      <c r="AJ313" s="55" t="e">
        <f t="shared" ca="1" si="97"/>
        <v>#N/A</v>
      </c>
      <c r="AK313" s="55" t="e">
        <f t="shared" ca="1" si="98"/>
        <v>#N/A</v>
      </c>
      <c r="AL313" s="55" t="e">
        <f t="shared" ca="1" si="99"/>
        <v>#N/A</v>
      </c>
      <c r="AM313" s="55"/>
    </row>
    <row r="314" spans="18:39">
      <c r="R314" s="83" t="e">
        <f ca="1"/>
        <v>#N/A</v>
      </c>
      <c r="S314" s="55" t="e">
        <f t="shared" ca="1" si="92"/>
        <v>#N/A</v>
      </c>
      <c r="T314" s="55" t="e">
        <f t="shared" ca="1" si="85"/>
        <v>#N/A</v>
      </c>
      <c r="U314" s="55" t="e">
        <f t="shared" ca="1" si="86"/>
        <v>#N/A</v>
      </c>
      <c r="V314" s="55" t="e">
        <f t="shared" ca="1" si="87"/>
        <v>#N/A</v>
      </c>
      <c r="W314" s="55" t="e">
        <f t="shared" ca="1" si="93"/>
        <v>#N/A</v>
      </c>
      <c r="X314" s="55" t="e">
        <f t="shared" ca="1" si="94"/>
        <v>#N/A</v>
      </c>
      <c r="Y314" s="55" t="e">
        <f t="shared" ca="1" si="95"/>
        <v>#N/A</v>
      </c>
      <c r="Z314" s="55" t="e">
        <f t="shared" ca="1" si="88"/>
        <v>#N/A</v>
      </c>
      <c r="AA314" t="e">
        <f t="shared" ca="1" si="89"/>
        <v>#N/A</v>
      </c>
      <c r="AB314" t="e">
        <f t="shared" ca="1" si="96"/>
        <v>#N/A</v>
      </c>
      <c r="AC314" t="e">
        <f t="shared" ca="1" si="90"/>
        <v>#N/A</v>
      </c>
      <c r="AD314" t="e">
        <f t="shared" ca="1" si="91"/>
        <v>#N/A</v>
      </c>
      <c r="AE314" s="83" t="e">
        <f ca="1"/>
        <v>#N/A</v>
      </c>
      <c r="AF314" s="55" t="e">
        <f t="shared" ca="1" si="100"/>
        <v>#N/A</v>
      </c>
      <c r="AG314" s="55" t="e">
        <f t="shared" ca="1" si="101"/>
        <v>#N/A</v>
      </c>
      <c r="AH314" s="55" t="e">
        <f t="shared" ca="1" si="102"/>
        <v>#N/A</v>
      </c>
      <c r="AI314" s="55" t="e">
        <f t="shared" ca="1" si="103"/>
        <v>#N/A</v>
      </c>
      <c r="AJ314" s="55" t="e">
        <f t="shared" ca="1" si="97"/>
        <v>#N/A</v>
      </c>
      <c r="AK314" s="55" t="e">
        <f t="shared" ca="1" si="98"/>
        <v>#N/A</v>
      </c>
      <c r="AL314" s="55" t="e">
        <f t="shared" ca="1" si="99"/>
        <v>#N/A</v>
      </c>
      <c r="AM314" s="55"/>
    </row>
    <row r="315" spans="18:39">
      <c r="R315" s="83" t="e">
        <f ca="1"/>
        <v>#N/A</v>
      </c>
      <c r="S315" s="55" t="e">
        <f t="shared" ca="1" si="92"/>
        <v>#N/A</v>
      </c>
      <c r="T315" s="55" t="e">
        <f t="shared" ca="1" si="85"/>
        <v>#N/A</v>
      </c>
      <c r="U315" s="55" t="e">
        <f t="shared" ca="1" si="86"/>
        <v>#N/A</v>
      </c>
      <c r="V315" s="55" t="e">
        <f t="shared" ca="1" si="87"/>
        <v>#N/A</v>
      </c>
      <c r="W315" s="55" t="e">
        <f t="shared" ca="1" si="93"/>
        <v>#N/A</v>
      </c>
      <c r="X315" s="55" t="e">
        <f t="shared" ca="1" si="94"/>
        <v>#N/A</v>
      </c>
      <c r="Y315" s="55" t="e">
        <f t="shared" ca="1" si="95"/>
        <v>#N/A</v>
      </c>
      <c r="Z315" s="55" t="e">
        <f t="shared" ca="1" si="88"/>
        <v>#N/A</v>
      </c>
      <c r="AA315" t="e">
        <f t="shared" ca="1" si="89"/>
        <v>#N/A</v>
      </c>
      <c r="AB315" t="e">
        <f t="shared" ca="1" si="96"/>
        <v>#N/A</v>
      </c>
      <c r="AC315" t="e">
        <f t="shared" ca="1" si="90"/>
        <v>#N/A</v>
      </c>
      <c r="AD315" t="e">
        <f t="shared" ca="1" si="91"/>
        <v>#N/A</v>
      </c>
      <c r="AE315" s="83" t="e">
        <f ca="1"/>
        <v>#N/A</v>
      </c>
      <c r="AF315" s="55" t="e">
        <f t="shared" ca="1" si="100"/>
        <v>#N/A</v>
      </c>
      <c r="AG315" s="55" t="e">
        <f t="shared" ca="1" si="101"/>
        <v>#N/A</v>
      </c>
      <c r="AH315" s="55" t="e">
        <f t="shared" ca="1" si="102"/>
        <v>#N/A</v>
      </c>
      <c r="AI315" s="55" t="e">
        <f t="shared" ca="1" si="103"/>
        <v>#N/A</v>
      </c>
      <c r="AJ315" s="55" t="e">
        <f t="shared" ca="1" si="97"/>
        <v>#N/A</v>
      </c>
      <c r="AK315" s="55" t="e">
        <f t="shared" ca="1" si="98"/>
        <v>#N/A</v>
      </c>
      <c r="AL315" s="55" t="e">
        <f t="shared" ca="1" si="99"/>
        <v>#N/A</v>
      </c>
      <c r="AM315" s="55"/>
    </row>
    <row r="316" spans="18:39">
      <c r="R316" s="83" t="e">
        <f ca="1"/>
        <v>#N/A</v>
      </c>
      <c r="S316" s="55" t="e">
        <f t="shared" ca="1" si="92"/>
        <v>#N/A</v>
      </c>
      <c r="T316" s="55" t="e">
        <f t="shared" ca="1" si="85"/>
        <v>#N/A</v>
      </c>
      <c r="U316" s="55" t="e">
        <f t="shared" ca="1" si="86"/>
        <v>#N/A</v>
      </c>
      <c r="V316" s="55" t="e">
        <f t="shared" ca="1" si="87"/>
        <v>#N/A</v>
      </c>
      <c r="W316" s="55" t="e">
        <f t="shared" ca="1" si="93"/>
        <v>#N/A</v>
      </c>
      <c r="X316" s="55" t="e">
        <f t="shared" ca="1" si="94"/>
        <v>#N/A</v>
      </c>
      <c r="Y316" s="55" t="e">
        <f t="shared" ca="1" si="95"/>
        <v>#N/A</v>
      </c>
      <c r="Z316" s="55" t="e">
        <f t="shared" ca="1" si="88"/>
        <v>#N/A</v>
      </c>
      <c r="AA316" t="e">
        <f t="shared" ca="1" si="89"/>
        <v>#N/A</v>
      </c>
      <c r="AB316" t="e">
        <f t="shared" ca="1" si="96"/>
        <v>#N/A</v>
      </c>
      <c r="AC316" t="e">
        <f t="shared" ca="1" si="90"/>
        <v>#N/A</v>
      </c>
      <c r="AD316" t="e">
        <f t="shared" ca="1" si="91"/>
        <v>#N/A</v>
      </c>
      <c r="AE316" s="83" t="e">
        <f ca="1"/>
        <v>#N/A</v>
      </c>
      <c r="AF316" s="55" t="e">
        <f t="shared" ca="1" si="100"/>
        <v>#N/A</v>
      </c>
      <c r="AG316" s="55" t="e">
        <f t="shared" ca="1" si="101"/>
        <v>#N/A</v>
      </c>
      <c r="AH316" s="55" t="e">
        <f t="shared" ca="1" si="102"/>
        <v>#N/A</v>
      </c>
      <c r="AI316" s="55" t="e">
        <f t="shared" ca="1" si="103"/>
        <v>#N/A</v>
      </c>
      <c r="AJ316" s="55" t="e">
        <f t="shared" ca="1" si="97"/>
        <v>#N/A</v>
      </c>
      <c r="AK316" s="55" t="e">
        <f t="shared" ca="1" si="98"/>
        <v>#N/A</v>
      </c>
      <c r="AL316" s="55" t="e">
        <f t="shared" ca="1" si="99"/>
        <v>#N/A</v>
      </c>
      <c r="AM316" s="55"/>
    </row>
    <row r="317" spans="18:39">
      <c r="R317" s="83" t="e">
        <f ca="1"/>
        <v>#N/A</v>
      </c>
      <c r="S317" s="55" t="e">
        <f t="shared" ca="1" si="92"/>
        <v>#N/A</v>
      </c>
      <c r="T317" s="55" t="e">
        <f t="shared" ca="1" si="85"/>
        <v>#N/A</v>
      </c>
      <c r="U317" s="55" t="e">
        <f t="shared" ca="1" si="86"/>
        <v>#N/A</v>
      </c>
      <c r="V317" s="55" t="e">
        <f t="shared" ca="1" si="87"/>
        <v>#N/A</v>
      </c>
      <c r="W317" s="55" t="e">
        <f t="shared" ca="1" si="93"/>
        <v>#N/A</v>
      </c>
      <c r="X317" s="55" t="e">
        <f t="shared" ca="1" si="94"/>
        <v>#N/A</v>
      </c>
      <c r="Y317" s="55" t="e">
        <f t="shared" ca="1" si="95"/>
        <v>#N/A</v>
      </c>
      <c r="Z317" s="55" t="e">
        <f t="shared" ca="1" si="88"/>
        <v>#N/A</v>
      </c>
      <c r="AA317" t="e">
        <f t="shared" ca="1" si="89"/>
        <v>#N/A</v>
      </c>
      <c r="AB317" t="e">
        <f t="shared" ca="1" si="96"/>
        <v>#N/A</v>
      </c>
      <c r="AC317" t="e">
        <f t="shared" ca="1" si="90"/>
        <v>#N/A</v>
      </c>
      <c r="AD317" t="e">
        <f t="shared" ca="1" si="91"/>
        <v>#N/A</v>
      </c>
      <c r="AE317" s="83" t="e">
        <f ca="1"/>
        <v>#N/A</v>
      </c>
      <c r="AF317" s="55" t="e">
        <f t="shared" ca="1" si="100"/>
        <v>#N/A</v>
      </c>
      <c r="AG317" s="55" t="e">
        <f t="shared" ca="1" si="101"/>
        <v>#N/A</v>
      </c>
      <c r="AH317" s="55" t="e">
        <f t="shared" ca="1" si="102"/>
        <v>#N/A</v>
      </c>
      <c r="AI317" s="55" t="e">
        <f t="shared" ca="1" si="103"/>
        <v>#N/A</v>
      </c>
      <c r="AJ317" s="55" t="e">
        <f t="shared" ca="1" si="97"/>
        <v>#N/A</v>
      </c>
      <c r="AK317" s="55" t="e">
        <f t="shared" ca="1" si="98"/>
        <v>#N/A</v>
      </c>
      <c r="AL317" s="55" t="e">
        <f t="shared" ca="1" si="99"/>
        <v>#N/A</v>
      </c>
      <c r="AM317" s="55"/>
    </row>
    <row r="318" spans="18:39">
      <c r="R318" s="83" t="e">
        <f ca="1"/>
        <v>#N/A</v>
      </c>
      <c r="S318" s="55" t="e">
        <f t="shared" ca="1" si="92"/>
        <v>#N/A</v>
      </c>
      <c r="T318" s="55" t="e">
        <f t="shared" ca="1" si="85"/>
        <v>#N/A</v>
      </c>
      <c r="U318" s="55" t="e">
        <f t="shared" ca="1" si="86"/>
        <v>#N/A</v>
      </c>
      <c r="V318" s="55" t="e">
        <f t="shared" ca="1" si="87"/>
        <v>#N/A</v>
      </c>
      <c r="W318" s="55" t="e">
        <f t="shared" ca="1" si="93"/>
        <v>#N/A</v>
      </c>
      <c r="X318" s="55" t="e">
        <f t="shared" ca="1" si="94"/>
        <v>#N/A</v>
      </c>
      <c r="Y318" s="55" t="e">
        <f t="shared" ca="1" si="95"/>
        <v>#N/A</v>
      </c>
      <c r="Z318" s="55" t="e">
        <f t="shared" ca="1" si="88"/>
        <v>#N/A</v>
      </c>
      <c r="AA318" t="e">
        <f t="shared" ca="1" si="89"/>
        <v>#N/A</v>
      </c>
      <c r="AB318" t="e">
        <f t="shared" ca="1" si="96"/>
        <v>#N/A</v>
      </c>
      <c r="AC318" t="e">
        <f t="shared" ca="1" si="90"/>
        <v>#N/A</v>
      </c>
      <c r="AD318" t="e">
        <f t="shared" ca="1" si="91"/>
        <v>#N/A</v>
      </c>
      <c r="AE318" s="83" t="e">
        <f ca="1"/>
        <v>#N/A</v>
      </c>
      <c r="AF318" s="55" t="e">
        <f t="shared" ca="1" si="100"/>
        <v>#N/A</v>
      </c>
      <c r="AG318" s="55" t="e">
        <f t="shared" ca="1" si="101"/>
        <v>#N/A</v>
      </c>
      <c r="AH318" s="55" t="e">
        <f t="shared" ca="1" si="102"/>
        <v>#N/A</v>
      </c>
      <c r="AI318" s="55" t="e">
        <f t="shared" ca="1" si="103"/>
        <v>#N/A</v>
      </c>
      <c r="AJ318" s="55" t="e">
        <f t="shared" ca="1" si="97"/>
        <v>#N/A</v>
      </c>
      <c r="AK318" s="55" t="e">
        <f t="shared" ca="1" si="98"/>
        <v>#N/A</v>
      </c>
      <c r="AL318" s="55" t="e">
        <f t="shared" ca="1" si="99"/>
        <v>#N/A</v>
      </c>
      <c r="AM318" s="55"/>
    </row>
    <row r="319" spans="18:39">
      <c r="R319" s="83" t="e">
        <f ca="1"/>
        <v>#N/A</v>
      </c>
      <c r="S319" s="55" t="e">
        <f t="shared" ca="1" si="92"/>
        <v>#N/A</v>
      </c>
      <c r="T319" s="55" t="e">
        <f t="shared" ca="1" si="85"/>
        <v>#N/A</v>
      </c>
      <c r="U319" s="55" t="e">
        <f t="shared" ca="1" si="86"/>
        <v>#N/A</v>
      </c>
      <c r="V319" s="55" t="e">
        <f t="shared" ca="1" si="87"/>
        <v>#N/A</v>
      </c>
      <c r="W319" s="55" t="e">
        <f t="shared" ca="1" si="93"/>
        <v>#N/A</v>
      </c>
      <c r="X319" s="55" t="e">
        <f t="shared" ca="1" si="94"/>
        <v>#N/A</v>
      </c>
      <c r="Y319" s="55" t="e">
        <f t="shared" ca="1" si="95"/>
        <v>#N/A</v>
      </c>
      <c r="Z319" s="55" t="e">
        <f t="shared" ca="1" si="88"/>
        <v>#N/A</v>
      </c>
      <c r="AA319" t="e">
        <f t="shared" ca="1" si="89"/>
        <v>#N/A</v>
      </c>
      <c r="AB319" t="e">
        <f t="shared" ca="1" si="96"/>
        <v>#N/A</v>
      </c>
      <c r="AC319" t="e">
        <f t="shared" ca="1" si="90"/>
        <v>#N/A</v>
      </c>
      <c r="AD319" t="e">
        <f t="shared" ca="1" si="91"/>
        <v>#N/A</v>
      </c>
      <c r="AE319" s="83" t="e">
        <f ca="1"/>
        <v>#N/A</v>
      </c>
      <c r="AF319" s="55" t="e">
        <f t="shared" ca="1" si="100"/>
        <v>#N/A</v>
      </c>
      <c r="AG319" s="55" t="e">
        <f t="shared" ca="1" si="101"/>
        <v>#N/A</v>
      </c>
      <c r="AH319" s="55" t="e">
        <f t="shared" ca="1" si="102"/>
        <v>#N/A</v>
      </c>
      <c r="AI319" s="55" t="e">
        <f t="shared" ca="1" si="103"/>
        <v>#N/A</v>
      </c>
      <c r="AJ319" s="55" t="e">
        <f t="shared" ca="1" si="97"/>
        <v>#N/A</v>
      </c>
      <c r="AK319" s="55" t="e">
        <f t="shared" ca="1" si="98"/>
        <v>#N/A</v>
      </c>
      <c r="AL319" s="55" t="e">
        <f t="shared" ca="1" si="99"/>
        <v>#N/A</v>
      </c>
      <c r="AM319" s="55"/>
    </row>
    <row r="320" spans="18:39">
      <c r="R320" s="83" t="e">
        <f ca="1"/>
        <v>#N/A</v>
      </c>
      <c r="S320" s="55" t="e">
        <f t="shared" ca="1" si="92"/>
        <v>#N/A</v>
      </c>
      <c r="T320" s="55" t="e">
        <f t="shared" ca="1" si="85"/>
        <v>#N/A</v>
      </c>
      <c r="U320" s="55" t="e">
        <f t="shared" ca="1" si="86"/>
        <v>#N/A</v>
      </c>
      <c r="V320" s="55" t="e">
        <f t="shared" ca="1" si="87"/>
        <v>#N/A</v>
      </c>
      <c r="W320" s="55" t="e">
        <f t="shared" ca="1" si="93"/>
        <v>#N/A</v>
      </c>
      <c r="X320" s="55" t="e">
        <f t="shared" ca="1" si="94"/>
        <v>#N/A</v>
      </c>
      <c r="Y320" s="55" t="e">
        <f t="shared" ca="1" si="95"/>
        <v>#N/A</v>
      </c>
      <c r="Z320" s="55" t="e">
        <f t="shared" ca="1" si="88"/>
        <v>#N/A</v>
      </c>
      <c r="AA320" t="e">
        <f t="shared" ca="1" si="89"/>
        <v>#N/A</v>
      </c>
      <c r="AB320" t="e">
        <f t="shared" ca="1" si="96"/>
        <v>#N/A</v>
      </c>
      <c r="AC320" t="e">
        <f t="shared" ca="1" si="90"/>
        <v>#N/A</v>
      </c>
      <c r="AD320" t="e">
        <f t="shared" ca="1" si="91"/>
        <v>#N/A</v>
      </c>
      <c r="AE320" s="83" t="e">
        <f ca="1"/>
        <v>#N/A</v>
      </c>
      <c r="AF320" s="55" t="e">
        <f t="shared" ca="1" si="100"/>
        <v>#N/A</v>
      </c>
      <c r="AG320" s="55" t="e">
        <f t="shared" ca="1" si="101"/>
        <v>#N/A</v>
      </c>
      <c r="AH320" s="55" t="e">
        <f t="shared" ca="1" si="102"/>
        <v>#N/A</v>
      </c>
      <c r="AI320" s="55" t="e">
        <f t="shared" ca="1" si="103"/>
        <v>#N/A</v>
      </c>
      <c r="AJ320" s="55" t="e">
        <f t="shared" ca="1" si="97"/>
        <v>#N/A</v>
      </c>
      <c r="AK320" s="55" t="e">
        <f t="shared" ca="1" si="98"/>
        <v>#N/A</v>
      </c>
      <c r="AL320" s="55" t="e">
        <f t="shared" ca="1" si="99"/>
        <v>#N/A</v>
      </c>
      <c r="AM320" s="55"/>
    </row>
    <row r="321" spans="18:39">
      <c r="R321" s="83" t="e">
        <f ca="1"/>
        <v>#N/A</v>
      </c>
      <c r="S321" s="55" t="e">
        <f t="shared" ca="1" si="92"/>
        <v>#N/A</v>
      </c>
      <c r="T321" s="55" t="e">
        <f t="shared" ca="1" si="85"/>
        <v>#N/A</v>
      </c>
      <c r="U321" s="55" t="e">
        <f t="shared" ca="1" si="86"/>
        <v>#N/A</v>
      </c>
      <c r="V321" s="55" t="e">
        <f t="shared" ca="1" si="87"/>
        <v>#N/A</v>
      </c>
      <c r="W321" s="55" t="e">
        <f t="shared" ca="1" si="93"/>
        <v>#N/A</v>
      </c>
      <c r="X321" s="55" t="e">
        <f t="shared" ca="1" si="94"/>
        <v>#N/A</v>
      </c>
      <c r="Y321" s="55" t="e">
        <f t="shared" ca="1" si="95"/>
        <v>#N/A</v>
      </c>
      <c r="Z321" s="55" t="e">
        <f t="shared" ca="1" si="88"/>
        <v>#N/A</v>
      </c>
      <c r="AA321" t="e">
        <f t="shared" ca="1" si="89"/>
        <v>#N/A</v>
      </c>
      <c r="AB321" t="e">
        <f t="shared" ca="1" si="96"/>
        <v>#N/A</v>
      </c>
      <c r="AC321" t="e">
        <f t="shared" ca="1" si="90"/>
        <v>#N/A</v>
      </c>
      <c r="AD321" t="e">
        <f t="shared" ca="1" si="91"/>
        <v>#N/A</v>
      </c>
      <c r="AE321" s="83" t="e">
        <f ca="1"/>
        <v>#N/A</v>
      </c>
      <c r="AF321" s="55" t="e">
        <f t="shared" ca="1" si="100"/>
        <v>#N/A</v>
      </c>
      <c r="AG321" s="55" t="e">
        <f t="shared" ca="1" si="101"/>
        <v>#N/A</v>
      </c>
      <c r="AH321" s="55" t="e">
        <f t="shared" ca="1" si="102"/>
        <v>#N/A</v>
      </c>
      <c r="AI321" s="55" t="e">
        <f t="shared" ca="1" si="103"/>
        <v>#N/A</v>
      </c>
      <c r="AJ321" s="55" t="e">
        <f t="shared" ca="1" si="97"/>
        <v>#N/A</v>
      </c>
      <c r="AK321" s="55" t="e">
        <f t="shared" ca="1" si="98"/>
        <v>#N/A</v>
      </c>
      <c r="AL321" s="55" t="e">
        <f t="shared" ca="1" si="99"/>
        <v>#N/A</v>
      </c>
      <c r="AM321" s="55"/>
    </row>
    <row r="322" spans="18:39">
      <c r="R322" s="83" t="e">
        <f ca="1"/>
        <v>#N/A</v>
      </c>
      <c r="S322" s="55" t="e">
        <f t="shared" ca="1" si="92"/>
        <v>#N/A</v>
      </c>
      <c r="T322" s="55" t="e">
        <f t="shared" ca="1" si="85"/>
        <v>#N/A</v>
      </c>
      <c r="U322" s="55" t="e">
        <f t="shared" ca="1" si="86"/>
        <v>#N/A</v>
      </c>
      <c r="V322" s="55" t="e">
        <f t="shared" ca="1" si="87"/>
        <v>#N/A</v>
      </c>
      <c r="W322" s="55" t="e">
        <f t="shared" ca="1" si="93"/>
        <v>#N/A</v>
      </c>
      <c r="X322" s="55" t="e">
        <f t="shared" ca="1" si="94"/>
        <v>#N/A</v>
      </c>
      <c r="Y322" s="55" t="e">
        <f t="shared" ca="1" si="95"/>
        <v>#N/A</v>
      </c>
      <c r="Z322" s="55" t="e">
        <f t="shared" ca="1" si="88"/>
        <v>#N/A</v>
      </c>
      <c r="AA322" t="e">
        <f t="shared" ca="1" si="89"/>
        <v>#N/A</v>
      </c>
      <c r="AB322" t="e">
        <f t="shared" ca="1" si="96"/>
        <v>#N/A</v>
      </c>
      <c r="AC322" t="e">
        <f t="shared" ca="1" si="90"/>
        <v>#N/A</v>
      </c>
      <c r="AD322" t="e">
        <f t="shared" ca="1" si="91"/>
        <v>#N/A</v>
      </c>
      <c r="AE322" s="83" t="e">
        <f ca="1"/>
        <v>#N/A</v>
      </c>
      <c r="AF322" s="55" t="e">
        <f t="shared" ca="1" si="100"/>
        <v>#N/A</v>
      </c>
      <c r="AG322" s="55" t="e">
        <f t="shared" ca="1" si="101"/>
        <v>#N/A</v>
      </c>
      <c r="AH322" s="55" t="e">
        <f t="shared" ca="1" si="102"/>
        <v>#N/A</v>
      </c>
      <c r="AI322" s="55" t="e">
        <f t="shared" ca="1" si="103"/>
        <v>#N/A</v>
      </c>
      <c r="AJ322" s="55" t="e">
        <f t="shared" ca="1" si="97"/>
        <v>#N/A</v>
      </c>
      <c r="AK322" s="55" t="e">
        <f t="shared" ca="1" si="98"/>
        <v>#N/A</v>
      </c>
      <c r="AL322" s="55" t="e">
        <f t="shared" ca="1" si="99"/>
        <v>#N/A</v>
      </c>
      <c r="AM322" s="55"/>
    </row>
    <row r="323" spans="18:39">
      <c r="R323" s="83" t="e">
        <f ca="1"/>
        <v>#N/A</v>
      </c>
      <c r="S323" s="55" t="e">
        <f t="shared" ca="1" si="92"/>
        <v>#N/A</v>
      </c>
      <c r="T323" s="55" t="e">
        <f t="shared" ca="1" si="85"/>
        <v>#N/A</v>
      </c>
      <c r="U323" s="55" t="e">
        <f t="shared" ca="1" si="86"/>
        <v>#N/A</v>
      </c>
      <c r="V323" s="55" t="e">
        <f t="shared" ca="1" si="87"/>
        <v>#N/A</v>
      </c>
      <c r="W323" s="55" t="e">
        <f t="shared" ca="1" si="93"/>
        <v>#N/A</v>
      </c>
      <c r="X323" s="55" t="e">
        <f t="shared" ca="1" si="94"/>
        <v>#N/A</v>
      </c>
      <c r="Y323" s="55" t="e">
        <f t="shared" ca="1" si="95"/>
        <v>#N/A</v>
      </c>
      <c r="Z323" s="55" t="e">
        <f t="shared" ca="1" si="88"/>
        <v>#N/A</v>
      </c>
      <c r="AA323" t="e">
        <f t="shared" ca="1" si="89"/>
        <v>#N/A</v>
      </c>
      <c r="AB323" t="e">
        <f t="shared" ca="1" si="96"/>
        <v>#N/A</v>
      </c>
      <c r="AC323" t="e">
        <f t="shared" ca="1" si="90"/>
        <v>#N/A</v>
      </c>
      <c r="AD323" t="e">
        <f t="shared" ca="1" si="91"/>
        <v>#N/A</v>
      </c>
      <c r="AE323" s="83" t="e">
        <f ca="1"/>
        <v>#N/A</v>
      </c>
      <c r="AF323" s="55" t="e">
        <f t="shared" ca="1" si="100"/>
        <v>#N/A</v>
      </c>
      <c r="AG323" s="55" t="e">
        <f t="shared" ca="1" si="101"/>
        <v>#N/A</v>
      </c>
      <c r="AH323" s="55" t="e">
        <f t="shared" ca="1" si="102"/>
        <v>#N/A</v>
      </c>
      <c r="AI323" s="55" t="e">
        <f t="shared" ca="1" si="103"/>
        <v>#N/A</v>
      </c>
      <c r="AJ323" s="55" t="e">
        <f t="shared" ca="1" si="97"/>
        <v>#N/A</v>
      </c>
      <c r="AK323" s="55" t="e">
        <f t="shared" ca="1" si="98"/>
        <v>#N/A</v>
      </c>
      <c r="AL323" s="55" t="e">
        <f t="shared" ca="1" si="99"/>
        <v>#N/A</v>
      </c>
      <c r="AM323" s="55"/>
    </row>
    <row r="324" spans="18:39">
      <c r="R324" s="83" t="e">
        <f ca="1"/>
        <v>#N/A</v>
      </c>
      <c r="S324" s="55" t="e">
        <f t="shared" ca="1" si="92"/>
        <v>#N/A</v>
      </c>
      <c r="T324" s="55" t="e">
        <f t="shared" ca="1" si="85"/>
        <v>#N/A</v>
      </c>
      <c r="U324" s="55" t="e">
        <f t="shared" ca="1" si="86"/>
        <v>#N/A</v>
      </c>
      <c r="V324" s="55" t="e">
        <f t="shared" ca="1" si="87"/>
        <v>#N/A</v>
      </c>
      <c r="W324" s="55" t="e">
        <f t="shared" ca="1" si="93"/>
        <v>#N/A</v>
      </c>
      <c r="X324" s="55" t="e">
        <f t="shared" ca="1" si="94"/>
        <v>#N/A</v>
      </c>
      <c r="Y324" s="55" t="e">
        <f t="shared" ca="1" si="95"/>
        <v>#N/A</v>
      </c>
      <c r="Z324" s="55" t="e">
        <f t="shared" ca="1" si="88"/>
        <v>#N/A</v>
      </c>
      <c r="AA324" t="e">
        <f t="shared" ca="1" si="89"/>
        <v>#N/A</v>
      </c>
      <c r="AB324" t="e">
        <f t="shared" ca="1" si="96"/>
        <v>#N/A</v>
      </c>
      <c r="AC324" t="e">
        <f t="shared" ca="1" si="90"/>
        <v>#N/A</v>
      </c>
      <c r="AD324" t="e">
        <f t="shared" ca="1" si="91"/>
        <v>#N/A</v>
      </c>
      <c r="AE324" s="83" t="e">
        <f ca="1"/>
        <v>#N/A</v>
      </c>
      <c r="AF324" s="55" t="e">
        <f t="shared" ca="1" si="100"/>
        <v>#N/A</v>
      </c>
      <c r="AG324" s="55" t="e">
        <f t="shared" ca="1" si="101"/>
        <v>#N/A</v>
      </c>
      <c r="AH324" s="55" t="e">
        <f t="shared" ca="1" si="102"/>
        <v>#N/A</v>
      </c>
      <c r="AI324" s="55" t="e">
        <f t="shared" ca="1" si="103"/>
        <v>#N/A</v>
      </c>
      <c r="AJ324" s="55" t="e">
        <f t="shared" ca="1" si="97"/>
        <v>#N/A</v>
      </c>
      <c r="AK324" s="55" t="e">
        <f t="shared" ca="1" si="98"/>
        <v>#N/A</v>
      </c>
      <c r="AL324" s="55" t="e">
        <f t="shared" ca="1" si="99"/>
        <v>#N/A</v>
      </c>
      <c r="AM324" s="55"/>
    </row>
    <row r="325" spans="18:39">
      <c r="R325" s="83" t="e">
        <f ca="1"/>
        <v>#N/A</v>
      </c>
      <c r="S325" s="55" t="e">
        <f t="shared" ca="1" si="92"/>
        <v>#N/A</v>
      </c>
      <c r="T325" s="55" t="e">
        <f t="shared" ca="1" si="85"/>
        <v>#N/A</v>
      </c>
      <c r="U325" s="55" t="e">
        <f t="shared" ca="1" si="86"/>
        <v>#N/A</v>
      </c>
      <c r="V325" s="55" t="e">
        <f t="shared" ca="1" si="87"/>
        <v>#N/A</v>
      </c>
      <c r="W325" s="55" t="e">
        <f t="shared" ca="1" si="93"/>
        <v>#N/A</v>
      </c>
      <c r="X325" s="55" t="e">
        <f t="shared" ca="1" si="94"/>
        <v>#N/A</v>
      </c>
      <c r="Y325" s="55" t="e">
        <f t="shared" ca="1" si="95"/>
        <v>#N/A</v>
      </c>
      <c r="Z325" s="55" t="e">
        <f t="shared" ca="1" si="88"/>
        <v>#N/A</v>
      </c>
      <c r="AA325" t="e">
        <f t="shared" ca="1" si="89"/>
        <v>#N/A</v>
      </c>
      <c r="AB325" t="e">
        <f t="shared" ca="1" si="96"/>
        <v>#N/A</v>
      </c>
      <c r="AC325" t="e">
        <f t="shared" ca="1" si="90"/>
        <v>#N/A</v>
      </c>
      <c r="AD325" t="e">
        <f t="shared" ca="1" si="91"/>
        <v>#N/A</v>
      </c>
      <c r="AE325" s="83" t="e">
        <f ca="1"/>
        <v>#N/A</v>
      </c>
      <c r="AF325" s="55" t="e">
        <f t="shared" ca="1" si="100"/>
        <v>#N/A</v>
      </c>
      <c r="AG325" s="55" t="e">
        <f t="shared" ca="1" si="101"/>
        <v>#N/A</v>
      </c>
      <c r="AH325" s="55" t="e">
        <f t="shared" ca="1" si="102"/>
        <v>#N/A</v>
      </c>
      <c r="AI325" s="55" t="e">
        <f t="shared" ca="1" si="103"/>
        <v>#N/A</v>
      </c>
      <c r="AJ325" s="55" t="e">
        <f t="shared" ca="1" si="97"/>
        <v>#N/A</v>
      </c>
      <c r="AK325" s="55" t="e">
        <f t="shared" ca="1" si="98"/>
        <v>#N/A</v>
      </c>
      <c r="AL325" s="55" t="e">
        <f t="shared" ca="1" si="99"/>
        <v>#N/A</v>
      </c>
      <c r="AM325" s="55"/>
    </row>
    <row r="326" spans="18:39">
      <c r="R326" s="83" t="e">
        <f ca="1"/>
        <v>#N/A</v>
      </c>
      <c r="S326" s="55" t="e">
        <f t="shared" ca="1" si="92"/>
        <v>#N/A</v>
      </c>
      <c r="T326" s="55" t="e">
        <f t="shared" ca="1" si="85"/>
        <v>#N/A</v>
      </c>
      <c r="U326" s="55" t="e">
        <f t="shared" ca="1" si="86"/>
        <v>#N/A</v>
      </c>
      <c r="V326" s="55" t="e">
        <f t="shared" ca="1" si="87"/>
        <v>#N/A</v>
      </c>
      <c r="W326" s="55" t="e">
        <f t="shared" ca="1" si="93"/>
        <v>#N/A</v>
      </c>
      <c r="X326" s="55" t="e">
        <f t="shared" ca="1" si="94"/>
        <v>#N/A</v>
      </c>
      <c r="Y326" s="55" t="e">
        <f t="shared" ca="1" si="95"/>
        <v>#N/A</v>
      </c>
      <c r="Z326" s="55" t="e">
        <f t="shared" ca="1" si="88"/>
        <v>#N/A</v>
      </c>
      <c r="AA326" t="e">
        <f t="shared" ca="1" si="89"/>
        <v>#N/A</v>
      </c>
      <c r="AB326" t="e">
        <f t="shared" ca="1" si="96"/>
        <v>#N/A</v>
      </c>
      <c r="AC326" t="e">
        <f t="shared" ca="1" si="90"/>
        <v>#N/A</v>
      </c>
      <c r="AD326" t="e">
        <f t="shared" ca="1" si="91"/>
        <v>#N/A</v>
      </c>
      <c r="AE326" s="83" t="e">
        <f ca="1"/>
        <v>#N/A</v>
      </c>
      <c r="AF326" s="55" t="e">
        <f t="shared" ca="1" si="100"/>
        <v>#N/A</v>
      </c>
      <c r="AG326" s="55" t="e">
        <f t="shared" ca="1" si="101"/>
        <v>#N/A</v>
      </c>
      <c r="AH326" s="55" t="e">
        <f t="shared" ca="1" si="102"/>
        <v>#N/A</v>
      </c>
      <c r="AI326" s="55" t="e">
        <f t="shared" ca="1" si="103"/>
        <v>#N/A</v>
      </c>
      <c r="AJ326" s="55" t="e">
        <f t="shared" ca="1" si="97"/>
        <v>#N/A</v>
      </c>
      <c r="AK326" s="55" t="e">
        <f t="shared" ca="1" si="98"/>
        <v>#N/A</v>
      </c>
      <c r="AL326" s="55" t="e">
        <f t="shared" ca="1" si="99"/>
        <v>#N/A</v>
      </c>
      <c r="AM326" s="55"/>
    </row>
    <row r="327" spans="18:39">
      <c r="R327" s="83" t="e">
        <f ca="1"/>
        <v>#N/A</v>
      </c>
      <c r="S327" s="55" t="e">
        <f t="shared" ca="1" si="92"/>
        <v>#N/A</v>
      </c>
      <c r="T327" s="55" t="e">
        <f t="shared" ca="1" si="85"/>
        <v>#N/A</v>
      </c>
      <c r="U327" s="55" t="e">
        <f t="shared" ca="1" si="86"/>
        <v>#N/A</v>
      </c>
      <c r="V327" s="55" t="e">
        <f t="shared" ca="1" si="87"/>
        <v>#N/A</v>
      </c>
      <c r="W327" s="55" t="e">
        <f t="shared" ca="1" si="93"/>
        <v>#N/A</v>
      </c>
      <c r="X327" s="55" t="e">
        <f t="shared" ca="1" si="94"/>
        <v>#N/A</v>
      </c>
      <c r="Y327" s="55" t="e">
        <f t="shared" ca="1" si="95"/>
        <v>#N/A</v>
      </c>
      <c r="Z327" s="55" t="e">
        <f t="shared" ca="1" si="88"/>
        <v>#N/A</v>
      </c>
      <c r="AA327" t="e">
        <f t="shared" ca="1" si="89"/>
        <v>#N/A</v>
      </c>
      <c r="AB327" t="e">
        <f t="shared" ca="1" si="96"/>
        <v>#N/A</v>
      </c>
      <c r="AC327" t="e">
        <f t="shared" ca="1" si="90"/>
        <v>#N/A</v>
      </c>
      <c r="AD327" t="e">
        <f t="shared" ca="1" si="91"/>
        <v>#N/A</v>
      </c>
      <c r="AE327" s="83" t="e">
        <f ca="1"/>
        <v>#N/A</v>
      </c>
      <c r="AF327" s="55" t="e">
        <f t="shared" ca="1" si="100"/>
        <v>#N/A</v>
      </c>
      <c r="AG327" s="55" t="e">
        <f t="shared" ca="1" si="101"/>
        <v>#N/A</v>
      </c>
      <c r="AH327" s="55" t="e">
        <f t="shared" ca="1" si="102"/>
        <v>#N/A</v>
      </c>
      <c r="AI327" s="55" t="e">
        <f t="shared" ca="1" si="103"/>
        <v>#N/A</v>
      </c>
      <c r="AJ327" s="55" t="e">
        <f t="shared" ca="1" si="97"/>
        <v>#N/A</v>
      </c>
      <c r="AK327" s="55" t="e">
        <f t="shared" ca="1" si="98"/>
        <v>#N/A</v>
      </c>
      <c r="AL327" s="55" t="e">
        <f t="shared" ca="1" si="99"/>
        <v>#N/A</v>
      </c>
      <c r="AM327" s="55"/>
    </row>
    <row r="328" spans="18:39">
      <c r="R328" s="83" t="e">
        <f ca="1"/>
        <v>#N/A</v>
      </c>
      <c r="S328" s="55" t="e">
        <f t="shared" ca="1" si="92"/>
        <v>#N/A</v>
      </c>
      <c r="T328" s="55" t="e">
        <f t="shared" ca="1" si="85"/>
        <v>#N/A</v>
      </c>
      <c r="U328" s="55" t="e">
        <f t="shared" ca="1" si="86"/>
        <v>#N/A</v>
      </c>
      <c r="V328" s="55" t="e">
        <f t="shared" ca="1" si="87"/>
        <v>#N/A</v>
      </c>
      <c r="W328" s="55" t="e">
        <f t="shared" ca="1" si="93"/>
        <v>#N/A</v>
      </c>
      <c r="X328" s="55" t="e">
        <f t="shared" ca="1" si="94"/>
        <v>#N/A</v>
      </c>
      <c r="Y328" s="55" t="e">
        <f t="shared" ca="1" si="95"/>
        <v>#N/A</v>
      </c>
      <c r="Z328" s="55" t="e">
        <f t="shared" ca="1" si="88"/>
        <v>#N/A</v>
      </c>
      <c r="AA328" t="e">
        <f t="shared" ca="1" si="89"/>
        <v>#N/A</v>
      </c>
      <c r="AB328" t="e">
        <f t="shared" ca="1" si="96"/>
        <v>#N/A</v>
      </c>
      <c r="AC328" t="e">
        <f t="shared" ca="1" si="90"/>
        <v>#N/A</v>
      </c>
      <c r="AD328" t="e">
        <f t="shared" ca="1" si="91"/>
        <v>#N/A</v>
      </c>
      <c r="AE328" s="83" t="e">
        <f ca="1"/>
        <v>#N/A</v>
      </c>
      <c r="AF328" s="55" t="e">
        <f t="shared" ca="1" si="100"/>
        <v>#N/A</v>
      </c>
      <c r="AG328" s="55" t="e">
        <f t="shared" ca="1" si="101"/>
        <v>#N/A</v>
      </c>
      <c r="AH328" s="55" t="e">
        <f t="shared" ca="1" si="102"/>
        <v>#N/A</v>
      </c>
      <c r="AI328" s="55" t="e">
        <f t="shared" ca="1" si="103"/>
        <v>#N/A</v>
      </c>
      <c r="AJ328" s="55" t="e">
        <f t="shared" ca="1" si="97"/>
        <v>#N/A</v>
      </c>
      <c r="AK328" s="55" t="e">
        <f t="shared" ca="1" si="98"/>
        <v>#N/A</v>
      </c>
      <c r="AL328" s="55" t="e">
        <f t="shared" ca="1" si="99"/>
        <v>#N/A</v>
      </c>
      <c r="AM328" s="55"/>
    </row>
    <row r="329" spans="18:39">
      <c r="R329" s="83" t="e">
        <f ca="1"/>
        <v>#N/A</v>
      </c>
      <c r="S329" s="55" t="e">
        <f t="shared" ca="1" si="92"/>
        <v>#N/A</v>
      </c>
      <c r="T329" s="55" t="e">
        <f t="shared" ca="1" si="85"/>
        <v>#N/A</v>
      </c>
      <c r="U329" s="55" t="e">
        <f t="shared" ca="1" si="86"/>
        <v>#N/A</v>
      </c>
      <c r="V329" s="55" t="e">
        <f t="shared" ca="1" si="87"/>
        <v>#N/A</v>
      </c>
      <c r="W329" s="55" t="e">
        <f t="shared" ca="1" si="93"/>
        <v>#N/A</v>
      </c>
      <c r="X329" s="55" t="e">
        <f t="shared" ca="1" si="94"/>
        <v>#N/A</v>
      </c>
      <c r="Y329" s="55" t="e">
        <f t="shared" ca="1" si="95"/>
        <v>#N/A</v>
      </c>
      <c r="Z329" s="55" t="e">
        <f t="shared" ca="1" si="88"/>
        <v>#N/A</v>
      </c>
      <c r="AA329" t="e">
        <f t="shared" ca="1" si="89"/>
        <v>#N/A</v>
      </c>
      <c r="AB329" t="e">
        <f t="shared" ca="1" si="96"/>
        <v>#N/A</v>
      </c>
      <c r="AC329" t="e">
        <f t="shared" ca="1" si="90"/>
        <v>#N/A</v>
      </c>
      <c r="AD329" t="e">
        <f t="shared" ca="1" si="91"/>
        <v>#N/A</v>
      </c>
      <c r="AE329" s="83" t="e">
        <f ca="1"/>
        <v>#N/A</v>
      </c>
      <c r="AF329" s="55" t="e">
        <f t="shared" ca="1" si="100"/>
        <v>#N/A</v>
      </c>
      <c r="AG329" s="55" t="e">
        <f t="shared" ca="1" si="101"/>
        <v>#N/A</v>
      </c>
      <c r="AH329" s="55" t="e">
        <f t="shared" ca="1" si="102"/>
        <v>#N/A</v>
      </c>
      <c r="AI329" s="55" t="e">
        <f t="shared" ca="1" si="103"/>
        <v>#N/A</v>
      </c>
      <c r="AJ329" s="55" t="e">
        <f t="shared" ca="1" si="97"/>
        <v>#N/A</v>
      </c>
      <c r="AK329" s="55" t="e">
        <f t="shared" ca="1" si="98"/>
        <v>#N/A</v>
      </c>
      <c r="AL329" s="55" t="e">
        <f t="shared" ca="1" si="99"/>
        <v>#N/A</v>
      </c>
      <c r="AM329" s="55"/>
    </row>
    <row r="330" spans="18:39">
      <c r="R330" s="83" t="e">
        <f ca="1"/>
        <v>#N/A</v>
      </c>
      <c r="S330" s="55" t="e">
        <f t="shared" ca="1" si="92"/>
        <v>#N/A</v>
      </c>
      <c r="T330" s="55" t="e">
        <f t="shared" ca="1" si="85"/>
        <v>#N/A</v>
      </c>
      <c r="U330" s="55" t="e">
        <f t="shared" ca="1" si="86"/>
        <v>#N/A</v>
      </c>
      <c r="V330" s="55" t="e">
        <f t="shared" ca="1" si="87"/>
        <v>#N/A</v>
      </c>
      <c r="W330" s="55" t="e">
        <f t="shared" ca="1" si="93"/>
        <v>#N/A</v>
      </c>
      <c r="X330" s="55" t="e">
        <f t="shared" ca="1" si="94"/>
        <v>#N/A</v>
      </c>
      <c r="Y330" s="55" t="e">
        <f t="shared" ca="1" si="95"/>
        <v>#N/A</v>
      </c>
      <c r="Z330" s="55" t="e">
        <f t="shared" ca="1" si="88"/>
        <v>#N/A</v>
      </c>
      <c r="AA330" t="e">
        <f t="shared" ca="1" si="89"/>
        <v>#N/A</v>
      </c>
      <c r="AB330" t="e">
        <f t="shared" ca="1" si="96"/>
        <v>#N/A</v>
      </c>
      <c r="AC330" t="e">
        <f t="shared" ca="1" si="90"/>
        <v>#N/A</v>
      </c>
      <c r="AD330" t="e">
        <f t="shared" ca="1" si="91"/>
        <v>#N/A</v>
      </c>
      <c r="AE330" s="83" t="e">
        <f ca="1"/>
        <v>#N/A</v>
      </c>
      <c r="AF330" s="55" t="e">
        <f t="shared" ca="1" si="100"/>
        <v>#N/A</v>
      </c>
      <c r="AG330" s="55" t="e">
        <f t="shared" ca="1" si="101"/>
        <v>#N/A</v>
      </c>
      <c r="AH330" s="55" t="e">
        <f t="shared" ca="1" si="102"/>
        <v>#N/A</v>
      </c>
      <c r="AI330" s="55" t="e">
        <f t="shared" ca="1" si="103"/>
        <v>#N/A</v>
      </c>
      <c r="AJ330" s="55" t="e">
        <f t="shared" ca="1" si="97"/>
        <v>#N/A</v>
      </c>
      <c r="AK330" s="55" t="e">
        <f t="shared" ca="1" si="98"/>
        <v>#N/A</v>
      </c>
      <c r="AL330" s="55" t="e">
        <f t="shared" ca="1" si="99"/>
        <v>#N/A</v>
      </c>
      <c r="AM330" s="55"/>
    </row>
    <row r="331" spans="18:39">
      <c r="R331" s="83" t="e">
        <f ca="1"/>
        <v>#N/A</v>
      </c>
      <c r="S331" s="55" t="e">
        <f t="shared" ca="1" si="92"/>
        <v>#N/A</v>
      </c>
      <c r="T331" s="55" t="e">
        <f t="shared" ca="1" si="85"/>
        <v>#N/A</v>
      </c>
      <c r="U331" s="55" t="e">
        <f t="shared" ca="1" si="86"/>
        <v>#N/A</v>
      </c>
      <c r="V331" s="55" t="e">
        <f t="shared" ca="1" si="87"/>
        <v>#N/A</v>
      </c>
      <c r="W331" s="55" t="e">
        <f t="shared" ca="1" si="93"/>
        <v>#N/A</v>
      </c>
      <c r="X331" s="55" t="e">
        <f t="shared" ca="1" si="94"/>
        <v>#N/A</v>
      </c>
      <c r="Y331" s="55" t="e">
        <f t="shared" ca="1" si="95"/>
        <v>#N/A</v>
      </c>
      <c r="Z331" s="55" t="e">
        <f t="shared" ca="1" si="88"/>
        <v>#N/A</v>
      </c>
      <c r="AA331" t="e">
        <f t="shared" ca="1" si="89"/>
        <v>#N/A</v>
      </c>
      <c r="AB331" t="e">
        <f t="shared" ca="1" si="96"/>
        <v>#N/A</v>
      </c>
      <c r="AC331" t="e">
        <f t="shared" ca="1" si="90"/>
        <v>#N/A</v>
      </c>
      <c r="AD331" t="e">
        <f t="shared" ca="1" si="91"/>
        <v>#N/A</v>
      </c>
      <c r="AE331" s="83" t="e">
        <f ca="1"/>
        <v>#N/A</v>
      </c>
      <c r="AF331" s="55" t="e">
        <f t="shared" ca="1" si="100"/>
        <v>#N/A</v>
      </c>
      <c r="AG331" s="55" t="e">
        <f t="shared" ca="1" si="101"/>
        <v>#N/A</v>
      </c>
      <c r="AH331" s="55" t="e">
        <f t="shared" ca="1" si="102"/>
        <v>#N/A</v>
      </c>
      <c r="AI331" s="55" t="e">
        <f t="shared" ca="1" si="103"/>
        <v>#N/A</v>
      </c>
      <c r="AJ331" s="55" t="e">
        <f t="shared" ca="1" si="97"/>
        <v>#N/A</v>
      </c>
      <c r="AK331" s="55" t="e">
        <f t="shared" ca="1" si="98"/>
        <v>#N/A</v>
      </c>
      <c r="AL331" s="55" t="e">
        <f t="shared" ca="1" si="99"/>
        <v>#N/A</v>
      </c>
      <c r="AM331" s="55"/>
    </row>
    <row r="332" spans="18:39">
      <c r="R332" s="83" t="e">
        <f ca="1"/>
        <v>#N/A</v>
      </c>
      <c r="S332" s="55" t="e">
        <f t="shared" ca="1" si="92"/>
        <v>#N/A</v>
      </c>
      <c r="T332" s="55" t="e">
        <f t="shared" ca="1" si="85"/>
        <v>#N/A</v>
      </c>
      <c r="U332" s="55" t="e">
        <f t="shared" ca="1" si="86"/>
        <v>#N/A</v>
      </c>
      <c r="V332" s="55" t="e">
        <f t="shared" ca="1" si="87"/>
        <v>#N/A</v>
      </c>
      <c r="W332" s="55" t="e">
        <f t="shared" ca="1" si="93"/>
        <v>#N/A</v>
      </c>
      <c r="X332" s="55" t="e">
        <f t="shared" ca="1" si="94"/>
        <v>#N/A</v>
      </c>
      <c r="Y332" s="55" t="e">
        <f t="shared" ca="1" si="95"/>
        <v>#N/A</v>
      </c>
      <c r="Z332" s="55" t="e">
        <f t="shared" ca="1" si="88"/>
        <v>#N/A</v>
      </c>
      <c r="AA332" t="e">
        <f t="shared" ca="1" si="89"/>
        <v>#N/A</v>
      </c>
      <c r="AB332" t="e">
        <f t="shared" ca="1" si="96"/>
        <v>#N/A</v>
      </c>
      <c r="AC332" t="e">
        <f t="shared" ca="1" si="90"/>
        <v>#N/A</v>
      </c>
      <c r="AD332" t="e">
        <f t="shared" ca="1" si="91"/>
        <v>#N/A</v>
      </c>
      <c r="AE332" s="83" t="e">
        <f ca="1"/>
        <v>#N/A</v>
      </c>
      <c r="AF332" s="55" t="e">
        <f t="shared" ca="1" si="100"/>
        <v>#N/A</v>
      </c>
      <c r="AG332" s="55" t="e">
        <f t="shared" ca="1" si="101"/>
        <v>#N/A</v>
      </c>
      <c r="AH332" s="55" t="e">
        <f t="shared" ca="1" si="102"/>
        <v>#N/A</v>
      </c>
      <c r="AI332" s="55" t="e">
        <f t="shared" ca="1" si="103"/>
        <v>#N/A</v>
      </c>
      <c r="AJ332" s="55" t="e">
        <f t="shared" ca="1" si="97"/>
        <v>#N/A</v>
      </c>
      <c r="AK332" s="55" t="e">
        <f t="shared" ca="1" si="98"/>
        <v>#N/A</v>
      </c>
      <c r="AL332" s="55" t="e">
        <f t="shared" ca="1" si="99"/>
        <v>#N/A</v>
      </c>
      <c r="AM332" s="55"/>
    </row>
    <row r="333" spans="18:39">
      <c r="R333" s="83" t="e">
        <f ca="1"/>
        <v>#N/A</v>
      </c>
      <c r="S333" s="55" t="e">
        <f t="shared" ca="1" si="92"/>
        <v>#N/A</v>
      </c>
      <c r="T333" s="55" t="e">
        <f t="shared" ca="1" si="85"/>
        <v>#N/A</v>
      </c>
      <c r="U333" s="55" t="e">
        <f t="shared" ca="1" si="86"/>
        <v>#N/A</v>
      </c>
      <c r="V333" s="55" t="e">
        <f t="shared" ca="1" si="87"/>
        <v>#N/A</v>
      </c>
      <c r="W333" s="55" t="e">
        <f t="shared" ca="1" si="93"/>
        <v>#N/A</v>
      </c>
      <c r="X333" s="55" t="e">
        <f t="shared" ca="1" si="94"/>
        <v>#N/A</v>
      </c>
      <c r="Y333" s="55" t="e">
        <f t="shared" ca="1" si="95"/>
        <v>#N/A</v>
      </c>
      <c r="Z333" s="55" t="e">
        <f t="shared" ca="1" si="88"/>
        <v>#N/A</v>
      </c>
      <c r="AA333" t="e">
        <f t="shared" ca="1" si="89"/>
        <v>#N/A</v>
      </c>
      <c r="AB333" t="e">
        <f t="shared" ca="1" si="96"/>
        <v>#N/A</v>
      </c>
      <c r="AC333" t="e">
        <f t="shared" ca="1" si="90"/>
        <v>#N/A</v>
      </c>
      <c r="AD333" t="e">
        <f t="shared" ca="1" si="91"/>
        <v>#N/A</v>
      </c>
      <c r="AE333" s="83" t="e">
        <f ca="1"/>
        <v>#N/A</v>
      </c>
      <c r="AF333" s="55" t="e">
        <f t="shared" ca="1" si="100"/>
        <v>#N/A</v>
      </c>
      <c r="AG333" s="55" t="e">
        <f t="shared" ca="1" si="101"/>
        <v>#N/A</v>
      </c>
      <c r="AH333" s="55" t="e">
        <f t="shared" ca="1" si="102"/>
        <v>#N/A</v>
      </c>
      <c r="AI333" s="55" t="e">
        <f t="shared" ca="1" si="103"/>
        <v>#N/A</v>
      </c>
      <c r="AJ333" s="55" t="e">
        <f t="shared" ca="1" si="97"/>
        <v>#N/A</v>
      </c>
      <c r="AK333" s="55" t="e">
        <f t="shared" ca="1" si="98"/>
        <v>#N/A</v>
      </c>
      <c r="AL333" s="55" t="e">
        <f t="shared" ca="1" si="99"/>
        <v>#N/A</v>
      </c>
      <c r="AM333" s="55"/>
    </row>
    <row r="334" spans="18:39">
      <c r="R334" s="83" t="e">
        <f ca="1"/>
        <v>#N/A</v>
      </c>
      <c r="S334" s="55" t="e">
        <f t="shared" ca="1" si="92"/>
        <v>#N/A</v>
      </c>
      <c r="T334" s="55" t="e">
        <f t="shared" ca="1" si="85"/>
        <v>#N/A</v>
      </c>
      <c r="U334" s="55" t="e">
        <f t="shared" ca="1" si="86"/>
        <v>#N/A</v>
      </c>
      <c r="V334" s="55" t="e">
        <f t="shared" ca="1" si="87"/>
        <v>#N/A</v>
      </c>
      <c r="W334" s="55" t="e">
        <f t="shared" ca="1" si="93"/>
        <v>#N/A</v>
      </c>
      <c r="X334" s="55" t="e">
        <f t="shared" ca="1" si="94"/>
        <v>#N/A</v>
      </c>
      <c r="Y334" s="55" t="e">
        <f t="shared" ca="1" si="95"/>
        <v>#N/A</v>
      </c>
      <c r="Z334" s="55" t="e">
        <f t="shared" ca="1" si="88"/>
        <v>#N/A</v>
      </c>
      <c r="AA334" t="e">
        <f t="shared" ca="1" si="89"/>
        <v>#N/A</v>
      </c>
      <c r="AB334" t="e">
        <f t="shared" ca="1" si="96"/>
        <v>#N/A</v>
      </c>
      <c r="AC334" t="e">
        <f t="shared" ca="1" si="90"/>
        <v>#N/A</v>
      </c>
      <c r="AD334" t="e">
        <f t="shared" ca="1" si="91"/>
        <v>#N/A</v>
      </c>
      <c r="AE334" s="83" t="e">
        <f ca="1"/>
        <v>#N/A</v>
      </c>
      <c r="AF334" s="55" t="e">
        <f t="shared" ca="1" si="100"/>
        <v>#N/A</v>
      </c>
      <c r="AG334" s="55" t="e">
        <f t="shared" ca="1" si="101"/>
        <v>#N/A</v>
      </c>
      <c r="AH334" s="55" t="e">
        <f t="shared" ca="1" si="102"/>
        <v>#N/A</v>
      </c>
      <c r="AI334" s="55" t="e">
        <f t="shared" ca="1" si="103"/>
        <v>#N/A</v>
      </c>
      <c r="AJ334" s="55" t="e">
        <f t="shared" ca="1" si="97"/>
        <v>#N/A</v>
      </c>
      <c r="AK334" s="55" t="e">
        <f t="shared" ca="1" si="98"/>
        <v>#N/A</v>
      </c>
      <c r="AL334" s="55" t="e">
        <f t="shared" ca="1" si="99"/>
        <v>#N/A</v>
      </c>
      <c r="AM334" s="55"/>
    </row>
    <row r="335" spans="18:39">
      <c r="R335" s="83" t="e">
        <f ca="1"/>
        <v>#N/A</v>
      </c>
      <c r="S335" s="55" t="e">
        <f t="shared" ca="1" si="92"/>
        <v>#N/A</v>
      </c>
      <c r="T335" s="55" t="e">
        <f t="shared" ca="1" si="85"/>
        <v>#N/A</v>
      </c>
      <c r="U335" s="55" t="e">
        <f t="shared" ca="1" si="86"/>
        <v>#N/A</v>
      </c>
      <c r="V335" s="55" t="e">
        <f t="shared" ca="1" si="87"/>
        <v>#N/A</v>
      </c>
      <c r="W335" s="55" t="e">
        <f t="shared" ca="1" si="93"/>
        <v>#N/A</v>
      </c>
      <c r="X335" s="55" t="e">
        <f t="shared" ca="1" si="94"/>
        <v>#N/A</v>
      </c>
      <c r="Y335" s="55" t="e">
        <f t="shared" ca="1" si="95"/>
        <v>#N/A</v>
      </c>
      <c r="Z335" s="55" t="e">
        <f t="shared" ca="1" si="88"/>
        <v>#N/A</v>
      </c>
      <c r="AA335" t="e">
        <f t="shared" ca="1" si="89"/>
        <v>#N/A</v>
      </c>
      <c r="AB335" t="e">
        <f t="shared" ca="1" si="96"/>
        <v>#N/A</v>
      </c>
      <c r="AC335" t="e">
        <f t="shared" ca="1" si="90"/>
        <v>#N/A</v>
      </c>
      <c r="AD335" t="e">
        <f t="shared" ca="1" si="91"/>
        <v>#N/A</v>
      </c>
      <c r="AE335" s="83" t="e">
        <f ca="1"/>
        <v>#N/A</v>
      </c>
      <c r="AF335" s="55" t="e">
        <f t="shared" ca="1" si="100"/>
        <v>#N/A</v>
      </c>
      <c r="AG335" s="55" t="e">
        <f t="shared" ca="1" si="101"/>
        <v>#N/A</v>
      </c>
      <c r="AH335" s="55" t="e">
        <f t="shared" ca="1" si="102"/>
        <v>#N/A</v>
      </c>
      <c r="AI335" s="55" t="e">
        <f t="shared" ca="1" si="103"/>
        <v>#N/A</v>
      </c>
      <c r="AJ335" s="55" t="e">
        <f t="shared" ca="1" si="97"/>
        <v>#N/A</v>
      </c>
      <c r="AK335" s="55" t="e">
        <f t="shared" ca="1" si="98"/>
        <v>#N/A</v>
      </c>
      <c r="AL335" s="55" t="e">
        <f t="shared" ca="1" si="99"/>
        <v>#N/A</v>
      </c>
      <c r="AM335" s="55"/>
    </row>
    <row r="336" spans="18:39">
      <c r="R336" s="83" t="e">
        <f ca="1"/>
        <v>#N/A</v>
      </c>
      <c r="S336" s="55" t="e">
        <f t="shared" ca="1" si="92"/>
        <v>#N/A</v>
      </c>
      <c r="T336" s="55" t="e">
        <f t="shared" ca="1" si="85"/>
        <v>#N/A</v>
      </c>
      <c r="U336" s="55" t="e">
        <f t="shared" ca="1" si="86"/>
        <v>#N/A</v>
      </c>
      <c r="V336" s="55" t="e">
        <f t="shared" ca="1" si="87"/>
        <v>#N/A</v>
      </c>
      <c r="W336" s="55" t="e">
        <f t="shared" ca="1" si="93"/>
        <v>#N/A</v>
      </c>
      <c r="X336" s="55" t="e">
        <f t="shared" ca="1" si="94"/>
        <v>#N/A</v>
      </c>
      <c r="Y336" s="55" t="e">
        <f t="shared" ca="1" si="95"/>
        <v>#N/A</v>
      </c>
      <c r="Z336" s="55" t="e">
        <f t="shared" ca="1" si="88"/>
        <v>#N/A</v>
      </c>
      <c r="AA336" t="e">
        <f t="shared" ca="1" si="89"/>
        <v>#N/A</v>
      </c>
      <c r="AB336" t="e">
        <f t="shared" ca="1" si="96"/>
        <v>#N/A</v>
      </c>
      <c r="AC336" t="e">
        <f t="shared" ca="1" si="90"/>
        <v>#N/A</v>
      </c>
      <c r="AD336" t="e">
        <f t="shared" ca="1" si="91"/>
        <v>#N/A</v>
      </c>
      <c r="AE336" s="83" t="e">
        <f ca="1"/>
        <v>#N/A</v>
      </c>
      <c r="AF336" s="55" t="e">
        <f t="shared" ca="1" si="100"/>
        <v>#N/A</v>
      </c>
      <c r="AG336" s="55" t="e">
        <f t="shared" ca="1" si="101"/>
        <v>#N/A</v>
      </c>
      <c r="AH336" s="55" t="e">
        <f t="shared" ca="1" si="102"/>
        <v>#N/A</v>
      </c>
      <c r="AI336" s="55" t="e">
        <f t="shared" ca="1" si="103"/>
        <v>#N/A</v>
      </c>
      <c r="AJ336" s="55" t="e">
        <f t="shared" ca="1" si="97"/>
        <v>#N/A</v>
      </c>
      <c r="AK336" s="55" t="e">
        <f t="shared" ca="1" si="98"/>
        <v>#N/A</v>
      </c>
      <c r="AL336" s="55" t="e">
        <f t="shared" ca="1" si="99"/>
        <v>#N/A</v>
      </c>
      <c r="AM336" s="55"/>
    </row>
    <row r="337" spans="18:39">
      <c r="R337" s="83" t="e">
        <f ca="1"/>
        <v>#N/A</v>
      </c>
      <c r="S337" s="55" t="e">
        <f t="shared" ca="1" si="92"/>
        <v>#N/A</v>
      </c>
      <c r="T337" s="55" t="e">
        <f t="shared" ca="1" si="85"/>
        <v>#N/A</v>
      </c>
      <c r="U337" s="55" t="e">
        <f t="shared" ca="1" si="86"/>
        <v>#N/A</v>
      </c>
      <c r="V337" s="55" t="e">
        <f t="shared" ca="1" si="87"/>
        <v>#N/A</v>
      </c>
      <c r="W337" s="55" t="e">
        <f t="shared" ca="1" si="93"/>
        <v>#N/A</v>
      </c>
      <c r="X337" s="55" t="e">
        <f t="shared" ca="1" si="94"/>
        <v>#N/A</v>
      </c>
      <c r="Y337" s="55" t="e">
        <f t="shared" ca="1" si="95"/>
        <v>#N/A</v>
      </c>
      <c r="Z337" s="55" t="e">
        <f t="shared" ca="1" si="88"/>
        <v>#N/A</v>
      </c>
      <c r="AA337" t="e">
        <f t="shared" ca="1" si="89"/>
        <v>#N/A</v>
      </c>
      <c r="AB337" t="e">
        <f t="shared" ca="1" si="96"/>
        <v>#N/A</v>
      </c>
      <c r="AC337" t="e">
        <f t="shared" ca="1" si="90"/>
        <v>#N/A</v>
      </c>
      <c r="AD337" t="e">
        <f t="shared" ca="1" si="91"/>
        <v>#N/A</v>
      </c>
      <c r="AE337" s="83" t="e">
        <f ca="1"/>
        <v>#N/A</v>
      </c>
      <c r="AF337" s="55" t="e">
        <f t="shared" ca="1" si="100"/>
        <v>#N/A</v>
      </c>
      <c r="AG337" s="55" t="e">
        <f t="shared" ca="1" si="101"/>
        <v>#N/A</v>
      </c>
      <c r="AH337" s="55" t="e">
        <f t="shared" ca="1" si="102"/>
        <v>#N/A</v>
      </c>
      <c r="AI337" s="55" t="e">
        <f t="shared" ca="1" si="103"/>
        <v>#N/A</v>
      </c>
      <c r="AJ337" s="55" t="e">
        <f t="shared" ca="1" si="97"/>
        <v>#N/A</v>
      </c>
      <c r="AK337" s="55" t="e">
        <f t="shared" ca="1" si="98"/>
        <v>#N/A</v>
      </c>
      <c r="AL337" s="55" t="e">
        <f t="shared" ca="1" si="99"/>
        <v>#N/A</v>
      </c>
      <c r="AM337" s="55"/>
    </row>
    <row r="338" spans="18:39">
      <c r="R338" s="83" t="e">
        <f ca="1"/>
        <v>#N/A</v>
      </c>
      <c r="S338" s="55" t="e">
        <f t="shared" ca="1" si="92"/>
        <v>#N/A</v>
      </c>
      <c r="T338" s="55" t="e">
        <f t="shared" ref="T338:T395" ca="1" si="104">VLOOKUP(S338,ModelOutputs,2,FALSE)</f>
        <v>#N/A</v>
      </c>
      <c r="U338" s="55" t="e">
        <f t="shared" ref="U338:U395" ca="1" si="105">VLOOKUP(S338,ModelOutputs,7,FALSE)</f>
        <v>#N/A</v>
      </c>
      <c r="V338" s="55" t="e">
        <f t="shared" ref="V338:V395" ca="1" si="106">VLOOKUP(S338,ModelOutputs,6,FALSE)</f>
        <v>#N/A</v>
      </c>
      <c r="W338" s="55" t="e">
        <f t="shared" ca="1" si="93"/>
        <v>#N/A</v>
      </c>
      <c r="X338" s="55" t="e">
        <f t="shared" ca="1" si="94"/>
        <v>#N/A</v>
      </c>
      <c r="Y338" s="55" t="e">
        <f t="shared" ca="1" si="95"/>
        <v>#N/A</v>
      </c>
      <c r="Z338" s="55" t="e">
        <f t="shared" ref="Z338:Z401" ca="1" si="107">VLOOKUP(S338,ModelOutputs,3,FALSE)*14</f>
        <v>#N/A</v>
      </c>
      <c r="AA338" t="e">
        <f t="shared" ref="AA338:AA401" ca="1" si="108">VLOOKUP(S338,ModelOutputs,10,FALSE)*AWC</f>
        <v>#N/A</v>
      </c>
      <c r="AB338" t="e">
        <f t="shared" ca="1" si="96"/>
        <v>#N/A</v>
      </c>
      <c r="AC338" t="e">
        <f t="shared" ref="AC338:AC395" ca="1" si="109">VLOOKUP(S338,ModelOutputs,12,FALSE)</f>
        <v>#N/A</v>
      </c>
      <c r="AD338" t="e">
        <f t="shared" ref="AD338:AD395" ca="1" si="110">VLOOKUP(S338,ModelOutputs,13,FALSE)</f>
        <v>#N/A</v>
      </c>
      <c r="AE338" s="83" t="e">
        <f ca="1"/>
        <v>#N/A</v>
      </c>
      <c r="AF338" s="55" t="e">
        <f t="shared" ca="1" si="100"/>
        <v>#N/A</v>
      </c>
      <c r="AG338" s="55" t="e">
        <f t="shared" ca="1" si="101"/>
        <v>#N/A</v>
      </c>
      <c r="AH338" s="55" t="e">
        <f t="shared" ca="1" si="102"/>
        <v>#N/A</v>
      </c>
      <c r="AI338" s="55" t="e">
        <f t="shared" ca="1" si="103"/>
        <v>#N/A</v>
      </c>
      <c r="AJ338" s="55" t="e">
        <f t="shared" ca="1" si="97"/>
        <v>#N/A</v>
      </c>
      <c r="AK338" s="55" t="e">
        <f t="shared" ca="1" si="98"/>
        <v>#N/A</v>
      </c>
      <c r="AL338" s="55" t="e">
        <f t="shared" ca="1" si="99"/>
        <v>#N/A</v>
      </c>
      <c r="AM338" s="55"/>
    </row>
    <row r="339" spans="18:39">
      <c r="R339" s="83" t="e">
        <f ca="1"/>
        <v>#N/A</v>
      </c>
      <c r="S339" s="55" t="e">
        <f t="shared" ref="S339:S395" ca="1" si="111">IF(R339&gt;1,R339,"")</f>
        <v>#N/A</v>
      </c>
      <c r="T339" s="55" t="e">
        <f t="shared" ca="1" si="104"/>
        <v>#N/A</v>
      </c>
      <c r="U339" s="55" t="e">
        <f t="shared" ca="1" si="105"/>
        <v>#N/A</v>
      </c>
      <c r="V339" s="55" t="e">
        <f t="shared" ca="1" si="106"/>
        <v>#N/A</v>
      </c>
      <c r="W339" s="55" t="e">
        <f t="shared" ref="W339:W402" ca="1" si="112">-VLOOKUP(S339,ModelOutputs,9,FALSE)+W338</f>
        <v>#N/A</v>
      </c>
      <c r="X339" s="55" t="e">
        <f t="shared" ref="X339:X402" ca="1" si="113">VLOOKUP(S339,ModelOutputs,5,FALSE)+X338</f>
        <v>#N/A</v>
      </c>
      <c r="Y339" s="55" t="e">
        <f t="shared" ref="Y339:Y402" ca="1" si="114">VLOOKUP(S339,ModelOutputs,4,FALSE)+Y338</f>
        <v>#N/A</v>
      </c>
      <c r="Z339" s="55" t="e">
        <f t="shared" ca="1" si="107"/>
        <v>#N/A</v>
      </c>
      <c r="AA339" t="e">
        <f t="shared" ca="1" si="108"/>
        <v>#N/A</v>
      </c>
      <c r="AB339" t="e">
        <f t="shared" ref="AB339:AB395" ca="1" si="115">VLOOKUP(S339,ModelOutputs,11,FALSE)+AB338</f>
        <v>#N/A</v>
      </c>
      <c r="AC339" t="e">
        <f t="shared" ca="1" si="109"/>
        <v>#N/A</v>
      </c>
      <c r="AD339" t="e">
        <f t="shared" ca="1" si="110"/>
        <v>#N/A</v>
      </c>
      <c r="AE339" s="83" t="e">
        <f ca="1"/>
        <v>#N/A</v>
      </c>
      <c r="AF339" s="55" t="e">
        <f t="shared" ca="1" si="100"/>
        <v>#N/A</v>
      </c>
      <c r="AG339" s="55" t="e">
        <f t="shared" ca="1" si="101"/>
        <v>#N/A</v>
      </c>
      <c r="AH339" s="55" t="e">
        <f t="shared" ca="1" si="102"/>
        <v>#N/A</v>
      </c>
      <c r="AI339" s="55" t="e">
        <f t="shared" ca="1" si="103"/>
        <v>#N/A</v>
      </c>
      <c r="AJ339" s="55" t="e">
        <f t="shared" ref="AJ339:AJ402" ca="1" si="116">-VLOOKUP(AF339,ModelOutputs,9,FALSE)+AJ338</f>
        <v>#N/A</v>
      </c>
      <c r="AK339" s="55" t="e">
        <f t="shared" ref="AK339:AK402" ca="1" si="117">VLOOKUP(AF339,ModelOutputs,5,FALSE)+AK338</f>
        <v>#N/A</v>
      </c>
      <c r="AL339" s="55" t="e">
        <f t="shared" ref="AL339:AL402" ca="1" si="118">VLOOKUP(AF339,ModelOutputs,4,FALSE)+AL338</f>
        <v>#N/A</v>
      </c>
      <c r="AM339" s="55"/>
    </row>
    <row r="340" spans="18:39">
      <c r="R340" s="83" t="e">
        <f ca="1"/>
        <v>#N/A</v>
      </c>
      <c r="S340" s="55" t="e">
        <f t="shared" ca="1" si="111"/>
        <v>#N/A</v>
      </c>
      <c r="T340" s="55" t="e">
        <f t="shared" ca="1" si="104"/>
        <v>#N/A</v>
      </c>
      <c r="U340" s="55" t="e">
        <f t="shared" ca="1" si="105"/>
        <v>#N/A</v>
      </c>
      <c r="V340" s="55" t="e">
        <f t="shared" ca="1" si="106"/>
        <v>#N/A</v>
      </c>
      <c r="W340" s="55" t="e">
        <f t="shared" ca="1" si="112"/>
        <v>#N/A</v>
      </c>
      <c r="X340" s="55" t="e">
        <f t="shared" ca="1" si="113"/>
        <v>#N/A</v>
      </c>
      <c r="Y340" s="55" t="e">
        <f t="shared" ca="1" si="114"/>
        <v>#N/A</v>
      </c>
      <c r="Z340" s="55" t="e">
        <f t="shared" ca="1" si="107"/>
        <v>#N/A</v>
      </c>
      <c r="AA340" t="e">
        <f t="shared" ca="1" si="108"/>
        <v>#N/A</v>
      </c>
      <c r="AB340" t="e">
        <f t="shared" ca="1" si="115"/>
        <v>#N/A</v>
      </c>
      <c r="AC340" t="e">
        <f t="shared" ca="1" si="109"/>
        <v>#N/A</v>
      </c>
      <c r="AD340" t="e">
        <f t="shared" ca="1" si="110"/>
        <v>#N/A</v>
      </c>
      <c r="AE340" s="83" t="e">
        <f ca="1"/>
        <v>#N/A</v>
      </c>
      <c r="AF340" s="55" t="e">
        <f t="shared" ca="1" si="100"/>
        <v>#N/A</v>
      </c>
      <c r="AG340" s="55" t="e">
        <f t="shared" ca="1" si="101"/>
        <v>#N/A</v>
      </c>
      <c r="AH340" s="55" t="e">
        <f t="shared" ca="1" si="102"/>
        <v>#N/A</v>
      </c>
      <c r="AI340" s="55" t="e">
        <f t="shared" ca="1" si="103"/>
        <v>#N/A</v>
      </c>
      <c r="AJ340" s="55" t="e">
        <f t="shared" ca="1" si="116"/>
        <v>#N/A</v>
      </c>
      <c r="AK340" s="55" t="e">
        <f t="shared" ca="1" si="117"/>
        <v>#N/A</v>
      </c>
      <c r="AL340" s="55" t="e">
        <f t="shared" ca="1" si="118"/>
        <v>#N/A</v>
      </c>
      <c r="AM340" s="55"/>
    </row>
    <row r="341" spans="18:39">
      <c r="R341" s="83" t="e">
        <f ca="1"/>
        <v>#N/A</v>
      </c>
      <c r="S341" s="55" t="e">
        <f t="shared" ca="1" si="111"/>
        <v>#N/A</v>
      </c>
      <c r="T341" s="55" t="e">
        <f t="shared" ca="1" si="104"/>
        <v>#N/A</v>
      </c>
      <c r="U341" s="55" t="e">
        <f t="shared" ca="1" si="105"/>
        <v>#N/A</v>
      </c>
      <c r="V341" s="55" t="e">
        <f t="shared" ca="1" si="106"/>
        <v>#N/A</v>
      </c>
      <c r="W341" s="55" t="e">
        <f t="shared" ca="1" si="112"/>
        <v>#N/A</v>
      </c>
      <c r="X341" s="55" t="e">
        <f t="shared" ca="1" si="113"/>
        <v>#N/A</v>
      </c>
      <c r="Y341" s="55" t="e">
        <f t="shared" ca="1" si="114"/>
        <v>#N/A</v>
      </c>
      <c r="Z341" s="55" t="e">
        <f t="shared" ca="1" si="107"/>
        <v>#N/A</v>
      </c>
      <c r="AA341" t="e">
        <f t="shared" ca="1" si="108"/>
        <v>#N/A</v>
      </c>
      <c r="AB341" t="e">
        <f t="shared" ca="1" si="115"/>
        <v>#N/A</v>
      </c>
      <c r="AC341" t="e">
        <f t="shared" ca="1" si="109"/>
        <v>#N/A</v>
      </c>
      <c r="AD341" t="e">
        <f t="shared" ca="1" si="110"/>
        <v>#N/A</v>
      </c>
      <c r="AE341" s="83" t="e">
        <f ca="1"/>
        <v>#N/A</v>
      </c>
      <c r="AF341" s="55" t="e">
        <f t="shared" ref="AF341:AF395" ca="1" si="119">IF(AE341&gt;1,AE341,"")</f>
        <v>#N/A</v>
      </c>
      <c r="AG341" s="55" t="e">
        <f t="shared" ref="AG341:AG395" ca="1" si="120">VLOOKUP(AF341,ModelOutputs,2,FALSE)</f>
        <v>#N/A</v>
      </c>
      <c r="AH341" s="55" t="e">
        <f t="shared" ref="AH341:AH395" ca="1" si="121">VLOOKUP(AF341,ModelOutputs,7,FALSE)</f>
        <v>#N/A</v>
      </c>
      <c r="AI341" s="55" t="e">
        <f t="shared" ref="AI341:AI395" ca="1" si="122">VLOOKUP(AF341,ModelOutputs,6,FALSE)</f>
        <v>#N/A</v>
      </c>
      <c r="AJ341" s="55" t="e">
        <f t="shared" ca="1" si="116"/>
        <v>#N/A</v>
      </c>
      <c r="AK341" s="55" t="e">
        <f t="shared" ca="1" si="117"/>
        <v>#N/A</v>
      </c>
      <c r="AL341" s="55" t="e">
        <f t="shared" ca="1" si="118"/>
        <v>#N/A</v>
      </c>
      <c r="AM341" s="55"/>
    </row>
    <row r="342" spans="18:39">
      <c r="R342" s="83" t="e">
        <f ca="1"/>
        <v>#N/A</v>
      </c>
      <c r="S342" s="55" t="e">
        <f t="shared" ca="1" si="111"/>
        <v>#N/A</v>
      </c>
      <c r="T342" s="55" t="e">
        <f t="shared" ca="1" si="104"/>
        <v>#N/A</v>
      </c>
      <c r="U342" s="55" t="e">
        <f t="shared" ca="1" si="105"/>
        <v>#N/A</v>
      </c>
      <c r="V342" s="55" t="e">
        <f t="shared" ca="1" si="106"/>
        <v>#N/A</v>
      </c>
      <c r="W342" s="55" t="e">
        <f t="shared" ca="1" si="112"/>
        <v>#N/A</v>
      </c>
      <c r="X342" s="55" t="e">
        <f t="shared" ca="1" si="113"/>
        <v>#N/A</v>
      </c>
      <c r="Y342" s="55" t="e">
        <f t="shared" ca="1" si="114"/>
        <v>#N/A</v>
      </c>
      <c r="Z342" s="55" t="e">
        <f t="shared" ca="1" si="107"/>
        <v>#N/A</v>
      </c>
      <c r="AA342" t="e">
        <f t="shared" ca="1" si="108"/>
        <v>#N/A</v>
      </c>
      <c r="AB342" t="e">
        <f t="shared" ca="1" si="115"/>
        <v>#N/A</v>
      </c>
      <c r="AC342" t="e">
        <f t="shared" ca="1" si="109"/>
        <v>#N/A</v>
      </c>
      <c r="AD342" t="e">
        <f t="shared" ca="1" si="110"/>
        <v>#N/A</v>
      </c>
      <c r="AE342" s="83" t="e">
        <f ca="1"/>
        <v>#N/A</v>
      </c>
      <c r="AF342" s="55" t="e">
        <f t="shared" ca="1" si="119"/>
        <v>#N/A</v>
      </c>
      <c r="AG342" s="55" t="e">
        <f t="shared" ca="1" si="120"/>
        <v>#N/A</v>
      </c>
      <c r="AH342" s="55" t="e">
        <f t="shared" ca="1" si="121"/>
        <v>#N/A</v>
      </c>
      <c r="AI342" s="55" t="e">
        <f t="shared" ca="1" si="122"/>
        <v>#N/A</v>
      </c>
      <c r="AJ342" s="55" t="e">
        <f t="shared" ca="1" si="116"/>
        <v>#N/A</v>
      </c>
      <c r="AK342" s="55" t="e">
        <f t="shared" ca="1" si="117"/>
        <v>#N/A</v>
      </c>
      <c r="AL342" s="55" t="e">
        <f t="shared" ca="1" si="118"/>
        <v>#N/A</v>
      </c>
      <c r="AM342" s="55"/>
    </row>
    <row r="343" spans="18:39">
      <c r="R343" s="83" t="e">
        <f ca="1"/>
        <v>#N/A</v>
      </c>
      <c r="S343" s="55" t="e">
        <f t="shared" ca="1" si="111"/>
        <v>#N/A</v>
      </c>
      <c r="T343" s="55" t="e">
        <f t="shared" ca="1" si="104"/>
        <v>#N/A</v>
      </c>
      <c r="U343" s="55" t="e">
        <f t="shared" ca="1" si="105"/>
        <v>#N/A</v>
      </c>
      <c r="V343" s="55" t="e">
        <f t="shared" ca="1" si="106"/>
        <v>#N/A</v>
      </c>
      <c r="W343" s="55" t="e">
        <f t="shared" ca="1" si="112"/>
        <v>#N/A</v>
      </c>
      <c r="X343" s="55" t="e">
        <f t="shared" ca="1" si="113"/>
        <v>#N/A</v>
      </c>
      <c r="Y343" s="55" t="e">
        <f t="shared" ca="1" si="114"/>
        <v>#N/A</v>
      </c>
      <c r="Z343" s="55" t="e">
        <f t="shared" ca="1" si="107"/>
        <v>#N/A</v>
      </c>
      <c r="AA343" t="e">
        <f t="shared" ca="1" si="108"/>
        <v>#N/A</v>
      </c>
      <c r="AB343" t="e">
        <f t="shared" ca="1" si="115"/>
        <v>#N/A</v>
      </c>
      <c r="AC343" t="e">
        <f t="shared" ca="1" si="109"/>
        <v>#N/A</v>
      </c>
      <c r="AD343" t="e">
        <f t="shared" ca="1" si="110"/>
        <v>#N/A</v>
      </c>
      <c r="AE343" s="83" t="e">
        <f ca="1"/>
        <v>#N/A</v>
      </c>
      <c r="AF343" s="55" t="e">
        <f t="shared" ca="1" si="119"/>
        <v>#N/A</v>
      </c>
      <c r="AG343" s="55" t="e">
        <f t="shared" ca="1" si="120"/>
        <v>#N/A</v>
      </c>
      <c r="AH343" s="55" t="e">
        <f t="shared" ca="1" si="121"/>
        <v>#N/A</v>
      </c>
      <c r="AI343" s="55" t="e">
        <f t="shared" ca="1" si="122"/>
        <v>#N/A</v>
      </c>
      <c r="AJ343" s="55" t="e">
        <f t="shared" ca="1" si="116"/>
        <v>#N/A</v>
      </c>
      <c r="AK343" s="55" t="e">
        <f t="shared" ca="1" si="117"/>
        <v>#N/A</v>
      </c>
      <c r="AL343" s="55" t="e">
        <f t="shared" ca="1" si="118"/>
        <v>#N/A</v>
      </c>
      <c r="AM343" s="55"/>
    </row>
    <row r="344" spans="18:39">
      <c r="R344" s="83" t="e">
        <f ca="1"/>
        <v>#N/A</v>
      </c>
      <c r="S344" s="55" t="e">
        <f t="shared" ca="1" si="111"/>
        <v>#N/A</v>
      </c>
      <c r="T344" s="55" t="e">
        <f t="shared" ca="1" si="104"/>
        <v>#N/A</v>
      </c>
      <c r="U344" s="55" t="e">
        <f t="shared" ca="1" si="105"/>
        <v>#N/A</v>
      </c>
      <c r="V344" s="55" t="e">
        <f t="shared" ca="1" si="106"/>
        <v>#N/A</v>
      </c>
      <c r="W344" s="55" t="e">
        <f t="shared" ca="1" si="112"/>
        <v>#N/A</v>
      </c>
      <c r="X344" s="55" t="e">
        <f t="shared" ca="1" si="113"/>
        <v>#N/A</v>
      </c>
      <c r="Y344" s="55" t="e">
        <f t="shared" ca="1" si="114"/>
        <v>#N/A</v>
      </c>
      <c r="Z344" s="55" t="e">
        <f t="shared" ca="1" si="107"/>
        <v>#N/A</v>
      </c>
      <c r="AA344" t="e">
        <f t="shared" ca="1" si="108"/>
        <v>#N/A</v>
      </c>
      <c r="AB344" t="e">
        <f t="shared" ca="1" si="115"/>
        <v>#N/A</v>
      </c>
      <c r="AC344" t="e">
        <f t="shared" ca="1" si="109"/>
        <v>#N/A</v>
      </c>
      <c r="AD344" t="e">
        <f t="shared" ca="1" si="110"/>
        <v>#N/A</v>
      </c>
      <c r="AE344" s="83" t="e">
        <f ca="1"/>
        <v>#N/A</v>
      </c>
      <c r="AF344" s="55" t="e">
        <f t="shared" ca="1" si="119"/>
        <v>#N/A</v>
      </c>
      <c r="AG344" s="55" t="e">
        <f t="shared" ca="1" si="120"/>
        <v>#N/A</v>
      </c>
      <c r="AH344" s="55" t="e">
        <f t="shared" ca="1" si="121"/>
        <v>#N/A</v>
      </c>
      <c r="AI344" s="55" t="e">
        <f t="shared" ca="1" si="122"/>
        <v>#N/A</v>
      </c>
      <c r="AJ344" s="55" t="e">
        <f t="shared" ca="1" si="116"/>
        <v>#N/A</v>
      </c>
      <c r="AK344" s="55" t="e">
        <f t="shared" ca="1" si="117"/>
        <v>#N/A</v>
      </c>
      <c r="AL344" s="55" t="e">
        <f t="shared" ca="1" si="118"/>
        <v>#N/A</v>
      </c>
      <c r="AM344" s="55"/>
    </row>
    <row r="345" spans="18:39">
      <c r="R345" s="83" t="e">
        <f ca="1"/>
        <v>#N/A</v>
      </c>
      <c r="S345" s="55" t="e">
        <f t="shared" ca="1" si="111"/>
        <v>#N/A</v>
      </c>
      <c r="T345" s="55" t="e">
        <f t="shared" ca="1" si="104"/>
        <v>#N/A</v>
      </c>
      <c r="U345" s="55" t="e">
        <f t="shared" ca="1" si="105"/>
        <v>#N/A</v>
      </c>
      <c r="V345" s="55" t="e">
        <f t="shared" ca="1" si="106"/>
        <v>#N/A</v>
      </c>
      <c r="W345" s="55" t="e">
        <f t="shared" ca="1" si="112"/>
        <v>#N/A</v>
      </c>
      <c r="X345" s="55" t="e">
        <f t="shared" ca="1" si="113"/>
        <v>#N/A</v>
      </c>
      <c r="Y345" s="55" t="e">
        <f t="shared" ca="1" si="114"/>
        <v>#N/A</v>
      </c>
      <c r="Z345" s="55" t="e">
        <f t="shared" ca="1" si="107"/>
        <v>#N/A</v>
      </c>
      <c r="AA345" t="e">
        <f t="shared" ca="1" si="108"/>
        <v>#N/A</v>
      </c>
      <c r="AB345" t="e">
        <f t="shared" ca="1" si="115"/>
        <v>#N/A</v>
      </c>
      <c r="AC345" t="e">
        <f t="shared" ca="1" si="109"/>
        <v>#N/A</v>
      </c>
      <c r="AD345" t="e">
        <f t="shared" ca="1" si="110"/>
        <v>#N/A</v>
      </c>
      <c r="AE345" s="83" t="e">
        <f ca="1"/>
        <v>#N/A</v>
      </c>
      <c r="AF345" s="55" t="e">
        <f t="shared" ca="1" si="119"/>
        <v>#N/A</v>
      </c>
      <c r="AG345" s="55" t="e">
        <f t="shared" ca="1" si="120"/>
        <v>#N/A</v>
      </c>
      <c r="AH345" s="55" t="e">
        <f t="shared" ca="1" si="121"/>
        <v>#N/A</v>
      </c>
      <c r="AI345" s="55" t="e">
        <f t="shared" ca="1" si="122"/>
        <v>#N/A</v>
      </c>
      <c r="AJ345" s="55" t="e">
        <f t="shared" ca="1" si="116"/>
        <v>#N/A</v>
      </c>
      <c r="AK345" s="55" t="e">
        <f t="shared" ca="1" si="117"/>
        <v>#N/A</v>
      </c>
      <c r="AL345" s="55" t="e">
        <f t="shared" ca="1" si="118"/>
        <v>#N/A</v>
      </c>
      <c r="AM345" s="55"/>
    </row>
    <row r="346" spans="18:39">
      <c r="R346" s="83" t="e">
        <f ca="1"/>
        <v>#N/A</v>
      </c>
      <c r="S346" s="55" t="e">
        <f t="shared" ca="1" si="111"/>
        <v>#N/A</v>
      </c>
      <c r="T346" s="55" t="e">
        <f t="shared" ca="1" si="104"/>
        <v>#N/A</v>
      </c>
      <c r="U346" s="55" t="e">
        <f t="shared" ca="1" si="105"/>
        <v>#N/A</v>
      </c>
      <c r="V346" s="55" t="e">
        <f t="shared" ca="1" si="106"/>
        <v>#N/A</v>
      </c>
      <c r="W346" s="55" t="e">
        <f t="shared" ca="1" si="112"/>
        <v>#N/A</v>
      </c>
      <c r="X346" s="55" t="e">
        <f t="shared" ca="1" si="113"/>
        <v>#N/A</v>
      </c>
      <c r="Y346" s="55" t="e">
        <f t="shared" ca="1" si="114"/>
        <v>#N/A</v>
      </c>
      <c r="Z346" s="55" t="e">
        <f t="shared" ca="1" si="107"/>
        <v>#N/A</v>
      </c>
      <c r="AA346" t="e">
        <f t="shared" ca="1" si="108"/>
        <v>#N/A</v>
      </c>
      <c r="AB346" t="e">
        <f t="shared" ca="1" si="115"/>
        <v>#N/A</v>
      </c>
      <c r="AC346" t="e">
        <f t="shared" ca="1" si="109"/>
        <v>#N/A</v>
      </c>
      <c r="AD346" t="e">
        <f t="shared" ca="1" si="110"/>
        <v>#N/A</v>
      </c>
      <c r="AE346" s="83" t="e">
        <f ca="1"/>
        <v>#N/A</v>
      </c>
      <c r="AF346" s="55" t="e">
        <f t="shared" ca="1" si="119"/>
        <v>#N/A</v>
      </c>
      <c r="AG346" s="55" t="e">
        <f t="shared" ca="1" si="120"/>
        <v>#N/A</v>
      </c>
      <c r="AH346" s="55" t="e">
        <f t="shared" ca="1" si="121"/>
        <v>#N/A</v>
      </c>
      <c r="AI346" s="55" t="e">
        <f t="shared" ca="1" si="122"/>
        <v>#N/A</v>
      </c>
      <c r="AJ346" s="55" t="e">
        <f t="shared" ca="1" si="116"/>
        <v>#N/A</v>
      </c>
      <c r="AK346" s="55" t="e">
        <f t="shared" ca="1" si="117"/>
        <v>#N/A</v>
      </c>
      <c r="AL346" s="55" t="e">
        <f t="shared" ca="1" si="118"/>
        <v>#N/A</v>
      </c>
      <c r="AM346" s="55"/>
    </row>
    <row r="347" spans="18:39">
      <c r="R347" s="83" t="e">
        <f ca="1"/>
        <v>#N/A</v>
      </c>
      <c r="S347" s="55" t="e">
        <f t="shared" ca="1" si="111"/>
        <v>#N/A</v>
      </c>
      <c r="T347" s="55" t="e">
        <f t="shared" ca="1" si="104"/>
        <v>#N/A</v>
      </c>
      <c r="U347" s="55" t="e">
        <f t="shared" ca="1" si="105"/>
        <v>#N/A</v>
      </c>
      <c r="V347" s="55" t="e">
        <f t="shared" ca="1" si="106"/>
        <v>#N/A</v>
      </c>
      <c r="W347" s="55" t="e">
        <f t="shared" ca="1" si="112"/>
        <v>#N/A</v>
      </c>
      <c r="X347" s="55" t="e">
        <f t="shared" ca="1" si="113"/>
        <v>#N/A</v>
      </c>
      <c r="Y347" s="55" t="e">
        <f t="shared" ca="1" si="114"/>
        <v>#N/A</v>
      </c>
      <c r="Z347" s="55" t="e">
        <f t="shared" ca="1" si="107"/>
        <v>#N/A</v>
      </c>
      <c r="AA347" t="e">
        <f t="shared" ca="1" si="108"/>
        <v>#N/A</v>
      </c>
      <c r="AB347" t="e">
        <f t="shared" ca="1" si="115"/>
        <v>#N/A</v>
      </c>
      <c r="AC347" t="e">
        <f t="shared" ca="1" si="109"/>
        <v>#N/A</v>
      </c>
      <c r="AD347" t="e">
        <f t="shared" ca="1" si="110"/>
        <v>#N/A</v>
      </c>
      <c r="AE347" s="83" t="e">
        <f ca="1"/>
        <v>#N/A</v>
      </c>
      <c r="AF347" s="55" t="e">
        <f t="shared" ca="1" si="119"/>
        <v>#N/A</v>
      </c>
      <c r="AG347" s="55" t="e">
        <f t="shared" ca="1" si="120"/>
        <v>#N/A</v>
      </c>
      <c r="AH347" s="55" t="e">
        <f t="shared" ca="1" si="121"/>
        <v>#N/A</v>
      </c>
      <c r="AI347" s="55" t="e">
        <f t="shared" ca="1" si="122"/>
        <v>#N/A</v>
      </c>
      <c r="AJ347" s="55" t="e">
        <f t="shared" ca="1" si="116"/>
        <v>#N/A</v>
      </c>
      <c r="AK347" s="55" t="e">
        <f t="shared" ca="1" si="117"/>
        <v>#N/A</v>
      </c>
      <c r="AL347" s="55" t="e">
        <f t="shared" ca="1" si="118"/>
        <v>#N/A</v>
      </c>
      <c r="AM347" s="55"/>
    </row>
    <row r="348" spans="18:39">
      <c r="R348" s="83" t="e">
        <f ca="1"/>
        <v>#N/A</v>
      </c>
      <c r="S348" s="55" t="e">
        <f t="shared" ca="1" si="111"/>
        <v>#N/A</v>
      </c>
      <c r="T348" s="55" t="e">
        <f t="shared" ca="1" si="104"/>
        <v>#N/A</v>
      </c>
      <c r="U348" s="55" t="e">
        <f t="shared" ca="1" si="105"/>
        <v>#N/A</v>
      </c>
      <c r="V348" s="55" t="e">
        <f t="shared" ca="1" si="106"/>
        <v>#N/A</v>
      </c>
      <c r="W348" s="55" t="e">
        <f t="shared" ca="1" si="112"/>
        <v>#N/A</v>
      </c>
      <c r="X348" s="55" t="e">
        <f t="shared" ca="1" si="113"/>
        <v>#N/A</v>
      </c>
      <c r="Y348" s="55" t="e">
        <f t="shared" ca="1" si="114"/>
        <v>#N/A</v>
      </c>
      <c r="Z348" s="55" t="e">
        <f t="shared" ca="1" si="107"/>
        <v>#N/A</v>
      </c>
      <c r="AA348" t="e">
        <f t="shared" ca="1" si="108"/>
        <v>#N/A</v>
      </c>
      <c r="AB348" t="e">
        <f t="shared" ca="1" si="115"/>
        <v>#N/A</v>
      </c>
      <c r="AC348" t="e">
        <f t="shared" ca="1" si="109"/>
        <v>#N/A</v>
      </c>
      <c r="AD348" t="e">
        <f t="shared" ca="1" si="110"/>
        <v>#N/A</v>
      </c>
      <c r="AE348" s="83" t="e">
        <f ca="1"/>
        <v>#N/A</v>
      </c>
      <c r="AF348" s="55" t="e">
        <f t="shared" ca="1" si="119"/>
        <v>#N/A</v>
      </c>
      <c r="AG348" s="55" t="e">
        <f t="shared" ca="1" si="120"/>
        <v>#N/A</v>
      </c>
      <c r="AH348" s="55" t="e">
        <f t="shared" ca="1" si="121"/>
        <v>#N/A</v>
      </c>
      <c r="AI348" s="55" t="e">
        <f t="shared" ca="1" si="122"/>
        <v>#N/A</v>
      </c>
      <c r="AJ348" s="55" t="e">
        <f t="shared" ca="1" si="116"/>
        <v>#N/A</v>
      </c>
      <c r="AK348" s="55" t="e">
        <f t="shared" ca="1" si="117"/>
        <v>#N/A</v>
      </c>
      <c r="AL348" s="55" t="e">
        <f t="shared" ca="1" si="118"/>
        <v>#N/A</v>
      </c>
      <c r="AM348" s="55"/>
    </row>
    <row r="349" spans="18:39">
      <c r="R349" s="83" t="e">
        <f ca="1"/>
        <v>#N/A</v>
      </c>
      <c r="S349" s="55" t="e">
        <f t="shared" ca="1" si="111"/>
        <v>#N/A</v>
      </c>
      <c r="T349" s="55" t="e">
        <f t="shared" ca="1" si="104"/>
        <v>#N/A</v>
      </c>
      <c r="U349" s="55" t="e">
        <f t="shared" ca="1" si="105"/>
        <v>#N/A</v>
      </c>
      <c r="V349" s="55" t="e">
        <f t="shared" ca="1" si="106"/>
        <v>#N/A</v>
      </c>
      <c r="W349" s="55" t="e">
        <f t="shared" ca="1" si="112"/>
        <v>#N/A</v>
      </c>
      <c r="X349" s="55" t="e">
        <f t="shared" ca="1" si="113"/>
        <v>#N/A</v>
      </c>
      <c r="Y349" s="55" t="e">
        <f t="shared" ca="1" si="114"/>
        <v>#N/A</v>
      </c>
      <c r="Z349" s="55" t="e">
        <f t="shared" ca="1" si="107"/>
        <v>#N/A</v>
      </c>
      <c r="AA349" t="e">
        <f t="shared" ca="1" si="108"/>
        <v>#N/A</v>
      </c>
      <c r="AB349" t="e">
        <f t="shared" ca="1" si="115"/>
        <v>#N/A</v>
      </c>
      <c r="AC349" t="e">
        <f t="shared" ca="1" si="109"/>
        <v>#N/A</v>
      </c>
      <c r="AD349" t="e">
        <f t="shared" ca="1" si="110"/>
        <v>#N/A</v>
      </c>
      <c r="AE349" s="83" t="e">
        <f ca="1"/>
        <v>#N/A</v>
      </c>
      <c r="AF349" s="55" t="e">
        <f t="shared" ca="1" si="119"/>
        <v>#N/A</v>
      </c>
      <c r="AG349" s="55" t="e">
        <f t="shared" ca="1" si="120"/>
        <v>#N/A</v>
      </c>
      <c r="AH349" s="55" t="e">
        <f t="shared" ca="1" si="121"/>
        <v>#N/A</v>
      </c>
      <c r="AI349" s="55" t="e">
        <f t="shared" ca="1" si="122"/>
        <v>#N/A</v>
      </c>
      <c r="AJ349" s="55" t="e">
        <f t="shared" ca="1" si="116"/>
        <v>#N/A</v>
      </c>
      <c r="AK349" s="55" t="e">
        <f t="shared" ca="1" si="117"/>
        <v>#N/A</v>
      </c>
      <c r="AL349" s="55" t="e">
        <f t="shared" ca="1" si="118"/>
        <v>#N/A</v>
      </c>
      <c r="AM349" s="55"/>
    </row>
    <row r="350" spans="18:39">
      <c r="R350" s="83" t="e">
        <f ca="1"/>
        <v>#N/A</v>
      </c>
      <c r="S350" s="55" t="e">
        <f t="shared" ca="1" si="111"/>
        <v>#N/A</v>
      </c>
      <c r="T350" s="55" t="e">
        <f t="shared" ca="1" si="104"/>
        <v>#N/A</v>
      </c>
      <c r="U350" s="55" t="e">
        <f t="shared" ca="1" si="105"/>
        <v>#N/A</v>
      </c>
      <c r="V350" s="55" t="e">
        <f t="shared" ca="1" si="106"/>
        <v>#N/A</v>
      </c>
      <c r="W350" s="55" t="e">
        <f t="shared" ca="1" si="112"/>
        <v>#N/A</v>
      </c>
      <c r="X350" s="55" t="e">
        <f t="shared" ca="1" si="113"/>
        <v>#N/A</v>
      </c>
      <c r="Y350" s="55" t="e">
        <f t="shared" ca="1" si="114"/>
        <v>#N/A</v>
      </c>
      <c r="Z350" s="55" t="e">
        <f t="shared" ca="1" si="107"/>
        <v>#N/A</v>
      </c>
      <c r="AA350" t="e">
        <f t="shared" ca="1" si="108"/>
        <v>#N/A</v>
      </c>
      <c r="AB350" t="e">
        <f t="shared" ca="1" si="115"/>
        <v>#N/A</v>
      </c>
      <c r="AC350" t="e">
        <f t="shared" ca="1" si="109"/>
        <v>#N/A</v>
      </c>
      <c r="AD350" t="e">
        <f t="shared" ca="1" si="110"/>
        <v>#N/A</v>
      </c>
      <c r="AE350" s="83" t="e">
        <f ca="1"/>
        <v>#N/A</v>
      </c>
      <c r="AF350" s="55" t="e">
        <f t="shared" ca="1" si="119"/>
        <v>#N/A</v>
      </c>
      <c r="AG350" s="55" t="e">
        <f t="shared" ca="1" si="120"/>
        <v>#N/A</v>
      </c>
      <c r="AH350" s="55" t="e">
        <f t="shared" ca="1" si="121"/>
        <v>#N/A</v>
      </c>
      <c r="AI350" s="55" t="e">
        <f t="shared" ca="1" si="122"/>
        <v>#N/A</v>
      </c>
      <c r="AJ350" s="55" t="e">
        <f t="shared" ca="1" si="116"/>
        <v>#N/A</v>
      </c>
      <c r="AK350" s="55" t="e">
        <f t="shared" ca="1" si="117"/>
        <v>#N/A</v>
      </c>
      <c r="AL350" s="55" t="e">
        <f t="shared" ca="1" si="118"/>
        <v>#N/A</v>
      </c>
      <c r="AM350" s="55"/>
    </row>
    <row r="351" spans="18:39">
      <c r="R351" s="83" t="e">
        <f ca="1"/>
        <v>#N/A</v>
      </c>
      <c r="S351" s="55" t="e">
        <f t="shared" ca="1" si="111"/>
        <v>#N/A</v>
      </c>
      <c r="T351" s="55" t="e">
        <f t="shared" ca="1" si="104"/>
        <v>#N/A</v>
      </c>
      <c r="U351" s="55" t="e">
        <f t="shared" ca="1" si="105"/>
        <v>#N/A</v>
      </c>
      <c r="V351" s="55" t="e">
        <f t="shared" ca="1" si="106"/>
        <v>#N/A</v>
      </c>
      <c r="W351" s="55" t="e">
        <f t="shared" ca="1" si="112"/>
        <v>#N/A</v>
      </c>
      <c r="X351" s="55" t="e">
        <f t="shared" ca="1" si="113"/>
        <v>#N/A</v>
      </c>
      <c r="Y351" s="55" t="e">
        <f t="shared" ca="1" si="114"/>
        <v>#N/A</v>
      </c>
      <c r="Z351" s="55" t="e">
        <f t="shared" ca="1" si="107"/>
        <v>#N/A</v>
      </c>
      <c r="AA351" t="e">
        <f t="shared" ca="1" si="108"/>
        <v>#N/A</v>
      </c>
      <c r="AB351" t="e">
        <f t="shared" ca="1" si="115"/>
        <v>#N/A</v>
      </c>
      <c r="AC351" t="e">
        <f t="shared" ca="1" si="109"/>
        <v>#N/A</v>
      </c>
      <c r="AD351" t="e">
        <f t="shared" ca="1" si="110"/>
        <v>#N/A</v>
      </c>
      <c r="AE351" s="83" t="e">
        <f ca="1"/>
        <v>#N/A</v>
      </c>
      <c r="AF351" s="55" t="e">
        <f t="shared" ca="1" si="119"/>
        <v>#N/A</v>
      </c>
      <c r="AG351" s="55" t="e">
        <f t="shared" ca="1" si="120"/>
        <v>#N/A</v>
      </c>
      <c r="AH351" s="55" t="e">
        <f t="shared" ca="1" si="121"/>
        <v>#N/A</v>
      </c>
      <c r="AI351" s="55" t="e">
        <f t="shared" ca="1" si="122"/>
        <v>#N/A</v>
      </c>
      <c r="AJ351" s="55" t="e">
        <f t="shared" ca="1" si="116"/>
        <v>#N/A</v>
      </c>
      <c r="AK351" s="55" t="e">
        <f t="shared" ca="1" si="117"/>
        <v>#N/A</v>
      </c>
      <c r="AL351" s="55" t="e">
        <f t="shared" ca="1" si="118"/>
        <v>#N/A</v>
      </c>
      <c r="AM351" s="55"/>
    </row>
    <row r="352" spans="18:39">
      <c r="R352" s="83" t="e">
        <f ca="1"/>
        <v>#N/A</v>
      </c>
      <c r="S352" s="55" t="e">
        <f t="shared" ca="1" si="111"/>
        <v>#N/A</v>
      </c>
      <c r="T352" s="55" t="e">
        <f t="shared" ca="1" si="104"/>
        <v>#N/A</v>
      </c>
      <c r="U352" s="55" t="e">
        <f t="shared" ca="1" si="105"/>
        <v>#N/A</v>
      </c>
      <c r="V352" s="55" t="e">
        <f t="shared" ca="1" si="106"/>
        <v>#N/A</v>
      </c>
      <c r="W352" s="55" t="e">
        <f t="shared" ca="1" si="112"/>
        <v>#N/A</v>
      </c>
      <c r="X352" s="55" t="e">
        <f t="shared" ca="1" si="113"/>
        <v>#N/A</v>
      </c>
      <c r="Y352" s="55" t="e">
        <f t="shared" ca="1" si="114"/>
        <v>#N/A</v>
      </c>
      <c r="Z352" s="55" t="e">
        <f t="shared" ca="1" si="107"/>
        <v>#N/A</v>
      </c>
      <c r="AA352" t="e">
        <f t="shared" ca="1" si="108"/>
        <v>#N/A</v>
      </c>
      <c r="AB352" t="e">
        <f t="shared" ca="1" si="115"/>
        <v>#N/A</v>
      </c>
      <c r="AC352" t="e">
        <f t="shared" ca="1" si="109"/>
        <v>#N/A</v>
      </c>
      <c r="AD352" t="e">
        <f t="shared" ca="1" si="110"/>
        <v>#N/A</v>
      </c>
      <c r="AE352" s="83" t="e">
        <f ca="1"/>
        <v>#N/A</v>
      </c>
      <c r="AF352" s="55" t="e">
        <f t="shared" ca="1" si="119"/>
        <v>#N/A</v>
      </c>
      <c r="AG352" s="55" t="e">
        <f t="shared" ca="1" si="120"/>
        <v>#N/A</v>
      </c>
      <c r="AH352" s="55" t="e">
        <f t="shared" ca="1" si="121"/>
        <v>#N/A</v>
      </c>
      <c r="AI352" s="55" t="e">
        <f t="shared" ca="1" si="122"/>
        <v>#N/A</v>
      </c>
      <c r="AJ352" s="55" t="e">
        <f t="shared" ca="1" si="116"/>
        <v>#N/A</v>
      </c>
      <c r="AK352" s="55" t="e">
        <f t="shared" ca="1" si="117"/>
        <v>#N/A</v>
      </c>
      <c r="AL352" s="55" t="e">
        <f t="shared" ca="1" si="118"/>
        <v>#N/A</v>
      </c>
      <c r="AM352" s="55"/>
    </row>
    <row r="353" spans="18:39">
      <c r="R353" s="83" t="e">
        <f ca="1"/>
        <v>#N/A</v>
      </c>
      <c r="S353" s="55" t="e">
        <f t="shared" ca="1" si="111"/>
        <v>#N/A</v>
      </c>
      <c r="T353" s="55" t="e">
        <f t="shared" ca="1" si="104"/>
        <v>#N/A</v>
      </c>
      <c r="U353" s="55" t="e">
        <f t="shared" ca="1" si="105"/>
        <v>#N/A</v>
      </c>
      <c r="V353" s="55" t="e">
        <f t="shared" ca="1" si="106"/>
        <v>#N/A</v>
      </c>
      <c r="W353" s="55" t="e">
        <f t="shared" ca="1" si="112"/>
        <v>#N/A</v>
      </c>
      <c r="X353" s="55" t="e">
        <f t="shared" ca="1" si="113"/>
        <v>#N/A</v>
      </c>
      <c r="Y353" s="55" t="e">
        <f t="shared" ca="1" si="114"/>
        <v>#N/A</v>
      </c>
      <c r="Z353" s="55" t="e">
        <f t="shared" ca="1" si="107"/>
        <v>#N/A</v>
      </c>
      <c r="AA353" t="e">
        <f t="shared" ca="1" si="108"/>
        <v>#N/A</v>
      </c>
      <c r="AB353" t="e">
        <f t="shared" ca="1" si="115"/>
        <v>#N/A</v>
      </c>
      <c r="AC353" t="e">
        <f t="shared" ca="1" si="109"/>
        <v>#N/A</v>
      </c>
      <c r="AD353" t="e">
        <f t="shared" ca="1" si="110"/>
        <v>#N/A</v>
      </c>
      <c r="AE353" s="83" t="e">
        <f ca="1"/>
        <v>#N/A</v>
      </c>
      <c r="AF353" s="55" t="e">
        <f t="shared" ca="1" si="119"/>
        <v>#N/A</v>
      </c>
      <c r="AG353" s="55" t="e">
        <f t="shared" ca="1" si="120"/>
        <v>#N/A</v>
      </c>
      <c r="AH353" s="55" t="e">
        <f t="shared" ca="1" si="121"/>
        <v>#N/A</v>
      </c>
      <c r="AI353" s="55" t="e">
        <f t="shared" ca="1" si="122"/>
        <v>#N/A</v>
      </c>
      <c r="AJ353" s="55" t="e">
        <f t="shared" ca="1" si="116"/>
        <v>#N/A</v>
      </c>
      <c r="AK353" s="55" t="e">
        <f t="shared" ca="1" si="117"/>
        <v>#N/A</v>
      </c>
      <c r="AL353" s="55" t="e">
        <f t="shared" ca="1" si="118"/>
        <v>#N/A</v>
      </c>
      <c r="AM353" s="55"/>
    </row>
    <row r="354" spans="18:39">
      <c r="R354" s="83" t="e">
        <f ca="1"/>
        <v>#N/A</v>
      </c>
      <c r="S354" s="55" t="e">
        <f t="shared" ca="1" si="111"/>
        <v>#N/A</v>
      </c>
      <c r="T354" s="55" t="e">
        <f t="shared" ca="1" si="104"/>
        <v>#N/A</v>
      </c>
      <c r="U354" s="55" t="e">
        <f t="shared" ca="1" si="105"/>
        <v>#N/A</v>
      </c>
      <c r="V354" s="55" t="e">
        <f t="shared" ca="1" si="106"/>
        <v>#N/A</v>
      </c>
      <c r="W354" s="55" t="e">
        <f t="shared" ca="1" si="112"/>
        <v>#N/A</v>
      </c>
      <c r="X354" s="55" t="e">
        <f t="shared" ca="1" si="113"/>
        <v>#N/A</v>
      </c>
      <c r="Y354" s="55" t="e">
        <f t="shared" ca="1" si="114"/>
        <v>#N/A</v>
      </c>
      <c r="Z354" s="55" t="e">
        <f t="shared" ca="1" si="107"/>
        <v>#N/A</v>
      </c>
      <c r="AA354" t="e">
        <f t="shared" ca="1" si="108"/>
        <v>#N/A</v>
      </c>
      <c r="AB354" t="e">
        <f t="shared" ca="1" si="115"/>
        <v>#N/A</v>
      </c>
      <c r="AC354" t="e">
        <f t="shared" ca="1" si="109"/>
        <v>#N/A</v>
      </c>
      <c r="AD354" t="e">
        <f t="shared" ca="1" si="110"/>
        <v>#N/A</v>
      </c>
      <c r="AE354" s="83" t="e">
        <f ca="1"/>
        <v>#N/A</v>
      </c>
      <c r="AF354" s="55" t="e">
        <f t="shared" ca="1" si="119"/>
        <v>#N/A</v>
      </c>
      <c r="AG354" s="55" t="e">
        <f t="shared" ca="1" si="120"/>
        <v>#N/A</v>
      </c>
      <c r="AH354" s="55" t="e">
        <f t="shared" ca="1" si="121"/>
        <v>#N/A</v>
      </c>
      <c r="AI354" s="55" t="e">
        <f t="shared" ca="1" si="122"/>
        <v>#N/A</v>
      </c>
      <c r="AJ354" s="55" t="e">
        <f t="shared" ca="1" si="116"/>
        <v>#N/A</v>
      </c>
      <c r="AK354" s="55" t="e">
        <f t="shared" ca="1" si="117"/>
        <v>#N/A</v>
      </c>
      <c r="AL354" s="55" t="e">
        <f t="shared" ca="1" si="118"/>
        <v>#N/A</v>
      </c>
      <c r="AM354" s="55"/>
    </row>
    <row r="355" spans="18:39">
      <c r="R355" s="83" t="e">
        <f ca="1"/>
        <v>#N/A</v>
      </c>
      <c r="S355" s="55" t="e">
        <f t="shared" ca="1" si="111"/>
        <v>#N/A</v>
      </c>
      <c r="T355" s="55" t="e">
        <f t="shared" ca="1" si="104"/>
        <v>#N/A</v>
      </c>
      <c r="U355" s="55" t="e">
        <f t="shared" ca="1" si="105"/>
        <v>#N/A</v>
      </c>
      <c r="V355" s="55" t="e">
        <f t="shared" ca="1" si="106"/>
        <v>#N/A</v>
      </c>
      <c r="W355" s="55" t="e">
        <f t="shared" ca="1" si="112"/>
        <v>#N/A</v>
      </c>
      <c r="X355" s="55" t="e">
        <f t="shared" ca="1" si="113"/>
        <v>#N/A</v>
      </c>
      <c r="Y355" s="55" t="e">
        <f t="shared" ca="1" si="114"/>
        <v>#N/A</v>
      </c>
      <c r="Z355" s="55" t="e">
        <f t="shared" ca="1" si="107"/>
        <v>#N/A</v>
      </c>
      <c r="AA355" t="e">
        <f t="shared" ca="1" si="108"/>
        <v>#N/A</v>
      </c>
      <c r="AB355" t="e">
        <f t="shared" ca="1" si="115"/>
        <v>#N/A</v>
      </c>
      <c r="AC355" t="e">
        <f t="shared" ca="1" si="109"/>
        <v>#N/A</v>
      </c>
      <c r="AD355" t="e">
        <f t="shared" ca="1" si="110"/>
        <v>#N/A</v>
      </c>
      <c r="AE355" s="83" t="e">
        <f ca="1"/>
        <v>#N/A</v>
      </c>
      <c r="AF355" s="55" t="e">
        <f t="shared" ca="1" si="119"/>
        <v>#N/A</v>
      </c>
      <c r="AG355" s="55" t="e">
        <f t="shared" ca="1" si="120"/>
        <v>#N/A</v>
      </c>
      <c r="AH355" s="55" t="e">
        <f t="shared" ca="1" si="121"/>
        <v>#N/A</v>
      </c>
      <c r="AI355" s="55" t="e">
        <f t="shared" ca="1" si="122"/>
        <v>#N/A</v>
      </c>
      <c r="AJ355" s="55" t="e">
        <f t="shared" ca="1" si="116"/>
        <v>#N/A</v>
      </c>
      <c r="AK355" s="55" t="e">
        <f t="shared" ca="1" si="117"/>
        <v>#N/A</v>
      </c>
      <c r="AL355" s="55" t="e">
        <f t="shared" ca="1" si="118"/>
        <v>#N/A</v>
      </c>
      <c r="AM355" s="55"/>
    </row>
    <row r="356" spans="18:39">
      <c r="R356" s="83" t="e">
        <f ca="1"/>
        <v>#N/A</v>
      </c>
      <c r="S356" s="55" t="e">
        <f t="shared" ca="1" si="111"/>
        <v>#N/A</v>
      </c>
      <c r="T356" s="55" t="e">
        <f t="shared" ca="1" si="104"/>
        <v>#N/A</v>
      </c>
      <c r="U356" s="55" t="e">
        <f t="shared" ca="1" si="105"/>
        <v>#N/A</v>
      </c>
      <c r="V356" s="55" t="e">
        <f t="shared" ca="1" si="106"/>
        <v>#N/A</v>
      </c>
      <c r="W356" s="55" t="e">
        <f t="shared" ca="1" si="112"/>
        <v>#N/A</v>
      </c>
      <c r="X356" s="55" t="e">
        <f t="shared" ca="1" si="113"/>
        <v>#N/A</v>
      </c>
      <c r="Y356" s="55" t="e">
        <f t="shared" ca="1" si="114"/>
        <v>#N/A</v>
      </c>
      <c r="Z356" s="55" t="e">
        <f t="shared" ca="1" si="107"/>
        <v>#N/A</v>
      </c>
      <c r="AA356" t="e">
        <f t="shared" ca="1" si="108"/>
        <v>#N/A</v>
      </c>
      <c r="AB356" t="e">
        <f t="shared" ca="1" si="115"/>
        <v>#N/A</v>
      </c>
      <c r="AC356" t="e">
        <f t="shared" ca="1" si="109"/>
        <v>#N/A</v>
      </c>
      <c r="AD356" t="e">
        <f t="shared" ca="1" si="110"/>
        <v>#N/A</v>
      </c>
      <c r="AE356" s="83" t="e">
        <f ca="1"/>
        <v>#N/A</v>
      </c>
      <c r="AF356" s="55" t="e">
        <f t="shared" ca="1" si="119"/>
        <v>#N/A</v>
      </c>
      <c r="AG356" s="55" t="e">
        <f t="shared" ca="1" si="120"/>
        <v>#N/A</v>
      </c>
      <c r="AH356" s="55" t="e">
        <f t="shared" ca="1" si="121"/>
        <v>#N/A</v>
      </c>
      <c r="AI356" s="55" t="e">
        <f t="shared" ca="1" si="122"/>
        <v>#N/A</v>
      </c>
      <c r="AJ356" s="55" t="e">
        <f t="shared" ca="1" si="116"/>
        <v>#N/A</v>
      </c>
      <c r="AK356" s="55" t="e">
        <f t="shared" ca="1" si="117"/>
        <v>#N/A</v>
      </c>
      <c r="AL356" s="55" t="e">
        <f t="shared" ca="1" si="118"/>
        <v>#N/A</v>
      </c>
      <c r="AM356" s="55"/>
    </row>
    <row r="357" spans="18:39">
      <c r="R357" s="83" t="e">
        <f ca="1"/>
        <v>#N/A</v>
      </c>
      <c r="S357" s="55" t="e">
        <f t="shared" ca="1" si="111"/>
        <v>#N/A</v>
      </c>
      <c r="T357" s="55" t="e">
        <f t="shared" ca="1" si="104"/>
        <v>#N/A</v>
      </c>
      <c r="U357" s="55" t="e">
        <f t="shared" ca="1" si="105"/>
        <v>#N/A</v>
      </c>
      <c r="V357" s="55" t="e">
        <f t="shared" ca="1" si="106"/>
        <v>#N/A</v>
      </c>
      <c r="W357" s="55" t="e">
        <f t="shared" ca="1" si="112"/>
        <v>#N/A</v>
      </c>
      <c r="X357" s="55" t="e">
        <f t="shared" ca="1" si="113"/>
        <v>#N/A</v>
      </c>
      <c r="Y357" s="55" t="e">
        <f t="shared" ca="1" si="114"/>
        <v>#N/A</v>
      </c>
      <c r="Z357" s="55" t="e">
        <f t="shared" ca="1" si="107"/>
        <v>#N/A</v>
      </c>
      <c r="AA357" t="e">
        <f t="shared" ca="1" si="108"/>
        <v>#N/A</v>
      </c>
      <c r="AB357" t="e">
        <f t="shared" ca="1" si="115"/>
        <v>#N/A</v>
      </c>
      <c r="AC357" t="e">
        <f t="shared" ca="1" si="109"/>
        <v>#N/A</v>
      </c>
      <c r="AD357" t="e">
        <f t="shared" ca="1" si="110"/>
        <v>#N/A</v>
      </c>
      <c r="AE357" s="83" t="e">
        <f ca="1"/>
        <v>#N/A</v>
      </c>
      <c r="AF357" s="55" t="e">
        <f t="shared" ca="1" si="119"/>
        <v>#N/A</v>
      </c>
      <c r="AG357" s="55" t="e">
        <f t="shared" ca="1" si="120"/>
        <v>#N/A</v>
      </c>
      <c r="AH357" s="55" t="e">
        <f t="shared" ca="1" si="121"/>
        <v>#N/A</v>
      </c>
      <c r="AI357" s="55" t="e">
        <f t="shared" ca="1" si="122"/>
        <v>#N/A</v>
      </c>
      <c r="AJ357" s="55" t="e">
        <f t="shared" ca="1" si="116"/>
        <v>#N/A</v>
      </c>
      <c r="AK357" s="55" t="e">
        <f t="shared" ca="1" si="117"/>
        <v>#N/A</v>
      </c>
      <c r="AL357" s="55" t="e">
        <f t="shared" ca="1" si="118"/>
        <v>#N/A</v>
      </c>
      <c r="AM357" s="55"/>
    </row>
    <row r="358" spans="18:39">
      <c r="R358" s="83" t="e">
        <f ca="1"/>
        <v>#N/A</v>
      </c>
      <c r="S358" s="55" t="e">
        <f t="shared" ca="1" si="111"/>
        <v>#N/A</v>
      </c>
      <c r="T358" s="55" t="e">
        <f t="shared" ca="1" si="104"/>
        <v>#N/A</v>
      </c>
      <c r="U358" s="55" t="e">
        <f t="shared" ca="1" si="105"/>
        <v>#N/A</v>
      </c>
      <c r="V358" s="55" t="e">
        <f t="shared" ca="1" si="106"/>
        <v>#N/A</v>
      </c>
      <c r="W358" s="55" t="e">
        <f t="shared" ca="1" si="112"/>
        <v>#N/A</v>
      </c>
      <c r="X358" s="55" t="e">
        <f t="shared" ca="1" si="113"/>
        <v>#N/A</v>
      </c>
      <c r="Y358" s="55" t="e">
        <f t="shared" ca="1" si="114"/>
        <v>#N/A</v>
      </c>
      <c r="Z358" s="55" t="e">
        <f t="shared" ca="1" si="107"/>
        <v>#N/A</v>
      </c>
      <c r="AA358" t="e">
        <f t="shared" ca="1" si="108"/>
        <v>#N/A</v>
      </c>
      <c r="AB358" t="e">
        <f t="shared" ca="1" si="115"/>
        <v>#N/A</v>
      </c>
      <c r="AC358" t="e">
        <f t="shared" ca="1" si="109"/>
        <v>#N/A</v>
      </c>
      <c r="AD358" t="e">
        <f t="shared" ca="1" si="110"/>
        <v>#N/A</v>
      </c>
      <c r="AE358" s="83" t="e">
        <f ca="1"/>
        <v>#N/A</v>
      </c>
      <c r="AF358" s="55" t="e">
        <f t="shared" ca="1" si="119"/>
        <v>#N/A</v>
      </c>
      <c r="AG358" s="55" t="e">
        <f t="shared" ca="1" si="120"/>
        <v>#N/A</v>
      </c>
      <c r="AH358" s="55" t="e">
        <f t="shared" ca="1" si="121"/>
        <v>#N/A</v>
      </c>
      <c r="AI358" s="55" t="e">
        <f t="shared" ca="1" si="122"/>
        <v>#N/A</v>
      </c>
      <c r="AJ358" s="55" t="e">
        <f t="shared" ca="1" si="116"/>
        <v>#N/A</v>
      </c>
      <c r="AK358" s="55" t="e">
        <f t="shared" ca="1" si="117"/>
        <v>#N/A</v>
      </c>
      <c r="AL358" s="55" t="e">
        <f t="shared" ca="1" si="118"/>
        <v>#N/A</v>
      </c>
      <c r="AM358" s="55"/>
    </row>
    <row r="359" spans="18:39">
      <c r="R359" s="83" t="e">
        <f ca="1"/>
        <v>#N/A</v>
      </c>
      <c r="S359" s="55" t="e">
        <f t="shared" ca="1" si="111"/>
        <v>#N/A</v>
      </c>
      <c r="T359" s="55" t="e">
        <f t="shared" ca="1" si="104"/>
        <v>#N/A</v>
      </c>
      <c r="U359" s="55" t="e">
        <f t="shared" ca="1" si="105"/>
        <v>#N/A</v>
      </c>
      <c r="V359" s="55" t="e">
        <f t="shared" ca="1" si="106"/>
        <v>#N/A</v>
      </c>
      <c r="W359" s="55" t="e">
        <f t="shared" ca="1" si="112"/>
        <v>#N/A</v>
      </c>
      <c r="X359" s="55" t="e">
        <f t="shared" ca="1" si="113"/>
        <v>#N/A</v>
      </c>
      <c r="Y359" s="55" t="e">
        <f t="shared" ca="1" si="114"/>
        <v>#N/A</v>
      </c>
      <c r="Z359" s="55" t="e">
        <f t="shared" ca="1" si="107"/>
        <v>#N/A</v>
      </c>
      <c r="AA359" t="e">
        <f t="shared" ca="1" si="108"/>
        <v>#N/A</v>
      </c>
      <c r="AB359" t="e">
        <f t="shared" ca="1" si="115"/>
        <v>#N/A</v>
      </c>
      <c r="AC359" t="e">
        <f t="shared" ca="1" si="109"/>
        <v>#N/A</v>
      </c>
      <c r="AD359" t="e">
        <f t="shared" ca="1" si="110"/>
        <v>#N/A</v>
      </c>
      <c r="AE359" s="83" t="e">
        <f ca="1"/>
        <v>#N/A</v>
      </c>
      <c r="AF359" s="55" t="e">
        <f t="shared" ca="1" si="119"/>
        <v>#N/A</v>
      </c>
      <c r="AG359" s="55" t="e">
        <f t="shared" ca="1" si="120"/>
        <v>#N/A</v>
      </c>
      <c r="AH359" s="55" t="e">
        <f t="shared" ca="1" si="121"/>
        <v>#N/A</v>
      </c>
      <c r="AI359" s="55" t="e">
        <f t="shared" ca="1" si="122"/>
        <v>#N/A</v>
      </c>
      <c r="AJ359" s="55" t="e">
        <f t="shared" ca="1" si="116"/>
        <v>#N/A</v>
      </c>
      <c r="AK359" s="55" t="e">
        <f t="shared" ca="1" si="117"/>
        <v>#N/A</v>
      </c>
      <c r="AL359" s="55" t="e">
        <f t="shared" ca="1" si="118"/>
        <v>#N/A</v>
      </c>
      <c r="AM359" s="55"/>
    </row>
    <row r="360" spans="18:39">
      <c r="R360" s="83" t="e">
        <f ca="1"/>
        <v>#N/A</v>
      </c>
      <c r="S360" s="55" t="e">
        <f t="shared" ca="1" si="111"/>
        <v>#N/A</v>
      </c>
      <c r="T360" s="55" t="e">
        <f t="shared" ca="1" si="104"/>
        <v>#N/A</v>
      </c>
      <c r="U360" s="55" t="e">
        <f t="shared" ca="1" si="105"/>
        <v>#N/A</v>
      </c>
      <c r="V360" s="55" t="e">
        <f t="shared" ca="1" si="106"/>
        <v>#N/A</v>
      </c>
      <c r="W360" s="55" t="e">
        <f t="shared" ca="1" si="112"/>
        <v>#N/A</v>
      </c>
      <c r="X360" s="55" t="e">
        <f t="shared" ca="1" si="113"/>
        <v>#N/A</v>
      </c>
      <c r="Y360" s="55" t="e">
        <f t="shared" ca="1" si="114"/>
        <v>#N/A</v>
      </c>
      <c r="Z360" s="55" t="e">
        <f t="shared" ca="1" si="107"/>
        <v>#N/A</v>
      </c>
      <c r="AA360" t="e">
        <f t="shared" ca="1" si="108"/>
        <v>#N/A</v>
      </c>
      <c r="AB360" t="e">
        <f t="shared" ca="1" si="115"/>
        <v>#N/A</v>
      </c>
      <c r="AC360" t="e">
        <f t="shared" ca="1" si="109"/>
        <v>#N/A</v>
      </c>
      <c r="AD360" t="e">
        <f t="shared" ca="1" si="110"/>
        <v>#N/A</v>
      </c>
      <c r="AE360" s="83" t="e">
        <f ca="1"/>
        <v>#N/A</v>
      </c>
      <c r="AF360" s="55" t="e">
        <f t="shared" ca="1" si="119"/>
        <v>#N/A</v>
      </c>
      <c r="AG360" s="55" t="e">
        <f t="shared" ca="1" si="120"/>
        <v>#N/A</v>
      </c>
      <c r="AH360" s="55" t="e">
        <f t="shared" ca="1" si="121"/>
        <v>#N/A</v>
      </c>
      <c r="AI360" s="55" t="e">
        <f t="shared" ca="1" si="122"/>
        <v>#N/A</v>
      </c>
      <c r="AJ360" s="55" t="e">
        <f t="shared" ca="1" si="116"/>
        <v>#N/A</v>
      </c>
      <c r="AK360" s="55" t="e">
        <f t="shared" ca="1" si="117"/>
        <v>#N/A</v>
      </c>
      <c r="AL360" s="55" t="e">
        <f t="shared" ca="1" si="118"/>
        <v>#N/A</v>
      </c>
      <c r="AM360" s="55"/>
    </row>
    <row r="361" spans="18:39">
      <c r="R361" s="83" t="e">
        <f ca="1"/>
        <v>#N/A</v>
      </c>
      <c r="S361" s="55" t="e">
        <f t="shared" ca="1" si="111"/>
        <v>#N/A</v>
      </c>
      <c r="T361" s="55" t="e">
        <f t="shared" ca="1" si="104"/>
        <v>#N/A</v>
      </c>
      <c r="U361" s="55" t="e">
        <f t="shared" ca="1" si="105"/>
        <v>#N/A</v>
      </c>
      <c r="V361" s="55" t="e">
        <f t="shared" ca="1" si="106"/>
        <v>#N/A</v>
      </c>
      <c r="W361" s="55" t="e">
        <f t="shared" ca="1" si="112"/>
        <v>#N/A</v>
      </c>
      <c r="X361" s="55" t="e">
        <f t="shared" ca="1" si="113"/>
        <v>#N/A</v>
      </c>
      <c r="Y361" s="55" t="e">
        <f t="shared" ca="1" si="114"/>
        <v>#N/A</v>
      </c>
      <c r="Z361" s="55" t="e">
        <f t="shared" ca="1" si="107"/>
        <v>#N/A</v>
      </c>
      <c r="AA361" t="e">
        <f t="shared" ca="1" si="108"/>
        <v>#N/A</v>
      </c>
      <c r="AB361" t="e">
        <f t="shared" ca="1" si="115"/>
        <v>#N/A</v>
      </c>
      <c r="AC361" t="e">
        <f t="shared" ca="1" si="109"/>
        <v>#N/A</v>
      </c>
      <c r="AD361" t="e">
        <f t="shared" ca="1" si="110"/>
        <v>#N/A</v>
      </c>
      <c r="AE361" s="83" t="e">
        <f ca="1"/>
        <v>#N/A</v>
      </c>
      <c r="AF361" s="55" t="e">
        <f t="shared" ca="1" si="119"/>
        <v>#N/A</v>
      </c>
      <c r="AG361" s="55" t="e">
        <f t="shared" ca="1" si="120"/>
        <v>#N/A</v>
      </c>
      <c r="AH361" s="55" t="e">
        <f t="shared" ca="1" si="121"/>
        <v>#N/A</v>
      </c>
      <c r="AI361" s="55" t="e">
        <f t="shared" ca="1" si="122"/>
        <v>#N/A</v>
      </c>
      <c r="AJ361" s="55" t="e">
        <f t="shared" ca="1" si="116"/>
        <v>#N/A</v>
      </c>
      <c r="AK361" s="55" t="e">
        <f t="shared" ca="1" si="117"/>
        <v>#N/A</v>
      </c>
      <c r="AL361" s="55" t="e">
        <f t="shared" ca="1" si="118"/>
        <v>#N/A</v>
      </c>
      <c r="AM361" s="55"/>
    </row>
    <row r="362" spans="18:39">
      <c r="R362" s="83" t="e">
        <f ca="1"/>
        <v>#N/A</v>
      </c>
      <c r="S362" s="55" t="e">
        <f t="shared" ca="1" si="111"/>
        <v>#N/A</v>
      </c>
      <c r="T362" s="55" t="e">
        <f t="shared" ca="1" si="104"/>
        <v>#N/A</v>
      </c>
      <c r="U362" s="55" t="e">
        <f t="shared" ca="1" si="105"/>
        <v>#N/A</v>
      </c>
      <c r="V362" s="55" t="e">
        <f t="shared" ca="1" si="106"/>
        <v>#N/A</v>
      </c>
      <c r="W362" s="55" t="e">
        <f t="shared" ca="1" si="112"/>
        <v>#N/A</v>
      </c>
      <c r="X362" s="55" t="e">
        <f t="shared" ca="1" si="113"/>
        <v>#N/A</v>
      </c>
      <c r="Y362" s="55" t="e">
        <f t="shared" ca="1" si="114"/>
        <v>#N/A</v>
      </c>
      <c r="Z362" s="55" t="e">
        <f t="shared" ca="1" si="107"/>
        <v>#N/A</v>
      </c>
      <c r="AA362" t="e">
        <f t="shared" ca="1" si="108"/>
        <v>#N/A</v>
      </c>
      <c r="AB362" t="e">
        <f t="shared" ca="1" si="115"/>
        <v>#N/A</v>
      </c>
      <c r="AC362" t="e">
        <f t="shared" ca="1" si="109"/>
        <v>#N/A</v>
      </c>
      <c r="AD362" t="e">
        <f t="shared" ca="1" si="110"/>
        <v>#N/A</v>
      </c>
      <c r="AE362" s="83" t="e">
        <f ca="1"/>
        <v>#N/A</v>
      </c>
      <c r="AF362" s="55" t="e">
        <f t="shared" ca="1" si="119"/>
        <v>#N/A</v>
      </c>
      <c r="AG362" s="55" t="e">
        <f t="shared" ca="1" si="120"/>
        <v>#N/A</v>
      </c>
      <c r="AH362" s="55" t="e">
        <f t="shared" ca="1" si="121"/>
        <v>#N/A</v>
      </c>
      <c r="AI362" s="55" t="e">
        <f t="shared" ca="1" si="122"/>
        <v>#N/A</v>
      </c>
      <c r="AJ362" s="55" t="e">
        <f t="shared" ca="1" si="116"/>
        <v>#N/A</v>
      </c>
      <c r="AK362" s="55" t="e">
        <f t="shared" ca="1" si="117"/>
        <v>#N/A</v>
      </c>
      <c r="AL362" s="55" t="e">
        <f t="shared" ca="1" si="118"/>
        <v>#N/A</v>
      </c>
      <c r="AM362" s="55"/>
    </row>
    <row r="363" spans="18:39">
      <c r="R363" s="83" t="e">
        <f ca="1"/>
        <v>#N/A</v>
      </c>
      <c r="S363" s="55" t="e">
        <f t="shared" ca="1" si="111"/>
        <v>#N/A</v>
      </c>
      <c r="T363" s="55" t="e">
        <f t="shared" ca="1" si="104"/>
        <v>#N/A</v>
      </c>
      <c r="U363" s="55" t="e">
        <f t="shared" ca="1" si="105"/>
        <v>#N/A</v>
      </c>
      <c r="V363" s="55" t="e">
        <f t="shared" ca="1" si="106"/>
        <v>#N/A</v>
      </c>
      <c r="W363" s="55" t="e">
        <f t="shared" ca="1" si="112"/>
        <v>#N/A</v>
      </c>
      <c r="X363" s="55" t="e">
        <f t="shared" ca="1" si="113"/>
        <v>#N/A</v>
      </c>
      <c r="Y363" s="55" t="e">
        <f t="shared" ca="1" si="114"/>
        <v>#N/A</v>
      </c>
      <c r="Z363" s="55" t="e">
        <f t="shared" ca="1" si="107"/>
        <v>#N/A</v>
      </c>
      <c r="AA363" t="e">
        <f t="shared" ca="1" si="108"/>
        <v>#N/A</v>
      </c>
      <c r="AB363" t="e">
        <f t="shared" ca="1" si="115"/>
        <v>#N/A</v>
      </c>
      <c r="AC363" t="e">
        <f t="shared" ca="1" si="109"/>
        <v>#N/A</v>
      </c>
      <c r="AD363" t="e">
        <f t="shared" ca="1" si="110"/>
        <v>#N/A</v>
      </c>
      <c r="AE363" s="83" t="e">
        <f ca="1"/>
        <v>#N/A</v>
      </c>
      <c r="AF363" s="55" t="e">
        <f t="shared" ca="1" si="119"/>
        <v>#N/A</v>
      </c>
      <c r="AG363" s="55" t="e">
        <f t="shared" ca="1" si="120"/>
        <v>#N/A</v>
      </c>
      <c r="AH363" s="55" t="e">
        <f t="shared" ca="1" si="121"/>
        <v>#N/A</v>
      </c>
      <c r="AI363" s="55" t="e">
        <f t="shared" ca="1" si="122"/>
        <v>#N/A</v>
      </c>
      <c r="AJ363" s="55" t="e">
        <f t="shared" ca="1" si="116"/>
        <v>#N/A</v>
      </c>
      <c r="AK363" s="55" t="e">
        <f t="shared" ca="1" si="117"/>
        <v>#N/A</v>
      </c>
      <c r="AL363" s="55" t="e">
        <f t="shared" ca="1" si="118"/>
        <v>#N/A</v>
      </c>
      <c r="AM363" s="55"/>
    </row>
    <row r="364" spans="18:39">
      <c r="R364" s="83" t="e">
        <f ca="1"/>
        <v>#N/A</v>
      </c>
      <c r="S364" s="55" t="e">
        <f t="shared" ca="1" si="111"/>
        <v>#N/A</v>
      </c>
      <c r="T364" s="55" t="e">
        <f t="shared" ca="1" si="104"/>
        <v>#N/A</v>
      </c>
      <c r="U364" s="55" t="e">
        <f t="shared" ca="1" si="105"/>
        <v>#N/A</v>
      </c>
      <c r="V364" s="55" t="e">
        <f t="shared" ca="1" si="106"/>
        <v>#N/A</v>
      </c>
      <c r="W364" s="55" t="e">
        <f t="shared" ca="1" si="112"/>
        <v>#N/A</v>
      </c>
      <c r="X364" s="55" t="e">
        <f t="shared" ca="1" si="113"/>
        <v>#N/A</v>
      </c>
      <c r="Y364" s="55" t="e">
        <f t="shared" ca="1" si="114"/>
        <v>#N/A</v>
      </c>
      <c r="Z364" s="55" t="e">
        <f t="shared" ca="1" si="107"/>
        <v>#N/A</v>
      </c>
      <c r="AA364" t="e">
        <f t="shared" ca="1" si="108"/>
        <v>#N/A</v>
      </c>
      <c r="AB364" t="e">
        <f t="shared" ca="1" si="115"/>
        <v>#N/A</v>
      </c>
      <c r="AC364" t="e">
        <f t="shared" ca="1" si="109"/>
        <v>#N/A</v>
      </c>
      <c r="AD364" t="e">
        <f t="shared" ca="1" si="110"/>
        <v>#N/A</v>
      </c>
      <c r="AE364" s="83" t="e">
        <f ca="1"/>
        <v>#N/A</v>
      </c>
      <c r="AF364" s="55" t="e">
        <f t="shared" ca="1" si="119"/>
        <v>#N/A</v>
      </c>
      <c r="AG364" s="55" t="e">
        <f t="shared" ca="1" si="120"/>
        <v>#N/A</v>
      </c>
      <c r="AH364" s="55" t="e">
        <f t="shared" ca="1" si="121"/>
        <v>#N/A</v>
      </c>
      <c r="AI364" s="55" t="e">
        <f t="shared" ca="1" si="122"/>
        <v>#N/A</v>
      </c>
      <c r="AJ364" s="55" t="e">
        <f t="shared" ca="1" si="116"/>
        <v>#N/A</v>
      </c>
      <c r="AK364" s="55" t="e">
        <f t="shared" ca="1" si="117"/>
        <v>#N/A</v>
      </c>
      <c r="AL364" s="55" t="e">
        <f t="shared" ca="1" si="118"/>
        <v>#N/A</v>
      </c>
      <c r="AM364" s="55"/>
    </row>
    <row r="365" spans="18:39">
      <c r="R365" s="83" t="e">
        <f ca="1"/>
        <v>#N/A</v>
      </c>
      <c r="S365" s="55" t="e">
        <f t="shared" ca="1" si="111"/>
        <v>#N/A</v>
      </c>
      <c r="T365" s="55" t="e">
        <f t="shared" ca="1" si="104"/>
        <v>#N/A</v>
      </c>
      <c r="U365" s="55" t="e">
        <f t="shared" ca="1" si="105"/>
        <v>#N/A</v>
      </c>
      <c r="V365" s="55" t="e">
        <f t="shared" ca="1" si="106"/>
        <v>#N/A</v>
      </c>
      <c r="W365" s="55" t="e">
        <f t="shared" ca="1" si="112"/>
        <v>#N/A</v>
      </c>
      <c r="X365" s="55" t="e">
        <f t="shared" ca="1" si="113"/>
        <v>#N/A</v>
      </c>
      <c r="Y365" s="55" t="e">
        <f t="shared" ca="1" si="114"/>
        <v>#N/A</v>
      </c>
      <c r="Z365" s="55" t="e">
        <f t="shared" ca="1" si="107"/>
        <v>#N/A</v>
      </c>
      <c r="AA365" t="e">
        <f t="shared" ca="1" si="108"/>
        <v>#N/A</v>
      </c>
      <c r="AB365" t="e">
        <f t="shared" ca="1" si="115"/>
        <v>#N/A</v>
      </c>
      <c r="AC365" t="e">
        <f t="shared" ca="1" si="109"/>
        <v>#N/A</v>
      </c>
      <c r="AD365" t="e">
        <f t="shared" ca="1" si="110"/>
        <v>#N/A</v>
      </c>
      <c r="AE365" s="83" t="e">
        <f ca="1"/>
        <v>#N/A</v>
      </c>
      <c r="AF365" s="55" t="e">
        <f t="shared" ca="1" si="119"/>
        <v>#N/A</v>
      </c>
      <c r="AG365" s="55" t="e">
        <f t="shared" ca="1" si="120"/>
        <v>#N/A</v>
      </c>
      <c r="AH365" s="55" t="e">
        <f t="shared" ca="1" si="121"/>
        <v>#N/A</v>
      </c>
      <c r="AI365" s="55" t="e">
        <f t="shared" ca="1" si="122"/>
        <v>#N/A</v>
      </c>
      <c r="AJ365" s="55" t="e">
        <f t="shared" ca="1" si="116"/>
        <v>#N/A</v>
      </c>
      <c r="AK365" s="55" t="e">
        <f t="shared" ca="1" si="117"/>
        <v>#N/A</v>
      </c>
      <c r="AL365" s="55" t="e">
        <f t="shared" ca="1" si="118"/>
        <v>#N/A</v>
      </c>
      <c r="AM365" s="55"/>
    </row>
    <row r="366" spans="18:39">
      <c r="R366" s="83" t="e">
        <f ca="1"/>
        <v>#N/A</v>
      </c>
      <c r="S366" s="55" t="e">
        <f t="shared" ca="1" si="111"/>
        <v>#N/A</v>
      </c>
      <c r="T366" s="55" t="e">
        <f t="shared" ca="1" si="104"/>
        <v>#N/A</v>
      </c>
      <c r="U366" s="55" t="e">
        <f t="shared" ca="1" si="105"/>
        <v>#N/A</v>
      </c>
      <c r="V366" s="55" t="e">
        <f t="shared" ca="1" si="106"/>
        <v>#N/A</v>
      </c>
      <c r="W366" s="55" t="e">
        <f t="shared" ca="1" si="112"/>
        <v>#N/A</v>
      </c>
      <c r="X366" s="55" t="e">
        <f t="shared" ca="1" si="113"/>
        <v>#N/A</v>
      </c>
      <c r="Y366" s="55" t="e">
        <f t="shared" ca="1" si="114"/>
        <v>#N/A</v>
      </c>
      <c r="Z366" s="55" t="e">
        <f t="shared" ca="1" si="107"/>
        <v>#N/A</v>
      </c>
      <c r="AA366" t="e">
        <f t="shared" ca="1" si="108"/>
        <v>#N/A</v>
      </c>
      <c r="AB366" t="e">
        <f t="shared" ca="1" si="115"/>
        <v>#N/A</v>
      </c>
      <c r="AC366" t="e">
        <f t="shared" ca="1" si="109"/>
        <v>#N/A</v>
      </c>
      <c r="AD366" t="e">
        <f t="shared" ca="1" si="110"/>
        <v>#N/A</v>
      </c>
      <c r="AE366" s="83" t="e">
        <f ca="1"/>
        <v>#N/A</v>
      </c>
      <c r="AF366" s="55" t="e">
        <f t="shared" ca="1" si="119"/>
        <v>#N/A</v>
      </c>
      <c r="AG366" s="55" t="e">
        <f t="shared" ca="1" si="120"/>
        <v>#N/A</v>
      </c>
      <c r="AH366" s="55" t="e">
        <f t="shared" ca="1" si="121"/>
        <v>#N/A</v>
      </c>
      <c r="AI366" s="55" t="e">
        <f t="shared" ca="1" si="122"/>
        <v>#N/A</v>
      </c>
      <c r="AJ366" s="55" t="e">
        <f t="shared" ca="1" si="116"/>
        <v>#N/A</v>
      </c>
      <c r="AK366" s="55" t="e">
        <f t="shared" ca="1" si="117"/>
        <v>#N/A</v>
      </c>
      <c r="AL366" s="55" t="e">
        <f t="shared" ca="1" si="118"/>
        <v>#N/A</v>
      </c>
      <c r="AM366" s="55"/>
    </row>
    <row r="367" spans="18:39">
      <c r="R367" s="83" t="e">
        <f ca="1"/>
        <v>#N/A</v>
      </c>
      <c r="S367" s="55" t="e">
        <f t="shared" ca="1" si="111"/>
        <v>#N/A</v>
      </c>
      <c r="T367" s="55" t="e">
        <f t="shared" ca="1" si="104"/>
        <v>#N/A</v>
      </c>
      <c r="U367" s="55" t="e">
        <f t="shared" ca="1" si="105"/>
        <v>#N/A</v>
      </c>
      <c r="V367" s="55" t="e">
        <f t="shared" ca="1" si="106"/>
        <v>#N/A</v>
      </c>
      <c r="W367" s="55" t="e">
        <f t="shared" ca="1" si="112"/>
        <v>#N/A</v>
      </c>
      <c r="X367" s="55" t="e">
        <f t="shared" ca="1" si="113"/>
        <v>#N/A</v>
      </c>
      <c r="Y367" s="55" t="e">
        <f t="shared" ca="1" si="114"/>
        <v>#N/A</v>
      </c>
      <c r="Z367" s="55" t="e">
        <f t="shared" ca="1" si="107"/>
        <v>#N/A</v>
      </c>
      <c r="AA367" t="e">
        <f t="shared" ca="1" si="108"/>
        <v>#N/A</v>
      </c>
      <c r="AB367" t="e">
        <f t="shared" ca="1" si="115"/>
        <v>#N/A</v>
      </c>
      <c r="AC367" t="e">
        <f t="shared" ca="1" si="109"/>
        <v>#N/A</v>
      </c>
      <c r="AD367" t="e">
        <f t="shared" ca="1" si="110"/>
        <v>#N/A</v>
      </c>
      <c r="AE367" s="83" t="e">
        <f ca="1"/>
        <v>#N/A</v>
      </c>
      <c r="AF367" s="55" t="e">
        <f t="shared" ca="1" si="119"/>
        <v>#N/A</v>
      </c>
      <c r="AG367" s="55" t="e">
        <f t="shared" ca="1" si="120"/>
        <v>#N/A</v>
      </c>
      <c r="AH367" s="55" t="e">
        <f t="shared" ca="1" si="121"/>
        <v>#N/A</v>
      </c>
      <c r="AI367" s="55" t="e">
        <f t="shared" ca="1" si="122"/>
        <v>#N/A</v>
      </c>
      <c r="AJ367" s="55" t="e">
        <f t="shared" ca="1" si="116"/>
        <v>#N/A</v>
      </c>
      <c r="AK367" s="55" t="e">
        <f t="shared" ca="1" si="117"/>
        <v>#N/A</v>
      </c>
      <c r="AL367" s="55" t="e">
        <f t="shared" ca="1" si="118"/>
        <v>#N/A</v>
      </c>
      <c r="AM367" s="55"/>
    </row>
    <row r="368" spans="18:39">
      <c r="R368" s="83" t="e">
        <f ca="1"/>
        <v>#N/A</v>
      </c>
      <c r="S368" s="55" t="e">
        <f t="shared" ca="1" si="111"/>
        <v>#N/A</v>
      </c>
      <c r="T368" s="55" t="e">
        <f t="shared" ca="1" si="104"/>
        <v>#N/A</v>
      </c>
      <c r="U368" s="55" t="e">
        <f t="shared" ca="1" si="105"/>
        <v>#N/A</v>
      </c>
      <c r="V368" s="55" t="e">
        <f t="shared" ca="1" si="106"/>
        <v>#N/A</v>
      </c>
      <c r="W368" s="55" t="e">
        <f t="shared" ca="1" si="112"/>
        <v>#N/A</v>
      </c>
      <c r="X368" s="55" t="e">
        <f t="shared" ca="1" si="113"/>
        <v>#N/A</v>
      </c>
      <c r="Y368" s="55" t="e">
        <f t="shared" ca="1" si="114"/>
        <v>#N/A</v>
      </c>
      <c r="Z368" s="55" t="e">
        <f t="shared" ca="1" si="107"/>
        <v>#N/A</v>
      </c>
      <c r="AA368" t="e">
        <f t="shared" ca="1" si="108"/>
        <v>#N/A</v>
      </c>
      <c r="AB368" t="e">
        <f t="shared" ca="1" si="115"/>
        <v>#N/A</v>
      </c>
      <c r="AC368" t="e">
        <f t="shared" ca="1" si="109"/>
        <v>#N/A</v>
      </c>
      <c r="AD368" t="e">
        <f t="shared" ca="1" si="110"/>
        <v>#N/A</v>
      </c>
      <c r="AE368" s="83" t="e">
        <f ca="1"/>
        <v>#N/A</v>
      </c>
      <c r="AF368" s="55" t="e">
        <f t="shared" ca="1" si="119"/>
        <v>#N/A</v>
      </c>
      <c r="AG368" s="55" t="e">
        <f t="shared" ca="1" si="120"/>
        <v>#N/A</v>
      </c>
      <c r="AH368" s="55" t="e">
        <f t="shared" ca="1" si="121"/>
        <v>#N/A</v>
      </c>
      <c r="AI368" s="55" t="e">
        <f t="shared" ca="1" si="122"/>
        <v>#N/A</v>
      </c>
      <c r="AJ368" s="55" t="e">
        <f t="shared" ca="1" si="116"/>
        <v>#N/A</v>
      </c>
      <c r="AK368" s="55" t="e">
        <f t="shared" ca="1" si="117"/>
        <v>#N/A</v>
      </c>
      <c r="AL368" s="55" t="e">
        <f t="shared" ca="1" si="118"/>
        <v>#N/A</v>
      </c>
      <c r="AM368" s="55"/>
    </row>
    <row r="369" spans="18:39">
      <c r="R369" s="83" t="e">
        <f ca="1"/>
        <v>#N/A</v>
      </c>
      <c r="S369" s="55" t="e">
        <f t="shared" ca="1" si="111"/>
        <v>#N/A</v>
      </c>
      <c r="T369" s="55" t="e">
        <f t="shared" ca="1" si="104"/>
        <v>#N/A</v>
      </c>
      <c r="U369" s="55" t="e">
        <f t="shared" ca="1" si="105"/>
        <v>#N/A</v>
      </c>
      <c r="V369" s="55" t="e">
        <f t="shared" ca="1" si="106"/>
        <v>#N/A</v>
      </c>
      <c r="W369" s="55" t="e">
        <f t="shared" ca="1" si="112"/>
        <v>#N/A</v>
      </c>
      <c r="X369" s="55" t="e">
        <f t="shared" ca="1" si="113"/>
        <v>#N/A</v>
      </c>
      <c r="Y369" s="55" t="e">
        <f t="shared" ca="1" si="114"/>
        <v>#N/A</v>
      </c>
      <c r="Z369" s="55" t="e">
        <f t="shared" ca="1" si="107"/>
        <v>#N/A</v>
      </c>
      <c r="AA369" t="e">
        <f t="shared" ca="1" si="108"/>
        <v>#N/A</v>
      </c>
      <c r="AB369" t="e">
        <f t="shared" ca="1" si="115"/>
        <v>#N/A</v>
      </c>
      <c r="AC369" t="e">
        <f t="shared" ca="1" si="109"/>
        <v>#N/A</v>
      </c>
      <c r="AD369" t="e">
        <f t="shared" ca="1" si="110"/>
        <v>#N/A</v>
      </c>
      <c r="AE369" s="83" t="e">
        <f ca="1"/>
        <v>#N/A</v>
      </c>
      <c r="AF369" s="55" t="e">
        <f t="shared" ca="1" si="119"/>
        <v>#N/A</v>
      </c>
      <c r="AG369" s="55" t="e">
        <f t="shared" ca="1" si="120"/>
        <v>#N/A</v>
      </c>
      <c r="AH369" s="55" t="e">
        <f t="shared" ca="1" si="121"/>
        <v>#N/A</v>
      </c>
      <c r="AI369" s="55" t="e">
        <f t="shared" ca="1" si="122"/>
        <v>#N/A</v>
      </c>
      <c r="AJ369" s="55" t="e">
        <f t="shared" ca="1" si="116"/>
        <v>#N/A</v>
      </c>
      <c r="AK369" s="55" t="e">
        <f t="shared" ca="1" si="117"/>
        <v>#N/A</v>
      </c>
      <c r="AL369" s="55" t="e">
        <f t="shared" ca="1" si="118"/>
        <v>#N/A</v>
      </c>
      <c r="AM369" s="55"/>
    </row>
    <row r="370" spans="18:39">
      <c r="R370" s="83" t="e">
        <f ca="1"/>
        <v>#N/A</v>
      </c>
      <c r="S370" s="55" t="e">
        <f t="shared" ca="1" si="111"/>
        <v>#N/A</v>
      </c>
      <c r="T370" s="55" t="e">
        <f t="shared" ca="1" si="104"/>
        <v>#N/A</v>
      </c>
      <c r="U370" s="55" t="e">
        <f t="shared" ca="1" si="105"/>
        <v>#N/A</v>
      </c>
      <c r="V370" s="55" t="e">
        <f t="shared" ca="1" si="106"/>
        <v>#N/A</v>
      </c>
      <c r="W370" s="55" t="e">
        <f t="shared" ca="1" si="112"/>
        <v>#N/A</v>
      </c>
      <c r="X370" s="55" t="e">
        <f t="shared" ca="1" si="113"/>
        <v>#N/A</v>
      </c>
      <c r="Y370" s="55" t="e">
        <f t="shared" ca="1" si="114"/>
        <v>#N/A</v>
      </c>
      <c r="Z370" s="55" t="e">
        <f t="shared" ca="1" si="107"/>
        <v>#N/A</v>
      </c>
      <c r="AA370" t="e">
        <f t="shared" ca="1" si="108"/>
        <v>#N/A</v>
      </c>
      <c r="AB370" t="e">
        <f t="shared" ca="1" si="115"/>
        <v>#N/A</v>
      </c>
      <c r="AC370" t="e">
        <f t="shared" ca="1" si="109"/>
        <v>#N/A</v>
      </c>
      <c r="AD370" t="e">
        <f t="shared" ca="1" si="110"/>
        <v>#N/A</v>
      </c>
      <c r="AE370" s="83" t="e">
        <f ca="1"/>
        <v>#N/A</v>
      </c>
      <c r="AF370" s="55" t="e">
        <f t="shared" ca="1" si="119"/>
        <v>#N/A</v>
      </c>
      <c r="AG370" s="55" t="e">
        <f t="shared" ca="1" si="120"/>
        <v>#N/A</v>
      </c>
      <c r="AH370" s="55" t="e">
        <f t="shared" ca="1" si="121"/>
        <v>#N/A</v>
      </c>
      <c r="AI370" s="55" t="e">
        <f t="shared" ca="1" si="122"/>
        <v>#N/A</v>
      </c>
      <c r="AJ370" s="55" t="e">
        <f t="shared" ca="1" si="116"/>
        <v>#N/A</v>
      </c>
      <c r="AK370" s="55" t="e">
        <f t="shared" ca="1" si="117"/>
        <v>#N/A</v>
      </c>
      <c r="AL370" s="55" t="e">
        <f t="shared" ca="1" si="118"/>
        <v>#N/A</v>
      </c>
      <c r="AM370" s="55"/>
    </row>
    <row r="371" spans="18:39">
      <c r="R371" s="83" t="e">
        <f ca="1"/>
        <v>#N/A</v>
      </c>
      <c r="S371" s="55" t="e">
        <f t="shared" ca="1" si="111"/>
        <v>#N/A</v>
      </c>
      <c r="T371" s="55" t="e">
        <f t="shared" ca="1" si="104"/>
        <v>#N/A</v>
      </c>
      <c r="U371" s="55" t="e">
        <f t="shared" ca="1" si="105"/>
        <v>#N/A</v>
      </c>
      <c r="V371" s="55" t="e">
        <f t="shared" ca="1" si="106"/>
        <v>#N/A</v>
      </c>
      <c r="W371" s="55" t="e">
        <f t="shared" ca="1" si="112"/>
        <v>#N/A</v>
      </c>
      <c r="X371" s="55" t="e">
        <f t="shared" ca="1" si="113"/>
        <v>#N/A</v>
      </c>
      <c r="Y371" s="55" t="e">
        <f t="shared" ca="1" si="114"/>
        <v>#N/A</v>
      </c>
      <c r="Z371" s="55" t="e">
        <f t="shared" ca="1" si="107"/>
        <v>#N/A</v>
      </c>
      <c r="AA371" t="e">
        <f t="shared" ca="1" si="108"/>
        <v>#N/A</v>
      </c>
      <c r="AB371" t="e">
        <f t="shared" ca="1" si="115"/>
        <v>#N/A</v>
      </c>
      <c r="AC371" t="e">
        <f t="shared" ca="1" si="109"/>
        <v>#N/A</v>
      </c>
      <c r="AD371" t="e">
        <f t="shared" ca="1" si="110"/>
        <v>#N/A</v>
      </c>
      <c r="AE371" s="83" t="e">
        <f ca="1"/>
        <v>#N/A</v>
      </c>
      <c r="AF371" s="55" t="e">
        <f t="shared" ca="1" si="119"/>
        <v>#N/A</v>
      </c>
      <c r="AG371" s="55" t="e">
        <f t="shared" ca="1" si="120"/>
        <v>#N/A</v>
      </c>
      <c r="AH371" s="55" t="e">
        <f t="shared" ca="1" si="121"/>
        <v>#N/A</v>
      </c>
      <c r="AI371" s="55" t="e">
        <f t="shared" ca="1" si="122"/>
        <v>#N/A</v>
      </c>
      <c r="AJ371" s="55" t="e">
        <f t="shared" ca="1" si="116"/>
        <v>#N/A</v>
      </c>
      <c r="AK371" s="55" t="e">
        <f t="shared" ca="1" si="117"/>
        <v>#N/A</v>
      </c>
      <c r="AL371" s="55" t="e">
        <f t="shared" ca="1" si="118"/>
        <v>#N/A</v>
      </c>
      <c r="AM371" s="55"/>
    </row>
    <row r="372" spans="18:39">
      <c r="R372" s="83" t="e">
        <f ca="1"/>
        <v>#N/A</v>
      </c>
      <c r="S372" s="55" t="e">
        <f t="shared" ca="1" si="111"/>
        <v>#N/A</v>
      </c>
      <c r="T372" s="55" t="e">
        <f t="shared" ca="1" si="104"/>
        <v>#N/A</v>
      </c>
      <c r="U372" s="55" t="e">
        <f t="shared" ca="1" si="105"/>
        <v>#N/A</v>
      </c>
      <c r="V372" s="55" t="e">
        <f t="shared" ca="1" si="106"/>
        <v>#N/A</v>
      </c>
      <c r="W372" s="55" t="e">
        <f t="shared" ca="1" si="112"/>
        <v>#N/A</v>
      </c>
      <c r="X372" s="55" t="e">
        <f t="shared" ca="1" si="113"/>
        <v>#N/A</v>
      </c>
      <c r="Y372" s="55" t="e">
        <f t="shared" ca="1" si="114"/>
        <v>#N/A</v>
      </c>
      <c r="Z372" s="55" t="e">
        <f t="shared" ca="1" si="107"/>
        <v>#N/A</v>
      </c>
      <c r="AA372" t="e">
        <f t="shared" ca="1" si="108"/>
        <v>#N/A</v>
      </c>
      <c r="AB372" t="e">
        <f t="shared" ca="1" si="115"/>
        <v>#N/A</v>
      </c>
      <c r="AC372" t="e">
        <f t="shared" ca="1" si="109"/>
        <v>#N/A</v>
      </c>
      <c r="AD372" t="e">
        <f t="shared" ca="1" si="110"/>
        <v>#N/A</v>
      </c>
      <c r="AE372" s="83" t="e">
        <f ca="1"/>
        <v>#N/A</v>
      </c>
      <c r="AF372" s="55" t="e">
        <f t="shared" ca="1" si="119"/>
        <v>#N/A</v>
      </c>
      <c r="AG372" s="55" t="e">
        <f t="shared" ca="1" si="120"/>
        <v>#N/A</v>
      </c>
      <c r="AH372" s="55" t="e">
        <f t="shared" ca="1" si="121"/>
        <v>#N/A</v>
      </c>
      <c r="AI372" s="55" t="e">
        <f t="shared" ca="1" si="122"/>
        <v>#N/A</v>
      </c>
      <c r="AJ372" s="55" t="e">
        <f t="shared" ca="1" si="116"/>
        <v>#N/A</v>
      </c>
      <c r="AK372" s="55" t="e">
        <f t="shared" ca="1" si="117"/>
        <v>#N/A</v>
      </c>
      <c r="AL372" s="55" t="e">
        <f t="shared" ca="1" si="118"/>
        <v>#N/A</v>
      </c>
      <c r="AM372" s="55"/>
    </row>
    <row r="373" spans="18:39">
      <c r="R373" s="83" t="e">
        <f ca="1"/>
        <v>#N/A</v>
      </c>
      <c r="S373" s="55" t="e">
        <f t="shared" ca="1" si="111"/>
        <v>#N/A</v>
      </c>
      <c r="T373" s="55" t="e">
        <f t="shared" ca="1" si="104"/>
        <v>#N/A</v>
      </c>
      <c r="U373" s="55" t="e">
        <f t="shared" ca="1" si="105"/>
        <v>#N/A</v>
      </c>
      <c r="V373" s="55" t="e">
        <f t="shared" ca="1" si="106"/>
        <v>#N/A</v>
      </c>
      <c r="W373" s="55" t="e">
        <f t="shared" ca="1" si="112"/>
        <v>#N/A</v>
      </c>
      <c r="X373" s="55" t="e">
        <f t="shared" ca="1" si="113"/>
        <v>#N/A</v>
      </c>
      <c r="Y373" s="55" t="e">
        <f t="shared" ca="1" si="114"/>
        <v>#N/A</v>
      </c>
      <c r="Z373" s="55" t="e">
        <f t="shared" ca="1" si="107"/>
        <v>#N/A</v>
      </c>
      <c r="AA373" t="e">
        <f t="shared" ca="1" si="108"/>
        <v>#N/A</v>
      </c>
      <c r="AB373" t="e">
        <f t="shared" ca="1" si="115"/>
        <v>#N/A</v>
      </c>
      <c r="AC373" t="e">
        <f t="shared" ca="1" si="109"/>
        <v>#N/A</v>
      </c>
      <c r="AD373" t="e">
        <f t="shared" ca="1" si="110"/>
        <v>#N/A</v>
      </c>
      <c r="AE373" s="83" t="e">
        <f ca="1"/>
        <v>#N/A</v>
      </c>
      <c r="AF373" s="55" t="e">
        <f t="shared" ca="1" si="119"/>
        <v>#N/A</v>
      </c>
      <c r="AG373" s="55" t="e">
        <f t="shared" ca="1" si="120"/>
        <v>#N/A</v>
      </c>
      <c r="AH373" s="55" t="e">
        <f t="shared" ca="1" si="121"/>
        <v>#N/A</v>
      </c>
      <c r="AI373" s="55" t="e">
        <f t="shared" ca="1" si="122"/>
        <v>#N/A</v>
      </c>
      <c r="AJ373" s="55" t="e">
        <f t="shared" ca="1" si="116"/>
        <v>#N/A</v>
      </c>
      <c r="AK373" s="55" t="e">
        <f t="shared" ca="1" si="117"/>
        <v>#N/A</v>
      </c>
      <c r="AL373" s="55" t="e">
        <f t="shared" ca="1" si="118"/>
        <v>#N/A</v>
      </c>
      <c r="AM373" s="55"/>
    </row>
    <row r="374" spans="18:39">
      <c r="R374" s="83" t="e">
        <f ca="1"/>
        <v>#N/A</v>
      </c>
      <c r="S374" s="55" t="e">
        <f t="shared" ca="1" si="111"/>
        <v>#N/A</v>
      </c>
      <c r="T374" s="55" t="e">
        <f t="shared" ca="1" si="104"/>
        <v>#N/A</v>
      </c>
      <c r="U374" s="55" t="e">
        <f t="shared" ca="1" si="105"/>
        <v>#N/A</v>
      </c>
      <c r="V374" s="55" t="e">
        <f t="shared" ca="1" si="106"/>
        <v>#N/A</v>
      </c>
      <c r="W374" s="55" t="e">
        <f t="shared" ca="1" si="112"/>
        <v>#N/A</v>
      </c>
      <c r="X374" s="55" t="e">
        <f t="shared" ca="1" si="113"/>
        <v>#N/A</v>
      </c>
      <c r="Y374" s="55" t="e">
        <f t="shared" ca="1" si="114"/>
        <v>#N/A</v>
      </c>
      <c r="Z374" s="55" t="e">
        <f t="shared" ca="1" si="107"/>
        <v>#N/A</v>
      </c>
      <c r="AA374" t="e">
        <f t="shared" ca="1" si="108"/>
        <v>#N/A</v>
      </c>
      <c r="AB374" t="e">
        <f t="shared" ca="1" si="115"/>
        <v>#N/A</v>
      </c>
      <c r="AC374" t="e">
        <f t="shared" ca="1" si="109"/>
        <v>#N/A</v>
      </c>
      <c r="AD374" t="e">
        <f t="shared" ca="1" si="110"/>
        <v>#N/A</v>
      </c>
      <c r="AE374" s="83" t="e">
        <f ca="1"/>
        <v>#N/A</v>
      </c>
      <c r="AF374" s="55" t="e">
        <f t="shared" ca="1" si="119"/>
        <v>#N/A</v>
      </c>
      <c r="AG374" s="55" t="e">
        <f t="shared" ca="1" si="120"/>
        <v>#N/A</v>
      </c>
      <c r="AH374" s="55" t="e">
        <f t="shared" ca="1" si="121"/>
        <v>#N/A</v>
      </c>
      <c r="AI374" s="55" t="e">
        <f t="shared" ca="1" si="122"/>
        <v>#N/A</v>
      </c>
      <c r="AJ374" s="55" t="e">
        <f t="shared" ca="1" si="116"/>
        <v>#N/A</v>
      </c>
      <c r="AK374" s="55" t="e">
        <f t="shared" ca="1" si="117"/>
        <v>#N/A</v>
      </c>
      <c r="AL374" s="55" t="e">
        <f t="shared" ca="1" si="118"/>
        <v>#N/A</v>
      </c>
      <c r="AM374" s="55"/>
    </row>
    <row r="375" spans="18:39">
      <c r="R375" s="83" t="e">
        <f ca="1"/>
        <v>#N/A</v>
      </c>
      <c r="S375" s="55" t="e">
        <f t="shared" ca="1" si="111"/>
        <v>#N/A</v>
      </c>
      <c r="T375" s="55" t="e">
        <f t="shared" ca="1" si="104"/>
        <v>#N/A</v>
      </c>
      <c r="U375" s="55" t="e">
        <f t="shared" ca="1" si="105"/>
        <v>#N/A</v>
      </c>
      <c r="V375" s="55" t="e">
        <f t="shared" ca="1" si="106"/>
        <v>#N/A</v>
      </c>
      <c r="W375" s="55" t="e">
        <f t="shared" ca="1" si="112"/>
        <v>#N/A</v>
      </c>
      <c r="X375" s="55" t="e">
        <f t="shared" ca="1" si="113"/>
        <v>#N/A</v>
      </c>
      <c r="Y375" s="55" t="e">
        <f t="shared" ca="1" si="114"/>
        <v>#N/A</v>
      </c>
      <c r="Z375" s="55" t="e">
        <f t="shared" ca="1" si="107"/>
        <v>#N/A</v>
      </c>
      <c r="AA375" t="e">
        <f t="shared" ca="1" si="108"/>
        <v>#N/A</v>
      </c>
      <c r="AB375" t="e">
        <f t="shared" ca="1" si="115"/>
        <v>#N/A</v>
      </c>
      <c r="AC375" t="e">
        <f t="shared" ca="1" si="109"/>
        <v>#N/A</v>
      </c>
      <c r="AD375" t="e">
        <f t="shared" ca="1" si="110"/>
        <v>#N/A</v>
      </c>
      <c r="AE375" s="83" t="e">
        <f ca="1"/>
        <v>#N/A</v>
      </c>
      <c r="AF375" s="55" t="e">
        <f t="shared" ca="1" si="119"/>
        <v>#N/A</v>
      </c>
      <c r="AG375" s="55" t="e">
        <f t="shared" ca="1" si="120"/>
        <v>#N/A</v>
      </c>
      <c r="AH375" s="55" t="e">
        <f t="shared" ca="1" si="121"/>
        <v>#N/A</v>
      </c>
      <c r="AI375" s="55" t="e">
        <f t="shared" ca="1" si="122"/>
        <v>#N/A</v>
      </c>
      <c r="AJ375" s="55" t="e">
        <f t="shared" ca="1" si="116"/>
        <v>#N/A</v>
      </c>
      <c r="AK375" s="55" t="e">
        <f t="shared" ca="1" si="117"/>
        <v>#N/A</v>
      </c>
      <c r="AL375" s="55" t="e">
        <f t="shared" ca="1" si="118"/>
        <v>#N/A</v>
      </c>
      <c r="AM375" s="55"/>
    </row>
    <row r="376" spans="18:39">
      <c r="R376" s="83" t="e">
        <f ca="1"/>
        <v>#N/A</v>
      </c>
      <c r="S376" s="55" t="e">
        <f t="shared" ca="1" si="111"/>
        <v>#N/A</v>
      </c>
      <c r="T376" s="55" t="e">
        <f t="shared" ca="1" si="104"/>
        <v>#N/A</v>
      </c>
      <c r="U376" s="55" t="e">
        <f t="shared" ca="1" si="105"/>
        <v>#N/A</v>
      </c>
      <c r="V376" s="55" t="e">
        <f t="shared" ca="1" si="106"/>
        <v>#N/A</v>
      </c>
      <c r="W376" s="55" t="e">
        <f t="shared" ca="1" si="112"/>
        <v>#N/A</v>
      </c>
      <c r="X376" s="55" t="e">
        <f t="shared" ca="1" si="113"/>
        <v>#N/A</v>
      </c>
      <c r="Y376" s="55" t="e">
        <f t="shared" ca="1" si="114"/>
        <v>#N/A</v>
      </c>
      <c r="Z376" s="55" t="e">
        <f t="shared" ca="1" si="107"/>
        <v>#N/A</v>
      </c>
      <c r="AA376" t="e">
        <f t="shared" ca="1" si="108"/>
        <v>#N/A</v>
      </c>
      <c r="AB376" t="e">
        <f t="shared" ca="1" si="115"/>
        <v>#N/A</v>
      </c>
      <c r="AC376" t="e">
        <f t="shared" ca="1" si="109"/>
        <v>#N/A</v>
      </c>
      <c r="AD376" t="e">
        <f t="shared" ca="1" si="110"/>
        <v>#N/A</v>
      </c>
      <c r="AE376" s="83" t="e">
        <f ca="1"/>
        <v>#N/A</v>
      </c>
      <c r="AF376" s="55" t="e">
        <f t="shared" ca="1" si="119"/>
        <v>#N/A</v>
      </c>
      <c r="AG376" s="55" t="e">
        <f t="shared" ca="1" si="120"/>
        <v>#N/A</v>
      </c>
      <c r="AH376" s="55" t="e">
        <f t="shared" ca="1" si="121"/>
        <v>#N/A</v>
      </c>
      <c r="AI376" s="55" t="e">
        <f t="shared" ca="1" si="122"/>
        <v>#N/A</v>
      </c>
      <c r="AJ376" s="55" t="e">
        <f t="shared" ca="1" si="116"/>
        <v>#N/A</v>
      </c>
      <c r="AK376" s="55" t="e">
        <f t="shared" ca="1" si="117"/>
        <v>#N/A</v>
      </c>
      <c r="AL376" s="55" t="e">
        <f t="shared" ca="1" si="118"/>
        <v>#N/A</v>
      </c>
      <c r="AM376" s="55"/>
    </row>
    <row r="377" spans="18:39">
      <c r="R377" s="83" t="e">
        <f ca="1"/>
        <v>#N/A</v>
      </c>
      <c r="S377" s="55" t="e">
        <f t="shared" ca="1" si="111"/>
        <v>#N/A</v>
      </c>
      <c r="T377" s="55" t="e">
        <f t="shared" ca="1" si="104"/>
        <v>#N/A</v>
      </c>
      <c r="U377" s="55" t="e">
        <f t="shared" ca="1" si="105"/>
        <v>#N/A</v>
      </c>
      <c r="V377" s="55" t="e">
        <f t="shared" ca="1" si="106"/>
        <v>#N/A</v>
      </c>
      <c r="W377" s="55" t="e">
        <f t="shared" ca="1" si="112"/>
        <v>#N/A</v>
      </c>
      <c r="X377" s="55" t="e">
        <f t="shared" ca="1" si="113"/>
        <v>#N/A</v>
      </c>
      <c r="Y377" s="55" t="e">
        <f t="shared" ca="1" si="114"/>
        <v>#N/A</v>
      </c>
      <c r="Z377" s="55" t="e">
        <f t="shared" ca="1" si="107"/>
        <v>#N/A</v>
      </c>
      <c r="AA377" t="e">
        <f t="shared" ca="1" si="108"/>
        <v>#N/A</v>
      </c>
      <c r="AB377" t="e">
        <f t="shared" ca="1" si="115"/>
        <v>#N/A</v>
      </c>
      <c r="AC377" t="e">
        <f t="shared" ca="1" si="109"/>
        <v>#N/A</v>
      </c>
      <c r="AD377" t="e">
        <f t="shared" ca="1" si="110"/>
        <v>#N/A</v>
      </c>
      <c r="AE377" s="83" t="e">
        <f ca="1"/>
        <v>#N/A</v>
      </c>
      <c r="AF377" s="55" t="e">
        <f t="shared" ca="1" si="119"/>
        <v>#N/A</v>
      </c>
      <c r="AG377" s="55" t="e">
        <f t="shared" ca="1" si="120"/>
        <v>#N/A</v>
      </c>
      <c r="AH377" s="55" t="e">
        <f t="shared" ca="1" si="121"/>
        <v>#N/A</v>
      </c>
      <c r="AI377" s="55" t="e">
        <f t="shared" ca="1" si="122"/>
        <v>#N/A</v>
      </c>
      <c r="AJ377" s="55" t="e">
        <f t="shared" ca="1" si="116"/>
        <v>#N/A</v>
      </c>
      <c r="AK377" s="55" t="e">
        <f t="shared" ca="1" si="117"/>
        <v>#N/A</v>
      </c>
      <c r="AL377" s="55" t="e">
        <f t="shared" ca="1" si="118"/>
        <v>#N/A</v>
      </c>
      <c r="AM377" s="55"/>
    </row>
    <row r="378" spans="18:39">
      <c r="R378" s="83" t="e">
        <f ca="1"/>
        <v>#N/A</v>
      </c>
      <c r="S378" s="55" t="e">
        <f t="shared" ca="1" si="111"/>
        <v>#N/A</v>
      </c>
      <c r="T378" s="55" t="e">
        <f t="shared" ca="1" si="104"/>
        <v>#N/A</v>
      </c>
      <c r="U378" s="55" t="e">
        <f t="shared" ca="1" si="105"/>
        <v>#N/A</v>
      </c>
      <c r="V378" s="55" t="e">
        <f t="shared" ca="1" si="106"/>
        <v>#N/A</v>
      </c>
      <c r="W378" s="55" t="e">
        <f t="shared" ca="1" si="112"/>
        <v>#N/A</v>
      </c>
      <c r="X378" s="55" t="e">
        <f t="shared" ca="1" si="113"/>
        <v>#N/A</v>
      </c>
      <c r="Y378" s="55" t="e">
        <f t="shared" ca="1" si="114"/>
        <v>#N/A</v>
      </c>
      <c r="Z378" s="55" t="e">
        <f t="shared" ca="1" si="107"/>
        <v>#N/A</v>
      </c>
      <c r="AA378" t="e">
        <f t="shared" ca="1" si="108"/>
        <v>#N/A</v>
      </c>
      <c r="AB378" t="e">
        <f t="shared" ca="1" si="115"/>
        <v>#N/A</v>
      </c>
      <c r="AC378" t="e">
        <f t="shared" ca="1" si="109"/>
        <v>#N/A</v>
      </c>
      <c r="AD378" t="e">
        <f t="shared" ca="1" si="110"/>
        <v>#N/A</v>
      </c>
      <c r="AE378" s="83" t="e">
        <f ca="1"/>
        <v>#N/A</v>
      </c>
      <c r="AF378" s="55" t="e">
        <f t="shared" ca="1" si="119"/>
        <v>#N/A</v>
      </c>
      <c r="AG378" s="55" t="e">
        <f t="shared" ca="1" si="120"/>
        <v>#N/A</v>
      </c>
      <c r="AH378" s="55" t="e">
        <f t="shared" ca="1" si="121"/>
        <v>#N/A</v>
      </c>
      <c r="AI378" s="55" t="e">
        <f t="shared" ca="1" si="122"/>
        <v>#N/A</v>
      </c>
      <c r="AJ378" s="55" t="e">
        <f t="shared" ca="1" si="116"/>
        <v>#N/A</v>
      </c>
      <c r="AK378" s="55" t="e">
        <f t="shared" ca="1" si="117"/>
        <v>#N/A</v>
      </c>
      <c r="AL378" s="55" t="e">
        <f t="shared" ca="1" si="118"/>
        <v>#N/A</v>
      </c>
      <c r="AM378" s="55"/>
    </row>
    <row r="379" spans="18:39">
      <c r="R379" s="83" t="e">
        <f ca="1"/>
        <v>#N/A</v>
      </c>
      <c r="S379" s="55" t="e">
        <f t="shared" ca="1" si="111"/>
        <v>#N/A</v>
      </c>
      <c r="T379" s="55" t="e">
        <f t="shared" ca="1" si="104"/>
        <v>#N/A</v>
      </c>
      <c r="U379" s="55" t="e">
        <f t="shared" ca="1" si="105"/>
        <v>#N/A</v>
      </c>
      <c r="V379" s="55" t="e">
        <f t="shared" ca="1" si="106"/>
        <v>#N/A</v>
      </c>
      <c r="W379" s="55" t="e">
        <f t="shared" ca="1" si="112"/>
        <v>#N/A</v>
      </c>
      <c r="X379" s="55" t="e">
        <f t="shared" ca="1" si="113"/>
        <v>#N/A</v>
      </c>
      <c r="Y379" s="55" t="e">
        <f t="shared" ca="1" si="114"/>
        <v>#N/A</v>
      </c>
      <c r="Z379" s="55" t="e">
        <f t="shared" ca="1" si="107"/>
        <v>#N/A</v>
      </c>
      <c r="AA379" t="e">
        <f t="shared" ca="1" si="108"/>
        <v>#N/A</v>
      </c>
      <c r="AB379" t="e">
        <f t="shared" ca="1" si="115"/>
        <v>#N/A</v>
      </c>
      <c r="AC379" t="e">
        <f t="shared" ca="1" si="109"/>
        <v>#N/A</v>
      </c>
      <c r="AD379" t="e">
        <f t="shared" ca="1" si="110"/>
        <v>#N/A</v>
      </c>
      <c r="AE379" s="83" t="e">
        <f ca="1"/>
        <v>#N/A</v>
      </c>
      <c r="AF379" s="55" t="e">
        <f t="shared" ca="1" si="119"/>
        <v>#N/A</v>
      </c>
      <c r="AG379" s="55" t="e">
        <f t="shared" ca="1" si="120"/>
        <v>#N/A</v>
      </c>
      <c r="AH379" s="55" t="e">
        <f t="shared" ca="1" si="121"/>
        <v>#N/A</v>
      </c>
      <c r="AI379" s="55" t="e">
        <f t="shared" ca="1" si="122"/>
        <v>#N/A</v>
      </c>
      <c r="AJ379" s="55" t="e">
        <f t="shared" ca="1" si="116"/>
        <v>#N/A</v>
      </c>
      <c r="AK379" s="55" t="e">
        <f t="shared" ca="1" si="117"/>
        <v>#N/A</v>
      </c>
      <c r="AL379" s="55" t="e">
        <f t="shared" ca="1" si="118"/>
        <v>#N/A</v>
      </c>
      <c r="AM379" s="55"/>
    </row>
    <row r="380" spans="18:39">
      <c r="R380" s="83" t="e">
        <f ca="1"/>
        <v>#N/A</v>
      </c>
      <c r="S380" s="55" t="e">
        <f t="shared" ca="1" si="111"/>
        <v>#N/A</v>
      </c>
      <c r="T380" s="55" t="e">
        <f t="shared" ca="1" si="104"/>
        <v>#N/A</v>
      </c>
      <c r="U380" s="55" t="e">
        <f t="shared" ca="1" si="105"/>
        <v>#N/A</v>
      </c>
      <c r="V380" s="55" t="e">
        <f t="shared" ca="1" si="106"/>
        <v>#N/A</v>
      </c>
      <c r="W380" s="55" t="e">
        <f t="shared" ca="1" si="112"/>
        <v>#N/A</v>
      </c>
      <c r="X380" s="55" t="e">
        <f t="shared" ca="1" si="113"/>
        <v>#N/A</v>
      </c>
      <c r="Y380" s="55" t="e">
        <f t="shared" ca="1" si="114"/>
        <v>#N/A</v>
      </c>
      <c r="Z380" s="55" t="e">
        <f t="shared" ca="1" si="107"/>
        <v>#N/A</v>
      </c>
      <c r="AA380" t="e">
        <f t="shared" ca="1" si="108"/>
        <v>#N/A</v>
      </c>
      <c r="AB380" t="e">
        <f t="shared" ca="1" si="115"/>
        <v>#N/A</v>
      </c>
      <c r="AC380" t="e">
        <f t="shared" ca="1" si="109"/>
        <v>#N/A</v>
      </c>
      <c r="AD380" t="e">
        <f t="shared" ca="1" si="110"/>
        <v>#N/A</v>
      </c>
      <c r="AE380" s="83" t="e">
        <f ca="1"/>
        <v>#N/A</v>
      </c>
      <c r="AF380" s="55" t="e">
        <f t="shared" ca="1" si="119"/>
        <v>#N/A</v>
      </c>
      <c r="AG380" s="55" t="e">
        <f t="shared" ca="1" si="120"/>
        <v>#N/A</v>
      </c>
      <c r="AH380" s="55" t="e">
        <f t="shared" ca="1" si="121"/>
        <v>#N/A</v>
      </c>
      <c r="AI380" s="55" t="e">
        <f t="shared" ca="1" si="122"/>
        <v>#N/A</v>
      </c>
      <c r="AJ380" s="55" t="e">
        <f t="shared" ca="1" si="116"/>
        <v>#N/A</v>
      </c>
      <c r="AK380" s="55" t="e">
        <f t="shared" ca="1" si="117"/>
        <v>#N/A</v>
      </c>
      <c r="AL380" s="55" t="e">
        <f t="shared" ca="1" si="118"/>
        <v>#N/A</v>
      </c>
      <c r="AM380" s="55"/>
    </row>
    <row r="381" spans="18:39">
      <c r="R381" s="83" t="e">
        <f ca="1"/>
        <v>#N/A</v>
      </c>
      <c r="S381" s="55" t="e">
        <f t="shared" ca="1" si="111"/>
        <v>#N/A</v>
      </c>
      <c r="T381" s="55" t="e">
        <f t="shared" ca="1" si="104"/>
        <v>#N/A</v>
      </c>
      <c r="U381" s="55" t="e">
        <f t="shared" ca="1" si="105"/>
        <v>#N/A</v>
      </c>
      <c r="V381" s="55" t="e">
        <f t="shared" ca="1" si="106"/>
        <v>#N/A</v>
      </c>
      <c r="W381" s="55" t="e">
        <f t="shared" ca="1" si="112"/>
        <v>#N/A</v>
      </c>
      <c r="X381" s="55" t="e">
        <f t="shared" ca="1" si="113"/>
        <v>#N/A</v>
      </c>
      <c r="Y381" s="55" t="e">
        <f t="shared" ca="1" si="114"/>
        <v>#N/A</v>
      </c>
      <c r="Z381" s="55" t="e">
        <f t="shared" ca="1" si="107"/>
        <v>#N/A</v>
      </c>
      <c r="AA381" t="e">
        <f t="shared" ca="1" si="108"/>
        <v>#N/A</v>
      </c>
      <c r="AB381" t="e">
        <f t="shared" ca="1" si="115"/>
        <v>#N/A</v>
      </c>
      <c r="AC381" t="e">
        <f t="shared" ca="1" si="109"/>
        <v>#N/A</v>
      </c>
      <c r="AD381" t="e">
        <f t="shared" ca="1" si="110"/>
        <v>#N/A</v>
      </c>
      <c r="AE381" s="83" t="e">
        <f ca="1"/>
        <v>#N/A</v>
      </c>
      <c r="AF381" s="55" t="e">
        <f t="shared" ca="1" si="119"/>
        <v>#N/A</v>
      </c>
      <c r="AG381" s="55" t="e">
        <f t="shared" ca="1" si="120"/>
        <v>#N/A</v>
      </c>
      <c r="AH381" s="55" t="e">
        <f t="shared" ca="1" si="121"/>
        <v>#N/A</v>
      </c>
      <c r="AI381" s="55" t="e">
        <f t="shared" ca="1" si="122"/>
        <v>#N/A</v>
      </c>
      <c r="AJ381" s="55" t="e">
        <f t="shared" ca="1" si="116"/>
        <v>#N/A</v>
      </c>
      <c r="AK381" s="55" t="e">
        <f t="shared" ca="1" si="117"/>
        <v>#N/A</v>
      </c>
      <c r="AL381" s="55" t="e">
        <f t="shared" ca="1" si="118"/>
        <v>#N/A</v>
      </c>
      <c r="AM381" s="55"/>
    </row>
    <row r="382" spans="18:39">
      <c r="R382" s="83" t="e">
        <f ca="1"/>
        <v>#N/A</v>
      </c>
      <c r="S382" s="55" t="e">
        <f t="shared" ca="1" si="111"/>
        <v>#N/A</v>
      </c>
      <c r="T382" s="55" t="e">
        <f t="shared" ca="1" si="104"/>
        <v>#N/A</v>
      </c>
      <c r="U382" s="55" t="e">
        <f t="shared" ca="1" si="105"/>
        <v>#N/A</v>
      </c>
      <c r="V382" s="55" t="e">
        <f t="shared" ca="1" si="106"/>
        <v>#N/A</v>
      </c>
      <c r="W382" s="55" t="e">
        <f t="shared" ca="1" si="112"/>
        <v>#N/A</v>
      </c>
      <c r="X382" s="55" t="e">
        <f t="shared" ca="1" si="113"/>
        <v>#N/A</v>
      </c>
      <c r="Y382" s="55" t="e">
        <f t="shared" ca="1" si="114"/>
        <v>#N/A</v>
      </c>
      <c r="Z382" s="55" t="e">
        <f t="shared" ca="1" si="107"/>
        <v>#N/A</v>
      </c>
      <c r="AA382" t="e">
        <f t="shared" ca="1" si="108"/>
        <v>#N/A</v>
      </c>
      <c r="AB382" t="e">
        <f t="shared" ca="1" si="115"/>
        <v>#N/A</v>
      </c>
      <c r="AC382" t="e">
        <f t="shared" ca="1" si="109"/>
        <v>#N/A</v>
      </c>
      <c r="AD382" t="e">
        <f t="shared" ca="1" si="110"/>
        <v>#N/A</v>
      </c>
      <c r="AE382" s="83" t="e">
        <f ca="1"/>
        <v>#N/A</v>
      </c>
      <c r="AF382" s="55" t="e">
        <f t="shared" ca="1" si="119"/>
        <v>#N/A</v>
      </c>
      <c r="AG382" s="55" t="e">
        <f t="shared" ca="1" si="120"/>
        <v>#N/A</v>
      </c>
      <c r="AH382" s="55" t="e">
        <f t="shared" ca="1" si="121"/>
        <v>#N/A</v>
      </c>
      <c r="AI382" s="55" t="e">
        <f t="shared" ca="1" si="122"/>
        <v>#N/A</v>
      </c>
      <c r="AJ382" s="55" t="e">
        <f t="shared" ca="1" si="116"/>
        <v>#N/A</v>
      </c>
      <c r="AK382" s="55" t="e">
        <f t="shared" ca="1" si="117"/>
        <v>#N/A</v>
      </c>
      <c r="AL382" s="55" t="e">
        <f t="shared" ca="1" si="118"/>
        <v>#N/A</v>
      </c>
      <c r="AM382" s="55"/>
    </row>
    <row r="383" spans="18:39">
      <c r="R383" s="83" t="e">
        <f ca="1"/>
        <v>#N/A</v>
      </c>
      <c r="S383" s="55" t="e">
        <f t="shared" ca="1" si="111"/>
        <v>#N/A</v>
      </c>
      <c r="T383" s="55" t="e">
        <f t="shared" ca="1" si="104"/>
        <v>#N/A</v>
      </c>
      <c r="U383" s="55" t="e">
        <f t="shared" ca="1" si="105"/>
        <v>#N/A</v>
      </c>
      <c r="V383" s="55" t="e">
        <f t="shared" ca="1" si="106"/>
        <v>#N/A</v>
      </c>
      <c r="W383" s="55" t="e">
        <f t="shared" ca="1" si="112"/>
        <v>#N/A</v>
      </c>
      <c r="X383" s="55" t="e">
        <f t="shared" ca="1" si="113"/>
        <v>#N/A</v>
      </c>
      <c r="Y383" s="55" t="e">
        <f t="shared" ca="1" si="114"/>
        <v>#N/A</v>
      </c>
      <c r="Z383" s="55" t="e">
        <f t="shared" ca="1" si="107"/>
        <v>#N/A</v>
      </c>
      <c r="AA383" t="e">
        <f t="shared" ca="1" si="108"/>
        <v>#N/A</v>
      </c>
      <c r="AB383" t="e">
        <f t="shared" ca="1" si="115"/>
        <v>#N/A</v>
      </c>
      <c r="AC383" t="e">
        <f t="shared" ca="1" si="109"/>
        <v>#N/A</v>
      </c>
      <c r="AD383" t="e">
        <f t="shared" ca="1" si="110"/>
        <v>#N/A</v>
      </c>
      <c r="AE383" s="83" t="e">
        <f ca="1"/>
        <v>#N/A</v>
      </c>
      <c r="AF383" s="55" t="e">
        <f t="shared" ca="1" si="119"/>
        <v>#N/A</v>
      </c>
      <c r="AG383" s="55" t="e">
        <f t="shared" ca="1" si="120"/>
        <v>#N/A</v>
      </c>
      <c r="AH383" s="55" t="e">
        <f t="shared" ca="1" si="121"/>
        <v>#N/A</v>
      </c>
      <c r="AI383" s="55" t="e">
        <f t="shared" ca="1" si="122"/>
        <v>#N/A</v>
      </c>
      <c r="AJ383" s="55" t="e">
        <f t="shared" ca="1" si="116"/>
        <v>#N/A</v>
      </c>
      <c r="AK383" s="55" t="e">
        <f t="shared" ca="1" si="117"/>
        <v>#N/A</v>
      </c>
      <c r="AL383" s="55" t="e">
        <f t="shared" ca="1" si="118"/>
        <v>#N/A</v>
      </c>
      <c r="AM383" s="55"/>
    </row>
    <row r="384" spans="18:39">
      <c r="R384" s="83" t="e">
        <f ca="1"/>
        <v>#N/A</v>
      </c>
      <c r="S384" s="55" t="e">
        <f t="shared" ca="1" si="111"/>
        <v>#N/A</v>
      </c>
      <c r="T384" s="55" t="e">
        <f t="shared" ca="1" si="104"/>
        <v>#N/A</v>
      </c>
      <c r="U384" s="55" t="e">
        <f t="shared" ca="1" si="105"/>
        <v>#N/A</v>
      </c>
      <c r="V384" s="55" t="e">
        <f t="shared" ca="1" si="106"/>
        <v>#N/A</v>
      </c>
      <c r="W384" s="55" t="e">
        <f t="shared" ca="1" si="112"/>
        <v>#N/A</v>
      </c>
      <c r="X384" s="55" t="e">
        <f t="shared" ca="1" si="113"/>
        <v>#N/A</v>
      </c>
      <c r="Y384" s="55" t="e">
        <f t="shared" ca="1" si="114"/>
        <v>#N/A</v>
      </c>
      <c r="Z384" s="55" t="e">
        <f t="shared" ca="1" si="107"/>
        <v>#N/A</v>
      </c>
      <c r="AA384" t="e">
        <f t="shared" ca="1" si="108"/>
        <v>#N/A</v>
      </c>
      <c r="AB384" t="e">
        <f t="shared" ca="1" si="115"/>
        <v>#N/A</v>
      </c>
      <c r="AC384" t="e">
        <f t="shared" ca="1" si="109"/>
        <v>#N/A</v>
      </c>
      <c r="AD384" t="e">
        <f t="shared" ca="1" si="110"/>
        <v>#N/A</v>
      </c>
      <c r="AE384" s="83" t="e">
        <f ca="1"/>
        <v>#N/A</v>
      </c>
      <c r="AF384" s="55" t="e">
        <f t="shared" ca="1" si="119"/>
        <v>#N/A</v>
      </c>
      <c r="AG384" s="55" t="e">
        <f t="shared" ca="1" si="120"/>
        <v>#N/A</v>
      </c>
      <c r="AH384" s="55" t="e">
        <f t="shared" ca="1" si="121"/>
        <v>#N/A</v>
      </c>
      <c r="AI384" s="55" t="e">
        <f t="shared" ca="1" si="122"/>
        <v>#N/A</v>
      </c>
      <c r="AJ384" s="55" t="e">
        <f t="shared" ca="1" si="116"/>
        <v>#N/A</v>
      </c>
      <c r="AK384" s="55" t="e">
        <f t="shared" ca="1" si="117"/>
        <v>#N/A</v>
      </c>
      <c r="AL384" s="55" t="e">
        <f t="shared" ca="1" si="118"/>
        <v>#N/A</v>
      </c>
      <c r="AM384" s="55"/>
    </row>
    <row r="385" spans="18:39">
      <c r="R385" s="83" t="e">
        <f ca="1"/>
        <v>#N/A</v>
      </c>
      <c r="S385" s="55" t="e">
        <f t="shared" ca="1" si="111"/>
        <v>#N/A</v>
      </c>
      <c r="T385" s="55" t="e">
        <f t="shared" ca="1" si="104"/>
        <v>#N/A</v>
      </c>
      <c r="U385" s="55" t="e">
        <f t="shared" ca="1" si="105"/>
        <v>#N/A</v>
      </c>
      <c r="V385" s="55" t="e">
        <f t="shared" ca="1" si="106"/>
        <v>#N/A</v>
      </c>
      <c r="W385" s="55" t="e">
        <f t="shared" ca="1" si="112"/>
        <v>#N/A</v>
      </c>
      <c r="X385" s="55" t="e">
        <f t="shared" ca="1" si="113"/>
        <v>#N/A</v>
      </c>
      <c r="Y385" s="55" t="e">
        <f t="shared" ca="1" si="114"/>
        <v>#N/A</v>
      </c>
      <c r="Z385" s="55" t="e">
        <f t="shared" ca="1" si="107"/>
        <v>#N/A</v>
      </c>
      <c r="AA385" t="e">
        <f t="shared" ca="1" si="108"/>
        <v>#N/A</v>
      </c>
      <c r="AB385" t="e">
        <f t="shared" ca="1" si="115"/>
        <v>#N/A</v>
      </c>
      <c r="AC385" t="e">
        <f t="shared" ca="1" si="109"/>
        <v>#N/A</v>
      </c>
      <c r="AD385" t="e">
        <f t="shared" ca="1" si="110"/>
        <v>#N/A</v>
      </c>
      <c r="AE385" s="83" t="e">
        <f ca="1"/>
        <v>#N/A</v>
      </c>
      <c r="AF385" s="55" t="e">
        <f t="shared" ca="1" si="119"/>
        <v>#N/A</v>
      </c>
      <c r="AG385" s="55" t="e">
        <f t="shared" ca="1" si="120"/>
        <v>#N/A</v>
      </c>
      <c r="AH385" s="55" t="e">
        <f t="shared" ca="1" si="121"/>
        <v>#N/A</v>
      </c>
      <c r="AI385" s="55" t="e">
        <f t="shared" ca="1" si="122"/>
        <v>#N/A</v>
      </c>
      <c r="AJ385" s="55" t="e">
        <f t="shared" ca="1" si="116"/>
        <v>#N/A</v>
      </c>
      <c r="AK385" s="55" t="e">
        <f t="shared" ca="1" si="117"/>
        <v>#N/A</v>
      </c>
      <c r="AL385" s="55" t="e">
        <f t="shared" ca="1" si="118"/>
        <v>#N/A</v>
      </c>
      <c r="AM385" s="55"/>
    </row>
    <row r="386" spans="18:39">
      <c r="R386" s="83" t="e">
        <f ca="1"/>
        <v>#N/A</v>
      </c>
      <c r="S386" s="55" t="e">
        <f t="shared" ca="1" si="111"/>
        <v>#N/A</v>
      </c>
      <c r="T386" s="55" t="e">
        <f t="shared" ca="1" si="104"/>
        <v>#N/A</v>
      </c>
      <c r="U386" s="55" t="e">
        <f t="shared" ca="1" si="105"/>
        <v>#N/A</v>
      </c>
      <c r="V386" s="55" t="e">
        <f t="shared" ca="1" si="106"/>
        <v>#N/A</v>
      </c>
      <c r="W386" s="55" t="e">
        <f t="shared" ca="1" si="112"/>
        <v>#N/A</v>
      </c>
      <c r="X386" s="55" t="e">
        <f t="shared" ca="1" si="113"/>
        <v>#N/A</v>
      </c>
      <c r="Y386" s="55" t="e">
        <f t="shared" ca="1" si="114"/>
        <v>#N/A</v>
      </c>
      <c r="Z386" s="55" t="e">
        <f t="shared" ca="1" si="107"/>
        <v>#N/A</v>
      </c>
      <c r="AA386" t="e">
        <f t="shared" ca="1" si="108"/>
        <v>#N/A</v>
      </c>
      <c r="AB386" t="e">
        <f t="shared" ca="1" si="115"/>
        <v>#N/A</v>
      </c>
      <c r="AC386" t="e">
        <f t="shared" ca="1" si="109"/>
        <v>#N/A</v>
      </c>
      <c r="AD386" t="e">
        <f t="shared" ca="1" si="110"/>
        <v>#N/A</v>
      </c>
      <c r="AE386" s="83" t="e">
        <f ca="1"/>
        <v>#N/A</v>
      </c>
      <c r="AF386" s="55" t="e">
        <f t="shared" ca="1" si="119"/>
        <v>#N/A</v>
      </c>
      <c r="AG386" s="55" t="e">
        <f t="shared" ca="1" si="120"/>
        <v>#N/A</v>
      </c>
      <c r="AH386" s="55" t="e">
        <f t="shared" ca="1" si="121"/>
        <v>#N/A</v>
      </c>
      <c r="AI386" s="55" t="e">
        <f t="shared" ca="1" si="122"/>
        <v>#N/A</v>
      </c>
      <c r="AJ386" s="55" t="e">
        <f t="shared" ca="1" si="116"/>
        <v>#N/A</v>
      </c>
      <c r="AK386" s="55" t="e">
        <f t="shared" ca="1" si="117"/>
        <v>#N/A</v>
      </c>
      <c r="AL386" s="55" t="e">
        <f t="shared" ca="1" si="118"/>
        <v>#N/A</v>
      </c>
      <c r="AM386" s="55"/>
    </row>
    <row r="387" spans="18:39">
      <c r="R387" s="83" t="e">
        <f ca="1"/>
        <v>#N/A</v>
      </c>
      <c r="S387" s="55" t="e">
        <f t="shared" ca="1" si="111"/>
        <v>#N/A</v>
      </c>
      <c r="T387" s="55" t="e">
        <f t="shared" ca="1" si="104"/>
        <v>#N/A</v>
      </c>
      <c r="U387" s="55" t="e">
        <f t="shared" ca="1" si="105"/>
        <v>#N/A</v>
      </c>
      <c r="V387" s="55" t="e">
        <f t="shared" ca="1" si="106"/>
        <v>#N/A</v>
      </c>
      <c r="W387" s="55" t="e">
        <f t="shared" ca="1" si="112"/>
        <v>#N/A</v>
      </c>
      <c r="X387" s="55" t="e">
        <f t="shared" ca="1" si="113"/>
        <v>#N/A</v>
      </c>
      <c r="Y387" s="55" t="e">
        <f t="shared" ca="1" si="114"/>
        <v>#N/A</v>
      </c>
      <c r="Z387" s="55" t="e">
        <f t="shared" ca="1" si="107"/>
        <v>#N/A</v>
      </c>
      <c r="AA387" t="e">
        <f t="shared" ca="1" si="108"/>
        <v>#N/A</v>
      </c>
      <c r="AB387" t="e">
        <f t="shared" ca="1" si="115"/>
        <v>#N/A</v>
      </c>
      <c r="AC387" t="e">
        <f t="shared" ca="1" si="109"/>
        <v>#N/A</v>
      </c>
      <c r="AD387" t="e">
        <f t="shared" ca="1" si="110"/>
        <v>#N/A</v>
      </c>
      <c r="AE387" s="83" t="e">
        <f ca="1"/>
        <v>#N/A</v>
      </c>
      <c r="AF387" s="55" t="e">
        <f t="shared" ca="1" si="119"/>
        <v>#N/A</v>
      </c>
      <c r="AG387" s="55" t="e">
        <f t="shared" ca="1" si="120"/>
        <v>#N/A</v>
      </c>
      <c r="AH387" s="55" t="e">
        <f t="shared" ca="1" si="121"/>
        <v>#N/A</v>
      </c>
      <c r="AI387" s="55" t="e">
        <f t="shared" ca="1" si="122"/>
        <v>#N/A</v>
      </c>
      <c r="AJ387" s="55" t="e">
        <f t="shared" ca="1" si="116"/>
        <v>#N/A</v>
      </c>
      <c r="AK387" s="55" t="e">
        <f t="shared" ca="1" si="117"/>
        <v>#N/A</v>
      </c>
      <c r="AL387" s="55" t="e">
        <f t="shared" ca="1" si="118"/>
        <v>#N/A</v>
      </c>
      <c r="AM387" s="55"/>
    </row>
    <row r="388" spans="18:39">
      <c r="R388" s="83" t="e">
        <f ca="1"/>
        <v>#N/A</v>
      </c>
      <c r="S388" s="55" t="e">
        <f t="shared" ca="1" si="111"/>
        <v>#N/A</v>
      </c>
      <c r="T388" s="55" t="e">
        <f t="shared" ca="1" si="104"/>
        <v>#N/A</v>
      </c>
      <c r="U388" s="55" t="e">
        <f t="shared" ca="1" si="105"/>
        <v>#N/A</v>
      </c>
      <c r="V388" s="55" t="e">
        <f t="shared" ca="1" si="106"/>
        <v>#N/A</v>
      </c>
      <c r="W388" s="55" t="e">
        <f t="shared" ca="1" si="112"/>
        <v>#N/A</v>
      </c>
      <c r="X388" s="55" t="e">
        <f t="shared" ca="1" si="113"/>
        <v>#N/A</v>
      </c>
      <c r="Y388" s="55" t="e">
        <f t="shared" ca="1" si="114"/>
        <v>#N/A</v>
      </c>
      <c r="Z388" s="55" t="e">
        <f t="shared" ca="1" si="107"/>
        <v>#N/A</v>
      </c>
      <c r="AA388" t="e">
        <f t="shared" ca="1" si="108"/>
        <v>#N/A</v>
      </c>
      <c r="AB388" t="e">
        <f t="shared" ca="1" si="115"/>
        <v>#N/A</v>
      </c>
      <c r="AC388" t="e">
        <f t="shared" ca="1" si="109"/>
        <v>#N/A</v>
      </c>
      <c r="AD388" t="e">
        <f t="shared" ca="1" si="110"/>
        <v>#N/A</v>
      </c>
      <c r="AE388" s="83" t="e">
        <f ca="1"/>
        <v>#N/A</v>
      </c>
      <c r="AF388" s="55" t="e">
        <f t="shared" ca="1" si="119"/>
        <v>#N/A</v>
      </c>
      <c r="AG388" s="55" t="e">
        <f t="shared" ca="1" si="120"/>
        <v>#N/A</v>
      </c>
      <c r="AH388" s="55" t="e">
        <f t="shared" ca="1" si="121"/>
        <v>#N/A</v>
      </c>
      <c r="AI388" s="55" t="e">
        <f t="shared" ca="1" si="122"/>
        <v>#N/A</v>
      </c>
      <c r="AJ388" s="55" t="e">
        <f t="shared" ca="1" si="116"/>
        <v>#N/A</v>
      </c>
      <c r="AK388" s="55" t="e">
        <f t="shared" ca="1" si="117"/>
        <v>#N/A</v>
      </c>
      <c r="AL388" s="55" t="e">
        <f t="shared" ca="1" si="118"/>
        <v>#N/A</v>
      </c>
      <c r="AM388" s="55"/>
    </row>
    <row r="389" spans="18:39">
      <c r="R389" s="83" t="e">
        <f ca="1"/>
        <v>#N/A</v>
      </c>
      <c r="S389" s="55" t="e">
        <f t="shared" ca="1" si="111"/>
        <v>#N/A</v>
      </c>
      <c r="T389" s="55" t="e">
        <f t="shared" ca="1" si="104"/>
        <v>#N/A</v>
      </c>
      <c r="U389" s="55" t="e">
        <f t="shared" ca="1" si="105"/>
        <v>#N/A</v>
      </c>
      <c r="V389" s="55" t="e">
        <f t="shared" ca="1" si="106"/>
        <v>#N/A</v>
      </c>
      <c r="W389" s="55" t="e">
        <f t="shared" ca="1" si="112"/>
        <v>#N/A</v>
      </c>
      <c r="X389" s="55" t="e">
        <f t="shared" ca="1" si="113"/>
        <v>#N/A</v>
      </c>
      <c r="Y389" s="55" t="e">
        <f t="shared" ca="1" si="114"/>
        <v>#N/A</v>
      </c>
      <c r="Z389" s="55" t="e">
        <f t="shared" ca="1" si="107"/>
        <v>#N/A</v>
      </c>
      <c r="AA389" t="e">
        <f t="shared" ca="1" si="108"/>
        <v>#N/A</v>
      </c>
      <c r="AB389" t="e">
        <f t="shared" ca="1" si="115"/>
        <v>#N/A</v>
      </c>
      <c r="AC389" t="e">
        <f t="shared" ca="1" si="109"/>
        <v>#N/A</v>
      </c>
      <c r="AD389" t="e">
        <f t="shared" ca="1" si="110"/>
        <v>#N/A</v>
      </c>
      <c r="AE389" s="83" t="e">
        <f ca="1"/>
        <v>#N/A</v>
      </c>
      <c r="AF389" s="55" t="e">
        <f t="shared" ca="1" si="119"/>
        <v>#N/A</v>
      </c>
      <c r="AG389" s="55" t="e">
        <f t="shared" ca="1" si="120"/>
        <v>#N/A</v>
      </c>
      <c r="AH389" s="55" t="e">
        <f t="shared" ca="1" si="121"/>
        <v>#N/A</v>
      </c>
      <c r="AI389" s="55" t="e">
        <f t="shared" ca="1" si="122"/>
        <v>#N/A</v>
      </c>
      <c r="AJ389" s="55" t="e">
        <f t="shared" ca="1" si="116"/>
        <v>#N/A</v>
      </c>
      <c r="AK389" s="55" t="e">
        <f t="shared" ca="1" si="117"/>
        <v>#N/A</v>
      </c>
      <c r="AL389" s="55" t="e">
        <f t="shared" ca="1" si="118"/>
        <v>#N/A</v>
      </c>
      <c r="AM389" s="55"/>
    </row>
    <row r="390" spans="18:39">
      <c r="R390" s="83" t="e">
        <f ca="1"/>
        <v>#N/A</v>
      </c>
      <c r="S390" s="55" t="e">
        <f t="shared" ca="1" si="111"/>
        <v>#N/A</v>
      </c>
      <c r="T390" s="55" t="e">
        <f t="shared" ca="1" si="104"/>
        <v>#N/A</v>
      </c>
      <c r="U390" s="55" t="e">
        <f t="shared" ca="1" si="105"/>
        <v>#N/A</v>
      </c>
      <c r="V390" s="55" t="e">
        <f t="shared" ca="1" si="106"/>
        <v>#N/A</v>
      </c>
      <c r="W390" s="55" t="e">
        <f t="shared" ca="1" si="112"/>
        <v>#N/A</v>
      </c>
      <c r="X390" s="55" t="e">
        <f t="shared" ca="1" si="113"/>
        <v>#N/A</v>
      </c>
      <c r="Y390" s="55" t="e">
        <f t="shared" ca="1" si="114"/>
        <v>#N/A</v>
      </c>
      <c r="Z390" s="55" t="e">
        <f t="shared" ca="1" si="107"/>
        <v>#N/A</v>
      </c>
      <c r="AA390" t="e">
        <f t="shared" ca="1" si="108"/>
        <v>#N/A</v>
      </c>
      <c r="AB390" t="e">
        <f t="shared" ca="1" si="115"/>
        <v>#N/A</v>
      </c>
      <c r="AC390" t="e">
        <f t="shared" ca="1" si="109"/>
        <v>#N/A</v>
      </c>
      <c r="AD390" t="e">
        <f t="shared" ca="1" si="110"/>
        <v>#N/A</v>
      </c>
      <c r="AE390" s="83" t="e">
        <f ca="1"/>
        <v>#N/A</v>
      </c>
      <c r="AF390" s="55" t="e">
        <f t="shared" ca="1" si="119"/>
        <v>#N/A</v>
      </c>
      <c r="AG390" s="55" t="e">
        <f t="shared" ca="1" si="120"/>
        <v>#N/A</v>
      </c>
      <c r="AH390" s="55" t="e">
        <f t="shared" ca="1" si="121"/>
        <v>#N/A</v>
      </c>
      <c r="AI390" s="55" t="e">
        <f t="shared" ca="1" si="122"/>
        <v>#N/A</v>
      </c>
      <c r="AJ390" s="55" t="e">
        <f t="shared" ca="1" si="116"/>
        <v>#N/A</v>
      </c>
      <c r="AK390" s="55" t="e">
        <f t="shared" ca="1" si="117"/>
        <v>#N/A</v>
      </c>
      <c r="AL390" s="55" t="e">
        <f t="shared" ca="1" si="118"/>
        <v>#N/A</v>
      </c>
      <c r="AM390" s="55"/>
    </row>
    <row r="391" spans="18:39">
      <c r="R391" s="83" t="e">
        <f ca="1"/>
        <v>#N/A</v>
      </c>
      <c r="S391" s="55" t="e">
        <f t="shared" ca="1" si="111"/>
        <v>#N/A</v>
      </c>
      <c r="T391" s="55" t="e">
        <f t="shared" ca="1" si="104"/>
        <v>#N/A</v>
      </c>
      <c r="U391" s="55" t="e">
        <f t="shared" ca="1" si="105"/>
        <v>#N/A</v>
      </c>
      <c r="V391" s="55" t="e">
        <f t="shared" ca="1" si="106"/>
        <v>#N/A</v>
      </c>
      <c r="W391" s="55" t="e">
        <f t="shared" ca="1" si="112"/>
        <v>#N/A</v>
      </c>
      <c r="X391" s="55" t="e">
        <f t="shared" ca="1" si="113"/>
        <v>#N/A</v>
      </c>
      <c r="Y391" s="55" t="e">
        <f t="shared" ca="1" si="114"/>
        <v>#N/A</v>
      </c>
      <c r="Z391" s="55" t="e">
        <f t="shared" ca="1" si="107"/>
        <v>#N/A</v>
      </c>
      <c r="AA391" t="e">
        <f t="shared" ca="1" si="108"/>
        <v>#N/A</v>
      </c>
      <c r="AB391" t="e">
        <f t="shared" ca="1" si="115"/>
        <v>#N/A</v>
      </c>
      <c r="AC391" t="e">
        <f t="shared" ca="1" si="109"/>
        <v>#N/A</v>
      </c>
      <c r="AD391" t="e">
        <f t="shared" ca="1" si="110"/>
        <v>#N/A</v>
      </c>
      <c r="AE391" s="83" t="e">
        <f ca="1"/>
        <v>#N/A</v>
      </c>
      <c r="AF391" s="55" t="e">
        <f t="shared" ca="1" si="119"/>
        <v>#N/A</v>
      </c>
      <c r="AG391" s="55" t="e">
        <f t="shared" ca="1" si="120"/>
        <v>#N/A</v>
      </c>
      <c r="AH391" s="55" t="e">
        <f t="shared" ca="1" si="121"/>
        <v>#N/A</v>
      </c>
      <c r="AI391" s="55" t="e">
        <f t="shared" ca="1" si="122"/>
        <v>#N/A</v>
      </c>
      <c r="AJ391" s="55" t="e">
        <f t="shared" ca="1" si="116"/>
        <v>#N/A</v>
      </c>
      <c r="AK391" s="55" t="e">
        <f t="shared" ca="1" si="117"/>
        <v>#N/A</v>
      </c>
      <c r="AL391" s="55" t="e">
        <f t="shared" ca="1" si="118"/>
        <v>#N/A</v>
      </c>
      <c r="AM391" s="55"/>
    </row>
    <row r="392" spans="18:39">
      <c r="R392" s="83" t="e">
        <f ca="1"/>
        <v>#N/A</v>
      </c>
      <c r="S392" s="55" t="e">
        <f t="shared" ca="1" si="111"/>
        <v>#N/A</v>
      </c>
      <c r="T392" s="55" t="e">
        <f t="shared" ca="1" si="104"/>
        <v>#N/A</v>
      </c>
      <c r="U392" s="55" t="e">
        <f t="shared" ca="1" si="105"/>
        <v>#N/A</v>
      </c>
      <c r="V392" s="55" t="e">
        <f t="shared" ca="1" si="106"/>
        <v>#N/A</v>
      </c>
      <c r="W392" s="55" t="e">
        <f t="shared" ca="1" si="112"/>
        <v>#N/A</v>
      </c>
      <c r="X392" s="55" t="e">
        <f t="shared" ca="1" si="113"/>
        <v>#N/A</v>
      </c>
      <c r="Y392" s="55" t="e">
        <f t="shared" ca="1" si="114"/>
        <v>#N/A</v>
      </c>
      <c r="Z392" s="55" t="e">
        <f t="shared" ca="1" si="107"/>
        <v>#N/A</v>
      </c>
      <c r="AA392" t="e">
        <f t="shared" ca="1" si="108"/>
        <v>#N/A</v>
      </c>
      <c r="AB392" t="e">
        <f t="shared" ca="1" si="115"/>
        <v>#N/A</v>
      </c>
      <c r="AC392" t="e">
        <f t="shared" ca="1" si="109"/>
        <v>#N/A</v>
      </c>
      <c r="AD392" t="e">
        <f t="shared" ca="1" si="110"/>
        <v>#N/A</v>
      </c>
      <c r="AE392" s="83" t="e">
        <f ca="1"/>
        <v>#N/A</v>
      </c>
      <c r="AF392" s="55" t="e">
        <f t="shared" ca="1" si="119"/>
        <v>#N/A</v>
      </c>
      <c r="AG392" s="55" t="e">
        <f t="shared" ca="1" si="120"/>
        <v>#N/A</v>
      </c>
      <c r="AH392" s="55" t="e">
        <f t="shared" ca="1" si="121"/>
        <v>#N/A</v>
      </c>
      <c r="AI392" s="55" t="e">
        <f t="shared" ca="1" si="122"/>
        <v>#N/A</v>
      </c>
      <c r="AJ392" s="55" t="e">
        <f t="shared" ca="1" si="116"/>
        <v>#N/A</v>
      </c>
      <c r="AK392" s="55" t="e">
        <f t="shared" ca="1" si="117"/>
        <v>#N/A</v>
      </c>
      <c r="AL392" s="55" t="e">
        <f t="shared" ca="1" si="118"/>
        <v>#N/A</v>
      </c>
      <c r="AM392" s="55"/>
    </row>
    <row r="393" spans="18:39">
      <c r="R393" s="83" t="e">
        <f ca="1"/>
        <v>#N/A</v>
      </c>
      <c r="S393" s="55" t="e">
        <f t="shared" ca="1" si="111"/>
        <v>#N/A</v>
      </c>
      <c r="T393" s="55" t="e">
        <f t="shared" ca="1" si="104"/>
        <v>#N/A</v>
      </c>
      <c r="U393" s="55" t="e">
        <f t="shared" ca="1" si="105"/>
        <v>#N/A</v>
      </c>
      <c r="V393" s="55" t="e">
        <f t="shared" ca="1" si="106"/>
        <v>#N/A</v>
      </c>
      <c r="W393" s="55" t="e">
        <f t="shared" ca="1" si="112"/>
        <v>#N/A</v>
      </c>
      <c r="X393" s="55" t="e">
        <f t="shared" ca="1" si="113"/>
        <v>#N/A</v>
      </c>
      <c r="Y393" s="55" t="e">
        <f t="shared" ca="1" si="114"/>
        <v>#N/A</v>
      </c>
      <c r="Z393" s="55" t="e">
        <f t="shared" ca="1" si="107"/>
        <v>#N/A</v>
      </c>
      <c r="AA393" t="e">
        <f t="shared" ca="1" si="108"/>
        <v>#N/A</v>
      </c>
      <c r="AB393" t="e">
        <f t="shared" ca="1" si="115"/>
        <v>#N/A</v>
      </c>
      <c r="AC393" t="e">
        <f t="shared" ca="1" si="109"/>
        <v>#N/A</v>
      </c>
      <c r="AD393" t="e">
        <f t="shared" ca="1" si="110"/>
        <v>#N/A</v>
      </c>
      <c r="AE393" s="83" t="e">
        <f ca="1"/>
        <v>#N/A</v>
      </c>
      <c r="AF393" s="55" t="e">
        <f t="shared" ca="1" si="119"/>
        <v>#N/A</v>
      </c>
      <c r="AG393" s="55" t="e">
        <f t="shared" ca="1" si="120"/>
        <v>#N/A</v>
      </c>
      <c r="AH393" s="55" t="e">
        <f t="shared" ca="1" si="121"/>
        <v>#N/A</v>
      </c>
      <c r="AI393" s="55" t="e">
        <f t="shared" ca="1" si="122"/>
        <v>#N/A</v>
      </c>
      <c r="AJ393" s="55" t="e">
        <f t="shared" ca="1" si="116"/>
        <v>#N/A</v>
      </c>
      <c r="AK393" s="55" t="e">
        <f t="shared" ca="1" si="117"/>
        <v>#N/A</v>
      </c>
      <c r="AL393" s="55" t="e">
        <f t="shared" ca="1" si="118"/>
        <v>#N/A</v>
      </c>
      <c r="AM393" s="55"/>
    </row>
    <row r="394" spans="18:39">
      <c r="R394" s="83" t="e">
        <f ca="1"/>
        <v>#N/A</v>
      </c>
      <c r="S394" s="55" t="e">
        <f t="shared" ca="1" si="111"/>
        <v>#N/A</v>
      </c>
      <c r="T394" s="55" t="e">
        <f t="shared" ca="1" si="104"/>
        <v>#N/A</v>
      </c>
      <c r="U394" s="55" t="e">
        <f t="shared" ca="1" si="105"/>
        <v>#N/A</v>
      </c>
      <c r="V394" s="55" t="e">
        <f t="shared" ca="1" si="106"/>
        <v>#N/A</v>
      </c>
      <c r="W394" s="55" t="e">
        <f t="shared" ca="1" si="112"/>
        <v>#N/A</v>
      </c>
      <c r="X394" s="55" t="e">
        <f t="shared" ca="1" si="113"/>
        <v>#N/A</v>
      </c>
      <c r="Y394" s="55" t="e">
        <f t="shared" ca="1" si="114"/>
        <v>#N/A</v>
      </c>
      <c r="Z394" s="55" t="e">
        <f t="shared" ca="1" si="107"/>
        <v>#N/A</v>
      </c>
      <c r="AA394" t="e">
        <f t="shared" ca="1" si="108"/>
        <v>#N/A</v>
      </c>
      <c r="AB394" t="e">
        <f t="shared" ca="1" si="115"/>
        <v>#N/A</v>
      </c>
      <c r="AC394" t="e">
        <f t="shared" ca="1" si="109"/>
        <v>#N/A</v>
      </c>
      <c r="AD394" t="e">
        <f t="shared" ca="1" si="110"/>
        <v>#N/A</v>
      </c>
      <c r="AE394" s="83" t="e">
        <f ca="1"/>
        <v>#N/A</v>
      </c>
      <c r="AF394" s="55" t="e">
        <f t="shared" ca="1" si="119"/>
        <v>#N/A</v>
      </c>
      <c r="AG394" s="55" t="e">
        <f t="shared" ca="1" si="120"/>
        <v>#N/A</v>
      </c>
      <c r="AH394" s="55" t="e">
        <f t="shared" ca="1" si="121"/>
        <v>#N/A</v>
      </c>
      <c r="AI394" s="55" t="e">
        <f t="shared" ca="1" si="122"/>
        <v>#N/A</v>
      </c>
      <c r="AJ394" s="55" t="e">
        <f t="shared" ca="1" si="116"/>
        <v>#N/A</v>
      </c>
      <c r="AK394" s="55" t="e">
        <f t="shared" ca="1" si="117"/>
        <v>#N/A</v>
      </c>
      <c r="AL394" s="55" t="e">
        <f t="shared" ca="1" si="118"/>
        <v>#N/A</v>
      </c>
      <c r="AM394" s="55"/>
    </row>
    <row r="395" spans="18:39">
      <c r="R395" s="83" t="e">
        <f ca="1"/>
        <v>#N/A</v>
      </c>
      <c r="S395" s="55" t="e">
        <f t="shared" ca="1" si="111"/>
        <v>#N/A</v>
      </c>
      <c r="T395" s="55" t="e">
        <f t="shared" ca="1" si="104"/>
        <v>#N/A</v>
      </c>
      <c r="U395" s="55" t="e">
        <f t="shared" ca="1" si="105"/>
        <v>#N/A</v>
      </c>
      <c r="V395" s="55" t="e">
        <f t="shared" ca="1" si="106"/>
        <v>#N/A</v>
      </c>
      <c r="W395" s="55" t="e">
        <f t="shared" ca="1" si="112"/>
        <v>#N/A</v>
      </c>
      <c r="X395" s="55" t="e">
        <f t="shared" ca="1" si="113"/>
        <v>#N/A</v>
      </c>
      <c r="Y395" s="55" t="e">
        <f t="shared" ca="1" si="114"/>
        <v>#N/A</v>
      </c>
      <c r="Z395" s="55" t="e">
        <f t="shared" ca="1" si="107"/>
        <v>#N/A</v>
      </c>
      <c r="AA395" t="e">
        <f t="shared" ca="1" si="108"/>
        <v>#N/A</v>
      </c>
      <c r="AB395" t="e">
        <f t="shared" ca="1" si="115"/>
        <v>#N/A</v>
      </c>
      <c r="AC395" t="e">
        <f t="shared" ca="1" si="109"/>
        <v>#N/A</v>
      </c>
      <c r="AD395" t="e">
        <f t="shared" ca="1" si="110"/>
        <v>#N/A</v>
      </c>
      <c r="AE395" s="83" t="e">
        <f ca="1"/>
        <v>#N/A</v>
      </c>
      <c r="AF395" s="55" t="e">
        <f t="shared" ca="1" si="119"/>
        <v>#N/A</v>
      </c>
      <c r="AG395" s="55" t="e">
        <f t="shared" ca="1" si="120"/>
        <v>#N/A</v>
      </c>
      <c r="AH395" s="55" t="e">
        <f t="shared" ca="1" si="121"/>
        <v>#N/A</v>
      </c>
      <c r="AI395" s="55" t="e">
        <f t="shared" ca="1" si="122"/>
        <v>#N/A</v>
      </c>
      <c r="AJ395" s="55" t="e">
        <f t="shared" ca="1" si="116"/>
        <v>#N/A</v>
      </c>
      <c r="AK395" s="55" t="e">
        <f t="shared" ca="1" si="117"/>
        <v>#N/A</v>
      </c>
      <c r="AL395" s="55" t="e">
        <f t="shared" ca="1" si="118"/>
        <v>#N/A</v>
      </c>
      <c r="AM395" s="55"/>
    </row>
    <row r="396" spans="18:39">
      <c r="R396" s="55" t="e">
        <f ca="1"/>
        <v>#N/A</v>
      </c>
      <c r="S396" s="55" t="e">
        <f t="shared" ref="S396:S459" ca="1" si="123">IF(R396&gt;1,R396,"")</f>
        <v>#N/A</v>
      </c>
      <c r="T396" s="55" t="e">
        <f t="shared" ref="T396:T459" ca="1" si="124">VLOOKUP(S396,ModelOutputs,2,FALSE)</f>
        <v>#N/A</v>
      </c>
      <c r="U396" s="55" t="e">
        <f t="shared" ref="U396:U459" ca="1" si="125">VLOOKUP(S396,ModelOutputs,7,FALSE)</f>
        <v>#N/A</v>
      </c>
      <c r="V396" s="55" t="e">
        <f t="shared" ref="V396:V459" ca="1" si="126">VLOOKUP(S396,ModelOutputs,6,FALSE)</f>
        <v>#N/A</v>
      </c>
      <c r="W396" s="55" t="e">
        <f t="shared" ca="1" si="112"/>
        <v>#N/A</v>
      </c>
      <c r="X396" s="55" t="e">
        <f t="shared" ca="1" si="113"/>
        <v>#N/A</v>
      </c>
      <c r="Y396" s="55" t="e">
        <f t="shared" ca="1" si="114"/>
        <v>#N/A</v>
      </c>
      <c r="Z396" s="55" t="e">
        <f t="shared" ca="1" si="107"/>
        <v>#N/A</v>
      </c>
      <c r="AA396" t="e">
        <f t="shared" ca="1" si="108"/>
        <v>#N/A</v>
      </c>
      <c r="AB396" t="e">
        <f t="shared" ref="AB396:AB459" ca="1" si="127">VLOOKUP(S396,ModelOutputs,11,FALSE)+AB395</f>
        <v>#N/A</v>
      </c>
      <c r="AC396" t="e">
        <f t="shared" ref="AC396:AC459" ca="1" si="128">VLOOKUP(S396,ModelOutputs,12,FALSE)</f>
        <v>#N/A</v>
      </c>
      <c r="AD396" t="e">
        <f t="shared" ref="AD396:AD459" ca="1" si="129">VLOOKUP(S396,ModelOutputs,13,FALSE)</f>
        <v>#N/A</v>
      </c>
      <c r="AE396" s="83" t="e">
        <f ca="1"/>
        <v>#N/A</v>
      </c>
      <c r="AF396" s="55" t="e">
        <f t="shared" ref="AF396:AF459" ca="1" si="130">IF(AE396&gt;1,AE396,"")</f>
        <v>#N/A</v>
      </c>
      <c r="AG396" s="55" t="e">
        <f t="shared" ref="AG396:AG459" ca="1" si="131">VLOOKUP(AF396,ModelOutputs,2,FALSE)</f>
        <v>#N/A</v>
      </c>
      <c r="AH396" s="55" t="e">
        <f t="shared" ref="AH396:AH459" ca="1" si="132">VLOOKUP(AF396,ModelOutputs,7,FALSE)</f>
        <v>#N/A</v>
      </c>
      <c r="AI396" s="55" t="e">
        <f t="shared" ref="AI396:AI459" ca="1" si="133">VLOOKUP(AF396,ModelOutputs,6,FALSE)</f>
        <v>#N/A</v>
      </c>
      <c r="AJ396" s="55" t="e">
        <f t="shared" ca="1" si="116"/>
        <v>#N/A</v>
      </c>
      <c r="AK396" s="55" t="e">
        <f t="shared" ca="1" si="117"/>
        <v>#N/A</v>
      </c>
      <c r="AL396" s="55" t="e">
        <f t="shared" ca="1" si="118"/>
        <v>#N/A</v>
      </c>
      <c r="AM396" s="55"/>
    </row>
    <row r="397" spans="18:39">
      <c r="R397" s="55" t="e">
        <f ca="1"/>
        <v>#N/A</v>
      </c>
      <c r="S397" s="55" t="e">
        <f t="shared" ca="1" si="123"/>
        <v>#N/A</v>
      </c>
      <c r="T397" s="55" t="e">
        <f t="shared" ca="1" si="124"/>
        <v>#N/A</v>
      </c>
      <c r="U397" s="55" t="e">
        <f t="shared" ca="1" si="125"/>
        <v>#N/A</v>
      </c>
      <c r="V397" s="55" t="e">
        <f t="shared" ca="1" si="126"/>
        <v>#N/A</v>
      </c>
      <c r="W397" s="55" t="e">
        <f t="shared" ca="1" si="112"/>
        <v>#N/A</v>
      </c>
      <c r="X397" s="55" t="e">
        <f t="shared" ca="1" si="113"/>
        <v>#N/A</v>
      </c>
      <c r="Y397" s="55" t="e">
        <f t="shared" ca="1" si="114"/>
        <v>#N/A</v>
      </c>
      <c r="Z397" s="55" t="e">
        <f t="shared" ca="1" si="107"/>
        <v>#N/A</v>
      </c>
      <c r="AA397" t="e">
        <f t="shared" ca="1" si="108"/>
        <v>#N/A</v>
      </c>
      <c r="AB397" t="e">
        <f t="shared" ca="1" si="127"/>
        <v>#N/A</v>
      </c>
      <c r="AC397" t="e">
        <f t="shared" ca="1" si="128"/>
        <v>#N/A</v>
      </c>
      <c r="AD397" t="e">
        <f t="shared" ca="1" si="129"/>
        <v>#N/A</v>
      </c>
      <c r="AE397" s="83" t="e">
        <f ca="1"/>
        <v>#N/A</v>
      </c>
      <c r="AF397" s="55" t="e">
        <f t="shared" ca="1" si="130"/>
        <v>#N/A</v>
      </c>
      <c r="AG397" s="55" t="e">
        <f t="shared" ca="1" si="131"/>
        <v>#N/A</v>
      </c>
      <c r="AH397" s="55" t="e">
        <f t="shared" ca="1" si="132"/>
        <v>#N/A</v>
      </c>
      <c r="AI397" s="55" t="e">
        <f t="shared" ca="1" si="133"/>
        <v>#N/A</v>
      </c>
      <c r="AJ397" s="55" t="e">
        <f t="shared" ca="1" si="116"/>
        <v>#N/A</v>
      </c>
      <c r="AK397" s="55" t="e">
        <f t="shared" ca="1" si="117"/>
        <v>#N/A</v>
      </c>
      <c r="AL397" s="55" t="e">
        <f t="shared" ca="1" si="118"/>
        <v>#N/A</v>
      </c>
      <c r="AM397" s="55"/>
    </row>
    <row r="398" spans="18:39">
      <c r="R398" s="55" t="e">
        <f ca="1"/>
        <v>#N/A</v>
      </c>
      <c r="S398" s="55" t="e">
        <f t="shared" ca="1" si="123"/>
        <v>#N/A</v>
      </c>
      <c r="T398" s="55" t="e">
        <f t="shared" ca="1" si="124"/>
        <v>#N/A</v>
      </c>
      <c r="U398" s="55" t="e">
        <f t="shared" ca="1" si="125"/>
        <v>#N/A</v>
      </c>
      <c r="V398" s="55" t="e">
        <f t="shared" ca="1" si="126"/>
        <v>#N/A</v>
      </c>
      <c r="W398" s="55" t="e">
        <f t="shared" ca="1" si="112"/>
        <v>#N/A</v>
      </c>
      <c r="X398" s="55" t="e">
        <f t="shared" ca="1" si="113"/>
        <v>#N/A</v>
      </c>
      <c r="Y398" s="55" t="e">
        <f t="shared" ca="1" si="114"/>
        <v>#N/A</v>
      </c>
      <c r="Z398" s="55" t="e">
        <f t="shared" ca="1" si="107"/>
        <v>#N/A</v>
      </c>
      <c r="AA398" t="e">
        <f t="shared" ca="1" si="108"/>
        <v>#N/A</v>
      </c>
      <c r="AB398" t="e">
        <f t="shared" ca="1" si="127"/>
        <v>#N/A</v>
      </c>
      <c r="AC398" t="e">
        <f t="shared" ca="1" si="128"/>
        <v>#N/A</v>
      </c>
      <c r="AD398" t="e">
        <f t="shared" ca="1" si="129"/>
        <v>#N/A</v>
      </c>
      <c r="AE398" s="83" t="e">
        <f ca="1"/>
        <v>#N/A</v>
      </c>
      <c r="AF398" s="55" t="e">
        <f t="shared" ca="1" si="130"/>
        <v>#N/A</v>
      </c>
      <c r="AG398" s="55" t="e">
        <f t="shared" ca="1" si="131"/>
        <v>#N/A</v>
      </c>
      <c r="AH398" s="55" t="e">
        <f t="shared" ca="1" si="132"/>
        <v>#N/A</v>
      </c>
      <c r="AI398" s="55" t="e">
        <f t="shared" ca="1" si="133"/>
        <v>#N/A</v>
      </c>
      <c r="AJ398" s="55" t="e">
        <f t="shared" ca="1" si="116"/>
        <v>#N/A</v>
      </c>
      <c r="AK398" s="55" t="e">
        <f t="shared" ca="1" si="117"/>
        <v>#N/A</v>
      </c>
      <c r="AL398" s="55" t="e">
        <f t="shared" ca="1" si="118"/>
        <v>#N/A</v>
      </c>
      <c r="AM398" s="55"/>
    </row>
    <row r="399" spans="18:39">
      <c r="R399" s="55" t="e">
        <f ca="1"/>
        <v>#N/A</v>
      </c>
      <c r="S399" s="55" t="e">
        <f t="shared" ca="1" si="123"/>
        <v>#N/A</v>
      </c>
      <c r="T399" s="55" t="e">
        <f t="shared" ca="1" si="124"/>
        <v>#N/A</v>
      </c>
      <c r="U399" s="55" t="e">
        <f t="shared" ca="1" si="125"/>
        <v>#N/A</v>
      </c>
      <c r="V399" s="55" t="e">
        <f t="shared" ca="1" si="126"/>
        <v>#N/A</v>
      </c>
      <c r="W399" s="55" t="e">
        <f t="shared" ca="1" si="112"/>
        <v>#N/A</v>
      </c>
      <c r="X399" s="55" t="e">
        <f t="shared" ca="1" si="113"/>
        <v>#N/A</v>
      </c>
      <c r="Y399" s="55" t="e">
        <f t="shared" ca="1" si="114"/>
        <v>#N/A</v>
      </c>
      <c r="Z399" s="55" t="e">
        <f t="shared" ca="1" si="107"/>
        <v>#N/A</v>
      </c>
      <c r="AA399" t="e">
        <f t="shared" ca="1" si="108"/>
        <v>#N/A</v>
      </c>
      <c r="AB399" t="e">
        <f t="shared" ca="1" si="127"/>
        <v>#N/A</v>
      </c>
      <c r="AC399" t="e">
        <f t="shared" ca="1" si="128"/>
        <v>#N/A</v>
      </c>
      <c r="AD399" t="e">
        <f t="shared" ca="1" si="129"/>
        <v>#N/A</v>
      </c>
      <c r="AE399" s="83" t="e">
        <f ca="1"/>
        <v>#N/A</v>
      </c>
      <c r="AF399" s="55" t="e">
        <f t="shared" ca="1" si="130"/>
        <v>#N/A</v>
      </c>
      <c r="AG399" s="55" t="e">
        <f t="shared" ca="1" si="131"/>
        <v>#N/A</v>
      </c>
      <c r="AH399" s="55" t="e">
        <f t="shared" ca="1" si="132"/>
        <v>#N/A</v>
      </c>
      <c r="AI399" s="55" t="e">
        <f t="shared" ca="1" si="133"/>
        <v>#N/A</v>
      </c>
      <c r="AJ399" s="55" t="e">
        <f t="shared" ca="1" si="116"/>
        <v>#N/A</v>
      </c>
      <c r="AK399" s="55" t="e">
        <f t="shared" ca="1" si="117"/>
        <v>#N/A</v>
      </c>
      <c r="AL399" s="55" t="e">
        <f t="shared" ca="1" si="118"/>
        <v>#N/A</v>
      </c>
      <c r="AM399" s="55"/>
    </row>
    <row r="400" spans="18:39">
      <c r="R400" s="55" t="e">
        <f ca="1"/>
        <v>#N/A</v>
      </c>
      <c r="S400" s="55" t="e">
        <f t="shared" ca="1" si="123"/>
        <v>#N/A</v>
      </c>
      <c r="T400" s="55" t="e">
        <f t="shared" ca="1" si="124"/>
        <v>#N/A</v>
      </c>
      <c r="U400" s="55" t="e">
        <f t="shared" ca="1" si="125"/>
        <v>#N/A</v>
      </c>
      <c r="V400" s="55" t="e">
        <f t="shared" ca="1" si="126"/>
        <v>#N/A</v>
      </c>
      <c r="W400" s="55" t="e">
        <f t="shared" ca="1" si="112"/>
        <v>#N/A</v>
      </c>
      <c r="X400" s="55" t="e">
        <f t="shared" ca="1" si="113"/>
        <v>#N/A</v>
      </c>
      <c r="Y400" s="55" t="e">
        <f t="shared" ca="1" si="114"/>
        <v>#N/A</v>
      </c>
      <c r="Z400" s="55" t="e">
        <f t="shared" ca="1" si="107"/>
        <v>#N/A</v>
      </c>
      <c r="AA400" t="e">
        <f t="shared" ca="1" si="108"/>
        <v>#N/A</v>
      </c>
      <c r="AB400" t="e">
        <f t="shared" ca="1" si="127"/>
        <v>#N/A</v>
      </c>
      <c r="AC400" t="e">
        <f t="shared" ca="1" si="128"/>
        <v>#N/A</v>
      </c>
      <c r="AD400" t="e">
        <f t="shared" ca="1" si="129"/>
        <v>#N/A</v>
      </c>
      <c r="AE400" s="83" t="e">
        <f ca="1"/>
        <v>#N/A</v>
      </c>
      <c r="AF400" s="55" t="e">
        <f t="shared" ca="1" si="130"/>
        <v>#N/A</v>
      </c>
      <c r="AG400" s="55" t="e">
        <f t="shared" ca="1" si="131"/>
        <v>#N/A</v>
      </c>
      <c r="AH400" s="55" t="e">
        <f t="shared" ca="1" si="132"/>
        <v>#N/A</v>
      </c>
      <c r="AI400" s="55" t="e">
        <f t="shared" ca="1" si="133"/>
        <v>#N/A</v>
      </c>
      <c r="AJ400" s="55" t="e">
        <f t="shared" ca="1" si="116"/>
        <v>#N/A</v>
      </c>
      <c r="AK400" s="55" t="e">
        <f t="shared" ca="1" si="117"/>
        <v>#N/A</v>
      </c>
      <c r="AL400" s="55" t="e">
        <f t="shared" ca="1" si="118"/>
        <v>#N/A</v>
      </c>
      <c r="AM400" s="55"/>
    </row>
    <row r="401" spans="18:39">
      <c r="R401" s="55" t="e">
        <f ca="1"/>
        <v>#N/A</v>
      </c>
      <c r="S401" s="55" t="e">
        <f t="shared" ca="1" si="123"/>
        <v>#N/A</v>
      </c>
      <c r="T401" s="55" t="e">
        <f t="shared" ca="1" si="124"/>
        <v>#N/A</v>
      </c>
      <c r="U401" s="55" t="e">
        <f t="shared" ca="1" si="125"/>
        <v>#N/A</v>
      </c>
      <c r="V401" s="55" t="e">
        <f t="shared" ca="1" si="126"/>
        <v>#N/A</v>
      </c>
      <c r="W401" s="55" t="e">
        <f t="shared" ca="1" si="112"/>
        <v>#N/A</v>
      </c>
      <c r="X401" s="55" t="e">
        <f t="shared" ca="1" si="113"/>
        <v>#N/A</v>
      </c>
      <c r="Y401" s="55" t="e">
        <f t="shared" ca="1" si="114"/>
        <v>#N/A</v>
      </c>
      <c r="Z401" s="55" t="e">
        <f t="shared" ca="1" si="107"/>
        <v>#N/A</v>
      </c>
      <c r="AA401" t="e">
        <f t="shared" ca="1" si="108"/>
        <v>#N/A</v>
      </c>
      <c r="AB401" t="e">
        <f t="shared" ca="1" si="127"/>
        <v>#N/A</v>
      </c>
      <c r="AC401" t="e">
        <f t="shared" ca="1" si="128"/>
        <v>#N/A</v>
      </c>
      <c r="AD401" t="e">
        <f t="shared" ca="1" si="129"/>
        <v>#N/A</v>
      </c>
      <c r="AE401" s="83" t="e">
        <f ca="1"/>
        <v>#N/A</v>
      </c>
      <c r="AF401" s="55" t="e">
        <f t="shared" ca="1" si="130"/>
        <v>#N/A</v>
      </c>
      <c r="AG401" s="55" t="e">
        <f t="shared" ca="1" si="131"/>
        <v>#N/A</v>
      </c>
      <c r="AH401" s="55" t="e">
        <f t="shared" ca="1" si="132"/>
        <v>#N/A</v>
      </c>
      <c r="AI401" s="55" t="e">
        <f t="shared" ca="1" si="133"/>
        <v>#N/A</v>
      </c>
      <c r="AJ401" s="55" t="e">
        <f t="shared" ca="1" si="116"/>
        <v>#N/A</v>
      </c>
      <c r="AK401" s="55" t="e">
        <f t="shared" ca="1" si="117"/>
        <v>#N/A</v>
      </c>
      <c r="AL401" s="55" t="e">
        <f t="shared" ca="1" si="118"/>
        <v>#N/A</v>
      </c>
      <c r="AM401" s="55"/>
    </row>
    <row r="402" spans="18:39">
      <c r="R402" s="55" t="e">
        <f ca="1"/>
        <v>#N/A</v>
      </c>
      <c r="S402" s="55" t="e">
        <f t="shared" ca="1" si="123"/>
        <v>#N/A</v>
      </c>
      <c r="T402" s="55" t="e">
        <f t="shared" ca="1" si="124"/>
        <v>#N/A</v>
      </c>
      <c r="U402" s="55" t="e">
        <f t="shared" ca="1" si="125"/>
        <v>#N/A</v>
      </c>
      <c r="V402" s="55" t="e">
        <f t="shared" ca="1" si="126"/>
        <v>#N/A</v>
      </c>
      <c r="W402" s="55" t="e">
        <f t="shared" ca="1" si="112"/>
        <v>#N/A</v>
      </c>
      <c r="X402" s="55" t="e">
        <f t="shared" ca="1" si="113"/>
        <v>#N/A</v>
      </c>
      <c r="Y402" s="55" t="e">
        <f t="shared" ca="1" si="114"/>
        <v>#N/A</v>
      </c>
      <c r="Z402" s="55" t="e">
        <f t="shared" ref="Z402:Z465" ca="1" si="134">VLOOKUP(S402,ModelOutputs,3,FALSE)*14</f>
        <v>#N/A</v>
      </c>
      <c r="AA402" t="e">
        <f t="shared" ref="AA402:AA465" ca="1" si="135">VLOOKUP(S402,ModelOutputs,10,FALSE)*AWC</f>
        <v>#N/A</v>
      </c>
      <c r="AB402" t="e">
        <f t="shared" ca="1" si="127"/>
        <v>#N/A</v>
      </c>
      <c r="AC402" t="e">
        <f t="shared" ca="1" si="128"/>
        <v>#N/A</v>
      </c>
      <c r="AD402" t="e">
        <f t="shared" ca="1" si="129"/>
        <v>#N/A</v>
      </c>
      <c r="AE402" s="83" t="e">
        <f ca="1"/>
        <v>#N/A</v>
      </c>
      <c r="AF402" s="55" t="e">
        <f t="shared" ca="1" si="130"/>
        <v>#N/A</v>
      </c>
      <c r="AG402" s="55" t="e">
        <f t="shared" ca="1" si="131"/>
        <v>#N/A</v>
      </c>
      <c r="AH402" s="55" t="e">
        <f t="shared" ca="1" si="132"/>
        <v>#N/A</v>
      </c>
      <c r="AI402" s="55" t="e">
        <f t="shared" ca="1" si="133"/>
        <v>#N/A</v>
      </c>
      <c r="AJ402" s="55" t="e">
        <f t="shared" ca="1" si="116"/>
        <v>#N/A</v>
      </c>
      <c r="AK402" s="55" t="e">
        <f t="shared" ca="1" si="117"/>
        <v>#N/A</v>
      </c>
      <c r="AL402" s="55" t="e">
        <f t="shared" ca="1" si="118"/>
        <v>#N/A</v>
      </c>
      <c r="AM402" s="55"/>
    </row>
    <row r="403" spans="18:39">
      <c r="R403" s="55" t="e">
        <f ca="1"/>
        <v>#N/A</v>
      </c>
      <c r="S403" s="55" t="e">
        <f t="shared" ca="1" si="123"/>
        <v>#N/A</v>
      </c>
      <c r="T403" s="55" t="e">
        <f t="shared" ca="1" si="124"/>
        <v>#N/A</v>
      </c>
      <c r="U403" s="55" t="e">
        <f t="shared" ca="1" si="125"/>
        <v>#N/A</v>
      </c>
      <c r="V403" s="55" t="e">
        <f t="shared" ca="1" si="126"/>
        <v>#N/A</v>
      </c>
      <c r="W403" s="55" t="e">
        <f t="shared" ref="W403:W466" ca="1" si="136">-VLOOKUP(S403,ModelOutputs,9,FALSE)+W402</f>
        <v>#N/A</v>
      </c>
      <c r="X403" s="55" t="e">
        <f t="shared" ref="X403:X466" ca="1" si="137">VLOOKUP(S403,ModelOutputs,5,FALSE)+X402</f>
        <v>#N/A</v>
      </c>
      <c r="Y403" s="55" t="e">
        <f t="shared" ref="Y403:Y466" ca="1" si="138">VLOOKUP(S403,ModelOutputs,4,FALSE)+Y402</f>
        <v>#N/A</v>
      </c>
      <c r="Z403" s="55" t="e">
        <f t="shared" ca="1" si="134"/>
        <v>#N/A</v>
      </c>
      <c r="AA403" t="e">
        <f t="shared" ca="1" si="135"/>
        <v>#N/A</v>
      </c>
      <c r="AB403" t="e">
        <f t="shared" ca="1" si="127"/>
        <v>#N/A</v>
      </c>
      <c r="AC403" t="e">
        <f t="shared" ca="1" si="128"/>
        <v>#N/A</v>
      </c>
      <c r="AD403" t="e">
        <f t="shared" ca="1" si="129"/>
        <v>#N/A</v>
      </c>
      <c r="AE403" s="83" t="e">
        <f ca="1"/>
        <v>#N/A</v>
      </c>
      <c r="AF403" s="55" t="e">
        <f t="shared" ca="1" si="130"/>
        <v>#N/A</v>
      </c>
      <c r="AG403" s="55" t="e">
        <f t="shared" ca="1" si="131"/>
        <v>#N/A</v>
      </c>
      <c r="AH403" s="55" t="e">
        <f t="shared" ca="1" si="132"/>
        <v>#N/A</v>
      </c>
      <c r="AI403" s="55" t="e">
        <f t="shared" ca="1" si="133"/>
        <v>#N/A</v>
      </c>
      <c r="AJ403" s="55" t="e">
        <f t="shared" ref="AJ403:AJ466" ca="1" si="139">-VLOOKUP(AF403,ModelOutputs,9,FALSE)+AJ402</f>
        <v>#N/A</v>
      </c>
      <c r="AK403" s="55" t="e">
        <f t="shared" ref="AK403:AK466" ca="1" si="140">VLOOKUP(AF403,ModelOutputs,5,FALSE)+AK402</f>
        <v>#N/A</v>
      </c>
      <c r="AL403" s="55" t="e">
        <f t="shared" ref="AL403:AL466" ca="1" si="141">VLOOKUP(AF403,ModelOutputs,4,FALSE)+AL402</f>
        <v>#N/A</v>
      </c>
      <c r="AM403" s="55"/>
    </row>
    <row r="404" spans="18:39">
      <c r="R404" s="55" t="e">
        <f ca="1"/>
        <v>#N/A</v>
      </c>
      <c r="S404" s="55" t="e">
        <f t="shared" ca="1" si="123"/>
        <v>#N/A</v>
      </c>
      <c r="T404" s="55" t="e">
        <f t="shared" ca="1" si="124"/>
        <v>#N/A</v>
      </c>
      <c r="U404" s="55" t="e">
        <f t="shared" ca="1" si="125"/>
        <v>#N/A</v>
      </c>
      <c r="V404" s="55" t="e">
        <f t="shared" ca="1" si="126"/>
        <v>#N/A</v>
      </c>
      <c r="W404" s="55" t="e">
        <f t="shared" ca="1" si="136"/>
        <v>#N/A</v>
      </c>
      <c r="X404" s="55" t="e">
        <f t="shared" ca="1" si="137"/>
        <v>#N/A</v>
      </c>
      <c r="Y404" s="55" t="e">
        <f t="shared" ca="1" si="138"/>
        <v>#N/A</v>
      </c>
      <c r="Z404" s="55" t="e">
        <f t="shared" ca="1" si="134"/>
        <v>#N/A</v>
      </c>
      <c r="AA404" t="e">
        <f t="shared" ca="1" si="135"/>
        <v>#N/A</v>
      </c>
      <c r="AB404" t="e">
        <f t="shared" ca="1" si="127"/>
        <v>#N/A</v>
      </c>
      <c r="AC404" t="e">
        <f t="shared" ca="1" si="128"/>
        <v>#N/A</v>
      </c>
      <c r="AD404" t="e">
        <f t="shared" ca="1" si="129"/>
        <v>#N/A</v>
      </c>
      <c r="AE404" s="83" t="e">
        <f ca="1"/>
        <v>#N/A</v>
      </c>
      <c r="AF404" s="55" t="e">
        <f t="shared" ca="1" si="130"/>
        <v>#N/A</v>
      </c>
      <c r="AG404" s="55" t="e">
        <f t="shared" ca="1" si="131"/>
        <v>#N/A</v>
      </c>
      <c r="AH404" s="55" t="e">
        <f t="shared" ca="1" si="132"/>
        <v>#N/A</v>
      </c>
      <c r="AI404" s="55" t="e">
        <f t="shared" ca="1" si="133"/>
        <v>#N/A</v>
      </c>
      <c r="AJ404" s="55" t="e">
        <f t="shared" ca="1" si="139"/>
        <v>#N/A</v>
      </c>
      <c r="AK404" s="55" t="e">
        <f t="shared" ca="1" si="140"/>
        <v>#N/A</v>
      </c>
      <c r="AL404" s="55" t="e">
        <f t="shared" ca="1" si="141"/>
        <v>#N/A</v>
      </c>
      <c r="AM404" s="55"/>
    </row>
    <row r="405" spans="18:39">
      <c r="R405" s="55" t="e">
        <f ca="1"/>
        <v>#N/A</v>
      </c>
      <c r="S405" s="55" t="e">
        <f t="shared" ca="1" si="123"/>
        <v>#N/A</v>
      </c>
      <c r="T405" s="55" t="e">
        <f t="shared" ca="1" si="124"/>
        <v>#N/A</v>
      </c>
      <c r="U405" s="55" t="e">
        <f t="shared" ca="1" si="125"/>
        <v>#N/A</v>
      </c>
      <c r="V405" s="55" t="e">
        <f t="shared" ca="1" si="126"/>
        <v>#N/A</v>
      </c>
      <c r="W405" s="55" t="e">
        <f t="shared" ca="1" si="136"/>
        <v>#N/A</v>
      </c>
      <c r="X405" s="55" t="e">
        <f t="shared" ca="1" si="137"/>
        <v>#N/A</v>
      </c>
      <c r="Y405" s="55" t="e">
        <f t="shared" ca="1" si="138"/>
        <v>#N/A</v>
      </c>
      <c r="Z405" s="55" t="e">
        <f t="shared" ca="1" si="134"/>
        <v>#N/A</v>
      </c>
      <c r="AA405" t="e">
        <f t="shared" ca="1" si="135"/>
        <v>#N/A</v>
      </c>
      <c r="AB405" t="e">
        <f t="shared" ca="1" si="127"/>
        <v>#N/A</v>
      </c>
      <c r="AC405" t="e">
        <f t="shared" ca="1" si="128"/>
        <v>#N/A</v>
      </c>
      <c r="AD405" t="e">
        <f t="shared" ca="1" si="129"/>
        <v>#N/A</v>
      </c>
      <c r="AE405" s="83" t="e">
        <f ca="1"/>
        <v>#N/A</v>
      </c>
      <c r="AF405" s="55" t="e">
        <f t="shared" ca="1" si="130"/>
        <v>#N/A</v>
      </c>
      <c r="AG405" s="55" t="e">
        <f t="shared" ca="1" si="131"/>
        <v>#N/A</v>
      </c>
      <c r="AH405" s="55" t="e">
        <f t="shared" ca="1" si="132"/>
        <v>#N/A</v>
      </c>
      <c r="AI405" s="55" t="e">
        <f t="shared" ca="1" si="133"/>
        <v>#N/A</v>
      </c>
      <c r="AJ405" s="55" t="e">
        <f t="shared" ca="1" si="139"/>
        <v>#N/A</v>
      </c>
      <c r="AK405" s="55" t="e">
        <f t="shared" ca="1" si="140"/>
        <v>#N/A</v>
      </c>
      <c r="AL405" s="55" t="e">
        <f t="shared" ca="1" si="141"/>
        <v>#N/A</v>
      </c>
      <c r="AM405" s="55"/>
    </row>
    <row r="406" spans="18:39">
      <c r="R406" s="55" t="e">
        <f ca="1"/>
        <v>#N/A</v>
      </c>
      <c r="S406" s="55" t="e">
        <f t="shared" ca="1" si="123"/>
        <v>#N/A</v>
      </c>
      <c r="T406" s="55" t="e">
        <f t="shared" ca="1" si="124"/>
        <v>#N/A</v>
      </c>
      <c r="U406" s="55" t="e">
        <f t="shared" ca="1" si="125"/>
        <v>#N/A</v>
      </c>
      <c r="V406" s="55" t="e">
        <f t="shared" ca="1" si="126"/>
        <v>#N/A</v>
      </c>
      <c r="W406" s="55" t="e">
        <f t="shared" ca="1" si="136"/>
        <v>#N/A</v>
      </c>
      <c r="X406" s="55" t="e">
        <f t="shared" ca="1" si="137"/>
        <v>#N/A</v>
      </c>
      <c r="Y406" s="55" t="e">
        <f t="shared" ca="1" si="138"/>
        <v>#N/A</v>
      </c>
      <c r="Z406" s="55" t="e">
        <f t="shared" ca="1" si="134"/>
        <v>#N/A</v>
      </c>
      <c r="AA406" t="e">
        <f t="shared" ca="1" si="135"/>
        <v>#N/A</v>
      </c>
      <c r="AB406" t="e">
        <f t="shared" ca="1" si="127"/>
        <v>#N/A</v>
      </c>
      <c r="AC406" t="e">
        <f t="shared" ca="1" si="128"/>
        <v>#N/A</v>
      </c>
      <c r="AD406" t="e">
        <f t="shared" ca="1" si="129"/>
        <v>#N/A</v>
      </c>
      <c r="AE406" s="83" t="e">
        <f ca="1"/>
        <v>#N/A</v>
      </c>
      <c r="AF406" s="55" t="e">
        <f t="shared" ca="1" si="130"/>
        <v>#N/A</v>
      </c>
      <c r="AG406" s="55" t="e">
        <f t="shared" ca="1" si="131"/>
        <v>#N/A</v>
      </c>
      <c r="AH406" s="55" t="e">
        <f t="shared" ca="1" si="132"/>
        <v>#N/A</v>
      </c>
      <c r="AI406" s="55" t="e">
        <f t="shared" ca="1" si="133"/>
        <v>#N/A</v>
      </c>
      <c r="AJ406" s="55" t="e">
        <f t="shared" ca="1" si="139"/>
        <v>#N/A</v>
      </c>
      <c r="AK406" s="55" t="e">
        <f t="shared" ca="1" si="140"/>
        <v>#N/A</v>
      </c>
      <c r="AL406" s="55" t="e">
        <f t="shared" ca="1" si="141"/>
        <v>#N/A</v>
      </c>
      <c r="AM406" s="55"/>
    </row>
    <row r="407" spans="18:39">
      <c r="R407" s="55" t="e">
        <f ca="1"/>
        <v>#N/A</v>
      </c>
      <c r="S407" s="55" t="e">
        <f t="shared" ca="1" si="123"/>
        <v>#N/A</v>
      </c>
      <c r="T407" s="55" t="e">
        <f t="shared" ca="1" si="124"/>
        <v>#N/A</v>
      </c>
      <c r="U407" s="55" t="e">
        <f t="shared" ca="1" si="125"/>
        <v>#N/A</v>
      </c>
      <c r="V407" s="55" t="e">
        <f t="shared" ca="1" si="126"/>
        <v>#N/A</v>
      </c>
      <c r="W407" s="55" t="e">
        <f t="shared" ca="1" si="136"/>
        <v>#N/A</v>
      </c>
      <c r="X407" s="55" t="e">
        <f t="shared" ca="1" si="137"/>
        <v>#N/A</v>
      </c>
      <c r="Y407" s="55" t="e">
        <f t="shared" ca="1" si="138"/>
        <v>#N/A</v>
      </c>
      <c r="Z407" s="55" t="e">
        <f t="shared" ca="1" si="134"/>
        <v>#N/A</v>
      </c>
      <c r="AA407" t="e">
        <f t="shared" ca="1" si="135"/>
        <v>#N/A</v>
      </c>
      <c r="AB407" t="e">
        <f t="shared" ca="1" si="127"/>
        <v>#N/A</v>
      </c>
      <c r="AC407" t="e">
        <f t="shared" ca="1" si="128"/>
        <v>#N/A</v>
      </c>
      <c r="AD407" t="e">
        <f t="shared" ca="1" si="129"/>
        <v>#N/A</v>
      </c>
      <c r="AE407" s="83" t="e">
        <f ca="1"/>
        <v>#N/A</v>
      </c>
      <c r="AF407" s="55" t="e">
        <f t="shared" ca="1" si="130"/>
        <v>#N/A</v>
      </c>
      <c r="AG407" s="55" t="e">
        <f t="shared" ca="1" si="131"/>
        <v>#N/A</v>
      </c>
      <c r="AH407" s="55" t="e">
        <f t="shared" ca="1" si="132"/>
        <v>#N/A</v>
      </c>
      <c r="AI407" s="55" t="e">
        <f t="shared" ca="1" si="133"/>
        <v>#N/A</v>
      </c>
      <c r="AJ407" s="55" t="e">
        <f t="shared" ca="1" si="139"/>
        <v>#N/A</v>
      </c>
      <c r="AK407" s="55" t="e">
        <f t="shared" ca="1" si="140"/>
        <v>#N/A</v>
      </c>
      <c r="AL407" s="55" t="e">
        <f t="shared" ca="1" si="141"/>
        <v>#N/A</v>
      </c>
      <c r="AM407" s="55"/>
    </row>
    <row r="408" spans="18:39">
      <c r="R408" s="55" t="e">
        <f ca="1"/>
        <v>#N/A</v>
      </c>
      <c r="S408" s="55" t="e">
        <f t="shared" ca="1" si="123"/>
        <v>#N/A</v>
      </c>
      <c r="T408" s="55" t="e">
        <f t="shared" ca="1" si="124"/>
        <v>#N/A</v>
      </c>
      <c r="U408" s="55" t="e">
        <f t="shared" ca="1" si="125"/>
        <v>#N/A</v>
      </c>
      <c r="V408" s="55" t="e">
        <f t="shared" ca="1" si="126"/>
        <v>#N/A</v>
      </c>
      <c r="W408" s="55" t="e">
        <f t="shared" ca="1" si="136"/>
        <v>#N/A</v>
      </c>
      <c r="X408" s="55" t="e">
        <f t="shared" ca="1" si="137"/>
        <v>#N/A</v>
      </c>
      <c r="Y408" s="55" t="e">
        <f t="shared" ca="1" si="138"/>
        <v>#N/A</v>
      </c>
      <c r="Z408" s="55" t="e">
        <f t="shared" ca="1" si="134"/>
        <v>#N/A</v>
      </c>
      <c r="AA408" t="e">
        <f t="shared" ca="1" si="135"/>
        <v>#N/A</v>
      </c>
      <c r="AB408" t="e">
        <f t="shared" ca="1" si="127"/>
        <v>#N/A</v>
      </c>
      <c r="AC408" t="e">
        <f t="shared" ca="1" si="128"/>
        <v>#N/A</v>
      </c>
      <c r="AD408" t="e">
        <f t="shared" ca="1" si="129"/>
        <v>#N/A</v>
      </c>
      <c r="AE408" s="83" t="e">
        <f ca="1"/>
        <v>#N/A</v>
      </c>
      <c r="AF408" s="55" t="e">
        <f t="shared" ca="1" si="130"/>
        <v>#N/A</v>
      </c>
      <c r="AG408" s="55" t="e">
        <f t="shared" ca="1" si="131"/>
        <v>#N/A</v>
      </c>
      <c r="AH408" s="55" t="e">
        <f t="shared" ca="1" si="132"/>
        <v>#N/A</v>
      </c>
      <c r="AI408" s="55" t="e">
        <f t="shared" ca="1" si="133"/>
        <v>#N/A</v>
      </c>
      <c r="AJ408" s="55" t="e">
        <f t="shared" ca="1" si="139"/>
        <v>#N/A</v>
      </c>
      <c r="AK408" s="55" t="e">
        <f t="shared" ca="1" si="140"/>
        <v>#N/A</v>
      </c>
      <c r="AL408" s="55" t="e">
        <f t="shared" ca="1" si="141"/>
        <v>#N/A</v>
      </c>
      <c r="AM408" s="55"/>
    </row>
    <row r="409" spans="18:39">
      <c r="R409" s="55" t="e">
        <f ca="1"/>
        <v>#N/A</v>
      </c>
      <c r="S409" s="55" t="e">
        <f t="shared" ca="1" si="123"/>
        <v>#N/A</v>
      </c>
      <c r="T409" s="55" t="e">
        <f t="shared" ca="1" si="124"/>
        <v>#N/A</v>
      </c>
      <c r="U409" s="55" t="e">
        <f t="shared" ca="1" si="125"/>
        <v>#N/A</v>
      </c>
      <c r="V409" s="55" t="e">
        <f t="shared" ca="1" si="126"/>
        <v>#N/A</v>
      </c>
      <c r="W409" s="55" t="e">
        <f t="shared" ca="1" si="136"/>
        <v>#N/A</v>
      </c>
      <c r="X409" s="55" t="e">
        <f t="shared" ca="1" si="137"/>
        <v>#N/A</v>
      </c>
      <c r="Y409" s="55" t="e">
        <f t="shared" ca="1" si="138"/>
        <v>#N/A</v>
      </c>
      <c r="Z409" s="55" t="e">
        <f t="shared" ca="1" si="134"/>
        <v>#N/A</v>
      </c>
      <c r="AA409" t="e">
        <f t="shared" ca="1" si="135"/>
        <v>#N/A</v>
      </c>
      <c r="AB409" t="e">
        <f t="shared" ca="1" si="127"/>
        <v>#N/A</v>
      </c>
      <c r="AC409" t="e">
        <f t="shared" ca="1" si="128"/>
        <v>#N/A</v>
      </c>
      <c r="AD409" t="e">
        <f t="shared" ca="1" si="129"/>
        <v>#N/A</v>
      </c>
      <c r="AE409" s="83" t="e">
        <f ca="1"/>
        <v>#N/A</v>
      </c>
      <c r="AF409" s="55" t="e">
        <f t="shared" ca="1" si="130"/>
        <v>#N/A</v>
      </c>
      <c r="AG409" s="55" t="e">
        <f t="shared" ca="1" si="131"/>
        <v>#N/A</v>
      </c>
      <c r="AH409" s="55" t="e">
        <f t="shared" ca="1" si="132"/>
        <v>#N/A</v>
      </c>
      <c r="AI409" s="55" t="e">
        <f t="shared" ca="1" si="133"/>
        <v>#N/A</v>
      </c>
      <c r="AJ409" s="55" t="e">
        <f t="shared" ca="1" si="139"/>
        <v>#N/A</v>
      </c>
      <c r="AK409" s="55" t="e">
        <f t="shared" ca="1" si="140"/>
        <v>#N/A</v>
      </c>
      <c r="AL409" s="55" t="e">
        <f t="shared" ca="1" si="141"/>
        <v>#N/A</v>
      </c>
      <c r="AM409" s="55"/>
    </row>
    <row r="410" spans="18:39">
      <c r="R410" s="55" t="e">
        <f ca="1"/>
        <v>#N/A</v>
      </c>
      <c r="S410" s="55" t="e">
        <f t="shared" ca="1" si="123"/>
        <v>#N/A</v>
      </c>
      <c r="T410" s="55" t="e">
        <f t="shared" ca="1" si="124"/>
        <v>#N/A</v>
      </c>
      <c r="U410" s="55" t="e">
        <f t="shared" ca="1" si="125"/>
        <v>#N/A</v>
      </c>
      <c r="V410" s="55" t="e">
        <f t="shared" ca="1" si="126"/>
        <v>#N/A</v>
      </c>
      <c r="W410" s="55" t="e">
        <f t="shared" ca="1" si="136"/>
        <v>#N/A</v>
      </c>
      <c r="X410" s="55" t="e">
        <f t="shared" ca="1" si="137"/>
        <v>#N/A</v>
      </c>
      <c r="Y410" s="55" t="e">
        <f t="shared" ca="1" si="138"/>
        <v>#N/A</v>
      </c>
      <c r="Z410" s="55" t="e">
        <f t="shared" ca="1" si="134"/>
        <v>#N/A</v>
      </c>
      <c r="AA410" t="e">
        <f t="shared" ca="1" si="135"/>
        <v>#N/A</v>
      </c>
      <c r="AB410" t="e">
        <f t="shared" ca="1" si="127"/>
        <v>#N/A</v>
      </c>
      <c r="AC410" t="e">
        <f t="shared" ca="1" si="128"/>
        <v>#N/A</v>
      </c>
      <c r="AD410" t="e">
        <f t="shared" ca="1" si="129"/>
        <v>#N/A</v>
      </c>
      <c r="AE410" s="83" t="e">
        <f ca="1"/>
        <v>#N/A</v>
      </c>
      <c r="AF410" s="55" t="e">
        <f t="shared" ca="1" si="130"/>
        <v>#N/A</v>
      </c>
      <c r="AG410" s="55" t="e">
        <f t="shared" ca="1" si="131"/>
        <v>#N/A</v>
      </c>
      <c r="AH410" s="55" t="e">
        <f t="shared" ca="1" si="132"/>
        <v>#N/A</v>
      </c>
      <c r="AI410" s="55" t="e">
        <f t="shared" ca="1" si="133"/>
        <v>#N/A</v>
      </c>
      <c r="AJ410" s="55" t="e">
        <f t="shared" ca="1" si="139"/>
        <v>#N/A</v>
      </c>
      <c r="AK410" s="55" t="e">
        <f t="shared" ca="1" si="140"/>
        <v>#N/A</v>
      </c>
      <c r="AL410" s="55" t="e">
        <f t="shared" ca="1" si="141"/>
        <v>#N/A</v>
      </c>
      <c r="AM410" s="55"/>
    </row>
    <row r="411" spans="18:39">
      <c r="R411" s="55" t="e">
        <f ca="1"/>
        <v>#N/A</v>
      </c>
      <c r="S411" s="55" t="e">
        <f t="shared" ca="1" si="123"/>
        <v>#N/A</v>
      </c>
      <c r="T411" s="55" t="e">
        <f t="shared" ca="1" si="124"/>
        <v>#N/A</v>
      </c>
      <c r="U411" s="55" t="e">
        <f t="shared" ca="1" si="125"/>
        <v>#N/A</v>
      </c>
      <c r="V411" s="55" t="e">
        <f t="shared" ca="1" si="126"/>
        <v>#N/A</v>
      </c>
      <c r="W411" s="55" t="e">
        <f t="shared" ca="1" si="136"/>
        <v>#N/A</v>
      </c>
      <c r="X411" s="55" t="e">
        <f t="shared" ca="1" si="137"/>
        <v>#N/A</v>
      </c>
      <c r="Y411" s="55" t="e">
        <f t="shared" ca="1" si="138"/>
        <v>#N/A</v>
      </c>
      <c r="Z411" s="55" t="e">
        <f t="shared" ca="1" si="134"/>
        <v>#N/A</v>
      </c>
      <c r="AA411" t="e">
        <f t="shared" ca="1" si="135"/>
        <v>#N/A</v>
      </c>
      <c r="AB411" t="e">
        <f t="shared" ca="1" si="127"/>
        <v>#N/A</v>
      </c>
      <c r="AC411" t="e">
        <f t="shared" ca="1" si="128"/>
        <v>#N/A</v>
      </c>
      <c r="AD411" t="e">
        <f t="shared" ca="1" si="129"/>
        <v>#N/A</v>
      </c>
      <c r="AE411" s="83" t="e">
        <f ca="1"/>
        <v>#N/A</v>
      </c>
      <c r="AF411" s="55" t="e">
        <f t="shared" ca="1" si="130"/>
        <v>#N/A</v>
      </c>
      <c r="AG411" s="55" t="e">
        <f t="shared" ca="1" si="131"/>
        <v>#N/A</v>
      </c>
      <c r="AH411" s="55" t="e">
        <f t="shared" ca="1" si="132"/>
        <v>#N/A</v>
      </c>
      <c r="AI411" s="55" t="e">
        <f t="shared" ca="1" si="133"/>
        <v>#N/A</v>
      </c>
      <c r="AJ411" s="55" t="e">
        <f t="shared" ca="1" si="139"/>
        <v>#N/A</v>
      </c>
      <c r="AK411" s="55" t="e">
        <f t="shared" ca="1" si="140"/>
        <v>#N/A</v>
      </c>
      <c r="AL411" s="55" t="e">
        <f t="shared" ca="1" si="141"/>
        <v>#N/A</v>
      </c>
      <c r="AM411" s="55"/>
    </row>
    <row r="412" spans="18:39">
      <c r="R412" s="55" t="e">
        <f ca="1"/>
        <v>#N/A</v>
      </c>
      <c r="S412" s="55" t="e">
        <f t="shared" ca="1" si="123"/>
        <v>#N/A</v>
      </c>
      <c r="T412" s="55" t="e">
        <f t="shared" ca="1" si="124"/>
        <v>#N/A</v>
      </c>
      <c r="U412" s="55" t="e">
        <f t="shared" ca="1" si="125"/>
        <v>#N/A</v>
      </c>
      <c r="V412" s="55" t="e">
        <f t="shared" ca="1" si="126"/>
        <v>#N/A</v>
      </c>
      <c r="W412" s="55" t="e">
        <f t="shared" ca="1" si="136"/>
        <v>#N/A</v>
      </c>
      <c r="X412" s="55" t="e">
        <f t="shared" ca="1" si="137"/>
        <v>#N/A</v>
      </c>
      <c r="Y412" s="55" t="e">
        <f t="shared" ca="1" si="138"/>
        <v>#N/A</v>
      </c>
      <c r="Z412" s="55" t="e">
        <f t="shared" ca="1" si="134"/>
        <v>#N/A</v>
      </c>
      <c r="AA412" t="e">
        <f t="shared" ca="1" si="135"/>
        <v>#N/A</v>
      </c>
      <c r="AB412" t="e">
        <f t="shared" ca="1" si="127"/>
        <v>#N/A</v>
      </c>
      <c r="AC412" t="e">
        <f t="shared" ca="1" si="128"/>
        <v>#N/A</v>
      </c>
      <c r="AD412" t="e">
        <f t="shared" ca="1" si="129"/>
        <v>#N/A</v>
      </c>
      <c r="AE412" s="83" t="e">
        <f ca="1"/>
        <v>#N/A</v>
      </c>
      <c r="AF412" s="55" t="e">
        <f t="shared" ca="1" si="130"/>
        <v>#N/A</v>
      </c>
      <c r="AG412" s="55" t="e">
        <f t="shared" ca="1" si="131"/>
        <v>#N/A</v>
      </c>
      <c r="AH412" s="55" t="e">
        <f t="shared" ca="1" si="132"/>
        <v>#N/A</v>
      </c>
      <c r="AI412" s="55" t="e">
        <f t="shared" ca="1" si="133"/>
        <v>#N/A</v>
      </c>
      <c r="AJ412" s="55" t="e">
        <f t="shared" ca="1" si="139"/>
        <v>#N/A</v>
      </c>
      <c r="AK412" s="55" t="e">
        <f t="shared" ca="1" si="140"/>
        <v>#N/A</v>
      </c>
      <c r="AL412" s="55" t="e">
        <f t="shared" ca="1" si="141"/>
        <v>#N/A</v>
      </c>
      <c r="AM412" s="55"/>
    </row>
    <row r="413" spans="18:39">
      <c r="R413" s="55" t="e">
        <f ca="1"/>
        <v>#N/A</v>
      </c>
      <c r="S413" s="55" t="e">
        <f t="shared" ca="1" si="123"/>
        <v>#N/A</v>
      </c>
      <c r="T413" s="55" t="e">
        <f t="shared" ca="1" si="124"/>
        <v>#N/A</v>
      </c>
      <c r="U413" s="55" t="e">
        <f t="shared" ca="1" si="125"/>
        <v>#N/A</v>
      </c>
      <c r="V413" s="55" t="e">
        <f t="shared" ca="1" si="126"/>
        <v>#N/A</v>
      </c>
      <c r="W413" s="55" t="e">
        <f t="shared" ca="1" si="136"/>
        <v>#N/A</v>
      </c>
      <c r="X413" s="55" t="e">
        <f t="shared" ca="1" si="137"/>
        <v>#N/A</v>
      </c>
      <c r="Y413" s="55" t="e">
        <f t="shared" ca="1" si="138"/>
        <v>#N/A</v>
      </c>
      <c r="Z413" s="55" t="e">
        <f t="shared" ca="1" si="134"/>
        <v>#N/A</v>
      </c>
      <c r="AA413" t="e">
        <f t="shared" ca="1" si="135"/>
        <v>#N/A</v>
      </c>
      <c r="AB413" t="e">
        <f t="shared" ca="1" si="127"/>
        <v>#N/A</v>
      </c>
      <c r="AC413" t="e">
        <f t="shared" ca="1" si="128"/>
        <v>#N/A</v>
      </c>
      <c r="AD413" t="e">
        <f t="shared" ca="1" si="129"/>
        <v>#N/A</v>
      </c>
      <c r="AE413" s="83" t="e">
        <f ca="1"/>
        <v>#N/A</v>
      </c>
      <c r="AF413" s="55" t="e">
        <f t="shared" ca="1" si="130"/>
        <v>#N/A</v>
      </c>
      <c r="AG413" s="55" t="e">
        <f t="shared" ca="1" si="131"/>
        <v>#N/A</v>
      </c>
      <c r="AH413" s="55" t="e">
        <f t="shared" ca="1" si="132"/>
        <v>#N/A</v>
      </c>
      <c r="AI413" s="55" t="e">
        <f t="shared" ca="1" si="133"/>
        <v>#N/A</v>
      </c>
      <c r="AJ413" s="55" t="e">
        <f t="shared" ca="1" si="139"/>
        <v>#N/A</v>
      </c>
      <c r="AK413" s="55" t="e">
        <f t="shared" ca="1" si="140"/>
        <v>#N/A</v>
      </c>
      <c r="AL413" s="55" t="e">
        <f t="shared" ca="1" si="141"/>
        <v>#N/A</v>
      </c>
      <c r="AM413" s="55"/>
    </row>
    <row r="414" spans="18:39">
      <c r="R414" s="55" t="e">
        <f ca="1"/>
        <v>#N/A</v>
      </c>
      <c r="S414" s="55" t="e">
        <f t="shared" ca="1" si="123"/>
        <v>#N/A</v>
      </c>
      <c r="T414" s="55" t="e">
        <f t="shared" ca="1" si="124"/>
        <v>#N/A</v>
      </c>
      <c r="U414" s="55" t="e">
        <f t="shared" ca="1" si="125"/>
        <v>#N/A</v>
      </c>
      <c r="V414" s="55" t="e">
        <f t="shared" ca="1" si="126"/>
        <v>#N/A</v>
      </c>
      <c r="W414" s="55" t="e">
        <f t="shared" ca="1" si="136"/>
        <v>#N/A</v>
      </c>
      <c r="X414" s="55" t="e">
        <f t="shared" ca="1" si="137"/>
        <v>#N/A</v>
      </c>
      <c r="Y414" s="55" t="e">
        <f t="shared" ca="1" si="138"/>
        <v>#N/A</v>
      </c>
      <c r="Z414" s="55" t="e">
        <f t="shared" ca="1" si="134"/>
        <v>#N/A</v>
      </c>
      <c r="AA414" t="e">
        <f t="shared" ca="1" si="135"/>
        <v>#N/A</v>
      </c>
      <c r="AB414" t="e">
        <f t="shared" ca="1" si="127"/>
        <v>#N/A</v>
      </c>
      <c r="AC414" t="e">
        <f t="shared" ca="1" si="128"/>
        <v>#N/A</v>
      </c>
      <c r="AD414" t="e">
        <f t="shared" ca="1" si="129"/>
        <v>#N/A</v>
      </c>
      <c r="AE414" s="83" t="e">
        <f ca="1"/>
        <v>#N/A</v>
      </c>
      <c r="AF414" s="55" t="e">
        <f t="shared" ca="1" si="130"/>
        <v>#N/A</v>
      </c>
      <c r="AG414" s="55" t="e">
        <f t="shared" ca="1" si="131"/>
        <v>#N/A</v>
      </c>
      <c r="AH414" s="55" t="e">
        <f t="shared" ca="1" si="132"/>
        <v>#N/A</v>
      </c>
      <c r="AI414" s="55" t="e">
        <f t="shared" ca="1" si="133"/>
        <v>#N/A</v>
      </c>
      <c r="AJ414" s="55" t="e">
        <f t="shared" ca="1" si="139"/>
        <v>#N/A</v>
      </c>
      <c r="AK414" s="55" t="e">
        <f t="shared" ca="1" si="140"/>
        <v>#N/A</v>
      </c>
      <c r="AL414" s="55" t="e">
        <f t="shared" ca="1" si="141"/>
        <v>#N/A</v>
      </c>
      <c r="AM414" s="55"/>
    </row>
    <row r="415" spans="18:39">
      <c r="R415" s="55" t="e">
        <f ca="1"/>
        <v>#N/A</v>
      </c>
      <c r="S415" s="55" t="e">
        <f t="shared" ca="1" si="123"/>
        <v>#N/A</v>
      </c>
      <c r="T415" s="55" t="e">
        <f t="shared" ca="1" si="124"/>
        <v>#N/A</v>
      </c>
      <c r="U415" s="55" t="e">
        <f t="shared" ca="1" si="125"/>
        <v>#N/A</v>
      </c>
      <c r="V415" s="55" t="e">
        <f t="shared" ca="1" si="126"/>
        <v>#N/A</v>
      </c>
      <c r="W415" s="55" t="e">
        <f t="shared" ca="1" si="136"/>
        <v>#N/A</v>
      </c>
      <c r="X415" s="55" t="e">
        <f t="shared" ca="1" si="137"/>
        <v>#N/A</v>
      </c>
      <c r="Y415" s="55" t="e">
        <f t="shared" ca="1" si="138"/>
        <v>#N/A</v>
      </c>
      <c r="Z415" s="55" t="e">
        <f t="shared" ca="1" si="134"/>
        <v>#N/A</v>
      </c>
      <c r="AA415" t="e">
        <f t="shared" ca="1" si="135"/>
        <v>#N/A</v>
      </c>
      <c r="AB415" t="e">
        <f t="shared" ca="1" si="127"/>
        <v>#N/A</v>
      </c>
      <c r="AC415" t="e">
        <f t="shared" ca="1" si="128"/>
        <v>#N/A</v>
      </c>
      <c r="AD415" t="e">
        <f t="shared" ca="1" si="129"/>
        <v>#N/A</v>
      </c>
      <c r="AE415" s="83" t="e">
        <f ca="1"/>
        <v>#N/A</v>
      </c>
      <c r="AF415" s="55" t="e">
        <f t="shared" ca="1" si="130"/>
        <v>#N/A</v>
      </c>
      <c r="AG415" s="55" t="e">
        <f t="shared" ca="1" si="131"/>
        <v>#N/A</v>
      </c>
      <c r="AH415" s="55" t="e">
        <f t="shared" ca="1" si="132"/>
        <v>#N/A</v>
      </c>
      <c r="AI415" s="55" t="e">
        <f t="shared" ca="1" si="133"/>
        <v>#N/A</v>
      </c>
      <c r="AJ415" s="55" t="e">
        <f t="shared" ca="1" si="139"/>
        <v>#N/A</v>
      </c>
      <c r="AK415" s="55" t="e">
        <f t="shared" ca="1" si="140"/>
        <v>#N/A</v>
      </c>
      <c r="AL415" s="55" t="e">
        <f t="shared" ca="1" si="141"/>
        <v>#N/A</v>
      </c>
      <c r="AM415" s="55"/>
    </row>
    <row r="416" spans="18:39">
      <c r="R416" s="55" t="e">
        <f ca="1"/>
        <v>#N/A</v>
      </c>
      <c r="S416" s="55" t="e">
        <f t="shared" ca="1" si="123"/>
        <v>#N/A</v>
      </c>
      <c r="T416" s="55" t="e">
        <f t="shared" ca="1" si="124"/>
        <v>#N/A</v>
      </c>
      <c r="U416" s="55" t="e">
        <f t="shared" ca="1" si="125"/>
        <v>#N/A</v>
      </c>
      <c r="V416" s="55" t="e">
        <f t="shared" ca="1" si="126"/>
        <v>#N/A</v>
      </c>
      <c r="W416" s="55" t="e">
        <f t="shared" ca="1" si="136"/>
        <v>#N/A</v>
      </c>
      <c r="X416" s="55" t="e">
        <f t="shared" ca="1" si="137"/>
        <v>#N/A</v>
      </c>
      <c r="Y416" s="55" t="e">
        <f t="shared" ca="1" si="138"/>
        <v>#N/A</v>
      </c>
      <c r="Z416" s="55" t="e">
        <f t="shared" ca="1" si="134"/>
        <v>#N/A</v>
      </c>
      <c r="AA416" t="e">
        <f t="shared" ca="1" si="135"/>
        <v>#N/A</v>
      </c>
      <c r="AB416" t="e">
        <f t="shared" ca="1" si="127"/>
        <v>#N/A</v>
      </c>
      <c r="AC416" t="e">
        <f t="shared" ca="1" si="128"/>
        <v>#N/A</v>
      </c>
      <c r="AD416" t="e">
        <f t="shared" ca="1" si="129"/>
        <v>#N/A</v>
      </c>
      <c r="AE416" s="83" t="e">
        <f ca="1"/>
        <v>#N/A</v>
      </c>
      <c r="AF416" s="55" t="e">
        <f t="shared" ca="1" si="130"/>
        <v>#N/A</v>
      </c>
      <c r="AG416" s="55" t="e">
        <f t="shared" ca="1" si="131"/>
        <v>#N/A</v>
      </c>
      <c r="AH416" s="55" t="e">
        <f t="shared" ca="1" si="132"/>
        <v>#N/A</v>
      </c>
      <c r="AI416" s="55" t="e">
        <f t="shared" ca="1" si="133"/>
        <v>#N/A</v>
      </c>
      <c r="AJ416" s="55" t="e">
        <f t="shared" ca="1" si="139"/>
        <v>#N/A</v>
      </c>
      <c r="AK416" s="55" t="e">
        <f t="shared" ca="1" si="140"/>
        <v>#N/A</v>
      </c>
      <c r="AL416" s="55" t="e">
        <f t="shared" ca="1" si="141"/>
        <v>#N/A</v>
      </c>
      <c r="AM416" s="55"/>
    </row>
    <row r="417" spans="18:39">
      <c r="R417" s="55" t="e">
        <f ca="1"/>
        <v>#N/A</v>
      </c>
      <c r="S417" s="55" t="e">
        <f t="shared" ca="1" si="123"/>
        <v>#N/A</v>
      </c>
      <c r="T417" s="55" t="e">
        <f t="shared" ca="1" si="124"/>
        <v>#N/A</v>
      </c>
      <c r="U417" s="55" t="e">
        <f t="shared" ca="1" si="125"/>
        <v>#N/A</v>
      </c>
      <c r="V417" s="55" t="e">
        <f t="shared" ca="1" si="126"/>
        <v>#N/A</v>
      </c>
      <c r="W417" s="55" t="e">
        <f t="shared" ca="1" si="136"/>
        <v>#N/A</v>
      </c>
      <c r="X417" s="55" t="e">
        <f t="shared" ca="1" si="137"/>
        <v>#N/A</v>
      </c>
      <c r="Y417" s="55" t="e">
        <f t="shared" ca="1" si="138"/>
        <v>#N/A</v>
      </c>
      <c r="Z417" s="55" t="e">
        <f t="shared" ca="1" si="134"/>
        <v>#N/A</v>
      </c>
      <c r="AA417" t="e">
        <f t="shared" ca="1" si="135"/>
        <v>#N/A</v>
      </c>
      <c r="AB417" t="e">
        <f t="shared" ca="1" si="127"/>
        <v>#N/A</v>
      </c>
      <c r="AC417" t="e">
        <f t="shared" ca="1" si="128"/>
        <v>#N/A</v>
      </c>
      <c r="AD417" t="e">
        <f t="shared" ca="1" si="129"/>
        <v>#N/A</v>
      </c>
      <c r="AE417" s="83" t="e">
        <f ca="1"/>
        <v>#N/A</v>
      </c>
      <c r="AF417" s="55" t="e">
        <f t="shared" ca="1" si="130"/>
        <v>#N/A</v>
      </c>
      <c r="AG417" s="55" t="e">
        <f t="shared" ca="1" si="131"/>
        <v>#N/A</v>
      </c>
      <c r="AH417" s="55" t="e">
        <f t="shared" ca="1" si="132"/>
        <v>#N/A</v>
      </c>
      <c r="AI417" s="55" t="e">
        <f t="shared" ca="1" si="133"/>
        <v>#N/A</v>
      </c>
      <c r="AJ417" s="55" t="e">
        <f t="shared" ca="1" si="139"/>
        <v>#N/A</v>
      </c>
      <c r="AK417" s="55" t="e">
        <f t="shared" ca="1" si="140"/>
        <v>#N/A</v>
      </c>
      <c r="AL417" s="55" t="e">
        <f t="shared" ca="1" si="141"/>
        <v>#N/A</v>
      </c>
      <c r="AM417" s="55"/>
    </row>
    <row r="418" spans="18:39">
      <c r="R418" s="55" t="e">
        <f ca="1"/>
        <v>#N/A</v>
      </c>
      <c r="S418" s="55" t="e">
        <f t="shared" ca="1" si="123"/>
        <v>#N/A</v>
      </c>
      <c r="T418" s="55" t="e">
        <f t="shared" ca="1" si="124"/>
        <v>#N/A</v>
      </c>
      <c r="U418" s="55" t="e">
        <f t="shared" ca="1" si="125"/>
        <v>#N/A</v>
      </c>
      <c r="V418" s="55" t="e">
        <f t="shared" ca="1" si="126"/>
        <v>#N/A</v>
      </c>
      <c r="W418" s="55" t="e">
        <f t="shared" ca="1" si="136"/>
        <v>#N/A</v>
      </c>
      <c r="X418" s="55" t="e">
        <f t="shared" ca="1" si="137"/>
        <v>#N/A</v>
      </c>
      <c r="Y418" s="55" t="e">
        <f t="shared" ca="1" si="138"/>
        <v>#N/A</v>
      </c>
      <c r="Z418" s="55" t="e">
        <f t="shared" ca="1" si="134"/>
        <v>#N/A</v>
      </c>
      <c r="AA418" t="e">
        <f t="shared" ca="1" si="135"/>
        <v>#N/A</v>
      </c>
      <c r="AB418" t="e">
        <f t="shared" ca="1" si="127"/>
        <v>#N/A</v>
      </c>
      <c r="AC418" t="e">
        <f t="shared" ca="1" si="128"/>
        <v>#N/A</v>
      </c>
      <c r="AD418" t="e">
        <f t="shared" ca="1" si="129"/>
        <v>#N/A</v>
      </c>
      <c r="AE418" s="83" t="e">
        <f ca="1"/>
        <v>#N/A</v>
      </c>
      <c r="AF418" s="55" t="e">
        <f t="shared" ca="1" si="130"/>
        <v>#N/A</v>
      </c>
      <c r="AG418" s="55" t="e">
        <f t="shared" ca="1" si="131"/>
        <v>#N/A</v>
      </c>
      <c r="AH418" s="55" t="e">
        <f t="shared" ca="1" si="132"/>
        <v>#N/A</v>
      </c>
      <c r="AI418" s="55" t="e">
        <f t="shared" ca="1" si="133"/>
        <v>#N/A</v>
      </c>
      <c r="AJ418" s="55" t="e">
        <f t="shared" ca="1" si="139"/>
        <v>#N/A</v>
      </c>
      <c r="AK418" s="55" t="e">
        <f t="shared" ca="1" si="140"/>
        <v>#N/A</v>
      </c>
      <c r="AL418" s="55" t="e">
        <f t="shared" ca="1" si="141"/>
        <v>#N/A</v>
      </c>
      <c r="AM418" s="55"/>
    </row>
    <row r="419" spans="18:39">
      <c r="R419" s="55" t="e">
        <f ca="1"/>
        <v>#N/A</v>
      </c>
      <c r="S419" s="55" t="e">
        <f t="shared" ca="1" si="123"/>
        <v>#N/A</v>
      </c>
      <c r="T419" s="55" t="e">
        <f t="shared" ca="1" si="124"/>
        <v>#N/A</v>
      </c>
      <c r="U419" s="55" t="e">
        <f t="shared" ca="1" si="125"/>
        <v>#N/A</v>
      </c>
      <c r="V419" s="55" t="e">
        <f t="shared" ca="1" si="126"/>
        <v>#N/A</v>
      </c>
      <c r="W419" s="55" t="e">
        <f t="shared" ca="1" si="136"/>
        <v>#N/A</v>
      </c>
      <c r="X419" s="55" t="e">
        <f t="shared" ca="1" si="137"/>
        <v>#N/A</v>
      </c>
      <c r="Y419" s="55" t="e">
        <f t="shared" ca="1" si="138"/>
        <v>#N/A</v>
      </c>
      <c r="Z419" s="55" t="e">
        <f t="shared" ca="1" si="134"/>
        <v>#N/A</v>
      </c>
      <c r="AA419" t="e">
        <f t="shared" ca="1" si="135"/>
        <v>#N/A</v>
      </c>
      <c r="AB419" t="e">
        <f t="shared" ca="1" si="127"/>
        <v>#N/A</v>
      </c>
      <c r="AC419" t="e">
        <f t="shared" ca="1" si="128"/>
        <v>#N/A</v>
      </c>
      <c r="AD419" t="e">
        <f t="shared" ca="1" si="129"/>
        <v>#N/A</v>
      </c>
      <c r="AE419" s="83" t="e">
        <f ca="1"/>
        <v>#N/A</v>
      </c>
      <c r="AF419" s="55" t="e">
        <f t="shared" ca="1" si="130"/>
        <v>#N/A</v>
      </c>
      <c r="AG419" s="55" t="e">
        <f t="shared" ca="1" si="131"/>
        <v>#N/A</v>
      </c>
      <c r="AH419" s="55" t="e">
        <f t="shared" ca="1" si="132"/>
        <v>#N/A</v>
      </c>
      <c r="AI419" s="55" t="e">
        <f t="shared" ca="1" si="133"/>
        <v>#N/A</v>
      </c>
      <c r="AJ419" s="55" t="e">
        <f t="shared" ca="1" si="139"/>
        <v>#N/A</v>
      </c>
      <c r="AK419" s="55" t="e">
        <f t="shared" ca="1" si="140"/>
        <v>#N/A</v>
      </c>
      <c r="AL419" s="55" t="e">
        <f t="shared" ca="1" si="141"/>
        <v>#N/A</v>
      </c>
      <c r="AM419" s="55"/>
    </row>
    <row r="420" spans="18:39">
      <c r="R420" s="55" t="e">
        <f ca="1"/>
        <v>#N/A</v>
      </c>
      <c r="S420" s="55" t="e">
        <f t="shared" ca="1" si="123"/>
        <v>#N/A</v>
      </c>
      <c r="T420" s="55" t="e">
        <f t="shared" ca="1" si="124"/>
        <v>#N/A</v>
      </c>
      <c r="U420" s="55" t="e">
        <f t="shared" ca="1" si="125"/>
        <v>#N/A</v>
      </c>
      <c r="V420" s="55" t="e">
        <f t="shared" ca="1" si="126"/>
        <v>#N/A</v>
      </c>
      <c r="W420" s="55" t="e">
        <f t="shared" ca="1" si="136"/>
        <v>#N/A</v>
      </c>
      <c r="X420" s="55" t="e">
        <f t="shared" ca="1" si="137"/>
        <v>#N/A</v>
      </c>
      <c r="Y420" s="55" t="e">
        <f t="shared" ca="1" si="138"/>
        <v>#N/A</v>
      </c>
      <c r="Z420" s="55" t="e">
        <f t="shared" ca="1" si="134"/>
        <v>#N/A</v>
      </c>
      <c r="AA420" t="e">
        <f t="shared" ca="1" si="135"/>
        <v>#N/A</v>
      </c>
      <c r="AB420" t="e">
        <f t="shared" ca="1" si="127"/>
        <v>#N/A</v>
      </c>
      <c r="AC420" t="e">
        <f t="shared" ca="1" si="128"/>
        <v>#N/A</v>
      </c>
      <c r="AD420" t="e">
        <f t="shared" ca="1" si="129"/>
        <v>#N/A</v>
      </c>
      <c r="AE420" s="83" t="e">
        <f ca="1"/>
        <v>#N/A</v>
      </c>
      <c r="AF420" s="55" t="e">
        <f t="shared" ca="1" si="130"/>
        <v>#N/A</v>
      </c>
      <c r="AG420" s="55" t="e">
        <f t="shared" ca="1" si="131"/>
        <v>#N/A</v>
      </c>
      <c r="AH420" s="55" t="e">
        <f t="shared" ca="1" si="132"/>
        <v>#N/A</v>
      </c>
      <c r="AI420" s="55" t="e">
        <f t="shared" ca="1" si="133"/>
        <v>#N/A</v>
      </c>
      <c r="AJ420" s="55" t="e">
        <f t="shared" ca="1" si="139"/>
        <v>#N/A</v>
      </c>
      <c r="AK420" s="55" t="e">
        <f t="shared" ca="1" si="140"/>
        <v>#N/A</v>
      </c>
      <c r="AL420" s="55" t="e">
        <f t="shared" ca="1" si="141"/>
        <v>#N/A</v>
      </c>
      <c r="AM420" s="55"/>
    </row>
    <row r="421" spans="18:39">
      <c r="R421" s="55" t="e">
        <f ca="1"/>
        <v>#N/A</v>
      </c>
      <c r="S421" s="55" t="e">
        <f t="shared" ca="1" si="123"/>
        <v>#N/A</v>
      </c>
      <c r="T421" s="55" t="e">
        <f t="shared" ca="1" si="124"/>
        <v>#N/A</v>
      </c>
      <c r="U421" s="55" t="e">
        <f t="shared" ca="1" si="125"/>
        <v>#N/A</v>
      </c>
      <c r="V421" s="55" t="e">
        <f t="shared" ca="1" si="126"/>
        <v>#N/A</v>
      </c>
      <c r="W421" s="55" t="e">
        <f t="shared" ca="1" si="136"/>
        <v>#N/A</v>
      </c>
      <c r="X421" s="55" t="e">
        <f t="shared" ca="1" si="137"/>
        <v>#N/A</v>
      </c>
      <c r="Y421" s="55" t="e">
        <f t="shared" ca="1" si="138"/>
        <v>#N/A</v>
      </c>
      <c r="Z421" s="55" t="e">
        <f t="shared" ca="1" si="134"/>
        <v>#N/A</v>
      </c>
      <c r="AA421" t="e">
        <f t="shared" ca="1" si="135"/>
        <v>#N/A</v>
      </c>
      <c r="AB421" t="e">
        <f t="shared" ca="1" si="127"/>
        <v>#N/A</v>
      </c>
      <c r="AC421" t="e">
        <f t="shared" ca="1" si="128"/>
        <v>#N/A</v>
      </c>
      <c r="AD421" t="e">
        <f t="shared" ca="1" si="129"/>
        <v>#N/A</v>
      </c>
      <c r="AE421" s="83" t="e">
        <f ca="1"/>
        <v>#N/A</v>
      </c>
      <c r="AF421" s="55" t="e">
        <f t="shared" ca="1" si="130"/>
        <v>#N/A</v>
      </c>
      <c r="AG421" s="55" t="e">
        <f t="shared" ca="1" si="131"/>
        <v>#N/A</v>
      </c>
      <c r="AH421" s="55" t="e">
        <f t="shared" ca="1" si="132"/>
        <v>#N/A</v>
      </c>
      <c r="AI421" s="55" t="e">
        <f t="shared" ca="1" si="133"/>
        <v>#N/A</v>
      </c>
      <c r="AJ421" s="55" t="e">
        <f t="shared" ca="1" si="139"/>
        <v>#N/A</v>
      </c>
      <c r="AK421" s="55" t="e">
        <f t="shared" ca="1" si="140"/>
        <v>#N/A</v>
      </c>
      <c r="AL421" s="55" t="e">
        <f t="shared" ca="1" si="141"/>
        <v>#N/A</v>
      </c>
      <c r="AM421" s="55"/>
    </row>
    <row r="422" spans="18:39">
      <c r="R422" s="55" t="e">
        <f ca="1"/>
        <v>#N/A</v>
      </c>
      <c r="S422" s="55" t="e">
        <f t="shared" ca="1" si="123"/>
        <v>#N/A</v>
      </c>
      <c r="T422" s="55" t="e">
        <f t="shared" ca="1" si="124"/>
        <v>#N/A</v>
      </c>
      <c r="U422" s="55" t="e">
        <f t="shared" ca="1" si="125"/>
        <v>#N/A</v>
      </c>
      <c r="V422" s="55" t="e">
        <f t="shared" ca="1" si="126"/>
        <v>#N/A</v>
      </c>
      <c r="W422" s="55" t="e">
        <f t="shared" ca="1" si="136"/>
        <v>#N/A</v>
      </c>
      <c r="X422" s="55" t="e">
        <f t="shared" ca="1" si="137"/>
        <v>#N/A</v>
      </c>
      <c r="Y422" s="55" t="e">
        <f t="shared" ca="1" si="138"/>
        <v>#N/A</v>
      </c>
      <c r="Z422" s="55" t="e">
        <f t="shared" ca="1" si="134"/>
        <v>#N/A</v>
      </c>
      <c r="AA422" t="e">
        <f t="shared" ca="1" si="135"/>
        <v>#N/A</v>
      </c>
      <c r="AB422" t="e">
        <f t="shared" ca="1" si="127"/>
        <v>#N/A</v>
      </c>
      <c r="AC422" t="e">
        <f t="shared" ca="1" si="128"/>
        <v>#N/A</v>
      </c>
      <c r="AD422" t="e">
        <f t="shared" ca="1" si="129"/>
        <v>#N/A</v>
      </c>
      <c r="AE422" s="83" t="e">
        <f ca="1"/>
        <v>#N/A</v>
      </c>
      <c r="AF422" s="55" t="e">
        <f t="shared" ca="1" si="130"/>
        <v>#N/A</v>
      </c>
      <c r="AG422" s="55" t="e">
        <f t="shared" ca="1" si="131"/>
        <v>#N/A</v>
      </c>
      <c r="AH422" s="55" t="e">
        <f t="shared" ca="1" si="132"/>
        <v>#N/A</v>
      </c>
      <c r="AI422" s="55" t="e">
        <f t="shared" ca="1" si="133"/>
        <v>#N/A</v>
      </c>
      <c r="AJ422" s="55" t="e">
        <f t="shared" ca="1" si="139"/>
        <v>#N/A</v>
      </c>
      <c r="AK422" s="55" t="e">
        <f t="shared" ca="1" si="140"/>
        <v>#N/A</v>
      </c>
      <c r="AL422" s="55" t="e">
        <f t="shared" ca="1" si="141"/>
        <v>#N/A</v>
      </c>
      <c r="AM422" s="55"/>
    </row>
    <row r="423" spans="18:39">
      <c r="R423" s="55" t="e">
        <f ca="1"/>
        <v>#N/A</v>
      </c>
      <c r="S423" s="55" t="e">
        <f t="shared" ca="1" si="123"/>
        <v>#N/A</v>
      </c>
      <c r="T423" s="55" t="e">
        <f t="shared" ca="1" si="124"/>
        <v>#N/A</v>
      </c>
      <c r="U423" s="55" t="e">
        <f t="shared" ca="1" si="125"/>
        <v>#N/A</v>
      </c>
      <c r="V423" s="55" t="e">
        <f t="shared" ca="1" si="126"/>
        <v>#N/A</v>
      </c>
      <c r="W423" s="55" t="e">
        <f t="shared" ca="1" si="136"/>
        <v>#N/A</v>
      </c>
      <c r="X423" s="55" t="e">
        <f t="shared" ca="1" si="137"/>
        <v>#N/A</v>
      </c>
      <c r="Y423" s="55" t="e">
        <f t="shared" ca="1" si="138"/>
        <v>#N/A</v>
      </c>
      <c r="Z423" s="55" t="e">
        <f t="shared" ca="1" si="134"/>
        <v>#N/A</v>
      </c>
      <c r="AA423" t="e">
        <f t="shared" ca="1" si="135"/>
        <v>#N/A</v>
      </c>
      <c r="AB423" t="e">
        <f t="shared" ca="1" si="127"/>
        <v>#N/A</v>
      </c>
      <c r="AC423" t="e">
        <f t="shared" ca="1" si="128"/>
        <v>#N/A</v>
      </c>
      <c r="AD423" t="e">
        <f t="shared" ca="1" si="129"/>
        <v>#N/A</v>
      </c>
      <c r="AE423" s="83" t="e">
        <f ca="1"/>
        <v>#N/A</v>
      </c>
      <c r="AF423" s="55" t="e">
        <f t="shared" ca="1" si="130"/>
        <v>#N/A</v>
      </c>
      <c r="AG423" s="55" t="e">
        <f t="shared" ca="1" si="131"/>
        <v>#N/A</v>
      </c>
      <c r="AH423" s="55" t="e">
        <f t="shared" ca="1" si="132"/>
        <v>#N/A</v>
      </c>
      <c r="AI423" s="55" t="e">
        <f t="shared" ca="1" si="133"/>
        <v>#N/A</v>
      </c>
      <c r="AJ423" s="55" t="e">
        <f t="shared" ca="1" si="139"/>
        <v>#N/A</v>
      </c>
      <c r="AK423" s="55" t="e">
        <f t="shared" ca="1" si="140"/>
        <v>#N/A</v>
      </c>
      <c r="AL423" s="55" t="e">
        <f t="shared" ca="1" si="141"/>
        <v>#N/A</v>
      </c>
      <c r="AM423" s="55"/>
    </row>
    <row r="424" spans="18:39">
      <c r="R424" s="55" t="e">
        <f ca="1"/>
        <v>#N/A</v>
      </c>
      <c r="S424" s="55" t="e">
        <f t="shared" ca="1" si="123"/>
        <v>#N/A</v>
      </c>
      <c r="T424" s="55" t="e">
        <f t="shared" ca="1" si="124"/>
        <v>#N/A</v>
      </c>
      <c r="U424" s="55" t="e">
        <f t="shared" ca="1" si="125"/>
        <v>#N/A</v>
      </c>
      <c r="V424" s="55" t="e">
        <f t="shared" ca="1" si="126"/>
        <v>#N/A</v>
      </c>
      <c r="W424" s="55" t="e">
        <f t="shared" ca="1" si="136"/>
        <v>#N/A</v>
      </c>
      <c r="X424" s="55" t="e">
        <f t="shared" ca="1" si="137"/>
        <v>#N/A</v>
      </c>
      <c r="Y424" s="55" t="e">
        <f t="shared" ca="1" si="138"/>
        <v>#N/A</v>
      </c>
      <c r="Z424" s="55" t="e">
        <f t="shared" ca="1" si="134"/>
        <v>#N/A</v>
      </c>
      <c r="AA424" t="e">
        <f t="shared" ca="1" si="135"/>
        <v>#N/A</v>
      </c>
      <c r="AB424" t="e">
        <f t="shared" ca="1" si="127"/>
        <v>#N/A</v>
      </c>
      <c r="AC424" t="e">
        <f t="shared" ca="1" si="128"/>
        <v>#N/A</v>
      </c>
      <c r="AD424" t="e">
        <f t="shared" ca="1" si="129"/>
        <v>#N/A</v>
      </c>
      <c r="AE424" s="83" t="e">
        <f ca="1"/>
        <v>#N/A</v>
      </c>
      <c r="AF424" s="55" t="e">
        <f t="shared" ca="1" si="130"/>
        <v>#N/A</v>
      </c>
      <c r="AG424" s="55" t="e">
        <f t="shared" ca="1" si="131"/>
        <v>#N/A</v>
      </c>
      <c r="AH424" s="55" t="e">
        <f t="shared" ca="1" si="132"/>
        <v>#N/A</v>
      </c>
      <c r="AI424" s="55" t="e">
        <f t="shared" ca="1" si="133"/>
        <v>#N/A</v>
      </c>
      <c r="AJ424" s="55" t="e">
        <f t="shared" ca="1" si="139"/>
        <v>#N/A</v>
      </c>
      <c r="AK424" s="55" t="e">
        <f t="shared" ca="1" si="140"/>
        <v>#N/A</v>
      </c>
      <c r="AL424" s="55" t="e">
        <f t="shared" ca="1" si="141"/>
        <v>#N/A</v>
      </c>
      <c r="AM424" s="55"/>
    </row>
    <row r="425" spans="18:39">
      <c r="R425" s="55" t="e">
        <f ca="1"/>
        <v>#N/A</v>
      </c>
      <c r="S425" s="55" t="e">
        <f t="shared" ca="1" si="123"/>
        <v>#N/A</v>
      </c>
      <c r="T425" s="55" t="e">
        <f t="shared" ca="1" si="124"/>
        <v>#N/A</v>
      </c>
      <c r="U425" s="55" t="e">
        <f t="shared" ca="1" si="125"/>
        <v>#N/A</v>
      </c>
      <c r="V425" s="55" t="e">
        <f t="shared" ca="1" si="126"/>
        <v>#N/A</v>
      </c>
      <c r="W425" s="55" t="e">
        <f t="shared" ca="1" si="136"/>
        <v>#N/A</v>
      </c>
      <c r="X425" s="55" t="e">
        <f t="shared" ca="1" si="137"/>
        <v>#N/A</v>
      </c>
      <c r="Y425" s="55" t="e">
        <f t="shared" ca="1" si="138"/>
        <v>#N/A</v>
      </c>
      <c r="Z425" s="55" t="e">
        <f t="shared" ca="1" si="134"/>
        <v>#N/A</v>
      </c>
      <c r="AA425" t="e">
        <f t="shared" ca="1" si="135"/>
        <v>#N/A</v>
      </c>
      <c r="AB425" t="e">
        <f t="shared" ca="1" si="127"/>
        <v>#N/A</v>
      </c>
      <c r="AC425" t="e">
        <f t="shared" ca="1" si="128"/>
        <v>#N/A</v>
      </c>
      <c r="AD425" t="e">
        <f t="shared" ca="1" si="129"/>
        <v>#N/A</v>
      </c>
      <c r="AE425" s="83" t="e">
        <f ca="1"/>
        <v>#N/A</v>
      </c>
      <c r="AF425" s="55" t="e">
        <f t="shared" ca="1" si="130"/>
        <v>#N/A</v>
      </c>
      <c r="AG425" s="55" t="e">
        <f t="shared" ca="1" si="131"/>
        <v>#N/A</v>
      </c>
      <c r="AH425" s="55" t="e">
        <f t="shared" ca="1" si="132"/>
        <v>#N/A</v>
      </c>
      <c r="AI425" s="55" t="e">
        <f t="shared" ca="1" si="133"/>
        <v>#N/A</v>
      </c>
      <c r="AJ425" s="55" t="e">
        <f t="shared" ca="1" si="139"/>
        <v>#N/A</v>
      </c>
      <c r="AK425" s="55" t="e">
        <f t="shared" ca="1" si="140"/>
        <v>#N/A</v>
      </c>
      <c r="AL425" s="55" t="e">
        <f t="shared" ca="1" si="141"/>
        <v>#N/A</v>
      </c>
      <c r="AM425" s="55"/>
    </row>
    <row r="426" spans="18:39">
      <c r="R426" s="55" t="e">
        <f ca="1"/>
        <v>#N/A</v>
      </c>
      <c r="S426" s="55" t="e">
        <f t="shared" ca="1" si="123"/>
        <v>#N/A</v>
      </c>
      <c r="T426" s="55" t="e">
        <f t="shared" ca="1" si="124"/>
        <v>#N/A</v>
      </c>
      <c r="U426" s="55" t="e">
        <f t="shared" ca="1" si="125"/>
        <v>#N/A</v>
      </c>
      <c r="V426" s="55" t="e">
        <f t="shared" ca="1" si="126"/>
        <v>#N/A</v>
      </c>
      <c r="W426" s="55" t="e">
        <f t="shared" ca="1" si="136"/>
        <v>#N/A</v>
      </c>
      <c r="X426" s="55" t="e">
        <f t="shared" ca="1" si="137"/>
        <v>#N/A</v>
      </c>
      <c r="Y426" s="55" t="e">
        <f t="shared" ca="1" si="138"/>
        <v>#N/A</v>
      </c>
      <c r="Z426" s="55" t="e">
        <f t="shared" ca="1" si="134"/>
        <v>#N/A</v>
      </c>
      <c r="AA426" t="e">
        <f t="shared" ca="1" si="135"/>
        <v>#N/A</v>
      </c>
      <c r="AB426" t="e">
        <f t="shared" ca="1" si="127"/>
        <v>#N/A</v>
      </c>
      <c r="AC426" t="e">
        <f t="shared" ca="1" si="128"/>
        <v>#N/A</v>
      </c>
      <c r="AD426" t="e">
        <f t="shared" ca="1" si="129"/>
        <v>#N/A</v>
      </c>
      <c r="AE426" s="83" t="e">
        <f ca="1"/>
        <v>#N/A</v>
      </c>
      <c r="AF426" s="55" t="e">
        <f t="shared" ca="1" si="130"/>
        <v>#N/A</v>
      </c>
      <c r="AG426" s="55" t="e">
        <f t="shared" ca="1" si="131"/>
        <v>#N/A</v>
      </c>
      <c r="AH426" s="55" t="e">
        <f t="shared" ca="1" si="132"/>
        <v>#N/A</v>
      </c>
      <c r="AI426" s="55" t="e">
        <f t="shared" ca="1" si="133"/>
        <v>#N/A</v>
      </c>
      <c r="AJ426" s="55" t="e">
        <f t="shared" ca="1" si="139"/>
        <v>#N/A</v>
      </c>
      <c r="AK426" s="55" t="e">
        <f t="shared" ca="1" si="140"/>
        <v>#N/A</v>
      </c>
      <c r="AL426" s="55" t="e">
        <f t="shared" ca="1" si="141"/>
        <v>#N/A</v>
      </c>
      <c r="AM426" s="55"/>
    </row>
    <row r="427" spans="18:39">
      <c r="R427" s="55" t="e">
        <f ca="1"/>
        <v>#N/A</v>
      </c>
      <c r="S427" s="55" t="e">
        <f t="shared" ca="1" si="123"/>
        <v>#N/A</v>
      </c>
      <c r="T427" s="55" t="e">
        <f t="shared" ca="1" si="124"/>
        <v>#N/A</v>
      </c>
      <c r="U427" s="55" t="e">
        <f t="shared" ca="1" si="125"/>
        <v>#N/A</v>
      </c>
      <c r="V427" s="55" t="e">
        <f t="shared" ca="1" si="126"/>
        <v>#N/A</v>
      </c>
      <c r="W427" s="55" t="e">
        <f t="shared" ca="1" si="136"/>
        <v>#N/A</v>
      </c>
      <c r="X427" s="55" t="e">
        <f t="shared" ca="1" si="137"/>
        <v>#N/A</v>
      </c>
      <c r="Y427" s="55" t="e">
        <f t="shared" ca="1" si="138"/>
        <v>#N/A</v>
      </c>
      <c r="Z427" s="55" t="e">
        <f t="shared" ca="1" si="134"/>
        <v>#N/A</v>
      </c>
      <c r="AA427" t="e">
        <f t="shared" ca="1" si="135"/>
        <v>#N/A</v>
      </c>
      <c r="AB427" t="e">
        <f t="shared" ca="1" si="127"/>
        <v>#N/A</v>
      </c>
      <c r="AC427" t="e">
        <f t="shared" ca="1" si="128"/>
        <v>#N/A</v>
      </c>
      <c r="AD427" t="e">
        <f t="shared" ca="1" si="129"/>
        <v>#N/A</v>
      </c>
      <c r="AE427" s="83" t="e">
        <f ca="1"/>
        <v>#N/A</v>
      </c>
      <c r="AF427" s="55" t="e">
        <f t="shared" ca="1" si="130"/>
        <v>#N/A</v>
      </c>
      <c r="AG427" s="55" t="e">
        <f t="shared" ca="1" si="131"/>
        <v>#N/A</v>
      </c>
      <c r="AH427" s="55" t="e">
        <f t="shared" ca="1" si="132"/>
        <v>#N/A</v>
      </c>
      <c r="AI427" s="55" t="e">
        <f t="shared" ca="1" si="133"/>
        <v>#N/A</v>
      </c>
      <c r="AJ427" s="55" t="e">
        <f t="shared" ca="1" si="139"/>
        <v>#N/A</v>
      </c>
      <c r="AK427" s="55" t="e">
        <f t="shared" ca="1" si="140"/>
        <v>#N/A</v>
      </c>
      <c r="AL427" s="55" t="e">
        <f t="shared" ca="1" si="141"/>
        <v>#N/A</v>
      </c>
      <c r="AM427" s="55"/>
    </row>
    <row r="428" spans="18:39">
      <c r="R428" s="55" t="e">
        <f ca="1"/>
        <v>#N/A</v>
      </c>
      <c r="S428" s="55" t="e">
        <f t="shared" ca="1" si="123"/>
        <v>#N/A</v>
      </c>
      <c r="T428" s="55" t="e">
        <f t="shared" ca="1" si="124"/>
        <v>#N/A</v>
      </c>
      <c r="U428" s="55" t="e">
        <f t="shared" ca="1" si="125"/>
        <v>#N/A</v>
      </c>
      <c r="V428" s="55" t="e">
        <f t="shared" ca="1" si="126"/>
        <v>#N/A</v>
      </c>
      <c r="W428" s="55" t="e">
        <f t="shared" ca="1" si="136"/>
        <v>#N/A</v>
      </c>
      <c r="X428" s="55" t="e">
        <f t="shared" ca="1" si="137"/>
        <v>#N/A</v>
      </c>
      <c r="Y428" s="55" t="e">
        <f t="shared" ca="1" si="138"/>
        <v>#N/A</v>
      </c>
      <c r="Z428" s="55" t="e">
        <f t="shared" ca="1" si="134"/>
        <v>#N/A</v>
      </c>
      <c r="AA428" t="e">
        <f t="shared" ca="1" si="135"/>
        <v>#N/A</v>
      </c>
      <c r="AB428" t="e">
        <f t="shared" ca="1" si="127"/>
        <v>#N/A</v>
      </c>
      <c r="AC428" t="e">
        <f t="shared" ca="1" si="128"/>
        <v>#N/A</v>
      </c>
      <c r="AD428" t="e">
        <f t="shared" ca="1" si="129"/>
        <v>#N/A</v>
      </c>
      <c r="AE428" s="83" t="e">
        <f ca="1"/>
        <v>#N/A</v>
      </c>
      <c r="AF428" s="55" t="e">
        <f t="shared" ca="1" si="130"/>
        <v>#N/A</v>
      </c>
      <c r="AG428" s="55" t="e">
        <f t="shared" ca="1" si="131"/>
        <v>#N/A</v>
      </c>
      <c r="AH428" s="55" t="e">
        <f t="shared" ca="1" si="132"/>
        <v>#N/A</v>
      </c>
      <c r="AI428" s="55" t="e">
        <f t="shared" ca="1" si="133"/>
        <v>#N/A</v>
      </c>
      <c r="AJ428" s="55" t="e">
        <f t="shared" ca="1" si="139"/>
        <v>#N/A</v>
      </c>
      <c r="AK428" s="55" t="e">
        <f t="shared" ca="1" si="140"/>
        <v>#N/A</v>
      </c>
      <c r="AL428" s="55" t="e">
        <f t="shared" ca="1" si="141"/>
        <v>#N/A</v>
      </c>
      <c r="AM428" s="55"/>
    </row>
    <row r="429" spans="18:39">
      <c r="R429" s="55" t="e">
        <f ca="1"/>
        <v>#N/A</v>
      </c>
      <c r="S429" s="55" t="e">
        <f t="shared" ca="1" si="123"/>
        <v>#N/A</v>
      </c>
      <c r="T429" s="55" t="e">
        <f t="shared" ca="1" si="124"/>
        <v>#N/A</v>
      </c>
      <c r="U429" s="55" t="e">
        <f t="shared" ca="1" si="125"/>
        <v>#N/A</v>
      </c>
      <c r="V429" s="55" t="e">
        <f t="shared" ca="1" si="126"/>
        <v>#N/A</v>
      </c>
      <c r="W429" s="55" t="e">
        <f t="shared" ca="1" si="136"/>
        <v>#N/A</v>
      </c>
      <c r="X429" s="55" t="e">
        <f t="shared" ca="1" si="137"/>
        <v>#N/A</v>
      </c>
      <c r="Y429" s="55" t="e">
        <f t="shared" ca="1" si="138"/>
        <v>#N/A</v>
      </c>
      <c r="Z429" s="55" t="e">
        <f t="shared" ca="1" si="134"/>
        <v>#N/A</v>
      </c>
      <c r="AA429" t="e">
        <f t="shared" ca="1" si="135"/>
        <v>#N/A</v>
      </c>
      <c r="AB429" t="e">
        <f t="shared" ca="1" si="127"/>
        <v>#N/A</v>
      </c>
      <c r="AC429" t="e">
        <f t="shared" ca="1" si="128"/>
        <v>#N/A</v>
      </c>
      <c r="AD429" t="e">
        <f t="shared" ca="1" si="129"/>
        <v>#N/A</v>
      </c>
      <c r="AE429" s="83" t="e">
        <f ca="1"/>
        <v>#N/A</v>
      </c>
      <c r="AF429" s="55" t="e">
        <f t="shared" ca="1" si="130"/>
        <v>#N/A</v>
      </c>
      <c r="AG429" s="55" t="e">
        <f t="shared" ca="1" si="131"/>
        <v>#N/A</v>
      </c>
      <c r="AH429" s="55" t="e">
        <f t="shared" ca="1" si="132"/>
        <v>#N/A</v>
      </c>
      <c r="AI429" s="55" t="e">
        <f t="shared" ca="1" si="133"/>
        <v>#N/A</v>
      </c>
      <c r="AJ429" s="55" t="e">
        <f t="shared" ca="1" si="139"/>
        <v>#N/A</v>
      </c>
      <c r="AK429" s="55" t="e">
        <f t="shared" ca="1" si="140"/>
        <v>#N/A</v>
      </c>
      <c r="AL429" s="55" t="e">
        <f t="shared" ca="1" si="141"/>
        <v>#N/A</v>
      </c>
      <c r="AM429" s="55"/>
    </row>
    <row r="430" spans="18:39">
      <c r="R430" s="55" t="e">
        <f ca="1"/>
        <v>#N/A</v>
      </c>
      <c r="S430" s="55" t="e">
        <f t="shared" ca="1" si="123"/>
        <v>#N/A</v>
      </c>
      <c r="T430" s="55" t="e">
        <f t="shared" ca="1" si="124"/>
        <v>#N/A</v>
      </c>
      <c r="U430" s="55" t="e">
        <f t="shared" ca="1" si="125"/>
        <v>#N/A</v>
      </c>
      <c r="V430" s="55" t="e">
        <f t="shared" ca="1" si="126"/>
        <v>#N/A</v>
      </c>
      <c r="W430" s="55" t="e">
        <f t="shared" ca="1" si="136"/>
        <v>#N/A</v>
      </c>
      <c r="X430" s="55" t="e">
        <f t="shared" ca="1" si="137"/>
        <v>#N/A</v>
      </c>
      <c r="Y430" s="55" t="e">
        <f t="shared" ca="1" si="138"/>
        <v>#N/A</v>
      </c>
      <c r="Z430" s="55" t="e">
        <f t="shared" ca="1" si="134"/>
        <v>#N/A</v>
      </c>
      <c r="AA430" t="e">
        <f t="shared" ca="1" si="135"/>
        <v>#N/A</v>
      </c>
      <c r="AB430" t="e">
        <f t="shared" ca="1" si="127"/>
        <v>#N/A</v>
      </c>
      <c r="AC430" t="e">
        <f t="shared" ca="1" si="128"/>
        <v>#N/A</v>
      </c>
      <c r="AD430" t="e">
        <f t="shared" ca="1" si="129"/>
        <v>#N/A</v>
      </c>
      <c r="AE430" s="83" t="e">
        <f ca="1"/>
        <v>#N/A</v>
      </c>
      <c r="AF430" s="55" t="e">
        <f t="shared" ca="1" si="130"/>
        <v>#N/A</v>
      </c>
      <c r="AG430" s="55" t="e">
        <f t="shared" ca="1" si="131"/>
        <v>#N/A</v>
      </c>
      <c r="AH430" s="55" t="e">
        <f t="shared" ca="1" si="132"/>
        <v>#N/A</v>
      </c>
      <c r="AI430" s="55" t="e">
        <f t="shared" ca="1" si="133"/>
        <v>#N/A</v>
      </c>
      <c r="AJ430" s="55" t="e">
        <f t="shared" ca="1" si="139"/>
        <v>#N/A</v>
      </c>
      <c r="AK430" s="55" t="e">
        <f t="shared" ca="1" si="140"/>
        <v>#N/A</v>
      </c>
      <c r="AL430" s="55" t="e">
        <f t="shared" ca="1" si="141"/>
        <v>#N/A</v>
      </c>
      <c r="AM430" s="55"/>
    </row>
    <row r="431" spans="18:39">
      <c r="R431" s="55" t="e">
        <f ca="1"/>
        <v>#N/A</v>
      </c>
      <c r="S431" s="55" t="e">
        <f t="shared" ca="1" si="123"/>
        <v>#N/A</v>
      </c>
      <c r="T431" s="55" t="e">
        <f t="shared" ca="1" si="124"/>
        <v>#N/A</v>
      </c>
      <c r="U431" s="55" t="e">
        <f t="shared" ca="1" si="125"/>
        <v>#N/A</v>
      </c>
      <c r="V431" s="55" t="e">
        <f t="shared" ca="1" si="126"/>
        <v>#N/A</v>
      </c>
      <c r="W431" s="55" t="e">
        <f t="shared" ca="1" si="136"/>
        <v>#N/A</v>
      </c>
      <c r="X431" s="55" t="e">
        <f t="shared" ca="1" si="137"/>
        <v>#N/A</v>
      </c>
      <c r="Y431" s="55" t="e">
        <f t="shared" ca="1" si="138"/>
        <v>#N/A</v>
      </c>
      <c r="Z431" s="55" t="e">
        <f t="shared" ca="1" si="134"/>
        <v>#N/A</v>
      </c>
      <c r="AA431" t="e">
        <f t="shared" ca="1" si="135"/>
        <v>#N/A</v>
      </c>
      <c r="AB431" t="e">
        <f t="shared" ca="1" si="127"/>
        <v>#N/A</v>
      </c>
      <c r="AC431" t="e">
        <f t="shared" ca="1" si="128"/>
        <v>#N/A</v>
      </c>
      <c r="AD431" t="e">
        <f t="shared" ca="1" si="129"/>
        <v>#N/A</v>
      </c>
      <c r="AE431" s="83" t="e">
        <f ca="1"/>
        <v>#N/A</v>
      </c>
      <c r="AF431" s="55" t="e">
        <f t="shared" ca="1" si="130"/>
        <v>#N/A</v>
      </c>
      <c r="AG431" s="55" t="e">
        <f t="shared" ca="1" si="131"/>
        <v>#N/A</v>
      </c>
      <c r="AH431" s="55" t="e">
        <f t="shared" ca="1" si="132"/>
        <v>#N/A</v>
      </c>
      <c r="AI431" s="55" t="e">
        <f t="shared" ca="1" si="133"/>
        <v>#N/A</v>
      </c>
      <c r="AJ431" s="55" t="e">
        <f t="shared" ca="1" si="139"/>
        <v>#N/A</v>
      </c>
      <c r="AK431" s="55" t="e">
        <f t="shared" ca="1" si="140"/>
        <v>#N/A</v>
      </c>
      <c r="AL431" s="55" t="e">
        <f t="shared" ca="1" si="141"/>
        <v>#N/A</v>
      </c>
      <c r="AM431" s="55"/>
    </row>
    <row r="432" spans="18:39">
      <c r="R432" s="55" t="e">
        <f ca="1"/>
        <v>#N/A</v>
      </c>
      <c r="S432" s="55" t="e">
        <f t="shared" ca="1" si="123"/>
        <v>#N/A</v>
      </c>
      <c r="T432" s="55" t="e">
        <f t="shared" ca="1" si="124"/>
        <v>#N/A</v>
      </c>
      <c r="U432" s="55" t="e">
        <f t="shared" ca="1" si="125"/>
        <v>#N/A</v>
      </c>
      <c r="V432" s="55" t="e">
        <f t="shared" ca="1" si="126"/>
        <v>#N/A</v>
      </c>
      <c r="W432" s="55" t="e">
        <f t="shared" ca="1" si="136"/>
        <v>#N/A</v>
      </c>
      <c r="X432" s="55" t="e">
        <f t="shared" ca="1" si="137"/>
        <v>#N/A</v>
      </c>
      <c r="Y432" s="55" t="e">
        <f t="shared" ca="1" si="138"/>
        <v>#N/A</v>
      </c>
      <c r="Z432" s="55" t="e">
        <f t="shared" ca="1" si="134"/>
        <v>#N/A</v>
      </c>
      <c r="AA432" t="e">
        <f t="shared" ca="1" si="135"/>
        <v>#N/A</v>
      </c>
      <c r="AB432" t="e">
        <f t="shared" ca="1" si="127"/>
        <v>#N/A</v>
      </c>
      <c r="AC432" t="e">
        <f t="shared" ca="1" si="128"/>
        <v>#N/A</v>
      </c>
      <c r="AD432" t="e">
        <f t="shared" ca="1" si="129"/>
        <v>#N/A</v>
      </c>
      <c r="AE432" s="83" t="e">
        <f ca="1"/>
        <v>#N/A</v>
      </c>
      <c r="AF432" s="55" t="e">
        <f t="shared" ca="1" si="130"/>
        <v>#N/A</v>
      </c>
      <c r="AG432" s="55" t="e">
        <f t="shared" ca="1" si="131"/>
        <v>#N/A</v>
      </c>
      <c r="AH432" s="55" t="e">
        <f t="shared" ca="1" si="132"/>
        <v>#N/A</v>
      </c>
      <c r="AI432" s="55" t="e">
        <f t="shared" ca="1" si="133"/>
        <v>#N/A</v>
      </c>
      <c r="AJ432" s="55" t="e">
        <f t="shared" ca="1" si="139"/>
        <v>#N/A</v>
      </c>
      <c r="AK432" s="55" t="e">
        <f t="shared" ca="1" si="140"/>
        <v>#N/A</v>
      </c>
      <c r="AL432" s="55" t="e">
        <f t="shared" ca="1" si="141"/>
        <v>#N/A</v>
      </c>
      <c r="AM432" s="55"/>
    </row>
    <row r="433" spans="18:39">
      <c r="R433" s="55" t="e">
        <f ca="1"/>
        <v>#N/A</v>
      </c>
      <c r="S433" s="55" t="e">
        <f t="shared" ca="1" si="123"/>
        <v>#N/A</v>
      </c>
      <c r="T433" s="55" t="e">
        <f t="shared" ca="1" si="124"/>
        <v>#N/A</v>
      </c>
      <c r="U433" s="55" t="e">
        <f t="shared" ca="1" si="125"/>
        <v>#N/A</v>
      </c>
      <c r="V433" s="55" t="e">
        <f t="shared" ca="1" si="126"/>
        <v>#N/A</v>
      </c>
      <c r="W433" s="55" t="e">
        <f t="shared" ca="1" si="136"/>
        <v>#N/A</v>
      </c>
      <c r="X433" s="55" t="e">
        <f t="shared" ca="1" si="137"/>
        <v>#N/A</v>
      </c>
      <c r="Y433" s="55" t="e">
        <f t="shared" ca="1" si="138"/>
        <v>#N/A</v>
      </c>
      <c r="Z433" s="55" t="e">
        <f t="shared" ca="1" si="134"/>
        <v>#N/A</v>
      </c>
      <c r="AA433" t="e">
        <f t="shared" ca="1" si="135"/>
        <v>#N/A</v>
      </c>
      <c r="AB433" t="e">
        <f t="shared" ca="1" si="127"/>
        <v>#N/A</v>
      </c>
      <c r="AC433" t="e">
        <f t="shared" ca="1" si="128"/>
        <v>#N/A</v>
      </c>
      <c r="AD433" t="e">
        <f t="shared" ca="1" si="129"/>
        <v>#N/A</v>
      </c>
      <c r="AE433" s="83" t="e">
        <f ca="1"/>
        <v>#N/A</v>
      </c>
      <c r="AF433" s="55" t="e">
        <f t="shared" ca="1" si="130"/>
        <v>#N/A</v>
      </c>
      <c r="AG433" s="55" t="e">
        <f t="shared" ca="1" si="131"/>
        <v>#N/A</v>
      </c>
      <c r="AH433" s="55" t="e">
        <f t="shared" ca="1" si="132"/>
        <v>#N/A</v>
      </c>
      <c r="AI433" s="55" t="e">
        <f t="shared" ca="1" si="133"/>
        <v>#N/A</v>
      </c>
      <c r="AJ433" s="55" t="e">
        <f t="shared" ca="1" si="139"/>
        <v>#N/A</v>
      </c>
      <c r="AK433" s="55" t="e">
        <f t="shared" ca="1" si="140"/>
        <v>#N/A</v>
      </c>
      <c r="AL433" s="55" t="e">
        <f t="shared" ca="1" si="141"/>
        <v>#N/A</v>
      </c>
      <c r="AM433" s="55"/>
    </row>
    <row r="434" spans="18:39">
      <c r="R434" s="55" t="e">
        <f ca="1"/>
        <v>#N/A</v>
      </c>
      <c r="S434" s="55" t="e">
        <f t="shared" ca="1" si="123"/>
        <v>#N/A</v>
      </c>
      <c r="T434" s="55" t="e">
        <f t="shared" ca="1" si="124"/>
        <v>#N/A</v>
      </c>
      <c r="U434" s="55" t="e">
        <f t="shared" ca="1" si="125"/>
        <v>#N/A</v>
      </c>
      <c r="V434" s="55" t="e">
        <f t="shared" ca="1" si="126"/>
        <v>#N/A</v>
      </c>
      <c r="W434" s="55" t="e">
        <f t="shared" ca="1" si="136"/>
        <v>#N/A</v>
      </c>
      <c r="X434" s="55" t="e">
        <f t="shared" ca="1" si="137"/>
        <v>#N/A</v>
      </c>
      <c r="Y434" s="55" t="e">
        <f t="shared" ca="1" si="138"/>
        <v>#N/A</v>
      </c>
      <c r="Z434" s="55" t="e">
        <f t="shared" ca="1" si="134"/>
        <v>#N/A</v>
      </c>
      <c r="AA434" t="e">
        <f t="shared" ca="1" si="135"/>
        <v>#N/A</v>
      </c>
      <c r="AB434" t="e">
        <f t="shared" ca="1" si="127"/>
        <v>#N/A</v>
      </c>
      <c r="AC434" t="e">
        <f t="shared" ca="1" si="128"/>
        <v>#N/A</v>
      </c>
      <c r="AD434" t="e">
        <f t="shared" ca="1" si="129"/>
        <v>#N/A</v>
      </c>
      <c r="AE434" s="83" t="e">
        <f ca="1"/>
        <v>#N/A</v>
      </c>
      <c r="AF434" s="55" t="e">
        <f t="shared" ca="1" si="130"/>
        <v>#N/A</v>
      </c>
      <c r="AG434" s="55" t="e">
        <f t="shared" ca="1" si="131"/>
        <v>#N/A</v>
      </c>
      <c r="AH434" s="55" t="e">
        <f t="shared" ca="1" si="132"/>
        <v>#N/A</v>
      </c>
      <c r="AI434" s="55" t="e">
        <f t="shared" ca="1" si="133"/>
        <v>#N/A</v>
      </c>
      <c r="AJ434" s="55" t="e">
        <f t="shared" ca="1" si="139"/>
        <v>#N/A</v>
      </c>
      <c r="AK434" s="55" t="e">
        <f t="shared" ca="1" si="140"/>
        <v>#N/A</v>
      </c>
      <c r="AL434" s="55" t="e">
        <f t="shared" ca="1" si="141"/>
        <v>#N/A</v>
      </c>
      <c r="AM434" s="55"/>
    </row>
    <row r="435" spans="18:39">
      <c r="R435" s="55" t="e">
        <f ca="1"/>
        <v>#N/A</v>
      </c>
      <c r="S435" s="55" t="e">
        <f t="shared" ca="1" si="123"/>
        <v>#N/A</v>
      </c>
      <c r="T435" s="55" t="e">
        <f t="shared" ca="1" si="124"/>
        <v>#N/A</v>
      </c>
      <c r="U435" s="55" t="e">
        <f t="shared" ca="1" si="125"/>
        <v>#N/A</v>
      </c>
      <c r="V435" s="55" t="e">
        <f t="shared" ca="1" si="126"/>
        <v>#N/A</v>
      </c>
      <c r="W435" s="55" t="e">
        <f t="shared" ca="1" si="136"/>
        <v>#N/A</v>
      </c>
      <c r="X435" s="55" t="e">
        <f t="shared" ca="1" si="137"/>
        <v>#N/A</v>
      </c>
      <c r="Y435" s="55" t="e">
        <f t="shared" ca="1" si="138"/>
        <v>#N/A</v>
      </c>
      <c r="Z435" s="55" t="e">
        <f t="shared" ca="1" si="134"/>
        <v>#N/A</v>
      </c>
      <c r="AA435" t="e">
        <f t="shared" ca="1" si="135"/>
        <v>#N/A</v>
      </c>
      <c r="AB435" t="e">
        <f t="shared" ca="1" si="127"/>
        <v>#N/A</v>
      </c>
      <c r="AC435" t="e">
        <f t="shared" ca="1" si="128"/>
        <v>#N/A</v>
      </c>
      <c r="AD435" t="e">
        <f t="shared" ca="1" si="129"/>
        <v>#N/A</v>
      </c>
      <c r="AE435" s="83" t="e">
        <f ca="1"/>
        <v>#N/A</v>
      </c>
      <c r="AF435" s="55" t="e">
        <f t="shared" ca="1" si="130"/>
        <v>#N/A</v>
      </c>
      <c r="AG435" s="55" t="e">
        <f t="shared" ca="1" si="131"/>
        <v>#N/A</v>
      </c>
      <c r="AH435" s="55" t="e">
        <f t="shared" ca="1" si="132"/>
        <v>#N/A</v>
      </c>
      <c r="AI435" s="55" t="e">
        <f t="shared" ca="1" si="133"/>
        <v>#N/A</v>
      </c>
      <c r="AJ435" s="55" t="e">
        <f t="shared" ca="1" si="139"/>
        <v>#N/A</v>
      </c>
      <c r="AK435" s="55" t="e">
        <f t="shared" ca="1" si="140"/>
        <v>#N/A</v>
      </c>
      <c r="AL435" s="55" t="e">
        <f t="shared" ca="1" si="141"/>
        <v>#N/A</v>
      </c>
      <c r="AM435" s="55"/>
    </row>
    <row r="436" spans="18:39">
      <c r="R436" s="55" t="e">
        <f ca="1"/>
        <v>#N/A</v>
      </c>
      <c r="S436" s="55" t="e">
        <f t="shared" ca="1" si="123"/>
        <v>#N/A</v>
      </c>
      <c r="T436" s="55" t="e">
        <f t="shared" ca="1" si="124"/>
        <v>#N/A</v>
      </c>
      <c r="U436" s="55" t="e">
        <f t="shared" ca="1" si="125"/>
        <v>#N/A</v>
      </c>
      <c r="V436" s="55" t="e">
        <f t="shared" ca="1" si="126"/>
        <v>#N/A</v>
      </c>
      <c r="W436" s="55" t="e">
        <f t="shared" ca="1" si="136"/>
        <v>#N/A</v>
      </c>
      <c r="X436" s="55" t="e">
        <f t="shared" ca="1" si="137"/>
        <v>#N/A</v>
      </c>
      <c r="Y436" s="55" t="e">
        <f t="shared" ca="1" si="138"/>
        <v>#N/A</v>
      </c>
      <c r="Z436" s="55" t="e">
        <f t="shared" ca="1" si="134"/>
        <v>#N/A</v>
      </c>
      <c r="AA436" t="e">
        <f t="shared" ca="1" si="135"/>
        <v>#N/A</v>
      </c>
      <c r="AB436" t="e">
        <f t="shared" ca="1" si="127"/>
        <v>#N/A</v>
      </c>
      <c r="AC436" t="e">
        <f t="shared" ca="1" si="128"/>
        <v>#N/A</v>
      </c>
      <c r="AD436" t="e">
        <f t="shared" ca="1" si="129"/>
        <v>#N/A</v>
      </c>
      <c r="AE436" s="83" t="e">
        <f ca="1"/>
        <v>#N/A</v>
      </c>
      <c r="AF436" s="55" t="e">
        <f t="shared" ca="1" si="130"/>
        <v>#N/A</v>
      </c>
      <c r="AG436" s="55" t="e">
        <f t="shared" ca="1" si="131"/>
        <v>#N/A</v>
      </c>
      <c r="AH436" s="55" t="e">
        <f t="shared" ca="1" si="132"/>
        <v>#N/A</v>
      </c>
      <c r="AI436" s="55" t="e">
        <f t="shared" ca="1" si="133"/>
        <v>#N/A</v>
      </c>
      <c r="AJ436" s="55" t="e">
        <f t="shared" ca="1" si="139"/>
        <v>#N/A</v>
      </c>
      <c r="AK436" s="55" t="e">
        <f t="shared" ca="1" si="140"/>
        <v>#N/A</v>
      </c>
      <c r="AL436" s="55" t="e">
        <f t="shared" ca="1" si="141"/>
        <v>#N/A</v>
      </c>
      <c r="AM436" s="55"/>
    </row>
    <row r="437" spans="18:39">
      <c r="R437" s="55" t="e">
        <f ca="1"/>
        <v>#N/A</v>
      </c>
      <c r="S437" s="55" t="e">
        <f t="shared" ca="1" si="123"/>
        <v>#N/A</v>
      </c>
      <c r="T437" s="55" t="e">
        <f t="shared" ca="1" si="124"/>
        <v>#N/A</v>
      </c>
      <c r="U437" s="55" t="e">
        <f t="shared" ca="1" si="125"/>
        <v>#N/A</v>
      </c>
      <c r="V437" s="55" t="e">
        <f t="shared" ca="1" si="126"/>
        <v>#N/A</v>
      </c>
      <c r="W437" s="55" t="e">
        <f t="shared" ca="1" si="136"/>
        <v>#N/A</v>
      </c>
      <c r="X437" s="55" t="e">
        <f t="shared" ca="1" si="137"/>
        <v>#N/A</v>
      </c>
      <c r="Y437" s="55" t="e">
        <f t="shared" ca="1" si="138"/>
        <v>#N/A</v>
      </c>
      <c r="Z437" s="55" t="e">
        <f t="shared" ca="1" si="134"/>
        <v>#N/A</v>
      </c>
      <c r="AA437" t="e">
        <f t="shared" ca="1" si="135"/>
        <v>#N/A</v>
      </c>
      <c r="AB437" t="e">
        <f t="shared" ca="1" si="127"/>
        <v>#N/A</v>
      </c>
      <c r="AC437" t="e">
        <f t="shared" ca="1" si="128"/>
        <v>#N/A</v>
      </c>
      <c r="AD437" t="e">
        <f t="shared" ca="1" si="129"/>
        <v>#N/A</v>
      </c>
      <c r="AE437" s="83" t="e">
        <f ca="1"/>
        <v>#N/A</v>
      </c>
      <c r="AF437" s="55" t="e">
        <f t="shared" ca="1" si="130"/>
        <v>#N/A</v>
      </c>
      <c r="AG437" s="55" t="e">
        <f t="shared" ca="1" si="131"/>
        <v>#N/A</v>
      </c>
      <c r="AH437" s="55" t="e">
        <f t="shared" ca="1" si="132"/>
        <v>#N/A</v>
      </c>
      <c r="AI437" s="55" t="e">
        <f t="shared" ca="1" si="133"/>
        <v>#N/A</v>
      </c>
      <c r="AJ437" s="55" t="e">
        <f t="shared" ca="1" si="139"/>
        <v>#N/A</v>
      </c>
      <c r="AK437" s="55" t="e">
        <f t="shared" ca="1" si="140"/>
        <v>#N/A</v>
      </c>
      <c r="AL437" s="55" t="e">
        <f t="shared" ca="1" si="141"/>
        <v>#N/A</v>
      </c>
      <c r="AM437" s="55"/>
    </row>
    <row r="438" spans="18:39">
      <c r="R438" s="55" t="e">
        <f ca="1"/>
        <v>#N/A</v>
      </c>
      <c r="S438" s="55" t="e">
        <f t="shared" ca="1" si="123"/>
        <v>#N/A</v>
      </c>
      <c r="T438" s="55" t="e">
        <f t="shared" ca="1" si="124"/>
        <v>#N/A</v>
      </c>
      <c r="U438" s="55" t="e">
        <f t="shared" ca="1" si="125"/>
        <v>#N/A</v>
      </c>
      <c r="V438" s="55" t="e">
        <f t="shared" ca="1" si="126"/>
        <v>#N/A</v>
      </c>
      <c r="W438" s="55" t="e">
        <f t="shared" ca="1" si="136"/>
        <v>#N/A</v>
      </c>
      <c r="X438" s="55" t="e">
        <f t="shared" ca="1" si="137"/>
        <v>#N/A</v>
      </c>
      <c r="Y438" s="55" t="e">
        <f t="shared" ca="1" si="138"/>
        <v>#N/A</v>
      </c>
      <c r="Z438" s="55" t="e">
        <f t="shared" ca="1" si="134"/>
        <v>#N/A</v>
      </c>
      <c r="AA438" t="e">
        <f t="shared" ca="1" si="135"/>
        <v>#N/A</v>
      </c>
      <c r="AB438" t="e">
        <f t="shared" ca="1" si="127"/>
        <v>#N/A</v>
      </c>
      <c r="AC438" t="e">
        <f t="shared" ca="1" si="128"/>
        <v>#N/A</v>
      </c>
      <c r="AD438" t="e">
        <f t="shared" ca="1" si="129"/>
        <v>#N/A</v>
      </c>
      <c r="AE438" s="83" t="e">
        <f ca="1"/>
        <v>#N/A</v>
      </c>
      <c r="AF438" s="55" t="e">
        <f t="shared" ca="1" si="130"/>
        <v>#N/A</v>
      </c>
      <c r="AG438" s="55" t="e">
        <f t="shared" ca="1" si="131"/>
        <v>#N/A</v>
      </c>
      <c r="AH438" s="55" t="e">
        <f t="shared" ca="1" si="132"/>
        <v>#N/A</v>
      </c>
      <c r="AI438" s="55" t="e">
        <f t="shared" ca="1" si="133"/>
        <v>#N/A</v>
      </c>
      <c r="AJ438" s="55" t="e">
        <f t="shared" ca="1" si="139"/>
        <v>#N/A</v>
      </c>
      <c r="AK438" s="55" t="e">
        <f t="shared" ca="1" si="140"/>
        <v>#N/A</v>
      </c>
      <c r="AL438" s="55" t="e">
        <f t="shared" ca="1" si="141"/>
        <v>#N/A</v>
      </c>
      <c r="AM438" s="55"/>
    </row>
    <row r="439" spans="18:39">
      <c r="R439" s="55" t="e">
        <f ca="1"/>
        <v>#N/A</v>
      </c>
      <c r="S439" s="55" t="e">
        <f t="shared" ca="1" si="123"/>
        <v>#N/A</v>
      </c>
      <c r="T439" s="55" t="e">
        <f t="shared" ca="1" si="124"/>
        <v>#N/A</v>
      </c>
      <c r="U439" s="55" t="e">
        <f t="shared" ca="1" si="125"/>
        <v>#N/A</v>
      </c>
      <c r="V439" s="55" t="e">
        <f t="shared" ca="1" si="126"/>
        <v>#N/A</v>
      </c>
      <c r="W439" s="55" t="e">
        <f t="shared" ca="1" si="136"/>
        <v>#N/A</v>
      </c>
      <c r="X439" s="55" t="e">
        <f t="shared" ca="1" si="137"/>
        <v>#N/A</v>
      </c>
      <c r="Y439" s="55" t="e">
        <f t="shared" ca="1" si="138"/>
        <v>#N/A</v>
      </c>
      <c r="Z439" s="55" t="e">
        <f t="shared" ca="1" si="134"/>
        <v>#N/A</v>
      </c>
      <c r="AA439" t="e">
        <f t="shared" ca="1" si="135"/>
        <v>#N/A</v>
      </c>
      <c r="AB439" t="e">
        <f t="shared" ca="1" si="127"/>
        <v>#N/A</v>
      </c>
      <c r="AC439" t="e">
        <f t="shared" ca="1" si="128"/>
        <v>#N/A</v>
      </c>
      <c r="AD439" t="e">
        <f t="shared" ca="1" si="129"/>
        <v>#N/A</v>
      </c>
      <c r="AE439" s="83" t="e">
        <f ca="1"/>
        <v>#N/A</v>
      </c>
      <c r="AF439" s="55" t="e">
        <f t="shared" ca="1" si="130"/>
        <v>#N/A</v>
      </c>
      <c r="AG439" s="55" t="e">
        <f t="shared" ca="1" si="131"/>
        <v>#N/A</v>
      </c>
      <c r="AH439" s="55" t="e">
        <f t="shared" ca="1" si="132"/>
        <v>#N/A</v>
      </c>
      <c r="AI439" s="55" t="e">
        <f t="shared" ca="1" si="133"/>
        <v>#N/A</v>
      </c>
      <c r="AJ439" s="55" t="e">
        <f t="shared" ca="1" si="139"/>
        <v>#N/A</v>
      </c>
      <c r="AK439" s="55" t="e">
        <f t="shared" ca="1" si="140"/>
        <v>#N/A</v>
      </c>
      <c r="AL439" s="55" t="e">
        <f t="shared" ca="1" si="141"/>
        <v>#N/A</v>
      </c>
      <c r="AM439" s="55"/>
    </row>
    <row r="440" spans="18:39">
      <c r="R440" s="55" t="e">
        <f ca="1"/>
        <v>#N/A</v>
      </c>
      <c r="S440" s="55" t="e">
        <f t="shared" ca="1" si="123"/>
        <v>#N/A</v>
      </c>
      <c r="T440" s="55" t="e">
        <f t="shared" ca="1" si="124"/>
        <v>#N/A</v>
      </c>
      <c r="U440" s="55" t="e">
        <f t="shared" ca="1" si="125"/>
        <v>#N/A</v>
      </c>
      <c r="V440" s="55" t="e">
        <f t="shared" ca="1" si="126"/>
        <v>#N/A</v>
      </c>
      <c r="W440" s="55" t="e">
        <f t="shared" ca="1" si="136"/>
        <v>#N/A</v>
      </c>
      <c r="X440" s="55" t="e">
        <f t="shared" ca="1" si="137"/>
        <v>#N/A</v>
      </c>
      <c r="Y440" s="55" t="e">
        <f t="shared" ca="1" si="138"/>
        <v>#N/A</v>
      </c>
      <c r="Z440" s="55" t="e">
        <f t="shared" ca="1" si="134"/>
        <v>#N/A</v>
      </c>
      <c r="AA440" t="e">
        <f t="shared" ca="1" si="135"/>
        <v>#N/A</v>
      </c>
      <c r="AB440" t="e">
        <f t="shared" ca="1" si="127"/>
        <v>#N/A</v>
      </c>
      <c r="AC440" t="e">
        <f t="shared" ca="1" si="128"/>
        <v>#N/A</v>
      </c>
      <c r="AD440" t="e">
        <f t="shared" ca="1" si="129"/>
        <v>#N/A</v>
      </c>
      <c r="AE440" s="83" t="e">
        <f ca="1"/>
        <v>#N/A</v>
      </c>
      <c r="AF440" s="55" t="e">
        <f t="shared" ca="1" si="130"/>
        <v>#N/A</v>
      </c>
      <c r="AG440" s="55" t="e">
        <f t="shared" ca="1" si="131"/>
        <v>#N/A</v>
      </c>
      <c r="AH440" s="55" t="e">
        <f t="shared" ca="1" si="132"/>
        <v>#N/A</v>
      </c>
      <c r="AI440" s="55" t="e">
        <f t="shared" ca="1" si="133"/>
        <v>#N/A</v>
      </c>
      <c r="AJ440" s="55" t="e">
        <f t="shared" ca="1" si="139"/>
        <v>#N/A</v>
      </c>
      <c r="AK440" s="55" t="e">
        <f t="shared" ca="1" si="140"/>
        <v>#N/A</v>
      </c>
      <c r="AL440" s="55" t="e">
        <f t="shared" ca="1" si="141"/>
        <v>#N/A</v>
      </c>
      <c r="AM440" s="55"/>
    </row>
    <row r="441" spans="18:39">
      <c r="R441" s="55" t="e">
        <f ca="1"/>
        <v>#N/A</v>
      </c>
      <c r="S441" s="55" t="e">
        <f t="shared" ca="1" si="123"/>
        <v>#N/A</v>
      </c>
      <c r="T441" s="55" t="e">
        <f t="shared" ca="1" si="124"/>
        <v>#N/A</v>
      </c>
      <c r="U441" s="55" t="e">
        <f t="shared" ca="1" si="125"/>
        <v>#N/A</v>
      </c>
      <c r="V441" s="55" t="e">
        <f t="shared" ca="1" si="126"/>
        <v>#N/A</v>
      </c>
      <c r="W441" s="55" t="e">
        <f t="shared" ca="1" si="136"/>
        <v>#N/A</v>
      </c>
      <c r="X441" s="55" t="e">
        <f t="shared" ca="1" si="137"/>
        <v>#N/A</v>
      </c>
      <c r="Y441" s="55" t="e">
        <f t="shared" ca="1" si="138"/>
        <v>#N/A</v>
      </c>
      <c r="Z441" s="55" t="e">
        <f t="shared" ca="1" si="134"/>
        <v>#N/A</v>
      </c>
      <c r="AA441" t="e">
        <f t="shared" ca="1" si="135"/>
        <v>#N/A</v>
      </c>
      <c r="AB441" t="e">
        <f t="shared" ca="1" si="127"/>
        <v>#N/A</v>
      </c>
      <c r="AC441" t="e">
        <f t="shared" ca="1" si="128"/>
        <v>#N/A</v>
      </c>
      <c r="AD441" t="e">
        <f t="shared" ca="1" si="129"/>
        <v>#N/A</v>
      </c>
      <c r="AE441" s="83" t="e">
        <f ca="1"/>
        <v>#N/A</v>
      </c>
      <c r="AF441" s="55" t="e">
        <f t="shared" ca="1" si="130"/>
        <v>#N/A</v>
      </c>
      <c r="AG441" s="55" t="e">
        <f t="shared" ca="1" si="131"/>
        <v>#N/A</v>
      </c>
      <c r="AH441" s="55" t="e">
        <f t="shared" ca="1" si="132"/>
        <v>#N/A</v>
      </c>
      <c r="AI441" s="55" t="e">
        <f t="shared" ca="1" si="133"/>
        <v>#N/A</v>
      </c>
      <c r="AJ441" s="55" t="e">
        <f t="shared" ca="1" si="139"/>
        <v>#N/A</v>
      </c>
      <c r="AK441" s="55" t="e">
        <f t="shared" ca="1" si="140"/>
        <v>#N/A</v>
      </c>
      <c r="AL441" s="55" t="e">
        <f t="shared" ca="1" si="141"/>
        <v>#N/A</v>
      </c>
      <c r="AM441" s="55"/>
    </row>
    <row r="442" spans="18:39">
      <c r="R442" s="55" t="e">
        <f ca="1"/>
        <v>#N/A</v>
      </c>
      <c r="S442" s="55" t="e">
        <f t="shared" ca="1" si="123"/>
        <v>#N/A</v>
      </c>
      <c r="T442" s="55" t="e">
        <f t="shared" ca="1" si="124"/>
        <v>#N/A</v>
      </c>
      <c r="U442" s="55" t="e">
        <f t="shared" ca="1" si="125"/>
        <v>#N/A</v>
      </c>
      <c r="V442" s="55" t="e">
        <f t="shared" ca="1" si="126"/>
        <v>#N/A</v>
      </c>
      <c r="W442" s="55" t="e">
        <f t="shared" ca="1" si="136"/>
        <v>#N/A</v>
      </c>
      <c r="X442" s="55" t="e">
        <f t="shared" ca="1" si="137"/>
        <v>#N/A</v>
      </c>
      <c r="Y442" s="55" t="e">
        <f t="shared" ca="1" si="138"/>
        <v>#N/A</v>
      </c>
      <c r="Z442" s="55" t="e">
        <f t="shared" ca="1" si="134"/>
        <v>#N/A</v>
      </c>
      <c r="AA442" t="e">
        <f t="shared" ca="1" si="135"/>
        <v>#N/A</v>
      </c>
      <c r="AB442" t="e">
        <f t="shared" ca="1" si="127"/>
        <v>#N/A</v>
      </c>
      <c r="AC442" t="e">
        <f t="shared" ca="1" si="128"/>
        <v>#N/A</v>
      </c>
      <c r="AD442" t="e">
        <f t="shared" ca="1" si="129"/>
        <v>#N/A</v>
      </c>
      <c r="AE442" s="83" t="e">
        <f ca="1"/>
        <v>#N/A</v>
      </c>
      <c r="AF442" s="55" t="e">
        <f t="shared" ca="1" si="130"/>
        <v>#N/A</v>
      </c>
      <c r="AG442" s="55" t="e">
        <f t="shared" ca="1" si="131"/>
        <v>#N/A</v>
      </c>
      <c r="AH442" s="55" t="e">
        <f t="shared" ca="1" si="132"/>
        <v>#N/A</v>
      </c>
      <c r="AI442" s="55" t="e">
        <f t="shared" ca="1" si="133"/>
        <v>#N/A</v>
      </c>
      <c r="AJ442" s="55" t="e">
        <f t="shared" ca="1" si="139"/>
        <v>#N/A</v>
      </c>
      <c r="AK442" s="55" t="e">
        <f t="shared" ca="1" si="140"/>
        <v>#N/A</v>
      </c>
      <c r="AL442" s="55" t="e">
        <f t="shared" ca="1" si="141"/>
        <v>#N/A</v>
      </c>
      <c r="AM442" s="55"/>
    </row>
    <row r="443" spans="18:39">
      <c r="R443" s="55" t="e">
        <f ca="1"/>
        <v>#N/A</v>
      </c>
      <c r="S443" s="55" t="e">
        <f t="shared" ca="1" si="123"/>
        <v>#N/A</v>
      </c>
      <c r="T443" s="55" t="e">
        <f t="shared" ca="1" si="124"/>
        <v>#N/A</v>
      </c>
      <c r="U443" s="55" t="e">
        <f t="shared" ca="1" si="125"/>
        <v>#N/A</v>
      </c>
      <c r="V443" s="55" t="e">
        <f t="shared" ca="1" si="126"/>
        <v>#N/A</v>
      </c>
      <c r="W443" s="55" t="e">
        <f t="shared" ca="1" si="136"/>
        <v>#N/A</v>
      </c>
      <c r="X443" s="55" t="e">
        <f t="shared" ca="1" si="137"/>
        <v>#N/A</v>
      </c>
      <c r="Y443" s="55" t="e">
        <f t="shared" ca="1" si="138"/>
        <v>#N/A</v>
      </c>
      <c r="Z443" s="55" t="e">
        <f t="shared" ca="1" si="134"/>
        <v>#N/A</v>
      </c>
      <c r="AA443" t="e">
        <f t="shared" ca="1" si="135"/>
        <v>#N/A</v>
      </c>
      <c r="AB443" t="e">
        <f t="shared" ca="1" si="127"/>
        <v>#N/A</v>
      </c>
      <c r="AC443" t="e">
        <f t="shared" ca="1" si="128"/>
        <v>#N/A</v>
      </c>
      <c r="AD443" t="e">
        <f t="shared" ca="1" si="129"/>
        <v>#N/A</v>
      </c>
      <c r="AE443" s="83" t="e">
        <f ca="1"/>
        <v>#N/A</v>
      </c>
      <c r="AF443" s="55" t="e">
        <f t="shared" ca="1" si="130"/>
        <v>#N/A</v>
      </c>
      <c r="AG443" s="55" t="e">
        <f t="shared" ca="1" si="131"/>
        <v>#N/A</v>
      </c>
      <c r="AH443" s="55" t="e">
        <f t="shared" ca="1" si="132"/>
        <v>#N/A</v>
      </c>
      <c r="AI443" s="55" t="e">
        <f t="shared" ca="1" si="133"/>
        <v>#N/A</v>
      </c>
      <c r="AJ443" s="55" t="e">
        <f t="shared" ca="1" si="139"/>
        <v>#N/A</v>
      </c>
      <c r="AK443" s="55" t="e">
        <f t="shared" ca="1" si="140"/>
        <v>#N/A</v>
      </c>
      <c r="AL443" s="55" t="e">
        <f t="shared" ca="1" si="141"/>
        <v>#N/A</v>
      </c>
      <c r="AM443" s="55"/>
    </row>
    <row r="444" spans="18:39">
      <c r="R444" s="55" t="e">
        <f ca="1"/>
        <v>#N/A</v>
      </c>
      <c r="S444" s="55" t="e">
        <f t="shared" ca="1" si="123"/>
        <v>#N/A</v>
      </c>
      <c r="T444" s="55" t="e">
        <f t="shared" ca="1" si="124"/>
        <v>#N/A</v>
      </c>
      <c r="U444" s="55" t="e">
        <f t="shared" ca="1" si="125"/>
        <v>#N/A</v>
      </c>
      <c r="V444" s="55" t="e">
        <f t="shared" ca="1" si="126"/>
        <v>#N/A</v>
      </c>
      <c r="W444" s="55" t="e">
        <f t="shared" ca="1" si="136"/>
        <v>#N/A</v>
      </c>
      <c r="X444" s="55" t="e">
        <f t="shared" ca="1" si="137"/>
        <v>#N/A</v>
      </c>
      <c r="Y444" s="55" t="e">
        <f t="shared" ca="1" si="138"/>
        <v>#N/A</v>
      </c>
      <c r="Z444" s="55" t="e">
        <f t="shared" ca="1" si="134"/>
        <v>#N/A</v>
      </c>
      <c r="AA444" t="e">
        <f t="shared" ca="1" si="135"/>
        <v>#N/A</v>
      </c>
      <c r="AB444" t="e">
        <f t="shared" ca="1" si="127"/>
        <v>#N/A</v>
      </c>
      <c r="AC444" t="e">
        <f t="shared" ca="1" si="128"/>
        <v>#N/A</v>
      </c>
      <c r="AD444" t="e">
        <f t="shared" ca="1" si="129"/>
        <v>#N/A</v>
      </c>
      <c r="AE444" s="83" t="e">
        <f ca="1"/>
        <v>#N/A</v>
      </c>
      <c r="AF444" s="55" t="e">
        <f t="shared" ca="1" si="130"/>
        <v>#N/A</v>
      </c>
      <c r="AG444" s="55" t="e">
        <f t="shared" ca="1" si="131"/>
        <v>#N/A</v>
      </c>
      <c r="AH444" s="55" t="e">
        <f t="shared" ca="1" si="132"/>
        <v>#N/A</v>
      </c>
      <c r="AI444" s="55" t="e">
        <f t="shared" ca="1" si="133"/>
        <v>#N/A</v>
      </c>
      <c r="AJ444" s="55" t="e">
        <f t="shared" ca="1" si="139"/>
        <v>#N/A</v>
      </c>
      <c r="AK444" s="55" t="e">
        <f t="shared" ca="1" si="140"/>
        <v>#N/A</v>
      </c>
      <c r="AL444" s="55" t="e">
        <f t="shared" ca="1" si="141"/>
        <v>#N/A</v>
      </c>
      <c r="AM444" s="55"/>
    </row>
    <row r="445" spans="18:39">
      <c r="R445" s="55" t="e">
        <f ca="1"/>
        <v>#N/A</v>
      </c>
      <c r="S445" s="55" t="e">
        <f t="shared" ca="1" si="123"/>
        <v>#N/A</v>
      </c>
      <c r="T445" s="55" t="e">
        <f t="shared" ca="1" si="124"/>
        <v>#N/A</v>
      </c>
      <c r="U445" s="55" t="e">
        <f t="shared" ca="1" si="125"/>
        <v>#N/A</v>
      </c>
      <c r="V445" s="55" t="e">
        <f t="shared" ca="1" si="126"/>
        <v>#N/A</v>
      </c>
      <c r="W445" s="55" t="e">
        <f t="shared" ca="1" si="136"/>
        <v>#N/A</v>
      </c>
      <c r="X445" s="55" t="e">
        <f t="shared" ca="1" si="137"/>
        <v>#N/A</v>
      </c>
      <c r="Y445" s="55" t="e">
        <f t="shared" ca="1" si="138"/>
        <v>#N/A</v>
      </c>
      <c r="Z445" s="55" t="e">
        <f t="shared" ca="1" si="134"/>
        <v>#N/A</v>
      </c>
      <c r="AA445" t="e">
        <f t="shared" ca="1" si="135"/>
        <v>#N/A</v>
      </c>
      <c r="AB445" t="e">
        <f t="shared" ca="1" si="127"/>
        <v>#N/A</v>
      </c>
      <c r="AC445" t="e">
        <f t="shared" ca="1" si="128"/>
        <v>#N/A</v>
      </c>
      <c r="AD445" t="e">
        <f t="shared" ca="1" si="129"/>
        <v>#N/A</v>
      </c>
      <c r="AE445" s="83" t="e">
        <f ca="1"/>
        <v>#N/A</v>
      </c>
      <c r="AF445" s="55" t="e">
        <f t="shared" ca="1" si="130"/>
        <v>#N/A</v>
      </c>
      <c r="AG445" s="55" t="e">
        <f t="shared" ca="1" si="131"/>
        <v>#N/A</v>
      </c>
      <c r="AH445" s="55" t="e">
        <f t="shared" ca="1" si="132"/>
        <v>#N/A</v>
      </c>
      <c r="AI445" s="55" t="e">
        <f t="shared" ca="1" si="133"/>
        <v>#N/A</v>
      </c>
      <c r="AJ445" s="55" t="e">
        <f t="shared" ca="1" si="139"/>
        <v>#N/A</v>
      </c>
      <c r="AK445" s="55" t="e">
        <f t="shared" ca="1" si="140"/>
        <v>#N/A</v>
      </c>
      <c r="AL445" s="55" t="e">
        <f t="shared" ca="1" si="141"/>
        <v>#N/A</v>
      </c>
      <c r="AM445" s="55"/>
    </row>
    <row r="446" spans="18:39">
      <c r="R446" s="55" t="e">
        <f ca="1"/>
        <v>#N/A</v>
      </c>
      <c r="S446" s="55" t="e">
        <f t="shared" ca="1" si="123"/>
        <v>#N/A</v>
      </c>
      <c r="T446" s="55" t="e">
        <f t="shared" ca="1" si="124"/>
        <v>#N/A</v>
      </c>
      <c r="U446" s="55" t="e">
        <f t="shared" ca="1" si="125"/>
        <v>#N/A</v>
      </c>
      <c r="V446" s="55" t="e">
        <f t="shared" ca="1" si="126"/>
        <v>#N/A</v>
      </c>
      <c r="W446" s="55" t="e">
        <f t="shared" ca="1" si="136"/>
        <v>#N/A</v>
      </c>
      <c r="X446" s="55" t="e">
        <f t="shared" ca="1" si="137"/>
        <v>#N/A</v>
      </c>
      <c r="Y446" s="55" t="e">
        <f t="shared" ca="1" si="138"/>
        <v>#N/A</v>
      </c>
      <c r="Z446" s="55" t="e">
        <f t="shared" ca="1" si="134"/>
        <v>#N/A</v>
      </c>
      <c r="AA446" t="e">
        <f t="shared" ca="1" si="135"/>
        <v>#N/A</v>
      </c>
      <c r="AB446" t="e">
        <f t="shared" ca="1" si="127"/>
        <v>#N/A</v>
      </c>
      <c r="AC446" t="e">
        <f t="shared" ca="1" si="128"/>
        <v>#N/A</v>
      </c>
      <c r="AD446" t="e">
        <f t="shared" ca="1" si="129"/>
        <v>#N/A</v>
      </c>
      <c r="AE446" s="83" t="e">
        <f ca="1"/>
        <v>#N/A</v>
      </c>
      <c r="AF446" s="55" t="e">
        <f t="shared" ca="1" si="130"/>
        <v>#N/A</v>
      </c>
      <c r="AG446" s="55" t="e">
        <f t="shared" ca="1" si="131"/>
        <v>#N/A</v>
      </c>
      <c r="AH446" s="55" t="e">
        <f t="shared" ca="1" si="132"/>
        <v>#N/A</v>
      </c>
      <c r="AI446" s="55" t="e">
        <f t="shared" ca="1" si="133"/>
        <v>#N/A</v>
      </c>
      <c r="AJ446" s="55" t="e">
        <f t="shared" ca="1" si="139"/>
        <v>#N/A</v>
      </c>
      <c r="AK446" s="55" t="e">
        <f t="shared" ca="1" si="140"/>
        <v>#N/A</v>
      </c>
      <c r="AL446" s="55" t="e">
        <f t="shared" ca="1" si="141"/>
        <v>#N/A</v>
      </c>
      <c r="AM446" s="55"/>
    </row>
    <row r="447" spans="18:39">
      <c r="R447" s="55" t="e">
        <f ca="1"/>
        <v>#N/A</v>
      </c>
      <c r="S447" s="55" t="e">
        <f t="shared" ca="1" si="123"/>
        <v>#N/A</v>
      </c>
      <c r="T447" s="55" t="e">
        <f t="shared" ca="1" si="124"/>
        <v>#N/A</v>
      </c>
      <c r="U447" s="55" t="e">
        <f t="shared" ca="1" si="125"/>
        <v>#N/A</v>
      </c>
      <c r="V447" s="55" t="e">
        <f t="shared" ca="1" si="126"/>
        <v>#N/A</v>
      </c>
      <c r="W447" s="55" t="e">
        <f t="shared" ca="1" si="136"/>
        <v>#N/A</v>
      </c>
      <c r="X447" s="55" t="e">
        <f t="shared" ca="1" si="137"/>
        <v>#N/A</v>
      </c>
      <c r="Y447" s="55" t="e">
        <f t="shared" ca="1" si="138"/>
        <v>#N/A</v>
      </c>
      <c r="Z447" s="55" t="e">
        <f t="shared" ca="1" si="134"/>
        <v>#N/A</v>
      </c>
      <c r="AA447" t="e">
        <f t="shared" ca="1" si="135"/>
        <v>#N/A</v>
      </c>
      <c r="AB447" t="e">
        <f t="shared" ca="1" si="127"/>
        <v>#N/A</v>
      </c>
      <c r="AC447" t="e">
        <f t="shared" ca="1" si="128"/>
        <v>#N/A</v>
      </c>
      <c r="AD447" t="e">
        <f t="shared" ca="1" si="129"/>
        <v>#N/A</v>
      </c>
      <c r="AE447" s="83" t="e">
        <f ca="1"/>
        <v>#N/A</v>
      </c>
      <c r="AF447" s="55" t="e">
        <f t="shared" ca="1" si="130"/>
        <v>#N/A</v>
      </c>
      <c r="AG447" s="55" t="e">
        <f t="shared" ca="1" si="131"/>
        <v>#N/A</v>
      </c>
      <c r="AH447" s="55" t="e">
        <f t="shared" ca="1" si="132"/>
        <v>#N/A</v>
      </c>
      <c r="AI447" s="55" t="e">
        <f t="shared" ca="1" si="133"/>
        <v>#N/A</v>
      </c>
      <c r="AJ447" s="55" t="e">
        <f t="shared" ca="1" si="139"/>
        <v>#N/A</v>
      </c>
      <c r="AK447" s="55" t="e">
        <f t="shared" ca="1" si="140"/>
        <v>#N/A</v>
      </c>
      <c r="AL447" s="55" t="e">
        <f t="shared" ca="1" si="141"/>
        <v>#N/A</v>
      </c>
      <c r="AM447" s="55"/>
    </row>
    <row r="448" spans="18:39">
      <c r="R448" s="55" t="e">
        <f ca="1"/>
        <v>#N/A</v>
      </c>
      <c r="S448" s="55" t="e">
        <f t="shared" ca="1" si="123"/>
        <v>#N/A</v>
      </c>
      <c r="T448" s="55" t="e">
        <f t="shared" ca="1" si="124"/>
        <v>#N/A</v>
      </c>
      <c r="U448" s="55" t="e">
        <f t="shared" ca="1" si="125"/>
        <v>#N/A</v>
      </c>
      <c r="V448" s="55" t="e">
        <f t="shared" ca="1" si="126"/>
        <v>#N/A</v>
      </c>
      <c r="W448" s="55" t="e">
        <f t="shared" ca="1" si="136"/>
        <v>#N/A</v>
      </c>
      <c r="X448" s="55" t="e">
        <f t="shared" ca="1" si="137"/>
        <v>#N/A</v>
      </c>
      <c r="Y448" s="55" t="e">
        <f t="shared" ca="1" si="138"/>
        <v>#N/A</v>
      </c>
      <c r="Z448" s="55" t="e">
        <f t="shared" ca="1" si="134"/>
        <v>#N/A</v>
      </c>
      <c r="AA448" t="e">
        <f t="shared" ca="1" si="135"/>
        <v>#N/A</v>
      </c>
      <c r="AB448" t="e">
        <f t="shared" ca="1" si="127"/>
        <v>#N/A</v>
      </c>
      <c r="AC448" t="e">
        <f t="shared" ca="1" si="128"/>
        <v>#N/A</v>
      </c>
      <c r="AD448" t="e">
        <f t="shared" ca="1" si="129"/>
        <v>#N/A</v>
      </c>
      <c r="AE448" s="83" t="e">
        <f ca="1"/>
        <v>#N/A</v>
      </c>
      <c r="AF448" s="55" t="e">
        <f t="shared" ca="1" si="130"/>
        <v>#N/A</v>
      </c>
      <c r="AG448" s="55" t="e">
        <f t="shared" ca="1" si="131"/>
        <v>#N/A</v>
      </c>
      <c r="AH448" s="55" t="e">
        <f t="shared" ca="1" si="132"/>
        <v>#N/A</v>
      </c>
      <c r="AI448" s="55" t="e">
        <f t="shared" ca="1" si="133"/>
        <v>#N/A</v>
      </c>
      <c r="AJ448" s="55" t="e">
        <f t="shared" ca="1" si="139"/>
        <v>#N/A</v>
      </c>
      <c r="AK448" s="55" t="e">
        <f t="shared" ca="1" si="140"/>
        <v>#N/A</v>
      </c>
      <c r="AL448" s="55" t="e">
        <f t="shared" ca="1" si="141"/>
        <v>#N/A</v>
      </c>
      <c r="AM448" s="55"/>
    </row>
    <row r="449" spans="18:39">
      <c r="R449" s="55" t="e">
        <f ca="1"/>
        <v>#N/A</v>
      </c>
      <c r="S449" s="55" t="e">
        <f t="shared" ca="1" si="123"/>
        <v>#N/A</v>
      </c>
      <c r="T449" s="55" t="e">
        <f t="shared" ca="1" si="124"/>
        <v>#N/A</v>
      </c>
      <c r="U449" s="55" t="e">
        <f t="shared" ca="1" si="125"/>
        <v>#N/A</v>
      </c>
      <c r="V449" s="55" t="e">
        <f t="shared" ca="1" si="126"/>
        <v>#N/A</v>
      </c>
      <c r="W449" s="55" t="e">
        <f t="shared" ca="1" si="136"/>
        <v>#N/A</v>
      </c>
      <c r="X449" s="55" t="e">
        <f t="shared" ca="1" si="137"/>
        <v>#N/A</v>
      </c>
      <c r="Y449" s="55" t="e">
        <f t="shared" ca="1" si="138"/>
        <v>#N/A</v>
      </c>
      <c r="Z449" s="55" t="e">
        <f t="shared" ca="1" si="134"/>
        <v>#N/A</v>
      </c>
      <c r="AA449" t="e">
        <f t="shared" ca="1" si="135"/>
        <v>#N/A</v>
      </c>
      <c r="AB449" t="e">
        <f t="shared" ca="1" si="127"/>
        <v>#N/A</v>
      </c>
      <c r="AC449" t="e">
        <f t="shared" ca="1" si="128"/>
        <v>#N/A</v>
      </c>
      <c r="AD449" t="e">
        <f t="shared" ca="1" si="129"/>
        <v>#N/A</v>
      </c>
      <c r="AE449" s="83" t="e">
        <f ca="1"/>
        <v>#N/A</v>
      </c>
      <c r="AF449" s="55" t="e">
        <f t="shared" ca="1" si="130"/>
        <v>#N/A</v>
      </c>
      <c r="AG449" s="55" t="e">
        <f t="shared" ca="1" si="131"/>
        <v>#N/A</v>
      </c>
      <c r="AH449" s="55" t="e">
        <f t="shared" ca="1" si="132"/>
        <v>#N/A</v>
      </c>
      <c r="AI449" s="55" t="e">
        <f t="shared" ca="1" si="133"/>
        <v>#N/A</v>
      </c>
      <c r="AJ449" s="55" t="e">
        <f t="shared" ca="1" si="139"/>
        <v>#N/A</v>
      </c>
      <c r="AK449" s="55" t="e">
        <f t="shared" ca="1" si="140"/>
        <v>#N/A</v>
      </c>
      <c r="AL449" s="55" t="e">
        <f t="shared" ca="1" si="141"/>
        <v>#N/A</v>
      </c>
      <c r="AM449" s="55"/>
    </row>
    <row r="450" spans="18:39">
      <c r="R450" s="55" t="e">
        <f ca="1"/>
        <v>#N/A</v>
      </c>
      <c r="S450" s="55" t="e">
        <f t="shared" ca="1" si="123"/>
        <v>#N/A</v>
      </c>
      <c r="T450" s="55" t="e">
        <f t="shared" ca="1" si="124"/>
        <v>#N/A</v>
      </c>
      <c r="U450" s="55" t="e">
        <f t="shared" ca="1" si="125"/>
        <v>#N/A</v>
      </c>
      <c r="V450" s="55" t="e">
        <f t="shared" ca="1" si="126"/>
        <v>#N/A</v>
      </c>
      <c r="W450" s="55" t="e">
        <f t="shared" ca="1" si="136"/>
        <v>#N/A</v>
      </c>
      <c r="X450" s="55" t="e">
        <f t="shared" ca="1" si="137"/>
        <v>#N/A</v>
      </c>
      <c r="Y450" s="55" t="e">
        <f t="shared" ca="1" si="138"/>
        <v>#N/A</v>
      </c>
      <c r="Z450" s="55" t="e">
        <f t="shared" ca="1" si="134"/>
        <v>#N/A</v>
      </c>
      <c r="AA450" t="e">
        <f t="shared" ca="1" si="135"/>
        <v>#N/A</v>
      </c>
      <c r="AB450" t="e">
        <f t="shared" ca="1" si="127"/>
        <v>#N/A</v>
      </c>
      <c r="AC450" t="e">
        <f t="shared" ca="1" si="128"/>
        <v>#N/A</v>
      </c>
      <c r="AD450" t="e">
        <f t="shared" ca="1" si="129"/>
        <v>#N/A</v>
      </c>
      <c r="AE450" s="83" t="e">
        <f ca="1"/>
        <v>#N/A</v>
      </c>
      <c r="AF450" s="55" t="e">
        <f t="shared" ca="1" si="130"/>
        <v>#N/A</v>
      </c>
      <c r="AG450" s="55" t="e">
        <f t="shared" ca="1" si="131"/>
        <v>#N/A</v>
      </c>
      <c r="AH450" s="55" t="e">
        <f t="shared" ca="1" si="132"/>
        <v>#N/A</v>
      </c>
      <c r="AI450" s="55" t="e">
        <f t="shared" ca="1" si="133"/>
        <v>#N/A</v>
      </c>
      <c r="AJ450" s="55" t="e">
        <f t="shared" ca="1" si="139"/>
        <v>#N/A</v>
      </c>
      <c r="AK450" s="55" t="e">
        <f t="shared" ca="1" si="140"/>
        <v>#N/A</v>
      </c>
      <c r="AL450" s="55" t="e">
        <f t="shared" ca="1" si="141"/>
        <v>#N/A</v>
      </c>
      <c r="AM450" s="55"/>
    </row>
    <row r="451" spans="18:39">
      <c r="R451" s="55" t="e">
        <f ca="1"/>
        <v>#N/A</v>
      </c>
      <c r="S451" s="55" t="e">
        <f t="shared" ca="1" si="123"/>
        <v>#N/A</v>
      </c>
      <c r="T451" s="55" t="e">
        <f t="shared" ca="1" si="124"/>
        <v>#N/A</v>
      </c>
      <c r="U451" s="55" t="e">
        <f t="shared" ca="1" si="125"/>
        <v>#N/A</v>
      </c>
      <c r="V451" s="55" t="e">
        <f t="shared" ca="1" si="126"/>
        <v>#N/A</v>
      </c>
      <c r="W451" s="55" t="e">
        <f t="shared" ca="1" si="136"/>
        <v>#N/A</v>
      </c>
      <c r="X451" s="55" t="e">
        <f t="shared" ca="1" si="137"/>
        <v>#N/A</v>
      </c>
      <c r="Y451" s="55" t="e">
        <f t="shared" ca="1" si="138"/>
        <v>#N/A</v>
      </c>
      <c r="Z451" s="55" t="e">
        <f t="shared" ca="1" si="134"/>
        <v>#N/A</v>
      </c>
      <c r="AA451" t="e">
        <f t="shared" ca="1" si="135"/>
        <v>#N/A</v>
      </c>
      <c r="AB451" t="e">
        <f t="shared" ca="1" si="127"/>
        <v>#N/A</v>
      </c>
      <c r="AC451" t="e">
        <f t="shared" ca="1" si="128"/>
        <v>#N/A</v>
      </c>
      <c r="AD451" t="e">
        <f t="shared" ca="1" si="129"/>
        <v>#N/A</v>
      </c>
      <c r="AE451" s="83" t="e">
        <f ca="1"/>
        <v>#N/A</v>
      </c>
      <c r="AF451" s="55" t="e">
        <f t="shared" ca="1" si="130"/>
        <v>#N/A</v>
      </c>
      <c r="AG451" s="55" t="e">
        <f t="shared" ca="1" si="131"/>
        <v>#N/A</v>
      </c>
      <c r="AH451" s="55" t="e">
        <f t="shared" ca="1" si="132"/>
        <v>#N/A</v>
      </c>
      <c r="AI451" s="55" t="e">
        <f t="shared" ca="1" si="133"/>
        <v>#N/A</v>
      </c>
      <c r="AJ451" s="55" t="e">
        <f t="shared" ca="1" si="139"/>
        <v>#N/A</v>
      </c>
      <c r="AK451" s="55" t="e">
        <f t="shared" ca="1" si="140"/>
        <v>#N/A</v>
      </c>
      <c r="AL451" s="55" t="e">
        <f t="shared" ca="1" si="141"/>
        <v>#N/A</v>
      </c>
      <c r="AM451" s="55"/>
    </row>
    <row r="452" spans="18:39">
      <c r="R452" s="55" t="e">
        <f ca="1"/>
        <v>#N/A</v>
      </c>
      <c r="S452" s="55" t="e">
        <f t="shared" ca="1" si="123"/>
        <v>#N/A</v>
      </c>
      <c r="T452" s="55" t="e">
        <f t="shared" ca="1" si="124"/>
        <v>#N/A</v>
      </c>
      <c r="U452" s="55" t="e">
        <f t="shared" ca="1" si="125"/>
        <v>#N/A</v>
      </c>
      <c r="V452" s="55" t="e">
        <f t="shared" ca="1" si="126"/>
        <v>#N/A</v>
      </c>
      <c r="W452" s="55" t="e">
        <f t="shared" ca="1" si="136"/>
        <v>#N/A</v>
      </c>
      <c r="X452" s="55" t="e">
        <f t="shared" ca="1" si="137"/>
        <v>#N/A</v>
      </c>
      <c r="Y452" s="55" t="e">
        <f t="shared" ca="1" si="138"/>
        <v>#N/A</v>
      </c>
      <c r="Z452" s="55" t="e">
        <f t="shared" ca="1" si="134"/>
        <v>#N/A</v>
      </c>
      <c r="AA452" t="e">
        <f t="shared" ca="1" si="135"/>
        <v>#N/A</v>
      </c>
      <c r="AB452" t="e">
        <f t="shared" ca="1" si="127"/>
        <v>#N/A</v>
      </c>
      <c r="AC452" t="e">
        <f t="shared" ca="1" si="128"/>
        <v>#N/A</v>
      </c>
      <c r="AD452" t="e">
        <f t="shared" ca="1" si="129"/>
        <v>#N/A</v>
      </c>
      <c r="AE452" s="83" t="e">
        <f ca="1"/>
        <v>#N/A</v>
      </c>
      <c r="AF452" s="55" t="e">
        <f t="shared" ca="1" si="130"/>
        <v>#N/A</v>
      </c>
      <c r="AG452" s="55" t="e">
        <f t="shared" ca="1" si="131"/>
        <v>#N/A</v>
      </c>
      <c r="AH452" s="55" t="e">
        <f t="shared" ca="1" si="132"/>
        <v>#N/A</v>
      </c>
      <c r="AI452" s="55" t="e">
        <f t="shared" ca="1" si="133"/>
        <v>#N/A</v>
      </c>
      <c r="AJ452" s="55" t="e">
        <f t="shared" ca="1" si="139"/>
        <v>#N/A</v>
      </c>
      <c r="AK452" s="55" t="e">
        <f t="shared" ca="1" si="140"/>
        <v>#N/A</v>
      </c>
      <c r="AL452" s="55" t="e">
        <f t="shared" ca="1" si="141"/>
        <v>#N/A</v>
      </c>
      <c r="AM452" s="55"/>
    </row>
    <row r="453" spans="18:39">
      <c r="R453" s="55" t="e">
        <f ca="1"/>
        <v>#N/A</v>
      </c>
      <c r="S453" s="55" t="e">
        <f t="shared" ca="1" si="123"/>
        <v>#N/A</v>
      </c>
      <c r="T453" s="55" t="e">
        <f t="shared" ca="1" si="124"/>
        <v>#N/A</v>
      </c>
      <c r="U453" s="55" t="e">
        <f t="shared" ca="1" si="125"/>
        <v>#N/A</v>
      </c>
      <c r="V453" s="55" t="e">
        <f t="shared" ca="1" si="126"/>
        <v>#N/A</v>
      </c>
      <c r="W453" s="55" t="e">
        <f t="shared" ca="1" si="136"/>
        <v>#N/A</v>
      </c>
      <c r="X453" s="55" t="e">
        <f t="shared" ca="1" si="137"/>
        <v>#N/A</v>
      </c>
      <c r="Y453" s="55" t="e">
        <f t="shared" ca="1" si="138"/>
        <v>#N/A</v>
      </c>
      <c r="Z453" s="55" t="e">
        <f t="shared" ca="1" si="134"/>
        <v>#N/A</v>
      </c>
      <c r="AA453" t="e">
        <f t="shared" ca="1" si="135"/>
        <v>#N/A</v>
      </c>
      <c r="AB453" t="e">
        <f t="shared" ca="1" si="127"/>
        <v>#N/A</v>
      </c>
      <c r="AC453" t="e">
        <f t="shared" ca="1" si="128"/>
        <v>#N/A</v>
      </c>
      <c r="AD453" t="e">
        <f t="shared" ca="1" si="129"/>
        <v>#N/A</v>
      </c>
      <c r="AE453" s="83" t="e">
        <f ca="1"/>
        <v>#N/A</v>
      </c>
      <c r="AF453" s="55" t="e">
        <f t="shared" ca="1" si="130"/>
        <v>#N/A</v>
      </c>
      <c r="AG453" s="55" t="e">
        <f t="shared" ca="1" si="131"/>
        <v>#N/A</v>
      </c>
      <c r="AH453" s="55" t="e">
        <f t="shared" ca="1" si="132"/>
        <v>#N/A</v>
      </c>
      <c r="AI453" s="55" t="e">
        <f t="shared" ca="1" si="133"/>
        <v>#N/A</v>
      </c>
      <c r="AJ453" s="55" t="e">
        <f t="shared" ca="1" si="139"/>
        <v>#N/A</v>
      </c>
      <c r="AK453" s="55" t="e">
        <f t="shared" ca="1" si="140"/>
        <v>#N/A</v>
      </c>
      <c r="AL453" s="55" t="e">
        <f t="shared" ca="1" si="141"/>
        <v>#N/A</v>
      </c>
      <c r="AM453" s="55"/>
    </row>
    <row r="454" spans="18:39">
      <c r="R454" s="55" t="e">
        <f ca="1"/>
        <v>#N/A</v>
      </c>
      <c r="S454" s="55" t="e">
        <f t="shared" ca="1" si="123"/>
        <v>#N/A</v>
      </c>
      <c r="T454" s="55" t="e">
        <f t="shared" ca="1" si="124"/>
        <v>#N/A</v>
      </c>
      <c r="U454" s="55" t="e">
        <f t="shared" ca="1" si="125"/>
        <v>#N/A</v>
      </c>
      <c r="V454" s="55" t="e">
        <f t="shared" ca="1" si="126"/>
        <v>#N/A</v>
      </c>
      <c r="W454" s="55" t="e">
        <f t="shared" ca="1" si="136"/>
        <v>#N/A</v>
      </c>
      <c r="X454" s="55" t="e">
        <f t="shared" ca="1" si="137"/>
        <v>#N/A</v>
      </c>
      <c r="Y454" s="55" t="e">
        <f t="shared" ca="1" si="138"/>
        <v>#N/A</v>
      </c>
      <c r="Z454" s="55" t="e">
        <f t="shared" ca="1" si="134"/>
        <v>#N/A</v>
      </c>
      <c r="AA454" t="e">
        <f t="shared" ca="1" si="135"/>
        <v>#N/A</v>
      </c>
      <c r="AB454" t="e">
        <f t="shared" ca="1" si="127"/>
        <v>#N/A</v>
      </c>
      <c r="AC454" t="e">
        <f t="shared" ca="1" si="128"/>
        <v>#N/A</v>
      </c>
      <c r="AD454" t="e">
        <f t="shared" ca="1" si="129"/>
        <v>#N/A</v>
      </c>
      <c r="AE454" s="83" t="e">
        <f ca="1"/>
        <v>#N/A</v>
      </c>
      <c r="AF454" s="55" t="e">
        <f t="shared" ca="1" si="130"/>
        <v>#N/A</v>
      </c>
      <c r="AG454" s="55" t="e">
        <f t="shared" ca="1" si="131"/>
        <v>#N/A</v>
      </c>
      <c r="AH454" s="55" t="e">
        <f t="shared" ca="1" si="132"/>
        <v>#N/A</v>
      </c>
      <c r="AI454" s="55" t="e">
        <f t="shared" ca="1" si="133"/>
        <v>#N/A</v>
      </c>
      <c r="AJ454" s="55" t="e">
        <f t="shared" ca="1" si="139"/>
        <v>#N/A</v>
      </c>
      <c r="AK454" s="55" t="e">
        <f t="shared" ca="1" si="140"/>
        <v>#N/A</v>
      </c>
      <c r="AL454" s="55" t="e">
        <f t="shared" ca="1" si="141"/>
        <v>#N/A</v>
      </c>
      <c r="AM454" s="55"/>
    </row>
    <row r="455" spans="18:39">
      <c r="R455" s="55" t="e">
        <f ca="1"/>
        <v>#N/A</v>
      </c>
      <c r="S455" s="55" t="e">
        <f t="shared" ca="1" si="123"/>
        <v>#N/A</v>
      </c>
      <c r="T455" s="55" t="e">
        <f t="shared" ca="1" si="124"/>
        <v>#N/A</v>
      </c>
      <c r="U455" s="55" t="e">
        <f t="shared" ca="1" si="125"/>
        <v>#N/A</v>
      </c>
      <c r="V455" s="55" t="e">
        <f t="shared" ca="1" si="126"/>
        <v>#N/A</v>
      </c>
      <c r="W455" s="55" t="e">
        <f t="shared" ca="1" si="136"/>
        <v>#N/A</v>
      </c>
      <c r="X455" s="55" t="e">
        <f t="shared" ca="1" si="137"/>
        <v>#N/A</v>
      </c>
      <c r="Y455" s="55" t="e">
        <f t="shared" ca="1" si="138"/>
        <v>#N/A</v>
      </c>
      <c r="Z455" s="55" t="e">
        <f t="shared" ca="1" si="134"/>
        <v>#N/A</v>
      </c>
      <c r="AA455" t="e">
        <f t="shared" ca="1" si="135"/>
        <v>#N/A</v>
      </c>
      <c r="AB455" t="e">
        <f t="shared" ca="1" si="127"/>
        <v>#N/A</v>
      </c>
      <c r="AC455" t="e">
        <f t="shared" ca="1" si="128"/>
        <v>#N/A</v>
      </c>
      <c r="AD455" t="e">
        <f t="shared" ca="1" si="129"/>
        <v>#N/A</v>
      </c>
      <c r="AE455" s="83" t="e">
        <f ca="1"/>
        <v>#N/A</v>
      </c>
      <c r="AF455" s="55" t="e">
        <f t="shared" ca="1" si="130"/>
        <v>#N/A</v>
      </c>
      <c r="AG455" s="55" t="e">
        <f t="shared" ca="1" si="131"/>
        <v>#N/A</v>
      </c>
      <c r="AH455" s="55" t="e">
        <f t="shared" ca="1" si="132"/>
        <v>#N/A</v>
      </c>
      <c r="AI455" s="55" t="e">
        <f t="shared" ca="1" si="133"/>
        <v>#N/A</v>
      </c>
      <c r="AJ455" s="55" t="e">
        <f t="shared" ca="1" si="139"/>
        <v>#N/A</v>
      </c>
      <c r="AK455" s="55" t="e">
        <f t="shared" ca="1" si="140"/>
        <v>#N/A</v>
      </c>
      <c r="AL455" s="55" t="e">
        <f t="shared" ca="1" si="141"/>
        <v>#N/A</v>
      </c>
      <c r="AM455" s="55"/>
    </row>
    <row r="456" spans="18:39">
      <c r="R456" s="55" t="e">
        <f ca="1"/>
        <v>#N/A</v>
      </c>
      <c r="S456" s="55" t="e">
        <f t="shared" ca="1" si="123"/>
        <v>#N/A</v>
      </c>
      <c r="T456" s="55" t="e">
        <f t="shared" ca="1" si="124"/>
        <v>#N/A</v>
      </c>
      <c r="U456" s="55" t="e">
        <f t="shared" ca="1" si="125"/>
        <v>#N/A</v>
      </c>
      <c r="V456" s="55" t="e">
        <f t="shared" ca="1" si="126"/>
        <v>#N/A</v>
      </c>
      <c r="W456" s="55" t="e">
        <f t="shared" ca="1" si="136"/>
        <v>#N/A</v>
      </c>
      <c r="X456" s="55" t="e">
        <f t="shared" ca="1" si="137"/>
        <v>#N/A</v>
      </c>
      <c r="Y456" s="55" t="e">
        <f t="shared" ca="1" si="138"/>
        <v>#N/A</v>
      </c>
      <c r="Z456" s="55" t="e">
        <f t="shared" ca="1" si="134"/>
        <v>#N/A</v>
      </c>
      <c r="AA456" t="e">
        <f t="shared" ca="1" si="135"/>
        <v>#N/A</v>
      </c>
      <c r="AB456" t="e">
        <f t="shared" ca="1" si="127"/>
        <v>#N/A</v>
      </c>
      <c r="AC456" t="e">
        <f t="shared" ca="1" si="128"/>
        <v>#N/A</v>
      </c>
      <c r="AD456" t="e">
        <f t="shared" ca="1" si="129"/>
        <v>#N/A</v>
      </c>
      <c r="AE456" s="83" t="e">
        <f ca="1"/>
        <v>#N/A</v>
      </c>
      <c r="AF456" s="55" t="e">
        <f t="shared" ca="1" si="130"/>
        <v>#N/A</v>
      </c>
      <c r="AG456" s="55" t="e">
        <f t="shared" ca="1" si="131"/>
        <v>#N/A</v>
      </c>
      <c r="AH456" s="55" t="e">
        <f t="shared" ca="1" si="132"/>
        <v>#N/A</v>
      </c>
      <c r="AI456" s="55" t="e">
        <f t="shared" ca="1" si="133"/>
        <v>#N/A</v>
      </c>
      <c r="AJ456" s="55" t="e">
        <f t="shared" ca="1" si="139"/>
        <v>#N/A</v>
      </c>
      <c r="AK456" s="55" t="e">
        <f t="shared" ca="1" si="140"/>
        <v>#N/A</v>
      </c>
      <c r="AL456" s="55" t="e">
        <f t="shared" ca="1" si="141"/>
        <v>#N/A</v>
      </c>
      <c r="AM456" s="55"/>
    </row>
    <row r="457" spans="18:39">
      <c r="R457" s="55" t="e">
        <f ca="1"/>
        <v>#N/A</v>
      </c>
      <c r="S457" s="55" t="e">
        <f t="shared" ca="1" si="123"/>
        <v>#N/A</v>
      </c>
      <c r="T457" s="55" t="e">
        <f t="shared" ca="1" si="124"/>
        <v>#N/A</v>
      </c>
      <c r="U457" s="55" t="e">
        <f t="shared" ca="1" si="125"/>
        <v>#N/A</v>
      </c>
      <c r="V457" s="55" t="e">
        <f t="shared" ca="1" si="126"/>
        <v>#N/A</v>
      </c>
      <c r="W457" s="55" t="e">
        <f t="shared" ca="1" si="136"/>
        <v>#N/A</v>
      </c>
      <c r="X457" s="55" t="e">
        <f t="shared" ca="1" si="137"/>
        <v>#N/A</v>
      </c>
      <c r="Y457" s="55" t="e">
        <f t="shared" ca="1" si="138"/>
        <v>#N/A</v>
      </c>
      <c r="Z457" s="55" t="e">
        <f t="shared" ca="1" si="134"/>
        <v>#N/A</v>
      </c>
      <c r="AA457" t="e">
        <f t="shared" ca="1" si="135"/>
        <v>#N/A</v>
      </c>
      <c r="AB457" t="e">
        <f t="shared" ca="1" si="127"/>
        <v>#N/A</v>
      </c>
      <c r="AC457" t="e">
        <f t="shared" ca="1" si="128"/>
        <v>#N/A</v>
      </c>
      <c r="AD457" t="e">
        <f t="shared" ca="1" si="129"/>
        <v>#N/A</v>
      </c>
      <c r="AE457" s="83" t="e">
        <f ca="1"/>
        <v>#N/A</v>
      </c>
      <c r="AF457" s="55" t="e">
        <f t="shared" ca="1" si="130"/>
        <v>#N/A</v>
      </c>
      <c r="AG457" s="55" t="e">
        <f t="shared" ca="1" si="131"/>
        <v>#N/A</v>
      </c>
      <c r="AH457" s="55" t="e">
        <f t="shared" ca="1" si="132"/>
        <v>#N/A</v>
      </c>
      <c r="AI457" s="55" t="e">
        <f t="shared" ca="1" si="133"/>
        <v>#N/A</v>
      </c>
      <c r="AJ457" s="55" t="e">
        <f t="shared" ca="1" si="139"/>
        <v>#N/A</v>
      </c>
      <c r="AK457" s="55" t="e">
        <f t="shared" ca="1" si="140"/>
        <v>#N/A</v>
      </c>
      <c r="AL457" s="55" t="e">
        <f t="shared" ca="1" si="141"/>
        <v>#N/A</v>
      </c>
      <c r="AM457" s="55"/>
    </row>
    <row r="458" spans="18:39">
      <c r="R458" s="55" t="e">
        <f ca="1"/>
        <v>#N/A</v>
      </c>
      <c r="S458" s="55" t="e">
        <f t="shared" ca="1" si="123"/>
        <v>#N/A</v>
      </c>
      <c r="T458" s="55" t="e">
        <f t="shared" ca="1" si="124"/>
        <v>#N/A</v>
      </c>
      <c r="U458" s="55" t="e">
        <f t="shared" ca="1" si="125"/>
        <v>#N/A</v>
      </c>
      <c r="V458" s="55" t="e">
        <f t="shared" ca="1" si="126"/>
        <v>#N/A</v>
      </c>
      <c r="W458" s="55" t="e">
        <f t="shared" ca="1" si="136"/>
        <v>#N/A</v>
      </c>
      <c r="X458" s="55" t="e">
        <f t="shared" ca="1" si="137"/>
        <v>#N/A</v>
      </c>
      <c r="Y458" s="55" t="e">
        <f t="shared" ca="1" si="138"/>
        <v>#N/A</v>
      </c>
      <c r="Z458" s="55" t="e">
        <f t="shared" ca="1" si="134"/>
        <v>#N/A</v>
      </c>
      <c r="AA458" t="e">
        <f t="shared" ca="1" si="135"/>
        <v>#N/A</v>
      </c>
      <c r="AB458" t="e">
        <f t="shared" ca="1" si="127"/>
        <v>#N/A</v>
      </c>
      <c r="AC458" t="e">
        <f t="shared" ca="1" si="128"/>
        <v>#N/A</v>
      </c>
      <c r="AD458" t="e">
        <f t="shared" ca="1" si="129"/>
        <v>#N/A</v>
      </c>
      <c r="AE458" s="83" t="e">
        <f ca="1"/>
        <v>#N/A</v>
      </c>
      <c r="AF458" s="55" t="e">
        <f t="shared" ca="1" si="130"/>
        <v>#N/A</v>
      </c>
      <c r="AG458" s="55" t="e">
        <f t="shared" ca="1" si="131"/>
        <v>#N/A</v>
      </c>
      <c r="AH458" s="55" t="e">
        <f t="shared" ca="1" si="132"/>
        <v>#N/A</v>
      </c>
      <c r="AI458" s="55" t="e">
        <f t="shared" ca="1" si="133"/>
        <v>#N/A</v>
      </c>
      <c r="AJ458" s="55" t="e">
        <f t="shared" ca="1" si="139"/>
        <v>#N/A</v>
      </c>
      <c r="AK458" s="55" t="e">
        <f t="shared" ca="1" si="140"/>
        <v>#N/A</v>
      </c>
      <c r="AL458" s="55" t="e">
        <f t="shared" ca="1" si="141"/>
        <v>#N/A</v>
      </c>
      <c r="AM458" s="55"/>
    </row>
    <row r="459" spans="18:39">
      <c r="R459" s="55" t="e">
        <f ca="1"/>
        <v>#N/A</v>
      </c>
      <c r="S459" s="55" t="e">
        <f t="shared" ca="1" si="123"/>
        <v>#N/A</v>
      </c>
      <c r="T459" s="55" t="e">
        <f t="shared" ca="1" si="124"/>
        <v>#N/A</v>
      </c>
      <c r="U459" s="55" t="e">
        <f t="shared" ca="1" si="125"/>
        <v>#N/A</v>
      </c>
      <c r="V459" s="55" t="e">
        <f t="shared" ca="1" si="126"/>
        <v>#N/A</v>
      </c>
      <c r="W459" s="55" t="e">
        <f t="shared" ca="1" si="136"/>
        <v>#N/A</v>
      </c>
      <c r="X459" s="55" t="e">
        <f t="shared" ca="1" si="137"/>
        <v>#N/A</v>
      </c>
      <c r="Y459" s="55" t="e">
        <f t="shared" ca="1" si="138"/>
        <v>#N/A</v>
      </c>
      <c r="Z459" s="55" t="e">
        <f t="shared" ca="1" si="134"/>
        <v>#N/A</v>
      </c>
      <c r="AA459" t="e">
        <f t="shared" ca="1" si="135"/>
        <v>#N/A</v>
      </c>
      <c r="AB459" t="e">
        <f t="shared" ca="1" si="127"/>
        <v>#N/A</v>
      </c>
      <c r="AC459" t="e">
        <f t="shared" ca="1" si="128"/>
        <v>#N/A</v>
      </c>
      <c r="AD459" t="e">
        <f t="shared" ca="1" si="129"/>
        <v>#N/A</v>
      </c>
      <c r="AE459" s="83" t="e">
        <f ca="1"/>
        <v>#N/A</v>
      </c>
      <c r="AF459" s="55" t="e">
        <f t="shared" ca="1" si="130"/>
        <v>#N/A</v>
      </c>
      <c r="AG459" s="55" t="e">
        <f t="shared" ca="1" si="131"/>
        <v>#N/A</v>
      </c>
      <c r="AH459" s="55" t="e">
        <f t="shared" ca="1" si="132"/>
        <v>#N/A</v>
      </c>
      <c r="AI459" s="55" t="e">
        <f t="shared" ca="1" si="133"/>
        <v>#N/A</v>
      </c>
      <c r="AJ459" s="55" t="e">
        <f t="shared" ca="1" si="139"/>
        <v>#N/A</v>
      </c>
      <c r="AK459" s="55" t="e">
        <f t="shared" ca="1" si="140"/>
        <v>#N/A</v>
      </c>
      <c r="AL459" s="55" t="e">
        <f t="shared" ca="1" si="141"/>
        <v>#N/A</v>
      </c>
      <c r="AM459" s="55"/>
    </row>
    <row r="460" spans="18:39">
      <c r="R460" s="55" t="e">
        <f ca="1"/>
        <v>#N/A</v>
      </c>
      <c r="S460" s="55" t="e">
        <f t="shared" ref="S460:S523" ca="1" si="142">IF(R460&gt;1,R460,"")</f>
        <v>#N/A</v>
      </c>
      <c r="T460" s="55" t="e">
        <f t="shared" ref="T460:T523" ca="1" si="143">VLOOKUP(S460,ModelOutputs,2,FALSE)</f>
        <v>#N/A</v>
      </c>
      <c r="U460" s="55" t="e">
        <f t="shared" ref="U460:U523" ca="1" si="144">VLOOKUP(S460,ModelOutputs,7,FALSE)</f>
        <v>#N/A</v>
      </c>
      <c r="V460" s="55" t="e">
        <f t="shared" ref="V460:V523" ca="1" si="145">VLOOKUP(S460,ModelOutputs,6,FALSE)</f>
        <v>#N/A</v>
      </c>
      <c r="W460" s="55" t="e">
        <f t="shared" ca="1" si="136"/>
        <v>#N/A</v>
      </c>
      <c r="X460" s="55" t="e">
        <f t="shared" ca="1" si="137"/>
        <v>#N/A</v>
      </c>
      <c r="Y460" s="55" t="e">
        <f t="shared" ca="1" si="138"/>
        <v>#N/A</v>
      </c>
      <c r="Z460" s="55" t="e">
        <f t="shared" ca="1" si="134"/>
        <v>#N/A</v>
      </c>
      <c r="AA460" t="e">
        <f t="shared" ca="1" si="135"/>
        <v>#N/A</v>
      </c>
      <c r="AB460" t="e">
        <f t="shared" ref="AB460:AB523" ca="1" si="146">VLOOKUP(S460,ModelOutputs,11,FALSE)+AB459</f>
        <v>#N/A</v>
      </c>
      <c r="AC460" t="e">
        <f t="shared" ref="AC460:AC523" ca="1" si="147">VLOOKUP(S460,ModelOutputs,12,FALSE)</f>
        <v>#N/A</v>
      </c>
      <c r="AD460" t="e">
        <f t="shared" ref="AD460:AD523" ca="1" si="148">VLOOKUP(S460,ModelOutputs,13,FALSE)</f>
        <v>#N/A</v>
      </c>
      <c r="AE460" s="83" t="e">
        <f ca="1"/>
        <v>#N/A</v>
      </c>
      <c r="AF460" s="55" t="e">
        <f t="shared" ref="AF460:AF523" ca="1" si="149">IF(AE460&gt;1,AE460,"")</f>
        <v>#N/A</v>
      </c>
      <c r="AG460" s="55" t="e">
        <f t="shared" ref="AG460:AG523" ca="1" si="150">VLOOKUP(AF460,ModelOutputs,2,FALSE)</f>
        <v>#N/A</v>
      </c>
      <c r="AH460" s="55" t="e">
        <f t="shared" ref="AH460:AH523" ca="1" si="151">VLOOKUP(AF460,ModelOutputs,7,FALSE)</f>
        <v>#N/A</v>
      </c>
      <c r="AI460" s="55" t="e">
        <f t="shared" ref="AI460:AI523" ca="1" si="152">VLOOKUP(AF460,ModelOutputs,6,FALSE)</f>
        <v>#N/A</v>
      </c>
      <c r="AJ460" s="55" t="e">
        <f t="shared" ca="1" si="139"/>
        <v>#N/A</v>
      </c>
      <c r="AK460" s="55" t="e">
        <f t="shared" ca="1" si="140"/>
        <v>#N/A</v>
      </c>
      <c r="AL460" s="55" t="e">
        <f t="shared" ca="1" si="141"/>
        <v>#N/A</v>
      </c>
      <c r="AM460" s="55"/>
    </row>
    <row r="461" spans="18:39">
      <c r="R461" s="55" t="e">
        <f ca="1"/>
        <v>#N/A</v>
      </c>
      <c r="S461" s="55" t="e">
        <f t="shared" ca="1" si="142"/>
        <v>#N/A</v>
      </c>
      <c r="T461" s="55" t="e">
        <f t="shared" ca="1" si="143"/>
        <v>#N/A</v>
      </c>
      <c r="U461" s="55" t="e">
        <f t="shared" ca="1" si="144"/>
        <v>#N/A</v>
      </c>
      <c r="V461" s="55" t="e">
        <f t="shared" ca="1" si="145"/>
        <v>#N/A</v>
      </c>
      <c r="W461" s="55" t="e">
        <f t="shared" ca="1" si="136"/>
        <v>#N/A</v>
      </c>
      <c r="X461" s="55" t="e">
        <f t="shared" ca="1" si="137"/>
        <v>#N/A</v>
      </c>
      <c r="Y461" s="55" t="e">
        <f t="shared" ca="1" si="138"/>
        <v>#N/A</v>
      </c>
      <c r="Z461" s="55" t="e">
        <f t="shared" ca="1" si="134"/>
        <v>#N/A</v>
      </c>
      <c r="AA461" t="e">
        <f t="shared" ca="1" si="135"/>
        <v>#N/A</v>
      </c>
      <c r="AB461" t="e">
        <f t="shared" ca="1" si="146"/>
        <v>#N/A</v>
      </c>
      <c r="AC461" t="e">
        <f t="shared" ca="1" si="147"/>
        <v>#N/A</v>
      </c>
      <c r="AD461" t="e">
        <f t="shared" ca="1" si="148"/>
        <v>#N/A</v>
      </c>
      <c r="AE461" s="83" t="e">
        <f ca="1"/>
        <v>#N/A</v>
      </c>
      <c r="AF461" s="55" t="e">
        <f t="shared" ca="1" si="149"/>
        <v>#N/A</v>
      </c>
      <c r="AG461" s="55" t="e">
        <f t="shared" ca="1" si="150"/>
        <v>#N/A</v>
      </c>
      <c r="AH461" s="55" t="e">
        <f t="shared" ca="1" si="151"/>
        <v>#N/A</v>
      </c>
      <c r="AI461" s="55" t="e">
        <f t="shared" ca="1" si="152"/>
        <v>#N/A</v>
      </c>
      <c r="AJ461" s="55" t="e">
        <f t="shared" ca="1" si="139"/>
        <v>#N/A</v>
      </c>
      <c r="AK461" s="55" t="e">
        <f t="shared" ca="1" si="140"/>
        <v>#N/A</v>
      </c>
      <c r="AL461" s="55" t="e">
        <f t="shared" ca="1" si="141"/>
        <v>#N/A</v>
      </c>
      <c r="AM461" s="55"/>
    </row>
    <row r="462" spans="18:39">
      <c r="R462" s="55" t="e">
        <f ca="1"/>
        <v>#N/A</v>
      </c>
      <c r="S462" s="55" t="e">
        <f t="shared" ca="1" si="142"/>
        <v>#N/A</v>
      </c>
      <c r="T462" s="55" t="e">
        <f t="shared" ca="1" si="143"/>
        <v>#N/A</v>
      </c>
      <c r="U462" s="55" t="e">
        <f t="shared" ca="1" si="144"/>
        <v>#N/A</v>
      </c>
      <c r="V462" s="55" t="e">
        <f t="shared" ca="1" si="145"/>
        <v>#N/A</v>
      </c>
      <c r="W462" s="55" t="e">
        <f t="shared" ca="1" si="136"/>
        <v>#N/A</v>
      </c>
      <c r="X462" s="55" t="e">
        <f t="shared" ca="1" si="137"/>
        <v>#N/A</v>
      </c>
      <c r="Y462" s="55" t="e">
        <f t="shared" ca="1" si="138"/>
        <v>#N/A</v>
      </c>
      <c r="Z462" s="55" t="e">
        <f t="shared" ca="1" si="134"/>
        <v>#N/A</v>
      </c>
      <c r="AA462" t="e">
        <f t="shared" ca="1" si="135"/>
        <v>#N/A</v>
      </c>
      <c r="AB462" t="e">
        <f t="shared" ca="1" si="146"/>
        <v>#N/A</v>
      </c>
      <c r="AC462" t="e">
        <f t="shared" ca="1" si="147"/>
        <v>#N/A</v>
      </c>
      <c r="AD462" t="e">
        <f t="shared" ca="1" si="148"/>
        <v>#N/A</v>
      </c>
      <c r="AE462" s="83" t="e">
        <f ca="1"/>
        <v>#N/A</v>
      </c>
      <c r="AF462" s="55" t="e">
        <f t="shared" ca="1" si="149"/>
        <v>#N/A</v>
      </c>
      <c r="AG462" s="55" t="e">
        <f t="shared" ca="1" si="150"/>
        <v>#N/A</v>
      </c>
      <c r="AH462" s="55" t="e">
        <f t="shared" ca="1" si="151"/>
        <v>#N/A</v>
      </c>
      <c r="AI462" s="55" t="e">
        <f t="shared" ca="1" si="152"/>
        <v>#N/A</v>
      </c>
      <c r="AJ462" s="55" t="e">
        <f t="shared" ca="1" si="139"/>
        <v>#N/A</v>
      </c>
      <c r="AK462" s="55" t="e">
        <f t="shared" ca="1" si="140"/>
        <v>#N/A</v>
      </c>
      <c r="AL462" s="55" t="e">
        <f t="shared" ca="1" si="141"/>
        <v>#N/A</v>
      </c>
      <c r="AM462" s="55"/>
    </row>
    <row r="463" spans="18:39">
      <c r="R463" s="55" t="e">
        <f ca="1"/>
        <v>#N/A</v>
      </c>
      <c r="S463" s="55" t="e">
        <f t="shared" ca="1" si="142"/>
        <v>#N/A</v>
      </c>
      <c r="T463" s="55" t="e">
        <f t="shared" ca="1" si="143"/>
        <v>#N/A</v>
      </c>
      <c r="U463" s="55" t="e">
        <f t="shared" ca="1" si="144"/>
        <v>#N/A</v>
      </c>
      <c r="V463" s="55" t="e">
        <f t="shared" ca="1" si="145"/>
        <v>#N/A</v>
      </c>
      <c r="W463" s="55" t="e">
        <f t="shared" ca="1" si="136"/>
        <v>#N/A</v>
      </c>
      <c r="X463" s="55" t="e">
        <f t="shared" ca="1" si="137"/>
        <v>#N/A</v>
      </c>
      <c r="Y463" s="55" t="e">
        <f t="shared" ca="1" si="138"/>
        <v>#N/A</v>
      </c>
      <c r="Z463" s="55" t="e">
        <f t="shared" ca="1" si="134"/>
        <v>#N/A</v>
      </c>
      <c r="AA463" t="e">
        <f t="shared" ca="1" si="135"/>
        <v>#N/A</v>
      </c>
      <c r="AB463" t="e">
        <f t="shared" ca="1" si="146"/>
        <v>#N/A</v>
      </c>
      <c r="AC463" t="e">
        <f t="shared" ca="1" si="147"/>
        <v>#N/A</v>
      </c>
      <c r="AD463" t="e">
        <f t="shared" ca="1" si="148"/>
        <v>#N/A</v>
      </c>
      <c r="AE463" s="83" t="e">
        <f ca="1"/>
        <v>#N/A</v>
      </c>
      <c r="AF463" s="55" t="e">
        <f t="shared" ca="1" si="149"/>
        <v>#N/A</v>
      </c>
      <c r="AG463" s="55" t="e">
        <f t="shared" ca="1" si="150"/>
        <v>#N/A</v>
      </c>
      <c r="AH463" s="55" t="e">
        <f t="shared" ca="1" si="151"/>
        <v>#N/A</v>
      </c>
      <c r="AI463" s="55" t="e">
        <f t="shared" ca="1" si="152"/>
        <v>#N/A</v>
      </c>
      <c r="AJ463" s="55" t="e">
        <f t="shared" ca="1" si="139"/>
        <v>#N/A</v>
      </c>
      <c r="AK463" s="55" t="e">
        <f t="shared" ca="1" si="140"/>
        <v>#N/A</v>
      </c>
      <c r="AL463" s="55" t="e">
        <f t="shared" ca="1" si="141"/>
        <v>#N/A</v>
      </c>
      <c r="AM463" s="55"/>
    </row>
    <row r="464" spans="18:39">
      <c r="R464" s="55" t="e">
        <f ca="1"/>
        <v>#N/A</v>
      </c>
      <c r="S464" s="55" t="e">
        <f t="shared" ca="1" si="142"/>
        <v>#N/A</v>
      </c>
      <c r="T464" s="55" t="e">
        <f t="shared" ca="1" si="143"/>
        <v>#N/A</v>
      </c>
      <c r="U464" s="55" t="e">
        <f t="shared" ca="1" si="144"/>
        <v>#N/A</v>
      </c>
      <c r="V464" s="55" t="e">
        <f t="shared" ca="1" si="145"/>
        <v>#N/A</v>
      </c>
      <c r="W464" s="55" t="e">
        <f t="shared" ca="1" si="136"/>
        <v>#N/A</v>
      </c>
      <c r="X464" s="55" t="e">
        <f t="shared" ca="1" si="137"/>
        <v>#N/A</v>
      </c>
      <c r="Y464" s="55" t="e">
        <f t="shared" ca="1" si="138"/>
        <v>#N/A</v>
      </c>
      <c r="Z464" s="55" t="e">
        <f t="shared" ca="1" si="134"/>
        <v>#N/A</v>
      </c>
      <c r="AA464" t="e">
        <f t="shared" ca="1" si="135"/>
        <v>#N/A</v>
      </c>
      <c r="AB464" t="e">
        <f t="shared" ca="1" si="146"/>
        <v>#N/A</v>
      </c>
      <c r="AC464" t="e">
        <f t="shared" ca="1" si="147"/>
        <v>#N/A</v>
      </c>
      <c r="AD464" t="e">
        <f t="shared" ca="1" si="148"/>
        <v>#N/A</v>
      </c>
      <c r="AE464" s="83" t="e">
        <f ca="1"/>
        <v>#N/A</v>
      </c>
      <c r="AF464" s="55" t="e">
        <f t="shared" ca="1" si="149"/>
        <v>#N/A</v>
      </c>
      <c r="AG464" s="55" t="e">
        <f t="shared" ca="1" si="150"/>
        <v>#N/A</v>
      </c>
      <c r="AH464" s="55" t="e">
        <f t="shared" ca="1" si="151"/>
        <v>#N/A</v>
      </c>
      <c r="AI464" s="55" t="e">
        <f t="shared" ca="1" si="152"/>
        <v>#N/A</v>
      </c>
      <c r="AJ464" s="55" t="e">
        <f t="shared" ca="1" si="139"/>
        <v>#N/A</v>
      </c>
      <c r="AK464" s="55" t="e">
        <f t="shared" ca="1" si="140"/>
        <v>#N/A</v>
      </c>
      <c r="AL464" s="55" t="e">
        <f t="shared" ca="1" si="141"/>
        <v>#N/A</v>
      </c>
      <c r="AM464" s="55"/>
    </row>
    <row r="465" spans="18:39">
      <c r="R465" s="55" t="e">
        <f ca="1"/>
        <v>#N/A</v>
      </c>
      <c r="S465" s="55" t="e">
        <f t="shared" ca="1" si="142"/>
        <v>#N/A</v>
      </c>
      <c r="T465" s="55" t="e">
        <f t="shared" ca="1" si="143"/>
        <v>#N/A</v>
      </c>
      <c r="U465" s="55" t="e">
        <f t="shared" ca="1" si="144"/>
        <v>#N/A</v>
      </c>
      <c r="V465" s="55" t="e">
        <f t="shared" ca="1" si="145"/>
        <v>#N/A</v>
      </c>
      <c r="W465" s="55" t="e">
        <f t="shared" ca="1" si="136"/>
        <v>#N/A</v>
      </c>
      <c r="X465" s="55" t="e">
        <f t="shared" ca="1" si="137"/>
        <v>#N/A</v>
      </c>
      <c r="Y465" s="55" t="e">
        <f t="shared" ca="1" si="138"/>
        <v>#N/A</v>
      </c>
      <c r="Z465" s="55" t="e">
        <f t="shared" ca="1" si="134"/>
        <v>#N/A</v>
      </c>
      <c r="AA465" t="e">
        <f t="shared" ca="1" si="135"/>
        <v>#N/A</v>
      </c>
      <c r="AB465" t="e">
        <f t="shared" ca="1" si="146"/>
        <v>#N/A</v>
      </c>
      <c r="AC465" t="e">
        <f t="shared" ca="1" si="147"/>
        <v>#N/A</v>
      </c>
      <c r="AD465" t="e">
        <f t="shared" ca="1" si="148"/>
        <v>#N/A</v>
      </c>
      <c r="AE465" s="83" t="e">
        <f ca="1"/>
        <v>#N/A</v>
      </c>
      <c r="AF465" s="55" t="e">
        <f t="shared" ca="1" si="149"/>
        <v>#N/A</v>
      </c>
      <c r="AG465" s="55" t="e">
        <f t="shared" ca="1" si="150"/>
        <v>#N/A</v>
      </c>
      <c r="AH465" s="55" t="e">
        <f t="shared" ca="1" si="151"/>
        <v>#N/A</v>
      </c>
      <c r="AI465" s="55" t="e">
        <f t="shared" ca="1" si="152"/>
        <v>#N/A</v>
      </c>
      <c r="AJ465" s="55" t="e">
        <f t="shared" ca="1" si="139"/>
        <v>#N/A</v>
      </c>
      <c r="AK465" s="55" t="e">
        <f t="shared" ca="1" si="140"/>
        <v>#N/A</v>
      </c>
      <c r="AL465" s="55" t="e">
        <f t="shared" ca="1" si="141"/>
        <v>#N/A</v>
      </c>
      <c r="AM465" s="55"/>
    </row>
    <row r="466" spans="18:39">
      <c r="R466" s="55" t="e">
        <f ca="1"/>
        <v>#N/A</v>
      </c>
      <c r="S466" s="55" t="e">
        <f t="shared" ca="1" si="142"/>
        <v>#N/A</v>
      </c>
      <c r="T466" s="55" t="e">
        <f t="shared" ca="1" si="143"/>
        <v>#N/A</v>
      </c>
      <c r="U466" s="55" t="e">
        <f t="shared" ca="1" si="144"/>
        <v>#N/A</v>
      </c>
      <c r="V466" s="55" t="e">
        <f t="shared" ca="1" si="145"/>
        <v>#N/A</v>
      </c>
      <c r="W466" s="55" t="e">
        <f t="shared" ca="1" si="136"/>
        <v>#N/A</v>
      </c>
      <c r="X466" s="55" t="e">
        <f t="shared" ca="1" si="137"/>
        <v>#N/A</v>
      </c>
      <c r="Y466" s="55" t="e">
        <f t="shared" ca="1" si="138"/>
        <v>#N/A</v>
      </c>
      <c r="Z466" s="55" t="e">
        <f t="shared" ref="Z466:Z529" ca="1" si="153">VLOOKUP(S466,ModelOutputs,3,FALSE)*14</f>
        <v>#N/A</v>
      </c>
      <c r="AA466" t="e">
        <f t="shared" ref="AA466:AA529" ca="1" si="154">VLOOKUP(S466,ModelOutputs,10,FALSE)*AWC</f>
        <v>#N/A</v>
      </c>
      <c r="AB466" t="e">
        <f t="shared" ca="1" si="146"/>
        <v>#N/A</v>
      </c>
      <c r="AC466" t="e">
        <f t="shared" ca="1" si="147"/>
        <v>#N/A</v>
      </c>
      <c r="AD466" t="e">
        <f t="shared" ca="1" si="148"/>
        <v>#N/A</v>
      </c>
      <c r="AE466" s="83" t="e">
        <f ca="1"/>
        <v>#N/A</v>
      </c>
      <c r="AF466" s="55" t="e">
        <f t="shared" ca="1" si="149"/>
        <v>#N/A</v>
      </c>
      <c r="AG466" s="55" t="e">
        <f t="shared" ca="1" si="150"/>
        <v>#N/A</v>
      </c>
      <c r="AH466" s="55" t="e">
        <f t="shared" ca="1" si="151"/>
        <v>#N/A</v>
      </c>
      <c r="AI466" s="55" t="e">
        <f t="shared" ca="1" si="152"/>
        <v>#N/A</v>
      </c>
      <c r="AJ466" s="55" t="e">
        <f t="shared" ca="1" si="139"/>
        <v>#N/A</v>
      </c>
      <c r="AK466" s="55" t="e">
        <f t="shared" ca="1" si="140"/>
        <v>#N/A</v>
      </c>
      <c r="AL466" s="55" t="e">
        <f t="shared" ca="1" si="141"/>
        <v>#N/A</v>
      </c>
      <c r="AM466" s="55"/>
    </row>
    <row r="467" spans="18:39">
      <c r="R467" s="55" t="e">
        <f ca="1"/>
        <v>#N/A</v>
      </c>
      <c r="S467" s="55" t="e">
        <f t="shared" ca="1" si="142"/>
        <v>#N/A</v>
      </c>
      <c r="T467" s="55" t="e">
        <f t="shared" ca="1" si="143"/>
        <v>#N/A</v>
      </c>
      <c r="U467" s="55" t="e">
        <f t="shared" ca="1" si="144"/>
        <v>#N/A</v>
      </c>
      <c r="V467" s="55" t="e">
        <f t="shared" ca="1" si="145"/>
        <v>#N/A</v>
      </c>
      <c r="W467" s="55" t="e">
        <f t="shared" ref="W467:W530" ca="1" si="155">-VLOOKUP(S467,ModelOutputs,9,FALSE)+W466</f>
        <v>#N/A</v>
      </c>
      <c r="X467" s="55" t="e">
        <f t="shared" ref="X467:X530" ca="1" si="156">VLOOKUP(S467,ModelOutputs,5,FALSE)+X466</f>
        <v>#N/A</v>
      </c>
      <c r="Y467" s="55" t="e">
        <f t="shared" ref="Y467:Y530" ca="1" si="157">VLOOKUP(S467,ModelOutputs,4,FALSE)+Y466</f>
        <v>#N/A</v>
      </c>
      <c r="Z467" s="55" t="e">
        <f t="shared" ca="1" si="153"/>
        <v>#N/A</v>
      </c>
      <c r="AA467" t="e">
        <f t="shared" ca="1" si="154"/>
        <v>#N/A</v>
      </c>
      <c r="AB467" t="e">
        <f t="shared" ca="1" si="146"/>
        <v>#N/A</v>
      </c>
      <c r="AC467" t="e">
        <f t="shared" ca="1" si="147"/>
        <v>#N/A</v>
      </c>
      <c r="AD467" t="e">
        <f t="shared" ca="1" si="148"/>
        <v>#N/A</v>
      </c>
      <c r="AE467" s="83" t="e">
        <f ca="1"/>
        <v>#N/A</v>
      </c>
      <c r="AF467" s="55" t="e">
        <f t="shared" ca="1" si="149"/>
        <v>#N/A</v>
      </c>
      <c r="AG467" s="55" t="e">
        <f t="shared" ca="1" si="150"/>
        <v>#N/A</v>
      </c>
      <c r="AH467" s="55" t="e">
        <f t="shared" ca="1" si="151"/>
        <v>#N/A</v>
      </c>
      <c r="AI467" s="55" t="e">
        <f t="shared" ca="1" si="152"/>
        <v>#N/A</v>
      </c>
      <c r="AJ467" s="55" t="e">
        <f t="shared" ref="AJ467:AJ530" ca="1" si="158">-VLOOKUP(AF467,ModelOutputs,9,FALSE)+AJ466</f>
        <v>#N/A</v>
      </c>
      <c r="AK467" s="55" t="e">
        <f t="shared" ref="AK467:AK530" ca="1" si="159">VLOOKUP(AF467,ModelOutputs,5,FALSE)+AK466</f>
        <v>#N/A</v>
      </c>
      <c r="AL467" s="55" t="e">
        <f t="shared" ref="AL467:AL530" ca="1" si="160">VLOOKUP(AF467,ModelOutputs,4,FALSE)+AL466</f>
        <v>#N/A</v>
      </c>
      <c r="AM467" s="55"/>
    </row>
    <row r="468" spans="18:39">
      <c r="R468" s="55" t="e">
        <f ca="1"/>
        <v>#N/A</v>
      </c>
      <c r="S468" s="55" t="e">
        <f t="shared" ca="1" si="142"/>
        <v>#N/A</v>
      </c>
      <c r="T468" s="55" t="e">
        <f t="shared" ca="1" si="143"/>
        <v>#N/A</v>
      </c>
      <c r="U468" s="55" t="e">
        <f t="shared" ca="1" si="144"/>
        <v>#N/A</v>
      </c>
      <c r="V468" s="55" t="e">
        <f t="shared" ca="1" si="145"/>
        <v>#N/A</v>
      </c>
      <c r="W468" s="55" t="e">
        <f t="shared" ca="1" si="155"/>
        <v>#N/A</v>
      </c>
      <c r="X468" s="55" t="e">
        <f t="shared" ca="1" si="156"/>
        <v>#N/A</v>
      </c>
      <c r="Y468" s="55" t="e">
        <f t="shared" ca="1" si="157"/>
        <v>#N/A</v>
      </c>
      <c r="Z468" s="55" t="e">
        <f t="shared" ca="1" si="153"/>
        <v>#N/A</v>
      </c>
      <c r="AA468" t="e">
        <f t="shared" ca="1" si="154"/>
        <v>#N/A</v>
      </c>
      <c r="AB468" t="e">
        <f t="shared" ca="1" si="146"/>
        <v>#N/A</v>
      </c>
      <c r="AC468" t="e">
        <f t="shared" ca="1" si="147"/>
        <v>#N/A</v>
      </c>
      <c r="AD468" t="e">
        <f t="shared" ca="1" si="148"/>
        <v>#N/A</v>
      </c>
      <c r="AE468" s="83" t="e">
        <f ca="1"/>
        <v>#N/A</v>
      </c>
      <c r="AF468" s="55" t="e">
        <f t="shared" ca="1" si="149"/>
        <v>#N/A</v>
      </c>
      <c r="AG468" s="55" t="e">
        <f t="shared" ca="1" si="150"/>
        <v>#N/A</v>
      </c>
      <c r="AH468" s="55" t="e">
        <f t="shared" ca="1" si="151"/>
        <v>#N/A</v>
      </c>
      <c r="AI468" s="55" t="e">
        <f t="shared" ca="1" si="152"/>
        <v>#N/A</v>
      </c>
      <c r="AJ468" s="55" t="e">
        <f t="shared" ca="1" si="158"/>
        <v>#N/A</v>
      </c>
      <c r="AK468" s="55" t="e">
        <f t="shared" ca="1" si="159"/>
        <v>#N/A</v>
      </c>
      <c r="AL468" s="55" t="e">
        <f t="shared" ca="1" si="160"/>
        <v>#N/A</v>
      </c>
      <c r="AM468" s="55"/>
    </row>
    <row r="469" spans="18:39">
      <c r="R469" s="55" t="e">
        <f ca="1"/>
        <v>#N/A</v>
      </c>
      <c r="S469" s="55" t="e">
        <f t="shared" ca="1" si="142"/>
        <v>#N/A</v>
      </c>
      <c r="T469" s="55" t="e">
        <f t="shared" ca="1" si="143"/>
        <v>#N/A</v>
      </c>
      <c r="U469" s="55" t="e">
        <f t="shared" ca="1" si="144"/>
        <v>#N/A</v>
      </c>
      <c r="V469" s="55" t="e">
        <f t="shared" ca="1" si="145"/>
        <v>#N/A</v>
      </c>
      <c r="W469" s="55" t="e">
        <f t="shared" ca="1" si="155"/>
        <v>#N/A</v>
      </c>
      <c r="X469" s="55" t="e">
        <f t="shared" ca="1" si="156"/>
        <v>#N/A</v>
      </c>
      <c r="Y469" s="55" t="e">
        <f t="shared" ca="1" si="157"/>
        <v>#N/A</v>
      </c>
      <c r="Z469" s="55" t="e">
        <f t="shared" ca="1" si="153"/>
        <v>#N/A</v>
      </c>
      <c r="AA469" t="e">
        <f t="shared" ca="1" si="154"/>
        <v>#N/A</v>
      </c>
      <c r="AB469" t="e">
        <f t="shared" ca="1" si="146"/>
        <v>#N/A</v>
      </c>
      <c r="AC469" t="e">
        <f t="shared" ca="1" si="147"/>
        <v>#N/A</v>
      </c>
      <c r="AD469" t="e">
        <f t="shared" ca="1" si="148"/>
        <v>#N/A</v>
      </c>
      <c r="AE469" s="83" t="e">
        <f ca="1"/>
        <v>#N/A</v>
      </c>
      <c r="AF469" s="55" t="e">
        <f t="shared" ca="1" si="149"/>
        <v>#N/A</v>
      </c>
      <c r="AG469" s="55" t="e">
        <f t="shared" ca="1" si="150"/>
        <v>#N/A</v>
      </c>
      <c r="AH469" s="55" t="e">
        <f t="shared" ca="1" si="151"/>
        <v>#N/A</v>
      </c>
      <c r="AI469" s="55" t="e">
        <f t="shared" ca="1" si="152"/>
        <v>#N/A</v>
      </c>
      <c r="AJ469" s="55" t="e">
        <f t="shared" ca="1" si="158"/>
        <v>#N/A</v>
      </c>
      <c r="AK469" s="55" t="e">
        <f t="shared" ca="1" si="159"/>
        <v>#N/A</v>
      </c>
      <c r="AL469" s="55" t="e">
        <f t="shared" ca="1" si="160"/>
        <v>#N/A</v>
      </c>
      <c r="AM469" s="55"/>
    </row>
    <row r="470" spans="18:39">
      <c r="R470" s="55" t="e">
        <f ca="1"/>
        <v>#N/A</v>
      </c>
      <c r="S470" s="55" t="e">
        <f t="shared" ca="1" si="142"/>
        <v>#N/A</v>
      </c>
      <c r="T470" s="55" t="e">
        <f t="shared" ca="1" si="143"/>
        <v>#N/A</v>
      </c>
      <c r="U470" s="55" t="e">
        <f t="shared" ca="1" si="144"/>
        <v>#N/A</v>
      </c>
      <c r="V470" s="55" t="e">
        <f t="shared" ca="1" si="145"/>
        <v>#N/A</v>
      </c>
      <c r="W470" s="55" t="e">
        <f t="shared" ca="1" si="155"/>
        <v>#N/A</v>
      </c>
      <c r="X470" s="55" t="e">
        <f t="shared" ca="1" si="156"/>
        <v>#N/A</v>
      </c>
      <c r="Y470" s="55" t="e">
        <f t="shared" ca="1" si="157"/>
        <v>#N/A</v>
      </c>
      <c r="Z470" s="55" t="e">
        <f t="shared" ca="1" si="153"/>
        <v>#N/A</v>
      </c>
      <c r="AA470" t="e">
        <f t="shared" ca="1" si="154"/>
        <v>#N/A</v>
      </c>
      <c r="AB470" t="e">
        <f t="shared" ca="1" si="146"/>
        <v>#N/A</v>
      </c>
      <c r="AC470" t="e">
        <f t="shared" ca="1" si="147"/>
        <v>#N/A</v>
      </c>
      <c r="AD470" t="e">
        <f t="shared" ca="1" si="148"/>
        <v>#N/A</v>
      </c>
      <c r="AE470" s="83" t="e">
        <f ca="1"/>
        <v>#N/A</v>
      </c>
      <c r="AF470" s="55" t="e">
        <f t="shared" ca="1" si="149"/>
        <v>#N/A</v>
      </c>
      <c r="AG470" s="55" t="e">
        <f t="shared" ca="1" si="150"/>
        <v>#N/A</v>
      </c>
      <c r="AH470" s="55" t="e">
        <f t="shared" ca="1" si="151"/>
        <v>#N/A</v>
      </c>
      <c r="AI470" s="55" t="e">
        <f t="shared" ca="1" si="152"/>
        <v>#N/A</v>
      </c>
      <c r="AJ470" s="55" t="e">
        <f t="shared" ca="1" si="158"/>
        <v>#N/A</v>
      </c>
      <c r="AK470" s="55" t="e">
        <f t="shared" ca="1" si="159"/>
        <v>#N/A</v>
      </c>
      <c r="AL470" s="55" t="e">
        <f t="shared" ca="1" si="160"/>
        <v>#N/A</v>
      </c>
      <c r="AM470" s="55"/>
    </row>
    <row r="471" spans="18:39">
      <c r="R471" s="55" t="e">
        <f ca="1"/>
        <v>#N/A</v>
      </c>
      <c r="S471" s="55" t="e">
        <f t="shared" ca="1" si="142"/>
        <v>#N/A</v>
      </c>
      <c r="T471" s="55" t="e">
        <f t="shared" ca="1" si="143"/>
        <v>#N/A</v>
      </c>
      <c r="U471" s="55" t="e">
        <f t="shared" ca="1" si="144"/>
        <v>#N/A</v>
      </c>
      <c r="V471" s="55" t="e">
        <f t="shared" ca="1" si="145"/>
        <v>#N/A</v>
      </c>
      <c r="W471" s="55" t="e">
        <f t="shared" ca="1" si="155"/>
        <v>#N/A</v>
      </c>
      <c r="X471" s="55" t="e">
        <f t="shared" ca="1" si="156"/>
        <v>#N/A</v>
      </c>
      <c r="Y471" s="55" t="e">
        <f t="shared" ca="1" si="157"/>
        <v>#N/A</v>
      </c>
      <c r="Z471" s="55" t="e">
        <f t="shared" ca="1" si="153"/>
        <v>#N/A</v>
      </c>
      <c r="AA471" t="e">
        <f t="shared" ca="1" si="154"/>
        <v>#N/A</v>
      </c>
      <c r="AB471" t="e">
        <f t="shared" ca="1" si="146"/>
        <v>#N/A</v>
      </c>
      <c r="AC471" t="e">
        <f t="shared" ca="1" si="147"/>
        <v>#N/A</v>
      </c>
      <c r="AD471" t="e">
        <f t="shared" ca="1" si="148"/>
        <v>#N/A</v>
      </c>
      <c r="AE471" s="83" t="e">
        <f ca="1"/>
        <v>#N/A</v>
      </c>
      <c r="AF471" s="55" t="e">
        <f t="shared" ca="1" si="149"/>
        <v>#N/A</v>
      </c>
      <c r="AG471" s="55" t="e">
        <f t="shared" ca="1" si="150"/>
        <v>#N/A</v>
      </c>
      <c r="AH471" s="55" t="e">
        <f t="shared" ca="1" si="151"/>
        <v>#N/A</v>
      </c>
      <c r="AI471" s="55" t="e">
        <f t="shared" ca="1" si="152"/>
        <v>#N/A</v>
      </c>
      <c r="AJ471" s="55" t="e">
        <f t="shared" ca="1" si="158"/>
        <v>#N/A</v>
      </c>
      <c r="AK471" s="55" t="e">
        <f t="shared" ca="1" si="159"/>
        <v>#N/A</v>
      </c>
      <c r="AL471" s="55" t="e">
        <f t="shared" ca="1" si="160"/>
        <v>#N/A</v>
      </c>
      <c r="AM471" s="55"/>
    </row>
    <row r="472" spans="18:39">
      <c r="R472" s="55" t="e">
        <f ca="1"/>
        <v>#N/A</v>
      </c>
      <c r="S472" s="55" t="e">
        <f t="shared" ca="1" si="142"/>
        <v>#N/A</v>
      </c>
      <c r="T472" s="55" t="e">
        <f t="shared" ca="1" si="143"/>
        <v>#N/A</v>
      </c>
      <c r="U472" s="55" t="e">
        <f t="shared" ca="1" si="144"/>
        <v>#N/A</v>
      </c>
      <c r="V472" s="55" t="e">
        <f t="shared" ca="1" si="145"/>
        <v>#N/A</v>
      </c>
      <c r="W472" s="55" t="e">
        <f t="shared" ca="1" si="155"/>
        <v>#N/A</v>
      </c>
      <c r="X472" s="55" t="e">
        <f t="shared" ca="1" si="156"/>
        <v>#N/A</v>
      </c>
      <c r="Y472" s="55" t="e">
        <f t="shared" ca="1" si="157"/>
        <v>#N/A</v>
      </c>
      <c r="Z472" s="55" t="e">
        <f t="shared" ca="1" si="153"/>
        <v>#N/A</v>
      </c>
      <c r="AA472" t="e">
        <f t="shared" ca="1" si="154"/>
        <v>#N/A</v>
      </c>
      <c r="AB472" t="e">
        <f t="shared" ca="1" si="146"/>
        <v>#N/A</v>
      </c>
      <c r="AC472" t="e">
        <f t="shared" ca="1" si="147"/>
        <v>#N/A</v>
      </c>
      <c r="AD472" t="e">
        <f t="shared" ca="1" si="148"/>
        <v>#N/A</v>
      </c>
      <c r="AE472" s="83" t="e">
        <f ca="1"/>
        <v>#N/A</v>
      </c>
      <c r="AF472" s="55" t="e">
        <f t="shared" ca="1" si="149"/>
        <v>#N/A</v>
      </c>
      <c r="AG472" s="55" t="e">
        <f t="shared" ca="1" si="150"/>
        <v>#N/A</v>
      </c>
      <c r="AH472" s="55" t="e">
        <f t="shared" ca="1" si="151"/>
        <v>#N/A</v>
      </c>
      <c r="AI472" s="55" t="e">
        <f t="shared" ca="1" si="152"/>
        <v>#N/A</v>
      </c>
      <c r="AJ472" s="55" t="e">
        <f t="shared" ca="1" si="158"/>
        <v>#N/A</v>
      </c>
      <c r="AK472" s="55" t="e">
        <f t="shared" ca="1" si="159"/>
        <v>#N/A</v>
      </c>
      <c r="AL472" s="55" t="e">
        <f t="shared" ca="1" si="160"/>
        <v>#N/A</v>
      </c>
      <c r="AM472" s="55"/>
    </row>
    <row r="473" spans="18:39">
      <c r="R473" s="55" t="e">
        <f ca="1"/>
        <v>#N/A</v>
      </c>
      <c r="S473" s="55" t="e">
        <f t="shared" ca="1" si="142"/>
        <v>#N/A</v>
      </c>
      <c r="T473" s="55" t="e">
        <f t="shared" ca="1" si="143"/>
        <v>#N/A</v>
      </c>
      <c r="U473" s="55" t="e">
        <f t="shared" ca="1" si="144"/>
        <v>#N/A</v>
      </c>
      <c r="V473" s="55" t="e">
        <f t="shared" ca="1" si="145"/>
        <v>#N/A</v>
      </c>
      <c r="W473" s="55" t="e">
        <f t="shared" ca="1" si="155"/>
        <v>#N/A</v>
      </c>
      <c r="X473" s="55" t="e">
        <f t="shared" ca="1" si="156"/>
        <v>#N/A</v>
      </c>
      <c r="Y473" s="55" t="e">
        <f t="shared" ca="1" si="157"/>
        <v>#N/A</v>
      </c>
      <c r="Z473" s="55" t="e">
        <f t="shared" ca="1" si="153"/>
        <v>#N/A</v>
      </c>
      <c r="AA473" t="e">
        <f t="shared" ca="1" si="154"/>
        <v>#N/A</v>
      </c>
      <c r="AB473" t="e">
        <f t="shared" ca="1" si="146"/>
        <v>#N/A</v>
      </c>
      <c r="AC473" t="e">
        <f t="shared" ca="1" si="147"/>
        <v>#N/A</v>
      </c>
      <c r="AD473" t="e">
        <f t="shared" ca="1" si="148"/>
        <v>#N/A</v>
      </c>
      <c r="AE473" s="83" t="e">
        <f ca="1"/>
        <v>#N/A</v>
      </c>
      <c r="AF473" s="55" t="e">
        <f t="shared" ca="1" si="149"/>
        <v>#N/A</v>
      </c>
      <c r="AG473" s="55" t="e">
        <f t="shared" ca="1" si="150"/>
        <v>#N/A</v>
      </c>
      <c r="AH473" s="55" t="e">
        <f t="shared" ca="1" si="151"/>
        <v>#N/A</v>
      </c>
      <c r="AI473" s="55" t="e">
        <f t="shared" ca="1" si="152"/>
        <v>#N/A</v>
      </c>
      <c r="AJ473" s="55" t="e">
        <f t="shared" ca="1" si="158"/>
        <v>#N/A</v>
      </c>
      <c r="AK473" s="55" t="e">
        <f t="shared" ca="1" si="159"/>
        <v>#N/A</v>
      </c>
      <c r="AL473" s="55" t="e">
        <f t="shared" ca="1" si="160"/>
        <v>#N/A</v>
      </c>
      <c r="AM473" s="55"/>
    </row>
    <row r="474" spans="18:39">
      <c r="R474" s="55" t="e">
        <f ca="1"/>
        <v>#N/A</v>
      </c>
      <c r="S474" s="55" t="e">
        <f t="shared" ca="1" si="142"/>
        <v>#N/A</v>
      </c>
      <c r="T474" s="55" t="e">
        <f t="shared" ca="1" si="143"/>
        <v>#N/A</v>
      </c>
      <c r="U474" s="55" t="e">
        <f t="shared" ca="1" si="144"/>
        <v>#N/A</v>
      </c>
      <c r="V474" s="55" t="e">
        <f t="shared" ca="1" si="145"/>
        <v>#N/A</v>
      </c>
      <c r="W474" s="55" t="e">
        <f t="shared" ca="1" si="155"/>
        <v>#N/A</v>
      </c>
      <c r="X474" s="55" t="e">
        <f t="shared" ca="1" si="156"/>
        <v>#N/A</v>
      </c>
      <c r="Y474" s="55" t="e">
        <f t="shared" ca="1" si="157"/>
        <v>#N/A</v>
      </c>
      <c r="Z474" s="55" t="e">
        <f t="shared" ca="1" si="153"/>
        <v>#N/A</v>
      </c>
      <c r="AA474" t="e">
        <f t="shared" ca="1" si="154"/>
        <v>#N/A</v>
      </c>
      <c r="AB474" t="e">
        <f t="shared" ca="1" si="146"/>
        <v>#N/A</v>
      </c>
      <c r="AC474" t="e">
        <f t="shared" ca="1" si="147"/>
        <v>#N/A</v>
      </c>
      <c r="AD474" t="e">
        <f t="shared" ca="1" si="148"/>
        <v>#N/A</v>
      </c>
      <c r="AE474" s="83" t="e">
        <f ca="1"/>
        <v>#N/A</v>
      </c>
      <c r="AF474" s="55" t="e">
        <f t="shared" ca="1" si="149"/>
        <v>#N/A</v>
      </c>
      <c r="AG474" s="55" t="e">
        <f t="shared" ca="1" si="150"/>
        <v>#N/A</v>
      </c>
      <c r="AH474" s="55" t="e">
        <f t="shared" ca="1" si="151"/>
        <v>#N/A</v>
      </c>
      <c r="AI474" s="55" t="e">
        <f t="shared" ca="1" si="152"/>
        <v>#N/A</v>
      </c>
      <c r="AJ474" s="55" t="e">
        <f t="shared" ca="1" si="158"/>
        <v>#N/A</v>
      </c>
      <c r="AK474" s="55" t="e">
        <f t="shared" ca="1" si="159"/>
        <v>#N/A</v>
      </c>
      <c r="AL474" s="55" t="e">
        <f t="shared" ca="1" si="160"/>
        <v>#N/A</v>
      </c>
      <c r="AM474" s="55"/>
    </row>
    <row r="475" spans="18:39">
      <c r="R475" s="55" t="e">
        <f ca="1"/>
        <v>#N/A</v>
      </c>
      <c r="S475" s="55" t="e">
        <f t="shared" ca="1" si="142"/>
        <v>#N/A</v>
      </c>
      <c r="T475" s="55" t="e">
        <f t="shared" ca="1" si="143"/>
        <v>#N/A</v>
      </c>
      <c r="U475" s="55" t="e">
        <f t="shared" ca="1" si="144"/>
        <v>#N/A</v>
      </c>
      <c r="V475" s="55" t="e">
        <f t="shared" ca="1" si="145"/>
        <v>#N/A</v>
      </c>
      <c r="W475" s="55" t="e">
        <f t="shared" ca="1" si="155"/>
        <v>#N/A</v>
      </c>
      <c r="X475" s="55" t="e">
        <f t="shared" ca="1" si="156"/>
        <v>#N/A</v>
      </c>
      <c r="Y475" s="55" t="e">
        <f t="shared" ca="1" si="157"/>
        <v>#N/A</v>
      </c>
      <c r="Z475" s="55" t="e">
        <f t="shared" ca="1" si="153"/>
        <v>#N/A</v>
      </c>
      <c r="AA475" t="e">
        <f t="shared" ca="1" si="154"/>
        <v>#N/A</v>
      </c>
      <c r="AB475" t="e">
        <f t="shared" ca="1" si="146"/>
        <v>#N/A</v>
      </c>
      <c r="AC475" t="e">
        <f t="shared" ca="1" si="147"/>
        <v>#N/A</v>
      </c>
      <c r="AD475" t="e">
        <f t="shared" ca="1" si="148"/>
        <v>#N/A</v>
      </c>
      <c r="AE475" s="83" t="e">
        <f ca="1"/>
        <v>#N/A</v>
      </c>
      <c r="AF475" s="55" t="e">
        <f t="shared" ca="1" si="149"/>
        <v>#N/A</v>
      </c>
      <c r="AG475" s="55" t="e">
        <f t="shared" ca="1" si="150"/>
        <v>#N/A</v>
      </c>
      <c r="AH475" s="55" t="e">
        <f t="shared" ca="1" si="151"/>
        <v>#N/A</v>
      </c>
      <c r="AI475" s="55" t="e">
        <f t="shared" ca="1" si="152"/>
        <v>#N/A</v>
      </c>
      <c r="AJ475" s="55" t="e">
        <f t="shared" ca="1" si="158"/>
        <v>#N/A</v>
      </c>
      <c r="AK475" s="55" t="e">
        <f t="shared" ca="1" si="159"/>
        <v>#N/A</v>
      </c>
      <c r="AL475" s="55" t="e">
        <f t="shared" ca="1" si="160"/>
        <v>#N/A</v>
      </c>
      <c r="AM475" s="55"/>
    </row>
    <row r="476" spans="18:39">
      <c r="R476" s="55" t="e">
        <f ca="1"/>
        <v>#N/A</v>
      </c>
      <c r="S476" s="55" t="e">
        <f t="shared" ca="1" si="142"/>
        <v>#N/A</v>
      </c>
      <c r="T476" s="55" t="e">
        <f t="shared" ca="1" si="143"/>
        <v>#N/A</v>
      </c>
      <c r="U476" s="55" t="e">
        <f t="shared" ca="1" si="144"/>
        <v>#N/A</v>
      </c>
      <c r="V476" s="55" t="e">
        <f t="shared" ca="1" si="145"/>
        <v>#N/A</v>
      </c>
      <c r="W476" s="55" t="e">
        <f t="shared" ca="1" si="155"/>
        <v>#N/A</v>
      </c>
      <c r="X476" s="55" t="e">
        <f t="shared" ca="1" si="156"/>
        <v>#N/A</v>
      </c>
      <c r="Y476" s="55" t="e">
        <f t="shared" ca="1" si="157"/>
        <v>#N/A</v>
      </c>
      <c r="Z476" s="55" t="e">
        <f t="shared" ca="1" si="153"/>
        <v>#N/A</v>
      </c>
      <c r="AA476" t="e">
        <f t="shared" ca="1" si="154"/>
        <v>#N/A</v>
      </c>
      <c r="AB476" t="e">
        <f t="shared" ca="1" si="146"/>
        <v>#N/A</v>
      </c>
      <c r="AC476" t="e">
        <f t="shared" ca="1" si="147"/>
        <v>#N/A</v>
      </c>
      <c r="AD476" t="e">
        <f t="shared" ca="1" si="148"/>
        <v>#N/A</v>
      </c>
      <c r="AE476" s="83" t="e">
        <f ca="1"/>
        <v>#N/A</v>
      </c>
      <c r="AF476" s="55" t="e">
        <f t="shared" ca="1" si="149"/>
        <v>#N/A</v>
      </c>
      <c r="AG476" s="55" t="e">
        <f t="shared" ca="1" si="150"/>
        <v>#N/A</v>
      </c>
      <c r="AH476" s="55" t="e">
        <f t="shared" ca="1" si="151"/>
        <v>#N/A</v>
      </c>
      <c r="AI476" s="55" t="e">
        <f t="shared" ca="1" si="152"/>
        <v>#N/A</v>
      </c>
      <c r="AJ476" s="55" t="e">
        <f t="shared" ca="1" si="158"/>
        <v>#N/A</v>
      </c>
      <c r="AK476" s="55" t="e">
        <f t="shared" ca="1" si="159"/>
        <v>#N/A</v>
      </c>
      <c r="AL476" s="55" t="e">
        <f t="shared" ca="1" si="160"/>
        <v>#N/A</v>
      </c>
      <c r="AM476" s="55"/>
    </row>
    <row r="477" spans="18:39">
      <c r="R477" s="55" t="e">
        <f ca="1"/>
        <v>#N/A</v>
      </c>
      <c r="S477" s="55" t="e">
        <f t="shared" ca="1" si="142"/>
        <v>#N/A</v>
      </c>
      <c r="T477" s="55" t="e">
        <f t="shared" ca="1" si="143"/>
        <v>#N/A</v>
      </c>
      <c r="U477" s="55" t="e">
        <f t="shared" ca="1" si="144"/>
        <v>#N/A</v>
      </c>
      <c r="V477" s="55" t="e">
        <f t="shared" ca="1" si="145"/>
        <v>#N/A</v>
      </c>
      <c r="W477" s="55" t="e">
        <f t="shared" ca="1" si="155"/>
        <v>#N/A</v>
      </c>
      <c r="X477" s="55" t="e">
        <f t="shared" ca="1" si="156"/>
        <v>#N/A</v>
      </c>
      <c r="Y477" s="55" t="e">
        <f t="shared" ca="1" si="157"/>
        <v>#N/A</v>
      </c>
      <c r="Z477" s="55" t="e">
        <f t="shared" ca="1" si="153"/>
        <v>#N/A</v>
      </c>
      <c r="AA477" t="e">
        <f t="shared" ca="1" si="154"/>
        <v>#N/A</v>
      </c>
      <c r="AB477" t="e">
        <f t="shared" ca="1" si="146"/>
        <v>#N/A</v>
      </c>
      <c r="AC477" t="e">
        <f t="shared" ca="1" si="147"/>
        <v>#N/A</v>
      </c>
      <c r="AD477" t="e">
        <f t="shared" ca="1" si="148"/>
        <v>#N/A</v>
      </c>
      <c r="AE477" s="83" t="e">
        <f ca="1"/>
        <v>#N/A</v>
      </c>
      <c r="AF477" s="55" t="e">
        <f t="shared" ca="1" si="149"/>
        <v>#N/A</v>
      </c>
      <c r="AG477" s="55" t="e">
        <f t="shared" ca="1" si="150"/>
        <v>#N/A</v>
      </c>
      <c r="AH477" s="55" t="e">
        <f t="shared" ca="1" si="151"/>
        <v>#N/A</v>
      </c>
      <c r="AI477" s="55" t="e">
        <f t="shared" ca="1" si="152"/>
        <v>#N/A</v>
      </c>
      <c r="AJ477" s="55" t="e">
        <f t="shared" ca="1" si="158"/>
        <v>#N/A</v>
      </c>
      <c r="AK477" s="55" t="e">
        <f t="shared" ca="1" si="159"/>
        <v>#N/A</v>
      </c>
      <c r="AL477" s="55" t="e">
        <f t="shared" ca="1" si="160"/>
        <v>#N/A</v>
      </c>
      <c r="AM477" s="55"/>
    </row>
    <row r="478" spans="18:39">
      <c r="R478" s="55" t="e">
        <f ca="1"/>
        <v>#N/A</v>
      </c>
      <c r="S478" s="55" t="e">
        <f t="shared" ca="1" si="142"/>
        <v>#N/A</v>
      </c>
      <c r="T478" s="55" t="e">
        <f t="shared" ca="1" si="143"/>
        <v>#N/A</v>
      </c>
      <c r="U478" s="55" t="e">
        <f t="shared" ca="1" si="144"/>
        <v>#N/A</v>
      </c>
      <c r="V478" s="55" t="e">
        <f t="shared" ca="1" si="145"/>
        <v>#N/A</v>
      </c>
      <c r="W478" s="55" t="e">
        <f t="shared" ca="1" si="155"/>
        <v>#N/A</v>
      </c>
      <c r="X478" s="55" t="e">
        <f t="shared" ca="1" si="156"/>
        <v>#N/A</v>
      </c>
      <c r="Y478" s="55" t="e">
        <f t="shared" ca="1" si="157"/>
        <v>#N/A</v>
      </c>
      <c r="Z478" s="55" t="e">
        <f t="shared" ca="1" si="153"/>
        <v>#N/A</v>
      </c>
      <c r="AA478" t="e">
        <f t="shared" ca="1" si="154"/>
        <v>#N/A</v>
      </c>
      <c r="AB478" t="e">
        <f t="shared" ca="1" si="146"/>
        <v>#N/A</v>
      </c>
      <c r="AC478" t="e">
        <f t="shared" ca="1" si="147"/>
        <v>#N/A</v>
      </c>
      <c r="AD478" t="e">
        <f t="shared" ca="1" si="148"/>
        <v>#N/A</v>
      </c>
      <c r="AE478" s="83" t="e">
        <f ca="1"/>
        <v>#N/A</v>
      </c>
      <c r="AF478" s="55" t="e">
        <f t="shared" ca="1" si="149"/>
        <v>#N/A</v>
      </c>
      <c r="AG478" s="55" t="e">
        <f t="shared" ca="1" si="150"/>
        <v>#N/A</v>
      </c>
      <c r="AH478" s="55" t="e">
        <f t="shared" ca="1" si="151"/>
        <v>#N/A</v>
      </c>
      <c r="AI478" s="55" t="e">
        <f t="shared" ca="1" si="152"/>
        <v>#N/A</v>
      </c>
      <c r="AJ478" s="55" t="e">
        <f t="shared" ca="1" si="158"/>
        <v>#N/A</v>
      </c>
      <c r="AK478" s="55" t="e">
        <f t="shared" ca="1" si="159"/>
        <v>#N/A</v>
      </c>
      <c r="AL478" s="55" t="e">
        <f t="shared" ca="1" si="160"/>
        <v>#N/A</v>
      </c>
      <c r="AM478" s="55"/>
    </row>
    <row r="479" spans="18:39">
      <c r="R479" s="55" t="e">
        <f ca="1"/>
        <v>#N/A</v>
      </c>
      <c r="S479" s="55" t="e">
        <f t="shared" ca="1" si="142"/>
        <v>#N/A</v>
      </c>
      <c r="T479" s="55" t="e">
        <f t="shared" ca="1" si="143"/>
        <v>#N/A</v>
      </c>
      <c r="U479" s="55" t="e">
        <f t="shared" ca="1" si="144"/>
        <v>#N/A</v>
      </c>
      <c r="V479" s="55" t="e">
        <f t="shared" ca="1" si="145"/>
        <v>#N/A</v>
      </c>
      <c r="W479" s="55" t="e">
        <f t="shared" ca="1" si="155"/>
        <v>#N/A</v>
      </c>
      <c r="X479" s="55" t="e">
        <f t="shared" ca="1" si="156"/>
        <v>#N/A</v>
      </c>
      <c r="Y479" s="55" t="e">
        <f t="shared" ca="1" si="157"/>
        <v>#N/A</v>
      </c>
      <c r="Z479" s="55" t="e">
        <f t="shared" ca="1" si="153"/>
        <v>#N/A</v>
      </c>
      <c r="AA479" t="e">
        <f t="shared" ca="1" si="154"/>
        <v>#N/A</v>
      </c>
      <c r="AB479" t="e">
        <f t="shared" ca="1" si="146"/>
        <v>#N/A</v>
      </c>
      <c r="AC479" t="e">
        <f t="shared" ca="1" si="147"/>
        <v>#N/A</v>
      </c>
      <c r="AD479" t="e">
        <f t="shared" ca="1" si="148"/>
        <v>#N/A</v>
      </c>
      <c r="AE479" s="83" t="e">
        <f ca="1"/>
        <v>#N/A</v>
      </c>
      <c r="AF479" s="55" t="e">
        <f t="shared" ca="1" si="149"/>
        <v>#N/A</v>
      </c>
      <c r="AG479" s="55" t="e">
        <f t="shared" ca="1" si="150"/>
        <v>#N/A</v>
      </c>
      <c r="AH479" s="55" t="e">
        <f t="shared" ca="1" si="151"/>
        <v>#N/A</v>
      </c>
      <c r="AI479" s="55" t="e">
        <f t="shared" ca="1" si="152"/>
        <v>#N/A</v>
      </c>
      <c r="AJ479" s="55" t="e">
        <f t="shared" ca="1" si="158"/>
        <v>#N/A</v>
      </c>
      <c r="AK479" s="55" t="e">
        <f t="shared" ca="1" si="159"/>
        <v>#N/A</v>
      </c>
      <c r="AL479" s="55" t="e">
        <f t="shared" ca="1" si="160"/>
        <v>#N/A</v>
      </c>
      <c r="AM479" s="55"/>
    </row>
    <row r="480" spans="18:39">
      <c r="R480" s="55" t="e">
        <f ca="1"/>
        <v>#N/A</v>
      </c>
      <c r="S480" s="55" t="e">
        <f t="shared" ca="1" si="142"/>
        <v>#N/A</v>
      </c>
      <c r="T480" s="55" t="e">
        <f t="shared" ca="1" si="143"/>
        <v>#N/A</v>
      </c>
      <c r="U480" s="55" t="e">
        <f t="shared" ca="1" si="144"/>
        <v>#N/A</v>
      </c>
      <c r="V480" s="55" t="e">
        <f t="shared" ca="1" si="145"/>
        <v>#N/A</v>
      </c>
      <c r="W480" s="55" t="e">
        <f t="shared" ca="1" si="155"/>
        <v>#N/A</v>
      </c>
      <c r="X480" s="55" t="e">
        <f t="shared" ca="1" si="156"/>
        <v>#N/A</v>
      </c>
      <c r="Y480" s="55" t="e">
        <f t="shared" ca="1" si="157"/>
        <v>#N/A</v>
      </c>
      <c r="Z480" s="55" t="e">
        <f t="shared" ca="1" si="153"/>
        <v>#N/A</v>
      </c>
      <c r="AA480" t="e">
        <f t="shared" ca="1" si="154"/>
        <v>#N/A</v>
      </c>
      <c r="AB480" t="e">
        <f t="shared" ca="1" si="146"/>
        <v>#N/A</v>
      </c>
      <c r="AC480" t="e">
        <f t="shared" ca="1" si="147"/>
        <v>#N/A</v>
      </c>
      <c r="AD480" t="e">
        <f t="shared" ca="1" si="148"/>
        <v>#N/A</v>
      </c>
      <c r="AE480" s="83" t="e">
        <f ca="1"/>
        <v>#N/A</v>
      </c>
      <c r="AF480" s="55" t="e">
        <f t="shared" ca="1" si="149"/>
        <v>#N/A</v>
      </c>
      <c r="AG480" s="55" t="e">
        <f t="shared" ca="1" si="150"/>
        <v>#N/A</v>
      </c>
      <c r="AH480" s="55" t="e">
        <f t="shared" ca="1" si="151"/>
        <v>#N/A</v>
      </c>
      <c r="AI480" s="55" t="e">
        <f t="shared" ca="1" si="152"/>
        <v>#N/A</v>
      </c>
      <c r="AJ480" s="55" t="e">
        <f t="shared" ca="1" si="158"/>
        <v>#N/A</v>
      </c>
      <c r="AK480" s="55" t="e">
        <f t="shared" ca="1" si="159"/>
        <v>#N/A</v>
      </c>
      <c r="AL480" s="55" t="e">
        <f t="shared" ca="1" si="160"/>
        <v>#N/A</v>
      </c>
      <c r="AM480" s="55"/>
    </row>
    <row r="481" spans="18:39">
      <c r="R481" s="55" t="e">
        <f ca="1"/>
        <v>#N/A</v>
      </c>
      <c r="S481" s="55" t="e">
        <f t="shared" ca="1" si="142"/>
        <v>#N/A</v>
      </c>
      <c r="T481" s="55" t="e">
        <f t="shared" ca="1" si="143"/>
        <v>#N/A</v>
      </c>
      <c r="U481" s="55" t="e">
        <f t="shared" ca="1" si="144"/>
        <v>#N/A</v>
      </c>
      <c r="V481" s="55" t="e">
        <f t="shared" ca="1" si="145"/>
        <v>#N/A</v>
      </c>
      <c r="W481" s="55" t="e">
        <f t="shared" ca="1" si="155"/>
        <v>#N/A</v>
      </c>
      <c r="X481" s="55" t="e">
        <f t="shared" ca="1" si="156"/>
        <v>#N/A</v>
      </c>
      <c r="Y481" s="55" t="e">
        <f t="shared" ca="1" si="157"/>
        <v>#N/A</v>
      </c>
      <c r="Z481" s="55" t="e">
        <f t="shared" ca="1" si="153"/>
        <v>#N/A</v>
      </c>
      <c r="AA481" t="e">
        <f t="shared" ca="1" si="154"/>
        <v>#N/A</v>
      </c>
      <c r="AB481" t="e">
        <f t="shared" ca="1" si="146"/>
        <v>#N/A</v>
      </c>
      <c r="AC481" t="e">
        <f t="shared" ca="1" si="147"/>
        <v>#N/A</v>
      </c>
      <c r="AD481" t="e">
        <f t="shared" ca="1" si="148"/>
        <v>#N/A</v>
      </c>
      <c r="AE481" s="83" t="e">
        <f ca="1"/>
        <v>#N/A</v>
      </c>
      <c r="AF481" s="55" t="e">
        <f t="shared" ca="1" si="149"/>
        <v>#N/A</v>
      </c>
      <c r="AG481" s="55" t="e">
        <f t="shared" ca="1" si="150"/>
        <v>#N/A</v>
      </c>
      <c r="AH481" s="55" t="e">
        <f t="shared" ca="1" si="151"/>
        <v>#N/A</v>
      </c>
      <c r="AI481" s="55" t="e">
        <f t="shared" ca="1" si="152"/>
        <v>#N/A</v>
      </c>
      <c r="AJ481" s="55" t="e">
        <f t="shared" ca="1" si="158"/>
        <v>#N/A</v>
      </c>
      <c r="AK481" s="55" t="e">
        <f t="shared" ca="1" si="159"/>
        <v>#N/A</v>
      </c>
      <c r="AL481" s="55" t="e">
        <f t="shared" ca="1" si="160"/>
        <v>#N/A</v>
      </c>
      <c r="AM481" s="55"/>
    </row>
    <row r="482" spans="18:39">
      <c r="R482" s="55" t="e">
        <f ca="1"/>
        <v>#N/A</v>
      </c>
      <c r="S482" s="55" t="e">
        <f t="shared" ca="1" si="142"/>
        <v>#N/A</v>
      </c>
      <c r="T482" s="55" t="e">
        <f t="shared" ca="1" si="143"/>
        <v>#N/A</v>
      </c>
      <c r="U482" s="55" t="e">
        <f t="shared" ca="1" si="144"/>
        <v>#N/A</v>
      </c>
      <c r="V482" s="55" t="e">
        <f t="shared" ca="1" si="145"/>
        <v>#N/A</v>
      </c>
      <c r="W482" s="55" t="e">
        <f t="shared" ca="1" si="155"/>
        <v>#N/A</v>
      </c>
      <c r="X482" s="55" t="e">
        <f t="shared" ca="1" si="156"/>
        <v>#N/A</v>
      </c>
      <c r="Y482" s="55" t="e">
        <f t="shared" ca="1" si="157"/>
        <v>#N/A</v>
      </c>
      <c r="Z482" s="55" t="e">
        <f t="shared" ca="1" si="153"/>
        <v>#N/A</v>
      </c>
      <c r="AA482" t="e">
        <f t="shared" ca="1" si="154"/>
        <v>#N/A</v>
      </c>
      <c r="AB482" t="e">
        <f t="shared" ca="1" si="146"/>
        <v>#N/A</v>
      </c>
      <c r="AC482" t="e">
        <f t="shared" ca="1" si="147"/>
        <v>#N/A</v>
      </c>
      <c r="AD482" t="e">
        <f t="shared" ca="1" si="148"/>
        <v>#N/A</v>
      </c>
      <c r="AE482" s="83" t="e">
        <f ca="1"/>
        <v>#N/A</v>
      </c>
      <c r="AF482" s="55" t="e">
        <f t="shared" ca="1" si="149"/>
        <v>#N/A</v>
      </c>
      <c r="AG482" s="55" t="e">
        <f t="shared" ca="1" si="150"/>
        <v>#N/A</v>
      </c>
      <c r="AH482" s="55" t="e">
        <f t="shared" ca="1" si="151"/>
        <v>#N/A</v>
      </c>
      <c r="AI482" s="55" t="e">
        <f t="shared" ca="1" si="152"/>
        <v>#N/A</v>
      </c>
      <c r="AJ482" s="55" t="e">
        <f t="shared" ca="1" si="158"/>
        <v>#N/A</v>
      </c>
      <c r="AK482" s="55" t="e">
        <f t="shared" ca="1" si="159"/>
        <v>#N/A</v>
      </c>
      <c r="AL482" s="55" t="e">
        <f t="shared" ca="1" si="160"/>
        <v>#N/A</v>
      </c>
      <c r="AM482" s="55"/>
    </row>
    <row r="483" spans="18:39">
      <c r="R483" s="55" t="e">
        <f ca="1"/>
        <v>#N/A</v>
      </c>
      <c r="S483" s="55" t="e">
        <f t="shared" ca="1" si="142"/>
        <v>#N/A</v>
      </c>
      <c r="T483" s="55" t="e">
        <f t="shared" ca="1" si="143"/>
        <v>#N/A</v>
      </c>
      <c r="U483" s="55" t="e">
        <f t="shared" ca="1" si="144"/>
        <v>#N/A</v>
      </c>
      <c r="V483" s="55" t="e">
        <f t="shared" ca="1" si="145"/>
        <v>#N/A</v>
      </c>
      <c r="W483" s="55" t="e">
        <f t="shared" ca="1" si="155"/>
        <v>#N/A</v>
      </c>
      <c r="X483" s="55" t="e">
        <f t="shared" ca="1" si="156"/>
        <v>#N/A</v>
      </c>
      <c r="Y483" s="55" t="e">
        <f t="shared" ca="1" si="157"/>
        <v>#N/A</v>
      </c>
      <c r="Z483" s="55" t="e">
        <f t="shared" ca="1" si="153"/>
        <v>#N/A</v>
      </c>
      <c r="AA483" t="e">
        <f t="shared" ca="1" si="154"/>
        <v>#N/A</v>
      </c>
      <c r="AB483" t="e">
        <f t="shared" ca="1" si="146"/>
        <v>#N/A</v>
      </c>
      <c r="AC483" t="e">
        <f t="shared" ca="1" si="147"/>
        <v>#N/A</v>
      </c>
      <c r="AD483" t="e">
        <f t="shared" ca="1" si="148"/>
        <v>#N/A</v>
      </c>
      <c r="AE483" s="83" t="e">
        <f ca="1"/>
        <v>#N/A</v>
      </c>
      <c r="AF483" s="55" t="e">
        <f t="shared" ca="1" si="149"/>
        <v>#N/A</v>
      </c>
      <c r="AG483" s="55" t="e">
        <f t="shared" ca="1" si="150"/>
        <v>#N/A</v>
      </c>
      <c r="AH483" s="55" t="e">
        <f t="shared" ca="1" si="151"/>
        <v>#N/A</v>
      </c>
      <c r="AI483" s="55" t="e">
        <f t="shared" ca="1" si="152"/>
        <v>#N/A</v>
      </c>
      <c r="AJ483" s="55" t="e">
        <f t="shared" ca="1" si="158"/>
        <v>#N/A</v>
      </c>
      <c r="AK483" s="55" t="e">
        <f t="shared" ca="1" si="159"/>
        <v>#N/A</v>
      </c>
      <c r="AL483" s="55" t="e">
        <f t="shared" ca="1" si="160"/>
        <v>#N/A</v>
      </c>
      <c r="AM483" s="55"/>
    </row>
    <row r="484" spans="18:39">
      <c r="R484" s="55" t="e">
        <f ca="1"/>
        <v>#N/A</v>
      </c>
      <c r="S484" s="55" t="e">
        <f t="shared" ca="1" si="142"/>
        <v>#N/A</v>
      </c>
      <c r="T484" s="55" t="e">
        <f t="shared" ca="1" si="143"/>
        <v>#N/A</v>
      </c>
      <c r="U484" s="55" t="e">
        <f t="shared" ca="1" si="144"/>
        <v>#N/A</v>
      </c>
      <c r="V484" s="55" t="e">
        <f t="shared" ca="1" si="145"/>
        <v>#N/A</v>
      </c>
      <c r="W484" s="55" t="e">
        <f t="shared" ca="1" si="155"/>
        <v>#N/A</v>
      </c>
      <c r="X484" s="55" t="e">
        <f t="shared" ca="1" si="156"/>
        <v>#N/A</v>
      </c>
      <c r="Y484" s="55" t="e">
        <f t="shared" ca="1" si="157"/>
        <v>#N/A</v>
      </c>
      <c r="Z484" s="55" t="e">
        <f t="shared" ca="1" si="153"/>
        <v>#N/A</v>
      </c>
      <c r="AA484" t="e">
        <f t="shared" ca="1" si="154"/>
        <v>#N/A</v>
      </c>
      <c r="AB484" t="e">
        <f t="shared" ca="1" si="146"/>
        <v>#N/A</v>
      </c>
      <c r="AC484" t="e">
        <f t="shared" ca="1" si="147"/>
        <v>#N/A</v>
      </c>
      <c r="AD484" t="e">
        <f t="shared" ca="1" si="148"/>
        <v>#N/A</v>
      </c>
      <c r="AE484" s="83" t="e">
        <f ca="1"/>
        <v>#N/A</v>
      </c>
      <c r="AF484" s="55" t="e">
        <f t="shared" ca="1" si="149"/>
        <v>#N/A</v>
      </c>
      <c r="AG484" s="55" t="e">
        <f t="shared" ca="1" si="150"/>
        <v>#N/A</v>
      </c>
      <c r="AH484" s="55" t="e">
        <f t="shared" ca="1" si="151"/>
        <v>#N/A</v>
      </c>
      <c r="AI484" s="55" t="e">
        <f t="shared" ca="1" si="152"/>
        <v>#N/A</v>
      </c>
      <c r="AJ484" s="55" t="e">
        <f t="shared" ca="1" si="158"/>
        <v>#N/A</v>
      </c>
      <c r="AK484" s="55" t="e">
        <f t="shared" ca="1" si="159"/>
        <v>#N/A</v>
      </c>
      <c r="AL484" s="55" t="e">
        <f t="shared" ca="1" si="160"/>
        <v>#N/A</v>
      </c>
      <c r="AM484" s="55"/>
    </row>
    <row r="485" spans="18:39">
      <c r="R485" s="55" t="e">
        <f ca="1"/>
        <v>#N/A</v>
      </c>
      <c r="S485" s="55" t="e">
        <f t="shared" ca="1" si="142"/>
        <v>#N/A</v>
      </c>
      <c r="T485" s="55" t="e">
        <f t="shared" ca="1" si="143"/>
        <v>#N/A</v>
      </c>
      <c r="U485" s="55" t="e">
        <f t="shared" ca="1" si="144"/>
        <v>#N/A</v>
      </c>
      <c r="V485" s="55" t="e">
        <f t="shared" ca="1" si="145"/>
        <v>#N/A</v>
      </c>
      <c r="W485" s="55" t="e">
        <f t="shared" ca="1" si="155"/>
        <v>#N/A</v>
      </c>
      <c r="X485" s="55" t="e">
        <f t="shared" ca="1" si="156"/>
        <v>#N/A</v>
      </c>
      <c r="Y485" s="55" t="e">
        <f t="shared" ca="1" si="157"/>
        <v>#N/A</v>
      </c>
      <c r="Z485" s="55" t="e">
        <f t="shared" ca="1" si="153"/>
        <v>#N/A</v>
      </c>
      <c r="AA485" t="e">
        <f t="shared" ca="1" si="154"/>
        <v>#N/A</v>
      </c>
      <c r="AB485" t="e">
        <f t="shared" ca="1" si="146"/>
        <v>#N/A</v>
      </c>
      <c r="AC485" t="e">
        <f t="shared" ca="1" si="147"/>
        <v>#N/A</v>
      </c>
      <c r="AD485" t="e">
        <f t="shared" ca="1" si="148"/>
        <v>#N/A</v>
      </c>
      <c r="AE485" s="83" t="e">
        <f ca="1"/>
        <v>#N/A</v>
      </c>
      <c r="AF485" s="55" t="e">
        <f t="shared" ca="1" si="149"/>
        <v>#N/A</v>
      </c>
      <c r="AG485" s="55" t="e">
        <f t="shared" ca="1" si="150"/>
        <v>#N/A</v>
      </c>
      <c r="AH485" s="55" t="e">
        <f t="shared" ca="1" si="151"/>
        <v>#N/A</v>
      </c>
      <c r="AI485" s="55" t="e">
        <f t="shared" ca="1" si="152"/>
        <v>#N/A</v>
      </c>
      <c r="AJ485" s="55" t="e">
        <f t="shared" ca="1" si="158"/>
        <v>#N/A</v>
      </c>
      <c r="AK485" s="55" t="e">
        <f t="shared" ca="1" si="159"/>
        <v>#N/A</v>
      </c>
      <c r="AL485" s="55" t="e">
        <f t="shared" ca="1" si="160"/>
        <v>#N/A</v>
      </c>
      <c r="AM485" s="55"/>
    </row>
    <row r="486" spans="18:39">
      <c r="R486" s="55" t="e">
        <f ca="1"/>
        <v>#N/A</v>
      </c>
      <c r="S486" s="55" t="e">
        <f t="shared" ca="1" si="142"/>
        <v>#N/A</v>
      </c>
      <c r="T486" s="55" t="e">
        <f t="shared" ca="1" si="143"/>
        <v>#N/A</v>
      </c>
      <c r="U486" s="55" t="e">
        <f t="shared" ca="1" si="144"/>
        <v>#N/A</v>
      </c>
      <c r="V486" s="55" t="e">
        <f t="shared" ca="1" si="145"/>
        <v>#N/A</v>
      </c>
      <c r="W486" s="55" t="e">
        <f t="shared" ca="1" si="155"/>
        <v>#N/A</v>
      </c>
      <c r="X486" s="55" t="e">
        <f t="shared" ca="1" si="156"/>
        <v>#N/A</v>
      </c>
      <c r="Y486" s="55" t="e">
        <f t="shared" ca="1" si="157"/>
        <v>#N/A</v>
      </c>
      <c r="Z486" s="55" t="e">
        <f t="shared" ca="1" si="153"/>
        <v>#N/A</v>
      </c>
      <c r="AA486" t="e">
        <f t="shared" ca="1" si="154"/>
        <v>#N/A</v>
      </c>
      <c r="AB486" t="e">
        <f t="shared" ca="1" si="146"/>
        <v>#N/A</v>
      </c>
      <c r="AC486" t="e">
        <f t="shared" ca="1" si="147"/>
        <v>#N/A</v>
      </c>
      <c r="AD486" t="e">
        <f t="shared" ca="1" si="148"/>
        <v>#N/A</v>
      </c>
      <c r="AE486" s="83" t="e">
        <f ca="1"/>
        <v>#N/A</v>
      </c>
      <c r="AF486" s="55" t="e">
        <f t="shared" ca="1" si="149"/>
        <v>#N/A</v>
      </c>
      <c r="AG486" s="55" t="e">
        <f t="shared" ca="1" si="150"/>
        <v>#N/A</v>
      </c>
      <c r="AH486" s="55" t="e">
        <f t="shared" ca="1" si="151"/>
        <v>#N/A</v>
      </c>
      <c r="AI486" s="55" t="e">
        <f t="shared" ca="1" si="152"/>
        <v>#N/A</v>
      </c>
      <c r="AJ486" s="55" t="e">
        <f t="shared" ca="1" si="158"/>
        <v>#N/A</v>
      </c>
      <c r="AK486" s="55" t="e">
        <f t="shared" ca="1" si="159"/>
        <v>#N/A</v>
      </c>
      <c r="AL486" s="55" t="e">
        <f t="shared" ca="1" si="160"/>
        <v>#N/A</v>
      </c>
      <c r="AM486" s="55"/>
    </row>
    <row r="487" spans="18:39">
      <c r="R487" s="55" t="e">
        <f ca="1"/>
        <v>#N/A</v>
      </c>
      <c r="S487" s="55" t="e">
        <f t="shared" ca="1" si="142"/>
        <v>#N/A</v>
      </c>
      <c r="T487" s="55" t="e">
        <f t="shared" ca="1" si="143"/>
        <v>#N/A</v>
      </c>
      <c r="U487" s="55" t="e">
        <f t="shared" ca="1" si="144"/>
        <v>#N/A</v>
      </c>
      <c r="V487" s="55" t="e">
        <f t="shared" ca="1" si="145"/>
        <v>#N/A</v>
      </c>
      <c r="W487" s="55" t="e">
        <f t="shared" ca="1" si="155"/>
        <v>#N/A</v>
      </c>
      <c r="X487" s="55" t="e">
        <f t="shared" ca="1" si="156"/>
        <v>#N/A</v>
      </c>
      <c r="Y487" s="55" t="e">
        <f t="shared" ca="1" si="157"/>
        <v>#N/A</v>
      </c>
      <c r="Z487" s="55" t="e">
        <f t="shared" ca="1" si="153"/>
        <v>#N/A</v>
      </c>
      <c r="AA487" t="e">
        <f t="shared" ca="1" si="154"/>
        <v>#N/A</v>
      </c>
      <c r="AB487" t="e">
        <f t="shared" ca="1" si="146"/>
        <v>#N/A</v>
      </c>
      <c r="AC487" t="e">
        <f t="shared" ca="1" si="147"/>
        <v>#N/A</v>
      </c>
      <c r="AD487" t="e">
        <f t="shared" ca="1" si="148"/>
        <v>#N/A</v>
      </c>
      <c r="AE487" s="83" t="e">
        <f ca="1"/>
        <v>#N/A</v>
      </c>
      <c r="AF487" s="55" t="e">
        <f t="shared" ca="1" si="149"/>
        <v>#N/A</v>
      </c>
      <c r="AG487" s="55" t="e">
        <f t="shared" ca="1" si="150"/>
        <v>#N/A</v>
      </c>
      <c r="AH487" s="55" t="e">
        <f t="shared" ca="1" si="151"/>
        <v>#N/A</v>
      </c>
      <c r="AI487" s="55" t="e">
        <f t="shared" ca="1" si="152"/>
        <v>#N/A</v>
      </c>
      <c r="AJ487" s="55" t="e">
        <f t="shared" ca="1" si="158"/>
        <v>#N/A</v>
      </c>
      <c r="AK487" s="55" t="e">
        <f t="shared" ca="1" si="159"/>
        <v>#N/A</v>
      </c>
      <c r="AL487" s="55" t="e">
        <f t="shared" ca="1" si="160"/>
        <v>#N/A</v>
      </c>
      <c r="AM487" s="55"/>
    </row>
    <row r="488" spans="18:39">
      <c r="R488" s="55" t="e">
        <f ca="1"/>
        <v>#N/A</v>
      </c>
      <c r="S488" s="55" t="e">
        <f t="shared" ca="1" si="142"/>
        <v>#N/A</v>
      </c>
      <c r="T488" s="55" t="e">
        <f t="shared" ca="1" si="143"/>
        <v>#N/A</v>
      </c>
      <c r="U488" s="55" t="e">
        <f t="shared" ca="1" si="144"/>
        <v>#N/A</v>
      </c>
      <c r="V488" s="55" t="e">
        <f t="shared" ca="1" si="145"/>
        <v>#N/A</v>
      </c>
      <c r="W488" s="55" t="e">
        <f t="shared" ca="1" si="155"/>
        <v>#N/A</v>
      </c>
      <c r="X488" s="55" t="e">
        <f t="shared" ca="1" si="156"/>
        <v>#N/A</v>
      </c>
      <c r="Y488" s="55" t="e">
        <f t="shared" ca="1" si="157"/>
        <v>#N/A</v>
      </c>
      <c r="Z488" s="55" t="e">
        <f t="shared" ca="1" si="153"/>
        <v>#N/A</v>
      </c>
      <c r="AA488" t="e">
        <f t="shared" ca="1" si="154"/>
        <v>#N/A</v>
      </c>
      <c r="AB488" t="e">
        <f t="shared" ca="1" si="146"/>
        <v>#N/A</v>
      </c>
      <c r="AC488" t="e">
        <f t="shared" ca="1" si="147"/>
        <v>#N/A</v>
      </c>
      <c r="AD488" t="e">
        <f t="shared" ca="1" si="148"/>
        <v>#N/A</v>
      </c>
      <c r="AE488" s="83" t="e">
        <f ca="1"/>
        <v>#N/A</v>
      </c>
      <c r="AF488" s="55" t="e">
        <f t="shared" ca="1" si="149"/>
        <v>#N/A</v>
      </c>
      <c r="AG488" s="55" t="e">
        <f t="shared" ca="1" si="150"/>
        <v>#N/A</v>
      </c>
      <c r="AH488" s="55" t="e">
        <f t="shared" ca="1" si="151"/>
        <v>#N/A</v>
      </c>
      <c r="AI488" s="55" t="e">
        <f t="shared" ca="1" si="152"/>
        <v>#N/A</v>
      </c>
      <c r="AJ488" s="55" t="e">
        <f t="shared" ca="1" si="158"/>
        <v>#N/A</v>
      </c>
      <c r="AK488" s="55" t="e">
        <f t="shared" ca="1" si="159"/>
        <v>#N/A</v>
      </c>
      <c r="AL488" s="55" t="e">
        <f t="shared" ca="1" si="160"/>
        <v>#N/A</v>
      </c>
      <c r="AM488" s="55"/>
    </row>
    <row r="489" spans="18:39">
      <c r="R489" s="55" t="e">
        <f ca="1"/>
        <v>#N/A</v>
      </c>
      <c r="S489" s="55" t="e">
        <f t="shared" ca="1" si="142"/>
        <v>#N/A</v>
      </c>
      <c r="T489" s="55" t="e">
        <f t="shared" ca="1" si="143"/>
        <v>#N/A</v>
      </c>
      <c r="U489" s="55" t="e">
        <f t="shared" ca="1" si="144"/>
        <v>#N/A</v>
      </c>
      <c r="V489" s="55" t="e">
        <f t="shared" ca="1" si="145"/>
        <v>#N/A</v>
      </c>
      <c r="W489" s="55" t="e">
        <f t="shared" ca="1" si="155"/>
        <v>#N/A</v>
      </c>
      <c r="X489" s="55" t="e">
        <f t="shared" ca="1" si="156"/>
        <v>#N/A</v>
      </c>
      <c r="Y489" s="55" t="e">
        <f t="shared" ca="1" si="157"/>
        <v>#N/A</v>
      </c>
      <c r="Z489" s="55" t="e">
        <f t="shared" ca="1" si="153"/>
        <v>#N/A</v>
      </c>
      <c r="AA489" t="e">
        <f t="shared" ca="1" si="154"/>
        <v>#N/A</v>
      </c>
      <c r="AB489" t="e">
        <f t="shared" ca="1" si="146"/>
        <v>#N/A</v>
      </c>
      <c r="AC489" t="e">
        <f t="shared" ca="1" si="147"/>
        <v>#N/A</v>
      </c>
      <c r="AD489" t="e">
        <f t="shared" ca="1" si="148"/>
        <v>#N/A</v>
      </c>
      <c r="AE489" s="83" t="e">
        <f ca="1"/>
        <v>#N/A</v>
      </c>
      <c r="AF489" s="55" t="e">
        <f t="shared" ca="1" si="149"/>
        <v>#N/A</v>
      </c>
      <c r="AG489" s="55" t="e">
        <f t="shared" ca="1" si="150"/>
        <v>#N/A</v>
      </c>
      <c r="AH489" s="55" t="e">
        <f t="shared" ca="1" si="151"/>
        <v>#N/A</v>
      </c>
      <c r="AI489" s="55" t="e">
        <f t="shared" ca="1" si="152"/>
        <v>#N/A</v>
      </c>
      <c r="AJ489" s="55" t="e">
        <f t="shared" ca="1" si="158"/>
        <v>#N/A</v>
      </c>
      <c r="AK489" s="55" t="e">
        <f t="shared" ca="1" si="159"/>
        <v>#N/A</v>
      </c>
      <c r="AL489" s="55" t="e">
        <f t="shared" ca="1" si="160"/>
        <v>#N/A</v>
      </c>
      <c r="AM489" s="55"/>
    </row>
    <row r="490" spans="18:39">
      <c r="R490" s="55" t="e">
        <f ca="1"/>
        <v>#N/A</v>
      </c>
      <c r="S490" s="55" t="e">
        <f t="shared" ca="1" si="142"/>
        <v>#N/A</v>
      </c>
      <c r="T490" s="55" t="e">
        <f t="shared" ca="1" si="143"/>
        <v>#N/A</v>
      </c>
      <c r="U490" s="55" t="e">
        <f t="shared" ca="1" si="144"/>
        <v>#N/A</v>
      </c>
      <c r="V490" s="55" t="e">
        <f t="shared" ca="1" si="145"/>
        <v>#N/A</v>
      </c>
      <c r="W490" s="55" t="e">
        <f t="shared" ca="1" si="155"/>
        <v>#N/A</v>
      </c>
      <c r="X490" s="55" t="e">
        <f t="shared" ca="1" si="156"/>
        <v>#N/A</v>
      </c>
      <c r="Y490" s="55" t="e">
        <f t="shared" ca="1" si="157"/>
        <v>#N/A</v>
      </c>
      <c r="Z490" s="55" t="e">
        <f t="shared" ca="1" si="153"/>
        <v>#N/A</v>
      </c>
      <c r="AA490" t="e">
        <f t="shared" ca="1" si="154"/>
        <v>#N/A</v>
      </c>
      <c r="AB490" t="e">
        <f t="shared" ca="1" si="146"/>
        <v>#N/A</v>
      </c>
      <c r="AC490" t="e">
        <f t="shared" ca="1" si="147"/>
        <v>#N/A</v>
      </c>
      <c r="AD490" t="e">
        <f t="shared" ca="1" si="148"/>
        <v>#N/A</v>
      </c>
      <c r="AE490" s="83" t="e">
        <f ca="1"/>
        <v>#N/A</v>
      </c>
      <c r="AF490" s="55" t="e">
        <f t="shared" ca="1" si="149"/>
        <v>#N/A</v>
      </c>
      <c r="AG490" s="55" t="e">
        <f t="shared" ca="1" si="150"/>
        <v>#N/A</v>
      </c>
      <c r="AH490" s="55" t="e">
        <f t="shared" ca="1" si="151"/>
        <v>#N/A</v>
      </c>
      <c r="AI490" s="55" t="e">
        <f t="shared" ca="1" si="152"/>
        <v>#N/A</v>
      </c>
      <c r="AJ490" s="55" t="e">
        <f t="shared" ca="1" si="158"/>
        <v>#N/A</v>
      </c>
      <c r="AK490" s="55" t="e">
        <f t="shared" ca="1" si="159"/>
        <v>#N/A</v>
      </c>
      <c r="AL490" s="55" t="e">
        <f t="shared" ca="1" si="160"/>
        <v>#N/A</v>
      </c>
      <c r="AM490" s="55"/>
    </row>
    <row r="491" spans="18:39">
      <c r="R491" s="55" t="e">
        <f ca="1"/>
        <v>#N/A</v>
      </c>
      <c r="S491" s="55" t="e">
        <f t="shared" ca="1" si="142"/>
        <v>#N/A</v>
      </c>
      <c r="T491" s="55" t="e">
        <f t="shared" ca="1" si="143"/>
        <v>#N/A</v>
      </c>
      <c r="U491" s="55" t="e">
        <f t="shared" ca="1" si="144"/>
        <v>#N/A</v>
      </c>
      <c r="V491" s="55" t="e">
        <f t="shared" ca="1" si="145"/>
        <v>#N/A</v>
      </c>
      <c r="W491" s="55" t="e">
        <f t="shared" ca="1" si="155"/>
        <v>#N/A</v>
      </c>
      <c r="X491" s="55" t="e">
        <f t="shared" ca="1" si="156"/>
        <v>#N/A</v>
      </c>
      <c r="Y491" s="55" t="e">
        <f t="shared" ca="1" si="157"/>
        <v>#N/A</v>
      </c>
      <c r="Z491" s="55" t="e">
        <f t="shared" ca="1" si="153"/>
        <v>#N/A</v>
      </c>
      <c r="AA491" t="e">
        <f t="shared" ca="1" si="154"/>
        <v>#N/A</v>
      </c>
      <c r="AB491" t="e">
        <f t="shared" ca="1" si="146"/>
        <v>#N/A</v>
      </c>
      <c r="AC491" t="e">
        <f t="shared" ca="1" si="147"/>
        <v>#N/A</v>
      </c>
      <c r="AD491" t="e">
        <f t="shared" ca="1" si="148"/>
        <v>#N/A</v>
      </c>
      <c r="AE491" s="83" t="e">
        <f ca="1"/>
        <v>#N/A</v>
      </c>
      <c r="AF491" s="55" t="e">
        <f t="shared" ca="1" si="149"/>
        <v>#N/A</v>
      </c>
      <c r="AG491" s="55" t="e">
        <f t="shared" ca="1" si="150"/>
        <v>#N/A</v>
      </c>
      <c r="AH491" s="55" t="e">
        <f t="shared" ca="1" si="151"/>
        <v>#N/A</v>
      </c>
      <c r="AI491" s="55" t="e">
        <f t="shared" ca="1" si="152"/>
        <v>#N/A</v>
      </c>
      <c r="AJ491" s="55" t="e">
        <f t="shared" ca="1" si="158"/>
        <v>#N/A</v>
      </c>
      <c r="AK491" s="55" t="e">
        <f t="shared" ca="1" si="159"/>
        <v>#N/A</v>
      </c>
      <c r="AL491" s="55" t="e">
        <f t="shared" ca="1" si="160"/>
        <v>#N/A</v>
      </c>
      <c r="AM491" s="55"/>
    </row>
    <row r="492" spans="18:39">
      <c r="R492" s="55" t="e">
        <f ca="1"/>
        <v>#N/A</v>
      </c>
      <c r="S492" s="55" t="e">
        <f t="shared" ca="1" si="142"/>
        <v>#N/A</v>
      </c>
      <c r="T492" s="55" t="e">
        <f t="shared" ca="1" si="143"/>
        <v>#N/A</v>
      </c>
      <c r="U492" s="55" t="e">
        <f t="shared" ca="1" si="144"/>
        <v>#N/A</v>
      </c>
      <c r="V492" s="55" t="e">
        <f t="shared" ca="1" si="145"/>
        <v>#N/A</v>
      </c>
      <c r="W492" s="55" t="e">
        <f t="shared" ca="1" si="155"/>
        <v>#N/A</v>
      </c>
      <c r="X492" s="55" t="e">
        <f t="shared" ca="1" si="156"/>
        <v>#N/A</v>
      </c>
      <c r="Y492" s="55" t="e">
        <f t="shared" ca="1" si="157"/>
        <v>#N/A</v>
      </c>
      <c r="Z492" s="55" t="e">
        <f t="shared" ca="1" si="153"/>
        <v>#N/A</v>
      </c>
      <c r="AA492" t="e">
        <f t="shared" ca="1" si="154"/>
        <v>#N/A</v>
      </c>
      <c r="AB492" t="e">
        <f t="shared" ca="1" si="146"/>
        <v>#N/A</v>
      </c>
      <c r="AC492" t="e">
        <f t="shared" ca="1" si="147"/>
        <v>#N/A</v>
      </c>
      <c r="AD492" t="e">
        <f t="shared" ca="1" si="148"/>
        <v>#N/A</v>
      </c>
      <c r="AE492" s="83" t="e">
        <f ca="1"/>
        <v>#N/A</v>
      </c>
      <c r="AF492" s="55" t="e">
        <f t="shared" ca="1" si="149"/>
        <v>#N/A</v>
      </c>
      <c r="AG492" s="55" t="e">
        <f t="shared" ca="1" si="150"/>
        <v>#N/A</v>
      </c>
      <c r="AH492" s="55" t="e">
        <f t="shared" ca="1" si="151"/>
        <v>#N/A</v>
      </c>
      <c r="AI492" s="55" t="e">
        <f t="shared" ca="1" si="152"/>
        <v>#N/A</v>
      </c>
      <c r="AJ492" s="55" t="e">
        <f t="shared" ca="1" si="158"/>
        <v>#N/A</v>
      </c>
      <c r="AK492" s="55" t="e">
        <f t="shared" ca="1" si="159"/>
        <v>#N/A</v>
      </c>
      <c r="AL492" s="55" t="e">
        <f t="shared" ca="1" si="160"/>
        <v>#N/A</v>
      </c>
      <c r="AM492" s="55"/>
    </row>
    <row r="493" spans="18:39">
      <c r="R493" s="55" t="e">
        <f ca="1"/>
        <v>#N/A</v>
      </c>
      <c r="S493" s="55" t="e">
        <f t="shared" ca="1" si="142"/>
        <v>#N/A</v>
      </c>
      <c r="T493" s="55" t="e">
        <f t="shared" ca="1" si="143"/>
        <v>#N/A</v>
      </c>
      <c r="U493" s="55" t="e">
        <f t="shared" ca="1" si="144"/>
        <v>#N/A</v>
      </c>
      <c r="V493" s="55" t="e">
        <f t="shared" ca="1" si="145"/>
        <v>#N/A</v>
      </c>
      <c r="W493" s="55" t="e">
        <f t="shared" ca="1" si="155"/>
        <v>#N/A</v>
      </c>
      <c r="X493" s="55" t="e">
        <f t="shared" ca="1" si="156"/>
        <v>#N/A</v>
      </c>
      <c r="Y493" s="55" t="e">
        <f t="shared" ca="1" si="157"/>
        <v>#N/A</v>
      </c>
      <c r="Z493" s="55" t="e">
        <f t="shared" ca="1" si="153"/>
        <v>#N/A</v>
      </c>
      <c r="AA493" t="e">
        <f t="shared" ca="1" si="154"/>
        <v>#N/A</v>
      </c>
      <c r="AB493" t="e">
        <f t="shared" ca="1" si="146"/>
        <v>#N/A</v>
      </c>
      <c r="AC493" t="e">
        <f t="shared" ca="1" si="147"/>
        <v>#N/A</v>
      </c>
      <c r="AD493" t="e">
        <f t="shared" ca="1" si="148"/>
        <v>#N/A</v>
      </c>
      <c r="AE493" s="83" t="e">
        <f ca="1"/>
        <v>#N/A</v>
      </c>
      <c r="AF493" s="55" t="e">
        <f t="shared" ca="1" si="149"/>
        <v>#N/A</v>
      </c>
      <c r="AG493" s="55" t="e">
        <f t="shared" ca="1" si="150"/>
        <v>#N/A</v>
      </c>
      <c r="AH493" s="55" t="e">
        <f t="shared" ca="1" si="151"/>
        <v>#N/A</v>
      </c>
      <c r="AI493" s="55" t="e">
        <f t="shared" ca="1" si="152"/>
        <v>#N/A</v>
      </c>
      <c r="AJ493" s="55" t="e">
        <f t="shared" ca="1" si="158"/>
        <v>#N/A</v>
      </c>
      <c r="AK493" s="55" t="e">
        <f t="shared" ca="1" si="159"/>
        <v>#N/A</v>
      </c>
      <c r="AL493" s="55" t="e">
        <f t="shared" ca="1" si="160"/>
        <v>#N/A</v>
      </c>
      <c r="AM493" s="55"/>
    </row>
    <row r="494" spans="18:39">
      <c r="R494" s="55" t="e">
        <f ca="1"/>
        <v>#N/A</v>
      </c>
      <c r="S494" s="55" t="e">
        <f t="shared" ca="1" si="142"/>
        <v>#N/A</v>
      </c>
      <c r="T494" s="55" t="e">
        <f t="shared" ca="1" si="143"/>
        <v>#N/A</v>
      </c>
      <c r="U494" s="55" t="e">
        <f t="shared" ca="1" si="144"/>
        <v>#N/A</v>
      </c>
      <c r="V494" s="55" t="e">
        <f t="shared" ca="1" si="145"/>
        <v>#N/A</v>
      </c>
      <c r="W494" s="55" t="e">
        <f t="shared" ca="1" si="155"/>
        <v>#N/A</v>
      </c>
      <c r="X494" s="55" t="e">
        <f t="shared" ca="1" si="156"/>
        <v>#N/A</v>
      </c>
      <c r="Y494" s="55" t="e">
        <f t="shared" ca="1" si="157"/>
        <v>#N/A</v>
      </c>
      <c r="Z494" s="55" t="e">
        <f t="shared" ca="1" si="153"/>
        <v>#N/A</v>
      </c>
      <c r="AA494" t="e">
        <f t="shared" ca="1" si="154"/>
        <v>#N/A</v>
      </c>
      <c r="AB494" t="e">
        <f t="shared" ca="1" si="146"/>
        <v>#N/A</v>
      </c>
      <c r="AC494" t="e">
        <f t="shared" ca="1" si="147"/>
        <v>#N/A</v>
      </c>
      <c r="AD494" t="e">
        <f t="shared" ca="1" si="148"/>
        <v>#N/A</v>
      </c>
      <c r="AE494" s="83" t="e">
        <f ca="1"/>
        <v>#N/A</v>
      </c>
      <c r="AF494" s="55" t="e">
        <f t="shared" ca="1" si="149"/>
        <v>#N/A</v>
      </c>
      <c r="AG494" s="55" t="e">
        <f t="shared" ca="1" si="150"/>
        <v>#N/A</v>
      </c>
      <c r="AH494" s="55" t="e">
        <f t="shared" ca="1" si="151"/>
        <v>#N/A</v>
      </c>
      <c r="AI494" s="55" t="e">
        <f t="shared" ca="1" si="152"/>
        <v>#N/A</v>
      </c>
      <c r="AJ494" s="55" t="e">
        <f t="shared" ca="1" si="158"/>
        <v>#N/A</v>
      </c>
      <c r="AK494" s="55" t="e">
        <f t="shared" ca="1" si="159"/>
        <v>#N/A</v>
      </c>
      <c r="AL494" s="55" t="e">
        <f t="shared" ca="1" si="160"/>
        <v>#N/A</v>
      </c>
      <c r="AM494" s="55"/>
    </row>
    <row r="495" spans="18:39">
      <c r="R495" s="55" t="e">
        <f ca="1"/>
        <v>#N/A</v>
      </c>
      <c r="S495" s="55" t="e">
        <f t="shared" ca="1" si="142"/>
        <v>#N/A</v>
      </c>
      <c r="T495" s="55" t="e">
        <f t="shared" ca="1" si="143"/>
        <v>#N/A</v>
      </c>
      <c r="U495" s="55" t="e">
        <f t="shared" ca="1" si="144"/>
        <v>#N/A</v>
      </c>
      <c r="V495" s="55" t="e">
        <f t="shared" ca="1" si="145"/>
        <v>#N/A</v>
      </c>
      <c r="W495" s="55" t="e">
        <f t="shared" ca="1" si="155"/>
        <v>#N/A</v>
      </c>
      <c r="X495" s="55" t="e">
        <f t="shared" ca="1" si="156"/>
        <v>#N/A</v>
      </c>
      <c r="Y495" s="55" t="e">
        <f t="shared" ca="1" si="157"/>
        <v>#N/A</v>
      </c>
      <c r="Z495" s="55" t="e">
        <f t="shared" ca="1" si="153"/>
        <v>#N/A</v>
      </c>
      <c r="AA495" t="e">
        <f t="shared" ca="1" si="154"/>
        <v>#N/A</v>
      </c>
      <c r="AB495" t="e">
        <f t="shared" ca="1" si="146"/>
        <v>#N/A</v>
      </c>
      <c r="AC495" t="e">
        <f t="shared" ca="1" si="147"/>
        <v>#N/A</v>
      </c>
      <c r="AD495" t="e">
        <f t="shared" ca="1" si="148"/>
        <v>#N/A</v>
      </c>
      <c r="AE495" s="83" t="e">
        <f ca="1"/>
        <v>#N/A</v>
      </c>
      <c r="AF495" s="55" t="e">
        <f t="shared" ca="1" si="149"/>
        <v>#N/A</v>
      </c>
      <c r="AG495" s="55" t="e">
        <f t="shared" ca="1" si="150"/>
        <v>#N/A</v>
      </c>
      <c r="AH495" s="55" t="e">
        <f t="shared" ca="1" si="151"/>
        <v>#N/A</v>
      </c>
      <c r="AI495" s="55" t="e">
        <f t="shared" ca="1" si="152"/>
        <v>#N/A</v>
      </c>
      <c r="AJ495" s="55" t="e">
        <f t="shared" ca="1" si="158"/>
        <v>#N/A</v>
      </c>
      <c r="AK495" s="55" t="e">
        <f t="shared" ca="1" si="159"/>
        <v>#N/A</v>
      </c>
      <c r="AL495" s="55" t="e">
        <f t="shared" ca="1" si="160"/>
        <v>#N/A</v>
      </c>
      <c r="AM495" s="55"/>
    </row>
    <row r="496" spans="18:39">
      <c r="R496" s="55" t="e">
        <f ca="1"/>
        <v>#N/A</v>
      </c>
      <c r="S496" s="55" t="e">
        <f t="shared" ca="1" si="142"/>
        <v>#N/A</v>
      </c>
      <c r="T496" s="55" t="e">
        <f t="shared" ca="1" si="143"/>
        <v>#N/A</v>
      </c>
      <c r="U496" s="55" t="e">
        <f t="shared" ca="1" si="144"/>
        <v>#N/A</v>
      </c>
      <c r="V496" s="55" t="e">
        <f t="shared" ca="1" si="145"/>
        <v>#N/A</v>
      </c>
      <c r="W496" s="55" t="e">
        <f t="shared" ca="1" si="155"/>
        <v>#N/A</v>
      </c>
      <c r="X496" s="55" t="e">
        <f t="shared" ca="1" si="156"/>
        <v>#N/A</v>
      </c>
      <c r="Y496" s="55" t="e">
        <f t="shared" ca="1" si="157"/>
        <v>#N/A</v>
      </c>
      <c r="Z496" s="55" t="e">
        <f t="shared" ca="1" si="153"/>
        <v>#N/A</v>
      </c>
      <c r="AA496" t="e">
        <f t="shared" ca="1" si="154"/>
        <v>#N/A</v>
      </c>
      <c r="AB496" t="e">
        <f t="shared" ca="1" si="146"/>
        <v>#N/A</v>
      </c>
      <c r="AC496" t="e">
        <f t="shared" ca="1" si="147"/>
        <v>#N/A</v>
      </c>
      <c r="AD496" t="e">
        <f t="shared" ca="1" si="148"/>
        <v>#N/A</v>
      </c>
      <c r="AE496" s="83" t="e">
        <f ca="1"/>
        <v>#N/A</v>
      </c>
      <c r="AF496" s="55" t="e">
        <f t="shared" ca="1" si="149"/>
        <v>#N/A</v>
      </c>
      <c r="AG496" s="55" t="e">
        <f t="shared" ca="1" si="150"/>
        <v>#N/A</v>
      </c>
      <c r="AH496" s="55" t="e">
        <f t="shared" ca="1" si="151"/>
        <v>#N/A</v>
      </c>
      <c r="AI496" s="55" t="e">
        <f t="shared" ca="1" si="152"/>
        <v>#N/A</v>
      </c>
      <c r="AJ496" s="55" t="e">
        <f t="shared" ca="1" si="158"/>
        <v>#N/A</v>
      </c>
      <c r="AK496" s="55" t="e">
        <f t="shared" ca="1" si="159"/>
        <v>#N/A</v>
      </c>
      <c r="AL496" s="55" t="e">
        <f t="shared" ca="1" si="160"/>
        <v>#N/A</v>
      </c>
      <c r="AM496" s="55"/>
    </row>
    <row r="497" spans="18:39">
      <c r="R497" s="55" t="e">
        <f ca="1"/>
        <v>#N/A</v>
      </c>
      <c r="S497" s="55" t="e">
        <f t="shared" ca="1" si="142"/>
        <v>#N/A</v>
      </c>
      <c r="T497" s="55" t="e">
        <f t="shared" ca="1" si="143"/>
        <v>#N/A</v>
      </c>
      <c r="U497" s="55" t="e">
        <f t="shared" ca="1" si="144"/>
        <v>#N/A</v>
      </c>
      <c r="V497" s="55" t="e">
        <f t="shared" ca="1" si="145"/>
        <v>#N/A</v>
      </c>
      <c r="W497" s="55" t="e">
        <f t="shared" ca="1" si="155"/>
        <v>#N/A</v>
      </c>
      <c r="X497" s="55" t="e">
        <f t="shared" ca="1" si="156"/>
        <v>#N/A</v>
      </c>
      <c r="Y497" s="55" t="e">
        <f t="shared" ca="1" si="157"/>
        <v>#N/A</v>
      </c>
      <c r="Z497" s="55" t="e">
        <f t="shared" ca="1" si="153"/>
        <v>#N/A</v>
      </c>
      <c r="AA497" t="e">
        <f t="shared" ca="1" si="154"/>
        <v>#N/A</v>
      </c>
      <c r="AB497" t="e">
        <f t="shared" ca="1" si="146"/>
        <v>#N/A</v>
      </c>
      <c r="AC497" t="e">
        <f t="shared" ca="1" si="147"/>
        <v>#N/A</v>
      </c>
      <c r="AD497" t="e">
        <f t="shared" ca="1" si="148"/>
        <v>#N/A</v>
      </c>
      <c r="AE497" s="83" t="e">
        <f ca="1"/>
        <v>#N/A</v>
      </c>
      <c r="AF497" s="55" t="e">
        <f t="shared" ca="1" si="149"/>
        <v>#N/A</v>
      </c>
      <c r="AG497" s="55" t="e">
        <f t="shared" ca="1" si="150"/>
        <v>#N/A</v>
      </c>
      <c r="AH497" s="55" t="e">
        <f t="shared" ca="1" si="151"/>
        <v>#N/A</v>
      </c>
      <c r="AI497" s="55" t="e">
        <f t="shared" ca="1" si="152"/>
        <v>#N/A</v>
      </c>
      <c r="AJ497" s="55" t="e">
        <f t="shared" ca="1" si="158"/>
        <v>#N/A</v>
      </c>
      <c r="AK497" s="55" t="e">
        <f t="shared" ca="1" si="159"/>
        <v>#N/A</v>
      </c>
      <c r="AL497" s="55" t="e">
        <f t="shared" ca="1" si="160"/>
        <v>#N/A</v>
      </c>
      <c r="AM497" s="55"/>
    </row>
    <row r="498" spans="18:39">
      <c r="R498" s="55" t="e">
        <f ca="1"/>
        <v>#N/A</v>
      </c>
      <c r="S498" s="55" t="e">
        <f t="shared" ca="1" si="142"/>
        <v>#N/A</v>
      </c>
      <c r="T498" s="55" t="e">
        <f t="shared" ca="1" si="143"/>
        <v>#N/A</v>
      </c>
      <c r="U498" s="55" t="e">
        <f t="shared" ca="1" si="144"/>
        <v>#N/A</v>
      </c>
      <c r="V498" s="55" t="e">
        <f t="shared" ca="1" si="145"/>
        <v>#N/A</v>
      </c>
      <c r="W498" s="55" t="e">
        <f t="shared" ca="1" si="155"/>
        <v>#N/A</v>
      </c>
      <c r="X498" s="55" t="e">
        <f t="shared" ca="1" si="156"/>
        <v>#N/A</v>
      </c>
      <c r="Y498" s="55" t="e">
        <f t="shared" ca="1" si="157"/>
        <v>#N/A</v>
      </c>
      <c r="Z498" s="55" t="e">
        <f t="shared" ca="1" si="153"/>
        <v>#N/A</v>
      </c>
      <c r="AA498" t="e">
        <f t="shared" ca="1" si="154"/>
        <v>#N/A</v>
      </c>
      <c r="AB498" t="e">
        <f t="shared" ca="1" si="146"/>
        <v>#N/A</v>
      </c>
      <c r="AC498" t="e">
        <f t="shared" ca="1" si="147"/>
        <v>#N/A</v>
      </c>
      <c r="AD498" t="e">
        <f t="shared" ca="1" si="148"/>
        <v>#N/A</v>
      </c>
      <c r="AE498" s="83" t="e">
        <f ca="1"/>
        <v>#N/A</v>
      </c>
      <c r="AF498" s="55" t="e">
        <f t="shared" ca="1" si="149"/>
        <v>#N/A</v>
      </c>
      <c r="AG498" s="55" t="e">
        <f t="shared" ca="1" si="150"/>
        <v>#N/A</v>
      </c>
      <c r="AH498" s="55" t="e">
        <f t="shared" ca="1" si="151"/>
        <v>#N/A</v>
      </c>
      <c r="AI498" s="55" t="e">
        <f t="shared" ca="1" si="152"/>
        <v>#N/A</v>
      </c>
      <c r="AJ498" s="55" t="e">
        <f t="shared" ca="1" si="158"/>
        <v>#N/A</v>
      </c>
      <c r="AK498" s="55" t="e">
        <f t="shared" ca="1" si="159"/>
        <v>#N/A</v>
      </c>
      <c r="AL498" s="55" t="e">
        <f t="shared" ca="1" si="160"/>
        <v>#N/A</v>
      </c>
      <c r="AM498" s="55"/>
    </row>
    <row r="499" spans="18:39">
      <c r="R499" s="55" t="e">
        <f ca="1"/>
        <v>#N/A</v>
      </c>
      <c r="S499" s="55" t="e">
        <f t="shared" ca="1" si="142"/>
        <v>#N/A</v>
      </c>
      <c r="T499" s="55" t="e">
        <f t="shared" ca="1" si="143"/>
        <v>#N/A</v>
      </c>
      <c r="U499" s="55" t="e">
        <f t="shared" ca="1" si="144"/>
        <v>#N/A</v>
      </c>
      <c r="V499" s="55" t="e">
        <f t="shared" ca="1" si="145"/>
        <v>#N/A</v>
      </c>
      <c r="W499" s="55" t="e">
        <f t="shared" ca="1" si="155"/>
        <v>#N/A</v>
      </c>
      <c r="X499" s="55" t="e">
        <f t="shared" ca="1" si="156"/>
        <v>#N/A</v>
      </c>
      <c r="Y499" s="55" t="e">
        <f t="shared" ca="1" si="157"/>
        <v>#N/A</v>
      </c>
      <c r="Z499" s="55" t="e">
        <f t="shared" ca="1" si="153"/>
        <v>#N/A</v>
      </c>
      <c r="AA499" t="e">
        <f t="shared" ca="1" si="154"/>
        <v>#N/A</v>
      </c>
      <c r="AB499" t="e">
        <f t="shared" ca="1" si="146"/>
        <v>#N/A</v>
      </c>
      <c r="AC499" t="e">
        <f t="shared" ca="1" si="147"/>
        <v>#N/A</v>
      </c>
      <c r="AD499" t="e">
        <f t="shared" ca="1" si="148"/>
        <v>#N/A</v>
      </c>
      <c r="AE499" s="83" t="e">
        <f ca="1"/>
        <v>#N/A</v>
      </c>
      <c r="AF499" s="55" t="e">
        <f t="shared" ca="1" si="149"/>
        <v>#N/A</v>
      </c>
      <c r="AG499" s="55" t="e">
        <f t="shared" ca="1" si="150"/>
        <v>#N/A</v>
      </c>
      <c r="AH499" s="55" t="e">
        <f t="shared" ca="1" si="151"/>
        <v>#N/A</v>
      </c>
      <c r="AI499" s="55" t="e">
        <f t="shared" ca="1" si="152"/>
        <v>#N/A</v>
      </c>
      <c r="AJ499" s="55" t="e">
        <f t="shared" ca="1" si="158"/>
        <v>#N/A</v>
      </c>
      <c r="AK499" s="55" t="e">
        <f t="shared" ca="1" si="159"/>
        <v>#N/A</v>
      </c>
      <c r="AL499" s="55" t="e">
        <f t="shared" ca="1" si="160"/>
        <v>#N/A</v>
      </c>
      <c r="AM499" s="55"/>
    </row>
    <row r="500" spans="18:39">
      <c r="R500" s="55" t="e">
        <f ca="1"/>
        <v>#N/A</v>
      </c>
      <c r="S500" s="55" t="e">
        <f t="shared" ca="1" si="142"/>
        <v>#N/A</v>
      </c>
      <c r="T500" s="55" t="e">
        <f t="shared" ca="1" si="143"/>
        <v>#N/A</v>
      </c>
      <c r="U500" s="55" t="e">
        <f t="shared" ca="1" si="144"/>
        <v>#N/A</v>
      </c>
      <c r="V500" s="55" t="e">
        <f t="shared" ca="1" si="145"/>
        <v>#N/A</v>
      </c>
      <c r="W500" s="55" t="e">
        <f t="shared" ca="1" si="155"/>
        <v>#N/A</v>
      </c>
      <c r="X500" s="55" t="e">
        <f t="shared" ca="1" si="156"/>
        <v>#N/A</v>
      </c>
      <c r="Y500" s="55" t="e">
        <f t="shared" ca="1" si="157"/>
        <v>#N/A</v>
      </c>
      <c r="Z500" s="55" t="e">
        <f t="shared" ca="1" si="153"/>
        <v>#N/A</v>
      </c>
      <c r="AA500" t="e">
        <f t="shared" ca="1" si="154"/>
        <v>#N/A</v>
      </c>
      <c r="AB500" t="e">
        <f t="shared" ca="1" si="146"/>
        <v>#N/A</v>
      </c>
      <c r="AC500" t="e">
        <f t="shared" ca="1" si="147"/>
        <v>#N/A</v>
      </c>
      <c r="AD500" t="e">
        <f t="shared" ca="1" si="148"/>
        <v>#N/A</v>
      </c>
      <c r="AE500" s="83" t="e">
        <f ca="1"/>
        <v>#N/A</v>
      </c>
      <c r="AF500" s="55" t="e">
        <f t="shared" ca="1" si="149"/>
        <v>#N/A</v>
      </c>
      <c r="AG500" s="55" t="e">
        <f t="shared" ca="1" si="150"/>
        <v>#N/A</v>
      </c>
      <c r="AH500" s="55" t="e">
        <f t="shared" ca="1" si="151"/>
        <v>#N/A</v>
      </c>
      <c r="AI500" s="55" t="e">
        <f t="shared" ca="1" si="152"/>
        <v>#N/A</v>
      </c>
      <c r="AJ500" s="55" t="e">
        <f t="shared" ca="1" si="158"/>
        <v>#N/A</v>
      </c>
      <c r="AK500" s="55" t="e">
        <f t="shared" ca="1" si="159"/>
        <v>#N/A</v>
      </c>
      <c r="AL500" s="55" t="e">
        <f t="shared" ca="1" si="160"/>
        <v>#N/A</v>
      </c>
      <c r="AM500" s="55"/>
    </row>
    <row r="501" spans="18:39">
      <c r="R501" s="55" t="e">
        <f ca="1"/>
        <v>#N/A</v>
      </c>
      <c r="S501" s="55" t="e">
        <f t="shared" ca="1" si="142"/>
        <v>#N/A</v>
      </c>
      <c r="T501" s="55" t="e">
        <f t="shared" ca="1" si="143"/>
        <v>#N/A</v>
      </c>
      <c r="U501" s="55" t="e">
        <f t="shared" ca="1" si="144"/>
        <v>#N/A</v>
      </c>
      <c r="V501" s="55" t="e">
        <f t="shared" ca="1" si="145"/>
        <v>#N/A</v>
      </c>
      <c r="W501" s="55" t="e">
        <f t="shared" ca="1" si="155"/>
        <v>#N/A</v>
      </c>
      <c r="X501" s="55" t="e">
        <f t="shared" ca="1" si="156"/>
        <v>#N/A</v>
      </c>
      <c r="Y501" s="55" t="e">
        <f t="shared" ca="1" si="157"/>
        <v>#N/A</v>
      </c>
      <c r="Z501" s="55" t="e">
        <f t="shared" ca="1" si="153"/>
        <v>#N/A</v>
      </c>
      <c r="AA501" t="e">
        <f t="shared" ca="1" si="154"/>
        <v>#N/A</v>
      </c>
      <c r="AB501" t="e">
        <f t="shared" ca="1" si="146"/>
        <v>#N/A</v>
      </c>
      <c r="AC501" t="e">
        <f t="shared" ca="1" si="147"/>
        <v>#N/A</v>
      </c>
      <c r="AD501" t="e">
        <f t="shared" ca="1" si="148"/>
        <v>#N/A</v>
      </c>
      <c r="AE501" s="83" t="e">
        <f ca="1"/>
        <v>#N/A</v>
      </c>
      <c r="AF501" s="55" t="e">
        <f t="shared" ca="1" si="149"/>
        <v>#N/A</v>
      </c>
      <c r="AG501" s="55" t="e">
        <f t="shared" ca="1" si="150"/>
        <v>#N/A</v>
      </c>
      <c r="AH501" s="55" t="e">
        <f t="shared" ca="1" si="151"/>
        <v>#N/A</v>
      </c>
      <c r="AI501" s="55" t="e">
        <f t="shared" ca="1" si="152"/>
        <v>#N/A</v>
      </c>
      <c r="AJ501" s="55" t="e">
        <f t="shared" ca="1" si="158"/>
        <v>#N/A</v>
      </c>
      <c r="AK501" s="55" t="e">
        <f t="shared" ca="1" si="159"/>
        <v>#N/A</v>
      </c>
      <c r="AL501" s="55" t="e">
        <f t="shared" ca="1" si="160"/>
        <v>#N/A</v>
      </c>
      <c r="AM501" s="55"/>
    </row>
    <row r="502" spans="18:39">
      <c r="R502" s="55" t="e">
        <f ca="1"/>
        <v>#N/A</v>
      </c>
      <c r="S502" s="55" t="e">
        <f t="shared" ca="1" si="142"/>
        <v>#N/A</v>
      </c>
      <c r="T502" s="55" t="e">
        <f t="shared" ca="1" si="143"/>
        <v>#N/A</v>
      </c>
      <c r="U502" s="55" t="e">
        <f t="shared" ca="1" si="144"/>
        <v>#N/A</v>
      </c>
      <c r="V502" s="55" t="e">
        <f t="shared" ca="1" si="145"/>
        <v>#N/A</v>
      </c>
      <c r="W502" s="55" t="e">
        <f t="shared" ca="1" si="155"/>
        <v>#N/A</v>
      </c>
      <c r="X502" s="55" t="e">
        <f t="shared" ca="1" si="156"/>
        <v>#N/A</v>
      </c>
      <c r="Y502" s="55" t="e">
        <f t="shared" ca="1" si="157"/>
        <v>#N/A</v>
      </c>
      <c r="Z502" s="55" t="e">
        <f t="shared" ca="1" si="153"/>
        <v>#N/A</v>
      </c>
      <c r="AA502" t="e">
        <f t="shared" ca="1" si="154"/>
        <v>#N/A</v>
      </c>
      <c r="AB502" t="e">
        <f t="shared" ca="1" si="146"/>
        <v>#N/A</v>
      </c>
      <c r="AC502" t="e">
        <f t="shared" ca="1" si="147"/>
        <v>#N/A</v>
      </c>
      <c r="AD502" t="e">
        <f t="shared" ca="1" si="148"/>
        <v>#N/A</v>
      </c>
      <c r="AE502" s="83" t="e">
        <f ca="1"/>
        <v>#N/A</v>
      </c>
      <c r="AF502" s="55" t="e">
        <f t="shared" ca="1" si="149"/>
        <v>#N/A</v>
      </c>
      <c r="AG502" s="55" t="e">
        <f t="shared" ca="1" si="150"/>
        <v>#N/A</v>
      </c>
      <c r="AH502" s="55" t="e">
        <f t="shared" ca="1" si="151"/>
        <v>#N/A</v>
      </c>
      <c r="AI502" s="55" t="e">
        <f t="shared" ca="1" si="152"/>
        <v>#N/A</v>
      </c>
      <c r="AJ502" s="55" t="e">
        <f t="shared" ca="1" si="158"/>
        <v>#N/A</v>
      </c>
      <c r="AK502" s="55" t="e">
        <f t="shared" ca="1" si="159"/>
        <v>#N/A</v>
      </c>
      <c r="AL502" s="55" t="e">
        <f t="shared" ca="1" si="160"/>
        <v>#N/A</v>
      </c>
      <c r="AM502" s="55"/>
    </row>
    <row r="503" spans="18:39">
      <c r="R503" s="55" t="e">
        <f ca="1"/>
        <v>#N/A</v>
      </c>
      <c r="S503" s="55" t="e">
        <f t="shared" ca="1" si="142"/>
        <v>#N/A</v>
      </c>
      <c r="T503" s="55" t="e">
        <f t="shared" ca="1" si="143"/>
        <v>#N/A</v>
      </c>
      <c r="U503" s="55" t="e">
        <f t="shared" ca="1" si="144"/>
        <v>#N/A</v>
      </c>
      <c r="V503" s="55" t="e">
        <f t="shared" ca="1" si="145"/>
        <v>#N/A</v>
      </c>
      <c r="W503" s="55" t="e">
        <f t="shared" ca="1" si="155"/>
        <v>#N/A</v>
      </c>
      <c r="X503" s="55" t="e">
        <f t="shared" ca="1" si="156"/>
        <v>#N/A</v>
      </c>
      <c r="Y503" s="55" t="e">
        <f t="shared" ca="1" si="157"/>
        <v>#N/A</v>
      </c>
      <c r="Z503" s="55" t="e">
        <f t="shared" ca="1" si="153"/>
        <v>#N/A</v>
      </c>
      <c r="AA503" t="e">
        <f t="shared" ca="1" si="154"/>
        <v>#N/A</v>
      </c>
      <c r="AB503" t="e">
        <f t="shared" ca="1" si="146"/>
        <v>#N/A</v>
      </c>
      <c r="AC503" t="e">
        <f t="shared" ca="1" si="147"/>
        <v>#N/A</v>
      </c>
      <c r="AD503" t="e">
        <f t="shared" ca="1" si="148"/>
        <v>#N/A</v>
      </c>
      <c r="AE503" s="83" t="e">
        <f ca="1"/>
        <v>#N/A</v>
      </c>
      <c r="AF503" s="55" t="e">
        <f t="shared" ca="1" si="149"/>
        <v>#N/A</v>
      </c>
      <c r="AG503" s="55" t="e">
        <f t="shared" ca="1" si="150"/>
        <v>#N/A</v>
      </c>
      <c r="AH503" s="55" t="e">
        <f t="shared" ca="1" si="151"/>
        <v>#N/A</v>
      </c>
      <c r="AI503" s="55" t="e">
        <f t="shared" ca="1" si="152"/>
        <v>#N/A</v>
      </c>
      <c r="AJ503" s="55" t="e">
        <f t="shared" ca="1" si="158"/>
        <v>#N/A</v>
      </c>
      <c r="AK503" s="55" t="e">
        <f t="shared" ca="1" si="159"/>
        <v>#N/A</v>
      </c>
      <c r="AL503" s="55" t="e">
        <f t="shared" ca="1" si="160"/>
        <v>#N/A</v>
      </c>
      <c r="AM503" s="55"/>
    </row>
    <row r="504" spans="18:39">
      <c r="R504" s="55" t="e">
        <f ca="1"/>
        <v>#N/A</v>
      </c>
      <c r="S504" s="55" t="e">
        <f t="shared" ca="1" si="142"/>
        <v>#N/A</v>
      </c>
      <c r="T504" s="55" t="e">
        <f t="shared" ca="1" si="143"/>
        <v>#N/A</v>
      </c>
      <c r="U504" s="55" t="e">
        <f t="shared" ca="1" si="144"/>
        <v>#N/A</v>
      </c>
      <c r="V504" s="55" t="e">
        <f t="shared" ca="1" si="145"/>
        <v>#N/A</v>
      </c>
      <c r="W504" s="55" t="e">
        <f t="shared" ca="1" si="155"/>
        <v>#N/A</v>
      </c>
      <c r="X504" s="55" t="e">
        <f t="shared" ca="1" si="156"/>
        <v>#N/A</v>
      </c>
      <c r="Y504" s="55" t="e">
        <f t="shared" ca="1" si="157"/>
        <v>#N/A</v>
      </c>
      <c r="Z504" s="55" t="e">
        <f t="shared" ca="1" si="153"/>
        <v>#N/A</v>
      </c>
      <c r="AA504" t="e">
        <f t="shared" ca="1" si="154"/>
        <v>#N/A</v>
      </c>
      <c r="AB504" t="e">
        <f t="shared" ca="1" si="146"/>
        <v>#N/A</v>
      </c>
      <c r="AC504" t="e">
        <f t="shared" ca="1" si="147"/>
        <v>#N/A</v>
      </c>
      <c r="AD504" t="e">
        <f t="shared" ca="1" si="148"/>
        <v>#N/A</v>
      </c>
      <c r="AE504" s="83" t="e">
        <f ca="1"/>
        <v>#N/A</v>
      </c>
      <c r="AF504" s="55" t="e">
        <f t="shared" ca="1" si="149"/>
        <v>#N/A</v>
      </c>
      <c r="AG504" s="55" t="e">
        <f t="shared" ca="1" si="150"/>
        <v>#N/A</v>
      </c>
      <c r="AH504" s="55" t="e">
        <f t="shared" ca="1" si="151"/>
        <v>#N/A</v>
      </c>
      <c r="AI504" s="55" t="e">
        <f t="shared" ca="1" si="152"/>
        <v>#N/A</v>
      </c>
      <c r="AJ504" s="55" t="e">
        <f t="shared" ca="1" si="158"/>
        <v>#N/A</v>
      </c>
      <c r="AK504" s="55" t="e">
        <f t="shared" ca="1" si="159"/>
        <v>#N/A</v>
      </c>
      <c r="AL504" s="55" t="e">
        <f t="shared" ca="1" si="160"/>
        <v>#N/A</v>
      </c>
      <c r="AM504" s="55"/>
    </row>
    <row r="505" spans="18:39">
      <c r="R505" s="55" t="e">
        <f ca="1"/>
        <v>#N/A</v>
      </c>
      <c r="S505" s="55" t="e">
        <f t="shared" ca="1" si="142"/>
        <v>#N/A</v>
      </c>
      <c r="T505" s="55" t="e">
        <f t="shared" ca="1" si="143"/>
        <v>#N/A</v>
      </c>
      <c r="U505" s="55" t="e">
        <f t="shared" ca="1" si="144"/>
        <v>#N/A</v>
      </c>
      <c r="V505" s="55" t="e">
        <f t="shared" ca="1" si="145"/>
        <v>#N/A</v>
      </c>
      <c r="W505" s="55" t="e">
        <f t="shared" ca="1" si="155"/>
        <v>#N/A</v>
      </c>
      <c r="X505" s="55" t="e">
        <f t="shared" ca="1" si="156"/>
        <v>#N/A</v>
      </c>
      <c r="Y505" s="55" t="e">
        <f t="shared" ca="1" si="157"/>
        <v>#N/A</v>
      </c>
      <c r="Z505" s="55" t="e">
        <f t="shared" ca="1" si="153"/>
        <v>#N/A</v>
      </c>
      <c r="AA505" t="e">
        <f t="shared" ca="1" si="154"/>
        <v>#N/A</v>
      </c>
      <c r="AB505" t="e">
        <f t="shared" ca="1" si="146"/>
        <v>#N/A</v>
      </c>
      <c r="AC505" t="e">
        <f t="shared" ca="1" si="147"/>
        <v>#N/A</v>
      </c>
      <c r="AD505" t="e">
        <f t="shared" ca="1" si="148"/>
        <v>#N/A</v>
      </c>
      <c r="AE505" s="83" t="e">
        <f ca="1"/>
        <v>#N/A</v>
      </c>
      <c r="AF505" s="55" t="e">
        <f t="shared" ca="1" si="149"/>
        <v>#N/A</v>
      </c>
      <c r="AG505" s="55" t="e">
        <f t="shared" ca="1" si="150"/>
        <v>#N/A</v>
      </c>
      <c r="AH505" s="55" t="e">
        <f t="shared" ca="1" si="151"/>
        <v>#N/A</v>
      </c>
      <c r="AI505" s="55" t="e">
        <f t="shared" ca="1" si="152"/>
        <v>#N/A</v>
      </c>
      <c r="AJ505" s="55" t="e">
        <f t="shared" ca="1" si="158"/>
        <v>#N/A</v>
      </c>
      <c r="AK505" s="55" t="e">
        <f t="shared" ca="1" si="159"/>
        <v>#N/A</v>
      </c>
      <c r="AL505" s="55" t="e">
        <f t="shared" ca="1" si="160"/>
        <v>#N/A</v>
      </c>
      <c r="AM505" s="55"/>
    </row>
    <row r="506" spans="18:39">
      <c r="R506" s="55" t="e">
        <f ca="1"/>
        <v>#N/A</v>
      </c>
      <c r="S506" s="55" t="e">
        <f t="shared" ca="1" si="142"/>
        <v>#N/A</v>
      </c>
      <c r="T506" s="55" t="e">
        <f t="shared" ca="1" si="143"/>
        <v>#N/A</v>
      </c>
      <c r="U506" s="55" t="e">
        <f t="shared" ca="1" si="144"/>
        <v>#N/A</v>
      </c>
      <c r="V506" s="55" t="e">
        <f t="shared" ca="1" si="145"/>
        <v>#N/A</v>
      </c>
      <c r="W506" s="55" t="e">
        <f t="shared" ca="1" si="155"/>
        <v>#N/A</v>
      </c>
      <c r="X506" s="55" t="e">
        <f t="shared" ca="1" si="156"/>
        <v>#N/A</v>
      </c>
      <c r="Y506" s="55" t="e">
        <f t="shared" ca="1" si="157"/>
        <v>#N/A</v>
      </c>
      <c r="Z506" s="55" t="e">
        <f t="shared" ca="1" si="153"/>
        <v>#N/A</v>
      </c>
      <c r="AA506" t="e">
        <f t="shared" ca="1" si="154"/>
        <v>#N/A</v>
      </c>
      <c r="AB506" t="e">
        <f t="shared" ca="1" si="146"/>
        <v>#N/A</v>
      </c>
      <c r="AC506" t="e">
        <f t="shared" ca="1" si="147"/>
        <v>#N/A</v>
      </c>
      <c r="AD506" t="e">
        <f t="shared" ca="1" si="148"/>
        <v>#N/A</v>
      </c>
      <c r="AE506" s="83" t="e">
        <f ca="1"/>
        <v>#N/A</v>
      </c>
      <c r="AF506" s="55" t="e">
        <f t="shared" ca="1" si="149"/>
        <v>#N/A</v>
      </c>
      <c r="AG506" s="55" t="e">
        <f t="shared" ca="1" si="150"/>
        <v>#N/A</v>
      </c>
      <c r="AH506" s="55" t="e">
        <f t="shared" ca="1" si="151"/>
        <v>#N/A</v>
      </c>
      <c r="AI506" s="55" t="e">
        <f t="shared" ca="1" si="152"/>
        <v>#N/A</v>
      </c>
      <c r="AJ506" s="55" t="e">
        <f t="shared" ca="1" si="158"/>
        <v>#N/A</v>
      </c>
      <c r="AK506" s="55" t="e">
        <f t="shared" ca="1" si="159"/>
        <v>#N/A</v>
      </c>
      <c r="AL506" s="55" t="e">
        <f t="shared" ca="1" si="160"/>
        <v>#N/A</v>
      </c>
      <c r="AM506" s="55"/>
    </row>
    <row r="507" spans="18:39">
      <c r="R507" s="55" t="e">
        <f ca="1"/>
        <v>#N/A</v>
      </c>
      <c r="S507" s="55" t="e">
        <f t="shared" ca="1" si="142"/>
        <v>#N/A</v>
      </c>
      <c r="T507" s="55" t="e">
        <f t="shared" ca="1" si="143"/>
        <v>#N/A</v>
      </c>
      <c r="U507" s="55" t="e">
        <f t="shared" ca="1" si="144"/>
        <v>#N/A</v>
      </c>
      <c r="V507" s="55" t="e">
        <f t="shared" ca="1" si="145"/>
        <v>#N/A</v>
      </c>
      <c r="W507" s="55" t="e">
        <f t="shared" ca="1" si="155"/>
        <v>#N/A</v>
      </c>
      <c r="X507" s="55" t="e">
        <f t="shared" ca="1" si="156"/>
        <v>#N/A</v>
      </c>
      <c r="Y507" s="55" t="e">
        <f t="shared" ca="1" si="157"/>
        <v>#N/A</v>
      </c>
      <c r="Z507" s="55" t="e">
        <f t="shared" ca="1" si="153"/>
        <v>#N/A</v>
      </c>
      <c r="AA507" t="e">
        <f t="shared" ca="1" si="154"/>
        <v>#N/A</v>
      </c>
      <c r="AB507" t="e">
        <f t="shared" ca="1" si="146"/>
        <v>#N/A</v>
      </c>
      <c r="AC507" t="e">
        <f t="shared" ca="1" si="147"/>
        <v>#N/A</v>
      </c>
      <c r="AD507" t="e">
        <f t="shared" ca="1" si="148"/>
        <v>#N/A</v>
      </c>
      <c r="AE507" s="83" t="e">
        <f ca="1"/>
        <v>#N/A</v>
      </c>
      <c r="AF507" s="55" t="e">
        <f t="shared" ca="1" si="149"/>
        <v>#N/A</v>
      </c>
      <c r="AG507" s="55" t="e">
        <f t="shared" ca="1" si="150"/>
        <v>#N/A</v>
      </c>
      <c r="AH507" s="55" t="e">
        <f t="shared" ca="1" si="151"/>
        <v>#N/A</v>
      </c>
      <c r="AI507" s="55" t="e">
        <f t="shared" ca="1" si="152"/>
        <v>#N/A</v>
      </c>
      <c r="AJ507" s="55" t="e">
        <f t="shared" ca="1" si="158"/>
        <v>#N/A</v>
      </c>
      <c r="AK507" s="55" t="e">
        <f t="shared" ca="1" si="159"/>
        <v>#N/A</v>
      </c>
      <c r="AL507" s="55" t="e">
        <f t="shared" ca="1" si="160"/>
        <v>#N/A</v>
      </c>
      <c r="AM507" s="55"/>
    </row>
    <row r="508" spans="18:39">
      <c r="R508" s="55" t="e">
        <f ca="1"/>
        <v>#N/A</v>
      </c>
      <c r="S508" s="55" t="e">
        <f t="shared" ca="1" si="142"/>
        <v>#N/A</v>
      </c>
      <c r="T508" s="55" t="e">
        <f t="shared" ca="1" si="143"/>
        <v>#N/A</v>
      </c>
      <c r="U508" s="55" t="e">
        <f t="shared" ca="1" si="144"/>
        <v>#N/A</v>
      </c>
      <c r="V508" s="55" t="e">
        <f t="shared" ca="1" si="145"/>
        <v>#N/A</v>
      </c>
      <c r="W508" s="55" t="e">
        <f t="shared" ca="1" si="155"/>
        <v>#N/A</v>
      </c>
      <c r="X508" s="55" t="e">
        <f t="shared" ca="1" si="156"/>
        <v>#N/A</v>
      </c>
      <c r="Y508" s="55" t="e">
        <f t="shared" ca="1" si="157"/>
        <v>#N/A</v>
      </c>
      <c r="Z508" s="55" t="e">
        <f t="shared" ca="1" si="153"/>
        <v>#N/A</v>
      </c>
      <c r="AA508" t="e">
        <f t="shared" ca="1" si="154"/>
        <v>#N/A</v>
      </c>
      <c r="AB508" t="e">
        <f t="shared" ca="1" si="146"/>
        <v>#N/A</v>
      </c>
      <c r="AC508" t="e">
        <f t="shared" ca="1" si="147"/>
        <v>#N/A</v>
      </c>
      <c r="AD508" t="e">
        <f t="shared" ca="1" si="148"/>
        <v>#N/A</v>
      </c>
      <c r="AE508" s="83" t="e">
        <f ca="1"/>
        <v>#N/A</v>
      </c>
      <c r="AF508" s="55" t="e">
        <f t="shared" ca="1" si="149"/>
        <v>#N/A</v>
      </c>
      <c r="AG508" s="55" t="e">
        <f t="shared" ca="1" si="150"/>
        <v>#N/A</v>
      </c>
      <c r="AH508" s="55" t="e">
        <f t="shared" ca="1" si="151"/>
        <v>#N/A</v>
      </c>
      <c r="AI508" s="55" t="e">
        <f t="shared" ca="1" si="152"/>
        <v>#N/A</v>
      </c>
      <c r="AJ508" s="55" t="e">
        <f t="shared" ca="1" si="158"/>
        <v>#N/A</v>
      </c>
      <c r="AK508" s="55" t="e">
        <f t="shared" ca="1" si="159"/>
        <v>#N/A</v>
      </c>
      <c r="AL508" s="55" t="e">
        <f t="shared" ca="1" si="160"/>
        <v>#N/A</v>
      </c>
      <c r="AM508" s="55"/>
    </row>
    <row r="509" spans="18:39">
      <c r="R509" s="55" t="e">
        <f ca="1"/>
        <v>#N/A</v>
      </c>
      <c r="S509" s="55" t="e">
        <f t="shared" ca="1" si="142"/>
        <v>#N/A</v>
      </c>
      <c r="T509" s="55" t="e">
        <f t="shared" ca="1" si="143"/>
        <v>#N/A</v>
      </c>
      <c r="U509" s="55" t="e">
        <f t="shared" ca="1" si="144"/>
        <v>#N/A</v>
      </c>
      <c r="V509" s="55" t="e">
        <f t="shared" ca="1" si="145"/>
        <v>#N/A</v>
      </c>
      <c r="W509" s="55" t="e">
        <f t="shared" ca="1" si="155"/>
        <v>#N/A</v>
      </c>
      <c r="X509" s="55" t="e">
        <f t="shared" ca="1" si="156"/>
        <v>#N/A</v>
      </c>
      <c r="Y509" s="55" t="e">
        <f t="shared" ca="1" si="157"/>
        <v>#N/A</v>
      </c>
      <c r="Z509" s="55" t="e">
        <f t="shared" ca="1" si="153"/>
        <v>#N/A</v>
      </c>
      <c r="AA509" t="e">
        <f t="shared" ca="1" si="154"/>
        <v>#N/A</v>
      </c>
      <c r="AB509" t="e">
        <f t="shared" ca="1" si="146"/>
        <v>#N/A</v>
      </c>
      <c r="AC509" t="e">
        <f t="shared" ca="1" si="147"/>
        <v>#N/A</v>
      </c>
      <c r="AD509" t="e">
        <f t="shared" ca="1" si="148"/>
        <v>#N/A</v>
      </c>
      <c r="AE509" s="83" t="e">
        <f ca="1"/>
        <v>#N/A</v>
      </c>
      <c r="AF509" s="55" t="e">
        <f t="shared" ca="1" si="149"/>
        <v>#N/A</v>
      </c>
      <c r="AG509" s="55" t="e">
        <f t="shared" ca="1" si="150"/>
        <v>#N/A</v>
      </c>
      <c r="AH509" s="55" t="e">
        <f t="shared" ca="1" si="151"/>
        <v>#N/A</v>
      </c>
      <c r="AI509" s="55" t="e">
        <f t="shared" ca="1" si="152"/>
        <v>#N/A</v>
      </c>
      <c r="AJ509" s="55" t="e">
        <f t="shared" ca="1" si="158"/>
        <v>#N/A</v>
      </c>
      <c r="AK509" s="55" t="e">
        <f t="shared" ca="1" si="159"/>
        <v>#N/A</v>
      </c>
      <c r="AL509" s="55" t="e">
        <f t="shared" ca="1" si="160"/>
        <v>#N/A</v>
      </c>
      <c r="AM509" s="55"/>
    </row>
    <row r="510" spans="18:39">
      <c r="R510" s="55" t="e">
        <f ca="1"/>
        <v>#N/A</v>
      </c>
      <c r="S510" s="55" t="e">
        <f t="shared" ca="1" si="142"/>
        <v>#N/A</v>
      </c>
      <c r="T510" s="55" t="e">
        <f t="shared" ca="1" si="143"/>
        <v>#N/A</v>
      </c>
      <c r="U510" s="55" t="e">
        <f t="shared" ca="1" si="144"/>
        <v>#N/A</v>
      </c>
      <c r="V510" s="55" t="e">
        <f t="shared" ca="1" si="145"/>
        <v>#N/A</v>
      </c>
      <c r="W510" s="55" t="e">
        <f t="shared" ca="1" si="155"/>
        <v>#N/A</v>
      </c>
      <c r="X510" s="55" t="e">
        <f t="shared" ca="1" si="156"/>
        <v>#N/A</v>
      </c>
      <c r="Y510" s="55" t="e">
        <f t="shared" ca="1" si="157"/>
        <v>#N/A</v>
      </c>
      <c r="Z510" s="55" t="e">
        <f t="shared" ca="1" si="153"/>
        <v>#N/A</v>
      </c>
      <c r="AA510" t="e">
        <f t="shared" ca="1" si="154"/>
        <v>#N/A</v>
      </c>
      <c r="AB510" t="e">
        <f t="shared" ca="1" si="146"/>
        <v>#N/A</v>
      </c>
      <c r="AC510" t="e">
        <f t="shared" ca="1" si="147"/>
        <v>#N/A</v>
      </c>
      <c r="AD510" t="e">
        <f t="shared" ca="1" si="148"/>
        <v>#N/A</v>
      </c>
      <c r="AE510" s="83" t="e">
        <f ca="1"/>
        <v>#N/A</v>
      </c>
      <c r="AF510" s="55" t="e">
        <f t="shared" ca="1" si="149"/>
        <v>#N/A</v>
      </c>
      <c r="AG510" s="55" t="e">
        <f t="shared" ca="1" si="150"/>
        <v>#N/A</v>
      </c>
      <c r="AH510" s="55" t="e">
        <f t="shared" ca="1" si="151"/>
        <v>#N/A</v>
      </c>
      <c r="AI510" s="55" t="e">
        <f t="shared" ca="1" si="152"/>
        <v>#N/A</v>
      </c>
      <c r="AJ510" s="55" t="e">
        <f t="shared" ca="1" si="158"/>
        <v>#N/A</v>
      </c>
      <c r="AK510" s="55" t="e">
        <f t="shared" ca="1" si="159"/>
        <v>#N/A</v>
      </c>
      <c r="AL510" s="55" t="e">
        <f t="shared" ca="1" si="160"/>
        <v>#N/A</v>
      </c>
      <c r="AM510" s="55"/>
    </row>
    <row r="511" spans="18:39">
      <c r="R511" s="55" t="e">
        <f ca="1"/>
        <v>#N/A</v>
      </c>
      <c r="S511" s="55" t="e">
        <f t="shared" ca="1" si="142"/>
        <v>#N/A</v>
      </c>
      <c r="T511" s="55" t="e">
        <f t="shared" ca="1" si="143"/>
        <v>#N/A</v>
      </c>
      <c r="U511" s="55" t="e">
        <f t="shared" ca="1" si="144"/>
        <v>#N/A</v>
      </c>
      <c r="V511" s="55" t="e">
        <f t="shared" ca="1" si="145"/>
        <v>#N/A</v>
      </c>
      <c r="W511" s="55" t="e">
        <f t="shared" ca="1" si="155"/>
        <v>#N/A</v>
      </c>
      <c r="X511" s="55" t="e">
        <f t="shared" ca="1" si="156"/>
        <v>#N/A</v>
      </c>
      <c r="Y511" s="55" t="e">
        <f t="shared" ca="1" si="157"/>
        <v>#N/A</v>
      </c>
      <c r="Z511" s="55" t="e">
        <f t="shared" ca="1" si="153"/>
        <v>#N/A</v>
      </c>
      <c r="AA511" t="e">
        <f t="shared" ca="1" si="154"/>
        <v>#N/A</v>
      </c>
      <c r="AB511" t="e">
        <f t="shared" ca="1" si="146"/>
        <v>#N/A</v>
      </c>
      <c r="AC511" t="e">
        <f t="shared" ca="1" si="147"/>
        <v>#N/A</v>
      </c>
      <c r="AD511" t="e">
        <f t="shared" ca="1" si="148"/>
        <v>#N/A</v>
      </c>
      <c r="AE511" s="83" t="e">
        <f ca="1"/>
        <v>#N/A</v>
      </c>
      <c r="AF511" s="55" t="e">
        <f t="shared" ca="1" si="149"/>
        <v>#N/A</v>
      </c>
      <c r="AG511" s="55" t="e">
        <f t="shared" ca="1" si="150"/>
        <v>#N/A</v>
      </c>
      <c r="AH511" s="55" t="e">
        <f t="shared" ca="1" si="151"/>
        <v>#N/A</v>
      </c>
      <c r="AI511" s="55" t="e">
        <f t="shared" ca="1" si="152"/>
        <v>#N/A</v>
      </c>
      <c r="AJ511" s="55" t="e">
        <f t="shared" ca="1" si="158"/>
        <v>#N/A</v>
      </c>
      <c r="AK511" s="55" t="e">
        <f t="shared" ca="1" si="159"/>
        <v>#N/A</v>
      </c>
      <c r="AL511" s="55" t="e">
        <f t="shared" ca="1" si="160"/>
        <v>#N/A</v>
      </c>
      <c r="AM511" s="55"/>
    </row>
    <row r="512" spans="18:39">
      <c r="R512" s="55" t="e">
        <f ca="1"/>
        <v>#N/A</v>
      </c>
      <c r="S512" s="55" t="e">
        <f t="shared" ca="1" si="142"/>
        <v>#N/A</v>
      </c>
      <c r="T512" s="55" t="e">
        <f t="shared" ca="1" si="143"/>
        <v>#N/A</v>
      </c>
      <c r="U512" s="55" t="e">
        <f t="shared" ca="1" si="144"/>
        <v>#N/A</v>
      </c>
      <c r="V512" s="55" t="e">
        <f t="shared" ca="1" si="145"/>
        <v>#N/A</v>
      </c>
      <c r="W512" s="55" t="e">
        <f t="shared" ca="1" si="155"/>
        <v>#N/A</v>
      </c>
      <c r="X512" s="55" t="e">
        <f t="shared" ca="1" si="156"/>
        <v>#N/A</v>
      </c>
      <c r="Y512" s="55" t="e">
        <f t="shared" ca="1" si="157"/>
        <v>#N/A</v>
      </c>
      <c r="Z512" s="55" t="e">
        <f t="shared" ca="1" si="153"/>
        <v>#N/A</v>
      </c>
      <c r="AA512" t="e">
        <f t="shared" ca="1" si="154"/>
        <v>#N/A</v>
      </c>
      <c r="AB512" t="e">
        <f t="shared" ca="1" si="146"/>
        <v>#N/A</v>
      </c>
      <c r="AC512" t="e">
        <f t="shared" ca="1" si="147"/>
        <v>#N/A</v>
      </c>
      <c r="AD512" t="e">
        <f t="shared" ca="1" si="148"/>
        <v>#N/A</v>
      </c>
      <c r="AE512" s="83" t="e">
        <f ca="1"/>
        <v>#N/A</v>
      </c>
      <c r="AF512" s="55" t="e">
        <f t="shared" ca="1" si="149"/>
        <v>#N/A</v>
      </c>
      <c r="AG512" s="55" t="e">
        <f t="shared" ca="1" si="150"/>
        <v>#N/A</v>
      </c>
      <c r="AH512" s="55" t="e">
        <f t="shared" ca="1" si="151"/>
        <v>#N/A</v>
      </c>
      <c r="AI512" s="55" t="e">
        <f t="shared" ca="1" si="152"/>
        <v>#N/A</v>
      </c>
      <c r="AJ512" s="55" t="e">
        <f t="shared" ca="1" si="158"/>
        <v>#N/A</v>
      </c>
      <c r="AK512" s="55" t="e">
        <f t="shared" ca="1" si="159"/>
        <v>#N/A</v>
      </c>
      <c r="AL512" s="55" t="e">
        <f t="shared" ca="1" si="160"/>
        <v>#N/A</v>
      </c>
      <c r="AM512" s="55"/>
    </row>
    <row r="513" spans="18:39">
      <c r="R513" s="55" t="e">
        <f ca="1"/>
        <v>#N/A</v>
      </c>
      <c r="S513" s="55" t="e">
        <f t="shared" ca="1" si="142"/>
        <v>#N/A</v>
      </c>
      <c r="T513" s="55" t="e">
        <f t="shared" ca="1" si="143"/>
        <v>#N/A</v>
      </c>
      <c r="U513" s="55" t="e">
        <f t="shared" ca="1" si="144"/>
        <v>#N/A</v>
      </c>
      <c r="V513" s="55" t="e">
        <f t="shared" ca="1" si="145"/>
        <v>#N/A</v>
      </c>
      <c r="W513" s="55" t="e">
        <f t="shared" ca="1" si="155"/>
        <v>#N/A</v>
      </c>
      <c r="X513" s="55" t="e">
        <f t="shared" ca="1" si="156"/>
        <v>#N/A</v>
      </c>
      <c r="Y513" s="55" t="e">
        <f t="shared" ca="1" si="157"/>
        <v>#N/A</v>
      </c>
      <c r="Z513" s="55" t="e">
        <f t="shared" ca="1" si="153"/>
        <v>#N/A</v>
      </c>
      <c r="AA513" t="e">
        <f t="shared" ca="1" si="154"/>
        <v>#N/A</v>
      </c>
      <c r="AB513" t="e">
        <f t="shared" ca="1" si="146"/>
        <v>#N/A</v>
      </c>
      <c r="AC513" t="e">
        <f t="shared" ca="1" si="147"/>
        <v>#N/A</v>
      </c>
      <c r="AD513" t="e">
        <f t="shared" ca="1" si="148"/>
        <v>#N/A</v>
      </c>
      <c r="AE513" s="83" t="e">
        <f ca="1"/>
        <v>#N/A</v>
      </c>
      <c r="AF513" s="55" t="e">
        <f t="shared" ca="1" si="149"/>
        <v>#N/A</v>
      </c>
      <c r="AG513" s="55" t="e">
        <f t="shared" ca="1" si="150"/>
        <v>#N/A</v>
      </c>
      <c r="AH513" s="55" t="e">
        <f t="shared" ca="1" si="151"/>
        <v>#N/A</v>
      </c>
      <c r="AI513" s="55" t="e">
        <f t="shared" ca="1" si="152"/>
        <v>#N/A</v>
      </c>
      <c r="AJ513" s="55" t="e">
        <f t="shared" ca="1" si="158"/>
        <v>#N/A</v>
      </c>
      <c r="AK513" s="55" t="e">
        <f t="shared" ca="1" si="159"/>
        <v>#N/A</v>
      </c>
      <c r="AL513" s="55" t="e">
        <f t="shared" ca="1" si="160"/>
        <v>#N/A</v>
      </c>
      <c r="AM513" s="55"/>
    </row>
    <row r="514" spans="18:39">
      <c r="R514" s="55" t="e">
        <f ca="1"/>
        <v>#N/A</v>
      </c>
      <c r="S514" s="55" t="e">
        <f t="shared" ca="1" si="142"/>
        <v>#N/A</v>
      </c>
      <c r="T514" s="55" t="e">
        <f t="shared" ca="1" si="143"/>
        <v>#N/A</v>
      </c>
      <c r="U514" s="55" t="e">
        <f t="shared" ca="1" si="144"/>
        <v>#N/A</v>
      </c>
      <c r="V514" s="55" t="e">
        <f t="shared" ca="1" si="145"/>
        <v>#N/A</v>
      </c>
      <c r="W514" s="55" t="e">
        <f t="shared" ca="1" si="155"/>
        <v>#N/A</v>
      </c>
      <c r="X514" s="55" t="e">
        <f t="shared" ca="1" si="156"/>
        <v>#N/A</v>
      </c>
      <c r="Y514" s="55" t="e">
        <f t="shared" ca="1" si="157"/>
        <v>#N/A</v>
      </c>
      <c r="Z514" s="55" t="e">
        <f t="shared" ca="1" si="153"/>
        <v>#N/A</v>
      </c>
      <c r="AA514" t="e">
        <f t="shared" ca="1" si="154"/>
        <v>#N/A</v>
      </c>
      <c r="AB514" t="e">
        <f t="shared" ca="1" si="146"/>
        <v>#N/A</v>
      </c>
      <c r="AC514" t="e">
        <f t="shared" ca="1" si="147"/>
        <v>#N/A</v>
      </c>
      <c r="AD514" t="e">
        <f t="shared" ca="1" si="148"/>
        <v>#N/A</v>
      </c>
      <c r="AE514" s="83" t="e">
        <f ca="1"/>
        <v>#N/A</v>
      </c>
      <c r="AF514" s="55" t="e">
        <f t="shared" ca="1" si="149"/>
        <v>#N/A</v>
      </c>
      <c r="AG514" s="55" t="e">
        <f t="shared" ca="1" si="150"/>
        <v>#N/A</v>
      </c>
      <c r="AH514" s="55" t="e">
        <f t="shared" ca="1" si="151"/>
        <v>#N/A</v>
      </c>
      <c r="AI514" s="55" t="e">
        <f t="shared" ca="1" si="152"/>
        <v>#N/A</v>
      </c>
      <c r="AJ514" s="55" t="e">
        <f t="shared" ca="1" si="158"/>
        <v>#N/A</v>
      </c>
      <c r="AK514" s="55" t="e">
        <f t="shared" ca="1" si="159"/>
        <v>#N/A</v>
      </c>
      <c r="AL514" s="55" t="e">
        <f t="shared" ca="1" si="160"/>
        <v>#N/A</v>
      </c>
      <c r="AM514" s="55"/>
    </row>
    <row r="515" spans="18:39">
      <c r="R515" s="55" t="e">
        <f ca="1"/>
        <v>#N/A</v>
      </c>
      <c r="S515" s="55" t="e">
        <f t="shared" ca="1" si="142"/>
        <v>#N/A</v>
      </c>
      <c r="T515" s="55" t="e">
        <f t="shared" ca="1" si="143"/>
        <v>#N/A</v>
      </c>
      <c r="U515" s="55" t="e">
        <f t="shared" ca="1" si="144"/>
        <v>#N/A</v>
      </c>
      <c r="V515" s="55" t="e">
        <f t="shared" ca="1" si="145"/>
        <v>#N/A</v>
      </c>
      <c r="W515" s="55" t="e">
        <f t="shared" ca="1" si="155"/>
        <v>#N/A</v>
      </c>
      <c r="X515" s="55" t="e">
        <f t="shared" ca="1" si="156"/>
        <v>#N/A</v>
      </c>
      <c r="Y515" s="55" t="e">
        <f t="shared" ca="1" si="157"/>
        <v>#N/A</v>
      </c>
      <c r="Z515" s="55" t="e">
        <f t="shared" ca="1" si="153"/>
        <v>#N/A</v>
      </c>
      <c r="AA515" t="e">
        <f t="shared" ca="1" si="154"/>
        <v>#N/A</v>
      </c>
      <c r="AB515" t="e">
        <f t="shared" ca="1" si="146"/>
        <v>#N/A</v>
      </c>
      <c r="AC515" t="e">
        <f t="shared" ca="1" si="147"/>
        <v>#N/A</v>
      </c>
      <c r="AD515" t="e">
        <f t="shared" ca="1" si="148"/>
        <v>#N/A</v>
      </c>
      <c r="AE515" s="83" t="e">
        <f ca="1"/>
        <v>#N/A</v>
      </c>
      <c r="AF515" s="55" t="e">
        <f t="shared" ca="1" si="149"/>
        <v>#N/A</v>
      </c>
      <c r="AG515" s="55" t="e">
        <f t="shared" ca="1" si="150"/>
        <v>#N/A</v>
      </c>
      <c r="AH515" s="55" t="e">
        <f t="shared" ca="1" si="151"/>
        <v>#N/A</v>
      </c>
      <c r="AI515" s="55" t="e">
        <f t="shared" ca="1" si="152"/>
        <v>#N/A</v>
      </c>
      <c r="AJ515" s="55" t="e">
        <f t="shared" ca="1" si="158"/>
        <v>#N/A</v>
      </c>
      <c r="AK515" s="55" t="e">
        <f t="shared" ca="1" si="159"/>
        <v>#N/A</v>
      </c>
      <c r="AL515" s="55" t="e">
        <f t="shared" ca="1" si="160"/>
        <v>#N/A</v>
      </c>
      <c r="AM515" s="55"/>
    </row>
    <row r="516" spans="18:39">
      <c r="R516" s="55" t="e">
        <f ca="1"/>
        <v>#N/A</v>
      </c>
      <c r="S516" s="55" t="e">
        <f t="shared" ca="1" si="142"/>
        <v>#N/A</v>
      </c>
      <c r="T516" s="55" t="e">
        <f t="shared" ca="1" si="143"/>
        <v>#N/A</v>
      </c>
      <c r="U516" s="55" t="e">
        <f t="shared" ca="1" si="144"/>
        <v>#N/A</v>
      </c>
      <c r="V516" s="55" t="e">
        <f t="shared" ca="1" si="145"/>
        <v>#N/A</v>
      </c>
      <c r="W516" s="55" t="e">
        <f t="shared" ca="1" si="155"/>
        <v>#N/A</v>
      </c>
      <c r="X516" s="55" t="e">
        <f t="shared" ca="1" si="156"/>
        <v>#N/A</v>
      </c>
      <c r="Y516" s="55" t="e">
        <f t="shared" ca="1" si="157"/>
        <v>#N/A</v>
      </c>
      <c r="Z516" s="55" t="e">
        <f t="shared" ca="1" si="153"/>
        <v>#N/A</v>
      </c>
      <c r="AA516" t="e">
        <f t="shared" ca="1" si="154"/>
        <v>#N/A</v>
      </c>
      <c r="AB516" t="e">
        <f t="shared" ca="1" si="146"/>
        <v>#N/A</v>
      </c>
      <c r="AC516" t="e">
        <f t="shared" ca="1" si="147"/>
        <v>#N/A</v>
      </c>
      <c r="AD516" t="e">
        <f t="shared" ca="1" si="148"/>
        <v>#N/A</v>
      </c>
      <c r="AE516" s="83" t="e">
        <f ca="1"/>
        <v>#N/A</v>
      </c>
      <c r="AF516" s="55" t="e">
        <f t="shared" ca="1" si="149"/>
        <v>#N/A</v>
      </c>
      <c r="AG516" s="55" t="e">
        <f t="shared" ca="1" si="150"/>
        <v>#N/A</v>
      </c>
      <c r="AH516" s="55" t="e">
        <f t="shared" ca="1" si="151"/>
        <v>#N/A</v>
      </c>
      <c r="AI516" s="55" t="e">
        <f t="shared" ca="1" si="152"/>
        <v>#N/A</v>
      </c>
      <c r="AJ516" s="55" t="e">
        <f t="shared" ca="1" si="158"/>
        <v>#N/A</v>
      </c>
      <c r="AK516" s="55" t="e">
        <f t="shared" ca="1" si="159"/>
        <v>#N/A</v>
      </c>
      <c r="AL516" s="55" t="e">
        <f t="shared" ca="1" si="160"/>
        <v>#N/A</v>
      </c>
      <c r="AM516" s="55"/>
    </row>
    <row r="517" spans="18:39">
      <c r="R517" s="55" t="e">
        <f ca="1"/>
        <v>#N/A</v>
      </c>
      <c r="S517" s="55" t="e">
        <f t="shared" ca="1" si="142"/>
        <v>#N/A</v>
      </c>
      <c r="T517" s="55" t="e">
        <f t="shared" ca="1" si="143"/>
        <v>#N/A</v>
      </c>
      <c r="U517" s="55" t="e">
        <f t="shared" ca="1" si="144"/>
        <v>#N/A</v>
      </c>
      <c r="V517" s="55" t="e">
        <f t="shared" ca="1" si="145"/>
        <v>#N/A</v>
      </c>
      <c r="W517" s="55" t="e">
        <f t="shared" ca="1" si="155"/>
        <v>#N/A</v>
      </c>
      <c r="X517" s="55" t="e">
        <f t="shared" ca="1" si="156"/>
        <v>#N/A</v>
      </c>
      <c r="Y517" s="55" t="e">
        <f t="shared" ca="1" si="157"/>
        <v>#N/A</v>
      </c>
      <c r="Z517" s="55" t="e">
        <f t="shared" ca="1" si="153"/>
        <v>#N/A</v>
      </c>
      <c r="AA517" t="e">
        <f t="shared" ca="1" si="154"/>
        <v>#N/A</v>
      </c>
      <c r="AB517" t="e">
        <f t="shared" ca="1" si="146"/>
        <v>#N/A</v>
      </c>
      <c r="AC517" t="e">
        <f t="shared" ca="1" si="147"/>
        <v>#N/A</v>
      </c>
      <c r="AD517" t="e">
        <f t="shared" ca="1" si="148"/>
        <v>#N/A</v>
      </c>
      <c r="AE517" s="83" t="e">
        <f ca="1"/>
        <v>#N/A</v>
      </c>
      <c r="AF517" s="55" t="e">
        <f t="shared" ca="1" si="149"/>
        <v>#N/A</v>
      </c>
      <c r="AG517" s="55" t="e">
        <f t="shared" ca="1" si="150"/>
        <v>#N/A</v>
      </c>
      <c r="AH517" s="55" t="e">
        <f t="shared" ca="1" si="151"/>
        <v>#N/A</v>
      </c>
      <c r="AI517" s="55" t="e">
        <f t="shared" ca="1" si="152"/>
        <v>#N/A</v>
      </c>
      <c r="AJ517" s="55" t="e">
        <f t="shared" ca="1" si="158"/>
        <v>#N/A</v>
      </c>
      <c r="AK517" s="55" t="e">
        <f t="shared" ca="1" si="159"/>
        <v>#N/A</v>
      </c>
      <c r="AL517" s="55" t="e">
        <f t="shared" ca="1" si="160"/>
        <v>#N/A</v>
      </c>
      <c r="AM517" s="55"/>
    </row>
    <row r="518" spans="18:39">
      <c r="R518" s="55" t="e">
        <f ca="1"/>
        <v>#N/A</v>
      </c>
      <c r="S518" s="55" t="e">
        <f t="shared" ca="1" si="142"/>
        <v>#N/A</v>
      </c>
      <c r="T518" s="55" t="e">
        <f t="shared" ca="1" si="143"/>
        <v>#N/A</v>
      </c>
      <c r="U518" s="55" t="e">
        <f t="shared" ca="1" si="144"/>
        <v>#N/A</v>
      </c>
      <c r="V518" s="55" t="e">
        <f t="shared" ca="1" si="145"/>
        <v>#N/A</v>
      </c>
      <c r="W518" s="55" t="e">
        <f t="shared" ca="1" si="155"/>
        <v>#N/A</v>
      </c>
      <c r="X518" s="55" t="e">
        <f t="shared" ca="1" si="156"/>
        <v>#N/A</v>
      </c>
      <c r="Y518" s="55" t="e">
        <f t="shared" ca="1" si="157"/>
        <v>#N/A</v>
      </c>
      <c r="Z518" s="55" t="e">
        <f t="shared" ca="1" si="153"/>
        <v>#N/A</v>
      </c>
      <c r="AA518" t="e">
        <f t="shared" ca="1" si="154"/>
        <v>#N/A</v>
      </c>
      <c r="AB518" t="e">
        <f t="shared" ca="1" si="146"/>
        <v>#N/A</v>
      </c>
      <c r="AC518" t="e">
        <f t="shared" ca="1" si="147"/>
        <v>#N/A</v>
      </c>
      <c r="AD518" t="e">
        <f t="shared" ca="1" si="148"/>
        <v>#N/A</v>
      </c>
      <c r="AE518" s="83" t="e">
        <f ca="1"/>
        <v>#N/A</v>
      </c>
      <c r="AF518" s="55" t="e">
        <f t="shared" ca="1" si="149"/>
        <v>#N/A</v>
      </c>
      <c r="AG518" s="55" t="e">
        <f t="shared" ca="1" si="150"/>
        <v>#N/A</v>
      </c>
      <c r="AH518" s="55" t="e">
        <f t="shared" ca="1" si="151"/>
        <v>#N/A</v>
      </c>
      <c r="AI518" s="55" t="e">
        <f t="shared" ca="1" si="152"/>
        <v>#N/A</v>
      </c>
      <c r="AJ518" s="55" t="e">
        <f t="shared" ca="1" si="158"/>
        <v>#N/A</v>
      </c>
      <c r="AK518" s="55" t="e">
        <f t="shared" ca="1" si="159"/>
        <v>#N/A</v>
      </c>
      <c r="AL518" s="55" t="e">
        <f t="shared" ca="1" si="160"/>
        <v>#N/A</v>
      </c>
      <c r="AM518" s="55"/>
    </row>
    <row r="519" spans="18:39">
      <c r="R519" s="55" t="e">
        <f ca="1"/>
        <v>#N/A</v>
      </c>
      <c r="S519" s="55" t="e">
        <f t="shared" ca="1" si="142"/>
        <v>#N/A</v>
      </c>
      <c r="T519" s="55" t="e">
        <f t="shared" ca="1" si="143"/>
        <v>#N/A</v>
      </c>
      <c r="U519" s="55" t="e">
        <f t="shared" ca="1" si="144"/>
        <v>#N/A</v>
      </c>
      <c r="V519" s="55" t="e">
        <f t="shared" ca="1" si="145"/>
        <v>#N/A</v>
      </c>
      <c r="W519" s="55" t="e">
        <f t="shared" ca="1" si="155"/>
        <v>#N/A</v>
      </c>
      <c r="X519" s="55" t="e">
        <f t="shared" ca="1" si="156"/>
        <v>#N/A</v>
      </c>
      <c r="Y519" s="55" t="e">
        <f t="shared" ca="1" si="157"/>
        <v>#N/A</v>
      </c>
      <c r="Z519" s="55" t="e">
        <f t="shared" ca="1" si="153"/>
        <v>#N/A</v>
      </c>
      <c r="AA519" t="e">
        <f t="shared" ca="1" si="154"/>
        <v>#N/A</v>
      </c>
      <c r="AB519" t="e">
        <f t="shared" ca="1" si="146"/>
        <v>#N/A</v>
      </c>
      <c r="AC519" t="e">
        <f t="shared" ca="1" si="147"/>
        <v>#N/A</v>
      </c>
      <c r="AD519" t="e">
        <f t="shared" ca="1" si="148"/>
        <v>#N/A</v>
      </c>
      <c r="AE519" s="83" t="e">
        <f ca="1"/>
        <v>#N/A</v>
      </c>
      <c r="AF519" s="55" t="e">
        <f t="shared" ca="1" si="149"/>
        <v>#N/A</v>
      </c>
      <c r="AG519" s="55" t="e">
        <f t="shared" ca="1" si="150"/>
        <v>#N/A</v>
      </c>
      <c r="AH519" s="55" t="e">
        <f t="shared" ca="1" si="151"/>
        <v>#N/A</v>
      </c>
      <c r="AI519" s="55" t="e">
        <f t="shared" ca="1" si="152"/>
        <v>#N/A</v>
      </c>
      <c r="AJ519" s="55" t="e">
        <f t="shared" ca="1" si="158"/>
        <v>#N/A</v>
      </c>
      <c r="AK519" s="55" t="e">
        <f t="shared" ca="1" si="159"/>
        <v>#N/A</v>
      </c>
      <c r="AL519" s="55" t="e">
        <f t="shared" ca="1" si="160"/>
        <v>#N/A</v>
      </c>
      <c r="AM519" s="55"/>
    </row>
    <row r="520" spans="18:39">
      <c r="R520" s="55" t="e">
        <f ca="1"/>
        <v>#N/A</v>
      </c>
      <c r="S520" s="55" t="e">
        <f t="shared" ca="1" si="142"/>
        <v>#N/A</v>
      </c>
      <c r="T520" s="55" t="e">
        <f t="shared" ca="1" si="143"/>
        <v>#N/A</v>
      </c>
      <c r="U520" s="55" t="e">
        <f t="shared" ca="1" si="144"/>
        <v>#N/A</v>
      </c>
      <c r="V520" s="55" t="e">
        <f t="shared" ca="1" si="145"/>
        <v>#N/A</v>
      </c>
      <c r="W520" s="55" t="e">
        <f t="shared" ca="1" si="155"/>
        <v>#N/A</v>
      </c>
      <c r="X520" s="55" t="e">
        <f t="shared" ca="1" si="156"/>
        <v>#N/A</v>
      </c>
      <c r="Y520" s="55" t="e">
        <f t="shared" ca="1" si="157"/>
        <v>#N/A</v>
      </c>
      <c r="Z520" s="55" t="e">
        <f t="shared" ca="1" si="153"/>
        <v>#N/A</v>
      </c>
      <c r="AA520" t="e">
        <f t="shared" ca="1" si="154"/>
        <v>#N/A</v>
      </c>
      <c r="AB520" t="e">
        <f t="shared" ca="1" si="146"/>
        <v>#N/A</v>
      </c>
      <c r="AC520" t="e">
        <f t="shared" ca="1" si="147"/>
        <v>#N/A</v>
      </c>
      <c r="AD520" t="e">
        <f t="shared" ca="1" si="148"/>
        <v>#N/A</v>
      </c>
      <c r="AE520" s="83" t="e">
        <f ca="1"/>
        <v>#N/A</v>
      </c>
      <c r="AF520" s="55" t="e">
        <f t="shared" ca="1" si="149"/>
        <v>#N/A</v>
      </c>
      <c r="AG520" s="55" t="e">
        <f t="shared" ca="1" si="150"/>
        <v>#N/A</v>
      </c>
      <c r="AH520" s="55" t="e">
        <f t="shared" ca="1" si="151"/>
        <v>#N/A</v>
      </c>
      <c r="AI520" s="55" t="e">
        <f t="shared" ca="1" si="152"/>
        <v>#N/A</v>
      </c>
      <c r="AJ520" s="55" t="e">
        <f t="shared" ca="1" si="158"/>
        <v>#N/A</v>
      </c>
      <c r="AK520" s="55" t="e">
        <f t="shared" ca="1" si="159"/>
        <v>#N/A</v>
      </c>
      <c r="AL520" s="55" t="e">
        <f t="shared" ca="1" si="160"/>
        <v>#N/A</v>
      </c>
      <c r="AM520" s="55"/>
    </row>
    <row r="521" spans="18:39">
      <c r="R521" s="55" t="e">
        <f ca="1"/>
        <v>#N/A</v>
      </c>
      <c r="S521" s="55" t="e">
        <f t="shared" ca="1" si="142"/>
        <v>#N/A</v>
      </c>
      <c r="T521" s="55" t="e">
        <f t="shared" ca="1" si="143"/>
        <v>#N/A</v>
      </c>
      <c r="U521" s="55" t="e">
        <f t="shared" ca="1" si="144"/>
        <v>#N/A</v>
      </c>
      <c r="V521" s="55" t="e">
        <f t="shared" ca="1" si="145"/>
        <v>#N/A</v>
      </c>
      <c r="W521" s="55" t="e">
        <f t="shared" ca="1" si="155"/>
        <v>#N/A</v>
      </c>
      <c r="X521" s="55" t="e">
        <f t="shared" ca="1" si="156"/>
        <v>#N/A</v>
      </c>
      <c r="Y521" s="55" t="e">
        <f t="shared" ca="1" si="157"/>
        <v>#N/A</v>
      </c>
      <c r="Z521" s="55" t="e">
        <f t="shared" ca="1" si="153"/>
        <v>#N/A</v>
      </c>
      <c r="AA521" t="e">
        <f t="shared" ca="1" si="154"/>
        <v>#N/A</v>
      </c>
      <c r="AB521" t="e">
        <f t="shared" ca="1" si="146"/>
        <v>#N/A</v>
      </c>
      <c r="AC521" t="e">
        <f t="shared" ca="1" si="147"/>
        <v>#N/A</v>
      </c>
      <c r="AD521" t="e">
        <f t="shared" ca="1" si="148"/>
        <v>#N/A</v>
      </c>
      <c r="AE521" s="83" t="e">
        <f ca="1"/>
        <v>#N/A</v>
      </c>
      <c r="AF521" s="55" t="e">
        <f t="shared" ca="1" si="149"/>
        <v>#N/A</v>
      </c>
      <c r="AG521" s="55" t="e">
        <f t="shared" ca="1" si="150"/>
        <v>#N/A</v>
      </c>
      <c r="AH521" s="55" t="e">
        <f t="shared" ca="1" si="151"/>
        <v>#N/A</v>
      </c>
      <c r="AI521" s="55" t="e">
        <f t="shared" ca="1" si="152"/>
        <v>#N/A</v>
      </c>
      <c r="AJ521" s="55" t="e">
        <f t="shared" ca="1" si="158"/>
        <v>#N/A</v>
      </c>
      <c r="AK521" s="55" t="e">
        <f t="shared" ca="1" si="159"/>
        <v>#N/A</v>
      </c>
      <c r="AL521" s="55" t="e">
        <f t="shared" ca="1" si="160"/>
        <v>#N/A</v>
      </c>
      <c r="AM521" s="55"/>
    </row>
    <row r="522" spans="18:39">
      <c r="R522" s="55" t="e">
        <f ca="1"/>
        <v>#N/A</v>
      </c>
      <c r="S522" s="55" t="e">
        <f t="shared" ca="1" si="142"/>
        <v>#N/A</v>
      </c>
      <c r="T522" s="55" t="e">
        <f t="shared" ca="1" si="143"/>
        <v>#N/A</v>
      </c>
      <c r="U522" s="55" t="e">
        <f t="shared" ca="1" si="144"/>
        <v>#N/A</v>
      </c>
      <c r="V522" s="55" t="e">
        <f t="shared" ca="1" si="145"/>
        <v>#N/A</v>
      </c>
      <c r="W522" s="55" t="e">
        <f t="shared" ca="1" si="155"/>
        <v>#N/A</v>
      </c>
      <c r="X522" s="55" t="e">
        <f t="shared" ca="1" si="156"/>
        <v>#N/A</v>
      </c>
      <c r="Y522" s="55" t="e">
        <f t="shared" ca="1" si="157"/>
        <v>#N/A</v>
      </c>
      <c r="Z522" s="55" t="e">
        <f t="shared" ca="1" si="153"/>
        <v>#N/A</v>
      </c>
      <c r="AA522" t="e">
        <f t="shared" ca="1" si="154"/>
        <v>#N/A</v>
      </c>
      <c r="AB522" t="e">
        <f t="shared" ca="1" si="146"/>
        <v>#N/A</v>
      </c>
      <c r="AC522" t="e">
        <f t="shared" ca="1" si="147"/>
        <v>#N/A</v>
      </c>
      <c r="AD522" t="e">
        <f t="shared" ca="1" si="148"/>
        <v>#N/A</v>
      </c>
      <c r="AE522" s="83" t="e">
        <f ca="1"/>
        <v>#N/A</v>
      </c>
      <c r="AF522" s="55" t="e">
        <f t="shared" ca="1" si="149"/>
        <v>#N/A</v>
      </c>
      <c r="AG522" s="55" t="e">
        <f t="shared" ca="1" si="150"/>
        <v>#N/A</v>
      </c>
      <c r="AH522" s="55" t="e">
        <f t="shared" ca="1" si="151"/>
        <v>#N/A</v>
      </c>
      <c r="AI522" s="55" t="e">
        <f t="shared" ca="1" si="152"/>
        <v>#N/A</v>
      </c>
      <c r="AJ522" s="55" t="e">
        <f t="shared" ca="1" si="158"/>
        <v>#N/A</v>
      </c>
      <c r="AK522" s="55" t="e">
        <f t="shared" ca="1" si="159"/>
        <v>#N/A</v>
      </c>
      <c r="AL522" s="55" t="e">
        <f t="shared" ca="1" si="160"/>
        <v>#N/A</v>
      </c>
      <c r="AM522" s="55"/>
    </row>
    <row r="523" spans="18:39">
      <c r="R523" s="55" t="e">
        <f ca="1"/>
        <v>#N/A</v>
      </c>
      <c r="S523" s="55" t="e">
        <f t="shared" ca="1" si="142"/>
        <v>#N/A</v>
      </c>
      <c r="T523" s="55" t="e">
        <f t="shared" ca="1" si="143"/>
        <v>#N/A</v>
      </c>
      <c r="U523" s="55" t="e">
        <f t="shared" ca="1" si="144"/>
        <v>#N/A</v>
      </c>
      <c r="V523" s="55" t="e">
        <f t="shared" ca="1" si="145"/>
        <v>#N/A</v>
      </c>
      <c r="W523" s="55" t="e">
        <f t="shared" ca="1" si="155"/>
        <v>#N/A</v>
      </c>
      <c r="X523" s="55" t="e">
        <f t="shared" ca="1" si="156"/>
        <v>#N/A</v>
      </c>
      <c r="Y523" s="55" t="e">
        <f t="shared" ca="1" si="157"/>
        <v>#N/A</v>
      </c>
      <c r="Z523" s="55" t="e">
        <f t="shared" ca="1" si="153"/>
        <v>#N/A</v>
      </c>
      <c r="AA523" t="e">
        <f t="shared" ca="1" si="154"/>
        <v>#N/A</v>
      </c>
      <c r="AB523" t="e">
        <f t="shared" ca="1" si="146"/>
        <v>#N/A</v>
      </c>
      <c r="AC523" t="e">
        <f t="shared" ca="1" si="147"/>
        <v>#N/A</v>
      </c>
      <c r="AD523" t="e">
        <f t="shared" ca="1" si="148"/>
        <v>#N/A</v>
      </c>
      <c r="AE523" s="83" t="e">
        <f ca="1"/>
        <v>#N/A</v>
      </c>
      <c r="AF523" s="55" t="e">
        <f t="shared" ca="1" si="149"/>
        <v>#N/A</v>
      </c>
      <c r="AG523" s="55" t="e">
        <f t="shared" ca="1" si="150"/>
        <v>#N/A</v>
      </c>
      <c r="AH523" s="55" t="e">
        <f t="shared" ca="1" si="151"/>
        <v>#N/A</v>
      </c>
      <c r="AI523" s="55" t="e">
        <f t="shared" ca="1" si="152"/>
        <v>#N/A</v>
      </c>
      <c r="AJ523" s="55" t="e">
        <f t="shared" ca="1" si="158"/>
        <v>#N/A</v>
      </c>
      <c r="AK523" s="55" t="e">
        <f t="shared" ca="1" si="159"/>
        <v>#N/A</v>
      </c>
      <c r="AL523" s="55" t="e">
        <f t="shared" ca="1" si="160"/>
        <v>#N/A</v>
      </c>
      <c r="AM523" s="55"/>
    </row>
    <row r="524" spans="18:39">
      <c r="R524" s="55" t="e">
        <f ca="1"/>
        <v>#N/A</v>
      </c>
      <c r="S524" s="55" t="e">
        <f t="shared" ref="S524:S587" ca="1" si="161">IF(R524&gt;1,R524,"")</f>
        <v>#N/A</v>
      </c>
      <c r="T524" s="55" t="e">
        <f t="shared" ref="T524:T587" ca="1" si="162">VLOOKUP(S524,ModelOutputs,2,FALSE)</f>
        <v>#N/A</v>
      </c>
      <c r="U524" s="55" t="e">
        <f t="shared" ref="U524:U587" ca="1" si="163">VLOOKUP(S524,ModelOutputs,7,FALSE)</f>
        <v>#N/A</v>
      </c>
      <c r="V524" s="55" t="e">
        <f t="shared" ref="V524:V587" ca="1" si="164">VLOOKUP(S524,ModelOutputs,6,FALSE)</f>
        <v>#N/A</v>
      </c>
      <c r="W524" s="55" t="e">
        <f t="shared" ca="1" si="155"/>
        <v>#N/A</v>
      </c>
      <c r="X524" s="55" t="e">
        <f t="shared" ca="1" si="156"/>
        <v>#N/A</v>
      </c>
      <c r="Y524" s="55" t="e">
        <f t="shared" ca="1" si="157"/>
        <v>#N/A</v>
      </c>
      <c r="Z524" s="55" t="e">
        <f t="shared" ca="1" si="153"/>
        <v>#N/A</v>
      </c>
      <c r="AA524" t="e">
        <f t="shared" ca="1" si="154"/>
        <v>#N/A</v>
      </c>
      <c r="AB524" t="e">
        <f t="shared" ref="AB524:AB587" ca="1" si="165">VLOOKUP(S524,ModelOutputs,11,FALSE)+AB523</f>
        <v>#N/A</v>
      </c>
      <c r="AC524" t="e">
        <f t="shared" ref="AC524:AC587" ca="1" si="166">VLOOKUP(S524,ModelOutputs,12,FALSE)</f>
        <v>#N/A</v>
      </c>
      <c r="AD524" t="e">
        <f t="shared" ref="AD524:AD587" ca="1" si="167">VLOOKUP(S524,ModelOutputs,13,FALSE)</f>
        <v>#N/A</v>
      </c>
      <c r="AE524" s="83" t="e">
        <f ca="1"/>
        <v>#N/A</v>
      </c>
      <c r="AF524" s="55" t="e">
        <f t="shared" ref="AF524:AF587" ca="1" si="168">IF(AE524&gt;1,AE524,"")</f>
        <v>#N/A</v>
      </c>
      <c r="AG524" s="55" t="e">
        <f t="shared" ref="AG524:AG587" ca="1" si="169">VLOOKUP(AF524,ModelOutputs,2,FALSE)</f>
        <v>#N/A</v>
      </c>
      <c r="AH524" s="55" t="e">
        <f t="shared" ref="AH524:AH587" ca="1" si="170">VLOOKUP(AF524,ModelOutputs,7,FALSE)</f>
        <v>#N/A</v>
      </c>
      <c r="AI524" s="55" t="e">
        <f t="shared" ref="AI524:AI587" ca="1" si="171">VLOOKUP(AF524,ModelOutputs,6,FALSE)</f>
        <v>#N/A</v>
      </c>
      <c r="AJ524" s="55" t="e">
        <f t="shared" ca="1" si="158"/>
        <v>#N/A</v>
      </c>
      <c r="AK524" s="55" t="e">
        <f t="shared" ca="1" si="159"/>
        <v>#N/A</v>
      </c>
      <c r="AL524" s="55" t="e">
        <f t="shared" ca="1" si="160"/>
        <v>#N/A</v>
      </c>
      <c r="AM524" s="55"/>
    </row>
    <row r="525" spans="18:39">
      <c r="R525" s="55" t="e">
        <f ca="1"/>
        <v>#N/A</v>
      </c>
      <c r="S525" s="55" t="e">
        <f t="shared" ca="1" si="161"/>
        <v>#N/A</v>
      </c>
      <c r="T525" s="55" t="e">
        <f t="shared" ca="1" si="162"/>
        <v>#N/A</v>
      </c>
      <c r="U525" s="55" t="e">
        <f t="shared" ca="1" si="163"/>
        <v>#N/A</v>
      </c>
      <c r="V525" s="55" t="e">
        <f t="shared" ca="1" si="164"/>
        <v>#N/A</v>
      </c>
      <c r="W525" s="55" t="e">
        <f t="shared" ca="1" si="155"/>
        <v>#N/A</v>
      </c>
      <c r="X525" s="55" t="e">
        <f t="shared" ca="1" si="156"/>
        <v>#N/A</v>
      </c>
      <c r="Y525" s="55" t="e">
        <f t="shared" ca="1" si="157"/>
        <v>#N/A</v>
      </c>
      <c r="Z525" s="55" t="e">
        <f t="shared" ca="1" si="153"/>
        <v>#N/A</v>
      </c>
      <c r="AA525" t="e">
        <f t="shared" ca="1" si="154"/>
        <v>#N/A</v>
      </c>
      <c r="AB525" t="e">
        <f t="shared" ca="1" si="165"/>
        <v>#N/A</v>
      </c>
      <c r="AC525" t="e">
        <f t="shared" ca="1" si="166"/>
        <v>#N/A</v>
      </c>
      <c r="AD525" t="e">
        <f t="shared" ca="1" si="167"/>
        <v>#N/A</v>
      </c>
      <c r="AE525" s="83" t="e">
        <f ca="1"/>
        <v>#N/A</v>
      </c>
      <c r="AF525" s="55" t="e">
        <f t="shared" ca="1" si="168"/>
        <v>#N/A</v>
      </c>
      <c r="AG525" s="55" t="e">
        <f t="shared" ca="1" si="169"/>
        <v>#N/A</v>
      </c>
      <c r="AH525" s="55" t="e">
        <f t="shared" ca="1" si="170"/>
        <v>#N/A</v>
      </c>
      <c r="AI525" s="55" t="e">
        <f t="shared" ca="1" si="171"/>
        <v>#N/A</v>
      </c>
      <c r="AJ525" s="55" t="e">
        <f t="shared" ca="1" si="158"/>
        <v>#N/A</v>
      </c>
      <c r="AK525" s="55" t="e">
        <f t="shared" ca="1" si="159"/>
        <v>#N/A</v>
      </c>
      <c r="AL525" s="55" t="e">
        <f t="shared" ca="1" si="160"/>
        <v>#N/A</v>
      </c>
      <c r="AM525" s="55"/>
    </row>
    <row r="526" spans="18:39">
      <c r="R526" s="55" t="e">
        <f ca="1"/>
        <v>#N/A</v>
      </c>
      <c r="S526" s="55" t="e">
        <f t="shared" ca="1" si="161"/>
        <v>#N/A</v>
      </c>
      <c r="T526" s="55" t="e">
        <f t="shared" ca="1" si="162"/>
        <v>#N/A</v>
      </c>
      <c r="U526" s="55" t="e">
        <f t="shared" ca="1" si="163"/>
        <v>#N/A</v>
      </c>
      <c r="V526" s="55" t="e">
        <f t="shared" ca="1" si="164"/>
        <v>#N/A</v>
      </c>
      <c r="W526" s="55" t="e">
        <f t="shared" ca="1" si="155"/>
        <v>#N/A</v>
      </c>
      <c r="X526" s="55" t="e">
        <f t="shared" ca="1" si="156"/>
        <v>#N/A</v>
      </c>
      <c r="Y526" s="55" t="e">
        <f t="shared" ca="1" si="157"/>
        <v>#N/A</v>
      </c>
      <c r="Z526" s="55" t="e">
        <f t="shared" ca="1" si="153"/>
        <v>#N/A</v>
      </c>
      <c r="AA526" t="e">
        <f t="shared" ca="1" si="154"/>
        <v>#N/A</v>
      </c>
      <c r="AB526" t="e">
        <f t="shared" ca="1" si="165"/>
        <v>#N/A</v>
      </c>
      <c r="AC526" t="e">
        <f t="shared" ca="1" si="166"/>
        <v>#N/A</v>
      </c>
      <c r="AD526" t="e">
        <f t="shared" ca="1" si="167"/>
        <v>#N/A</v>
      </c>
      <c r="AE526" s="83" t="e">
        <f ca="1"/>
        <v>#N/A</v>
      </c>
      <c r="AF526" s="55" t="e">
        <f t="shared" ca="1" si="168"/>
        <v>#N/A</v>
      </c>
      <c r="AG526" s="55" t="e">
        <f t="shared" ca="1" si="169"/>
        <v>#N/A</v>
      </c>
      <c r="AH526" s="55" t="e">
        <f t="shared" ca="1" si="170"/>
        <v>#N/A</v>
      </c>
      <c r="AI526" s="55" t="e">
        <f t="shared" ca="1" si="171"/>
        <v>#N/A</v>
      </c>
      <c r="AJ526" s="55" t="e">
        <f t="shared" ca="1" si="158"/>
        <v>#N/A</v>
      </c>
      <c r="AK526" s="55" t="e">
        <f t="shared" ca="1" si="159"/>
        <v>#N/A</v>
      </c>
      <c r="AL526" s="55" t="e">
        <f t="shared" ca="1" si="160"/>
        <v>#N/A</v>
      </c>
      <c r="AM526" s="55"/>
    </row>
    <row r="527" spans="18:39">
      <c r="R527" s="55" t="e">
        <f ca="1"/>
        <v>#N/A</v>
      </c>
      <c r="S527" s="55" t="e">
        <f t="shared" ca="1" si="161"/>
        <v>#N/A</v>
      </c>
      <c r="T527" s="55" t="e">
        <f t="shared" ca="1" si="162"/>
        <v>#N/A</v>
      </c>
      <c r="U527" s="55" t="e">
        <f t="shared" ca="1" si="163"/>
        <v>#N/A</v>
      </c>
      <c r="V527" s="55" t="e">
        <f t="shared" ca="1" si="164"/>
        <v>#N/A</v>
      </c>
      <c r="W527" s="55" t="e">
        <f t="shared" ca="1" si="155"/>
        <v>#N/A</v>
      </c>
      <c r="X527" s="55" t="e">
        <f t="shared" ca="1" si="156"/>
        <v>#N/A</v>
      </c>
      <c r="Y527" s="55" t="e">
        <f t="shared" ca="1" si="157"/>
        <v>#N/A</v>
      </c>
      <c r="Z527" s="55" t="e">
        <f t="shared" ca="1" si="153"/>
        <v>#N/A</v>
      </c>
      <c r="AA527" t="e">
        <f t="shared" ca="1" si="154"/>
        <v>#N/A</v>
      </c>
      <c r="AB527" t="e">
        <f t="shared" ca="1" si="165"/>
        <v>#N/A</v>
      </c>
      <c r="AC527" t="e">
        <f t="shared" ca="1" si="166"/>
        <v>#N/A</v>
      </c>
      <c r="AD527" t="e">
        <f t="shared" ca="1" si="167"/>
        <v>#N/A</v>
      </c>
      <c r="AE527" s="83" t="e">
        <f ca="1"/>
        <v>#N/A</v>
      </c>
      <c r="AF527" s="55" t="e">
        <f t="shared" ca="1" si="168"/>
        <v>#N/A</v>
      </c>
      <c r="AG527" s="55" t="e">
        <f t="shared" ca="1" si="169"/>
        <v>#N/A</v>
      </c>
      <c r="AH527" s="55" t="e">
        <f t="shared" ca="1" si="170"/>
        <v>#N/A</v>
      </c>
      <c r="AI527" s="55" t="e">
        <f t="shared" ca="1" si="171"/>
        <v>#N/A</v>
      </c>
      <c r="AJ527" s="55" t="e">
        <f t="shared" ca="1" si="158"/>
        <v>#N/A</v>
      </c>
      <c r="AK527" s="55" t="e">
        <f t="shared" ca="1" si="159"/>
        <v>#N/A</v>
      </c>
      <c r="AL527" s="55" t="e">
        <f t="shared" ca="1" si="160"/>
        <v>#N/A</v>
      </c>
      <c r="AM527" s="55"/>
    </row>
    <row r="528" spans="18:39">
      <c r="R528" s="55" t="e">
        <f ca="1"/>
        <v>#N/A</v>
      </c>
      <c r="S528" s="55" t="e">
        <f t="shared" ca="1" si="161"/>
        <v>#N/A</v>
      </c>
      <c r="T528" s="55" t="e">
        <f t="shared" ca="1" si="162"/>
        <v>#N/A</v>
      </c>
      <c r="U528" s="55" t="e">
        <f t="shared" ca="1" si="163"/>
        <v>#N/A</v>
      </c>
      <c r="V528" s="55" t="e">
        <f t="shared" ca="1" si="164"/>
        <v>#N/A</v>
      </c>
      <c r="W528" s="55" t="e">
        <f t="shared" ca="1" si="155"/>
        <v>#N/A</v>
      </c>
      <c r="X528" s="55" t="e">
        <f t="shared" ca="1" si="156"/>
        <v>#N/A</v>
      </c>
      <c r="Y528" s="55" t="e">
        <f t="shared" ca="1" si="157"/>
        <v>#N/A</v>
      </c>
      <c r="Z528" s="55" t="e">
        <f t="shared" ca="1" si="153"/>
        <v>#N/A</v>
      </c>
      <c r="AA528" t="e">
        <f t="shared" ca="1" si="154"/>
        <v>#N/A</v>
      </c>
      <c r="AB528" t="e">
        <f t="shared" ca="1" si="165"/>
        <v>#N/A</v>
      </c>
      <c r="AC528" t="e">
        <f t="shared" ca="1" si="166"/>
        <v>#N/A</v>
      </c>
      <c r="AD528" t="e">
        <f t="shared" ca="1" si="167"/>
        <v>#N/A</v>
      </c>
      <c r="AE528" s="83" t="e">
        <f ca="1"/>
        <v>#N/A</v>
      </c>
      <c r="AF528" s="55" t="e">
        <f t="shared" ca="1" si="168"/>
        <v>#N/A</v>
      </c>
      <c r="AG528" s="55" t="e">
        <f t="shared" ca="1" si="169"/>
        <v>#N/A</v>
      </c>
      <c r="AH528" s="55" t="e">
        <f t="shared" ca="1" si="170"/>
        <v>#N/A</v>
      </c>
      <c r="AI528" s="55" t="e">
        <f t="shared" ca="1" si="171"/>
        <v>#N/A</v>
      </c>
      <c r="AJ528" s="55" t="e">
        <f t="shared" ca="1" si="158"/>
        <v>#N/A</v>
      </c>
      <c r="AK528" s="55" t="e">
        <f t="shared" ca="1" si="159"/>
        <v>#N/A</v>
      </c>
      <c r="AL528" s="55" t="e">
        <f t="shared" ca="1" si="160"/>
        <v>#N/A</v>
      </c>
      <c r="AM528" s="55"/>
    </row>
    <row r="529" spans="18:39">
      <c r="R529" s="55" t="e">
        <f ca="1"/>
        <v>#N/A</v>
      </c>
      <c r="S529" s="55" t="e">
        <f t="shared" ca="1" si="161"/>
        <v>#N/A</v>
      </c>
      <c r="T529" s="55" t="e">
        <f t="shared" ca="1" si="162"/>
        <v>#N/A</v>
      </c>
      <c r="U529" s="55" t="e">
        <f t="shared" ca="1" si="163"/>
        <v>#N/A</v>
      </c>
      <c r="V529" s="55" t="e">
        <f t="shared" ca="1" si="164"/>
        <v>#N/A</v>
      </c>
      <c r="W529" s="55" t="e">
        <f t="shared" ca="1" si="155"/>
        <v>#N/A</v>
      </c>
      <c r="X529" s="55" t="e">
        <f t="shared" ca="1" si="156"/>
        <v>#N/A</v>
      </c>
      <c r="Y529" s="55" t="e">
        <f t="shared" ca="1" si="157"/>
        <v>#N/A</v>
      </c>
      <c r="Z529" s="55" t="e">
        <f t="shared" ca="1" si="153"/>
        <v>#N/A</v>
      </c>
      <c r="AA529" t="e">
        <f t="shared" ca="1" si="154"/>
        <v>#N/A</v>
      </c>
      <c r="AB529" t="e">
        <f t="shared" ca="1" si="165"/>
        <v>#N/A</v>
      </c>
      <c r="AC529" t="e">
        <f t="shared" ca="1" si="166"/>
        <v>#N/A</v>
      </c>
      <c r="AD529" t="e">
        <f t="shared" ca="1" si="167"/>
        <v>#N/A</v>
      </c>
      <c r="AE529" s="83" t="e">
        <f ca="1"/>
        <v>#N/A</v>
      </c>
      <c r="AF529" s="55" t="e">
        <f t="shared" ca="1" si="168"/>
        <v>#N/A</v>
      </c>
      <c r="AG529" s="55" t="e">
        <f t="shared" ca="1" si="169"/>
        <v>#N/A</v>
      </c>
      <c r="AH529" s="55" t="e">
        <f t="shared" ca="1" si="170"/>
        <v>#N/A</v>
      </c>
      <c r="AI529" s="55" t="e">
        <f t="shared" ca="1" si="171"/>
        <v>#N/A</v>
      </c>
      <c r="AJ529" s="55" t="e">
        <f t="shared" ca="1" si="158"/>
        <v>#N/A</v>
      </c>
      <c r="AK529" s="55" t="e">
        <f t="shared" ca="1" si="159"/>
        <v>#N/A</v>
      </c>
      <c r="AL529" s="55" t="e">
        <f t="shared" ca="1" si="160"/>
        <v>#N/A</v>
      </c>
      <c r="AM529" s="55"/>
    </row>
    <row r="530" spans="18:39">
      <c r="R530" s="55" t="e">
        <f ca="1"/>
        <v>#N/A</v>
      </c>
      <c r="S530" s="55" t="e">
        <f t="shared" ca="1" si="161"/>
        <v>#N/A</v>
      </c>
      <c r="T530" s="55" t="e">
        <f t="shared" ca="1" si="162"/>
        <v>#N/A</v>
      </c>
      <c r="U530" s="55" t="e">
        <f t="shared" ca="1" si="163"/>
        <v>#N/A</v>
      </c>
      <c r="V530" s="55" t="e">
        <f t="shared" ca="1" si="164"/>
        <v>#N/A</v>
      </c>
      <c r="W530" s="55" t="e">
        <f t="shared" ca="1" si="155"/>
        <v>#N/A</v>
      </c>
      <c r="X530" s="55" t="e">
        <f t="shared" ca="1" si="156"/>
        <v>#N/A</v>
      </c>
      <c r="Y530" s="55" t="e">
        <f t="shared" ca="1" si="157"/>
        <v>#N/A</v>
      </c>
      <c r="Z530" s="55" t="e">
        <f t="shared" ref="Z530:Z593" ca="1" si="172">VLOOKUP(S530,ModelOutputs,3,FALSE)*14</f>
        <v>#N/A</v>
      </c>
      <c r="AA530" t="e">
        <f t="shared" ref="AA530:AA593" ca="1" si="173">VLOOKUP(S530,ModelOutputs,10,FALSE)*AWC</f>
        <v>#N/A</v>
      </c>
      <c r="AB530" t="e">
        <f t="shared" ca="1" si="165"/>
        <v>#N/A</v>
      </c>
      <c r="AC530" t="e">
        <f t="shared" ca="1" si="166"/>
        <v>#N/A</v>
      </c>
      <c r="AD530" t="e">
        <f t="shared" ca="1" si="167"/>
        <v>#N/A</v>
      </c>
      <c r="AE530" s="83" t="e">
        <f ca="1"/>
        <v>#N/A</v>
      </c>
      <c r="AF530" s="55" t="e">
        <f t="shared" ca="1" si="168"/>
        <v>#N/A</v>
      </c>
      <c r="AG530" s="55" t="e">
        <f t="shared" ca="1" si="169"/>
        <v>#N/A</v>
      </c>
      <c r="AH530" s="55" t="e">
        <f t="shared" ca="1" si="170"/>
        <v>#N/A</v>
      </c>
      <c r="AI530" s="55" t="e">
        <f t="shared" ca="1" si="171"/>
        <v>#N/A</v>
      </c>
      <c r="AJ530" s="55" t="e">
        <f t="shared" ca="1" si="158"/>
        <v>#N/A</v>
      </c>
      <c r="AK530" s="55" t="e">
        <f t="shared" ca="1" si="159"/>
        <v>#N/A</v>
      </c>
      <c r="AL530" s="55" t="e">
        <f t="shared" ca="1" si="160"/>
        <v>#N/A</v>
      </c>
      <c r="AM530" s="55"/>
    </row>
    <row r="531" spans="18:39">
      <c r="R531" s="55" t="e">
        <f ca="1"/>
        <v>#N/A</v>
      </c>
      <c r="S531" s="55" t="e">
        <f t="shared" ca="1" si="161"/>
        <v>#N/A</v>
      </c>
      <c r="T531" s="55" t="e">
        <f t="shared" ca="1" si="162"/>
        <v>#N/A</v>
      </c>
      <c r="U531" s="55" t="e">
        <f t="shared" ca="1" si="163"/>
        <v>#N/A</v>
      </c>
      <c r="V531" s="55" t="e">
        <f t="shared" ca="1" si="164"/>
        <v>#N/A</v>
      </c>
      <c r="W531" s="55" t="e">
        <f t="shared" ref="W531:W594" ca="1" si="174">-VLOOKUP(S531,ModelOutputs,9,FALSE)+W530</f>
        <v>#N/A</v>
      </c>
      <c r="X531" s="55" t="e">
        <f t="shared" ref="X531:X594" ca="1" si="175">VLOOKUP(S531,ModelOutputs,5,FALSE)+X530</f>
        <v>#N/A</v>
      </c>
      <c r="Y531" s="55" t="e">
        <f t="shared" ref="Y531:Y594" ca="1" si="176">VLOOKUP(S531,ModelOutputs,4,FALSE)+Y530</f>
        <v>#N/A</v>
      </c>
      <c r="Z531" s="55" t="e">
        <f t="shared" ca="1" si="172"/>
        <v>#N/A</v>
      </c>
      <c r="AA531" t="e">
        <f t="shared" ca="1" si="173"/>
        <v>#N/A</v>
      </c>
      <c r="AB531" t="e">
        <f t="shared" ca="1" si="165"/>
        <v>#N/A</v>
      </c>
      <c r="AC531" t="e">
        <f t="shared" ca="1" si="166"/>
        <v>#N/A</v>
      </c>
      <c r="AD531" t="e">
        <f t="shared" ca="1" si="167"/>
        <v>#N/A</v>
      </c>
      <c r="AE531" s="83" t="e">
        <f ca="1"/>
        <v>#N/A</v>
      </c>
      <c r="AF531" s="55" t="e">
        <f t="shared" ca="1" si="168"/>
        <v>#N/A</v>
      </c>
      <c r="AG531" s="55" t="e">
        <f t="shared" ca="1" si="169"/>
        <v>#N/A</v>
      </c>
      <c r="AH531" s="55" t="e">
        <f t="shared" ca="1" si="170"/>
        <v>#N/A</v>
      </c>
      <c r="AI531" s="55" t="e">
        <f t="shared" ca="1" si="171"/>
        <v>#N/A</v>
      </c>
      <c r="AJ531" s="55" t="e">
        <f t="shared" ref="AJ531:AJ594" ca="1" si="177">-VLOOKUP(AF531,ModelOutputs,9,FALSE)+AJ530</f>
        <v>#N/A</v>
      </c>
      <c r="AK531" s="55" t="e">
        <f t="shared" ref="AK531:AK594" ca="1" si="178">VLOOKUP(AF531,ModelOutputs,5,FALSE)+AK530</f>
        <v>#N/A</v>
      </c>
      <c r="AL531" s="55" t="e">
        <f t="shared" ref="AL531:AL594" ca="1" si="179">VLOOKUP(AF531,ModelOutputs,4,FALSE)+AL530</f>
        <v>#N/A</v>
      </c>
      <c r="AM531" s="55"/>
    </row>
    <row r="532" spans="18:39">
      <c r="R532" s="55" t="e">
        <f ca="1"/>
        <v>#N/A</v>
      </c>
      <c r="S532" s="55" t="e">
        <f t="shared" ca="1" si="161"/>
        <v>#N/A</v>
      </c>
      <c r="T532" s="55" t="e">
        <f t="shared" ca="1" si="162"/>
        <v>#N/A</v>
      </c>
      <c r="U532" s="55" t="e">
        <f t="shared" ca="1" si="163"/>
        <v>#N/A</v>
      </c>
      <c r="V532" s="55" t="e">
        <f t="shared" ca="1" si="164"/>
        <v>#N/A</v>
      </c>
      <c r="W532" s="55" t="e">
        <f t="shared" ca="1" si="174"/>
        <v>#N/A</v>
      </c>
      <c r="X532" s="55" t="e">
        <f t="shared" ca="1" si="175"/>
        <v>#N/A</v>
      </c>
      <c r="Y532" s="55" t="e">
        <f t="shared" ca="1" si="176"/>
        <v>#N/A</v>
      </c>
      <c r="Z532" s="55" t="e">
        <f t="shared" ca="1" si="172"/>
        <v>#N/A</v>
      </c>
      <c r="AA532" t="e">
        <f t="shared" ca="1" si="173"/>
        <v>#N/A</v>
      </c>
      <c r="AB532" t="e">
        <f t="shared" ca="1" si="165"/>
        <v>#N/A</v>
      </c>
      <c r="AC532" t="e">
        <f t="shared" ca="1" si="166"/>
        <v>#N/A</v>
      </c>
      <c r="AD532" t="e">
        <f t="shared" ca="1" si="167"/>
        <v>#N/A</v>
      </c>
      <c r="AE532" s="83" t="e">
        <f ca="1"/>
        <v>#N/A</v>
      </c>
      <c r="AF532" s="55" t="e">
        <f t="shared" ca="1" si="168"/>
        <v>#N/A</v>
      </c>
      <c r="AG532" s="55" t="e">
        <f t="shared" ca="1" si="169"/>
        <v>#N/A</v>
      </c>
      <c r="AH532" s="55" t="e">
        <f t="shared" ca="1" si="170"/>
        <v>#N/A</v>
      </c>
      <c r="AI532" s="55" t="e">
        <f t="shared" ca="1" si="171"/>
        <v>#N/A</v>
      </c>
      <c r="AJ532" s="55" t="e">
        <f t="shared" ca="1" si="177"/>
        <v>#N/A</v>
      </c>
      <c r="AK532" s="55" t="e">
        <f t="shared" ca="1" si="178"/>
        <v>#N/A</v>
      </c>
      <c r="AL532" s="55" t="e">
        <f t="shared" ca="1" si="179"/>
        <v>#N/A</v>
      </c>
      <c r="AM532" s="55"/>
    </row>
    <row r="533" spans="18:39">
      <c r="R533" s="55" t="e">
        <f ca="1"/>
        <v>#N/A</v>
      </c>
      <c r="S533" s="55" t="e">
        <f t="shared" ca="1" si="161"/>
        <v>#N/A</v>
      </c>
      <c r="T533" s="55" t="e">
        <f t="shared" ca="1" si="162"/>
        <v>#N/A</v>
      </c>
      <c r="U533" s="55" t="e">
        <f t="shared" ca="1" si="163"/>
        <v>#N/A</v>
      </c>
      <c r="V533" s="55" t="e">
        <f t="shared" ca="1" si="164"/>
        <v>#N/A</v>
      </c>
      <c r="W533" s="55" t="e">
        <f t="shared" ca="1" si="174"/>
        <v>#N/A</v>
      </c>
      <c r="X533" s="55" t="e">
        <f t="shared" ca="1" si="175"/>
        <v>#N/A</v>
      </c>
      <c r="Y533" s="55" t="e">
        <f t="shared" ca="1" si="176"/>
        <v>#N/A</v>
      </c>
      <c r="Z533" s="55" t="e">
        <f t="shared" ca="1" si="172"/>
        <v>#N/A</v>
      </c>
      <c r="AA533" t="e">
        <f t="shared" ca="1" si="173"/>
        <v>#N/A</v>
      </c>
      <c r="AB533" t="e">
        <f t="shared" ca="1" si="165"/>
        <v>#N/A</v>
      </c>
      <c r="AC533" t="e">
        <f t="shared" ca="1" si="166"/>
        <v>#N/A</v>
      </c>
      <c r="AD533" t="e">
        <f t="shared" ca="1" si="167"/>
        <v>#N/A</v>
      </c>
      <c r="AE533" s="83" t="e">
        <f ca="1"/>
        <v>#N/A</v>
      </c>
      <c r="AF533" s="55" t="e">
        <f t="shared" ca="1" si="168"/>
        <v>#N/A</v>
      </c>
      <c r="AG533" s="55" t="e">
        <f t="shared" ca="1" si="169"/>
        <v>#N/A</v>
      </c>
      <c r="AH533" s="55" t="e">
        <f t="shared" ca="1" si="170"/>
        <v>#N/A</v>
      </c>
      <c r="AI533" s="55" t="e">
        <f t="shared" ca="1" si="171"/>
        <v>#N/A</v>
      </c>
      <c r="AJ533" s="55" t="e">
        <f t="shared" ca="1" si="177"/>
        <v>#N/A</v>
      </c>
      <c r="AK533" s="55" t="e">
        <f t="shared" ca="1" si="178"/>
        <v>#N/A</v>
      </c>
      <c r="AL533" s="55" t="e">
        <f t="shared" ca="1" si="179"/>
        <v>#N/A</v>
      </c>
      <c r="AM533" s="55"/>
    </row>
    <row r="534" spans="18:39">
      <c r="R534" s="55" t="e">
        <f ca="1"/>
        <v>#N/A</v>
      </c>
      <c r="S534" s="55" t="e">
        <f t="shared" ca="1" si="161"/>
        <v>#N/A</v>
      </c>
      <c r="T534" s="55" t="e">
        <f t="shared" ca="1" si="162"/>
        <v>#N/A</v>
      </c>
      <c r="U534" s="55" t="e">
        <f t="shared" ca="1" si="163"/>
        <v>#N/A</v>
      </c>
      <c r="V534" s="55" t="e">
        <f t="shared" ca="1" si="164"/>
        <v>#N/A</v>
      </c>
      <c r="W534" s="55" t="e">
        <f t="shared" ca="1" si="174"/>
        <v>#N/A</v>
      </c>
      <c r="X534" s="55" t="e">
        <f t="shared" ca="1" si="175"/>
        <v>#N/A</v>
      </c>
      <c r="Y534" s="55" t="e">
        <f t="shared" ca="1" si="176"/>
        <v>#N/A</v>
      </c>
      <c r="Z534" s="55" t="e">
        <f t="shared" ca="1" si="172"/>
        <v>#N/A</v>
      </c>
      <c r="AA534" t="e">
        <f t="shared" ca="1" si="173"/>
        <v>#N/A</v>
      </c>
      <c r="AB534" t="e">
        <f t="shared" ca="1" si="165"/>
        <v>#N/A</v>
      </c>
      <c r="AC534" t="e">
        <f t="shared" ca="1" si="166"/>
        <v>#N/A</v>
      </c>
      <c r="AD534" t="e">
        <f t="shared" ca="1" si="167"/>
        <v>#N/A</v>
      </c>
      <c r="AE534" s="83" t="e">
        <f ca="1"/>
        <v>#N/A</v>
      </c>
      <c r="AF534" s="55" t="e">
        <f t="shared" ca="1" si="168"/>
        <v>#N/A</v>
      </c>
      <c r="AG534" s="55" t="e">
        <f t="shared" ca="1" si="169"/>
        <v>#N/A</v>
      </c>
      <c r="AH534" s="55" t="e">
        <f t="shared" ca="1" si="170"/>
        <v>#N/A</v>
      </c>
      <c r="AI534" s="55" t="e">
        <f t="shared" ca="1" si="171"/>
        <v>#N/A</v>
      </c>
      <c r="AJ534" s="55" t="e">
        <f t="shared" ca="1" si="177"/>
        <v>#N/A</v>
      </c>
      <c r="AK534" s="55" t="e">
        <f t="shared" ca="1" si="178"/>
        <v>#N/A</v>
      </c>
      <c r="AL534" s="55" t="e">
        <f t="shared" ca="1" si="179"/>
        <v>#N/A</v>
      </c>
      <c r="AM534" s="55"/>
    </row>
    <row r="535" spans="18:39">
      <c r="R535" s="55" t="e">
        <f ca="1"/>
        <v>#N/A</v>
      </c>
      <c r="S535" s="55" t="e">
        <f t="shared" ca="1" si="161"/>
        <v>#N/A</v>
      </c>
      <c r="T535" s="55" t="e">
        <f t="shared" ca="1" si="162"/>
        <v>#N/A</v>
      </c>
      <c r="U535" s="55" t="e">
        <f t="shared" ca="1" si="163"/>
        <v>#N/A</v>
      </c>
      <c r="V535" s="55" t="e">
        <f t="shared" ca="1" si="164"/>
        <v>#N/A</v>
      </c>
      <c r="W535" s="55" t="e">
        <f t="shared" ca="1" si="174"/>
        <v>#N/A</v>
      </c>
      <c r="X535" s="55" t="e">
        <f t="shared" ca="1" si="175"/>
        <v>#N/A</v>
      </c>
      <c r="Y535" s="55" t="e">
        <f t="shared" ca="1" si="176"/>
        <v>#N/A</v>
      </c>
      <c r="Z535" s="55" t="e">
        <f t="shared" ca="1" si="172"/>
        <v>#N/A</v>
      </c>
      <c r="AA535" t="e">
        <f t="shared" ca="1" si="173"/>
        <v>#N/A</v>
      </c>
      <c r="AB535" t="e">
        <f t="shared" ca="1" si="165"/>
        <v>#N/A</v>
      </c>
      <c r="AC535" t="e">
        <f t="shared" ca="1" si="166"/>
        <v>#N/A</v>
      </c>
      <c r="AD535" t="e">
        <f t="shared" ca="1" si="167"/>
        <v>#N/A</v>
      </c>
      <c r="AE535" s="83" t="e">
        <f ca="1"/>
        <v>#N/A</v>
      </c>
      <c r="AF535" s="55" t="e">
        <f t="shared" ca="1" si="168"/>
        <v>#N/A</v>
      </c>
      <c r="AG535" s="55" t="e">
        <f t="shared" ca="1" si="169"/>
        <v>#N/A</v>
      </c>
      <c r="AH535" s="55" t="e">
        <f t="shared" ca="1" si="170"/>
        <v>#N/A</v>
      </c>
      <c r="AI535" s="55" t="e">
        <f t="shared" ca="1" si="171"/>
        <v>#N/A</v>
      </c>
      <c r="AJ535" s="55" t="e">
        <f t="shared" ca="1" si="177"/>
        <v>#N/A</v>
      </c>
      <c r="AK535" s="55" t="e">
        <f t="shared" ca="1" si="178"/>
        <v>#N/A</v>
      </c>
      <c r="AL535" s="55" t="e">
        <f t="shared" ca="1" si="179"/>
        <v>#N/A</v>
      </c>
      <c r="AM535" s="55"/>
    </row>
    <row r="536" spans="18:39">
      <c r="R536" s="55" t="e">
        <f ca="1"/>
        <v>#N/A</v>
      </c>
      <c r="S536" s="55" t="e">
        <f t="shared" ca="1" si="161"/>
        <v>#N/A</v>
      </c>
      <c r="T536" s="55" t="e">
        <f t="shared" ca="1" si="162"/>
        <v>#N/A</v>
      </c>
      <c r="U536" s="55" t="e">
        <f t="shared" ca="1" si="163"/>
        <v>#N/A</v>
      </c>
      <c r="V536" s="55" t="e">
        <f t="shared" ca="1" si="164"/>
        <v>#N/A</v>
      </c>
      <c r="W536" s="55" t="e">
        <f t="shared" ca="1" si="174"/>
        <v>#N/A</v>
      </c>
      <c r="X536" s="55" t="e">
        <f t="shared" ca="1" si="175"/>
        <v>#N/A</v>
      </c>
      <c r="Y536" s="55" t="e">
        <f t="shared" ca="1" si="176"/>
        <v>#N/A</v>
      </c>
      <c r="Z536" s="55" t="e">
        <f t="shared" ca="1" si="172"/>
        <v>#N/A</v>
      </c>
      <c r="AA536" t="e">
        <f t="shared" ca="1" si="173"/>
        <v>#N/A</v>
      </c>
      <c r="AB536" t="e">
        <f t="shared" ca="1" si="165"/>
        <v>#N/A</v>
      </c>
      <c r="AC536" t="e">
        <f t="shared" ca="1" si="166"/>
        <v>#N/A</v>
      </c>
      <c r="AD536" t="e">
        <f t="shared" ca="1" si="167"/>
        <v>#N/A</v>
      </c>
      <c r="AE536" s="83" t="e">
        <f ca="1"/>
        <v>#N/A</v>
      </c>
      <c r="AF536" s="55" t="e">
        <f t="shared" ca="1" si="168"/>
        <v>#N/A</v>
      </c>
      <c r="AG536" s="55" t="e">
        <f t="shared" ca="1" si="169"/>
        <v>#N/A</v>
      </c>
      <c r="AH536" s="55" t="e">
        <f t="shared" ca="1" si="170"/>
        <v>#N/A</v>
      </c>
      <c r="AI536" s="55" t="e">
        <f t="shared" ca="1" si="171"/>
        <v>#N/A</v>
      </c>
      <c r="AJ536" s="55" t="e">
        <f t="shared" ca="1" si="177"/>
        <v>#N/A</v>
      </c>
      <c r="AK536" s="55" t="e">
        <f t="shared" ca="1" si="178"/>
        <v>#N/A</v>
      </c>
      <c r="AL536" s="55" t="e">
        <f t="shared" ca="1" si="179"/>
        <v>#N/A</v>
      </c>
      <c r="AM536" s="55"/>
    </row>
    <row r="537" spans="18:39">
      <c r="R537" s="55" t="e">
        <f ca="1"/>
        <v>#N/A</v>
      </c>
      <c r="S537" s="55" t="e">
        <f t="shared" ca="1" si="161"/>
        <v>#N/A</v>
      </c>
      <c r="T537" s="55" t="e">
        <f t="shared" ca="1" si="162"/>
        <v>#N/A</v>
      </c>
      <c r="U537" s="55" t="e">
        <f t="shared" ca="1" si="163"/>
        <v>#N/A</v>
      </c>
      <c r="V537" s="55" t="e">
        <f t="shared" ca="1" si="164"/>
        <v>#N/A</v>
      </c>
      <c r="W537" s="55" t="e">
        <f t="shared" ca="1" si="174"/>
        <v>#N/A</v>
      </c>
      <c r="X537" s="55" t="e">
        <f t="shared" ca="1" si="175"/>
        <v>#N/A</v>
      </c>
      <c r="Y537" s="55" t="e">
        <f t="shared" ca="1" si="176"/>
        <v>#N/A</v>
      </c>
      <c r="Z537" s="55" t="e">
        <f t="shared" ca="1" si="172"/>
        <v>#N/A</v>
      </c>
      <c r="AA537" t="e">
        <f t="shared" ca="1" si="173"/>
        <v>#N/A</v>
      </c>
      <c r="AB537" t="e">
        <f t="shared" ca="1" si="165"/>
        <v>#N/A</v>
      </c>
      <c r="AC537" t="e">
        <f t="shared" ca="1" si="166"/>
        <v>#N/A</v>
      </c>
      <c r="AD537" t="e">
        <f t="shared" ca="1" si="167"/>
        <v>#N/A</v>
      </c>
      <c r="AE537" s="83" t="e">
        <f ca="1"/>
        <v>#N/A</v>
      </c>
      <c r="AF537" s="55" t="e">
        <f t="shared" ca="1" si="168"/>
        <v>#N/A</v>
      </c>
      <c r="AG537" s="55" t="e">
        <f t="shared" ca="1" si="169"/>
        <v>#N/A</v>
      </c>
      <c r="AH537" s="55" t="e">
        <f t="shared" ca="1" si="170"/>
        <v>#N/A</v>
      </c>
      <c r="AI537" s="55" t="e">
        <f t="shared" ca="1" si="171"/>
        <v>#N/A</v>
      </c>
      <c r="AJ537" s="55" t="e">
        <f t="shared" ca="1" si="177"/>
        <v>#N/A</v>
      </c>
      <c r="AK537" s="55" t="e">
        <f t="shared" ca="1" si="178"/>
        <v>#N/A</v>
      </c>
      <c r="AL537" s="55" t="e">
        <f t="shared" ca="1" si="179"/>
        <v>#N/A</v>
      </c>
      <c r="AM537" s="55"/>
    </row>
    <row r="538" spans="18:39">
      <c r="R538" s="55" t="e">
        <f ca="1"/>
        <v>#N/A</v>
      </c>
      <c r="S538" s="55" t="e">
        <f t="shared" ca="1" si="161"/>
        <v>#N/A</v>
      </c>
      <c r="T538" s="55" t="e">
        <f t="shared" ca="1" si="162"/>
        <v>#N/A</v>
      </c>
      <c r="U538" s="55" t="e">
        <f t="shared" ca="1" si="163"/>
        <v>#N/A</v>
      </c>
      <c r="V538" s="55" t="e">
        <f t="shared" ca="1" si="164"/>
        <v>#N/A</v>
      </c>
      <c r="W538" s="55" t="e">
        <f t="shared" ca="1" si="174"/>
        <v>#N/A</v>
      </c>
      <c r="X538" s="55" t="e">
        <f t="shared" ca="1" si="175"/>
        <v>#N/A</v>
      </c>
      <c r="Y538" s="55" t="e">
        <f t="shared" ca="1" si="176"/>
        <v>#N/A</v>
      </c>
      <c r="Z538" s="55" t="e">
        <f t="shared" ca="1" si="172"/>
        <v>#N/A</v>
      </c>
      <c r="AA538" t="e">
        <f t="shared" ca="1" si="173"/>
        <v>#N/A</v>
      </c>
      <c r="AB538" t="e">
        <f t="shared" ca="1" si="165"/>
        <v>#N/A</v>
      </c>
      <c r="AC538" t="e">
        <f t="shared" ca="1" si="166"/>
        <v>#N/A</v>
      </c>
      <c r="AD538" t="e">
        <f t="shared" ca="1" si="167"/>
        <v>#N/A</v>
      </c>
      <c r="AE538" s="83" t="e">
        <f ca="1"/>
        <v>#N/A</v>
      </c>
      <c r="AF538" s="55" t="e">
        <f t="shared" ca="1" si="168"/>
        <v>#N/A</v>
      </c>
      <c r="AG538" s="55" t="e">
        <f t="shared" ca="1" si="169"/>
        <v>#N/A</v>
      </c>
      <c r="AH538" s="55" t="e">
        <f t="shared" ca="1" si="170"/>
        <v>#N/A</v>
      </c>
      <c r="AI538" s="55" t="e">
        <f t="shared" ca="1" si="171"/>
        <v>#N/A</v>
      </c>
      <c r="AJ538" s="55" t="e">
        <f t="shared" ca="1" si="177"/>
        <v>#N/A</v>
      </c>
      <c r="AK538" s="55" t="e">
        <f t="shared" ca="1" si="178"/>
        <v>#N/A</v>
      </c>
      <c r="AL538" s="55" t="e">
        <f t="shared" ca="1" si="179"/>
        <v>#N/A</v>
      </c>
      <c r="AM538" s="55"/>
    </row>
    <row r="539" spans="18:39">
      <c r="R539" s="55" t="e">
        <f ca="1"/>
        <v>#N/A</v>
      </c>
      <c r="S539" s="55" t="e">
        <f t="shared" ca="1" si="161"/>
        <v>#N/A</v>
      </c>
      <c r="T539" s="55" t="e">
        <f t="shared" ca="1" si="162"/>
        <v>#N/A</v>
      </c>
      <c r="U539" s="55" t="e">
        <f t="shared" ca="1" si="163"/>
        <v>#N/A</v>
      </c>
      <c r="V539" s="55" t="e">
        <f t="shared" ca="1" si="164"/>
        <v>#N/A</v>
      </c>
      <c r="W539" s="55" t="e">
        <f t="shared" ca="1" si="174"/>
        <v>#N/A</v>
      </c>
      <c r="X539" s="55" t="e">
        <f t="shared" ca="1" si="175"/>
        <v>#N/A</v>
      </c>
      <c r="Y539" s="55" t="e">
        <f t="shared" ca="1" si="176"/>
        <v>#N/A</v>
      </c>
      <c r="Z539" s="55" t="e">
        <f t="shared" ca="1" si="172"/>
        <v>#N/A</v>
      </c>
      <c r="AA539" t="e">
        <f t="shared" ca="1" si="173"/>
        <v>#N/A</v>
      </c>
      <c r="AB539" t="e">
        <f t="shared" ca="1" si="165"/>
        <v>#N/A</v>
      </c>
      <c r="AC539" t="e">
        <f t="shared" ca="1" si="166"/>
        <v>#N/A</v>
      </c>
      <c r="AD539" t="e">
        <f t="shared" ca="1" si="167"/>
        <v>#N/A</v>
      </c>
      <c r="AE539" s="83" t="e">
        <f ca="1"/>
        <v>#N/A</v>
      </c>
      <c r="AF539" s="55" t="e">
        <f t="shared" ca="1" si="168"/>
        <v>#N/A</v>
      </c>
      <c r="AG539" s="55" t="e">
        <f t="shared" ca="1" si="169"/>
        <v>#N/A</v>
      </c>
      <c r="AH539" s="55" t="e">
        <f t="shared" ca="1" si="170"/>
        <v>#N/A</v>
      </c>
      <c r="AI539" s="55" t="e">
        <f t="shared" ca="1" si="171"/>
        <v>#N/A</v>
      </c>
      <c r="AJ539" s="55" t="e">
        <f t="shared" ca="1" si="177"/>
        <v>#N/A</v>
      </c>
      <c r="AK539" s="55" t="e">
        <f t="shared" ca="1" si="178"/>
        <v>#N/A</v>
      </c>
      <c r="AL539" s="55" t="e">
        <f t="shared" ca="1" si="179"/>
        <v>#N/A</v>
      </c>
      <c r="AM539" s="55"/>
    </row>
    <row r="540" spans="18:39">
      <c r="R540" s="55" t="e">
        <f ca="1"/>
        <v>#N/A</v>
      </c>
      <c r="S540" s="55" t="e">
        <f t="shared" ca="1" si="161"/>
        <v>#N/A</v>
      </c>
      <c r="T540" s="55" t="e">
        <f t="shared" ca="1" si="162"/>
        <v>#N/A</v>
      </c>
      <c r="U540" s="55" t="e">
        <f t="shared" ca="1" si="163"/>
        <v>#N/A</v>
      </c>
      <c r="V540" s="55" t="e">
        <f t="shared" ca="1" si="164"/>
        <v>#N/A</v>
      </c>
      <c r="W540" s="55" t="e">
        <f t="shared" ca="1" si="174"/>
        <v>#N/A</v>
      </c>
      <c r="X540" s="55" t="e">
        <f t="shared" ca="1" si="175"/>
        <v>#N/A</v>
      </c>
      <c r="Y540" s="55" t="e">
        <f t="shared" ca="1" si="176"/>
        <v>#N/A</v>
      </c>
      <c r="Z540" s="55" t="e">
        <f t="shared" ca="1" si="172"/>
        <v>#N/A</v>
      </c>
      <c r="AA540" t="e">
        <f t="shared" ca="1" si="173"/>
        <v>#N/A</v>
      </c>
      <c r="AB540" t="e">
        <f t="shared" ca="1" si="165"/>
        <v>#N/A</v>
      </c>
      <c r="AC540" t="e">
        <f t="shared" ca="1" si="166"/>
        <v>#N/A</v>
      </c>
      <c r="AD540" t="e">
        <f t="shared" ca="1" si="167"/>
        <v>#N/A</v>
      </c>
      <c r="AE540" s="83" t="e">
        <f ca="1"/>
        <v>#N/A</v>
      </c>
      <c r="AF540" s="55" t="e">
        <f t="shared" ca="1" si="168"/>
        <v>#N/A</v>
      </c>
      <c r="AG540" s="55" t="e">
        <f t="shared" ca="1" si="169"/>
        <v>#N/A</v>
      </c>
      <c r="AH540" s="55" t="e">
        <f t="shared" ca="1" si="170"/>
        <v>#N/A</v>
      </c>
      <c r="AI540" s="55" t="e">
        <f t="shared" ca="1" si="171"/>
        <v>#N/A</v>
      </c>
      <c r="AJ540" s="55" t="e">
        <f t="shared" ca="1" si="177"/>
        <v>#N/A</v>
      </c>
      <c r="AK540" s="55" t="e">
        <f t="shared" ca="1" si="178"/>
        <v>#N/A</v>
      </c>
      <c r="AL540" s="55" t="e">
        <f t="shared" ca="1" si="179"/>
        <v>#N/A</v>
      </c>
      <c r="AM540" s="55"/>
    </row>
    <row r="541" spans="18:39">
      <c r="R541" s="55" t="e">
        <f ca="1"/>
        <v>#N/A</v>
      </c>
      <c r="S541" s="55" t="e">
        <f t="shared" ca="1" si="161"/>
        <v>#N/A</v>
      </c>
      <c r="T541" s="55" t="e">
        <f t="shared" ca="1" si="162"/>
        <v>#N/A</v>
      </c>
      <c r="U541" s="55" t="e">
        <f t="shared" ca="1" si="163"/>
        <v>#N/A</v>
      </c>
      <c r="V541" s="55" t="e">
        <f t="shared" ca="1" si="164"/>
        <v>#N/A</v>
      </c>
      <c r="W541" s="55" t="e">
        <f t="shared" ca="1" si="174"/>
        <v>#N/A</v>
      </c>
      <c r="X541" s="55" t="e">
        <f t="shared" ca="1" si="175"/>
        <v>#N/A</v>
      </c>
      <c r="Y541" s="55" t="e">
        <f t="shared" ca="1" si="176"/>
        <v>#N/A</v>
      </c>
      <c r="Z541" s="55" t="e">
        <f t="shared" ca="1" si="172"/>
        <v>#N/A</v>
      </c>
      <c r="AA541" t="e">
        <f t="shared" ca="1" si="173"/>
        <v>#N/A</v>
      </c>
      <c r="AB541" t="e">
        <f t="shared" ca="1" si="165"/>
        <v>#N/A</v>
      </c>
      <c r="AC541" t="e">
        <f t="shared" ca="1" si="166"/>
        <v>#N/A</v>
      </c>
      <c r="AD541" t="e">
        <f t="shared" ca="1" si="167"/>
        <v>#N/A</v>
      </c>
      <c r="AE541" s="83" t="e">
        <f ca="1"/>
        <v>#N/A</v>
      </c>
      <c r="AF541" s="55" t="e">
        <f t="shared" ca="1" si="168"/>
        <v>#N/A</v>
      </c>
      <c r="AG541" s="55" t="e">
        <f t="shared" ca="1" si="169"/>
        <v>#N/A</v>
      </c>
      <c r="AH541" s="55" t="e">
        <f t="shared" ca="1" si="170"/>
        <v>#N/A</v>
      </c>
      <c r="AI541" s="55" t="e">
        <f t="shared" ca="1" si="171"/>
        <v>#N/A</v>
      </c>
      <c r="AJ541" s="55" t="e">
        <f t="shared" ca="1" si="177"/>
        <v>#N/A</v>
      </c>
      <c r="AK541" s="55" t="e">
        <f t="shared" ca="1" si="178"/>
        <v>#N/A</v>
      </c>
      <c r="AL541" s="55" t="e">
        <f t="shared" ca="1" si="179"/>
        <v>#N/A</v>
      </c>
      <c r="AM541" s="55"/>
    </row>
    <row r="542" spans="18:39">
      <c r="R542" s="55" t="e">
        <f ca="1"/>
        <v>#N/A</v>
      </c>
      <c r="S542" s="55" t="e">
        <f t="shared" ca="1" si="161"/>
        <v>#N/A</v>
      </c>
      <c r="T542" s="55" t="e">
        <f t="shared" ca="1" si="162"/>
        <v>#N/A</v>
      </c>
      <c r="U542" s="55" t="e">
        <f t="shared" ca="1" si="163"/>
        <v>#N/A</v>
      </c>
      <c r="V542" s="55" t="e">
        <f t="shared" ca="1" si="164"/>
        <v>#N/A</v>
      </c>
      <c r="W542" s="55" t="e">
        <f t="shared" ca="1" si="174"/>
        <v>#N/A</v>
      </c>
      <c r="X542" s="55" t="e">
        <f t="shared" ca="1" si="175"/>
        <v>#N/A</v>
      </c>
      <c r="Y542" s="55" t="e">
        <f t="shared" ca="1" si="176"/>
        <v>#N/A</v>
      </c>
      <c r="Z542" s="55" t="e">
        <f t="shared" ca="1" si="172"/>
        <v>#N/A</v>
      </c>
      <c r="AA542" t="e">
        <f t="shared" ca="1" si="173"/>
        <v>#N/A</v>
      </c>
      <c r="AB542" t="e">
        <f t="shared" ca="1" si="165"/>
        <v>#N/A</v>
      </c>
      <c r="AC542" t="e">
        <f t="shared" ca="1" si="166"/>
        <v>#N/A</v>
      </c>
      <c r="AD542" t="e">
        <f t="shared" ca="1" si="167"/>
        <v>#N/A</v>
      </c>
      <c r="AE542" s="83" t="e">
        <f ca="1"/>
        <v>#N/A</v>
      </c>
      <c r="AF542" s="55" t="e">
        <f t="shared" ca="1" si="168"/>
        <v>#N/A</v>
      </c>
      <c r="AG542" s="55" t="e">
        <f t="shared" ca="1" si="169"/>
        <v>#N/A</v>
      </c>
      <c r="AH542" s="55" t="e">
        <f t="shared" ca="1" si="170"/>
        <v>#N/A</v>
      </c>
      <c r="AI542" s="55" t="e">
        <f t="shared" ca="1" si="171"/>
        <v>#N/A</v>
      </c>
      <c r="AJ542" s="55" t="e">
        <f t="shared" ca="1" si="177"/>
        <v>#N/A</v>
      </c>
      <c r="AK542" s="55" t="e">
        <f t="shared" ca="1" si="178"/>
        <v>#N/A</v>
      </c>
      <c r="AL542" s="55" t="e">
        <f t="shared" ca="1" si="179"/>
        <v>#N/A</v>
      </c>
      <c r="AM542" s="55"/>
    </row>
    <row r="543" spans="18:39">
      <c r="R543" s="55" t="e">
        <f ca="1"/>
        <v>#N/A</v>
      </c>
      <c r="S543" s="55" t="e">
        <f t="shared" ca="1" si="161"/>
        <v>#N/A</v>
      </c>
      <c r="T543" s="55" t="e">
        <f t="shared" ca="1" si="162"/>
        <v>#N/A</v>
      </c>
      <c r="U543" s="55" t="e">
        <f t="shared" ca="1" si="163"/>
        <v>#N/A</v>
      </c>
      <c r="V543" s="55" t="e">
        <f t="shared" ca="1" si="164"/>
        <v>#N/A</v>
      </c>
      <c r="W543" s="55" t="e">
        <f t="shared" ca="1" si="174"/>
        <v>#N/A</v>
      </c>
      <c r="X543" s="55" t="e">
        <f t="shared" ca="1" si="175"/>
        <v>#N/A</v>
      </c>
      <c r="Y543" s="55" t="e">
        <f t="shared" ca="1" si="176"/>
        <v>#N/A</v>
      </c>
      <c r="Z543" s="55" t="e">
        <f t="shared" ca="1" si="172"/>
        <v>#N/A</v>
      </c>
      <c r="AA543" t="e">
        <f t="shared" ca="1" si="173"/>
        <v>#N/A</v>
      </c>
      <c r="AB543" t="e">
        <f t="shared" ca="1" si="165"/>
        <v>#N/A</v>
      </c>
      <c r="AC543" t="e">
        <f t="shared" ca="1" si="166"/>
        <v>#N/A</v>
      </c>
      <c r="AD543" t="e">
        <f t="shared" ca="1" si="167"/>
        <v>#N/A</v>
      </c>
      <c r="AE543" s="83" t="e">
        <f ca="1"/>
        <v>#N/A</v>
      </c>
      <c r="AF543" s="55" t="e">
        <f t="shared" ca="1" si="168"/>
        <v>#N/A</v>
      </c>
      <c r="AG543" s="55" t="e">
        <f t="shared" ca="1" si="169"/>
        <v>#N/A</v>
      </c>
      <c r="AH543" s="55" t="e">
        <f t="shared" ca="1" si="170"/>
        <v>#N/A</v>
      </c>
      <c r="AI543" s="55" t="e">
        <f t="shared" ca="1" si="171"/>
        <v>#N/A</v>
      </c>
      <c r="AJ543" s="55" t="e">
        <f t="shared" ca="1" si="177"/>
        <v>#N/A</v>
      </c>
      <c r="AK543" s="55" t="e">
        <f t="shared" ca="1" si="178"/>
        <v>#N/A</v>
      </c>
      <c r="AL543" s="55" t="e">
        <f t="shared" ca="1" si="179"/>
        <v>#N/A</v>
      </c>
      <c r="AM543" s="55"/>
    </row>
    <row r="544" spans="18:39">
      <c r="R544" s="55" t="e">
        <f ca="1"/>
        <v>#N/A</v>
      </c>
      <c r="S544" s="55" t="e">
        <f t="shared" ca="1" si="161"/>
        <v>#N/A</v>
      </c>
      <c r="T544" s="55" t="e">
        <f t="shared" ca="1" si="162"/>
        <v>#N/A</v>
      </c>
      <c r="U544" s="55" t="e">
        <f t="shared" ca="1" si="163"/>
        <v>#N/A</v>
      </c>
      <c r="V544" s="55" t="e">
        <f t="shared" ca="1" si="164"/>
        <v>#N/A</v>
      </c>
      <c r="W544" s="55" t="e">
        <f t="shared" ca="1" si="174"/>
        <v>#N/A</v>
      </c>
      <c r="X544" s="55" t="e">
        <f t="shared" ca="1" si="175"/>
        <v>#N/A</v>
      </c>
      <c r="Y544" s="55" t="e">
        <f t="shared" ca="1" si="176"/>
        <v>#N/A</v>
      </c>
      <c r="Z544" s="55" t="e">
        <f t="shared" ca="1" si="172"/>
        <v>#N/A</v>
      </c>
      <c r="AA544" t="e">
        <f t="shared" ca="1" si="173"/>
        <v>#N/A</v>
      </c>
      <c r="AB544" t="e">
        <f t="shared" ca="1" si="165"/>
        <v>#N/A</v>
      </c>
      <c r="AC544" t="e">
        <f t="shared" ca="1" si="166"/>
        <v>#N/A</v>
      </c>
      <c r="AD544" t="e">
        <f t="shared" ca="1" si="167"/>
        <v>#N/A</v>
      </c>
      <c r="AE544" s="83" t="e">
        <f ca="1"/>
        <v>#N/A</v>
      </c>
      <c r="AF544" s="55" t="e">
        <f t="shared" ca="1" si="168"/>
        <v>#N/A</v>
      </c>
      <c r="AG544" s="55" t="e">
        <f t="shared" ca="1" si="169"/>
        <v>#N/A</v>
      </c>
      <c r="AH544" s="55" t="e">
        <f t="shared" ca="1" si="170"/>
        <v>#N/A</v>
      </c>
      <c r="AI544" s="55" t="e">
        <f t="shared" ca="1" si="171"/>
        <v>#N/A</v>
      </c>
      <c r="AJ544" s="55" t="e">
        <f t="shared" ca="1" si="177"/>
        <v>#N/A</v>
      </c>
      <c r="AK544" s="55" t="e">
        <f t="shared" ca="1" si="178"/>
        <v>#N/A</v>
      </c>
      <c r="AL544" s="55" t="e">
        <f t="shared" ca="1" si="179"/>
        <v>#N/A</v>
      </c>
      <c r="AM544" s="55"/>
    </row>
    <row r="545" spans="18:39">
      <c r="R545" s="55" t="e">
        <f ca="1"/>
        <v>#N/A</v>
      </c>
      <c r="S545" s="55" t="e">
        <f t="shared" ca="1" si="161"/>
        <v>#N/A</v>
      </c>
      <c r="T545" s="55" t="e">
        <f t="shared" ca="1" si="162"/>
        <v>#N/A</v>
      </c>
      <c r="U545" s="55" t="e">
        <f t="shared" ca="1" si="163"/>
        <v>#N/A</v>
      </c>
      <c r="V545" s="55" t="e">
        <f t="shared" ca="1" si="164"/>
        <v>#N/A</v>
      </c>
      <c r="W545" s="55" t="e">
        <f t="shared" ca="1" si="174"/>
        <v>#N/A</v>
      </c>
      <c r="X545" s="55" t="e">
        <f t="shared" ca="1" si="175"/>
        <v>#N/A</v>
      </c>
      <c r="Y545" s="55" t="e">
        <f t="shared" ca="1" si="176"/>
        <v>#N/A</v>
      </c>
      <c r="Z545" s="55" t="e">
        <f t="shared" ca="1" si="172"/>
        <v>#N/A</v>
      </c>
      <c r="AA545" t="e">
        <f t="shared" ca="1" si="173"/>
        <v>#N/A</v>
      </c>
      <c r="AB545" t="e">
        <f t="shared" ca="1" si="165"/>
        <v>#N/A</v>
      </c>
      <c r="AC545" t="e">
        <f t="shared" ca="1" si="166"/>
        <v>#N/A</v>
      </c>
      <c r="AD545" t="e">
        <f t="shared" ca="1" si="167"/>
        <v>#N/A</v>
      </c>
      <c r="AE545" s="83" t="e">
        <f ca="1"/>
        <v>#N/A</v>
      </c>
      <c r="AF545" s="55" t="e">
        <f t="shared" ca="1" si="168"/>
        <v>#N/A</v>
      </c>
      <c r="AG545" s="55" t="e">
        <f t="shared" ca="1" si="169"/>
        <v>#N/A</v>
      </c>
      <c r="AH545" s="55" t="e">
        <f t="shared" ca="1" si="170"/>
        <v>#N/A</v>
      </c>
      <c r="AI545" s="55" t="e">
        <f t="shared" ca="1" si="171"/>
        <v>#N/A</v>
      </c>
      <c r="AJ545" s="55" t="e">
        <f t="shared" ca="1" si="177"/>
        <v>#N/A</v>
      </c>
      <c r="AK545" s="55" t="e">
        <f t="shared" ca="1" si="178"/>
        <v>#N/A</v>
      </c>
      <c r="AL545" s="55" t="e">
        <f t="shared" ca="1" si="179"/>
        <v>#N/A</v>
      </c>
      <c r="AM545" s="55"/>
    </row>
    <row r="546" spans="18:39">
      <c r="R546" s="55" t="e">
        <f ca="1"/>
        <v>#N/A</v>
      </c>
      <c r="S546" s="55" t="e">
        <f t="shared" ca="1" si="161"/>
        <v>#N/A</v>
      </c>
      <c r="T546" s="55" t="e">
        <f t="shared" ca="1" si="162"/>
        <v>#N/A</v>
      </c>
      <c r="U546" s="55" t="e">
        <f t="shared" ca="1" si="163"/>
        <v>#N/A</v>
      </c>
      <c r="V546" s="55" t="e">
        <f t="shared" ca="1" si="164"/>
        <v>#N/A</v>
      </c>
      <c r="W546" s="55" t="e">
        <f t="shared" ca="1" si="174"/>
        <v>#N/A</v>
      </c>
      <c r="X546" s="55" t="e">
        <f t="shared" ca="1" si="175"/>
        <v>#N/A</v>
      </c>
      <c r="Y546" s="55" t="e">
        <f t="shared" ca="1" si="176"/>
        <v>#N/A</v>
      </c>
      <c r="Z546" s="55" t="e">
        <f t="shared" ca="1" si="172"/>
        <v>#N/A</v>
      </c>
      <c r="AA546" t="e">
        <f t="shared" ca="1" si="173"/>
        <v>#N/A</v>
      </c>
      <c r="AB546" t="e">
        <f t="shared" ca="1" si="165"/>
        <v>#N/A</v>
      </c>
      <c r="AC546" t="e">
        <f t="shared" ca="1" si="166"/>
        <v>#N/A</v>
      </c>
      <c r="AD546" t="e">
        <f t="shared" ca="1" si="167"/>
        <v>#N/A</v>
      </c>
      <c r="AE546" s="83" t="e">
        <f ca="1"/>
        <v>#N/A</v>
      </c>
      <c r="AF546" s="55" t="e">
        <f t="shared" ca="1" si="168"/>
        <v>#N/A</v>
      </c>
      <c r="AG546" s="55" t="e">
        <f t="shared" ca="1" si="169"/>
        <v>#N/A</v>
      </c>
      <c r="AH546" s="55" t="e">
        <f t="shared" ca="1" si="170"/>
        <v>#N/A</v>
      </c>
      <c r="AI546" s="55" t="e">
        <f t="shared" ca="1" si="171"/>
        <v>#N/A</v>
      </c>
      <c r="AJ546" s="55" t="e">
        <f t="shared" ca="1" si="177"/>
        <v>#N/A</v>
      </c>
      <c r="AK546" s="55" t="e">
        <f t="shared" ca="1" si="178"/>
        <v>#N/A</v>
      </c>
      <c r="AL546" s="55" t="e">
        <f t="shared" ca="1" si="179"/>
        <v>#N/A</v>
      </c>
      <c r="AM546" s="55"/>
    </row>
    <row r="547" spans="18:39">
      <c r="R547" s="55" t="e">
        <f ca="1"/>
        <v>#N/A</v>
      </c>
      <c r="S547" s="55" t="e">
        <f t="shared" ca="1" si="161"/>
        <v>#N/A</v>
      </c>
      <c r="T547" s="55" t="e">
        <f t="shared" ca="1" si="162"/>
        <v>#N/A</v>
      </c>
      <c r="U547" s="55" t="e">
        <f t="shared" ca="1" si="163"/>
        <v>#N/A</v>
      </c>
      <c r="V547" s="55" t="e">
        <f t="shared" ca="1" si="164"/>
        <v>#N/A</v>
      </c>
      <c r="W547" s="55" t="e">
        <f t="shared" ca="1" si="174"/>
        <v>#N/A</v>
      </c>
      <c r="X547" s="55" t="e">
        <f t="shared" ca="1" si="175"/>
        <v>#N/A</v>
      </c>
      <c r="Y547" s="55" t="e">
        <f t="shared" ca="1" si="176"/>
        <v>#N/A</v>
      </c>
      <c r="Z547" s="55" t="e">
        <f t="shared" ca="1" si="172"/>
        <v>#N/A</v>
      </c>
      <c r="AA547" t="e">
        <f t="shared" ca="1" si="173"/>
        <v>#N/A</v>
      </c>
      <c r="AB547" t="e">
        <f t="shared" ca="1" si="165"/>
        <v>#N/A</v>
      </c>
      <c r="AC547" t="e">
        <f t="shared" ca="1" si="166"/>
        <v>#N/A</v>
      </c>
      <c r="AD547" t="e">
        <f t="shared" ca="1" si="167"/>
        <v>#N/A</v>
      </c>
      <c r="AE547" s="83" t="e">
        <f ca="1"/>
        <v>#N/A</v>
      </c>
      <c r="AF547" s="55" t="e">
        <f t="shared" ca="1" si="168"/>
        <v>#N/A</v>
      </c>
      <c r="AG547" s="55" t="e">
        <f t="shared" ca="1" si="169"/>
        <v>#N/A</v>
      </c>
      <c r="AH547" s="55" t="e">
        <f t="shared" ca="1" si="170"/>
        <v>#N/A</v>
      </c>
      <c r="AI547" s="55" t="e">
        <f t="shared" ca="1" si="171"/>
        <v>#N/A</v>
      </c>
      <c r="AJ547" s="55" t="e">
        <f t="shared" ca="1" si="177"/>
        <v>#N/A</v>
      </c>
      <c r="AK547" s="55" t="e">
        <f t="shared" ca="1" si="178"/>
        <v>#N/A</v>
      </c>
      <c r="AL547" s="55" t="e">
        <f t="shared" ca="1" si="179"/>
        <v>#N/A</v>
      </c>
      <c r="AM547" s="55"/>
    </row>
    <row r="548" spans="18:39">
      <c r="R548" s="55" t="e">
        <f ca="1"/>
        <v>#N/A</v>
      </c>
      <c r="S548" s="55" t="e">
        <f t="shared" ca="1" si="161"/>
        <v>#N/A</v>
      </c>
      <c r="T548" s="55" t="e">
        <f t="shared" ca="1" si="162"/>
        <v>#N/A</v>
      </c>
      <c r="U548" s="55" t="e">
        <f t="shared" ca="1" si="163"/>
        <v>#N/A</v>
      </c>
      <c r="V548" s="55" t="e">
        <f t="shared" ca="1" si="164"/>
        <v>#N/A</v>
      </c>
      <c r="W548" s="55" t="e">
        <f t="shared" ca="1" si="174"/>
        <v>#N/A</v>
      </c>
      <c r="X548" s="55" t="e">
        <f t="shared" ca="1" si="175"/>
        <v>#N/A</v>
      </c>
      <c r="Y548" s="55" t="e">
        <f t="shared" ca="1" si="176"/>
        <v>#N/A</v>
      </c>
      <c r="Z548" s="55" t="e">
        <f t="shared" ca="1" si="172"/>
        <v>#N/A</v>
      </c>
      <c r="AA548" t="e">
        <f t="shared" ca="1" si="173"/>
        <v>#N/A</v>
      </c>
      <c r="AB548" t="e">
        <f t="shared" ca="1" si="165"/>
        <v>#N/A</v>
      </c>
      <c r="AC548" t="e">
        <f t="shared" ca="1" si="166"/>
        <v>#N/A</v>
      </c>
      <c r="AD548" t="e">
        <f t="shared" ca="1" si="167"/>
        <v>#N/A</v>
      </c>
      <c r="AE548" s="83" t="e">
        <f ca="1"/>
        <v>#N/A</v>
      </c>
      <c r="AF548" s="55" t="e">
        <f t="shared" ca="1" si="168"/>
        <v>#N/A</v>
      </c>
      <c r="AG548" s="55" t="e">
        <f t="shared" ca="1" si="169"/>
        <v>#N/A</v>
      </c>
      <c r="AH548" s="55" t="e">
        <f t="shared" ca="1" si="170"/>
        <v>#N/A</v>
      </c>
      <c r="AI548" s="55" t="e">
        <f t="shared" ca="1" si="171"/>
        <v>#N/A</v>
      </c>
      <c r="AJ548" s="55" t="e">
        <f t="shared" ca="1" si="177"/>
        <v>#N/A</v>
      </c>
      <c r="AK548" s="55" t="e">
        <f t="shared" ca="1" si="178"/>
        <v>#N/A</v>
      </c>
      <c r="AL548" s="55" t="e">
        <f t="shared" ca="1" si="179"/>
        <v>#N/A</v>
      </c>
      <c r="AM548" s="55"/>
    </row>
    <row r="549" spans="18:39">
      <c r="R549" s="55" t="e">
        <f ca="1"/>
        <v>#N/A</v>
      </c>
      <c r="S549" s="55" t="e">
        <f t="shared" ca="1" si="161"/>
        <v>#N/A</v>
      </c>
      <c r="T549" s="55" t="e">
        <f t="shared" ca="1" si="162"/>
        <v>#N/A</v>
      </c>
      <c r="U549" s="55" t="e">
        <f t="shared" ca="1" si="163"/>
        <v>#N/A</v>
      </c>
      <c r="V549" s="55" t="e">
        <f t="shared" ca="1" si="164"/>
        <v>#N/A</v>
      </c>
      <c r="W549" s="55" t="e">
        <f t="shared" ca="1" si="174"/>
        <v>#N/A</v>
      </c>
      <c r="X549" s="55" t="e">
        <f t="shared" ca="1" si="175"/>
        <v>#N/A</v>
      </c>
      <c r="Y549" s="55" t="e">
        <f t="shared" ca="1" si="176"/>
        <v>#N/A</v>
      </c>
      <c r="Z549" s="55" t="e">
        <f t="shared" ca="1" si="172"/>
        <v>#N/A</v>
      </c>
      <c r="AA549" t="e">
        <f t="shared" ca="1" si="173"/>
        <v>#N/A</v>
      </c>
      <c r="AB549" t="e">
        <f t="shared" ca="1" si="165"/>
        <v>#N/A</v>
      </c>
      <c r="AC549" t="e">
        <f t="shared" ca="1" si="166"/>
        <v>#N/A</v>
      </c>
      <c r="AD549" t="e">
        <f t="shared" ca="1" si="167"/>
        <v>#N/A</v>
      </c>
      <c r="AE549" s="83" t="e">
        <f ca="1"/>
        <v>#N/A</v>
      </c>
      <c r="AF549" s="55" t="e">
        <f t="shared" ca="1" si="168"/>
        <v>#N/A</v>
      </c>
      <c r="AG549" s="55" t="e">
        <f t="shared" ca="1" si="169"/>
        <v>#N/A</v>
      </c>
      <c r="AH549" s="55" t="e">
        <f t="shared" ca="1" si="170"/>
        <v>#N/A</v>
      </c>
      <c r="AI549" s="55" t="e">
        <f t="shared" ca="1" si="171"/>
        <v>#N/A</v>
      </c>
      <c r="AJ549" s="55" t="e">
        <f t="shared" ca="1" si="177"/>
        <v>#N/A</v>
      </c>
      <c r="AK549" s="55" t="e">
        <f t="shared" ca="1" si="178"/>
        <v>#N/A</v>
      </c>
      <c r="AL549" s="55" t="e">
        <f t="shared" ca="1" si="179"/>
        <v>#N/A</v>
      </c>
      <c r="AM549" s="55"/>
    </row>
    <row r="550" spans="18:39">
      <c r="R550" s="55" t="e">
        <f ca="1"/>
        <v>#N/A</v>
      </c>
      <c r="S550" s="55" t="e">
        <f t="shared" ca="1" si="161"/>
        <v>#N/A</v>
      </c>
      <c r="T550" s="55" t="e">
        <f t="shared" ca="1" si="162"/>
        <v>#N/A</v>
      </c>
      <c r="U550" s="55" t="e">
        <f t="shared" ca="1" si="163"/>
        <v>#N/A</v>
      </c>
      <c r="V550" s="55" t="e">
        <f t="shared" ca="1" si="164"/>
        <v>#N/A</v>
      </c>
      <c r="W550" s="55" t="e">
        <f t="shared" ca="1" si="174"/>
        <v>#N/A</v>
      </c>
      <c r="X550" s="55" t="e">
        <f t="shared" ca="1" si="175"/>
        <v>#N/A</v>
      </c>
      <c r="Y550" s="55" t="e">
        <f t="shared" ca="1" si="176"/>
        <v>#N/A</v>
      </c>
      <c r="Z550" s="55" t="e">
        <f t="shared" ca="1" si="172"/>
        <v>#N/A</v>
      </c>
      <c r="AA550" t="e">
        <f t="shared" ca="1" si="173"/>
        <v>#N/A</v>
      </c>
      <c r="AB550" t="e">
        <f t="shared" ca="1" si="165"/>
        <v>#N/A</v>
      </c>
      <c r="AC550" t="e">
        <f t="shared" ca="1" si="166"/>
        <v>#N/A</v>
      </c>
      <c r="AD550" t="e">
        <f t="shared" ca="1" si="167"/>
        <v>#N/A</v>
      </c>
      <c r="AE550" s="83" t="e">
        <f ca="1"/>
        <v>#N/A</v>
      </c>
      <c r="AF550" s="55" t="e">
        <f t="shared" ca="1" si="168"/>
        <v>#N/A</v>
      </c>
      <c r="AG550" s="55" t="e">
        <f t="shared" ca="1" si="169"/>
        <v>#N/A</v>
      </c>
      <c r="AH550" s="55" t="e">
        <f t="shared" ca="1" si="170"/>
        <v>#N/A</v>
      </c>
      <c r="AI550" s="55" t="e">
        <f t="shared" ca="1" si="171"/>
        <v>#N/A</v>
      </c>
      <c r="AJ550" s="55" t="e">
        <f t="shared" ca="1" si="177"/>
        <v>#N/A</v>
      </c>
      <c r="AK550" s="55" t="e">
        <f t="shared" ca="1" si="178"/>
        <v>#N/A</v>
      </c>
      <c r="AL550" s="55" t="e">
        <f t="shared" ca="1" si="179"/>
        <v>#N/A</v>
      </c>
      <c r="AM550" s="55"/>
    </row>
    <row r="551" spans="18:39">
      <c r="R551" s="55" t="e">
        <f ca="1"/>
        <v>#N/A</v>
      </c>
      <c r="S551" s="55" t="e">
        <f t="shared" ca="1" si="161"/>
        <v>#N/A</v>
      </c>
      <c r="T551" s="55" t="e">
        <f t="shared" ca="1" si="162"/>
        <v>#N/A</v>
      </c>
      <c r="U551" s="55" t="e">
        <f t="shared" ca="1" si="163"/>
        <v>#N/A</v>
      </c>
      <c r="V551" s="55" t="e">
        <f t="shared" ca="1" si="164"/>
        <v>#N/A</v>
      </c>
      <c r="W551" s="55" t="e">
        <f t="shared" ca="1" si="174"/>
        <v>#N/A</v>
      </c>
      <c r="X551" s="55" t="e">
        <f t="shared" ca="1" si="175"/>
        <v>#N/A</v>
      </c>
      <c r="Y551" s="55" t="e">
        <f t="shared" ca="1" si="176"/>
        <v>#N/A</v>
      </c>
      <c r="Z551" s="55" t="e">
        <f t="shared" ca="1" si="172"/>
        <v>#N/A</v>
      </c>
      <c r="AA551" t="e">
        <f t="shared" ca="1" si="173"/>
        <v>#N/A</v>
      </c>
      <c r="AB551" t="e">
        <f t="shared" ca="1" si="165"/>
        <v>#N/A</v>
      </c>
      <c r="AC551" t="e">
        <f t="shared" ca="1" si="166"/>
        <v>#N/A</v>
      </c>
      <c r="AD551" t="e">
        <f t="shared" ca="1" si="167"/>
        <v>#N/A</v>
      </c>
      <c r="AE551" s="83" t="e">
        <f ca="1"/>
        <v>#N/A</v>
      </c>
      <c r="AF551" s="55" t="e">
        <f t="shared" ca="1" si="168"/>
        <v>#N/A</v>
      </c>
      <c r="AG551" s="55" t="e">
        <f t="shared" ca="1" si="169"/>
        <v>#N/A</v>
      </c>
      <c r="AH551" s="55" t="e">
        <f t="shared" ca="1" si="170"/>
        <v>#N/A</v>
      </c>
      <c r="AI551" s="55" t="e">
        <f t="shared" ca="1" si="171"/>
        <v>#N/A</v>
      </c>
      <c r="AJ551" s="55" t="e">
        <f t="shared" ca="1" si="177"/>
        <v>#N/A</v>
      </c>
      <c r="AK551" s="55" t="e">
        <f t="shared" ca="1" si="178"/>
        <v>#N/A</v>
      </c>
      <c r="AL551" s="55" t="e">
        <f t="shared" ca="1" si="179"/>
        <v>#N/A</v>
      </c>
      <c r="AM551" s="55"/>
    </row>
    <row r="552" spans="18:39">
      <c r="R552" s="55" t="e">
        <f ca="1"/>
        <v>#N/A</v>
      </c>
      <c r="S552" s="55" t="e">
        <f t="shared" ca="1" si="161"/>
        <v>#N/A</v>
      </c>
      <c r="T552" s="55" t="e">
        <f t="shared" ca="1" si="162"/>
        <v>#N/A</v>
      </c>
      <c r="U552" s="55" t="e">
        <f t="shared" ca="1" si="163"/>
        <v>#N/A</v>
      </c>
      <c r="V552" s="55" t="e">
        <f t="shared" ca="1" si="164"/>
        <v>#N/A</v>
      </c>
      <c r="W552" s="55" t="e">
        <f t="shared" ca="1" si="174"/>
        <v>#N/A</v>
      </c>
      <c r="X552" s="55" t="e">
        <f t="shared" ca="1" si="175"/>
        <v>#N/A</v>
      </c>
      <c r="Y552" s="55" t="e">
        <f t="shared" ca="1" si="176"/>
        <v>#N/A</v>
      </c>
      <c r="Z552" s="55" t="e">
        <f t="shared" ca="1" si="172"/>
        <v>#N/A</v>
      </c>
      <c r="AA552" t="e">
        <f t="shared" ca="1" si="173"/>
        <v>#N/A</v>
      </c>
      <c r="AB552" t="e">
        <f t="shared" ca="1" si="165"/>
        <v>#N/A</v>
      </c>
      <c r="AC552" t="e">
        <f t="shared" ca="1" si="166"/>
        <v>#N/A</v>
      </c>
      <c r="AD552" t="e">
        <f t="shared" ca="1" si="167"/>
        <v>#N/A</v>
      </c>
      <c r="AE552" s="83" t="e">
        <f ca="1"/>
        <v>#N/A</v>
      </c>
      <c r="AF552" s="55" t="e">
        <f t="shared" ca="1" si="168"/>
        <v>#N/A</v>
      </c>
      <c r="AG552" s="55" t="e">
        <f t="shared" ca="1" si="169"/>
        <v>#N/A</v>
      </c>
      <c r="AH552" s="55" t="e">
        <f t="shared" ca="1" si="170"/>
        <v>#N/A</v>
      </c>
      <c r="AI552" s="55" t="e">
        <f t="shared" ca="1" si="171"/>
        <v>#N/A</v>
      </c>
      <c r="AJ552" s="55" t="e">
        <f t="shared" ca="1" si="177"/>
        <v>#N/A</v>
      </c>
      <c r="AK552" s="55" t="e">
        <f t="shared" ca="1" si="178"/>
        <v>#N/A</v>
      </c>
      <c r="AL552" s="55" t="e">
        <f t="shared" ca="1" si="179"/>
        <v>#N/A</v>
      </c>
      <c r="AM552" s="55"/>
    </row>
    <row r="553" spans="18:39">
      <c r="R553" s="55" t="e">
        <f ca="1"/>
        <v>#N/A</v>
      </c>
      <c r="S553" s="55" t="e">
        <f t="shared" ca="1" si="161"/>
        <v>#N/A</v>
      </c>
      <c r="T553" s="55" t="e">
        <f t="shared" ca="1" si="162"/>
        <v>#N/A</v>
      </c>
      <c r="U553" s="55" t="e">
        <f t="shared" ca="1" si="163"/>
        <v>#N/A</v>
      </c>
      <c r="V553" s="55" t="e">
        <f t="shared" ca="1" si="164"/>
        <v>#N/A</v>
      </c>
      <c r="W553" s="55" t="e">
        <f t="shared" ca="1" si="174"/>
        <v>#N/A</v>
      </c>
      <c r="X553" s="55" t="e">
        <f t="shared" ca="1" si="175"/>
        <v>#N/A</v>
      </c>
      <c r="Y553" s="55" t="e">
        <f t="shared" ca="1" si="176"/>
        <v>#N/A</v>
      </c>
      <c r="Z553" s="55" t="e">
        <f t="shared" ca="1" si="172"/>
        <v>#N/A</v>
      </c>
      <c r="AA553" t="e">
        <f t="shared" ca="1" si="173"/>
        <v>#N/A</v>
      </c>
      <c r="AB553" t="e">
        <f t="shared" ca="1" si="165"/>
        <v>#N/A</v>
      </c>
      <c r="AC553" t="e">
        <f t="shared" ca="1" si="166"/>
        <v>#N/A</v>
      </c>
      <c r="AD553" t="e">
        <f t="shared" ca="1" si="167"/>
        <v>#N/A</v>
      </c>
      <c r="AE553" s="83" t="e">
        <f ca="1"/>
        <v>#N/A</v>
      </c>
      <c r="AF553" s="55" t="e">
        <f t="shared" ca="1" si="168"/>
        <v>#N/A</v>
      </c>
      <c r="AG553" s="55" t="e">
        <f t="shared" ca="1" si="169"/>
        <v>#N/A</v>
      </c>
      <c r="AH553" s="55" t="e">
        <f t="shared" ca="1" si="170"/>
        <v>#N/A</v>
      </c>
      <c r="AI553" s="55" t="e">
        <f t="shared" ca="1" si="171"/>
        <v>#N/A</v>
      </c>
      <c r="AJ553" s="55" t="e">
        <f t="shared" ca="1" si="177"/>
        <v>#N/A</v>
      </c>
      <c r="AK553" s="55" t="e">
        <f t="shared" ca="1" si="178"/>
        <v>#N/A</v>
      </c>
      <c r="AL553" s="55" t="e">
        <f t="shared" ca="1" si="179"/>
        <v>#N/A</v>
      </c>
      <c r="AM553" s="55"/>
    </row>
    <row r="554" spans="18:39">
      <c r="R554" s="55" t="e">
        <f ca="1"/>
        <v>#N/A</v>
      </c>
      <c r="S554" s="55" t="e">
        <f t="shared" ca="1" si="161"/>
        <v>#N/A</v>
      </c>
      <c r="T554" s="55" t="e">
        <f t="shared" ca="1" si="162"/>
        <v>#N/A</v>
      </c>
      <c r="U554" s="55" t="e">
        <f t="shared" ca="1" si="163"/>
        <v>#N/A</v>
      </c>
      <c r="V554" s="55" t="e">
        <f t="shared" ca="1" si="164"/>
        <v>#N/A</v>
      </c>
      <c r="W554" s="55" t="e">
        <f t="shared" ca="1" si="174"/>
        <v>#N/A</v>
      </c>
      <c r="X554" s="55" t="e">
        <f t="shared" ca="1" si="175"/>
        <v>#N/A</v>
      </c>
      <c r="Y554" s="55" t="e">
        <f t="shared" ca="1" si="176"/>
        <v>#N/A</v>
      </c>
      <c r="Z554" s="55" t="e">
        <f t="shared" ca="1" si="172"/>
        <v>#N/A</v>
      </c>
      <c r="AA554" t="e">
        <f t="shared" ca="1" si="173"/>
        <v>#N/A</v>
      </c>
      <c r="AB554" t="e">
        <f t="shared" ca="1" si="165"/>
        <v>#N/A</v>
      </c>
      <c r="AC554" t="e">
        <f t="shared" ca="1" si="166"/>
        <v>#N/A</v>
      </c>
      <c r="AD554" t="e">
        <f t="shared" ca="1" si="167"/>
        <v>#N/A</v>
      </c>
      <c r="AE554" s="83" t="e">
        <f ca="1"/>
        <v>#N/A</v>
      </c>
      <c r="AF554" s="55" t="e">
        <f t="shared" ca="1" si="168"/>
        <v>#N/A</v>
      </c>
      <c r="AG554" s="55" t="e">
        <f t="shared" ca="1" si="169"/>
        <v>#N/A</v>
      </c>
      <c r="AH554" s="55" t="e">
        <f t="shared" ca="1" si="170"/>
        <v>#N/A</v>
      </c>
      <c r="AI554" s="55" t="e">
        <f t="shared" ca="1" si="171"/>
        <v>#N/A</v>
      </c>
      <c r="AJ554" s="55" t="e">
        <f t="shared" ca="1" si="177"/>
        <v>#N/A</v>
      </c>
      <c r="AK554" s="55" t="e">
        <f t="shared" ca="1" si="178"/>
        <v>#N/A</v>
      </c>
      <c r="AL554" s="55" t="e">
        <f t="shared" ca="1" si="179"/>
        <v>#N/A</v>
      </c>
      <c r="AM554" s="55"/>
    </row>
    <row r="555" spans="18:39">
      <c r="R555" s="55" t="e">
        <f ca="1"/>
        <v>#N/A</v>
      </c>
      <c r="S555" s="55" t="e">
        <f t="shared" ca="1" si="161"/>
        <v>#N/A</v>
      </c>
      <c r="T555" s="55" t="e">
        <f t="shared" ca="1" si="162"/>
        <v>#N/A</v>
      </c>
      <c r="U555" s="55" t="e">
        <f t="shared" ca="1" si="163"/>
        <v>#N/A</v>
      </c>
      <c r="V555" s="55" t="e">
        <f t="shared" ca="1" si="164"/>
        <v>#N/A</v>
      </c>
      <c r="W555" s="55" t="e">
        <f t="shared" ca="1" si="174"/>
        <v>#N/A</v>
      </c>
      <c r="X555" s="55" t="e">
        <f t="shared" ca="1" si="175"/>
        <v>#N/A</v>
      </c>
      <c r="Y555" s="55" t="e">
        <f t="shared" ca="1" si="176"/>
        <v>#N/A</v>
      </c>
      <c r="Z555" s="55" t="e">
        <f t="shared" ca="1" si="172"/>
        <v>#N/A</v>
      </c>
      <c r="AA555" t="e">
        <f t="shared" ca="1" si="173"/>
        <v>#N/A</v>
      </c>
      <c r="AB555" t="e">
        <f t="shared" ca="1" si="165"/>
        <v>#N/A</v>
      </c>
      <c r="AC555" t="e">
        <f t="shared" ca="1" si="166"/>
        <v>#N/A</v>
      </c>
      <c r="AD555" t="e">
        <f t="shared" ca="1" si="167"/>
        <v>#N/A</v>
      </c>
      <c r="AE555" s="83" t="e">
        <f ca="1"/>
        <v>#N/A</v>
      </c>
      <c r="AF555" s="55" t="e">
        <f t="shared" ca="1" si="168"/>
        <v>#N/A</v>
      </c>
      <c r="AG555" s="55" t="e">
        <f t="shared" ca="1" si="169"/>
        <v>#N/A</v>
      </c>
      <c r="AH555" s="55" t="e">
        <f t="shared" ca="1" si="170"/>
        <v>#N/A</v>
      </c>
      <c r="AI555" s="55" t="e">
        <f t="shared" ca="1" si="171"/>
        <v>#N/A</v>
      </c>
      <c r="AJ555" s="55" t="e">
        <f t="shared" ca="1" si="177"/>
        <v>#N/A</v>
      </c>
      <c r="AK555" s="55" t="e">
        <f t="shared" ca="1" si="178"/>
        <v>#N/A</v>
      </c>
      <c r="AL555" s="55" t="e">
        <f t="shared" ca="1" si="179"/>
        <v>#N/A</v>
      </c>
      <c r="AM555" s="55"/>
    </row>
    <row r="556" spans="18:39">
      <c r="R556" s="55" t="e">
        <f ca="1"/>
        <v>#N/A</v>
      </c>
      <c r="S556" s="55" t="e">
        <f t="shared" ca="1" si="161"/>
        <v>#N/A</v>
      </c>
      <c r="T556" s="55" t="e">
        <f t="shared" ca="1" si="162"/>
        <v>#N/A</v>
      </c>
      <c r="U556" s="55" t="e">
        <f t="shared" ca="1" si="163"/>
        <v>#N/A</v>
      </c>
      <c r="V556" s="55" t="e">
        <f t="shared" ca="1" si="164"/>
        <v>#N/A</v>
      </c>
      <c r="W556" s="55" t="e">
        <f t="shared" ca="1" si="174"/>
        <v>#N/A</v>
      </c>
      <c r="X556" s="55" t="e">
        <f t="shared" ca="1" si="175"/>
        <v>#N/A</v>
      </c>
      <c r="Y556" s="55" t="e">
        <f t="shared" ca="1" si="176"/>
        <v>#N/A</v>
      </c>
      <c r="Z556" s="55" t="e">
        <f t="shared" ca="1" si="172"/>
        <v>#N/A</v>
      </c>
      <c r="AA556" t="e">
        <f t="shared" ca="1" si="173"/>
        <v>#N/A</v>
      </c>
      <c r="AB556" t="e">
        <f t="shared" ca="1" si="165"/>
        <v>#N/A</v>
      </c>
      <c r="AC556" t="e">
        <f t="shared" ca="1" si="166"/>
        <v>#N/A</v>
      </c>
      <c r="AD556" t="e">
        <f t="shared" ca="1" si="167"/>
        <v>#N/A</v>
      </c>
      <c r="AE556" s="83" t="e">
        <f ca="1"/>
        <v>#N/A</v>
      </c>
      <c r="AF556" s="55" t="e">
        <f t="shared" ca="1" si="168"/>
        <v>#N/A</v>
      </c>
      <c r="AG556" s="55" t="e">
        <f t="shared" ca="1" si="169"/>
        <v>#N/A</v>
      </c>
      <c r="AH556" s="55" t="e">
        <f t="shared" ca="1" si="170"/>
        <v>#N/A</v>
      </c>
      <c r="AI556" s="55" t="e">
        <f t="shared" ca="1" si="171"/>
        <v>#N/A</v>
      </c>
      <c r="AJ556" s="55" t="e">
        <f t="shared" ca="1" si="177"/>
        <v>#N/A</v>
      </c>
      <c r="AK556" s="55" t="e">
        <f t="shared" ca="1" si="178"/>
        <v>#N/A</v>
      </c>
      <c r="AL556" s="55" t="e">
        <f t="shared" ca="1" si="179"/>
        <v>#N/A</v>
      </c>
      <c r="AM556" s="55"/>
    </row>
    <row r="557" spans="18:39">
      <c r="R557" s="55" t="e">
        <f ca="1"/>
        <v>#N/A</v>
      </c>
      <c r="S557" s="55" t="e">
        <f t="shared" ca="1" si="161"/>
        <v>#N/A</v>
      </c>
      <c r="T557" s="55" t="e">
        <f t="shared" ca="1" si="162"/>
        <v>#N/A</v>
      </c>
      <c r="U557" s="55" t="e">
        <f t="shared" ca="1" si="163"/>
        <v>#N/A</v>
      </c>
      <c r="V557" s="55" t="e">
        <f t="shared" ca="1" si="164"/>
        <v>#N/A</v>
      </c>
      <c r="W557" s="55" t="e">
        <f t="shared" ca="1" si="174"/>
        <v>#N/A</v>
      </c>
      <c r="X557" s="55" t="e">
        <f t="shared" ca="1" si="175"/>
        <v>#N/A</v>
      </c>
      <c r="Y557" s="55" t="e">
        <f t="shared" ca="1" si="176"/>
        <v>#N/A</v>
      </c>
      <c r="Z557" s="55" t="e">
        <f t="shared" ca="1" si="172"/>
        <v>#N/A</v>
      </c>
      <c r="AA557" t="e">
        <f t="shared" ca="1" si="173"/>
        <v>#N/A</v>
      </c>
      <c r="AB557" t="e">
        <f t="shared" ca="1" si="165"/>
        <v>#N/A</v>
      </c>
      <c r="AC557" t="e">
        <f t="shared" ca="1" si="166"/>
        <v>#N/A</v>
      </c>
      <c r="AD557" t="e">
        <f t="shared" ca="1" si="167"/>
        <v>#N/A</v>
      </c>
      <c r="AE557" s="83" t="e">
        <f ca="1"/>
        <v>#N/A</v>
      </c>
      <c r="AF557" s="55" t="e">
        <f t="shared" ca="1" si="168"/>
        <v>#N/A</v>
      </c>
      <c r="AG557" s="55" t="e">
        <f t="shared" ca="1" si="169"/>
        <v>#N/A</v>
      </c>
      <c r="AH557" s="55" t="e">
        <f t="shared" ca="1" si="170"/>
        <v>#N/A</v>
      </c>
      <c r="AI557" s="55" t="e">
        <f t="shared" ca="1" si="171"/>
        <v>#N/A</v>
      </c>
      <c r="AJ557" s="55" t="e">
        <f t="shared" ca="1" si="177"/>
        <v>#N/A</v>
      </c>
      <c r="AK557" s="55" t="e">
        <f t="shared" ca="1" si="178"/>
        <v>#N/A</v>
      </c>
      <c r="AL557" s="55" t="e">
        <f t="shared" ca="1" si="179"/>
        <v>#N/A</v>
      </c>
      <c r="AM557" s="55"/>
    </row>
    <row r="558" spans="18:39">
      <c r="R558" s="55" t="e">
        <f ca="1"/>
        <v>#N/A</v>
      </c>
      <c r="S558" s="55" t="e">
        <f t="shared" ca="1" si="161"/>
        <v>#N/A</v>
      </c>
      <c r="T558" s="55" t="e">
        <f t="shared" ca="1" si="162"/>
        <v>#N/A</v>
      </c>
      <c r="U558" s="55" t="e">
        <f t="shared" ca="1" si="163"/>
        <v>#N/A</v>
      </c>
      <c r="V558" s="55" t="e">
        <f t="shared" ca="1" si="164"/>
        <v>#N/A</v>
      </c>
      <c r="W558" s="55" t="e">
        <f t="shared" ca="1" si="174"/>
        <v>#N/A</v>
      </c>
      <c r="X558" s="55" t="e">
        <f t="shared" ca="1" si="175"/>
        <v>#N/A</v>
      </c>
      <c r="Y558" s="55" t="e">
        <f t="shared" ca="1" si="176"/>
        <v>#N/A</v>
      </c>
      <c r="Z558" s="55" t="e">
        <f t="shared" ca="1" si="172"/>
        <v>#N/A</v>
      </c>
      <c r="AA558" t="e">
        <f t="shared" ca="1" si="173"/>
        <v>#N/A</v>
      </c>
      <c r="AB558" t="e">
        <f t="shared" ca="1" si="165"/>
        <v>#N/A</v>
      </c>
      <c r="AC558" t="e">
        <f t="shared" ca="1" si="166"/>
        <v>#N/A</v>
      </c>
      <c r="AD558" t="e">
        <f t="shared" ca="1" si="167"/>
        <v>#N/A</v>
      </c>
      <c r="AE558" s="83" t="e">
        <f ca="1"/>
        <v>#N/A</v>
      </c>
      <c r="AF558" s="55" t="e">
        <f t="shared" ca="1" si="168"/>
        <v>#N/A</v>
      </c>
      <c r="AG558" s="55" t="e">
        <f t="shared" ca="1" si="169"/>
        <v>#N/A</v>
      </c>
      <c r="AH558" s="55" t="e">
        <f t="shared" ca="1" si="170"/>
        <v>#N/A</v>
      </c>
      <c r="AI558" s="55" t="e">
        <f t="shared" ca="1" si="171"/>
        <v>#N/A</v>
      </c>
      <c r="AJ558" s="55" t="e">
        <f t="shared" ca="1" si="177"/>
        <v>#N/A</v>
      </c>
      <c r="AK558" s="55" t="e">
        <f t="shared" ca="1" si="178"/>
        <v>#N/A</v>
      </c>
      <c r="AL558" s="55" t="e">
        <f t="shared" ca="1" si="179"/>
        <v>#N/A</v>
      </c>
      <c r="AM558" s="55"/>
    </row>
    <row r="559" spans="18:39">
      <c r="R559" s="55" t="e">
        <f ca="1"/>
        <v>#N/A</v>
      </c>
      <c r="S559" s="55" t="e">
        <f t="shared" ca="1" si="161"/>
        <v>#N/A</v>
      </c>
      <c r="T559" s="55" t="e">
        <f t="shared" ca="1" si="162"/>
        <v>#N/A</v>
      </c>
      <c r="U559" s="55" t="e">
        <f t="shared" ca="1" si="163"/>
        <v>#N/A</v>
      </c>
      <c r="V559" s="55" t="e">
        <f t="shared" ca="1" si="164"/>
        <v>#N/A</v>
      </c>
      <c r="W559" s="55" t="e">
        <f t="shared" ca="1" si="174"/>
        <v>#N/A</v>
      </c>
      <c r="X559" s="55" t="e">
        <f t="shared" ca="1" si="175"/>
        <v>#N/A</v>
      </c>
      <c r="Y559" s="55" t="e">
        <f t="shared" ca="1" si="176"/>
        <v>#N/A</v>
      </c>
      <c r="Z559" s="55" t="e">
        <f t="shared" ca="1" si="172"/>
        <v>#N/A</v>
      </c>
      <c r="AA559" t="e">
        <f t="shared" ca="1" si="173"/>
        <v>#N/A</v>
      </c>
      <c r="AB559" t="e">
        <f t="shared" ca="1" si="165"/>
        <v>#N/A</v>
      </c>
      <c r="AC559" t="e">
        <f t="shared" ca="1" si="166"/>
        <v>#N/A</v>
      </c>
      <c r="AD559" t="e">
        <f t="shared" ca="1" si="167"/>
        <v>#N/A</v>
      </c>
      <c r="AE559" s="83" t="e">
        <f ca="1"/>
        <v>#N/A</v>
      </c>
      <c r="AF559" s="55" t="e">
        <f t="shared" ca="1" si="168"/>
        <v>#N/A</v>
      </c>
      <c r="AG559" s="55" t="e">
        <f t="shared" ca="1" si="169"/>
        <v>#N/A</v>
      </c>
      <c r="AH559" s="55" t="e">
        <f t="shared" ca="1" si="170"/>
        <v>#N/A</v>
      </c>
      <c r="AI559" s="55" t="e">
        <f t="shared" ca="1" si="171"/>
        <v>#N/A</v>
      </c>
      <c r="AJ559" s="55" t="e">
        <f t="shared" ca="1" si="177"/>
        <v>#N/A</v>
      </c>
      <c r="AK559" s="55" t="e">
        <f t="shared" ca="1" si="178"/>
        <v>#N/A</v>
      </c>
      <c r="AL559" s="55" t="e">
        <f t="shared" ca="1" si="179"/>
        <v>#N/A</v>
      </c>
      <c r="AM559" s="55"/>
    </row>
    <row r="560" spans="18:39">
      <c r="R560" s="55" t="e">
        <f ca="1"/>
        <v>#N/A</v>
      </c>
      <c r="S560" s="55" t="e">
        <f t="shared" ca="1" si="161"/>
        <v>#N/A</v>
      </c>
      <c r="T560" s="55" t="e">
        <f t="shared" ca="1" si="162"/>
        <v>#N/A</v>
      </c>
      <c r="U560" s="55" t="e">
        <f t="shared" ca="1" si="163"/>
        <v>#N/A</v>
      </c>
      <c r="V560" s="55" t="e">
        <f t="shared" ca="1" si="164"/>
        <v>#N/A</v>
      </c>
      <c r="W560" s="55" t="e">
        <f t="shared" ca="1" si="174"/>
        <v>#N/A</v>
      </c>
      <c r="X560" s="55" t="e">
        <f t="shared" ca="1" si="175"/>
        <v>#N/A</v>
      </c>
      <c r="Y560" s="55" t="e">
        <f t="shared" ca="1" si="176"/>
        <v>#N/A</v>
      </c>
      <c r="Z560" s="55" t="e">
        <f t="shared" ca="1" si="172"/>
        <v>#N/A</v>
      </c>
      <c r="AA560" t="e">
        <f t="shared" ca="1" si="173"/>
        <v>#N/A</v>
      </c>
      <c r="AB560" t="e">
        <f t="shared" ca="1" si="165"/>
        <v>#N/A</v>
      </c>
      <c r="AC560" t="e">
        <f t="shared" ca="1" si="166"/>
        <v>#N/A</v>
      </c>
      <c r="AD560" t="e">
        <f t="shared" ca="1" si="167"/>
        <v>#N/A</v>
      </c>
      <c r="AE560" s="83" t="e">
        <f ca="1"/>
        <v>#N/A</v>
      </c>
      <c r="AF560" s="55" t="e">
        <f t="shared" ca="1" si="168"/>
        <v>#N/A</v>
      </c>
      <c r="AG560" s="55" t="e">
        <f t="shared" ca="1" si="169"/>
        <v>#N/A</v>
      </c>
      <c r="AH560" s="55" t="e">
        <f t="shared" ca="1" si="170"/>
        <v>#N/A</v>
      </c>
      <c r="AI560" s="55" t="e">
        <f t="shared" ca="1" si="171"/>
        <v>#N/A</v>
      </c>
      <c r="AJ560" s="55" t="e">
        <f t="shared" ca="1" si="177"/>
        <v>#N/A</v>
      </c>
      <c r="AK560" s="55" t="e">
        <f t="shared" ca="1" si="178"/>
        <v>#N/A</v>
      </c>
      <c r="AL560" s="55" t="e">
        <f t="shared" ca="1" si="179"/>
        <v>#N/A</v>
      </c>
      <c r="AM560" s="55"/>
    </row>
    <row r="561" spans="18:39">
      <c r="R561" s="55" t="e">
        <f ca="1"/>
        <v>#N/A</v>
      </c>
      <c r="S561" s="55" t="e">
        <f t="shared" ca="1" si="161"/>
        <v>#N/A</v>
      </c>
      <c r="T561" s="55" t="e">
        <f t="shared" ca="1" si="162"/>
        <v>#N/A</v>
      </c>
      <c r="U561" s="55" t="e">
        <f t="shared" ca="1" si="163"/>
        <v>#N/A</v>
      </c>
      <c r="V561" s="55" t="e">
        <f t="shared" ca="1" si="164"/>
        <v>#N/A</v>
      </c>
      <c r="W561" s="55" t="e">
        <f t="shared" ca="1" si="174"/>
        <v>#N/A</v>
      </c>
      <c r="X561" s="55" t="e">
        <f t="shared" ca="1" si="175"/>
        <v>#N/A</v>
      </c>
      <c r="Y561" s="55" t="e">
        <f t="shared" ca="1" si="176"/>
        <v>#N/A</v>
      </c>
      <c r="Z561" s="55" t="e">
        <f t="shared" ca="1" si="172"/>
        <v>#N/A</v>
      </c>
      <c r="AA561" t="e">
        <f t="shared" ca="1" si="173"/>
        <v>#N/A</v>
      </c>
      <c r="AB561" t="e">
        <f t="shared" ca="1" si="165"/>
        <v>#N/A</v>
      </c>
      <c r="AC561" t="e">
        <f t="shared" ca="1" si="166"/>
        <v>#N/A</v>
      </c>
      <c r="AD561" t="e">
        <f t="shared" ca="1" si="167"/>
        <v>#N/A</v>
      </c>
      <c r="AE561" s="83" t="e">
        <f ca="1"/>
        <v>#N/A</v>
      </c>
      <c r="AF561" s="55" t="e">
        <f t="shared" ca="1" si="168"/>
        <v>#N/A</v>
      </c>
      <c r="AG561" s="55" t="e">
        <f t="shared" ca="1" si="169"/>
        <v>#N/A</v>
      </c>
      <c r="AH561" s="55" t="e">
        <f t="shared" ca="1" si="170"/>
        <v>#N/A</v>
      </c>
      <c r="AI561" s="55" t="e">
        <f t="shared" ca="1" si="171"/>
        <v>#N/A</v>
      </c>
      <c r="AJ561" s="55" t="e">
        <f t="shared" ca="1" si="177"/>
        <v>#N/A</v>
      </c>
      <c r="AK561" s="55" t="e">
        <f t="shared" ca="1" si="178"/>
        <v>#N/A</v>
      </c>
      <c r="AL561" s="55" t="e">
        <f t="shared" ca="1" si="179"/>
        <v>#N/A</v>
      </c>
      <c r="AM561" s="55"/>
    </row>
    <row r="562" spans="18:39">
      <c r="R562" s="55" t="e">
        <f ca="1"/>
        <v>#N/A</v>
      </c>
      <c r="S562" s="55" t="e">
        <f t="shared" ca="1" si="161"/>
        <v>#N/A</v>
      </c>
      <c r="T562" s="55" t="e">
        <f t="shared" ca="1" si="162"/>
        <v>#N/A</v>
      </c>
      <c r="U562" s="55" t="e">
        <f t="shared" ca="1" si="163"/>
        <v>#N/A</v>
      </c>
      <c r="V562" s="55" t="e">
        <f t="shared" ca="1" si="164"/>
        <v>#N/A</v>
      </c>
      <c r="W562" s="55" t="e">
        <f t="shared" ca="1" si="174"/>
        <v>#N/A</v>
      </c>
      <c r="X562" s="55" t="e">
        <f t="shared" ca="1" si="175"/>
        <v>#N/A</v>
      </c>
      <c r="Y562" s="55" t="e">
        <f t="shared" ca="1" si="176"/>
        <v>#N/A</v>
      </c>
      <c r="Z562" s="55" t="e">
        <f t="shared" ca="1" si="172"/>
        <v>#N/A</v>
      </c>
      <c r="AA562" t="e">
        <f t="shared" ca="1" si="173"/>
        <v>#N/A</v>
      </c>
      <c r="AB562" t="e">
        <f t="shared" ca="1" si="165"/>
        <v>#N/A</v>
      </c>
      <c r="AC562" t="e">
        <f t="shared" ca="1" si="166"/>
        <v>#N/A</v>
      </c>
      <c r="AD562" t="e">
        <f t="shared" ca="1" si="167"/>
        <v>#N/A</v>
      </c>
      <c r="AE562" s="83" t="e">
        <f ca="1"/>
        <v>#N/A</v>
      </c>
      <c r="AF562" s="55" t="e">
        <f t="shared" ca="1" si="168"/>
        <v>#N/A</v>
      </c>
      <c r="AG562" s="55" t="e">
        <f t="shared" ca="1" si="169"/>
        <v>#N/A</v>
      </c>
      <c r="AH562" s="55" t="e">
        <f t="shared" ca="1" si="170"/>
        <v>#N/A</v>
      </c>
      <c r="AI562" s="55" t="e">
        <f t="shared" ca="1" si="171"/>
        <v>#N/A</v>
      </c>
      <c r="AJ562" s="55" t="e">
        <f t="shared" ca="1" si="177"/>
        <v>#N/A</v>
      </c>
      <c r="AK562" s="55" t="e">
        <f t="shared" ca="1" si="178"/>
        <v>#N/A</v>
      </c>
      <c r="AL562" s="55" t="e">
        <f t="shared" ca="1" si="179"/>
        <v>#N/A</v>
      </c>
      <c r="AM562" s="55"/>
    </row>
    <row r="563" spans="18:39">
      <c r="R563" s="55" t="e">
        <f ca="1"/>
        <v>#N/A</v>
      </c>
      <c r="S563" s="55" t="e">
        <f t="shared" ca="1" si="161"/>
        <v>#N/A</v>
      </c>
      <c r="T563" s="55" t="e">
        <f t="shared" ca="1" si="162"/>
        <v>#N/A</v>
      </c>
      <c r="U563" s="55" t="e">
        <f t="shared" ca="1" si="163"/>
        <v>#N/A</v>
      </c>
      <c r="V563" s="55" t="e">
        <f t="shared" ca="1" si="164"/>
        <v>#N/A</v>
      </c>
      <c r="W563" s="55" t="e">
        <f t="shared" ca="1" si="174"/>
        <v>#N/A</v>
      </c>
      <c r="X563" s="55" t="e">
        <f t="shared" ca="1" si="175"/>
        <v>#N/A</v>
      </c>
      <c r="Y563" s="55" t="e">
        <f t="shared" ca="1" si="176"/>
        <v>#N/A</v>
      </c>
      <c r="Z563" s="55" t="e">
        <f t="shared" ca="1" si="172"/>
        <v>#N/A</v>
      </c>
      <c r="AA563" t="e">
        <f t="shared" ca="1" si="173"/>
        <v>#N/A</v>
      </c>
      <c r="AB563" t="e">
        <f t="shared" ca="1" si="165"/>
        <v>#N/A</v>
      </c>
      <c r="AC563" t="e">
        <f t="shared" ca="1" si="166"/>
        <v>#N/A</v>
      </c>
      <c r="AD563" t="e">
        <f t="shared" ca="1" si="167"/>
        <v>#N/A</v>
      </c>
      <c r="AE563" s="83" t="e">
        <f ca="1"/>
        <v>#N/A</v>
      </c>
      <c r="AF563" s="55" t="e">
        <f t="shared" ca="1" si="168"/>
        <v>#N/A</v>
      </c>
      <c r="AG563" s="55" t="e">
        <f t="shared" ca="1" si="169"/>
        <v>#N/A</v>
      </c>
      <c r="AH563" s="55" t="e">
        <f t="shared" ca="1" si="170"/>
        <v>#N/A</v>
      </c>
      <c r="AI563" s="55" t="e">
        <f t="shared" ca="1" si="171"/>
        <v>#N/A</v>
      </c>
      <c r="AJ563" s="55" t="e">
        <f t="shared" ca="1" si="177"/>
        <v>#N/A</v>
      </c>
      <c r="AK563" s="55" t="e">
        <f t="shared" ca="1" si="178"/>
        <v>#N/A</v>
      </c>
      <c r="AL563" s="55" t="e">
        <f t="shared" ca="1" si="179"/>
        <v>#N/A</v>
      </c>
      <c r="AM563" s="55"/>
    </row>
    <row r="564" spans="18:39">
      <c r="R564" s="55" t="e">
        <f ca="1"/>
        <v>#N/A</v>
      </c>
      <c r="S564" s="55" t="e">
        <f t="shared" ca="1" si="161"/>
        <v>#N/A</v>
      </c>
      <c r="T564" s="55" t="e">
        <f t="shared" ca="1" si="162"/>
        <v>#N/A</v>
      </c>
      <c r="U564" s="55" t="e">
        <f t="shared" ca="1" si="163"/>
        <v>#N/A</v>
      </c>
      <c r="V564" s="55" t="e">
        <f t="shared" ca="1" si="164"/>
        <v>#N/A</v>
      </c>
      <c r="W564" s="55" t="e">
        <f t="shared" ca="1" si="174"/>
        <v>#N/A</v>
      </c>
      <c r="X564" s="55" t="e">
        <f t="shared" ca="1" si="175"/>
        <v>#N/A</v>
      </c>
      <c r="Y564" s="55" t="e">
        <f t="shared" ca="1" si="176"/>
        <v>#N/A</v>
      </c>
      <c r="Z564" s="55" t="e">
        <f t="shared" ca="1" si="172"/>
        <v>#N/A</v>
      </c>
      <c r="AA564" t="e">
        <f t="shared" ca="1" si="173"/>
        <v>#N/A</v>
      </c>
      <c r="AB564" t="e">
        <f t="shared" ca="1" si="165"/>
        <v>#N/A</v>
      </c>
      <c r="AC564" t="e">
        <f t="shared" ca="1" si="166"/>
        <v>#N/A</v>
      </c>
      <c r="AD564" t="e">
        <f t="shared" ca="1" si="167"/>
        <v>#N/A</v>
      </c>
      <c r="AE564" s="83" t="e">
        <f ca="1"/>
        <v>#N/A</v>
      </c>
      <c r="AF564" s="55" t="e">
        <f t="shared" ca="1" si="168"/>
        <v>#N/A</v>
      </c>
      <c r="AG564" s="55" t="e">
        <f t="shared" ca="1" si="169"/>
        <v>#N/A</v>
      </c>
      <c r="AH564" s="55" t="e">
        <f t="shared" ca="1" si="170"/>
        <v>#N/A</v>
      </c>
      <c r="AI564" s="55" t="e">
        <f t="shared" ca="1" si="171"/>
        <v>#N/A</v>
      </c>
      <c r="AJ564" s="55" t="e">
        <f t="shared" ca="1" si="177"/>
        <v>#N/A</v>
      </c>
      <c r="AK564" s="55" t="e">
        <f t="shared" ca="1" si="178"/>
        <v>#N/A</v>
      </c>
      <c r="AL564" s="55" t="e">
        <f t="shared" ca="1" si="179"/>
        <v>#N/A</v>
      </c>
      <c r="AM564" s="55"/>
    </row>
    <row r="565" spans="18:39">
      <c r="R565" s="55" t="e">
        <f ca="1"/>
        <v>#N/A</v>
      </c>
      <c r="S565" s="55" t="e">
        <f t="shared" ca="1" si="161"/>
        <v>#N/A</v>
      </c>
      <c r="T565" s="55" t="e">
        <f t="shared" ca="1" si="162"/>
        <v>#N/A</v>
      </c>
      <c r="U565" s="55" t="e">
        <f t="shared" ca="1" si="163"/>
        <v>#N/A</v>
      </c>
      <c r="V565" s="55" t="e">
        <f t="shared" ca="1" si="164"/>
        <v>#N/A</v>
      </c>
      <c r="W565" s="55" t="e">
        <f t="shared" ca="1" si="174"/>
        <v>#N/A</v>
      </c>
      <c r="X565" s="55" t="e">
        <f t="shared" ca="1" si="175"/>
        <v>#N/A</v>
      </c>
      <c r="Y565" s="55" t="e">
        <f t="shared" ca="1" si="176"/>
        <v>#N/A</v>
      </c>
      <c r="Z565" s="55" t="e">
        <f t="shared" ca="1" si="172"/>
        <v>#N/A</v>
      </c>
      <c r="AA565" t="e">
        <f t="shared" ca="1" si="173"/>
        <v>#N/A</v>
      </c>
      <c r="AB565" t="e">
        <f t="shared" ca="1" si="165"/>
        <v>#N/A</v>
      </c>
      <c r="AC565" t="e">
        <f t="shared" ca="1" si="166"/>
        <v>#N/A</v>
      </c>
      <c r="AD565" t="e">
        <f t="shared" ca="1" si="167"/>
        <v>#N/A</v>
      </c>
      <c r="AE565" s="83" t="e">
        <f ca="1"/>
        <v>#N/A</v>
      </c>
      <c r="AF565" s="55" t="e">
        <f t="shared" ca="1" si="168"/>
        <v>#N/A</v>
      </c>
      <c r="AG565" s="55" t="e">
        <f t="shared" ca="1" si="169"/>
        <v>#N/A</v>
      </c>
      <c r="AH565" s="55" t="e">
        <f t="shared" ca="1" si="170"/>
        <v>#N/A</v>
      </c>
      <c r="AI565" s="55" t="e">
        <f t="shared" ca="1" si="171"/>
        <v>#N/A</v>
      </c>
      <c r="AJ565" s="55" t="e">
        <f t="shared" ca="1" si="177"/>
        <v>#N/A</v>
      </c>
      <c r="AK565" s="55" t="e">
        <f t="shared" ca="1" si="178"/>
        <v>#N/A</v>
      </c>
      <c r="AL565" s="55" t="e">
        <f t="shared" ca="1" si="179"/>
        <v>#N/A</v>
      </c>
      <c r="AM565" s="55"/>
    </row>
    <row r="566" spans="18:39">
      <c r="R566" s="55" t="e">
        <f ca="1"/>
        <v>#N/A</v>
      </c>
      <c r="S566" s="55" t="e">
        <f t="shared" ca="1" si="161"/>
        <v>#N/A</v>
      </c>
      <c r="T566" s="55" t="e">
        <f t="shared" ca="1" si="162"/>
        <v>#N/A</v>
      </c>
      <c r="U566" s="55" t="e">
        <f t="shared" ca="1" si="163"/>
        <v>#N/A</v>
      </c>
      <c r="V566" s="55" t="e">
        <f t="shared" ca="1" si="164"/>
        <v>#N/A</v>
      </c>
      <c r="W566" s="55" t="e">
        <f t="shared" ca="1" si="174"/>
        <v>#N/A</v>
      </c>
      <c r="X566" s="55" t="e">
        <f t="shared" ca="1" si="175"/>
        <v>#N/A</v>
      </c>
      <c r="Y566" s="55" t="e">
        <f t="shared" ca="1" si="176"/>
        <v>#N/A</v>
      </c>
      <c r="Z566" s="55" t="e">
        <f t="shared" ca="1" si="172"/>
        <v>#N/A</v>
      </c>
      <c r="AA566" t="e">
        <f t="shared" ca="1" si="173"/>
        <v>#N/A</v>
      </c>
      <c r="AB566" t="e">
        <f t="shared" ca="1" si="165"/>
        <v>#N/A</v>
      </c>
      <c r="AC566" t="e">
        <f t="shared" ca="1" si="166"/>
        <v>#N/A</v>
      </c>
      <c r="AD566" t="e">
        <f t="shared" ca="1" si="167"/>
        <v>#N/A</v>
      </c>
      <c r="AE566" s="83" t="e">
        <f ca="1"/>
        <v>#N/A</v>
      </c>
      <c r="AF566" s="55" t="e">
        <f t="shared" ca="1" si="168"/>
        <v>#N/A</v>
      </c>
      <c r="AG566" s="55" t="e">
        <f t="shared" ca="1" si="169"/>
        <v>#N/A</v>
      </c>
      <c r="AH566" s="55" t="e">
        <f t="shared" ca="1" si="170"/>
        <v>#N/A</v>
      </c>
      <c r="AI566" s="55" t="e">
        <f t="shared" ca="1" si="171"/>
        <v>#N/A</v>
      </c>
      <c r="AJ566" s="55" t="e">
        <f t="shared" ca="1" si="177"/>
        <v>#N/A</v>
      </c>
      <c r="AK566" s="55" t="e">
        <f t="shared" ca="1" si="178"/>
        <v>#N/A</v>
      </c>
      <c r="AL566" s="55" t="e">
        <f t="shared" ca="1" si="179"/>
        <v>#N/A</v>
      </c>
      <c r="AM566" s="55"/>
    </row>
    <row r="567" spans="18:39">
      <c r="R567" s="55" t="e">
        <f ca="1"/>
        <v>#N/A</v>
      </c>
      <c r="S567" s="55" t="e">
        <f t="shared" ca="1" si="161"/>
        <v>#N/A</v>
      </c>
      <c r="T567" s="55" t="e">
        <f t="shared" ca="1" si="162"/>
        <v>#N/A</v>
      </c>
      <c r="U567" s="55" t="e">
        <f t="shared" ca="1" si="163"/>
        <v>#N/A</v>
      </c>
      <c r="V567" s="55" t="e">
        <f t="shared" ca="1" si="164"/>
        <v>#N/A</v>
      </c>
      <c r="W567" s="55" t="e">
        <f t="shared" ca="1" si="174"/>
        <v>#N/A</v>
      </c>
      <c r="X567" s="55" t="e">
        <f t="shared" ca="1" si="175"/>
        <v>#N/A</v>
      </c>
      <c r="Y567" s="55" t="e">
        <f t="shared" ca="1" si="176"/>
        <v>#N/A</v>
      </c>
      <c r="Z567" s="55" t="e">
        <f t="shared" ca="1" si="172"/>
        <v>#N/A</v>
      </c>
      <c r="AA567" t="e">
        <f t="shared" ca="1" si="173"/>
        <v>#N/A</v>
      </c>
      <c r="AB567" t="e">
        <f t="shared" ca="1" si="165"/>
        <v>#N/A</v>
      </c>
      <c r="AC567" t="e">
        <f t="shared" ca="1" si="166"/>
        <v>#N/A</v>
      </c>
      <c r="AD567" t="e">
        <f t="shared" ca="1" si="167"/>
        <v>#N/A</v>
      </c>
      <c r="AE567" s="83" t="e">
        <f ca="1"/>
        <v>#N/A</v>
      </c>
      <c r="AF567" s="55" t="e">
        <f t="shared" ca="1" si="168"/>
        <v>#N/A</v>
      </c>
      <c r="AG567" s="55" t="e">
        <f t="shared" ca="1" si="169"/>
        <v>#N/A</v>
      </c>
      <c r="AH567" s="55" t="e">
        <f t="shared" ca="1" si="170"/>
        <v>#N/A</v>
      </c>
      <c r="AI567" s="55" t="e">
        <f t="shared" ca="1" si="171"/>
        <v>#N/A</v>
      </c>
      <c r="AJ567" s="55" t="e">
        <f t="shared" ca="1" si="177"/>
        <v>#N/A</v>
      </c>
      <c r="AK567" s="55" t="e">
        <f t="shared" ca="1" si="178"/>
        <v>#N/A</v>
      </c>
      <c r="AL567" s="55" t="e">
        <f t="shared" ca="1" si="179"/>
        <v>#N/A</v>
      </c>
      <c r="AM567" s="55"/>
    </row>
    <row r="568" spans="18:39">
      <c r="R568" s="55" t="e">
        <f ca="1"/>
        <v>#N/A</v>
      </c>
      <c r="S568" s="55" t="e">
        <f t="shared" ca="1" si="161"/>
        <v>#N/A</v>
      </c>
      <c r="T568" s="55" t="e">
        <f t="shared" ca="1" si="162"/>
        <v>#N/A</v>
      </c>
      <c r="U568" s="55" t="e">
        <f t="shared" ca="1" si="163"/>
        <v>#N/A</v>
      </c>
      <c r="V568" s="55" t="e">
        <f t="shared" ca="1" si="164"/>
        <v>#N/A</v>
      </c>
      <c r="W568" s="55" t="e">
        <f t="shared" ca="1" si="174"/>
        <v>#N/A</v>
      </c>
      <c r="X568" s="55" t="e">
        <f t="shared" ca="1" si="175"/>
        <v>#N/A</v>
      </c>
      <c r="Y568" s="55" t="e">
        <f t="shared" ca="1" si="176"/>
        <v>#N/A</v>
      </c>
      <c r="Z568" s="55" t="e">
        <f t="shared" ca="1" si="172"/>
        <v>#N/A</v>
      </c>
      <c r="AA568" t="e">
        <f t="shared" ca="1" si="173"/>
        <v>#N/A</v>
      </c>
      <c r="AB568" t="e">
        <f t="shared" ca="1" si="165"/>
        <v>#N/A</v>
      </c>
      <c r="AC568" t="e">
        <f t="shared" ca="1" si="166"/>
        <v>#N/A</v>
      </c>
      <c r="AD568" t="e">
        <f t="shared" ca="1" si="167"/>
        <v>#N/A</v>
      </c>
      <c r="AE568" s="83" t="e">
        <f ca="1"/>
        <v>#N/A</v>
      </c>
      <c r="AF568" s="55" t="e">
        <f t="shared" ca="1" si="168"/>
        <v>#N/A</v>
      </c>
      <c r="AG568" s="55" t="e">
        <f t="shared" ca="1" si="169"/>
        <v>#N/A</v>
      </c>
      <c r="AH568" s="55" t="e">
        <f t="shared" ca="1" si="170"/>
        <v>#N/A</v>
      </c>
      <c r="AI568" s="55" t="e">
        <f t="shared" ca="1" si="171"/>
        <v>#N/A</v>
      </c>
      <c r="AJ568" s="55" t="e">
        <f t="shared" ca="1" si="177"/>
        <v>#N/A</v>
      </c>
      <c r="AK568" s="55" t="e">
        <f t="shared" ca="1" si="178"/>
        <v>#N/A</v>
      </c>
      <c r="AL568" s="55" t="e">
        <f t="shared" ca="1" si="179"/>
        <v>#N/A</v>
      </c>
      <c r="AM568" s="55"/>
    </row>
    <row r="569" spans="18:39">
      <c r="R569" s="55" t="e">
        <f ca="1"/>
        <v>#N/A</v>
      </c>
      <c r="S569" s="55" t="e">
        <f t="shared" ca="1" si="161"/>
        <v>#N/A</v>
      </c>
      <c r="T569" s="55" t="e">
        <f t="shared" ca="1" si="162"/>
        <v>#N/A</v>
      </c>
      <c r="U569" s="55" t="e">
        <f t="shared" ca="1" si="163"/>
        <v>#N/A</v>
      </c>
      <c r="V569" s="55" t="e">
        <f t="shared" ca="1" si="164"/>
        <v>#N/A</v>
      </c>
      <c r="W569" s="55" t="e">
        <f t="shared" ca="1" si="174"/>
        <v>#N/A</v>
      </c>
      <c r="X569" s="55" t="e">
        <f t="shared" ca="1" si="175"/>
        <v>#N/A</v>
      </c>
      <c r="Y569" s="55" t="e">
        <f t="shared" ca="1" si="176"/>
        <v>#N/A</v>
      </c>
      <c r="Z569" s="55" t="e">
        <f t="shared" ca="1" si="172"/>
        <v>#N/A</v>
      </c>
      <c r="AA569" t="e">
        <f t="shared" ca="1" si="173"/>
        <v>#N/A</v>
      </c>
      <c r="AB569" t="e">
        <f t="shared" ca="1" si="165"/>
        <v>#N/A</v>
      </c>
      <c r="AC569" t="e">
        <f t="shared" ca="1" si="166"/>
        <v>#N/A</v>
      </c>
      <c r="AD569" t="e">
        <f t="shared" ca="1" si="167"/>
        <v>#N/A</v>
      </c>
      <c r="AE569" s="83" t="e">
        <f ca="1"/>
        <v>#N/A</v>
      </c>
      <c r="AF569" s="55" t="e">
        <f t="shared" ca="1" si="168"/>
        <v>#N/A</v>
      </c>
      <c r="AG569" s="55" t="e">
        <f t="shared" ca="1" si="169"/>
        <v>#N/A</v>
      </c>
      <c r="AH569" s="55" t="e">
        <f t="shared" ca="1" si="170"/>
        <v>#N/A</v>
      </c>
      <c r="AI569" s="55" t="e">
        <f t="shared" ca="1" si="171"/>
        <v>#N/A</v>
      </c>
      <c r="AJ569" s="55" t="e">
        <f t="shared" ca="1" si="177"/>
        <v>#N/A</v>
      </c>
      <c r="AK569" s="55" t="e">
        <f t="shared" ca="1" si="178"/>
        <v>#N/A</v>
      </c>
      <c r="AL569" s="55" t="e">
        <f t="shared" ca="1" si="179"/>
        <v>#N/A</v>
      </c>
      <c r="AM569" s="55"/>
    </row>
    <row r="570" spans="18:39">
      <c r="R570" s="55" t="e">
        <f ca="1"/>
        <v>#N/A</v>
      </c>
      <c r="S570" s="55" t="e">
        <f t="shared" ca="1" si="161"/>
        <v>#N/A</v>
      </c>
      <c r="T570" s="55" t="e">
        <f t="shared" ca="1" si="162"/>
        <v>#N/A</v>
      </c>
      <c r="U570" s="55" t="e">
        <f t="shared" ca="1" si="163"/>
        <v>#N/A</v>
      </c>
      <c r="V570" s="55" t="e">
        <f t="shared" ca="1" si="164"/>
        <v>#N/A</v>
      </c>
      <c r="W570" s="55" t="e">
        <f t="shared" ca="1" si="174"/>
        <v>#N/A</v>
      </c>
      <c r="X570" s="55" t="e">
        <f t="shared" ca="1" si="175"/>
        <v>#N/A</v>
      </c>
      <c r="Y570" s="55" t="e">
        <f t="shared" ca="1" si="176"/>
        <v>#N/A</v>
      </c>
      <c r="Z570" s="55" t="e">
        <f t="shared" ca="1" si="172"/>
        <v>#N/A</v>
      </c>
      <c r="AA570" t="e">
        <f t="shared" ca="1" si="173"/>
        <v>#N/A</v>
      </c>
      <c r="AB570" t="e">
        <f t="shared" ca="1" si="165"/>
        <v>#N/A</v>
      </c>
      <c r="AC570" t="e">
        <f t="shared" ca="1" si="166"/>
        <v>#N/A</v>
      </c>
      <c r="AD570" t="e">
        <f t="shared" ca="1" si="167"/>
        <v>#N/A</v>
      </c>
      <c r="AE570" s="83" t="e">
        <f ca="1"/>
        <v>#N/A</v>
      </c>
      <c r="AF570" s="55" t="e">
        <f t="shared" ca="1" si="168"/>
        <v>#N/A</v>
      </c>
      <c r="AG570" s="55" t="e">
        <f t="shared" ca="1" si="169"/>
        <v>#N/A</v>
      </c>
      <c r="AH570" s="55" t="e">
        <f t="shared" ca="1" si="170"/>
        <v>#N/A</v>
      </c>
      <c r="AI570" s="55" t="e">
        <f t="shared" ca="1" si="171"/>
        <v>#N/A</v>
      </c>
      <c r="AJ570" s="55" t="e">
        <f t="shared" ca="1" si="177"/>
        <v>#N/A</v>
      </c>
      <c r="AK570" s="55" t="e">
        <f t="shared" ca="1" si="178"/>
        <v>#N/A</v>
      </c>
      <c r="AL570" s="55" t="e">
        <f t="shared" ca="1" si="179"/>
        <v>#N/A</v>
      </c>
      <c r="AM570" s="55"/>
    </row>
    <row r="571" spans="18:39">
      <c r="R571" s="55" t="e">
        <f ca="1"/>
        <v>#N/A</v>
      </c>
      <c r="S571" s="55" t="e">
        <f t="shared" ca="1" si="161"/>
        <v>#N/A</v>
      </c>
      <c r="T571" s="55" t="e">
        <f t="shared" ca="1" si="162"/>
        <v>#N/A</v>
      </c>
      <c r="U571" s="55" t="e">
        <f t="shared" ca="1" si="163"/>
        <v>#N/A</v>
      </c>
      <c r="V571" s="55" t="e">
        <f t="shared" ca="1" si="164"/>
        <v>#N/A</v>
      </c>
      <c r="W571" s="55" t="e">
        <f t="shared" ca="1" si="174"/>
        <v>#N/A</v>
      </c>
      <c r="X571" s="55" t="e">
        <f t="shared" ca="1" si="175"/>
        <v>#N/A</v>
      </c>
      <c r="Y571" s="55" t="e">
        <f t="shared" ca="1" si="176"/>
        <v>#N/A</v>
      </c>
      <c r="Z571" s="55" t="e">
        <f t="shared" ca="1" si="172"/>
        <v>#N/A</v>
      </c>
      <c r="AA571" t="e">
        <f t="shared" ca="1" si="173"/>
        <v>#N/A</v>
      </c>
      <c r="AB571" t="e">
        <f t="shared" ca="1" si="165"/>
        <v>#N/A</v>
      </c>
      <c r="AC571" t="e">
        <f t="shared" ca="1" si="166"/>
        <v>#N/A</v>
      </c>
      <c r="AD571" t="e">
        <f t="shared" ca="1" si="167"/>
        <v>#N/A</v>
      </c>
      <c r="AE571" s="83" t="e">
        <f ca="1"/>
        <v>#N/A</v>
      </c>
      <c r="AF571" s="55" t="e">
        <f t="shared" ca="1" si="168"/>
        <v>#N/A</v>
      </c>
      <c r="AG571" s="55" t="e">
        <f t="shared" ca="1" si="169"/>
        <v>#N/A</v>
      </c>
      <c r="AH571" s="55" t="e">
        <f t="shared" ca="1" si="170"/>
        <v>#N/A</v>
      </c>
      <c r="AI571" s="55" t="e">
        <f t="shared" ca="1" si="171"/>
        <v>#N/A</v>
      </c>
      <c r="AJ571" s="55" t="e">
        <f t="shared" ca="1" si="177"/>
        <v>#N/A</v>
      </c>
      <c r="AK571" s="55" t="e">
        <f t="shared" ca="1" si="178"/>
        <v>#N/A</v>
      </c>
      <c r="AL571" s="55" t="e">
        <f t="shared" ca="1" si="179"/>
        <v>#N/A</v>
      </c>
      <c r="AM571" s="55"/>
    </row>
    <row r="572" spans="18:39">
      <c r="R572" s="55" t="e">
        <f ca="1"/>
        <v>#N/A</v>
      </c>
      <c r="S572" s="55" t="e">
        <f t="shared" ca="1" si="161"/>
        <v>#N/A</v>
      </c>
      <c r="T572" s="55" t="e">
        <f t="shared" ca="1" si="162"/>
        <v>#N/A</v>
      </c>
      <c r="U572" s="55" t="e">
        <f t="shared" ca="1" si="163"/>
        <v>#N/A</v>
      </c>
      <c r="V572" s="55" t="e">
        <f t="shared" ca="1" si="164"/>
        <v>#N/A</v>
      </c>
      <c r="W572" s="55" t="e">
        <f t="shared" ca="1" si="174"/>
        <v>#N/A</v>
      </c>
      <c r="X572" s="55" t="e">
        <f t="shared" ca="1" si="175"/>
        <v>#N/A</v>
      </c>
      <c r="Y572" s="55" t="e">
        <f t="shared" ca="1" si="176"/>
        <v>#N/A</v>
      </c>
      <c r="Z572" s="55" t="e">
        <f t="shared" ca="1" si="172"/>
        <v>#N/A</v>
      </c>
      <c r="AA572" t="e">
        <f t="shared" ca="1" si="173"/>
        <v>#N/A</v>
      </c>
      <c r="AB572" t="e">
        <f t="shared" ca="1" si="165"/>
        <v>#N/A</v>
      </c>
      <c r="AC572" t="e">
        <f t="shared" ca="1" si="166"/>
        <v>#N/A</v>
      </c>
      <c r="AD572" t="e">
        <f t="shared" ca="1" si="167"/>
        <v>#N/A</v>
      </c>
      <c r="AE572" s="83" t="e">
        <f ca="1"/>
        <v>#N/A</v>
      </c>
      <c r="AF572" s="55" t="e">
        <f t="shared" ca="1" si="168"/>
        <v>#N/A</v>
      </c>
      <c r="AG572" s="55" t="e">
        <f t="shared" ca="1" si="169"/>
        <v>#N/A</v>
      </c>
      <c r="AH572" s="55" t="e">
        <f t="shared" ca="1" si="170"/>
        <v>#N/A</v>
      </c>
      <c r="AI572" s="55" t="e">
        <f t="shared" ca="1" si="171"/>
        <v>#N/A</v>
      </c>
      <c r="AJ572" s="55" t="e">
        <f t="shared" ca="1" si="177"/>
        <v>#N/A</v>
      </c>
      <c r="AK572" s="55" t="e">
        <f t="shared" ca="1" si="178"/>
        <v>#N/A</v>
      </c>
      <c r="AL572" s="55" t="e">
        <f t="shared" ca="1" si="179"/>
        <v>#N/A</v>
      </c>
      <c r="AM572" s="55"/>
    </row>
    <row r="573" spans="18:39">
      <c r="R573" s="55" t="e">
        <f ca="1"/>
        <v>#N/A</v>
      </c>
      <c r="S573" s="55" t="e">
        <f t="shared" ca="1" si="161"/>
        <v>#N/A</v>
      </c>
      <c r="T573" s="55" t="e">
        <f t="shared" ca="1" si="162"/>
        <v>#N/A</v>
      </c>
      <c r="U573" s="55" t="e">
        <f t="shared" ca="1" si="163"/>
        <v>#N/A</v>
      </c>
      <c r="V573" s="55" t="e">
        <f t="shared" ca="1" si="164"/>
        <v>#N/A</v>
      </c>
      <c r="W573" s="55" t="e">
        <f t="shared" ca="1" si="174"/>
        <v>#N/A</v>
      </c>
      <c r="X573" s="55" t="e">
        <f t="shared" ca="1" si="175"/>
        <v>#N/A</v>
      </c>
      <c r="Y573" s="55" t="e">
        <f t="shared" ca="1" si="176"/>
        <v>#N/A</v>
      </c>
      <c r="Z573" s="55" t="e">
        <f t="shared" ca="1" si="172"/>
        <v>#N/A</v>
      </c>
      <c r="AA573" t="e">
        <f t="shared" ca="1" si="173"/>
        <v>#N/A</v>
      </c>
      <c r="AB573" t="e">
        <f t="shared" ca="1" si="165"/>
        <v>#N/A</v>
      </c>
      <c r="AC573" t="e">
        <f t="shared" ca="1" si="166"/>
        <v>#N/A</v>
      </c>
      <c r="AD573" t="e">
        <f t="shared" ca="1" si="167"/>
        <v>#N/A</v>
      </c>
      <c r="AE573" s="83" t="e">
        <f ca="1"/>
        <v>#N/A</v>
      </c>
      <c r="AF573" s="55" t="e">
        <f t="shared" ca="1" si="168"/>
        <v>#N/A</v>
      </c>
      <c r="AG573" s="55" t="e">
        <f t="shared" ca="1" si="169"/>
        <v>#N/A</v>
      </c>
      <c r="AH573" s="55" t="e">
        <f t="shared" ca="1" si="170"/>
        <v>#N/A</v>
      </c>
      <c r="AI573" s="55" t="e">
        <f t="shared" ca="1" si="171"/>
        <v>#N/A</v>
      </c>
      <c r="AJ573" s="55" t="e">
        <f t="shared" ca="1" si="177"/>
        <v>#N/A</v>
      </c>
      <c r="AK573" s="55" t="e">
        <f t="shared" ca="1" si="178"/>
        <v>#N/A</v>
      </c>
      <c r="AL573" s="55" t="e">
        <f t="shared" ca="1" si="179"/>
        <v>#N/A</v>
      </c>
      <c r="AM573" s="55"/>
    </row>
    <row r="574" spans="18:39">
      <c r="R574" s="55" t="e">
        <f ca="1"/>
        <v>#N/A</v>
      </c>
      <c r="S574" s="55" t="e">
        <f t="shared" ca="1" si="161"/>
        <v>#N/A</v>
      </c>
      <c r="T574" s="55" t="e">
        <f t="shared" ca="1" si="162"/>
        <v>#N/A</v>
      </c>
      <c r="U574" s="55" t="e">
        <f t="shared" ca="1" si="163"/>
        <v>#N/A</v>
      </c>
      <c r="V574" s="55" t="e">
        <f t="shared" ca="1" si="164"/>
        <v>#N/A</v>
      </c>
      <c r="W574" s="55" t="e">
        <f t="shared" ca="1" si="174"/>
        <v>#N/A</v>
      </c>
      <c r="X574" s="55" t="e">
        <f t="shared" ca="1" si="175"/>
        <v>#N/A</v>
      </c>
      <c r="Y574" s="55" t="e">
        <f t="shared" ca="1" si="176"/>
        <v>#N/A</v>
      </c>
      <c r="Z574" s="55" t="e">
        <f t="shared" ca="1" si="172"/>
        <v>#N/A</v>
      </c>
      <c r="AA574" t="e">
        <f t="shared" ca="1" si="173"/>
        <v>#N/A</v>
      </c>
      <c r="AB574" t="e">
        <f t="shared" ca="1" si="165"/>
        <v>#N/A</v>
      </c>
      <c r="AC574" t="e">
        <f t="shared" ca="1" si="166"/>
        <v>#N/A</v>
      </c>
      <c r="AD574" t="e">
        <f t="shared" ca="1" si="167"/>
        <v>#N/A</v>
      </c>
      <c r="AE574" s="83" t="e">
        <f ca="1"/>
        <v>#N/A</v>
      </c>
      <c r="AF574" s="55" t="e">
        <f t="shared" ca="1" si="168"/>
        <v>#N/A</v>
      </c>
      <c r="AG574" s="55" t="e">
        <f t="shared" ca="1" si="169"/>
        <v>#N/A</v>
      </c>
      <c r="AH574" s="55" t="e">
        <f t="shared" ca="1" si="170"/>
        <v>#N/A</v>
      </c>
      <c r="AI574" s="55" t="e">
        <f t="shared" ca="1" si="171"/>
        <v>#N/A</v>
      </c>
      <c r="AJ574" s="55" t="e">
        <f t="shared" ca="1" si="177"/>
        <v>#N/A</v>
      </c>
      <c r="AK574" s="55" t="e">
        <f t="shared" ca="1" si="178"/>
        <v>#N/A</v>
      </c>
      <c r="AL574" s="55" t="e">
        <f t="shared" ca="1" si="179"/>
        <v>#N/A</v>
      </c>
      <c r="AM574" s="55"/>
    </row>
    <row r="575" spans="18:39">
      <c r="R575" s="55" t="e">
        <f ca="1"/>
        <v>#N/A</v>
      </c>
      <c r="S575" s="55" t="e">
        <f t="shared" ca="1" si="161"/>
        <v>#N/A</v>
      </c>
      <c r="T575" s="55" t="e">
        <f t="shared" ca="1" si="162"/>
        <v>#N/A</v>
      </c>
      <c r="U575" s="55" t="e">
        <f t="shared" ca="1" si="163"/>
        <v>#N/A</v>
      </c>
      <c r="V575" s="55" t="e">
        <f t="shared" ca="1" si="164"/>
        <v>#N/A</v>
      </c>
      <c r="W575" s="55" t="e">
        <f t="shared" ca="1" si="174"/>
        <v>#N/A</v>
      </c>
      <c r="X575" s="55" t="e">
        <f t="shared" ca="1" si="175"/>
        <v>#N/A</v>
      </c>
      <c r="Y575" s="55" t="e">
        <f t="shared" ca="1" si="176"/>
        <v>#N/A</v>
      </c>
      <c r="Z575" s="55" t="e">
        <f t="shared" ca="1" si="172"/>
        <v>#N/A</v>
      </c>
      <c r="AA575" t="e">
        <f t="shared" ca="1" si="173"/>
        <v>#N/A</v>
      </c>
      <c r="AB575" t="e">
        <f t="shared" ca="1" si="165"/>
        <v>#N/A</v>
      </c>
      <c r="AC575" t="e">
        <f t="shared" ca="1" si="166"/>
        <v>#N/A</v>
      </c>
      <c r="AD575" t="e">
        <f t="shared" ca="1" si="167"/>
        <v>#N/A</v>
      </c>
      <c r="AE575" s="83" t="e">
        <f ca="1"/>
        <v>#N/A</v>
      </c>
      <c r="AF575" s="55" t="e">
        <f t="shared" ca="1" si="168"/>
        <v>#N/A</v>
      </c>
      <c r="AG575" s="55" t="e">
        <f t="shared" ca="1" si="169"/>
        <v>#N/A</v>
      </c>
      <c r="AH575" s="55" t="e">
        <f t="shared" ca="1" si="170"/>
        <v>#N/A</v>
      </c>
      <c r="AI575" s="55" t="e">
        <f t="shared" ca="1" si="171"/>
        <v>#N/A</v>
      </c>
      <c r="AJ575" s="55" t="e">
        <f t="shared" ca="1" si="177"/>
        <v>#N/A</v>
      </c>
      <c r="AK575" s="55" t="e">
        <f t="shared" ca="1" si="178"/>
        <v>#N/A</v>
      </c>
      <c r="AL575" s="55" t="e">
        <f t="shared" ca="1" si="179"/>
        <v>#N/A</v>
      </c>
      <c r="AM575" s="55"/>
    </row>
    <row r="576" spans="18:39">
      <c r="R576" s="55" t="e">
        <f ca="1"/>
        <v>#N/A</v>
      </c>
      <c r="S576" s="55" t="e">
        <f t="shared" ca="1" si="161"/>
        <v>#N/A</v>
      </c>
      <c r="T576" s="55" t="e">
        <f t="shared" ca="1" si="162"/>
        <v>#N/A</v>
      </c>
      <c r="U576" s="55" t="e">
        <f t="shared" ca="1" si="163"/>
        <v>#N/A</v>
      </c>
      <c r="V576" s="55" t="e">
        <f t="shared" ca="1" si="164"/>
        <v>#N/A</v>
      </c>
      <c r="W576" s="55" t="e">
        <f t="shared" ca="1" si="174"/>
        <v>#N/A</v>
      </c>
      <c r="X576" s="55" t="e">
        <f t="shared" ca="1" si="175"/>
        <v>#N/A</v>
      </c>
      <c r="Y576" s="55" t="e">
        <f t="shared" ca="1" si="176"/>
        <v>#N/A</v>
      </c>
      <c r="Z576" s="55" t="e">
        <f t="shared" ca="1" si="172"/>
        <v>#N/A</v>
      </c>
      <c r="AA576" t="e">
        <f t="shared" ca="1" si="173"/>
        <v>#N/A</v>
      </c>
      <c r="AB576" t="e">
        <f t="shared" ca="1" si="165"/>
        <v>#N/A</v>
      </c>
      <c r="AC576" t="e">
        <f t="shared" ca="1" si="166"/>
        <v>#N/A</v>
      </c>
      <c r="AD576" t="e">
        <f t="shared" ca="1" si="167"/>
        <v>#N/A</v>
      </c>
      <c r="AE576" s="83" t="e">
        <f ca="1"/>
        <v>#N/A</v>
      </c>
      <c r="AF576" s="55" t="e">
        <f t="shared" ca="1" si="168"/>
        <v>#N/A</v>
      </c>
      <c r="AG576" s="55" t="e">
        <f t="shared" ca="1" si="169"/>
        <v>#N/A</v>
      </c>
      <c r="AH576" s="55" t="e">
        <f t="shared" ca="1" si="170"/>
        <v>#N/A</v>
      </c>
      <c r="AI576" s="55" t="e">
        <f t="shared" ca="1" si="171"/>
        <v>#N/A</v>
      </c>
      <c r="AJ576" s="55" t="e">
        <f t="shared" ca="1" si="177"/>
        <v>#N/A</v>
      </c>
      <c r="AK576" s="55" t="e">
        <f t="shared" ca="1" si="178"/>
        <v>#N/A</v>
      </c>
      <c r="AL576" s="55" t="e">
        <f t="shared" ca="1" si="179"/>
        <v>#N/A</v>
      </c>
      <c r="AM576" s="55"/>
    </row>
    <row r="577" spans="18:39">
      <c r="R577" s="55" t="e">
        <f ca="1"/>
        <v>#N/A</v>
      </c>
      <c r="S577" s="55" t="e">
        <f t="shared" ca="1" si="161"/>
        <v>#N/A</v>
      </c>
      <c r="T577" s="55" t="e">
        <f t="shared" ca="1" si="162"/>
        <v>#N/A</v>
      </c>
      <c r="U577" s="55" t="e">
        <f t="shared" ca="1" si="163"/>
        <v>#N/A</v>
      </c>
      <c r="V577" s="55" t="e">
        <f t="shared" ca="1" si="164"/>
        <v>#N/A</v>
      </c>
      <c r="W577" s="55" t="e">
        <f t="shared" ca="1" si="174"/>
        <v>#N/A</v>
      </c>
      <c r="X577" s="55" t="e">
        <f t="shared" ca="1" si="175"/>
        <v>#N/A</v>
      </c>
      <c r="Y577" s="55" t="e">
        <f t="shared" ca="1" si="176"/>
        <v>#N/A</v>
      </c>
      <c r="Z577" s="55" t="e">
        <f t="shared" ca="1" si="172"/>
        <v>#N/A</v>
      </c>
      <c r="AA577" t="e">
        <f t="shared" ca="1" si="173"/>
        <v>#N/A</v>
      </c>
      <c r="AB577" t="e">
        <f t="shared" ca="1" si="165"/>
        <v>#N/A</v>
      </c>
      <c r="AC577" t="e">
        <f t="shared" ca="1" si="166"/>
        <v>#N/A</v>
      </c>
      <c r="AD577" t="e">
        <f t="shared" ca="1" si="167"/>
        <v>#N/A</v>
      </c>
      <c r="AE577" s="83" t="e">
        <f ca="1"/>
        <v>#N/A</v>
      </c>
      <c r="AF577" s="55" t="e">
        <f t="shared" ca="1" si="168"/>
        <v>#N/A</v>
      </c>
      <c r="AG577" s="55" t="e">
        <f t="shared" ca="1" si="169"/>
        <v>#N/A</v>
      </c>
      <c r="AH577" s="55" t="e">
        <f t="shared" ca="1" si="170"/>
        <v>#N/A</v>
      </c>
      <c r="AI577" s="55" t="e">
        <f t="shared" ca="1" si="171"/>
        <v>#N/A</v>
      </c>
      <c r="AJ577" s="55" t="e">
        <f t="shared" ca="1" si="177"/>
        <v>#N/A</v>
      </c>
      <c r="AK577" s="55" t="e">
        <f t="shared" ca="1" si="178"/>
        <v>#N/A</v>
      </c>
      <c r="AL577" s="55" t="e">
        <f t="shared" ca="1" si="179"/>
        <v>#N/A</v>
      </c>
      <c r="AM577" s="55"/>
    </row>
    <row r="578" spans="18:39">
      <c r="R578" s="55" t="e">
        <f ca="1"/>
        <v>#N/A</v>
      </c>
      <c r="S578" s="55" t="e">
        <f t="shared" ca="1" si="161"/>
        <v>#N/A</v>
      </c>
      <c r="T578" s="55" t="e">
        <f t="shared" ca="1" si="162"/>
        <v>#N/A</v>
      </c>
      <c r="U578" s="55" t="e">
        <f t="shared" ca="1" si="163"/>
        <v>#N/A</v>
      </c>
      <c r="V578" s="55" t="e">
        <f t="shared" ca="1" si="164"/>
        <v>#N/A</v>
      </c>
      <c r="W578" s="55" t="e">
        <f t="shared" ca="1" si="174"/>
        <v>#N/A</v>
      </c>
      <c r="X578" s="55" t="e">
        <f t="shared" ca="1" si="175"/>
        <v>#N/A</v>
      </c>
      <c r="Y578" s="55" t="e">
        <f t="shared" ca="1" si="176"/>
        <v>#N/A</v>
      </c>
      <c r="Z578" s="55" t="e">
        <f t="shared" ca="1" si="172"/>
        <v>#N/A</v>
      </c>
      <c r="AA578" t="e">
        <f t="shared" ca="1" si="173"/>
        <v>#N/A</v>
      </c>
      <c r="AB578" t="e">
        <f t="shared" ca="1" si="165"/>
        <v>#N/A</v>
      </c>
      <c r="AC578" t="e">
        <f t="shared" ca="1" si="166"/>
        <v>#N/A</v>
      </c>
      <c r="AD578" t="e">
        <f t="shared" ca="1" si="167"/>
        <v>#N/A</v>
      </c>
      <c r="AE578" s="83" t="e">
        <f ca="1"/>
        <v>#N/A</v>
      </c>
      <c r="AF578" s="55" t="e">
        <f t="shared" ca="1" si="168"/>
        <v>#N/A</v>
      </c>
      <c r="AG578" s="55" t="e">
        <f t="shared" ca="1" si="169"/>
        <v>#N/A</v>
      </c>
      <c r="AH578" s="55" t="e">
        <f t="shared" ca="1" si="170"/>
        <v>#N/A</v>
      </c>
      <c r="AI578" s="55" t="e">
        <f t="shared" ca="1" si="171"/>
        <v>#N/A</v>
      </c>
      <c r="AJ578" s="55" t="e">
        <f t="shared" ca="1" si="177"/>
        <v>#N/A</v>
      </c>
      <c r="AK578" s="55" t="e">
        <f t="shared" ca="1" si="178"/>
        <v>#N/A</v>
      </c>
      <c r="AL578" s="55" t="e">
        <f t="shared" ca="1" si="179"/>
        <v>#N/A</v>
      </c>
      <c r="AM578" s="55"/>
    </row>
    <row r="579" spans="18:39">
      <c r="R579" s="55" t="e">
        <f ca="1"/>
        <v>#N/A</v>
      </c>
      <c r="S579" s="55" t="e">
        <f t="shared" ca="1" si="161"/>
        <v>#N/A</v>
      </c>
      <c r="T579" s="55" t="e">
        <f t="shared" ca="1" si="162"/>
        <v>#N/A</v>
      </c>
      <c r="U579" s="55" t="e">
        <f t="shared" ca="1" si="163"/>
        <v>#N/A</v>
      </c>
      <c r="V579" s="55" t="e">
        <f t="shared" ca="1" si="164"/>
        <v>#N/A</v>
      </c>
      <c r="W579" s="55" t="e">
        <f t="shared" ca="1" si="174"/>
        <v>#N/A</v>
      </c>
      <c r="X579" s="55" t="e">
        <f t="shared" ca="1" si="175"/>
        <v>#N/A</v>
      </c>
      <c r="Y579" s="55" t="e">
        <f t="shared" ca="1" si="176"/>
        <v>#N/A</v>
      </c>
      <c r="Z579" s="55" t="e">
        <f t="shared" ca="1" si="172"/>
        <v>#N/A</v>
      </c>
      <c r="AA579" t="e">
        <f t="shared" ca="1" si="173"/>
        <v>#N/A</v>
      </c>
      <c r="AB579" t="e">
        <f t="shared" ca="1" si="165"/>
        <v>#N/A</v>
      </c>
      <c r="AC579" t="e">
        <f t="shared" ca="1" si="166"/>
        <v>#N/A</v>
      </c>
      <c r="AD579" t="e">
        <f t="shared" ca="1" si="167"/>
        <v>#N/A</v>
      </c>
      <c r="AE579" s="83" t="e">
        <f ca="1"/>
        <v>#N/A</v>
      </c>
      <c r="AF579" s="55" t="e">
        <f t="shared" ca="1" si="168"/>
        <v>#N/A</v>
      </c>
      <c r="AG579" s="55" t="e">
        <f t="shared" ca="1" si="169"/>
        <v>#N/A</v>
      </c>
      <c r="AH579" s="55" t="e">
        <f t="shared" ca="1" si="170"/>
        <v>#N/A</v>
      </c>
      <c r="AI579" s="55" t="e">
        <f t="shared" ca="1" si="171"/>
        <v>#N/A</v>
      </c>
      <c r="AJ579" s="55" t="e">
        <f t="shared" ca="1" si="177"/>
        <v>#N/A</v>
      </c>
      <c r="AK579" s="55" t="e">
        <f t="shared" ca="1" si="178"/>
        <v>#N/A</v>
      </c>
      <c r="AL579" s="55" t="e">
        <f t="shared" ca="1" si="179"/>
        <v>#N/A</v>
      </c>
      <c r="AM579" s="55"/>
    </row>
    <row r="580" spans="18:39">
      <c r="R580" s="55" t="e">
        <f ca="1"/>
        <v>#N/A</v>
      </c>
      <c r="S580" s="55" t="e">
        <f t="shared" ca="1" si="161"/>
        <v>#N/A</v>
      </c>
      <c r="T580" s="55" t="e">
        <f t="shared" ca="1" si="162"/>
        <v>#N/A</v>
      </c>
      <c r="U580" s="55" t="e">
        <f t="shared" ca="1" si="163"/>
        <v>#N/A</v>
      </c>
      <c r="V580" s="55" t="e">
        <f t="shared" ca="1" si="164"/>
        <v>#N/A</v>
      </c>
      <c r="W580" s="55" t="e">
        <f t="shared" ca="1" si="174"/>
        <v>#N/A</v>
      </c>
      <c r="X580" s="55" t="e">
        <f t="shared" ca="1" si="175"/>
        <v>#N/A</v>
      </c>
      <c r="Y580" s="55" t="e">
        <f t="shared" ca="1" si="176"/>
        <v>#N/A</v>
      </c>
      <c r="Z580" s="55" t="e">
        <f t="shared" ca="1" si="172"/>
        <v>#N/A</v>
      </c>
      <c r="AA580" t="e">
        <f t="shared" ca="1" si="173"/>
        <v>#N/A</v>
      </c>
      <c r="AB580" t="e">
        <f t="shared" ca="1" si="165"/>
        <v>#N/A</v>
      </c>
      <c r="AC580" t="e">
        <f t="shared" ca="1" si="166"/>
        <v>#N/A</v>
      </c>
      <c r="AD580" t="e">
        <f t="shared" ca="1" si="167"/>
        <v>#N/A</v>
      </c>
      <c r="AE580" s="83" t="e">
        <f ca="1"/>
        <v>#N/A</v>
      </c>
      <c r="AF580" s="55" t="e">
        <f t="shared" ca="1" si="168"/>
        <v>#N/A</v>
      </c>
      <c r="AG580" s="55" t="e">
        <f t="shared" ca="1" si="169"/>
        <v>#N/A</v>
      </c>
      <c r="AH580" s="55" t="e">
        <f t="shared" ca="1" si="170"/>
        <v>#N/A</v>
      </c>
      <c r="AI580" s="55" t="e">
        <f t="shared" ca="1" si="171"/>
        <v>#N/A</v>
      </c>
      <c r="AJ580" s="55" t="e">
        <f t="shared" ca="1" si="177"/>
        <v>#N/A</v>
      </c>
      <c r="AK580" s="55" t="e">
        <f t="shared" ca="1" si="178"/>
        <v>#N/A</v>
      </c>
      <c r="AL580" s="55" t="e">
        <f t="shared" ca="1" si="179"/>
        <v>#N/A</v>
      </c>
      <c r="AM580" s="55"/>
    </row>
    <row r="581" spans="18:39">
      <c r="R581" s="55" t="e">
        <f ca="1"/>
        <v>#N/A</v>
      </c>
      <c r="S581" s="55" t="e">
        <f t="shared" ca="1" si="161"/>
        <v>#N/A</v>
      </c>
      <c r="T581" s="55" t="e">
        <f t="shared" ca="1" si="162"/>
        <v>#N/A</v>
      </c>
      <c r="U581" s="55" t="e">
        <f t="shared" ca="1" si="163"/>
        <v>#N/A</v>
      </c>
      <c r="V581" s="55" t="e">
        <f t="shared" ca="1" si="164"/>
        <v>#N/A</v>
      </c>
      <c r="W581" s="55" t="e">
        <f t="shared" ca="1" si="174"/>
        <v>#N/A</v>
      </c>
      <c r="X581" s="55" t="e">
        <f t="shared" ca="1" si="175"/>
        <v>#N/A</v>
      </c>
      <c r="Y581" s="55" t="e">
        <f t="shared" ca="1" si="176"/>
        <v>#N/A</v>
      </c>
      <c r="Z581" s="55" t="e">
        <f t="shared" ca="1" si="172"/>
        <v>#N/A</v>
      </c>
      <c r="AA581" t="e">
        <f t="shared" ca="1" si="173"/>
        <v>#N/A</v>
      </c>
      <c r="AB581" t="e">
        <f t="shared" ca="1" si="165"/>
        <v>#N/A</v>
      </c>
      <c r="AC581" t="e">
        <f t="shared" ca="1" si="166"/>
        <v>#N/A</v>
      </c>
      <c r="AD581" t="e">
        <f t="shared" ca="1" si="167"/>
        <v>#N/A</v>
      </c>
      <c r="AE581" s="83" t="e">
        <f ca="1"/>
        <v>#N/A</v>
      </c>
      <c r="AF581" s="55" t="e">
        <f t="shared" ca="1" si="168"/>
        <v>#N/A</v>
      </c>
      <c r="AG581" s="55" t="e">
        <f t="shared" ca="1" si="169"/>
        <v>#N/A</v>
      </c>
      <c r="AH581" s="55" t="e">
        <f t="shared" ca="1" si="170"/>
        <v>#N/A</v>
      </c>
      <c r="AI581" s="55" t="e">
        <f t="shared" ca="1" si="171"/>
        <v>#N/A</v>
      </c>
      <c r="AJ581" s="55" t="e">
        <f t="shared" ca="1" si="177"/>
        <v>#N/A</v>
      </c>
      <c r="AK581" s="55" t="e">
        <f t="shared" ca="1" si="178"/>
        <v>#N/A</v>
      </c>
      <c r="AL581" s="55" t="e">
        <f t="shared" ca="1" si="179"/>
        <v>#N/A</v>
      </c>
      <c r="AM581" s="55"/>
    </row>
    <row r="582" spans="18:39">
      <c r="R582" s="55" t="e">
        <f ca="1"/>
        <v>#N/A</v>
      </c>
      <c r="S582" s="55" t="e">
        <f t="shared" ca="1" si="161"/>
        <v>#N/A</v>
      </c>
      <c r="T582" s="55" t="e">
        <f t="shared" ca="1" si="162"/>
        <v>#N/A</v>
      </c>
      <c r="U582" s="55" t="e">
        <f t="shared" ca="1" si="163"/>
        <v>#N/A</v>
      </c>
      <c r="V582" s="55" t="e">
        <f t="shared" ca="1" si="164"/>
        <v>#N/A</v>
      </c>
      <c r="W582" s="55" t="e">
        <f t="shared" ca="1" si="174"/>
        <v>#N/A</v>
      </c>
      <c r="X582" s="55" t="e">
        <f t="shared" ca="1" si="175"/>
        <v>#N/A</v>
      </c>
      <c r="Y582" s="55" t="e">
        <f t="shared" ca="1" si="176"/>
        <v>#N/A</v>
      </c>
      <c r="Z582" s="55" t="e">
        <f t="shared" ca="1" si="172"/>
        <v>#N/A</v>
      </c>
      <c r="AA582" t="e">
        <f t="shared" ca="1" si="173"/>
        <v>#N/A</v>
      </c>
      <c r="AB582" t="e">
        <f t="shared" ca="1" si="165"/>
        <v>#N/A</v>
      </c>
      <c r="AC582" t="e">
        <f t="shared" ca="1" si="166"/>
        <v>#N/A</v>
      </c>
      <c r="AD582" t="e">
        <f t="shared" ca="1" si="167"/>
        <v>#N/A</v>
      </c>
      <c r="AE582" s="83" t="e">
        <f ca="1"/>
        <v>#N/A</v>
      </c>
      <c r="AF582" s="55" t="e">
        <f t="shared" ca="1" si="168"/>
        <v>#N/A</v>
      </c>
      <c r="AG582" s="55" t="e">
        <f t="shared" ca="1" si="169"/>
        <v>#N/A</v>
      </c>
      <c r="AH582" s="55" t="e">
        <f t="shared" ca="1" si="170"/>
        <v>#N/A</v>
      </c>
      <c r="AI582" s="55" t="e">
        <f t="shared" ca="1" si="171"/>
        <v>#N/A</v>
      </c>
      <c r="AJ582" s="55" t="e">
        <f t="shared" ca="1" si="177"/>
        <v>#N/A</v>
      </c>
      <c r="AK582" s="55" t="e">
        <f t="shared" ca="1" si="178"/>
        <v>#N/A</v>
      </c>
      <c r="AL582" s="55" t="e">
        <f t="shared" ca="1" si="179"/>
        <v>#N/A</v>
      </c>
      <c r="AM582" s="55"/>
    </row>
    <row r="583" spans="18:39">
      <c r="R583" s="55" t="e">
        <f ca="1"/>
        <v>#N/A</v>
      </c>
      <c r="S583" s="55" t="e">
        <f t="shared" ca="1" si="161"/>
        <v>#N/A</v>
      </c>
      <c r="T583" s="55" t="e">
        <f t="shared" ca="1" si="162"/>
        <v>#N/A</v>
      </c>
      <c r="U583" s="55" t="e">
        <f t="shared" ca="1" si="163"/>
        <v>#N/A</v>
      </c>
      <c r="V583" s="55" t="e">
        <f t="shared" ca="1" si="164"/>
        <v>#N/A</v>
      </c>
      <c r="W583" s="55" t="e">
        <f t="shared" ca="1" si="174"/>
        <v>#N/A</v>
      </c>
      <c r="X583" s="55" t="e">
        <f t="shared" ca="1" si="175"/>
        <v>#N/A</v>
      </c>
      <c r="Y583" s="55" t="e">
        <f t="shared" ca="1" si="176"/>
        <v>#N/A</v>
      </c>
      <c r="Z583" s="55" t="e">
        <f t="shared" ca="1" si="172"/>
        <v>#N/A</v>
      </c>
      <c r="AA583" t="e">
        <f t="shared" ca="1" si="173"/>
        <v>#N/A</v>
      </c>
      <c r="AB583" t="e">
        <f t="shared" ca="1" si="165"/>
        <v>#N/A</v>
      </c>
      <c r="AC583" t="e">
        <f t="shared" ca="1" si="166"/>
        <v>#N/A</v>
      </c>
      <c r="AD583" t="e">
        <f t="shared" ca="1" si="167"/>
        <v>#N/A</v>
      </c>
      <c r="AE583" s="83" t="e">
        <f ca="1"/>
        <v>#N/A</v>
      </c>
      <c r="AF583" s="55" t="e">
        <f t="shared" ca="1" si="168"/>
        <v>#N/A</v>
      </c>
      <c r="AG583" s="55" t="e">
        <f t="shared" ca="1" si="169"/>
        <v>#N/A</v>
      </c>
      <c r="AH583" s="55" t="e">
        <f t="shared" ca="1" si="170"/>
        <v>#N/A</v>
      </c>
      <c r="AI583" s="55" t="e">
        <f t="shared" ca="1" si="171"/>
        <v>#N/A</v>
      </c>
      <c r="AJ583" s="55" t="e">
        <f t="shared" ca="1" si="177"/>
        <v>#N/A</v>
      </c>
      <c r="AK583" s="55" t="e">
        <f t="shared" ca="1" si="178"/>
        <v>#N/A</v>
      </c>
      <c r="AL583" s="55" t="e">
        <f t="shared" ca="1" si="179"/>
        <v>#N/A</v>
      </c>
      <c r="AM583" s="55"/>
    </row>
    <row r="584" spans="18:39">
      <c r="R584" s="55" t="e">
        <f ca="1"/>
        <v>#N/A</v>
      </c>
      <c r="S584" s="55" t="e">
        <f t="shared" ca="1" si="161"/>
        <v>#N/A</v>
      </c>
      <c r="T584" s="55" t="e">
        <f t="shared" ca="1" si="162"/>
        <v>#N/A</v>
      </c>
      <c r="U584" s="55" t="e">
        <f t="shared" ca="1" si="163"/>
        <v>#N/A</v>
      </c>
      <c r="V584" s="55" t="e">
        <f t="shared" ca="1" si="164"/>
        <v>#N/A</v>
      </c>
      <c r="W584" s="55" t="e">
        <f t="shared" ca="1" si="174"/>
        <v>#N/A</v>
      </c>
      <c r="X584" s="55" t="e">
        <f t="shared" ca="1" si="175"/>
        <v>#N/A</v>
      </c>
      <c r="Y584" s="55" t="e">
        <f t="shared" ca="1" si="176"/>
        <v>#N/A</v>
      </c>
      <c r="Z584" s="55" t="e">
        <f t="shared" ca="1" si="172"/>
        <v>#N/A</v>
      </c>
      <c r="AA584" t="e">
        <f t="shared" ca="1" si="173"/>
        <v>#N/A</v>
      </c>
      <c r="AB584" t="e">
        <f t="shared" ca="1" si="165"/>
        <v>#N/A</v>
      </c>
      <c r="AC584" t="e">
        <f t="shared" ca="1" si="166"/>
        <v>#N/A</v>
      </c>
      <c r="AD584" t="e">
        <f t="shared" ca="1" si="167"/>
        <v>#N/A</v>
      </c>
      <c r="AE584" s="83" t="e">
        <f ca="1"/>
        <v>#N/A</v>
      </c>
      <c r="AF584" s="55" t="e">
        <f t="shared" ca="1" si="168"/>
        <v>#N/A</v>
      </c>
      <c r="AG584" s="55" t="e">
        <f t="shared" ca="1" si="169"/>
        <v>#N/A</v>
      </c>
      <c r="AH584" s="55" t="e">
        <f t="shared" ca="1" si="170"/>
        <v>#N/A</v>
      </c>
      <c r="AI584" s="55" t="e">
        <f t="shared" ca="1" si="171"/>
        <v>#N/A</v>
      </c>
      <c r="AJ584" s="55" t="e">
        <f t="shared" ca="1" si="177"/>
        <v>#N/A</v>
      </c>
      <c r="AK584" s="55" t="e">
        <f t="shared" ca="1" si="178"/>
        <v>#N/A</v>
      </c>
      <c r="AL584" s="55" t="e">
        <f t="shared" ca="1" si="179"/>
        <v>#N/A</v>
      </c>
      <c r="AM584" s="55"/>
    </row>
    <row r="585" spans="18:39">
      <c r="R585" s="55" t="e">
        <f ca="1"/>
        <v>#N/A</v>
      </c>
      <c r="S585" s="55" t="e">
        <f t="shared" ca="1" si="161"/>
        <v>#N/A</v>
      </c>
      <c r="T585" s="55" t="e">
        <f t="shared" ca="1" si="162"/>
        <v>#N/A</v>
      </c>
      <c r="U585" s="55" t="e">
        <f t="shared" ca="1" si="163"/>
        <v>#N/A</v>
      </c>
      <c r="V585" s="55" t="e">
        <f t="shared" ca="1" si="164"/>
        <v>#N/A</v>
      </c>
      <c r="W585" s="55" t="e">
        <f t="shared" ca="1" si="174"/>
        <v>#N/A</v>
      </c>
      <c r="X585" s="55" t="e">
        <f t="shared" ca="1" si="175"/>
        <v>#N/A</v>
      </c>
      <c r="Y585" s="55" t="e">
        <f t="shared" ca="1" si="176"/>
        <v>#N/A</v>
      </c>
      <c r="Z585" s="55" t="e">
        <f t="shared" ca="1" si="172"/>
        <v>#N/A</v>
      </c>
      <c r="AA585" t="e">
        <f t="shared" ca="1" si="173"/>
        <v>#N/A</v>
      </c>
      <c r="AB585" t="e">
        <f t="shared" ca="1" si="165"/>
        <v>#N/A</v>
      </c>
      <c r="AC585" t="e">
        <f t="shared" ca="1" si="166"/>
        <v>#N/A</v>
      </c>
      <c r="AD585" t="e">
        <f t="shared" ca="1" si="167"/>
        <v>#N/A</v>
      </c>
      <c r="AE585" s="83" t="e">
        <f ca="1"/>
        <v>#N/A</v>
      </c>
      <c r="AF585" s="55" t="e">
        <f t="shared" ca="1" si="168"/>
        <v>#N/A</v>
      </c>
      <c r="AG585" s="55" t="e">
        <f t="shared" ca="1" si="169"/>
        <v>#N/A</v>
      </c>
      <c r="AH585" s="55" t="e">
        <f t="shared" ca="1" si="170"/>
        <v>#N/A</v>
      </c>
      <c r="AI585" s="55" t="e">
        <f t="shared" ca="1" si="171"/>
        <v>#N/A</v>
      </c>
      <c r="AJ585" s="55" t="e">
        <f t="shared" ca="1" si="177"/>
        <v>#N/A</v>
      </c>
      <c r="AK585" s="55" t="e">
        <f t="shared" ca="1" si="178"/>
        <v>#N/A</v>
      </c>
      <c r="AL585" s="55" t="e">
        <f t="shared" ca="1" si="179"/>
        <v>#N/A</v>
      </c>
      <c r="AM585" s="55"/>
    </row>
    <row r="586" spans="18:39">
      <c r="R586" s="55" t="e">
        <f ca="1"/>
        <v>#N/A</v>
      </c>
      <c r="S586" s="55" t="e">
        <f t="shared" ca="1" si="161"/>
        <v>#N/A</v>
      </c>
      <c r="T586" s="55" t="e">
        <f t="shared" ca="1" si="162"/>
        <v>#N/A</v>
      </c>
      <c r="U586" s="55" t="e">
        <f t="shared" ca="1" si="163"/>
        <v>#N/A</v>
      </c>
      <c r="V586" s="55" t="e">
        <f t="shared" ca="1" si="164"/>
        <v>#N/A</v>
      </c>
      <c r="W586" s="55" t="e">
        <f t="shared" ca="1" si="174"/>
        <v>#N/A</v>
      </c>
      <c r="X586" s="55" t="e">
        <f t="shared" ca="1" si="175"/>
        <v>#N/A</v>
      </c>
      <c r="Y586" s="55" t="e">
        <f t="shared" ca="1" si="176"/>
        <v>#N/A</v>
      </c>
      <c r="Z586" s="55" t="e">
        <f t="shared" ca="1" si="172"/>
        <v>#N/A</v>
      </c>
      <c r="AA586" t="e">
        <f t="shared" ca="1" si="173"/>
        <v>#N/A</v>
      </c>
      <c r="AB586" t="e">
        <f t="shared" ca="1" si="165"/>
        <v>#N/A</v>
      </c>
      <c r="AC586" t="e">
        <f t="shared" ca="1" si="166"/>
        <v>#N/A</v>
      </c>
      <c r="AD586" t="e">
        <f t="shared" ca="1" si="167"/>
        <v>#N/A</v>
      </c>
      <c r="AE586" s="83" t="e">
        <f ca="1"/>
        <v>#N/A</v>
      </c>
      <c r="AF586" s="55" t="e">
        <f t="shared" ca="1" si="168"/>
        <v>#N/A</v>
      </c>
      <c r="AG586" s="55" t="e">
        <f t="shared" ca="1" si="169"/>
        <v>#N/A</v>
      </c>
      <c r="AH586" s="55" t="e">
        <f t="shared" ca="1" si="170"/>
        <v>#N/A</v>
      </c>
      <c r="AI586" s="55" t="e">
        <f t="shared" ca="1" si="171"/>
        <v>#N/A</v>
      </c>
      <c r="AJ586" s="55" t="e">
        <f t="shared" ca="1" si="177"/>
        <v>#N/A</v>
      </c>
      <c r="AK586" s="55" t="e">
        <f t="shared" ca="1" si="178"/>
        <v>#N/A</v>
      </c>
      <c r="AL586" s="55" t="e">
        <f t="shared" ca="1" si="179"/>
        <v>#N/A</v>
      </c>
      <c r="AM586" s="55"/>
    </row>
    <row r="587" spans="18:39">
      <c r="R587" s="55" t="e">
        <f ca="1"/>
        <v>#N/A</v>
      </c>
      <c r="S587" s="55" t="e">
        <f t="shared" ca="1" si="161"/>
        <v>#N/A</v>
      </c>
      <c r="T587" s="55" t="e">
        <f t="shared" ca="1" si="162"/>
        <v>#N/A</v>
      </c>
      <c r="U587" s="55" t="e">
        <f t="shared" ca="1" si="163"/>
        <v>#N/A</v>
      </c>
      <c r="V587" s="55" t="e">
        <f t="shared" ca="1" si="164"/>
        <v>#N/A</v>
      </c>
      <c r="W587" s="55" t="e">
        <f t="shared" ca="1" si="174"/>
        <v>#N/A</v>
      </c>
      <c r="X587" s="55" t="e">
        <f t="shared" ca="1" si="175"/>
        <v>#N/A</v>
      </c>
      <c r="Y587" s="55" t="e">
        <f t="shared" ca="1" si="176"/>
        <v>#N/A</v>
      </c>
      <c r="Z587" s="55" t="e">
        <f t="shared" ca="1" si="172"/>
        <v>#N/A</v>
      </c>
      <c r="AA587" t="e">
        <f t="shared" ca="1" si="173"/>
        <v>#N/A</v>
      </c>
      <c r="AB587" t="e">
        <f t="shared" ca="1" si="165"/>
        <v>#N/A</v>
      </c>
      <c r="AC587" t="e">
        <f t="shared" ca="1" si="166"/>
        <v>#N/A</v>
      </c>
      <c r="AD587" t="e">
        <f t="shared" ca="1" si="167"/>
        <v>#N/A</v>
      </c>
      <c r="AE587" s="83" t="e">
        <f ca="1"/>
        <v>#N/A</v>
      </c>
      <c r="AF587" s="55" t="e">
        <f t="shared" ca="1" si="168"/>
        <v>#N/A</v>
      </c>
      <c r="AG587" s="55" t="e">
        <f t="shared" ca="1" si="169"/>
        <v>#N/A</v>
      </c>
      <c r="AH587" s="55" t="e">
        <f t="shared" ca="1" si="170"/>
        <v>#N/A</v>
      </c>
      <c r="AI587" s="55" t="e">
        <f t="shared" ca="1" si="171"/>
        <v>#N/A</v>
      </c>
      <c r="AJ587" s="55" t="e">
        <f t="shared" ca="1" si="177"/>
        <v>#N/A</v>
      </c>
      <c r="AK587" s="55" t="e">
        <f t="shared" ca="1" si="178"/>
        <v>#N/A</v>
      </c>
      <c r="AL587" s="55" t="e">
        <f t="shared" ca="1" si="179"/>
        <v>#N/A</v>
      </c>
      <c r="AM587" s="55"/>
    </row>
    <row r="588" spans="18:39">
      <c r="R588" s="55" t="e">
        <f ca="1"/>
        <v>#N/A</v>
      </c>
      <c r="S588" s="55" t="e">
        <f t="shared" ref="S588:S651" ca="1" si="180">IF(R588&gt;1,R588,"")</f>
        <v>#N/A</v>
      </c>
      <c r="T588" s="55" t="e">
        <f t="shared" ref="T588:T651" ca="1" si="181">VLOOKUP(S588,ModelOutputs,2,FALSE)</f>
        <v>#N/A</v>
      </c>
      <c r="U588" s="55" t="e">
        <f t="shared" ref="U588:U651" ca="1" si="182">VLOOKUP(S588,ModelOutputs,7,FALSE)</f>
        <v>#N/A</v>
      </c>
      <c r="V588" s="55" t="e">
        <f t="shared" ref="V588:V651" ca="1" si="183">VLOOKUP(S588,ModelOutputs,6,FALSE)</f>
        <v>#N/A</v>
      </c>
      <c r="W588" s="55" t="e">
        <f t="shared" ca="1" si="174"/>
        <v>#N/A</v>
      </c>
      <c r="X588" s="55" t="e">
        <f t="shared" ca="1" si="175"/>
        <v>#N/A</v>
      </c>
      <c r="Y588" s="55" t="e">
        <f t="shared" ca="1" si="176"/>
        <v>#N/A</v>
      </c>
      <c r="Z588" s="55" t="e">
        <f t="shared" ca="1" si="172"/>
        <v>#N/A</v>
      </c>
      <c r="AA588" t="e">
        <f t="shared" ca="1" si="173"/>
        <v>#N/A</v>
      </c>
      <c r="AB588" t="e">
        <f t="shared" ref="AB588:AB651" ca="1" si="184">VLOOKUP(S588,ModelOutputs,11,FALSE)+AB587</f>
        <v>#N/A</v>
      </c>
      <c r="AC588" t="e">
        <f t="shared" ref="AC588:AC651" ca="1" si="185">VLOOKUP(S588,ModelOutputs,12,FALSE)</f>
        <v>#N/A</v>
      </c>
      <c r="AD588" t="e">
        <f t="shared" ref="AD588:AD651" ca="1" si="186">VLOOKUP(S588,ModelOutputs,13,FALSE)</f>
        <v>#N/A</v>
      </c>
      <c r="AE588" s="83" t="e">
        <f ca="1"/>
        <v>#N/A</v>
      </c>
      <c r="AF588" s="55" t="e">
        <f t="shared" ref="AF588:AF651" ca="1" si="187">IF(AE588&gt;1,AE588,"")</f>
        <v>#N/A</v>
      </c>
      <c r="AG588" s="55" t="e">
        <f t="shared" ref="AG588:AG651" ca="1" si="188">VLOOKUP(AF588,ModelOutputs,2,FALSE)</f>
        <v>#N/A</v>
      </c>
      <c r="AH588" s="55" t="e">
        <f t="shared" ref="AH588:AH651" ca="1" si="189">VLOOKUP(AF588,ModelOutputs,7,FALSE)</f>
        <v>#N/A</v>
      </c>
      <c r="AI588" s="55" t="e">
        <f t="shared" ref="AI588:AI651" ca="1" si="190">VLOOKUP(AF588,ModelOutputs,6,FALSE)</f>
        <v>#N/A</v>
      </c>
      <c r="AJ588" s="55" t="e">
        <f t="shared" ca="1" si="177"/>
        <v>#N/A</v>
      </c>
      <c r="AK588" s="55" t="e">
        <f t="shared" ca="1" si="178"/>
        <v>#N/A</v>
      </c>
      <c r="AL588" s="55" t="e">
        <f t="shared" ca="1" si="179"/>
        <v>#N/A</v>
      </c>
      <c r="AM588" s="55"/>
    </row>
    <row r="589" spans="18:39">
      <c r="R589" s="55" t="e">
        <f ca="1"/>
        <v>#N/A</v>
      </c>
      <c r="S589" s="55" t="e">
        <f t="shared" ca="1" si="180"/>
        <v>#N/A</v>
      </c>
      <c r="T589" s="55" t="e">
        <f t="shared" ca="1" si="181"/>
        <v>#N/A</v>
      </c>
      <c r="U589" s="55" t="e">
        <f t="shared" ca="1" si="182"/>
        <v>#N/A</v>
      </c>
      <c r="V589" s="55" t="e">
        <f t="shared" ca="1" si="183"/>
        <v>#N/A</v>
      </c>
      <c r="W589" s="55" t="e">
        <f t="shared" ca="1" si="174"/>
        <v>#N/A</v>
      </c>
      <c r="X589" s="55" t="e">
        <f t="shared" ca="1" si="175"/>
        <v>#N/A</v>
      </c>
      <c r="Y589" s="55" t="e">
        <f t="shared" ca="1" si="176"/>
        <v>#N/A</v>
      </c>
      <c r="Z589" s="55" t="e">
        <f t="shared" ca="1" si="172"/>
        <v>#N/A</v>
      </c>
      <c r="AA589" t="e">
        <f t="shared" ca="1" si="173"/>
        <v>#N/A</v>
      </c>
      <c r="AB589" t="e">
        <f t="shared" ca="1" si="184"/>
        <v>#N/A</v>
      </c>
      <c r="AC589" t="e">
        <f t="shared" ca="1" si="185"/>
        <v>#N/A</v>
      </c>
      <c r="AD589" t="e">
        <f t="shared" ca="1" si="186"/>
        <v>#N/A</v>
      </c>
      <c r="AE589" s="83" t="e">
        <f ca="1"/>
        <v>#N/A</v>
      </c>
      <c r="AF589" s="55" t="e">
        <f t="shared" ca="1" si="187"/>
        <v>#N/A</v>
      </c>
      <c r="AG589" s="55" t="e">
        <f t="shared" ca="1" si="188"/>
        <v>#N/A</v>
      </c>
      <c r="AH589" s="55" t="e">
        <f t="shared" ca="1" si="189"/>
        <v>#N/A</v>
      </c>
      <c r="AI589" s="55" t="e">
        <f t="shared" ca="1" si="190"/>
        <v>#N/A</v>
      </c>
      <c r="AJ589" s="55" t="e">
        <f t="shared" ca="1" si="177"/>
        <v>#N/A</v>
      </c>
      <c r="AK589" s="55" t="e">
        <f t="shared" ca="1" si="178"/>
        <v>#N/A</v>
      </c>
      <c r="AL589" s="55" t="e">
        <f t="shared" ca="1" si="179"/>
        <v>#N/A</v>
      </c>
      <c r="AM589" s="55"/>
    </row>
    <row r="590" spans="18:39">
      <c r="R590" s="55" t="e">
        <f ca="1"/>
        <v>#N/A</v>
      </c>
      <c r="S590" s="55" t="e">
        <f t="shared" ca="1" si="180"/>
        <v>#N/A</v>
      </c>
      <c r="T590" s="55" t="e">
        <f t="shared" ca="1" si="181"/>
        <v>#N/A</v>
      </c>
      <c r="U590" s="55" t="e">
        <f t="shared" ca="1" si="182"/>
        <v>#N/A</v>
      </c>
      <c r="V590" s="55" t="e">
        <f t="shared" ca="1" si="183"/>
        <v>#N/A</v>
      </c>
      <c r="W590" s="55" t="e">
        <f t="shared" ca="1" si="174"/>
        <v>#N/A</v>
      </c>
      <c r="X590" s="55" t="e">
        <f t="shared" ca="1" si="175"/>
        <v>#N/A</v>
      </c>
      <c r="Y590" s="55" t="e">
        <f t="shared" ca="1" si="176"/>
        <v>#N/A</v>
      </c>
      <c r="Z590" s="55" t="e">
        <f t="shared" ca="1" si="172"/>
        <v>#N/A</v>
      </c>
      <c r="AA590" t="e">
        <f t="shared" ca="1" si="173"/>
        <v>#N/A</v>
      </c>
      <c r="AB590" t="e">
        <f t="shared" ca="1" si="184"/>
        <v>#N/A</v>
      </c>
      <c r="AC590" t="e">
        <f t="shared" ca="1" si="185"/>
        <v>#N/A</v>
      </c>
      <c r="AD590" t="e">
        <f t="shared" ca="1" si="186"/>
        <v>#N/A</v>
      </c>
      <c r="AE590" s="83" t="e">
        <f ca="1"/>
        <v>#N/A</v>
      </c>
      <c r="AF590" s="55" t="e">
        <f t="shared" ca="1" si="187"/>
        <v>#N/A</v>
      </c>
      <c r="AG590" s="55" t="e">
        <f t="shared" ca="1" si="188"/>
        <v>#N/A</v>
      </c>
      <c r="AH590" s="55" t="e">
        <f t="shared" ca="1" si="189"/>
        <v>#N/A</v>
      </c>
      <c r="AI590" s="55" t="e">
        <f t="shared" ca="1" si="190"/>
        <v>#N/A</v>
      </c>
      <c r="AJ590" s="55" t="e">
        <f t="shared" ca="1" si="177"/>
        <v>#N/A</v>
      </c>
      <c r="AK590" s="55" t="e">
        <f t="shared" ca="1" si="178"/>
        <v>#N/A</v>
      </c>
      <c r="AL590" s="55" t="e">
        <f t="shared" ca="1" si="179"/>
        <v>#N/A</v>
      </c>
      <c r="AM590" s="55"/>
    </row>
    <row r="591" spans="18:39">
      <c r="R591" s="55" t="e">
        <f ca="1"/>
        <v>#N/A</v>
      </c>
      <c r="S591" s="55" t="e">
        <f t="shared" ca="1" si="180"/>
        <v>#N/A</v>
      </c>
      <c r="T591" s="55" t="e">
        <f t="shared" ca="1" si="181"/>
        <v>#N/A</v>
      </c>
      <c r="U591" s="55" t="e">
        <f t="shared" ca="1" si="182"/>
        <v>#N/A</v>
      </c>
      <c r="V591" s="55" t="e">
        <f t="shared" ca="1" si="183"/>
        <v>#N/A</v>
      </c>
      <c r="W591" s="55" t="e">
        <f t="shared" ca="1" si="174"/>
        <v>#N/A</v>
      </c>
      <c r="X591" s="55" t="e">
        <f t="shared" ca="1" si="175"/>
        <v>#N/A</v>
      </c>
      <c r="Y591" s="55" t="e">
        <f t="shared" ca="1" si="176"/>
        <v>#N/A</v>
      </c>
      <c r="Z591" s="55" t="e">
        <f t="shared" ca="1" si="172"/>
        <v>#N/A</v>
      </c>
      <c r="AA591" t="e">
        <f t="shared" ca="1" si="173"/>
        <v>#N/A</v>
      </c>
      <c r="AB591" t="e">
        <f t="shared" ca="1" si="184"/>
        <v>#N/A</v>
      </c>
      <c r="AC591" t="e">
        <f t="shared" ca="1" si="185"/>
        <v>#N/A</v>
      </c>
      <c r="AD591" t="e">
        <f t="shared" ca="1" si="186"/>
        <v>#N/A</v>
      </c>
      <c r="AE591" s="83" t="e">
        <f ca="1"/>
        <v>#N/A</v>
      </c>
      <c r="AF591" s="55" t="e">
        <f t="shared" ca="1" si="187"/>
        <v>#N/A</v>
      </c>
      <c r="AG591" s="55" t="e">
        <f t="shared" ca="1" si="188"/>
        <v>#N/A</v>
      </c>
      <c r="AH591" s="55" t="e">
        <f t="shared" ca="1" si="189"/>
        <v>#N/A</v>
      </c>
      <c r="AI591" s="55" t="e">
        <f t="shared" ca="1" si="190"/>
        <v>#N/A</v>
      </c>
      <c r="AJ591" s="55" t="e">
        <f t="shared" ca="1" si="177"/>
        <v>#N/A</v>
      </c>
      <c r="AK591" s="55" t="e">
        <f t="shared" ca="1" si="178"/>
        <v>#N/A</v>
      </c>
      <c r="AL591" s="55" t="e">
        <f t="shared" ca="1" si="179"/>
        <v>#N/A</v>
      </c>
      <c r="AM591" s="55"/>
    </row>
    <row r="592" spans="18:39">
      <c r="R592" s="55" t="e">
        <f ca="1"/>
        <v>#N/A</v>
      </c>
      <c r="S592" s="55" t="e">
        <f t="shared" ca="1" si="180"/>
        <v>#N/A</v>
      </c>
      <c r="T592" s="55" t="e">
        <f t="shared" ca="1" si="181"/>
        <v>#N/A</v>
      </c>
      <c r="U592" s="55" t="e">
        <f t="shared" ca="1" si="182"/>
        <v>#N/A</v>
      </c>
      <c r="V592" s="55" t="e">
        <f t="shared" ca="1" si="183"/>
        <v>#N/A</v>
      </c>
      <c r="W592" s="55" t="e">
        <f t="shared" ca="1" si="174"/>
        <v>#N/A</v>
      </c>
      <c r="X592" s="55" t="e">
        <f t="shared" ca="1" si="175"/>
        <v>#N/A</v>
      </c>
      <c r="Y592" s="55" t="e">
        <f t="shared" ca="1" si="176"/>
        <v>#N/A</v>
      </c>
      <c r="Z592" s="55" t="e">
        <f t="shared" ca="1" si="172"/>
        <v>#N/A</v>
      </c>
      <c r="AA592" t="e">
        <f t="shared" ca="1" si="173"/>
        <v>#N/A</v>
      </c>
      <c r="AB592" t="e">
        <f t="shared" ca="1" si="184"/>
        <v>#N/A</v>
      </c>
      <c r="AC592" t="e">
        <f t="shared" ca="1" si="185"/>
        <v>#N/A</v>
      </c>
      <c r="AD592" t="e">
        <f t="shared" ca="1" si="186"/>
        <v>#N/A</v>
      </c>
      <c r="AE592" s="83" t="e">
        <f ca="1"/>
        <v>#N/A</v>
      </c>
      <c r="AF592" s="55" t="e">
        <f t="shared" ca="1" si="187"/>
        <v>#N/A</v>
      </c>
      <c r="AG592" s="55" t="e">
        <f t="shared" ca="1" si="188"/>
        <v>#N/A</v>
      </c>
      <c r="AH592" s="55" t="e">
        <f t="shared" ca="1" si="189"/>
        <v>#N/A</v>
      </c>
      <c r="AI592" s="55" t="e">
        <f t="shared" ca="1" si="190"/>
        <v>#N/A</v>
      </c>
      <c r="AJ592" s="55" t="e">
        <f t="shared" ca="1" si="177"/>
        <v>#N/A</v>
      </c>
      <c r="AK592" s="55" t="e">
        <f t="shared" ca="1" si="178"/>
        <v>#N/A</v>
      </c>
      <c r="AL592" s="55" t="e">
        <f t="shared" ca="1" si="179"/>
        <v>#N/A</v>
      </c>
      <c r="AM592" s="55"/>
    </row>
    <row r="593" spans="18:39">
      <c r="R593" s="55" t="e">
        <f ca="1"/>
        <v>#N/A</v>
      </c>
      <c r="S593" s="55" t="e">
        <f t="shared" ca="1" si="180"/>
        <v>#N/A</v>
      </c>
      <c r="T593" s="55" t="e">
        <f t="shared" ca="1" si="181"/>
        <v>#N/A</v>
      </c>
      <c r="U593" s="55" t="e">
        <f t="shared" ca="1" si="182"/>
        <v>#N/A</v>
      </c>
      <c r="V593" s="55" t="e">
        <f t="shared" ca="1" si="183"/>
        <v>#N/A</v>
      </c>
      <c r="W593" s="55" t="e">
        <f t="shared" ca="1" si="174"/>
        <v>#N/A</v>
      </c>
      <c r="X593" s="55" t="e">
        <f t="shared" ca="1" si="175"/>
        <v>#N/A</v>
      </c>
      <c r="Y593" s="55" t="e">
        <f t="shared" ca="1" si="176"/>
        <v>#N/A</v>
      </c>
      <c r="Z593" s="55" t="e">
        <f t="shared" ca="1" si="172"/>
        <v>#N/A</v>
      </c>
      <c r="AA593" t="e">
        <f t="shared" ca="1" si="173"/>
        <v>#N/A</v>
      </c>
      <c r="AB593" t="e">
        <f t="shared" ca="1" si="184"/>
        <v>#N/A</v>
      </c>
      <c r="AC593" t="e">
        <f t="shared" ca="1" si="185"/>
        <v>#N/A</v>
      </c>
      <c r="AD593" t="e">
        <f t="shared" ca="1" si="186"/>
        <v>#N/A</v>
      </c>
      <c r="AE593" s="83" t="e">
        <f ca="1"/>
        <v>#N/A</v>
      </c>
      <c r="AF593" s="55" t="e">
        <f t="shared" ca="1" si="187"/>
        <v>#N/A</v>
      </c>
      <c r="AG593" s="55" t="e">
        <f t="shared" ca="1" si="188"/>
        <v>#N/A</v>
      </c>
      <c r="AH593" s="55" t="e">
        <f t="shared" ca="1" si="189"/>
        <v>#N/A</v>
      </c>
      <c r="AI593" s="55" t="e">
        <f t="shared" ca="1" si="190"/>
        <v>#N/A</v>
      </c>
      <c r="AJ593" s="55" t="e">
        <f t="shared" ca="1" si="177"/>
        <v>#N/A</v>
      </c>
      <c r="AK593" s="55" t="e">
        <f t="shared" ca="1" si="178"/>
        <v>#N/A</v>
      </c>
      <c r="AL593" s="55" t="e">
        <f t="shared" ca="1" si="179"/>
        <v>#N/A</v>
      </c>
      <c r="AM593" s="55"/>
    </row>
    <row r="594" spans="18:39">
      <c r="R594" s="55" t="e">
        <f ca="1"/>
        <v>#N/A</v>
      </c>
      <c r="S594" s="55" t="e">
        <f t="shared" ca="1" si="180"/>
        <v>#N/A</v>
      </c>
      <c r="T594" s="55" t="e">
        <f t="shared" ca="1" si="181"/>
        <v>#N/A</v>
      </c>
      <c r="U594" s="55" t="e">
        <f t="shared" ca="1" si="182"/>
        <v>#N/A</v>
      </c>
      <c r="V594" s="55" t="e">
        <f t="shared" ca="1" si="183"/>
        <v>#N/A</v>
      </c>
      <c r="W594" s="55" t="e">
        <f t="shared" ca="1" si="174"/>
        <v>#N/A</v>
      </c>
      <c r="X594" s="55" t="e">
        <f t="shared" ca="1" si="175"/>
        <v>#N/A</v>
      </c>
      <c r="Y594" s="55" t="e">
        <f t="shared" ca="1" si="176"/>
        <v>#N/A</v>
      </c>
      <c r="Z594" s="55" t="e">
        <f t="shared" ref="Z594:Z662" ca="1" si="191">VLOOKUP(S594,ModelOutputs,3,FALSE)*14</f>
        <v>#N/A</v>
      </c>
      <c r="AA594" t="e">
        <f t="shared" ref="AA594:AA662" ca="1" si="192">VLOOKUP(S594,ModelOutputs,10,FALSE)*AWC</f>
        <v>#N/A</v>
      </c>
      <c r="AB594" t="e">
        <f t="shared" ca="1" si="184"/>
        <v>#N/A</v>
      </c>
      <c r="AC594" t="e">
        <f t="shared" ca="1" si="185"/>
        <v>#N/A</v>
      </c>
      <c r="AD594" t="e">
        <f t="shared" ca="1" si="186"/>
        <v>#N/A</v>
      </c>
      <c r="AE594" s="83" t="e">
        <f ca="1"/>
        <v>#N/A</v>
      </c>
      <c r="AF594" s="55" t="e">
        <f t="shared" ca="1" si="187"/>
        <v>#N/A</v>
      </c>
      <c r="AG594" s="55" t="e">
        <f t="shared" ca="1" si="188"/>
        <v>#N/A</v>
      </c>
      <c r="AH594" s="55" t="e">
        <f t="shared" ca="1" si="189"/>
        <v>#N/A</v>
      </c>
      <c r="AI594" s="55" t="e">
        <f t="shared" ca="1" si="190"/>
        <v>#N/A</v>
      </c>
      <c r="AJ594" s="55" t="e">
        <f t="shared" ca="1" si="177"/>
        <v>#N/A</v>
      </c>
      <c r="AK594" s="55" t="e">
        <f t="shared" ca="1" si="178"/>
        <v>#N/A</v>
      </c>
      <c r="AL594" s="55" t="e">
        <f t="shared" ca="1" si="179"/>
        <v>#N/A</v>
      </c>
      <c r="AM594" s="55"/>
    </row>
    <row r="595" spans="18:39">
      <c r="R595" s="55" t="e">
        <f ca="1"/>
        <v>#N/A</v>
      </c>
      <c r="S595" s="55" t="e">
        <f t="shared" ca="1" si="180"/>
        <v>#N/A</v>
      </c>
      <c r="T595" s="55" t="e">
        <f t="shared" ca="1" si="181"/>
        <v>#N/A</v>
      </c>
      <c r="U595" s="55" t="e">
        <f t="shared" ca="1" si="182"/>
        <v>#N/A</v>
      </c>
      <c r="V595" s="55" t="e">
        <f t="shared" ca="1" si="183"/>
        <v>#N/A</v>
      </c>
      <c r="W595" s="55" t="e">
        <f t="shared" ref="W595:W662" ca="1" si="193">-VLOOKUP(S595,ModelOutputs,9,FALSE)+W594</f>
        <v>#N/A</v>
      </c>
      <c r="X595" s="55" t="e">
        <f t="shared" ref="X595:X662" ca="1" si="194">VLOOKUP(S595,ModelOutputs,5,FALSE)+X594</f>
        <v>#N/A</v>
      </c>
      <c r="Y595" s="55" t="e">
        <f t="shared" ref="Y595:Y662" ca="1" si="195">VLOOKUP(S595,ModelOutputs,4,FALSE)+Y594</f>
        <v>#N/A</v>
      </c>
      <c r="Z595" s="55" t="e">
        <f t="shared" ca="1" si="191"/>
        <v>#N/A</v>
      </c>
      <c r="AA595" t="e">
        <f t="shared" ca="1" si="192"/>
        <v>#N/A</v>
      </c>
      <c r="AB595" t="e">
        <f t="shared" ca="1" si="184"/>
        <v>#N/A</v>
      </c>
      <c r="AC595" t="e">
        <f t="shared" ca="1" si="185"/>
        <v>#N/A</v>
      </c>
      <c r="AD595" t="e">
        <f t="shared" ca="1" si="186"/>
        <v>#N/A</v>
      </c>
      <c r="AE595" s="83" t="e">
        <f ca="1"/>
        <v>#N/A</v>
      </c>
      <c r="AF595" s="55" t="e">
        <f t="shared" ca="1" si="187"/>
        <v>#N/A</v>
      </c>
      <c r="AG595" s="55" t="e">
        <f t="shared" ca="1" si="188"/>
        <v>#N/A</v>
      </c>
      <c r="AH595" s="55" t="e">
        <f t="shared" ca="1" si="189"/>
        <v>#N/A</v>
      </c>
      <c r="AI595" s="55" t="e">
        <f t="shared" ca="1" si="190"/>
        <v>#N/A</v>
      </c>
      <c r="AJ595" s="55" t="e">
        <f t="shared" ref="AJ595:AJ662" ca="1" si="196">-VLOOKUP(AF595,ModelOutputs,9,FALSE)+AJ594</f>
        <v>#N/A</v>
      </c>
      <c r="AK595" s="55" t="e">
        <f t="shared" ref="AK595:AK662" ca="1" si="197">VLOOKUP(AF595,ModelOutputs,5,FALSE)+AK594</f>
        <v>#N/A</v>
      </c>
      <c r="AL595" s="55" t="e">
        <f t="shared" ref="AL595:AL662" ca="1" si="198">VLOOKUP(AF595,ModelOutputs,4,FALSE)+AL594</f>
        <v>#N/A</v>
      </c>
      <c r="AM595" s="55"/>
    </row>
    <row r="596" spans="18:39">
      <c r="R596" s="55" t="e">
        <f ca="1"/>
        <v>#N/A</v>
      </c>
      <c r="S596" s="55" t="e">
        <f t="shared" ca="1" si="180"/>
        <v>#N/A</v>
      </c>
      <c r="T596" s="55" t="e">
        <f t="shared" ca="1" si="181"/>
        <v>#N/A</v>
      </c>
      <c r="U596" s="55" t="e">
        <f t="shared" ca="1" si="182"/>
        <v>#N/A</v>
      </c>
      <c r="V596" s="55" t="e">
        <f t="shared" ca="1" si="183"/>
        <v>#N/A</v>
      </c>
      <c r="W596" s="55" t="e">
        <f t="shared" ca="1" si="193"/>
        <v>#N/A</v>
      </c>
      <c r="X596" s="55" t="e">
        <f t="shared" ca="1" si="194"/>
        <v>#N/A</v>
      </c>
      <c r="Y596" s="55" t="e">
        <f t="shared" ca="1" si="195"/>
        <v>#N/A</v>
      </c>
      <c r="Z596" s="55" t="e">
        <f t="shared" ca="1" si="191"/>
        <v>#N/A</v>
      </c>
      <c r="AA596" t="e">
        <f t="shared" ca="1" si="192"/>
        <v>#N/A</v>
      </c>
      <c r="AB596" t="e">
        <f t="shared" ca="1" si="184"/>
        <v>#N/A</v>
      </c>
      <c r="AC596" t="e">
        <f t="shared" ca="1" si="185"/>
        <v>#N/A</v>
      </c>
      <c r="AD596" t="e">
        <f t="shared" ca="1" si="186"/>
        <v>#N/A</v>
      </c>
      <c r="AE596" s="83" t="e">
        <f ca="1"/>
        <v>#N/A</v>
      </c>
      <c r="AF596" s="55" t="e">
        <f t="shared" ca="1" si="187"/>
        <v>#N/A</v>
      </c>
      <c r="AG596" s="55" t="e">
        <f t="shared" ca="1" si="188"/>
        <v>#N/A</v>
      </c>
      <c r="AH596" s="55" t="e">
        <f t="shared" ca="1" si="189"/>
        <v>#N/A</v>
      </c>
      <c r="AI596" s="55" t="e">
        <f t="shared" ca="1" si="190"/>
        <v>#N/A</v>
      </c>
      <c r="AJ596" s="55" t="e">
        <f t="shared" ca="1" si="196"/>
        <v>#N/A</v>
      </c>
      <c r="AK596" s="55" t="e">
        <f t="shared" ca="1" si="197"/>
        <v>#N/A</v>
      </c>
      <c r="AL596" s="55" t="e">
        <f t="shared" ca="1" si="198"/>
        <v>#N/A</v>
      </c>
      <c r="AM596" s="55"/>
    </row>
    <row r="597" spans="18:39">
      <c r="R597" s="55" t="e">
        <f ca="1"/>
        <v>#N/A</v>
      </c>
      <c r="S597" s="55" t="e">
        <f t="shared" ca="1" si="180"/>
        <v>#N/A</v>
      </c>
      <c r="T597" s="55" t="e">
        <f t="shared" ca="1" si="181"/>
        <v>#N/A</v>
      </c>
      <c r="U597" s="55" t="e">
        <f t="shared" ca="1" si="182"/>
        <v>#N/A</v>
      </c>
      <c r="V597" s="55" t="e">
        <f t="shared" ca="1" si="183"/>
        <v>#N/A</v>
      </c>
      <c r="W597" s="55" t="e">
        <f t="shared" ca="1" si="193"/>
        <v>#N/A</v>
      </c>
      <c r="X597" s="55" t="e">
        <f t="shared" ca="1" si="194"/>
        <v>#N/A</v>
      </c>
      <c r="Y597" s="55" t="e">
        <f t="shared" ca="1" si="195"/>
        <v>#N/A</v>
      </c>
      <c r="Z597" s="55" t="e">
        <f t="shared" ca="1" si="191"/>
        <v>#N/A</v>
      </c>
      <c r="AA597" t="e">
        <f t="shared" ca="1" si="192"/>
        <v>#N/A</v>
      </c>
      <c r="AB597" t="e">
        <f t="shared" ca="1" si="184"/>
        <v>#N/A</v>
      </c>
      <c r="AC597" t="e">
        <f t="shared" ca="1" si="185"/>
        <v>#N/A</v>
      </c>
      <c r="AD597" t="e">
        <f t="shared" ca="1" si="186"/>
        <v>#N/A</v>
      </c>
      <c r="AE597" s="83" t="e">
        <f ca="1"/>
        <v>#N/A</v>
      </c>
      <c r="AF597" s="55" t="e">
        <f t="shared" ca="1" si="187"/>
        <v>#N/A</v>
      </c>
      <c r="AG597" s="55" t="e">
        <f t="shared" ca="1" si="188"/>
        <v>#N/A</v>
      </c>
      <c r="AH597" s="55" t="e">
        <f t="shared" ca="1" si="189"/>
        <v>#N/A</v>
      </c>
      <c r="AI597" s="55" t="e">
        <f t="shared" ca="1" si="190"/>
        <v>#N/A</v>
      </c>
      <c r="AJ597" s="55" t="e">
        <f t="shared" ca="1" si="196"/>
        <v>#N/A</v>
      </c>
      <c r="AK597" s="55" t="e">
        <f t="shared" ca="1" si="197"/>
        <v>#N/A</v>
      </c>
      <c r="AL597" s="55" t="e">
        <f t="shared" ca="1" si="198"/>
        <v>#N/A</v>
      </c>
      <c r="AM597" s="55"/>
    </row>
    <row r="598" spans="18:39">
      <c r="R598" s="55" t="e">
        <f ca="1"/>
        <v>#N/A</v>
      </c>
      <c r="S598" s="55" t="e">
        <f t="shared" ca="1" si="180"/>
        <v>#N/A</v>
      </c>
      <c r="T598" s="55" t="e">
        <f t="shared" ca="1" si="181"/>
        <v>#N/A</v>
      </c>
      <c r="U598" s="55" t="e">
        <f t="shared" ca="1" si="182"/>
        <v>#N/A</v>
      </c>
      <c r="V598" s="55" t="e">
        <f t="shared" ca="1" si="183"/>
        <v>#N/A</v>
      </c>
      <c r="W598" s="55" t="e">
        <f t="shared" ca="1" si="193"/>
        <v>#N/A</v>
      </c>
      <c r="X598" s="55" t="e">
        <f t="shared" ca="1" si="194"/>
        <v>#N/A</v>
      </c>
      <c r="Y598" s="55" t="e">
        <f t="shared" ca="1" si="195"/>
        <v>#N/A</v>
      </c>
      <c r="Z598" s="55" t="e">
        <f t="shared" ca="1" si="191"/>
        <v>#N/A</v>
      </c>
      <c r="AA598" t="e">
        <f t="shared" ca="1" si="192"/>
        <v>#N/A</v>
      </c>
      <c r="AB598" t="e">
        <f t="shared" ca="1" si="184"/>
        <v>#N/A</v>
      </c>
      <c r="AC598" t="e">
        <f t="shared" ca="1" si="185"/>
        <v>#N/A</v>
      </c>
      <c r="AD598" t="e">
        <f t="shared" ca="1" si="186"/>
        <v>#N/A</v>
      </c>
      <c r="AE598" s="83" t="e">
        <f ca="1"/>
        <v>#N/A</v>
      </c>
      <c r="AF598" s="55" t="e">
        <f t="shared" ca="1" si="187"/>
        <v>#N/A</v>
      </c>
      <c r="AG598" s="55" t="e">
        <f t="shared" ca="1" si="188"/>
        <v>#N/A</v>
      </c>
      <c r="AH598" s="55" t="e">
        <f t="shared" ca="1" si="189"/>
        <v>#N/A</v>
      </c>
      <c r="AI598" s="55" t="e">
        <f t="shared" ca="1" si="190"/>
        <v>#N/A</v>
      </c>
      <c r="AJ598" s="55" t="e">
        <f t="shared" ca="1" si="196"/>
        <v>#N/A</v>
      </c>
      <c r="AK598" s="55" t="e">
        <f t="shared" ca="1" si="197"/>
        <v>#N/A</v>
      </c>
      <c r="AL598" s="55" t="e">
        <f t="shared" ca="1" si="198"/>
        <v>#N/A</v>
      </c>
      <c r="AM598" s="55"/>
    </row>
    <row r="599" spans="18:39">
      <c r="R599" s="55" t="e">
        <f ca="1"/>
        <v>#N/A</v>
      </c>
      <c r="S599" s="55" t="e">
        <f t="shared" ca="1" si="180"/>
        <v>#N/A</v>
      </c>
      <c r="T599" s="55" t="e">
        <f t="shared" ca="1" si="181"/>
        <v>#N/A</v>
      </c>
      <c r="U599" s="55" t="e">
        <f t="shared" ca="1" si="182"/>
        <v>#N/A</v>
      </c>
      <c r="V599" s="55" t="e">
        <f t="shared" ca="1" si="183"/>
        <v>#N/A</v>
      </c>
      <c r="W599" s="55" t="e">
        <f t="shared" ca="1" si="193"/>
        <v>#N/A</v>
      </c>
      <c r="X599" s="55" t="e">
        <f t="shared" ca="1" si="194"/>
        <v>#N/A</v>
      </c>
      <c r="Y599" s="55" t="e">
        <f t="shared" ca="1" si="195"/>
        <v>#N/A</v>
      </c>
      <c r="Z599" s="55" t="e">
        <f t="shared" ca="1" si="191"/>
        <v>#N/A</v>
      </c>
      <c r="AA599" t="e">
        <f t="shared" ca="1" si="192"/>
        <v>#N/A</v>
      </c>
      <c r="AB599" t="e">
        <f t="shared" ca="1" si="184"/>
        <v>#N/A</v>
      </c>
      <c r="AC599" t="e">
        <f t="shared" ca="1" si="185"/>
        <v>#N/A</v>
      </c>
      <c r="AD599" t="e">
        <f t="shared" ca="1" si="186"/>
        <v>#N/A</v>
      </c>
      <c r="AE599" s="83" t="e">
        <f ca="1"/>
        <v>#N/A</v>
      </c>
      <c r="AF599" s="55" t="e">
        <f t="shared" ca="1" si="187"/>
        <v>#N/A</v>
      </c>
      <c r="AG599" s="55" t="e">
        <f t="shared" ca="1" si="188"/>
        <v>#N/A</v>
      </c>
      <c r="AH599" s="55" t="e">
        <f t="shared" ca="1" si="189"/>
        <v>#N/A</v>
      </c>
      <c r="AI599" s="55" t="e">
        <f t="shared" ca="1" si="190"/>
        <v>#N/A</v>
      </c>
      <c r="AJ599" s="55" t="e">
        <f t="shared" ca="1" si="196"/>
        <v>#N/A</v>
      </c>
      <c r="AK599" s="55" t="e">
        <f t="shared" ca="1" si="197"/>
        <v>#N/A</v>
      </c>
      <c r="AL599" s="55" t="e">
        <f t="shared" ca="1" si="198"/>
        <v>#N/A</v>
      </c>
      <c r="AM599" s="55"/>
    </row>
    <row r="600" spans="18:39">
      <c r="R600" s="55" t="e">
        <f ca="1"/>
        <v>#N/A</v>
      </c>
      <c r="S600" s="55" t="e">
        <f t="shared" ca="1" si="180"/>
        <v>#N/A</v>
      </c>
      <c r="T600" s="55" t="e">
        <f t="shared" ca="1" si="181"/>
        <v>#N/A</v>
      </c>
      <c r="U600" s="55" t="e">
        <f t="shared" ca="1" si="182"/>
        <v>#N/A</v>
      </c>
      <c r="V600" s="55" t="e">
        <f t="shared" ca="1" si="183"/>
        <v>#N/A</v>
      </c>
      <c r="W600" s="55" t="e">
        <f t="shared" ca="1" si="193"/>
        <v>#N/A</v>
      </c>
      <c r="X600" s="55" t="e">
        <f t="shared" ca="1" si="194"/>
        <v>#N/A</v>
      </c>
      <c r="Y600" s="55" t="e">
        <f t="shared" ca="1" si="195"/>
        <v>#N/A</v>
      </c>
      <c r="Z600" s="55" t="e">
        <f t="shared" ca="1" si="191"/>
        <v>#N/A</v>
      </c>
      <c r="AA600" t="e">
        <f t="shared" ca="1" si="192"/>
        <v>#N/A</v>
      </c>
      <c r="AB600" t="e">
        <f t="shared" ca="1" si="184"/>
        <v>#N/A</v>
      </c>
      <c r="AC600" t="e">
        <f t="shared" ca="1" si="185"/>
        <v>#N/A</v>
      </c>
      <c r="AD600" t="e">
        <f t="shared" ca="1" si="186"/>
        <v>#N/A</v>
      </c>
      <c r="AE600" s="83" t="e">
        <f ca="1"/>
        <v>#N/A</v>
      </c>
      <c r="AF600" s="55" t="e">
        <f t="shared" ca="1" si="187"/>
        <v>#N/A</v>
      </c>
      <c r="AG600" s="55" t="e">
        <f t="shared" ca="1" si="188"/>
        <v>#N/A</v>
      </c>
      <c r="AH600" s="55" t="e">
        <f t="shared" ca="1" si="189"/>
        <v>#N/A</v>
      </c>
      <c r="AI600" s="55" t="e">
        <f t="shared" ca="1" si="190"/>
        <v>#N/A</v>
      </c>
      <c r="AJ600" s="55" t="e">
        <f t="shared" ca="1" si="196"/>
        <v>#N/A</v>
      </c>
      <c r="AK600" s="55" t="e">
        <f t="shared" ca="1" si="197"/>
        <v>#N/A</v>
      </c>
      <c r="AL600" s="55" t="e">
        <f t="shared" ca="1" si="198"/>
        <v>#N/A</v>
      </c>
      <c r="AM600" s="55"/>
    </row>
    <row r="601" spans="18:39">
      <c r="R601" s="55" t="e">
        <f ca="1"/>
        <v>#N/A</v>
      </c>
      <c r="S601" s="55" t="e">
        <f t="shared" ca="1" si="180"/>
        <v>#N/A</v>
      </c>
      <c r="T601" s="55" t="e">
        <f t="shared" ca="1" si="181"/>
        <v>#N/A</v>
      </c>
      <c r="U601" s="55" t="e">
        <f t="shared" ca="1" si="182"/>
        <v>#N/A</v>
      </c>
      <c r="V601" s="55" t="e">
        <f t="shared" ca="1" si="183"/>
        <v>#N/A</v>
      </c>
      <c r="W601" s="55" t="e">
        <f t="shared" ca="1" si="193"/>
        <v>#N/A</v>
      </c>
      <c r="X601" s="55" t="e">
        <f t="shared" ca="1" si="194"/>
        <v>#N/A</v>
      </c>
      <c r="Y601" s="55" t="e">
        <f t="shared" ca="1" si="195"/>
        <v>#N/A</v>
      </c>
      <c r="Z601" s="55" t="e">
        <f t="shared" ca="1" si="191"/>
        <v>#N/A</v>
      </c>
      <c r="AA601" t="e">
        <f t="shared" ca="1" si="192"/>
        <v>#N/A</v>
      </c>
      <c r="AB601" t="e">
        <f t="shared" ca="1" si="184"/>
        <v>#N/A</v>
      </c>
      <c r="AC601" t="e">
        <f t="shared" ca="1" si="185"/>
        <v>#N/A</v>
      </c>
      <c r="AD601" t="e">
        <f t="shared" ca="1" si="186"/>
        <v>#N/A</v>
      </c>
      <c r="AE601" s="83" t="e">
        <f ca="1"/>
        <v>#N/A</v>
      </c>
      <c r="AF601" s="55" t="e">
        <f t="shared" ca="1" si="187"/>
        <v>#N/A</v>
      </c>
      <c r="AG601" s="55" t="e">
        <f t="shared" ca="1" si="188"/>
        <v>#N/A</v>
      </c>
      <c r="AH601" s="55" t="e">
        <f t="shared" ca="1" si="189"/>
        <v>#N/A</v>
      </c>
      <c r="AI601" s="55" t="e">
        <f t="shared" ca="1" si="190"/>
        <v>#N/A</v>
      </c>
      <c r="AJ601" s="55" t="e">
        <f t="shared" ca="1" si="196"/>
        <v>#N/A</v>
      </c>
      <c r="AK601" s="55" t="e">
        <f t="shared" ca="1" si="197"/>
        <v>#N/A</v>
      </c>
      <c r="AL601" s="55" t="e">
        <f t="shared" ca="1" si="198"/>
        <v>#N/A</v>
      </c>
      <c r="AM601" s="55"/>
    </row>
    <row r="602" spans="18:39">
      <c r="R602" s="55" t="e">
        <f ca="1"/>
        <v>#N/A</v>
      </c>
      <c r="S602" s="55" t="e">
        <f t="shared" ca="1" si="180"/>
        <v>#N/A</v>
      </c>
      <c r="T602" s="55" t="e">
        <f t="shared" ca="1" si="181"/>
        <v>#N/A</v>
      </c>
      <c r="U602" s="55" t="e">
        <f t="shared" ca="1" si="182"/>
        <v>#N/A</v>
      </c>
      <c r="V602" s="55" t="e">
        <f t="shared" ca="1" si="183"/>
        <v>#N/A</v>
      </c>
      <c r="W602" s="55" t="e">
        <f t="shared" ca="1" si="193"/>
        <v>#N/A</v>
      </c>
      <c r="X602" s="55" t="e">
        <f t="shared" ca="1" si="194"/>
        <v>#N/A</v>
      </c>
      <c r="Y602" s="55" t="e">
        <f t="shared" ca="1" si="195"/>
        <v>#N/A</v>
      </c>
      <c r="Z602" s="55" t="e">
        <f t="shared" ca="1" si="191"/>
        <v>#N/A</v>
      </c>
      <c r="AA602" t="e">
        <f t="shared" ca="1" si="192"/>
        <v>#N/A</v>
      </c>
      <c r="AB602" t="e">
        <f t="shared" ca="1" si="184"/>
        <v>#N/A</v>
      </c>
      <c r="AC602" t="e">
        <f t="shared" ca="1" si="185"/>
        <v>#N/A</v>
      </c>
      <c r="AD602" t="e">
        <f t="shared" ca="1" si="186"/>
        <v>#N/A</v>
      </c>
      <c r="AE602" s="83" t="e">
        <f ca="1"/>
        <v>#N/A</v>
      </c>
      <c r="AF602" s="55" t="e">
        <f t="shared" ca="1" si="187"/>
        <v>#N/A</v>
      </c>
      <c r="AG602" s="55" t="e">
        <f t="shared" ca="1" si="188"/>
        <v>#N/A</v>
      </c>
      <c r="AH602" s="55" t="e">
        <f t="shared" ca="1" si="189"/>
        <v>#N/A</v>
      </c>
      <c r="AI602" s="55" t="e">
        <f t="shared" ca="1" si="190"/>
        <v>#N/A</v>
      </c>
      <c r="AJ602" s="55" t="e">
        <f t="shared" ca="1" si="196"/>
        <v>#N/A</v>
      </c>
      <c r="AK602" s="55" t="e">
        <f t="shared" ca="1" si="197"/>
        <v>#N/A</v>
      </c>
      <c r="AL602" s="55" t="e">
        <f t="shared" ca="1" si="198"/>
        <v>#N/A</v>
      </c>
      <c r="AM602" s="55"/>
    </row>
    <row r="603" spans="18:39">
      <c r="R603" s="55" t="e">
        <f ca="1"/>
        <v>#N/A</v>
      </c>
      <c r="S603" s="55" t="e">
        <f t="shared" ca="1" si="180"/>
        <v>#N/A</v>
      </c>
      <c r="T603" s="55" t="e">
        <f t="shared" ca="1" si="181"/>
        <v>#N/A</v>
      </c>
      <c r="U603" s="55" t="e">
        <f t="shared" ca="1" si="182"/>
        <v>#N/A</v>
      </c>
      <c r="V603" s="55" t="e">
        <f t="shared" ca="1" si="183"/>
        <v>#N/A</v>
      </c>
      <c r="W603" s="55" t="e">
        <f t="shared" ca="1" si="193"/>
        <v>#N/A</v>
      </c>
      <c r="X603" s="55" t="e">
        <f t="shared" ca="1" si="194"/>
        <v>#N/A</v>
      </c>
      <c r="Y603" s="55" t="e">
        <f t="shared" ca="1" si="195"/>
        <v>#N/A</v>
      </c>
      <c r="Z603" s="55" t="e">
        <f t="shared" ca="1" si="191"/>
        <v>#N/A</v>
      </c>
      <c r="AA603" t="e">
        <f t="shared" ca="1" si="192"/>
        <v>#N/A</v>
      </c>
      <c r="AB603" t="e">
        <f t="shared" ca="1" si="184"/>
        <v>#N/A</v>
      </c>
      <c r="AC603" t="e">
        <f t="shared" ca="1" si="185"/>
        <v>#N/A</v>
      </c>
      <c r="AD603" t="e">
        <f t="shared" ca="1" si="186"/>
        <v>#N/A</v>
      </c>
      <c r="AE603" s="83" t="e">
        <f ca="1"/>
        <v>#N/A</v>
      </c>
      <c r="AF603" s="55" t="e">
        <f t="shared" ca="1" si="187"/>
        <v>#N/A</v>
      </c>
      <c r="AG603" s="55" t="e">
        <f t="shared" ca="1" si="188"/>
        <v>#N/A</v>
      </c>
      <c r="AH603" s="55" t="e">
        <f t="shared" ca="1" si="189"/>
        <v>#N/A</v>
      </c>
      <c r="AI603" s="55" t="e">
        <f t="shared" ca="1" si="190"/>
        <v>#N/A</v>
      </c>
      <c r="AJ603" s="55" t="e">
        <f t="shared" ca="1" si="196"/>
        <v>#N/A</v>
      </c>
      <c r="AK603" s="55" t="e">
        <f t="shared" ca="1" si="197"/>
        <v>#N/A</v>
      </c>
      <c r="AL603" s="55" t="e">
        <f t="shared" ca="1" si="198"/>
        <v>#N/A</v>
      </c>
      <c r="AM603" s="55"/>
    </row>
    <row r="604" spans="18:39">
      <c r="R604" s="55" t="e">
        <f ca="1"/>
        <v>#N/A</v>
      </c>
      <c r="S604" s="55" t="e">
        <f t="shared" ca="1" si="180"/>
        <v>#N/A</v>
      </c>
      <c r="T604" s="55" t="e">
        <f t="shared" ca="1" si="181"/>
        <v>#N/A</v>
      </c>
      <c r="U604" s="55" t="e">
        <f t="shared" ca="1" si="182"/>
        <v>#N/A</v>
      </c>
      <c r="V604" s="55" t="e">
        <f t="shared" ca="1" si="183"/>
        <v>#N/A</v>
      </c>
      <c r="W604" s="55" t="e">
        <f t="shared" ca="1" si="193"/>
        <v>#N/A</v>
      </c>
      <c r="X604" s="55" t="e">
        <f t="shared" ca="1" si="194"/>
        <v>#N/A</v>
      </c>
      <c r="Y604" s="55" t="e">
        <f t="shared" ca="1" si="195"/>
        <v>#N/A</v>
      </c>
      <c r="Z604" s="55" t="e">
        <f t="shared" ca="1" si="191"/>
        <v>#N/A</v>
      </c>
      <c r="AA604" t="e">
        <f t="shared" ca="1" si="192"/>
        <v>#N/A</v>
      </c>
      <c r="AB604" t="e">
        <f t="shared" ca="1" si="184"/>
        <v>#N/A</v>
      </c>
      <c r="AC604" t="e">
        <f t="shared" ca="1" si="185"/>
        <v>#N/A</v>
      </c>
      <c r="AD604" t="e">
        <f t="shared" ca="1" si="186"/>
        <v>#N/A</v>
      </c>
      <c r="AE604" s="83" t="e">
        <f ca="1"/>
        <v>#N/A</v>
      </c>
      <c r="AF604" s="55" t="e">
        <f t="shared" ca="1" si="187"/>
        <v>#N/A</v>
      </c>
      <c r="AG604" s="55" t="e">
        <f t="shared" ca="1" si="188"/>
        <v>#N/A</v>
      </c>
      <c r="AH604" s="55" t="e">
        <f t="shared" ca="1" si="189"/>
        <v>#N/A</v>
      </c>
      <c r="AI604" s="55" t="e">
        <f t="shared" ca="1" si="190"/>
        <v>#N/A</v>
      </c>
      <c r="AJ604" s="55" t="e">
        <f t="shared" ca="1" si="196"/>
        <v>#N/A</v>
      </c>
      <c r="AK604" s="55" t="e">
        <f t="shared" ca="1" si="197"/>
        <v>#N/A</v>
      </c>
      <c r="AL604" s="55" t="e">
        <f t="shared" ca="1" si="198"/>
        <v>#N/A</v>
      </c>
      <c r="AM604" s="55"/>
    </row>
    <row r="605" spans="18:39">
      <c r="R605" s="55" t="e">
        <f ca="1"/>
        <v>#N/A</v>
      </c>
      <c r="S605" s="55" t="e">
        <f t="shared" ca="1" si="180"/>
        <v>#N/A</v>
      </c>
      <c r="T605" s="55" t="e">
        <f t="shared" ca="1" si="181"/>
        <v>#N/A</v>
      </c>
      <c r="U605" s="55" t="e">
        <f t="shared" ca="1" si="182"/>
        <v>#N/A</v>
      </c>
      <c r="V605" s="55" t="e">
        <f t="shared" ca="1" si="183"/>
        <v>#N/A</v>
      </c>
      <c r="W605" s="55" t="e">
        <f t="shared" ca="1" si="193"/>
        <v>#N/A</v>
      </c>
      <c r="X605" s="55" t="e">
        <f t="shared" ca="1" si="194"/>
        <v>#N/A</v>
      </c>
      <c r="Y605" s="55" t="e">
        <f t="shared" ca="1" si="195"/>
        <v>#N/A</v>
      </c>
      <c r="Z605" s="55" t="e">
        <f t="shared" ca="1" si="191"/>
        <v>#N/A</v>
      </c>
      <c r="AA605" t="e">
        <f t="shared" ca="1" si="192"/>
        <v>#N/A</v>
      </c>
      <c r="AB605" t="e">
        <f t="shared" ca="1" si="184"/>
        <v>#N/A</v>
      </c>
      <c r="AC605" t="e">
        <f t="shared" ca="1" si="185"/>
        <v>#N/A</v>
      </c>
      <c r="AD605" t="e">
        <f t="shared" ca="1" si="186"/>
        <v>#N/A</v>
      </c>
      <c r="AE605" s="83" t="e">
        <f ca="1"/>
        <v>#N/A</v>
      </c>
      <c r="AF605" s="55" t="e">
        <f t="shared" ca="1" si="187"/>
        <v>#N/A</v>
      </c>
      <c r="AG605" s="55" t="e">
        <f t="shared" ca="1" si="188"/>
        <v>#N/A</v>
      </c>
      <c r="AH605" s="55" t="e">
        <f t="shared" ca="1" si="189"/>
        <v>#N/A</v>
      </c>
      <c r="AI605" s="55" t="e">
        <f t="shared" ca="1" si="190"/>
        <v>#N/A</v>
      </c>
      <c r="AJ605" s="55" t="e">
        <f t="shared" ca="1" si="196"/>
        <v>#N/A</v>
      </c>
      <c r="AK605" s="55" t="e">
        <f t="shared" ca="1" si="197"/>
        <v>#N/A</v>
      </c>
      <c r="AL605" s="55" t="e">
        <f t="shared" ca="1" si="198"/>
        <v>#N/A</v>
      </c>
      <c r="AM605" s="55"/>
    </row>
    <row r="606" spans="18:39">
      <c r="R606" s="55" t="e">
        <f ca="1"/>
        <v>#N/A</v>
      </c>
      <c r="S606" s="55" t="e">
        <f t="shared" ca="1" si="180"/>
        <v>#N/A</v>
      </c>
      <c r="T606" s="55" t="e">
        <f t="shared" ca="1" si="181"/>
        <v>#N/A</v>
      </c>
      <c r="U606" s="55" t="e">
        <f t="shared" ca="1" si="182"/>
        <v>#N/A</v>
      </c>
      <c r="V606" s="55" t="e">
        <f t="shared" ca="1" si="183"/>
        <v>#N/A</v>
      </c>
      <c r="W606" s="55" t="e">
        <f t="shared" ca="1" si="193"/>
        <v>#N/A</v>
      </c>
      <c r="X606" s="55" t="e">
        <f t="shared" ca="1" si="194"/>
        <v>#N/A</v>
      </c>
      <c r="Y606" s="55" t="e">
        <f t="shared" ca="1" si="195"/>
        <v>#N/A</v>
      </c>
      <c r="Z606" s="55" t="e">
        <f t="shared" ca="1" si="191"/>
        <v>#N/A</v>
      </c>
      <c r="AA606" t="e">
        <f t="shared" ca="1" si="192"/>
        <v>#N/A</v>
      </c>
      <c r="AB606" t="e">
        <f t="shared" ca="1" si="184"/>
        <v>#N/A</v>
      </c>
      <c r="AC606" t="e">
        <f t="shared" ca="1" si="185"/>
        <v>#N/A</v>
      </c>
      <c r="AD606" t="e">
        <f t="shared" ca="1" si="186"/>
        <v>#N/A</v>
      </c>
      <c r="AE606" s="83" t="e">
        <f ca="1"/>
        <v>#N/A</v>
      </c>
      <c r="AF606" s="55" t="e">
        <f t="shared" ca="1" si="187"/>
        <v>#N/A</v>
      </c>
      <c r="AG606" s="55" t="e">
        <f t="shared" ca="1" si="188"/>
        <v>#N/A</v>
      </c>
      <c r="AH606" s="55" t="e">
        <f t="shared" ca="1" si="189"/>
        <v>#N/A</v>
      </c>
      <c r="AI606" s="55" t="e">
        <f t="shared" ca="1" si="190"/>
        <v>#N/A</v>
      </c>
      <c r="AJ606" s="55" t="e">
        <f t="shared" ca="1" si="196"/>
        <v>#N/A</v>
      </c>
      <c r="AK606" s="55" t="e">
        <f t="shared" ca="1" si="197"/>
        <v>#N/A</v>
      </c>
      <c r="AL606" s="55" t="e">
        <f t="shared" ca="1" si="198"/>
        <v>#N/A</v>
      </c>
      <c r="AM606" s="55"/>
    </row>
    <row r="607" spans="18:39">
      <c r="R607" s="55" t="e">
        <f ca="1"/>
        <v>#N/A</v>
      </c>
      <c r="S607" s="55" t="e">
        <f t="shared" ca="1" si="180"/>
        <v>#N/A</v>
      </c>
      <c r="T607" s="55" t="e">
        <f t="shared" ca="1" si="181"/>
        <v>#N/A</v>
      </c>
      <c r="U607" s="55" t="e">
        <f t="shared" ca="1" si="182"/>
        <v>#N/A</v>
      </c>
      <c r="V607" s="55" t="e">
        <f t="shared" ca="1" si="183"/>
        <v>#N/A</v>
      </c>
      <c r="W607" s="55" t="e">
        <f t="shared" ca="1" si="193"/>
        <v>#N/A</v>
      </c>
      <c r="X607" s="55" t="e">
        <f t="shared" ca="1" si="194"/>
        <v>#N/A</v>
      </c>
      <c r="Y607" s="55" t="e">
        <f t="shared" ca="1" si="195"/>
        <v>#N/A</v>
      </c>
      <c r="Z607" s="55" t="e">
        <f t="shared" ca="1" si="191"/>
        <v>#N/A</v>
      </c>
      <c r="AA607" t="e">
        <f t="shared" ca="1" si="192"/>
        <v>#N/A</v>
      </c>
      <c r="AB607" t="e">
        <f t="shared" ca="1" si="184"/>
        <v>#N/A</v>
      </c>
      <c r="AC607" t="e">
        <f t="shared" ca="1" si="185"/>
        <v>#N/A</v>
      </c>
      <c r="AD607" t="e">
        <f t="shared" ca="1" si="186"/>
        <v>#N/A</v>
      </c>
      <c r="AE607" s="83" t="e">
        <f ca="1"/>
        <v>#N/A</v>
      </c>
      <c r="AF607" s="55" t="e">
        <f t="shared" ca="1" si="187"/>
        <v>#N/A</v>
      </c>
      <c r="AG607" s="55" t="e">
        <f t="shared" ca="1" si="188"/>
        <v>#N/A</v>
      </c>
      <c r="AH607" s="55" t="e">
        <f t="shared" ca="1" si="189"/>
        <v>#N/A</v>
      </c>
      <c r="AI607" s="55" t="e">
        <f t="shared" ca="1" si="190"/>
        <v>#N/A</v>
      </c>
      <c r="AJ607" s="55" t="e">
        <f t="shared" ca="1" si="196"/>
        <v>#N/A</v>
      </c>
      <c r="AK607" s="55" t="e">
        <f t="shared" ca="1" si="197"/>
        <v>#N/A</v>
      </c>
      <c r="AL607" s="55" t="e">
        <f t="shared" ca="1" si="198"/>
        <v>#N/A</v>
      </c>
      <c r="AM607" s="55"/>
    </row>
    <row r="608" spans="18:39">
      <c r="R608" s="55" t="e">
        <f ca="1"/>
        <v>#N/A</v>
      </c>
      <c r="S608" s="55" t="e">
        <f t="shared" ca="1" si="180"/>
        <v>#N/A</v>
      </c>
      <c r="T608" s="55" t="e">
        <f t="shared" ca="1" si="181"/>
        <v>#N/A</v>
      </c>
      <c r="U608" s="55" t="e">
        <f t="shared" ca="1" si="182"/>
        <v>#N/A</v>
      </c>
      <c r="V608" s="55" t="e">
        <f t="shared" ca="1" si="183"/>
        <v>#N/A</v>
      </c>
      <c r="W608" s="55" t="e">
        <f t="shared" ca="1" si="193"/>
        <v>#N/A</v>
      </c>
      <c r="X608" s="55" t="e">
        <f t="shared" ca="1" si="194"/>
        <v>#N/A</v>
      </c>
      <c r="Y608" s="55" t="e">
        <f t="shared" ca="1" si="195"/>
        <v>#N/A</v>
      </c>
      <c r="Z608" s="55" t="e">
        <f t="shared" ca="1" si="191"/>
        <v>#N/A</v>
      </c>
      <c r="AA608" t="e">
        <f t="shared" ca="1" si="192"/>
        <v>#N/A</v>
      </c>
      <c r="AB608" t="e">
        <f t="shared" ca="1" si="184"/>
        <v>#N/A</v>
      </c>
      <c r="AC608" t="e">
        <f t="shared" ca="1" si="185"/>
        <v>#N/A</v>
      </c>
      <c r="AD608" t="e">
        <f t="shared" ca="1" si="186"/>
        <v>#N/A</v>
      </c>
      <c r="AE608" s="83" t="e">
        <f ca="1"/>
        <v>#N/A</v>
      </c>
      <c r="AF608" s="55" t="e">
        <f t="shared" ca="1" si="187"/>
        <v>#N/A</v>
      </c>
      <c r="AG608" s="55" t="e">
        <f t="shared" ca="1" si="188"/>
        <v>#N/A</v>
      </c>
      <c r="AH608" s="55" t="e">
        <f t="shared" ca="1" si="189"/>
        <v>#N/A</v>
      </c>
      <c r="AI608" s="55" t="e">
        <f t="shared" ca="1" si="190"/>
        <v>#N/A</v>
      </c>
      <c r="AJ608" s="55" t="e">
        <f t="shared" ca="1" si="196"/>
        <v>#N/A</v>
      </c>
      <c r="AK608" s="55" t="e">
        <f t="shared" ca="1" si="197"/>
        <v>#N/A</v>
      </c>
      <c r="AL608" s="55" t="e">
        <f t="shared" ca="1" si="198"/>
        <v>#N/A</v>
      </c>
      <c r="AM608" s="55"/>
    </row>
    <row r="609" spans="18:39">
      <c r="R609" s="55" t="e">
        <f ca="1"/>
        <v>#N/A</v>
      </c>
      <c r="S609" s="55" t="e">
        <f t="shared" ca="1" si="180"/>
        <v>#N/A</v>
      </c>
      <c r="T609" s="55" t="e">
        <f t="shared" ca="1" si="181"/>
        <v>#N/A</v>
      </c>
      <c r="U609" s="55" t="e">
        <f t="shared" ca="1" si="182"/>
        <v>#N/A</v>
      </c>
      <c r="V609" s="55" t="e">
        <f t="shared" ca="1" si="183"/>
        <v>#N/A</v>
      </c>
      <c r="W609" s="55" t="e">
        <f t="shared" ca="1" si="193"/>
        <v>#N/A</v>
      </c>
      <c r="X609" s="55" t="e">
        <f t="shared" ca="1" si="194"/>
        <v>#N/A</v>
      </c>
      <c r="Y609" s="55" t="e">
        <f t="shared" ca="1" si="195"/>
        <v>#N/A</v>
      </c>
      <c r="Z609" s="55" t="e">
        <f t="shared" ca="1" si="191"/>
        <v>#N/A</v>
      </c>
      <c r="AA609" t="e">
        <f t="shared" ca="1" si="192"/>
        <v>#N/A</v>
      </c>
      <c r="AB609" t="e">
        <f t="shared" ca="1" si="184"/>
        <v>#N/A</v>
      </c>
      <c r="AC609" t="e">
        <f t="shared" ca="1" si="185"/>
        <v>#N/A</v>
      </c>
      <c r="AD609" t="e">
        <f t="shared" ca="1" si="186"/>
        <v>#N/A</v>
      </c>
      <c r="AE609" s="83" t="e">
        <f ca="1"/>
        <v>#N/A</v>
      </c>
      <c r="AF609" s="55" t="e">
        <f t="shared" ca="1" si="187"/>
        <v>#N/A</v>
      </c>
      <c r="AG609" s="55" t="e">
        <f t="shared" ca="1" si="188"/>
        <v>#N/A</v>
      </c>
      <c r="AH609" s="55" t="e">
        <f t="shared" ca="1" si="189"/>
        <v>#N/A</v>
      </c>
      <c r="AI609" s="55" t="e">
        <f t="shared" ca="1" si="190"/>
        <v>#N/A</v>
      </c>
      <c r="AJ609" s="55" t="e">
        <f t="shared" ca="1" si="196"/>
        <v>#N/A</v>
      </c>
      <c r="AK609" s="55" t="e">
        <f t="shared" ca="1" si="197"/>
        <v>#N/A</v>
      </c>
      <c r="AL609" s="55" t="e">
        <f t="shared" ca="1" si="198"/>
        <v>#N/A</v>
      </c>
      <c r="AM609" s="55"/>
    </row>
    <row r="610" spans="18:39">
      <c r="R610" s="55" t="e">
        <f ca="1"/>
        <v>#N/A</v>
      </c>
      <c r="S610" s="55" t="e">
        <f t="shared" ca="1" si="180"/>
        <v>#N/A</v>
      </c>
      <c r="T610" s="55" t="e">
        <f t="shared" ca="1" si="181"/>
        <v>#N/A</v>
      </c>
      <c r="U610" s="55" t="e">
        <f t="shared" ca="1" si="182"/>
        <v>#N/A</v>
      </c>
      <c r="V610" s="55" t="e">
        <f t="shared" ca="1" si="183"/>
        <v>#N/A</v>
      </c>
      <c r="W610" s="55" t="e">
        <f t="shared" ca="1" si="193"/>
        <v>#N/A</v>
      </c>
      <c r="X610" s="55" t="e">
        <f t="shared" ca="1" si="194"/>
        <v>#N/A</v>
      </c>
      <c r="Y610" s="55" t="e">
        <f t="shared" ca="1" si="195"/>
        <v>#N/A</v>
      </c>
      <c r="Z610" s="55" t="e">
        <f t="shared" ca="1" si="191"/>
        <v>#N/A</v>
      </c>
      <c r="AA610" t="e">
        <f t="shared" ca="1" si="192"/>
        <v>#N/A</v>
      </c>
      <c r="AB610" t="e">
        <f t="shared" ca="1" si="184"/>
        <v>#N/A</v>
      </c>
      <c r="AC610" t="e">
        <f t="shared" ca="1" si="185"/>
        <v>#N/A</v>
      </c>
      <c r="AD610" t="e">
        <f t="shared" ca="1" si="186"/>
        <v>#N/A</v>
      </c>
      <c r="AE610" s="83" t="e">
        <f ca="1"/>
        <v>#N/A</v>
      </c>
      <c r="AF610" s="55" t="e">
        <f t="shared" ca="1" si="187"/>
        <v>#N/A</v>
      </c>
      <c r="AG610" s="55" t="e">
        <f t="shared" ca="1" si="188"/>
        <v>#N/A</v>
      </c>
      <c r="AH610" s="55" t="e">
        <f t="shared" ca="1" si="189"/>
        <v>#N/A</v>
      </c>
      <c r="AI610" s="55" t="e">
        <f t="shared" ca="1" si="190"/>
        <v>#N/A</v>
      </c>
      <c r="AJ610" s="55" t="e">
        <f t="shared" ca="1" si="196"/>
        <v>#N/A</v>
      </c>
      <c r="AK610" s="55" t="e">
        <f t="shared" ca="1" si="197"/>
        <v>#N/A</v>
      </c>
      <c r="AL610" s="55" t="e">
        <f t="shared" ca="1" si="198"/>
        <v>#N/A</v>
      </c>
      <c r="AM610" s="55"/>
    </row>
    <row r="611" spans="18:39">
      <c r="R611" s="55" t="e">
        <f ca="1"/>
        <v>#N/A</v>
      </c>
      <c r="S611" s="55" t="e">
        <f t="shared" ca="1" si="180"/>
        <v>#N/A</v>
      </c>
      <c r="T611" s="55" t="e">
        <f t="shared" ca="1" si="181"/>
        <v>#N/A</v>
      </c>
      <c r="U611" s="55" t="e">
        <f t="shared" ca="1" si="182"/>
        <v>#N/A</v>
      </c>
      <c r="V611" s="55" t="e">
        <f t="shared" ca="1" si="183"/>
        <v>#N/A</v>
      </c>
      <c r="W611" s="55" t="e">
        <f t="shared" ca="1" si="193"/>
        <v>#N/A</v>
      </c>
      <c r="X611" s="55" t="e">
        <f t="shared" ca="1" si="194"/>
        <v>#N/A</v>
      </c>
      <c r="Y611" s="55" t="e">
        <f t="shared" ca="1" si="195"/>
        <v>#N/A</v>
      </c>
      <c r="Z611" s="55" t="e">
        <f t="shared" ca="1" si="191"/>
        <v>#N/A</v>
      </c>
      <c r="AA611" t="e">
        <f t="shared" ca="1" si="192"/>
        <v>#N/A</v>
      </c>
      <c r="AB611" t="e">
        <f t="shared" ca="1" si="184"/>
        <v>#N/A</v>
      </c>
      <c r="AC611" t="e">
        <f t="shared" ca="1" si="185"/>
        <v>#N/A</v>
      </c>
      <c r="AD611" t="e">
        <f t="shared" ca="1" si="186"/>
        <v>#N/A</v>
      </c>
      <c r="AE611" s="83" t="e">
        <f ca="1"/>
        <v>#N/A</v>
      </c>
      <c r="AF611" s="55" t="e">
        <f t="shared" ca="1" si="187"/>
        <v>#N/A</v>
      </c>
      <c r="AG611" s="55" t="e">
        <f t="shared" ca="1" si="188"/>
        <v>#N/A</v>
      </c>
      <c r="AH611" s="55" t="e">
        <f t="shared" ca="1" si="189"/>
        <v>#N/A</v>
      </c>
      <c r="AI611" s="55" t="e">
        <f t="shared" ca="1" si="190"/>
        <v>#N/A</v>
      </c>
      <c r="AJ611" s="55" t="e">
        <f t="shared" ca="1" si="196"/>
        <v>#N/A</v>
      </c>
      <c r="AK611" s="55" t="e">
        <f t="shared" ca="1" si="197"/>
        <v>#N/A</v>
      </c>
      <c r="AL611" s="55" t="e">
        <f t="shared" ca="1" si="198"/>
        <v>#N/A</v>
      </c>
      <c r="AM611" s="55"/>
    </row>
    <row r="612" spans="18:39">
      <c r="R612" s="55" t="e">
        <f ca="1"/>
        <v>#N/A</v>
      </c>
      <c r="S612" s="55" t="e">
        <f t="shared" ca="1" si="180"/>
        <v>#N/A</v>
      </c>
      <c r="T612" s="55" t="e">
        <f t="shared" ca="1" si="181"/>
        <v>#N/A</v>
      </c>
      <c r="U612" s="55" t="e">
        <f t="shared" ca="1" si="182"/>
        <v>#N/A</v>
      </c>
      <c r="V612" s="55" t="e">
        <f t="shared" ca="1" si="183"/>
        <v>#N/A</v>
      </c>
      <c r="W612" s="55" t="e">
        <f t="shared" ca="1" si="193"/>
        <v>#N/A</v>
      </c>
      <c r="X612" s="55" t="e">
        <f t="shared" ca="1" si="194"/>
        <v>#N/A</v>
      </c>
      <c r="Y612" s="55" t="e">
        <f t="shared" ca="1" si="195"/>
        <v>#N/A</v>
      </c>
      <c r="Z612" s="55" t="e">
        <f t="shared" ca="1" si="191"/>
        <v>#N/A</v>
      </c>
      <c r="AA612" t="e">
        <f t="shared" ca="1" si="192"/>
        <v>#N/A</v>
      </c>
      <c r="AB612" t="e">
        <f t="shared" ca="1" si="184"/>
        <v>#N/A</v>
      </c>
      <c r="AC612" t="e">
        <f t="shared" ca="1" si="185"/>
        <v>#N/A</v>
      </c>
      <c r="AD612" t="e">
        <f t="shared" ca="1" si="186"/>
        <v>#N/A</v>
      </c>
      <c r="AE612" s="83" t="e">
        <f ca="1"/>
        <v>#N/A</v>
      </c>
      <c r="AF612" s="55" t="e">
        <f t="shared" ca="1" si="187"/>
        <v>#N/A</v>
      </c>
      <c r="AG612" s="55" t="e">
        <f t="shared" ca="1" si="188"/>
        <v>#N/A</v>
      </c>
      <c r="AH612" s="55" t="e">
        <f t="shared" ca="1" si="189"/>
        <v>#N/A</v>
      </c>
      <c r="AI612" s="55" t="e">
        <f t="shared" ca="1" si="190"/>
        <v>#N/A</v>
      </c>
      <c r="AJ612" s="55" t="e">
        <f t="shared" ca="1" si="196"/>
        <v>#N/A</v>
      </c>
      <c r="AK612" s="55" t="e">
        <f t="shared" ca="1" si="197"/>
        <v>#N/A</v>
      </c>
      <c r="AL612" s="55" t="e">
        <f t="shared" ca="1" si="198"/>
        <v>#N/A</v>
      </c>
      <c r="AM612" s="55"/>
    </row>
    <row r="613" spans="18:39">
      <c r="R613" s="55" t="e">
        <f ca="1"/>
        <v>#N/A</v>
      </c>
      <c r="S613" s="55" t="e">
        <f t="shared" ca="1" si="180"/>
        <v>#N/A</v>
      </c>
      <c r="T613" s="55" t="e">
        <f t="shared" ca="1" si="181"/>
        <v>#N/A</v>
      </c>
      <c r="U613" s="55" t="e">
        <f t="shared" ca="1" si="182"/>
        <v>#N/A</v>
      </c>
      <c r="V613" s="55" t="e">
        <f t="shared" ca="1" si="183"/>
        <v>#N/A</v>
      </c>
      <c r="W613" s="55" t="e">
        <f t="shared" ca="1" si="193"/>
        <v>#N/A</v>
      </c>
      <c r="X613" s="55" t="e">
        <f t="shared" ca="1" si="194"/>
        <v>#N/A</v>
      </c>
      <c r="Y613" s="55" t="e">
        <f t="shared" ca="1" si="195"/>
        <v>#N/A</v>
      </c>
      <c r="Z613" s="55" t="e">
        <f t="shared" ca="1" si="191"/>
        <v>#N/A</v>
      </c>
      <c r="AA613" t="e">
        <f t="shared" ca="1" si="192"/>
        <v>#N/A</v>
      </c>
      <c r="AB613" t="e">
        <f t="shared" ca="1" si="184"/>
        <v>#N/A</v>
      </c>
      <c r="AC613" t="e">
        <f t="shared" ca="1" si="185"/>
        <v>#N/A</v>
      </c>
      <c r="AD613" t="e">
        <f t="shared" ca="1" si="186"/>
        <v>#N/A</v>
      </c>
      <c r="AE613" s="83" t="e">
        <f ca="1"/>
        <v>#N/A</v>
      </c>
      <c r="AF613" s="55" t="e">
        <f t="shared" ca="1" si="187"/>
        <v>#N/A</v>
      </c>
      <c r="AG613" s="55" t="e">
        <f t="shared" ca="1" si="188"/>
        <v>#N/A</v>
      </c>
      <c r="AH613" s="55" t="e">
        <f t="shared" ca="1" si="189"/>
        <v>#N/A</v>
      </c>
      <c r="AI613" s="55" t="e">
        <f t="shared" ca="1" si="190"/>
        <v>#N/A</v>
      </c>
      <c r="AJ613" s="55" t="e">
        <f t="shared" ca="1" si="196"/>
        <v>#N/A</v>
      </c>
      <c r="AK613" s="55" t="e">
        <f t="shared" ca="1" si="197"/>
        <v>#N/A</v>
      </c>
      <c r="AL613" s="55" t="e">
        <f t="shared" ca="1" si="198"/>
        <v>#N/A</v>
      </c>
      <c r="AM613" s="55"/>
    </row>
    <row r="614" spans="18:39">
      <c r="R614" s="55" t="e">
        <f ca="1"/>
        <v>#N/A</v>
      </c>
      <c r="S614" s="55" t="e">
        <f t="shared" ca="1" si="180"/>
        <v>#N/A</v>
      </c>
      <c r="T614" s="55" t="e">
        <f t="shared" ca="1" si="181"/>
        <v>#N/A</v>
      </c>
      <c r="U614" s="55" t="e">
        <f t="shared" ca="1" si="182"/>
        <v>#N/A</v>
      </c>
      <c r="V614" s="55" t="e">
        <f t="shared" ca="1" si="183"/>
        <v>#N/A</v>
      </c>
      <c r="W614" s="55" t="e">
        <f t="shared" ca="1" si="193"/>
        <v>#N/A</v>
      </c>
      <c r="X614" s="55" t="e">
        <f t="shared" ca="1" si="194"/>
        <v>#N/A</v>
      </c>
      <c r="Y614" s="55" t="e">
        <f t="shared" ca="1" si="195"/>
        <v>#N/A</v>
      </c>
      <c r="Z614" s="55" t="e">
        <f t="shared" ca="1" si="191"/>
        <v>#N/A</v>
      </c>
      <c r="AA614" t="e">
        <f t="shared" ca="1" si="192"/>
        <v>#N/A</v>
      </c>
      <c r="AB614" t="e">
        <f t="shared" ca="1" si="184"/>
        <v>#N/A</v>
      </c>
      <c r="AC614" t="e">
        <f t="shared" ca="1" si="185"/>
        <v>#N/A</v>
      </c>
      <c r="AD614" t="e">
        <f t="shared" ca="1" si="186"/>
        <v>#N/A</v>
      </c>
      <c r="AE614" s="83" t="e">
        <f ca="1"/>
        <v>#N/A</v>
      </c>
      <c r="AF614" s="55" t="e">
        <f t="shared" ca="1" si="187"/>
        <v>#N/A</v>
      </c>
      <c r="AG614" s="55" t="e">
        <f t="shared" ca="1" si="188"/>
        <v>#N/A</v>
      </c>
      <c r="AH614" s="55" t="e">
        <f t="shared" ca="1" si="189"/>
        <v>#N/A</v>
      </c>
      <c r="AI614" s="55" t="e">
        <f t="shared" ca="1" si="190"/>
        <v>#N/A</v>
      </c>
      <c r="AJ614" s="55" t="e">
        <f t="shared" ca="1" si="196"/>
        <v>#N/A</v>
      </c>
      <c r="AK614" s="55" t="e">
        <f t="shared" ca="1" si="197"/>
        <v>#N/A</v>
      </c>
      <c r="AL614" s="55" t="e">
        <f t="shared" ca="1" si="198"/>
        <v>#N/A</v>
      </c>
      <c r="AM614" s="55"/>
    </row>
    <row r="615" spans="18:39">
      <c r="R615" s="55" t="e">
        <f ca="1"/>
        <v>#N/A</v>
      </c>
      <c r="S615" s="55" t="e">
        <f t="shared" ca="1" si="180"/>
        <v>#N/A</v>
      </c>
      <c r="T615" s="55" t="e">
        <f t="shared" ca="1" si="181"/>
        <v>#N/A</v>
      </c>
      <c r="U615" s="55" t="e">
        <f t="shared" ca="1" si="182"/>
        <v>#N/A</v>
      </c>
      <c r="V615" s="55" t="e">
        <f t="shared" ca="1" si="183"/>
        <v>#N/A</v>
      </c>
      <c r="W615" s="55" t="e">
        <f t="shared" ca="1" si="193"/>
        <v>#N/A</v>
      </c>
      <c r="X615" s="55" t="e">
        <f t="shared" ca="1" si="194"/>
        <v>#N/A</v>
      </c>
      <c r="Y615" s="55" t="e">
        <f t="shared" ca="1" si="195"/>
        <v>#N/A</v>
      </c>
      <c r="Z615" s="55" t="e">
        <f t="shared" ca="1" si="191"/>
        <v>#N/A</v>
      </c>
      <c r="AA615" t="e">
        <f t="shared" ca="1" si="192"/>
        <v>#N/A</v>
      </c>
      <c r="AB615" t="e">
        <f t="shared" ca="1" si="184"/>
        <v>#N/A</v>
      </c>
      <c r="AC615" t="e">
        <f t="shared" ca="1" si="185"/>
        <v>#N/A</v>
      </c>
      <c r="AD615" t="e">
        <f t="shared" ca="1" si="186"/>
        <v>#N/A</v>
      </c>
      <c r="AE615" s="83" t="e">
        <f ca="1"/>
        <v>#N/A</v>
      </c>
      <c r="AF615" s="55" t="e">
        <f t="shared" ca="1" si="187"/>
        <v>#N/A</v>
      </c>
      <c r="AG615" s="55" t="e">
        <f t="shared" ca="1" si="188"/>
        <v>#N/A</v>
      </c>
      <c r="AH615" s="55" t="e">
        <f t="shared" ca="1" si="189"/>
        <v>#N/A</v>
      </c>
      <c r="AI615" s="55" t="e">
        <f t="shared" ca="1" si="190"/>
        <v>#N/A</v>
      </c>
      <c r="AJ615" s="55" t="e">
        <f t="shared" ca="1" si="196"/>
        <v>#N/A</v>
      </c>
      <c r="AK615" s="55" t="e">
        <f t="shared" ca="1" si="197"/>
        <v>#N/A</v>
      </c>
      <c r="AL615" s="55" t="e">
        <f t="shared" ca="1" si="198"/>
        <v>#N/A</v>
      </c>
      <c r="AM615" s="55"/>
    </row>
    <row r="616" spans="18:39">
      <c r="R616" s="55" t="e">
        <f ca="1"/>
        <v>#N/A</v>
      </c>
      <c r="S616" s="55" t="e">
        <f t="shared" ca="1" si="180"/>
        <v>#N/A</v>
      </c>
      <c r="T616" s="55" t="e">
        <f t="shared" ca="1" si="181"/>
        <v>#N/A</v>
      </c>
      <c r="U616" s="55" t="e">
        <f t="shared" ca="1" si="182"/>
        <v>#N/A</v>
      </c>
      <c r="V616" s="55" t="e">
        <f t="shared" ca="1" si="183"/>
        <v>#N/A</v>
      </c>
      <c r="W616" s="55" t="e">
        <f t="shared" ca="1" si="193"/>
        <v>#N/A</v>
      </c>
      <c r="X616" s="55" t="e">
        <f t="shared" ca="1" si="194"/>
        <v>#N/A</v>
      </c>
      <c r="Y616" s="55" t="e">
        <f t="shared" ca="1" si="195"/>
        <v>#N/A</v>
      </c>
      <c r="Z616" s="55" t="e">
        <f t="shared" ca="1" si="191"/>
        <v>#N/A</v>
      </c>
      <c r="AA616" t="e">
        <f t="shared" ca="1" si="192"/>
        <v>#N/A</v>
      </c>
      <c r="AB616" t="e">
        <f t="shared" ca="1" si="184"/>
        <v>#N/A</v>
      </c>
      <c r="AC616" t="e">
        <f t="shared" ca="1" si="185"/>
        <v>#N/A</v>
      </c>
      <c r="AD616" t="e">
        <f t="shared" ca="1" si="186"/>
        <v>#N/A</v>
      </c>
      <c r="AE616" s="83" t="e">
        <f ca="1"/>
        <v>#N/A</v>
      </c>
      <c r="AF616" s="55" t="e">
        <f t="shared" ca="1" si="187"/>
        <v>#N/A</v>
      </c>
      <c r="AG616" s="55" t="e">
        <f t="shared" ca="1" si="188"/>
        <v>#N/A</v>
      </c>
      <c r="AH616" s="55" t="e">
        <f t="shared" ca="1" si="189"/>
        <v>#N/A</v>
      </c>
      <c r="AI616" s="55" t="e">
        <f t="shared" ca="1" si="190"/>
        <v>#N/A</v>
      </c>
      <c r="AJ616" s="55" t="e">
        <f t="shared" ca="1" si="196"/>
        <v>#N/A</v>
      </c>
      <c r="AK616" s="55" t="e">
        <f t="shared" ca="1" si="197"/>
        <v>#N/A</v>
      </c>
      <c r="AL616" s="55" t="e">
        <f t="shared" ca="1" si="198"/>
        <v>#N/A</v>
      </c>
      <c r="AM616" s="55"/>
    </row>
    <row r="617" spans="18:39">
      <c r="R617" s="55" t="e">
        <f ca="1"/>
        <v>#N/A</v>
      </c>
      <c r="S617" s="55" t="e">
        <f t="shared" ca="1" si="180"/>
        <v>#N/A</v>
      </c>
      <c r="T617" s="55" t="e">
        <f t="shared" ca="1" si="181"/>
        <v>#N/A</v>
      </c>
      <c r="U617" s="55" t="e">
        <f t="shared" ca="1" si="182"/>
        <v>#N/A</v>
      </c>
      <c r="V617" s="55" t="e">
        <f t="shared" ca="1" si="183"/>
        <v>#N/A</v>
      </c>
      <c r="W617" s="55" t="e">
        <f t="shared" ca="1" si="193"/>
        <v>#N/A</v>
      </c>
      <c r="X617" s="55" t="e">
        <f t="shared" ca="1" si="194"/>
        <v>#N/A</v>
      </c>
      <c r="Y617" s="55" t="e">
        <f t="shared" ca="1" si="195"/>
        <v>#N/A</v>
      </c>
      <c r="Z617" s="55" t="e">
        <f t="shared" ca="1" si="191"/>
        <v>#N/A</v>
      </c>
      <c r="AA617" t="e">
        <f t="shared" ca="1" si="192"/>
        <v>#N/A</v>
      </c>
      <c r="AB617" t="e">
        <f t="shared" ca="1" si="184"/>
        <v>#N/A</v>
      </c>
      <c r="AC617" t="e">
        <f t="shared" ca="1" si="185"/>
        <v>#N/A</v>
      </c>
      <c r="AD617" t="e">
        <f t="shared" ca="1" si="186"/>
        <v>#N/A</v>
      </c>
      <c r="AE617" s="83" t="e">
        <f ca="1"/>
        <v>#N/A</v>
      </c>
      <c r="AF617" s="55" t="e">
        <f t="shared" ca="1" si="187"/>
        <v>#N/A</v>
      </c>
      <c r="AG617" s="55" t="e">
        <f t="shared" ca="1" si="188"/>
        <v>#N/A</v>
      </c>
      <c r="AH617" s="55" t="e">
        <f t="shared" ca="1" si="189"/>
        <v>#N/A</v>
      </c>
      <c r="AI617" s="55" t="e">
        <f t="shared" ca="1" si="190"/>
        <v>#N/A</v>
      </c>
      <c r="AJ617" s="55" t="e">
        <f t="shared" ca="1" si="196"/>
        <v>#N/A</v>
      </c>
      <c r="AK617" s="55" t="e">
        <f t="shared" ca="1" si="197"/>
        <v>#N/A</v>
      </c>
      <c r="AL617" s="55" t="e">
        <f t="shared" ca="1" si="198"/>
        <v>#N/A</v>
      </c>
      <c r="AM617" s="55"/>
    </row>
    <row r="618" spans="18:39">
      <c r="R618" s="55" t="e">
        <f ca="1"/>
        <v>#N/A</v>
      </c>
      <c r="S618" s="55" t="e">
        <f t="shared" ca="1" si="180"/>
        <v>#N/A</v>
      </c>
      <c r="T618" s="55" t="e">
        <f t="shared" ca="1" si="181"/>
        <v>#N/A</v>
      </c>
      <c r="U618" s="55" t="e">
        <f t="shared" ca="1" si="182"/>
        <v>#N/A</v>
      </c>
      <c r="V618" s="55" t="e">
        <f t="shared" ca="1" si="183"/>
        <v>#N/A</v>
      </c>
      <c r="W618" s="55" t="e">
        <f t="shared" ca="1" si="193"/>
        <v>#N/A</v>
      </c>
      <c r="X618" s="55" t="e">
        <f t="shared" ca="1" si="194"/>
        <v>#N/A</v>
      </c>
      <c r="Y618" s="55" t="e">
        <f t="shared" ca="1" si="195"/>
        <v>#N/A</v>
      </c>
      <c r="Z618" s="55" t="e">
        <f t="shared" ca="1" si="191"/>
        <v>#N/A</v>
      </c>
      <c r="AA618" t="e">
        <f t="shared" ca="1" si="192"/>
        <v>#N/A</v>
      </c>
      <c r="AB618" t="e">
        <f t="shared" ca="1" si="184"/>
        <v>#N/A</v>
      </c>
      <c r="AC618" t="e">
        <f t="shared" ca="1" si="185"/>
        <v>#N/A</v>
      </c>
      <c r="AD618" t="e">
        <f t="shared" ca="1" si="186"/>
        <v>#N/A</v>
      </c>
      <c r="AE618" s="83" t="e">
        <f ca="1"/>
        <v>#N/A</v>
      </c>
      <c r="AF618" s="55" t="e">
        <f t="shared" ca="1" si="187"/>
        <v>#N/A</v>
      </c>
      <c r="AG618" s="55" t="e">
        <f t="shared" ca="1" si="188"/>
        <v>#N/A</v>
      </c>
      <c r="AH618" s="55" t="e">
        <f t="shared" ca="1" si="189"/>
        <v>#N/A</v>
      </c>
      <c r="AI618" s="55" t="e">
        <f t="shared" ca="1" si="190"/>
        <v>#N/A</v>
      </c>
      <c r="AJ618" s="55" t="e">
        <f t="shared" ca="1" si="196"/>
        <v>#N/A</v>
      </c>
      <c r="AK618" s="55" t="e">
        <f t="shared" ca="1" si="197"/>
        <v>#N/A</v>
      </c>
      <c r="AL618" s="55" t="e">
        <f t="shared" ca="1" si="198"/>
        <v>#N/A</v>
      </c>
      <c r="AM618" s="55"/>
    </row>
    <row r="619" spans="18:39">
      <c r="R619" s="55" t="e">
        <f ca="1"/>
        <v>#N/A</v>
      </c>
      <c r="S619" s="55" t="e">
        <f t="shared" ca="1" si="180"/>
        <v>#N/A</v>
      </c>
      <c r="T619" s="55" t="e">
        <f t="shared" ca="1" si="181"/>
        <v>#N/A</v>
      </c>
      <c r="U619" s="55" t="e">
        <f t="shared" ca="1" si="182"/>
        <v>#N/A</v>
      </c>
      <c r="V619" s="55" t="e">
        <f t="shared" ca="1" si="183"/>
        <v>#N/A</v>
      </c>
      <c r="W619" s="55" t="e">
        <f t="shared" ca="1" si="193"/>
        <v>#N/A</v>
      </c>
      <c r="X619" s="55" t="e">
        <f t="shared" ca="1" si="194"/>
        <v>#N/A</v>
      </c>
      <c r="Y619" s="55" t="e">
        <f t="shared" ca="1" si="195"/>
        <v>#N/A</v>
      </c>
      <c r="Z619" s="55" t="e">
        <f t="shared" ca="1" si="191"/>
        <v>#N/A</v>
      </c>
      <c r="AA619" t="e">
        <f t="shared" ca="1" si="192"/>
        <v>#N/A</v>
      </c>
      <c r="AB619" t="e">
        <f t="shared" ca="1" si="184"/>
        <v>#N/A</v>
      </c>
      <c r="AC619" t="e">
        <f t="shared" ca="1" si="185"/>
        <v>#N/A</v>
      </c>
      <c r="AD619" t="e">
        <f t="shared" ca="1" si="186"/>
        <v>#N/A</v>
      </c>
      <c r="AE619" s="83" t="e">
        <f ca="1"/>
        <v>#N/A</v>
      </c>
      <c r="AF619" s="55" t="e">
        <f t="shared" ca="1" si="187"/>
        <v>#N/A</v>
      </c>
      <c r="AG619" s="55" t="e">
        <f t="shared" ca="1" si="188"/>
        <v>#N/A</v>
      </c>
      <c r="AH619" s="55" t="e">
        <f t="shared" ca="1" si="189"/>
        <v>#N/A</v>
      </c>
      <c r="AI619" s="55" t="e">
        <f t="shared" ca="1" si="190"/>
        <v>#N/A</v>
      </c>
      <c r="AJ619" s="55" t="e">
        <f t="shared" ca="1" si="196"/>
        <v>#N/A</v>
      </c>
      <c r="AK619" s="55" t="e">
        <f t="shared" ca="1" si="197"/>
        <v>#N/A</v>
      </c>
      <c r="AL619" s="55" t="e">
        <f t="shared" ca="1" si="198"/>
        <v>#N/A</v>
      </c>
      <c r="AM619" s="55"/>
    </row>
    <row r="620" spans="18:39">
      <c r="R620" s="55" t="e">
        <f ca="1"/>
        <v>#N/A</v>
      </c>
      <c r="S620" s="55" t="e">
        <f t="shared" ca="1" si="180"/>
        <v>#N/A</v>
      </c>
      <c r="T620" s="55" t="e">
        <f t="shared" ca="1" si="181"/>
        <v>#N/A</v>
      </c>
      <c r="U620" s="55" t="e">
        <f t="shared" ca="1" si="182"/>
        <v>#N/A</v>
      </c>
      <c r="V620" s="55" t="e">
        <f t="shared" ca="1" si="183"/>
        <v>#N/A</v>
      </c>
      <c r="W620" s="55" t="e">
        <f t="shared" ca="1" si="193"/>
        <v>#N/A</v>
      </c>
      <c r="X620" s="55" t="e">
        <f t="shared" ca="1" si="194"/>
        <v>#N/A</v>
      </c>
      <c r="Y620" s="55" t="e">
        <f t="shared" ca="1" si="195"/>
        <v>#N/A</v>
      </c>
      <c r="Z620" s="55" t="e">
        <f t="shared" ca="1" si="191"/>
        <v>#N/A</v>
      </c>
      <c r="AA620" t="e">
        <f t="shared" ca="1" si="192"/>
        <v>#N/A</v>
      </c>
      <c r="AB620" t="e">
        <f t="shared" ca="1" si="184"/>
        <v>#N/A</v>
      </c>
      <c r="AC620" t="e">
        <f t="shared" ca="1" si="185"/>
        <v>#N/A</v>
      </c>
      <c r="AD620" t="e">
        <f t="shared" ca="1" si="186"/>
        <v>#N/A</v>
      </c>
      <c r="AE620" s="83" t="e">
        <f ca="1"/>
        <v>#N/A</v>
      </c>
      <c r="AF620" s="55" t="e">
        <f t="shared" ca="1" si="187"/>
        <v>#N/A</v>
      </c>
      <c r="AG620" s="55" t="e">
        <f t="shared" ca="1" si="188"/>
        <v>#N/A</v>
      </c>
      <c r="AH620" s="55" t="e">
        <f t="shared" ca="1" si="189"/>
        <v>#N/A</v>
      </c>
      <c r="AI620" s="55" t="e">
        <f t="shared" ca="1" si="190"/>
        <v>#N/A</v>
      </c>
      <c r="AJ620" s="55" t="e">
        <f t="shared" ca="1" si="196"/>
        <v>#N/A</v>
      </c>
      <c r="AK620" s="55" t="e">
        <f t="shared" ca="1" si="197"/>
        <v>#N/A</v>
      </c>
      <c r="AL620" s="55" t="e">
        <f t="shared" ca="1" si="198"/>
        <v>#N/A</v>
      </c>
      <c r="AM620" s="55"/>
    </row>
    <row r="621" spans="18:39">
      <c r="R621" s="55" t="e">
        <f ca="1"/>
        <v>#N/A</v>
      </c>
      <c r="S621" s="55" t="e">
        <f t="shared" ca="1" si="180"/>
        <v>#N/A</v>
      </c>
      <c r="T621" s="55" t="e">
        <f t="shared" ca="1" si="181"/>
        <v>#N/A</v>
      </c>
      <c r="U621" s="55" t="e">
        <f t="shared" ca="1" si="182"/>
        <v>#N/A</v>
      </c>
      <c r="V621" s="55" t="e">
        <f t="shared" ca="1" si="183"/>
        <v>#N/A</v>
      </c>
      <c r="W621" s="55" t="e">
        <f t="shared" ca="1" si="193"/>
        <v>#N/A</v>
      </c>
      <c r="X621" s="55" t="e">
        <f t="shared" ca="1" si="194"/>
        <v>#N/A</v>
      </c>
      <c r="Y621" s="55" t="e">
        <f t="shared" ca="1" si="195"/>
        <v>#N/A</v>
      </c>
      <c r="Z621" s="55" t="e">
        <f t="shared" ca="1" si="191"/>
        <v>#N/A</v>
      </c>
      <c r="AA621" t="e">
        <f t="shared" ca="1" si="192"/>
        <v>#N/A</v>
      </c>
      <c r="AB621" t="e">
        <f t="shared" ca="1" si="184"/>
        <v>#N/A</v>
      </c>
      <c r="AC621" t="e">
        <f t="shared" ca="1" si="185"/>
        <v>#N/A</v>
      </c>
      <c r="AD621" t="e">
        <f t="shared" ca="1" si="186"/>
        <v>#N/A</v>
      </c>
      <c r="AE621" s="83" t="e">
        <f ca="1"/>
        <v>#N/A</v>
      </c>
      <c r="AF621" s="55" t="e">
        <f t="shared" ca="1" si="187"/>
        <v>#N/A</v>
      </c>
      <c r="AG621" s="55" t="e">
        <f t="shared" ca="1" si="188"/>
        <v>#N/A</v>
      </c>
      <c r="AH621" s="55" t="e">
        <f t="shared" ca="1" si="189"/>
        <v>#N/A</v>
      </c>
      <c r="AI621" s="55" t="e">
        <f t="shared" ca="1" si="190"/>
        <v>#N/A</v>
      </c>
      <c r="AJ621" s="55" t="e">
        <f t="shared" ca="1" si="196"/>
        <v>#N/A</v>
      </c>
      <c r="AK621" s="55" t="e">
        <f t="shared" ca="1" si="197"/>
        <v>#N/A</v>
      </c>
      <c r="AL621" s="55" t="e">
        <f t="shared" ca="1" si="198"/>
        <v>#N/A</v>
      </c>
      <c r="AM621" s="55"/>
    </row>
    <row r="622" spans="18:39">
      <c r="R622" s="55" t="e">
        <f ca="1"/>
        <v>#N/A</v>
      </c>
      <c r="S622" s="55" t="e">
        <f t="shared" ca="1" si="180"/>
        <v>#N/A</v>
      </c>
      <c r="T622" s="55" t="e">
        <f t="shared" ca="1" si="181"/>
        <v>#N/A</v>
      </c>
      <c r="U622" s="55" t="e">
        <f t="shared" ca="1" si="182"/>
        <v>#N/A</v>
      </c>
      <c r="V622" s="55" t="e">
        <f t="shared" ca="1" si="183"/>
        <v>#N/A</v>
      </c>
      <c r="W622" s="55" t="e">
        <f t="shared" ca="1" si="193"/>
        <v>#N/A</v>
      </c>
      <c r="X622" s="55" t="e">
        <f t="shared" ca="1" si="194"/>
        <v>#N/A</v>
      </c>
      <c r="Y622" s="55" t="e">
        <f t="shared" ca="1" si="195"/>
        <v>#N/A</v>
      </c>
      <c r="Z622" s="55" t="e">
        <f t="shared" ca="1" si="191"/>
        <v>#N/A</v>
      </c>
      <c r="AA622" t="e">
        <f t="shared" ca="1" si="192"/>
        <v>#N/A</v>
      </c>
      <c r="AB622" t="e">
        <f t="shared" ca="1" si="184"/>
        <v>#N/A</v>
      </c>
      <c r="AC622" t="e">
        <f t="shared" ca="1" si="185"/>
        <v>#N/A</v>
      </c>
      <c r="AD622" t="e">
        <f t="shared" ca="1" si="186"/>
        <v>#N/A</v>
      </c>
      <c r="AE622" s="83" t="e">
        <f ca="1"/>
        <v>#N/A</v>
      </c>
      <c r="AF622" s="55" t="e">
        <f t="shared" ca="1" si="187"/>
        <v>#N/A</v>
      </c>
      <c r="AG622" s="55" t="e">
        <f t="shared" ca="1" si="188"/>
        <v>#N/A</v>
      </c>
      <c r="AH622" s="55" t="e">
        <f t="shared" ca="1" si="189"/>
        <v>#N/A</v>
      </c>
      <c r="AI622" s="55" t="e">
        <f t="shared" ca="1" si="190"/>
        <v>#N/A</v>
      </c>
      <c r="AJ622" s="55" t="e">
        <f t="shared" ca="1" si="196"/>
        <v>#N/A</v>
      </c>
      <c r="AK622" s="55" t="e">
        <f t="shared" ca="1" si="197"/>
        <v>#N/A</v>
      </c>
      <c r="AL622" s="55" t="e">
        <f t="shared" ca="1" si="198"/>
        <v>#N/A</v>
      </c>
      <c r="AM622" s="55"/>
    </row>
    <row r="623" spans="18:39">
      <c r="R623" s="55" t="e">
        <f ca="1"/>
        <v>#N/A</v>
      </c>
      <c r="S623" s="55" t="e">
        <f t="shared" ca="1" si="180"/>
        <v>#N/A</v>
      </c>
      <c r="T623" s="55" t="e">
        <f t="shared" ca="1" si="181"/>
        <v>#N/A</v>
      </c>
      <c r="U623" s="55" t="e">
        <f t="shared" ca="1" si="182"/>
        <v>#N/A</v>
      </c>
      <c r="V623" s="55" t="e">
        <f t="shared" ca="1" si="183"/>
        <v>#N/A</v>
      </c>
      <c r="W623" s="55" t="e">
        <f t="shared" ca="1" si="193"/>
        <v>#N/A</v>
      </c>
      <c r="X623" s="55" t="e">
        <f t="shared" ca="1" si="194"/>
        <v>#N/A</v>
      </c>
      <c r="Y623" s="55" t="e">
        <f t="shared" ca="1" si="195"/>
        <v>#N/A</v>
      </c>
      <c r="Z623" s="55" t="e">
        <f t="shared" ca="1" si="191"/>
        <v>#N/A</v>
      </c>
      <c r="AA623" t="e">
        <f t="shared" ca="1" si="192"/>
        <v>#N/A</v>
      </c>
      <c r="AB623" t="e">
        <f t="shared" ca="1" si="184"/>
        <v>#N/A</v>
      </c>
      <c r="AC623" t="e">
        <f t="shared" ca="1" si="185"/>
        <v>#N/A</v>
      </c>
      <c r="AD623" t="e">
        <f t="shared" ca="1" si="186"/>
        <v>#N/A</v>
      </c>
      <c r="AE623" s="83" t="e">
        <f ca="1"/>
        <v>#N/A</v>
      </c>
      <c r="AF623" s="55" t="e">
        <f t="shared" ca="1" si="187"/>
        <v>#N/A</v>
      </c>
      <c r="AG623" s="55" t="e">
        <f t="shared" ca="1" si="188"/>
        <v>#N/A</v>
      </c>
      <c r="AH623" s="55" t="e">
        <f t="shared" ca="1" si="189"/>
        <v>#N/A</v>
      </c>
      <c r="AI623" s="55" t="e">
        <f t="shared" ca="1" si="190"/>
        <v>#N/A</v>
      </c>
      <c r="AJ623" s="55" t="e">
        <f t="shared" ca="1" si="196"/>
        <v>#N/A</v>
      </c>
      <c r="AK623" s="55" t="e">
        <f t="shared" ca="1" si="197"/>
        <v>#N/A</v>
      </c>
      <c r="AL623" s="55" t="e">
        <f t="shared" ca="1" si="198"/>
        <v>#N/A</v>
      </c>
      <c r="AM623" s="55"/>
    </row>
    <row r="624" spans="18:39">
      <c r="R624" s="55" t="e">
        <f ca="1"/>
        <v>#N/A</v>
      </c>
      <c r="S624" s="55" t="e">
        <f t="shared" ca="1" si="180"/>
        <v>#N/A</v>
      </c>
      <c r="T624" s="55" t="e">
        <f t="shared" ca="1" si="181"/>
        <v>#N/A</v>
      </c>
      <c r="U624" s="55" t="e">
        <f t="shared" ca="1" si="182"/>
        <v>#N/A</v>
      </c>
      <c r="V624" s="55" t="e">
        <f t="shared" ca="1" si="183"/>
        <v>#N/A</v>
      </c>
      <c r="W624" s="55" t="e">
        <f t="shared" ca="1" si="193"/>
        <v>#N/A</v>
      </c>
      <c r="X624" s="55" t="e">
        <f t="shared" ca="1" si="194"/>
        <v>#N/A</v>
      </c>
      <c r="Y624" s="55" t="e">
        <f t="shared" ca="1" si="195"/>
        <v>#N/A</v>
      </c>
      <c r="Z624" s="55" t="e">
        <f t="shared" ca="1" si="191"/>
        <v>#N/A</v>
      </c>
      <c r="AA624" t="e">
        <f t="shared" ca="1" si="192"/>
        <v>#N/A</v>
      </c>
      <c r="AB624" t="e">
        <f t="shared" ca="1" si="184"/>
        <v>#N/A</v>
      </c>
      <c r="AC624" t="e">
        <f t="shared" ca="1" si="185"/>
        <v>#N/A</v>
      </c>
      <c r="AD624" t="e">
        <f t="shared" ca="1" si="186"/>
        <v>#N/A</v>
      </c>
      <c r="AE624" s="83" t="e">
        <f ca="1"/>
        <v>#N/A</v>
      </c>
      <c r="AF624" s="55" t="e">
        <f t="shared" ca="1" si="187"/>
        <v>#N/A</v>
      </c>
      <c r="AG624" s="55" t="e">
        <f t="shared" ca="1" si="188"/>
        <v>#N/A</v>
      </c>
      <c r="AH624" s="55" t="e">
        <f t="shared" ca="1" si="189"/>
        <v>#N/A</v>
      </c>
      <c r="AI624" s="55" t="e">
        <f t="shared" ca="1" si="190"/>
        <v>#N/A</v>
      </c>
      <c r="AJ624" s="55" t="e">
        <f t="shared" ca="1" si="196"/>
        <v>#N/A</v>
      </c>
      <c r="AK624" s="55" t="e">
        <f t="shared" ca="1" si="197"/>
        <v>#N/A</v>
      </c>
      <c r="AL624" s="55" t="e">
        <f t="shared" ca="1" si="198"/>
        <v>#N/A</v>
      </c>
      <c r="AM624" s="55"/>
    </row>
    <row r="625" spans="18:39">
      <c r="R625" s="55" t="e">
        <f ca="1"/>
        <v>#N/A</v>
      </c>
      <c r="S625" s="55" t="e">
        <f t="shared" ca="1" si="180"/>
        <v>#N/A</v>
      </c>
      <c r="T625" s="55" t="e">
        <f t="shared" ca="1" si="181"/>
        <v>#N/A</v>
      </c>
      <c r="U625" s="55" t="e">
        <f t="shared" ca="1" si="182"/>
        <v>#N/A</v>
      </c>
      <c r="V625" s="55" t="e">
        <f t="shared" ca="1" si="183"/>
        <v>#N/A</v>
      </c>
      <c r="W625" s="55" t="e">
        <f t="shared" ca="1" si="193"/>
        <v>#N/A</v>
      </c>
      <c r="X625" s="55" t="e">
        <f t="shared" ca="1" si="194"/>
        <v>#N/A</v>
      </c>
      <c r="Y625" s="55" t="e">
        <f t="shared" ca="1" si="195"/>
        <v>#N/A</v>
      </c>
      <c r="Z625" s="55" t="e">
        <f t="shared" ca="1" si="191"/>
        <v>#N/A</v>
      </c>
      <c r="AA625" t="e">
        <f t="shared" ca="1" si="192"/>
        <v>#N/A</v>
      </c>
      <c r="AB625" t="e">
        <f t="shared" ca="1" si="184"/>
        <v>#N/A</v>
      </c>
      <c r="AC625" t="e">
        <f t="shared" ca="1" si="185"/>
        <v>#N/A</v>
      </c>
      <c r="AD625" t="e">
        <f t="shared" ca="1" si="186"/>
        <v>#N/A</v>
      </c>
      <c r="AE625" s="83" t="e">
        <f ca="1"/>
        <v>#N/A</v>
      </c>
      <c r="AF625" s="55" t="e">
        <f t="shared" ca="1" si="187"/>
        <v>#N/A</v>
      </c>
      <c r="AG625" s="55" t="e">
        <f t="shared" ca="1" si="188"/>
        <v>#N/A</v>
      </c>
      <c r="AH625" s="55" t="e">
        <f t="shared" ca="1" si="189"/>
        <v>#N/A</v>
      </c>
      <c r="AI625" s="55" t="e">
        <f t="shared" ca="1" si="190"/>
        <v>#N/A</v>
      </c>
      <c r="AJ625" s="55" t="e">
        <f t="shared" ca="1" si="196"/>
        <v>#N/A</v>
      </c>
      <c r="AK625" s="55" t="e">
        <f t="shared" ca="1" si="197"/>
        <v>#N/A</v>
      </c>
      <c r="AL625" s="55" t="e">
        <f t="shared" ca="1" si="198"/>
        <v>#N/A</v>
      </c>
      <c r="AM625" s="55"/>
    </row>
    <row r="626" spans="18:39">
      <c r="R626" s="55" t="e">
        <f ca="1"/>
        <v>#N/A</v>
      </c>
      <c r="S626" s="55" t="e">
        <f t="shared" ca="1" si="180"/>
        <v>#N/A</v>
      </c>
      <c r="T626" s="55" t="e">
        <f t="shared" ca="1" si="181"/>
        <v>#N/A</v>
      </c>
      <c r="U626" s="55" t="e">
        <f t="shared" ca="1" si="182"/>
        <v>#N/A</v>
      </c>
      <c r="V626" s="55" t="e">
        <f t="shared" ca="1" si="183"/>
        <v>#N/A</v>
      </c>
      <c r="W626" s="55" t="e">
        <f t="shared" ca="1" si="193"/>
        <v>#N/A</v>
      </c>
      <c r="X626" s="55" t="e">
        <f t="shared" ca="1" si="194"/>
        <v>#N/A</v>
      </c>
      <c r="Y626" s="55" t="e">
        <f t="shared" ca="1" si="195"/>
        <v>#N/A</v>
      </c>
      <c r="Z626" s="55" t="e">
        <f t="shared" ca="1" si="191"/>
        <v>#N/A</v>
      </c>
      <c r="AA626" t="e">
        <f t="shared" ca="1" si="192"/>
        <v>#N/A</v>
      </c>
      <c r="AB626" t="e">
        <f t="shared" ca="1" si="184"/>
        <v>#N/A</v>
      </c>
      <c r="AC626" t="e">
        <f t="shared" ca="1" si="185"/>
        <v>#N/A</v>
      </c>
      <c r="AD626" t="e">
        <f t="shared" ca="1" si="186"/>
        <v>#N/A</v>
      </c>
      <c r="AE626" s="83" t="e">
        <f ca="1"/>
        <v>#N/A</v>
      </c>
      <c r="AF626" s="55" t="e">
        <f t="shared" ca="1" si="187"/>
        <v>#N/A</v>
      </c>
      <c r="AG626" s="55" t="e">
        <f t="shared" ca="1" si="188"/>
        <v>#N/A</v>
      </c>
      <c r="AH626" s="55" t="e">
        <f t="shared" ca="1" si="189"/>
        <v>#N/A</v>
      </c>
      <c r="AI626" s="55" t="e">
        <f t="shared" ca="1" si="190"/>
        <v>#N/A</v>
      </c>
      <c r="AJ626" s="55" t="e">
        <f t="shared" ca="1" si="196"/>
        <v>#N/A</v>
      </c>
      <c r="AK626" s="55" t="e">
        <f t="shared" ca="1" si="197"/>
        <v>#N/A</v>
      </c>
      <c r="AL626" s="55" t="e">
        <f t="shared" ca="1" si="198"/>
        <v>#N/A</v>
      </c>
      <c r="AM626" s="55"/>
    </row>
    <row r="627" spans="18:39">
      <c r="R627" s="55" t="e">
        <f ca="1"/>
        <v>#N/A</v>
      </c>
      <c r="S627" s="55" t="e">
        <f t="shared" ca="1" si="180"/>
        <v>#N/A</v>
      </c>
      <c r="T627" s="55" t="e">
        <f t="shared" ca="1" si="181"/>
        <v>#N/A</v>
      </c>
      <c r="U627" s="55" t="e">
        <f t="shared" ca="1" si="182"/>
        <v>#N/A</v>
      </c>
      <c r="V627" s="55" t="e">
        <f t="shared" ca="1" si="183"/>
        <v>#N/A</v>
      </c>
      <c r="W627" s="55" t="e">
        <f t="shared" ca="1" si="193"/>
        <v>#N/A</v>
      </c>
      <c r="X627" s="55" t="e">
        <f t="shared" ca="1" si="194"/>
        <v>#N/A</v>
      </c>
      <c r="Y627" s="55" t="e">
        <f t="shared" ca="1" si="195"/>
        <v>#N/A</v>
      </c>
      <c r="Z627" s="55" t="e">
        <f t="shared" ca="1" si="191"/>
        <v>#N/A</v>
      </c>
      <c r="AA627" t="e">
        <f t="shared" ca="1" si="192"/>
        <v>#N/A</v>
      </c>
      <c r="AB627" t="e">
        <f t="shared" ca="1" si="184"/>
        <v>#N/A</v>
      </c>
      <c r="AC627" t="e">
        <f t="shared" ca="1" si="185"/>
        <v>#N/A</v>
      </c>
      <c r="AD627" t="e">
        <f t="shared" ca="1" si="186"/>
        <v>#N/A</v>
      </c>
      <c r="AE627" s="83" t="e">
        <f ca="1"/>
        <v>#N/A</v>
      </c>
      <c r="AF627" s="55" t="e">
        <f t="shared" ca="1" si="187"/>
        <v>#N/A</v>
      </c>
      <c r="AG627" s="55" t="e">
        <f t="shared" ca="1" si="188"/>
        <v>#N/A</v>
      </c>
      <c r="AH627" s="55" t="e">
        <f t="shared" ca="1" si="189"/>
        <v>#N/A</v>
      </c>
      <c r="AI627" s="55" t="e">
        <f t="shared" ca="1" si="190"/>
        <v>#N/A</v>
      </c>
      <c r="AJ627" s="55" t="e">
        <f t="shared" ca="1" si="196"/>
        <v>#N/A</v>
      </c>
      <c r="AK627" s="55" t="e">
        <f t="shared" ca="1" si="197"/>
        <v>#N/A</v>
      </c>
      <c r="AL627" s="55" t="e">
        <f t="shared" ca="1" si="198"/>
        <v>#N/A</v>
      </c>
      <c r="AM627" s="55"/>
    </row>
    <row r="628" spans="18:39">
      <c r="R628" s="55" t="e">
        <f ca="1"/>
        <v>#N/A</v>
      </c>
      <c r="S628" s="55" t="e">
        <f t="shared" ca="1" si="180"/>
        <v>#N/A</v>
      </c>
      <c r="T628" s="55" t="e">
        <f t="shared" ca="1" si="181"/>
        <v>#N/A</v>
      </c>
      <c r="U628" s="55" t="e">
        <f t="shared" ca="1" si="182"/>
        <v>#N/A</v>
      </c>
      <c r="V628" s="55" t="e">
        <f t="shared" ca="1" si="183"/>
        <v>#N/A</v>
      </c>
      <c r="W628" s="55" t="e">
        <f t="shared" ca="1" si="193"/>
        <v>#N/A</v>
      </c>
      <c r="X628" s="55" t="e">
        <f t="shared" ca="1" si="194"/>
        <v>#N/A</v>
      </c>
      <c r="Y628" s="55" t="e">
        <f t="shared" ca="1" si="195"/>
        <v>#N/A</v>
      </c>
      <c r="Z628" s="55" t="e">
        <f t="shared" ca="1" si="191"/>
        <v>#N/A</v>
      </c>
      <c r="AA628" t="e">
        <f t="shared" ca="1" si="192"/>
        <v>#N/A</v>
      </c>
      <c r="AB628" t="e">
        <f t="shared" ca="1" si="184"/>
        <v>#N/A</v>
      </c>
      <c r="AC628" t="e">
        <f t="shared" ca="1" si="185"/>
        <v>#N/A</v>
      </c>
      <c r="AD628" t="e">
        <f t="shared" ca="1" si="186"/>
        <v>#N/A</v>
      </c>
      <c r="AE628" s="83" t="e">
        <f ca="1"/>
        <v>#N/A</v>
      </c>
      <c r="AF628" s="55" t="e">
        <f t="shared" ca="1" si="187"/>
        <v>#N/A</v>
      </c>
      <c r="AG628" s="55" t="e">
        <f t="shared" ca="1" si="188"/>
        <v>#N/A</v>
      </c>
      <c r="AH628" s="55" t="e">
        <f t="shared" ca="1" si="189"/>
        <v>#N/A</v>
      </c>
      <c r="AI628" s="55" t="e">
        <f t="shared" ca="1" si="190"/>
        <v>#N/A</v>
      </c>
      <c r="AJ628" s="55" t="e">
        <f t="shared" ca="1" si="196"/>
        <v>#N/A</v>
      </c>
      <c r="AK628" s="55" t="e">
        <f t="shared" ca="1" si="197"/>
        <v>#N/A</v>
      </c>
      <c r="AL628" s="55" t="e">
        <f t="shared" ca="1" si="198"/>
        <v>#N/A</v>
      </c>
      <c r="AM628" s="55"/>
    </row>
    <row r="629" spans="18:39">
      <c r="R629" s="55" t="e">
        <f ca="1"/>
        <v>#N/A</v>
      </c>
      <c r="S629" s="55" t="e">
        <f t="shared" ca="1" si="180"/>
        <v>#N/A</v>
      </c>
      <c r="T629" s="55" t="e">
        <f t="shared" ca="1" si="181"/>
        <v>#N/A</v>
      </c>
      <c r="U629" s="55" t="e">
        <f t="shared" ca="1" si="182"/>
        <v>#N/A</v>
      </c>
      <c r="V629" s="55" t="e">
        <f t="shared" ca="1" si="183"/>
        <v>#N/A</v>
      </c>
      <c r="W629" s="55" t="e">
        <f t="shared" ca="1" si="193"/>
        <v>#N/A</v>
      </c>
      <c r="X629" s="55" t="e">
        <f t="shared" ca="1" si="194"/>
        <v>#N/A</v>
      </c>
      <c r="Y629" s="55" t="e">
        <f t="shared" ca="1" si="195"/>
        <v>#N/A</v>
      </c>
      <c r="Z629" s="55" t="e">
        <f t="shared" ca="1" si="191"/>
        <v>#N/A</v>
      </c>
      <c r="AA629" t="e">
        <f t="shared" ca="1" si="192"/>
        <v>#N/A</v>
      </c>
      <c r="AB629" t="e">
        <f t="shared" ca="1" si="184"/>
        <v>#N/A</v>
      </c>
      <c r="AC629" t="e">
        <f t="shared" ca="1" si="185"/>
        <v>#N/A</v>
      </c>
      <c r="AD629" t="e">
        <f t="shared" ca="1" si="186"/>
        <v>#N/A</v>
      </c>
      <c r="AE629" s="83" t="e">
        <f ca="1"/>
        <v>#N/A</v>
      </c>
      <c r="AF629" s="55" t="e">
        <f t="shared" ca="1" si="187"/>
        <v>#N/A</v>
      </c>
      <c r="AG629" s="55" t="e">
        <f t="shared" ca="1" si="188"/>
        <v>#N/A</v>
      </c>
      <c r="AH629" s="55" t="e">
        <f t="shared" ca="1" si="189"/>
        <v>#N/A</v>
      </c>
      <c r="AI629" s="55" t="e">
        <f t="shared" ca="1" si="190"/>
        <v>#N/A</v>
      </c>
      <c r="AJ629" s="55" t="e">
        <f t="shared" ca="1" si="196"/>
        <v>#N/A</v>
      </c>
      <c r="AK629" s="55" t="e">
        <f t="shared" ca="1" si="197"/>
        <v>#N/A</v>
      </c>
      <c r="AL629" s="55" t="e">
        <f t="shared" ca="1" si="198"/>
        <v>#N/A</v>
      </c>
      <c r="AM629" s="55"/>
    </row>
    <row r="630" spans="18:39">
      <c r="R630" s="55" t="e">
        <f ca="1"/>
        <v>#N/A</v>
      </c>
      <c r="S630" s="55" t="e">
        <f t="shared" ca="1" si="180"/>
        <v>#N/A</v>
      </c>
      <c r="T630" s="55" t="e">
        <f t="shared" ca="1" si="181"/>
        <v>#N/A</v>
      </c>
      <c r="U630" s="55" t="e">
        <f t="shared" ca="1" si="182"/>
        <v>#N/A</v>
      </c>
      <c r="V630" s="55" t="e">
        <f t="shared" ca="1" si="183"/>
        <v>#N/A</v>
      </c>
      <c r="W630" s="55" t="e">
        <f t="shared" ca="1" si="193"/>
        <v>#N/A</v>
      </c>
      <c r="X630" s="55" t="e">
        <f t="shared" ca="1" si="194"/>
        <v>#N/A</v>
      </c>
      <c r="Y630" s="55" t="e">
        <f t="shared" ca="1" si="195"/>
        <v>#N/A</v>
      </c>
      <c r="Z630" s="55" t="e">
        <f t="shared" ca="1" si="191"/>
        <v>#N/A</v>
      </c>
      <c r="AA630" t="e">
        <f t="shared" ca="1" si="192"/>
        <v>#N/A</v>
      </c>
      <c r="AB630" t="e">
        <f t="shared" ca="1" si="184"/>
        <v>#N/A</v>
      </c>
      <c r="AC630" t="e">
        <f t="shared" ca="1" si="185"/>
        <v>#N/A</v>
      </c>
      <c r="AD630" t="e">
        <f t="shared" ca="1" si="186"/>
        <v>#N/A</v>
      </c>
      <c r="AE630" s="83" t="e">
        <f ca="1"/>
        <v>#N/A</v>
      </c>
      <c r="AF630" s="55" t="e">
        <f t="shared" ca="1" si="187"/>
        <v>#N/A</v>
      </c>
      <c r="AG630" s="55" t="e">
        <f t="shared" ca="1" si="188"/>
        <v>#N/A</v>
      </c>
      <c r="AH630" s="55" t="e">
        <f t="shared" ca="1" si="189"/>
        <v>#N/A</v>
      </c>
      <c r="AI630" s="55" t="e">
        <f t="shared" ca="1" si="190"/>
        <v>#N/A</v>
      </c>
      <c r="AJ630" s="55" t="e">
        <f t="shared" ca="1" si="196"/>
        <v>#N/A</v>
      </c>
      <c r="AK630" s="55" t="e">
        <f t="shared" ca="1" si="197"/>
        <v>#N/A</v>
      </c>
      <c r="AL630" s="55" t="e">
        <f t="shared" ca="1" si="198"/>
        <v>#N/A</v>
      </c>
      <c r="AM630" s="55"/>
    </row>
    <row r="631" spans="18:39">
      <c r="R631" s="55" t="e">
        <f ca="1"/>
        <v>#N/A</v>
      </c>
      <c r="S631" s="55" t="e">
        <f t="shared" ca="1" si="180"/>
        <v>#N/A</v>
      </c>
      <c r="T631" s="55" t="e">
        <f t="shared" ca="1" si="181"/>
        <v>#N/A</v>
      </c>
      <c r="U631" s="55" t="e">
        <f t="shared" ca="1" si="182"/>
        <v>#N/A</v>
      </c>
      <c r="V631" s="55" t="e">
        <f t="shared" ca="1" si="183"/>
        <v>#N/A</v>
      </c>
      <c r="W631" s="55" t="e">
        <f t="shared" ca="1" si="193"/>
        <v>#N/A</v>
      </c>
      <c r="X631" s="55" t="e">
        <f t="shared" ca="1" si="194"/>
        <v>#N/A</v>
      </c>
      <c r="Y631" s="55" t="e">
        <f t="shared" ca="1" si="195"/>
        <v>#N/A</v>
      </c>
      <c r="Z631" s="55" t="e">
        <f t="shared" ca="1" si="191"/>
        <v>#N/A</v>
      </c>
      <c r="AA631" t="e">
        <f t="shared" ca="1" si="192"/>
        <v>#N/A</v>
      </c>
      <c r="AB631" t="e">
        <f t="shared" ca="1" si="184"/>
        <v>#N/A</v>
      </c>
      <c r="AC631" t="e">
        <f t="shared" ca="1" si="185"/>
        <v>#N/A</v>
      </c>
      <c r="AD631" t="e">
        <f t="shared" ca="1" si="186"/>
        <v>#N/A</v>
      </c>
      <c r="AE631" s="83" t="e">
        <f ca="1"/>
        <v>#N/A</v>
      </c>
      <c r="AF631" s="55" t="e">
        <f t="shared" ca="1" si="187"/>
        <v>#N/A</v>
      </c>
      <c r="AG631" s="55" t="e">
        <f t="shared" ca="1" si="188"/>
        <v>#N/A</v>
      </c>
      <c r="AH631" s="55" t="e">
        <f t="shared" ca="1" si="189"/>
        <v>#N/A</v>
      </c>
      <c r="AI631" s="55" t="e">
        <f t="shared" ca="1" si="190"/>
        <v>#N/A</v>
      </c>
      <c r="AJ631" s="55" t="e">
        <f t="shared" ca="1" si="196"/>
        <v>#N/A</v>
      </c>
      <c r="AK631" s="55" t="e">
        <f t="shared" ca="1" si="197"/>
        <v>#N/A</v>
      </c>
      <c r="AL631" s="55" t="e">
        <f t="shared" ca="1" si="198"/>
        <v>#N/A</v>
      </c>
      <c r="AM631" s="55"/>
    </row>
    <row r="632" spans="18:39">
      <c r="R632" s="55" t="e">
        <f ca="1"/>
        <v>#N/A</v>
      </c>
      <c r="S632" s="55" t="e">
        <f t="shared" ca="1" si="180"/>
        <v>#N/A</v>
      </c>
      <c r="T632" s="55" t="e">
        <f t="shared" ca="1" si="181"/>
        <v>#N/A</v>
      </c>
      <c r="U632" s="55" t="e">
        <f t="shared" ca="1" si="182"/>
        <v>#N/A</v>
      </c>
      <c r="V632" s="55" t="e">
        <f t="shared" ca="1" si="183"/>
        <v>#N/A</v>
      </c>
      <c r="W632" s="55" t="e">
        <f t="shared" ca="1" si="193"/>
        <v>#N/A</v>
      </c>
      <c r="X632" s="55" t="e">
        <f t="shared" ca="1" si="194"/>
        <v>#N/A</v>
      </c>
      <c r="Y632" s="55" t="e">
        <f t="shared" ca="1" si="195"/>
        <v>#N/A</v>
      </c>
      <c r="Z632" s="55" t="e">
        <f t="shared" ca="1" si="191"/>
        <v>#N/A</v>
      </c>
      <c r="AA632" t="e">
        <f t="shared" ca="1" si="192"/>
        <v>#N/A</v>
      </c>
      <c r="AB632" t="e">
        <f t="shared" ca="1" si="184"/>
        <v>#N/A</v>
      </c>
      <c r="AC632" t="e">
        <f t="shared" ca="1" si="185"/>
        <v>#N/A</v>
      </c>
      <c r="AD632" t="e">
        <f t="shared" ca="1" si="186"/>
        <v>#N/A</v>
      </c>
      <c r="AE632" s="83" t="e">
        <f ca="1"/>
        <v>#N/A</v>
      </c>
      <c r="AF632" s="55" t="e">
        <f t="shared" ca="1" si="187"/>
        <v>#N/A</v>
      </c>
      <c r="AG632" s="55" t="e">
        <f t="shared" ca="1" si="188"/>
        <v>#N/A</v>
      </c>
      <c r="AH632" s="55" t="e">
        <f t="shared" ca="1" si="189"/>
        <v>#N/A</v>
      </c>
      <c r="AI632" s="55" t="e">
        <f t="shared" ca="1" si="190"/>
        <v>#N/A</v>
      </c>
      <c r="AJ632" s="55" t="e">
        <f t="shared" ca="1" si="196"/>
        <v>#N/A</v>
      </c>
      <c r="AK632" s="55" t="e">
        <f t="shared" ca="1" si="197"/>
        <v>#N/A</v>
      </c>
      <c r="AL632" s="55" t="e">
        <f t="shared" ca="1" si="198"/>
        <v>#N/A</v>
      </c>
      <c r="AM632" s="55"/>
    </row>
    <row r="633" spans="18:39">
      <c r="R633" s="55" t="e">
        <f ca="1"/>
        <v>#N/A</v>
      </c>
      <c r="S633" s="55" t="e">
        <f t="shared" ca="1" si="180"/>
        <v>#N/A</v>
      </c>
      <c r="T633" s="55" t="e">
        <f t="shared" ca="1" si="181"/>
        <v>#N/A</v>
      </c>
      <c r="U633" s="55" t="e">
        <f t="shared" ca="1" si="182"/>
        <v>#N/A</v>
      </c>
      <c r="V633" s="55" t="e">
        <f t="shared" ca="1" si="183"/>
        <v>#N/A</v>
      </c>
      <c r="W633" s="55" t="e">
        <f t="shared" ca="1" si="193"/>
        <v>#N/A</v>
      </c>
      <c r="X633" s="55" t="e">
        <f t="shared" ca="1" si="194"/>
        <v>#N/A</v>
      </c>
      <c r="Y633" s="55" t="e">
        <f t="shared" ca="1" si="195"/>
        <v>#N/A</v>
      </c>
      <c r="Z633" s="55" t="e">
        <f t="shared" ca="1" si="191"/>
        <v>#N/A</v>
      </c>
      <c r="AA633" t="e">
        <f t="shared" ca="1" si="192"/>
        <v>#N/A</v>
      </c>
      <c r="AB633" t="e">
        <f t="shared" ca="1" si="184"/>
        <v>#N/A</v>
      </c>
      <c r="AC633" t="e">
        <f t="shared" ca="1" si="185"/>
        <v>#N/A</v>
      </c>
      <c r="AD633" t="e">
        <f t="shared" ca="1" si="186"/>
        <v>#N/A</v>
      </c>
      <c r="AE633" s="83" t="e">
        <f ca="1"/>
        <v>#N/A</v>
      </c>
      <c r="AF633" s="55" t="e">
        <f t="shared" ca="1" si="187"/>
        <v>#N/A</v>
      </c>
      <c r="AG633" s="55" t="e">
        <f t="shared" ca="1" si="188"/>
        <v>#N/A</v>
      </c>
      <c r="AH633" s="55" t="e">
        <f t="shared" ca="1" si="189"/>
        <v>#N/A</v>
      </c>
      <c r="AI633" s="55" t="e">
        <f t="shared" ca="1" si="190"/>
        <v>#N/A</v>
      </c>
      <c r="AJ633" s="55" t="e">
        <f t="shared" ca="1" si="196"/>
        <v>#N/A</v>
      </c>
      <c r="AK633" s="55" t="e">
        <f t="shared" ca="1" si="197"/>
        <v>#N/A</v>
      </c>
      <c r="AL633" s="55" t="e">
        <f t="shared" ca="1" si="198"/>
        <v>#N/A</v>
      </c>
      <c r="AM633" s="55"/>
    </row>
    <row r="634" spans="18:39">
      <c r="R634" s="55" t="e">
        <f ca="1"/>
        <v>#N/A</v>
      </c>
      <c r="S634" s="55" t="e">
        <f t="shared" ca="1" si="180"/>
        <v>#N/A</v>
      </c>
      <c r="T634" s="55" t="e">
        <f t="shared" ca="1" si="181"/>
        <v>#N/A</v>
      </c>
      <c r="U634" s="55" t="e">
        <f t="shared" ca="1" si="182"/>
        <v>#N/A</v>
      </c>
      <c r="V634" s="55" t="e">
        <f t="shared" ca="1" si="183"/>
        <v>#N/A</v>
      </c>
      <c r="W634" s="55" t="e">
        <f t="shared" ca="1" si="193"/>
        <v>#N/A</v>
      </c>
      <c r="X634" s="55" t="e">
        <f t="shared" ca="1" si="194"/>
        <v>#N/A</v>
      </c>
      <c r="Y634" s="55" t="e">
        <f t="shared" ca="1" si="195"/>
        <v>#N/A</v>
      </c>
      <c r="Z634" s="55" t="e">
        <f t="shared" ca="1" si="191"/>
        <v>#N/A</v>
      </c>
      <c r="AA634" t="e">
        <f t="shared" ca="1" si="192"/>
        <v>#N/A</v>
      </c>
      <c r="AB634" t="e">
        <f t="shared" ca="1" si="184"/>
        <v>#N/A</v>
      </c>
      <c r="AC634" t="e">
        <f t="shared" ca="1" si="185"/>
        <v>#N/A</v>
      </c>
      <c r="AD634" t="e">
        <f t="shared" ca="1" si="186"/>
        <v>#N/A</v>
      </c>
      <c r="AE634" s="83" t="e">
        <f ca="1"/>
        <v>#N/A</v>
      </c>
      <c r="AF634" s="55" t="e">
        <f t="shared" ca="1" si="187"/>
        <v>#N/A</v>
      </c>
      <c r="AG634" s="55" t="e">
        <f t="shared" ca="1" si="188"/>
        <v>#N/A</v>
      </c>
      <c r="AH634" s="55" t="e">
        <f t="shared" ca="1" si="189"/>
        <v>#N/A</v>
      </c>
      <c r="AI634" s="55" t="e">
        <f t="shared" ca="1" si="190"/>
        <v>#N/A</v>
      </c>
      <c r="AJ634" s="55" t="e">
        <f t="shared" ca="1" si="196"/>
        <v>#N/A</v>
      </c>
      <c r="AK634" s="55" t="e">
        <f t="shared" ca="1" si="197"/>
        <v>#N/A</v>
      </c>
      <c r="AL634" s="55" t="e">
        <f t="shared" ca="1" si="198"/>
        <v>#N/A</v>
      </c>
      <c r="AM634" s="55"/>
    </row>
    <row r="635" spans="18:39">
      <c r="R635" s="55" t="e">
        <f ca="1"/>
        <v>#N/A</v>
      </c>
      <c r="S635" s="55" t="e">
        <f t="shared" ca="1" si="180"/>
        <v>#N/A</v>
      </c>
      <c r="T635" s="55" t="e">
        <f t="shared" ca="1" si="181"/>
        <v>#N/A</v>
      </c>
      <c r="U635" s="55" t="e">
        <f t="shared" ca="1" si="182"/>
        <v>#N/A</v>
      </c>
      <c r="V635" s="55" t="e">
        <f t="shared" ca="1" si="183"/>
        <v>#N/A</v>
      </c>
      <c r="W635" s="55" t="e">
        <f t="shared" ca="1" si="193"/>
        <v>#N/A</v>
      </c>
      <c r="X635" s="55" t="e">
        <f t="shared" ca="1" si="194"/>
        <v>#N/A</v>
      </c>
      <c r="Y635" s="55" t="e">
        <f t="shared" ca="1" si="195"/>
        <v>#N/A</v>
      </c>
      <c r="Z635" s="55" t="e">
        <f t="shared" ca="1" si="191"/>
        <v>#N/A</v>
      </c>
      <c r="AA635" t="e">
        <f t="shared" ca="1" si="192"/>
        <v>#N/A</v>
      </c>
      <c r="AB635" t="e">
        <f t="shared" ca="1" si="184"/>
        <v>#N/A</v>
      </c>
      <c r="AC635" t="e">
        <f t="shared" ca="1" si="185"/>
        <v>#N/A</v>
      </c>
      <c r="AD635" t="e">
        <f t="shared" ca="1" si="186"/>
        <v>#N/A</v>
      </c>
      <c r="AE635" s="83" t="e">
        <f ca="1"/>
        <v>#N/A</v>
      </c>
      <c r="AF635" s="55" t="e">
        <f t="shared" ca="1" si="187"/>
        <v>#N/A</v>
      </c>
      <c r="AG635" s="55" t="e">
        <f t="shared" ca="1" si="188"/>
        <v>#N/A</v>
      </c>
      <c r="AH635" s="55" t="e">
        <f t="shared" ca="1" si="189"/>
        <v>#N/A</v>
      </c>
      <c r="AI635" s="55" t="e">
        <f t="shared" ca="1" si="190"/>
        <v>#N/A</v>
      </c>
      <c r="AJ635" s="55" t="e">
        <f t="shared" ca="1" si="196"/>
        <v>#N/A</v>
      </c>
      <c r="AK635" s="55" t="e">
        <f t="shared" ca="1" si="197"/>
        <v>#N/A</v>
      </c>
      <c r="AL635" s="55" t="e">
        <f t="shared" ca="1" si="198"/>
        <v>#N/A</v>
      </c>
      <c r="AM635" s="55"/>
    </row>
    <row r="636" spans="18:39">
      <c r="R636" s="55" t="e">
        <f ca="1"/>
        <v>#N/A</v>
      </c>
      <c r="S636" s="55" t="e">
        <f t="shared" ca="1" si="180"/>
        <v>#N/A</v>
      </c>
      <c r="T636" s="55" t="e">
        <f t="shared" ca="1" si="181"/>
        <v>#N/A</v>
      </c>
      <c r="U636" s="55" t="e">
        <f t="shared" ca="1" si="182"/>
        <v>#N/A</v>
      </c>
      <c r="V636" s="55" t="e">
        <f t="shared" ca="1" si="183"/>
        <v>#N/A</v>
      </c>
      <c r="W636" s="55" t="e">
        <f t="shared" ca="1" si="193"/>
        <v>#N/A</v>
      </c>
      <c r="X636" s="55" t="e">
        <f t="shared" ca="1" si="194"/>
        <v>#N/A</v>
      </c>
      <c r="Y636" s="55" t="e">
        <f t="shared" ca="1" si="195"/>
        <v>#N/A</v>
      </c>
      <c r="Z636" s="55" t="e">
        <f t="shared" ca="1" si="191"/>
        <v>#N/A</v>
      </c>
      <c r="AA636" t="e">
        <f t="shared" ca="1" si="192"/>
        <v>#N/A</v>
      </c>
      <c r="AB636" t="e">
        <f t="shared" ca="1" si="184"/>
        <v>#N/A</v>
      </c>
      <c r="AC636" t="e">
        <f t="shared" ca="1" si="185"/>
        <v>#N/A</v>
      </c>
      <c r="AD636" t="e">
        <f t="shared" ca="1" si="186"/>
        <v>#N/A</v>
      </c>
      <c r="AE636" s="83" t="e">
        <f ca="1"/>
        <v>#N/A</v>
      </c>
      <c r="AF636" s="55" t="e">
        <f t="shared" ca="1" si="187"/>
        <v>#N/A</v>
      </c>
      <c r="AG636" s="55" t="e">
        <f t="shared" ca="1" si="188"/>
        <v>#N/A</v>
      </c>
      <c r="AH636" s="55" t="e">
        <f t="shared" ca="1" si="189"/>
        <v>#N/A</v>
      </c>
      <c r="AI636" s="55" t="e">
        <f t="shared" ca="1" si="190"/>
        <v>#N/A</v>
      </c>
      <c r="AJ636" s="55" t="e">
        <f t="shared" ca="1" si="196"/>
        <v>#N/A</v>
      </c>
      <c r="AK636" s="55" t="e">
        <f t="shared" ca="1" si="197"/>
        <v>#N/A</v>
      </c>
      <c r="AL636" s="55" t="e">
        <f t="shared" ca="1" si="198"/>
        <v>#N/A</v>
      </c>
      <c r="AM636" s="55"/>
    </row>
    <row r="637" spans="18:39">
      <c r="R637" s="55" t="e">
        <f ca="1"/>
        <v>#N/A</v>
      </c>
      <c r="S637" s="55" t="e">
        <f t="shared" ca="1" si="180"/>
        <v>#N/A</v>
      </c>
      <c r="T637" s="55" t="e">
        <f t="shared" ca="1" si="181"/>
        <v>#N/A</v>
      </c>
      <c r="U637" s="55" t="e">
        <f t="shared" ca="1" si="182"/>
        <v>#N/A</v>
      </c>
      <c r="V637" s="55" t="e">
        <f t="shared" ca="1" si="183"/>
        <v>#N/A</v>
      </c>
      <c r="W637" s="55" t="e">
        <f t="shared" ca="1" si="193"/>
        <v>#N/A</v>
      </c>
      <c r="X637" s="55" t="e">
        <f t="shared" ca="1" si="194"/>
        <v>#N/A</v>
      </c>
      <c r="Y637" s="55" t="e">
        <f t="shared" ca="1" si="195"/>
        <v>#N/A</v>
      </c>
      <c r="Z637" s="55" t="e">
        <f t="shared" ca="1" si="191"/>
        <v>#N/A</v>
      </c>
      <c r="AA637" t="e">
        <f t="shared" ca="1" si="192"/>
        <v>#N/A</v>
      </c>
      <c r="AB637" t="e">
        <f t="shared" ca="1" si="184"/>
        <v>#N/A</v>
      </c>
      <c r="AC637" t="e">
        <f t="shared" ca="1" si="185"/>
        <v>#N/A</v>
      </c>
      <c r="AD637" t="e">
        <f t="shared" ca="1" si="186"/>
        <v>#N/A</v>
      </c>
      <c r="AE637" s="83" t="e">
        <f ca="1"/>
        <v>#N/A</v>
      </c>
      <c r="AF637" s="55" t="e">
        <f t="shared" ca="1" si="187"/>
        <v>#N/A</v>
      </c>
      <c r="AG637" s="55" t="e">
        <f t="shared" ca="1" si="188"/>
        <v>#N/A</v>
      </c>
      <c r="AH637" s="55" t="e">
        <f t="shared" ca="1" si="189"/>
        <v>#N/A</v>
      </c>
      <c r="AI637" s="55" t="e">
        <f t="shared" ca="1" si="190"/>
        <v>#N/A</v>
      </c>
      <c r="AJ637" s="55" t="e">
        <f t="shared" ca="1" si="196"/>
        <v>#N/A</v>
      </c>
      <c r="AK637" s="55" t="e">
        <f t="shared" ca="1" si="197"/>
        <v>#N/A</v>
      </c>
      <c r="AL637" s="55" t="e">
        <f t="shared" ca="1" si="198"/>
        <v>#N/A</v>
      </c>
      <c r="AM637" s="55"/>
    </row>
    <row r="638" spans="18:39">
      <c r="R638" s="55" t="e">
        <f ca="1"/>
        <v>#N/A</v>
      </c>
      <c r="S638" s="55" t="e">
        <f t="shared" ca="1" si="180"/>
        <v>#N/A</v>
      </c>
      <c r="T638" s="55" t="e">
        <f t="shared" ca="1" si="181"/>
        <v>#N/A</v>
      </c>
      <c r="U638" s="55" t="e">
        <f t="shared" ca="1" si="182"/>
        <v>#N/A</v>
      </c>
      <c r="V638" s="55" t="e">
        <f t="shared" ca="1" si="183"/>
        <v>#N/A</v>
      </c>
      <c r="W638" s="55" t="e">
        <f t="shared" ca="1" si="193"/>
        <v>#N/A</v>
      </c>
      <c r="X638" s="55" t="e">
        <f t="shared" ca="1" si="194"/>
        <v>#N/A</v>
      </c>
      <c r="Y638" s="55" t="e">
        <f t="shared" ca="1" si="195"/>
        <v>#N/A</v>
      </c>
      <c r="Z638" s="55" t="e">
        <f t="shared" ca="1" si="191"/>
        <v>#N/A</v>
      </c>
      <c r="AA638" t="e">
        <f t="shared" ca="1" si="192"/>
        <v>#N/A</v>
      </c>
      <c r="AB638" t="e">
        <f t="shared" ca="1" si="184"/>
        <v>#N/A</v>
      </c>
      <c r="AC638" t="e">
        <f t="shared" ca="1" si="185"/>
        <v>#N/A</v>
      </c>
      <c r="AD638" t="e">
        <f t="shared" ca="1" si="186"/>
        <v>#N/A</v>
      </c>
      <c r="AE638" s="83" t="e">
        <f ca="1"/>
        <v>#N/A</v>
      </c>
      <c r="AF638" s="55" t="e">
        <f t="shared" ca="1" si="187"/>
        <v>#N/A</v>
      </c>
      <c r="AG638" s="55" t="e">
        <f t="shared" ca="1" si="188"/>
        <v>#N/A</v>
      </c>
      <c r="AH638" s="55" t="e">
        <f t="shared" ca="1" si="189"/>
        <v>#N/A</v>
      </c>
      <c r="AI638" s="55" t="e">
        <f t="shared" ca="1" si="190"/>
        <v>#N/A</v>
      </c>
      <c r="AJ638" s="55" t="e">
        <f t="shared" ca="1" si="196"/>
        <v>#N/A</v>
      </c>
      <c r="AK638" s="55" t="e">
        <f t="shared" ca="1" si="197"/>
        <v>#N/A</v>
      </c>
      <c r="AL638" s="55" t="e">
        <f t="shared" ca="1" si="198"/>
        <v>#N/A</v>
      </c>
      <c r="AM638" s="55"/>
    </row>
    <row r="639" spans="18:39">
      <c r="R639" s="55" t="e">
        <f ca="1"/>
        <v>#N/A</v>
      </c>
      <c r="S639" s="55" t="e">
        <f t="shared" ca="1" si="180"/>
        <v>#N/A</v>
      </c>
      <c r="T639" s="55" t="e">
        <f t="shared" ca="1" si="181"/>
        <v>#N/A</v>
      </c>
      <c r="U639" s="55" t="e">
        <f t="shared" ca="1" si="182"/>
        <v>#N/A</v>
      </c>
      <c r="V639" s="55" t="e">
        <f t="shared" ca="1" si="183"/>
        <v>#N/A</v>
      </c>
      <c r="W639" s="55" t="e">
        <f t="shared" ca="1" si="193"/>
        <v>#N/A</v>
      </c>
      <c r="X639" s="55" t="e">
        <f t="shared" ca="1" si="194"/>
        <v>#N/A</v>
      </c>
      <c r="Y639" s="55" t="e">
        <f t="shared" ca="1" si="195"/>
        <v>#N/A</v>
      </c>
      <c r="Z639" s="55" t="e">
        <f t="shared" ca="1" si="191"/>
        <v>#N/A</v>
      </c>
      <c r="AA639" t="e">
        <f t="shared" ca="1" si="192"/>
        <v>#N/A</v>
      </c>
      <c r="AB639" t="e">
        <f t="shared" ca="1" si="184"/>
        <v>#N/A</v>
      </c>
      <c r="AC639" t="e">
        <f t="shared" ca="1" si="185"/>
        <v>#N/A</v>
      </c>
      <c r="AD639" t="e">
        <f t="shared" ca="1" si="186"/>
        <v>#N/A</v>
      </c>
      <c r="AE639" s="83" t="e">
        <f ca="1"/>
        <v>#N/A</v>
      </c>
      <c r="AF639" s="55" t="e">
        <f t="shared" ca="1" si="187"/>
        <v>#N/A</v>
      </c>
      <c r="AG639" s="55" t="e">
        <f t="shared" ca="1" si="188"/>
        <v>#N/A</v>
      </c>
      <c r="AH639" s="55" t="e">
        <f t="shared" ca="1" si="189"/>
        <v>#N/A</v>
      </c>
      <c r="AI639" s="55" t="e">
        <f t="shared" ca="1" si="190"/>
        <v>#N/A</v>
      </c>
      <c r="AJ639" s="55" t="e">
        <f t="shared" ca="1" si="196"/>
        <v>#N/A</v>
      </c>
      <c r="AK639" s="55" t="e">
        <f t="shared" ca="1" si="197"/>
        <v>#N/A</v>
      </c>
      <c r="AL639" s="55" t="e">
        <f t="shared" ca="1" si="198"/>
        <v>#N/A</v>
      </c>
      <c r="AM639" s="55"/>
    </row>
    <row r="640" spans="18:39">
      <c r="R640" s="55" t="e">
        <f ca="1"/>
        <v>#N/A</v>
      </c>
      <c r="S640" s="55" t="e">
        <f t="shared" ca="1" si="180"/>
        <v>#N/A</v>
      </c>
      <c r="T640" s="55" t="e">
        <f t="shared" ca="1" si="181"/>
        <v>#N/A</v>
      </c>
      <c r="U640" s="55" t="e">
        <f t="shared" ca="1" si="182"/>
        <v>#N/A</v>
      </c>
      <c r="V640" s="55" t="e">
        <f t="shared" ca="1" si="183"/>
        <v>#N/A</v>
      </c>
      <c r="W640" s="55" t="e">
        <f t="shared" ca="1" si="193"/>
        <v>#N/A</v>
      </c>
      <c r="X640" s="55" t="e">
        <f t="shared" ca="1" si="194"/>
        <v>#N/A</v>
      </c>
      <c r="Y640" s="55" t="e">
        <f t="shared" ca="1" si="195"/>
        <v>#N/A</v>
      </c>
      <c r="Z640" s="55" t="e">
        <f t="shared" ca="1" si="191"/>
        <v>#N/A</v>
      </c>
      <c r="AA640" t="e">
        <f t="shared" ca="1" si="192"/>
        <v>#N/A</v>
      </c>
      <c r="AB640" t="e">
        <f t="shared" ca="1" si="184"/>
        <v>#N/A</v>
      </c>
      <c r="AC640" t="e">
        <f t="shared" ca="1" si="185"/>
        <v>#N/A</v>
      </c>
      <c r="AD640" t="e">
        <f t="shared" ca="1" si="186"/>
        <v>#N/A</v>
      </c>
      <c r="AE640" s="83" t="e">
        <f ca="1"/>
        <v>#N/A</v>
      </c>
      <c r="AF640" s="55" t="e">
        <f t="shared" ca="1" si="187"/>
        <v>#N/A</v>
      </c>
      <c r="AG640" s="55" t="e">
        <f t="shared" ca="1" si="188"/>
        <v>#N/A</v>
      </c>
      <c r="AH640" s="55" t="e">
        <f t="shared" ca="1" si="189"/>
        <v>#N/A</v>
      </c>
      <c r="AI640" s="55" t="e">
        <f t="shared" ca="1" si="190"/>
        <v>#N/A</v>
      </c>
      <c r="AJ640" s="55" t="e">
        <f t="shared" ca="1" si="196"/>
        <v>#N/A</v>
      </c>
      <c r="AK640" s="55" t="e">
        <f t="shared" ca="1" si="197"/>
        <v>#N/A</v>
      </c>
      <c r="AL640" s="55" t="e">
        <f t="shared" ca="1" si="198"/>
        <v>#N/A</v>
      </c>
      <c r="AM640" s="55"/>
    </row>
    <row r="641" spans="18:39">
      <c r="R641" s="55" t="e">
        <f ca="1"/>
        <v>#N/A</v>
      </c>
      <c r="S641" s="55" t="e">
        <f t="shared" ca="1" si="180"/>
        <v>#N/A</v>
      </c>
      <c r="T641" s="55" t="e">
        <f t="shared" ca="1" si="181"/>
        <v>#N/A</v>
      </c>
      <c r="U641" s="55" t="e">
        <f t="shared" ca="1" si="182"/>
        <v>#N/A</v>
      </c>
      <c r="V641" s="55" t="e">
        <f t="shared" ca="1" si="183"/>
        <v>#N/A</v>
      </c>
      <c r="W641" s="55" t="e">
        <f t="shared" ca="1" si="193"/>
        <v>#N/A</v>
      </c>
      <c r="X641" s="55" t="e">
        <f t="shared" ca="1" si="194"/>
        <v>#N/A</v>
      </c>
      <c r="Y641" s="55" t="e">
        <f t="shared" ca="1" si="195"/>
        <v>#N/A</v>
      </c>
      <c r="Z641" s="55" t="e">
        <f t="shared" ca="1" si="191"/>
        <v>#N/A</v>
      </c>
      <c r="AA641" t="e">
        <f t="shared" ca="1" si="192"/>
        <v>#N/A</v>
      </c>
      <c r="AB641" t="e">
        <f t="shared" ca="1" si="184"/>
        <v>#N/A</v>
      </c>
      <c r="AC641" t="e">
        <f t="shared" ca="1" si="185"/>
        <v>#N/A</v>
      </c>
      <c r="AD641" t="e">
        <f t="shared" ca="1" si="186"/>
        <v>#N/A</v>
      </c>
      <c r="AE641" s="83" t="e">
        <f ca="1"/>
        <v>#N/A</v>
      </c>
      <c r="AF641" s="55" t="e">
        <f t="shared" ca="1" si="187"/>
        <v>#N/A</v>
      </c>
      <c r="AG641" s="55" t="e">
        <f t="shared" ca="1" si="188"/>
        <v>#N/A</v>
      </c>
      <c r="AH641" s="55" t="e">
        <f t="shared" ca="1" si="189"/>
        <v>#N/A</v>
      </c>
      <c r="AI641" s="55" t="e">
        <f t="shared" ca="1" si="190"/>
        <v>#N/A</v>
      </c>
      <c r="AJ641" s="55" t="e">
        <f t="shared" ca="1" si="196"/>
        <v>#N/A</v>
      </c>
      <c r="AK641" s="55" t="e">
        <f t="shared" ca="1" si="197"/>
        <v>#N/A</v>
      </c>
      <c r="AL641" s="55" t="e">
        <f t="shared" ca="1" si="198"/>
        <v>#N/A</v>
      </c>
      <c r="AM641" s="55"/>
    </row>
    <row r="642" spans="18:39">
      <c r="R642" s="55" t="e">
        <f ca="1"/>
        <v>#N/A</v>
      </c>
      <c r="S642" s="55" t="e">
        <f t="shared" ca="1" si="180"/>
        <v>#N/A</v>
      </c>
      <c r="T642" s="55" t="e">
        <f t="shared" ca="1" si="181"/>
        <v>#N/A</v>
      </c>
      <c r="U642" s="55" t="e">
        <f t="shared" ca="1" si="182"/>
        <v>#N/A</v>
      </c>
      <c r="V642" s="55" t="e">
        <f t="shared" ca="1" si="183"/>
        <v>#N/A</v>
      </c>
      <c r="W642" s="55" t="e">
        <f t="shared" ca="1" si="193"/>
        <v>#N/A</v>
      </c>
      <c r="X642" s="55" t="e">
        <f t="shared" ca="1" si="194"/>
        <v>#N/A</v>
      </c>
      <c r="Y642" s="55" t="e">
        <f t="shared" ca="1" si="195"/>
        <v>#N/A</v>
      </c>
      <c r="Z642" s="55" t="e">
        <f t="shared" ca="1" si="191"/>
        <v>#N/A</v>
      </c>
      <c r="AA642" t="e">
        <f t="shared" ca="1" si="192"/>
        <v>#N/A</v>
      </c>
      <c r="AB642" t="e">
        <f t="shared" ca="1" si="184"/>
        <v>#N/A</v>
      </c>
      <c r="AC642" t="e">
        <f t="shared" ca="1" si="185"/>
        <v>#N/A</v>
      </c>
      <c r="AD642" t="e">
        <f t="shared" ca="1" si="186"/>
        <v>#N/A</v>
      </c>
      <c r="AE642" s="83" t="e">
        <f ca="1"/>
        <v>#N/A</v>
      </c>
      <c r="AF642" s="55" t="e">
        <f t="shared" ca="1" si="187"/>
        <v>#N/A</v>
      </c>
      <c r="AG642" s="55" t="e">
        <f t="shared" ca="1" si="188"/>
        <v>#N/A</v>
      </c>
      <c r="AH642" s="55" t="e">
        <f t="shared" ca="1" si="189"/>
        <v>#N/A</v>
      </c>
      <c r="AI642" s="55" t="e">
        <f t="shared" ca="1" si="190"/>
        <v>#N/A</v>
      </c>
      <c r="AJ642" s="55" t="e">
        <f t="shared" ca="1" si="196"/>
        <v>#N/A</v>
      </c>
      <c r="AK642" s="55" t="e">
        <f t="shared" ca="1" si="197"/>
        <v>#N/A</v>
      </c>
      <c r="AL642" s="55" t="e">
        <f t="shared" ca="1" si="198"/>
        <v>#N/A</v>
      </c>
      <c r="AM642" s="55"/>
    </row>
    <row r="643" spans="18:39">
      <c r="R643" s="55" t="e">
        <f ca="1"/>
        <v>#N/A</v>
      </c>
      <c r="S643" s="55" t="e">
        <f t="shared" ca="1" si="180"/>
        <v>#N/A</v>
      </c>
      <c r="T643" s="55" t="e">
        <f t="shared" ca="1" si="181"/>
        <v>#N/A</v>
      </c>
      <c r="U643" s="55" t="e">
        <f t="shared" ca="1" si="182"/>
        <v>#N/A</v>
      </c>
      <c r="V643" s="55" t="e">
        <f t="shared" ca="1" si="183"/>
        <v>#N/A</v>
      </c>
      <c r="W643" s="55" t="e">
        <f t="shared" ca="1" si="193"/>
        <v>#N/A</v>
      </c>
      <c r="X643" s="55" t="e">
        <f t="shared" ca="1" si="194"/>
        <v>#N/A</v>
      </c>
      <c r="Y643" s="55" t="e">
        <f t="shared" ca="1" si="195"/>
        <v>#N/A</v>
      </c>
      <c r="Z643" s="55" t="e">
        <f t="shared" ca="1" si="191"/>
        <v>#N/A</v>
      </c>
      <c r="AA643" t="e">
        <f t="shared" ca="1" si="192"/>
        <v>#N/A</v>
      </c>
      <c r="AB643" t="e">
        <f t="shared" ca="1" si="184"/>
        <v>#N/A</v>
      </c>
      <c r="AC643" t="e">
        <f t="shared" ca="1" si="185"/>
        <v>#N/A</v>
      </c>
      <c r="AD643" t="e">
        <f t="shared" ca="1" si="186"/>
        <v>#N/A</v>
      </c>
      <c r="AE643" s="83" t="e">
        <f ca="1"/>
        <v>#N/A</v>
      </c>
      <c r="AF643" s="55" t="e">
        <f t="shared" ca="1" si="187"/>
        <v>#N/A</v>
      </c>
      <c r="AG643" s="55" t="e">
        <f t="shared" ca="1" si="188"/>
        <v>#N/A</v>
      </c>
      <c r="AH643" s="55" t="e">
        <f t="shared" ca="1" si="189"/>
        <v>#N/A</v>
      </c>
      <c r="AI643" s="55" t="e">
        <f t="shared" ca="1" si="190"/>
        <v>#N/A</v>
      </c>
      <c r="AJ643" s="55" t="e">
        <f t="shared" ca="1" si="196"/>
        <v>#N/A</v>
      </c>
      <c r="AK643" s="55" t="e">
        <f t="shared" ca="1" si="197"/>
        <v>#N/A</v>
      </c>
      <c r="AL643" s="55" t="e">
        <f t="shared" ca="1" si="198"/>
        <v>#N/A</v>
      </c>
      <c r="AM643" s="55"/>
    </row>
    <row r="644" spans="18:39">
      <c r="R644" s="55" t="e">
        <f ca="1"/>
        <v>#N/A</v>
      </c>
      <c r="S644" s="55" t="e">
        <f t="shared" ca="1" si="180"/>
        <v>#N/A</v>
      </c>
      <c r="T644" s="55" t="e">
        <f t="shared" ca="1" si="181"/>
        <v>#N/A</v>
      </c>
      <c r="U644" s="55" t="e">
        <f t="shared" ca="1" si="182"/>
        <v>#N/A</v>
      </c>
      <c r="V644" s="55" t="e">
        <f t="shared" ca="1" si="183"/>
        <v>#N/A</v>
      </c>
      <c r="W644" s="55" t="e">
        <f t="shared" ca="1" si="193"/>
        <v>#N/A</v>
      </c>
      <c r="X644" s="55" t="e">
        <f t="shared" ca="1" si="194"/>
        <v>#N/A</v>
      </c>
      <c r="Y644" s="55" t="e">
        <f t="shared" ca="1" si="195"/>
        <v>#N/A</v>
      </c>
      <c r="Z644" s="55" t="e">
        <f t="shared" ca="1" si="191"/>
        <v>#N/A</v>
      </c>
      <c r="AA644" t="e">
        <f t="shared" ca="1" si="192"/>
        <v>#N/A</v>
      </c>
      <c r="AB644" t="e">
        <f t="shared" ca="1" si="184"/>
        <v>#N/A</v>
      </c>
      <c r="AC644" t="e">
        <f t="shared" ca="1" si="185"/>
        <v>#N/A</v>
      </c>
      <c r="AD644" t="e">
        <f t="shared" ca="1" si="186"/>
        <v>#N/A</v>
      </c>
      <c r="AE644" s="83" t="e">
        <f ca="1"/>
        <v>#N/A</v>
      </c>
      <c r="AF644" s="55" t="e">
        <f t="shared" ca="1" si="187"/>
        <v>#N/A</v>
      </c>
      <c r="AG644" s="55" t="e">
        <f t="shared" ca="1" si="188"/>
        <v>#N/A</v>
      </c>
      <c r="AH644" s="55" t="e">
        <f t="shared" ca="1" si="189"/>
        <v>#N/A</v>
      </c>
      <c r="AI644" s="55" t="e">
        <f t="shared" ca="1" si="190"/>
        <v>#N/A</v>
      </c>
      <c r="AJ644" s="55" t="e">
        <f t="shared" ca="1" si="196"/>
        <v>#N/A</v>
      </c>
      <c r="AK644" s="55" t="e">
        <f t="shared" ca="1" si="197"/>
        <v>#N/A</v>
      </c>
      <c r="AL644" s="55" t="e">
        <f t="shared" ca="1" si="198"/>
        <v>#N/A</v>
      </c>
      <c r="AM644" s="55"/>
    </row>
    <row r="645" spans="18:39">
      <c r="R645" s="55" t="e">
        <f ca="1"/>
        <v>#N/A</v>
      </c>
      <c r="S645" s="55" t="e">
        <f t="shared" ca="1" si="180"/>
        <v>#N/A</v>
      </c>
      <c r="T645" s="55" t="e">
        <f t="shared" ca="1" si="181"/>
        <v>#N/A</v>
      </c>
      <c r="U645" s="55" t="e">
        <f t="shared" ca="1" si="182"/>
        <v>#N/A</v>
      </c>
      <c r="V645" s="55" t="e">
        <f t="shared" ca="1" si="183"/>
        <v>#N/A</v>
      </c>
      <c r="W645" s="55" t="e">
        <f t="shared" ca="1" si="193"/>
        <v>#N/A</v>
      </c>
      <c r="X645" s="55" t="e">
        <f t="shared" ca="1" si="194"/>
        <v>#N/A</v>
      </c>
      <c r="Y645" s="55" t="e">
        <f t="shared" ca="1" si="195"/>
        <v>#N/A</v>
      </c>
      <c r="Z645" s="55" t="e">
        <f t="shared" ca="1" si="191"/>
        <v>#N/A</v>
      </c>
      <c r="AA645" t="e">
        <f t="shared" ca="1" si="192"/>
        <v>#N/A</v>
      </c>
      <c r="AB645" t="e">
        <f t="shared" ca="1" si="184"/>
        <v>#N/A</v>
      </c>
      <c r="AC645" t="e">
        <f t="shared" ca="1" si="185"/>
        <v>#N/A</v>
      </c>
      <c r="AD645" t="e">
        <f t="shared" ca="1" si="186"/>
        <v>#N/A</v>
      </c>
      <c r="AE645" s="83" t="e">
        <f ca="1"/>
        <v>#N/A</v>
      </c>
      <c r="AF645" s="55" t="e">
        <f t="shared" ca="1" si="187"/>
        <v>#N/A</v>
      </c>
      <c r="AG645" s="55" t="e">
        <f t="shared" ca="1" si="188"/>
        <v>#N/A</v>
      </c>
      <c r="AH645" s="55" t="e">
        <f t="shared" ca="1" si="189"/>
        <v>#N/A</v>
      </c>
      <c r="AI645" s="55" t="e">
        <f t="shared" ca="1" si="190"/>
        <v>#N/A</v>
      </c>
      <c r="AJ645" s="55" t="e">
        <f t="shared" ca="1" si="196"/>
        <v>#N/A</v>
      </c>
      <c r="AK645" s="55" t="e">
        <f t="shared" ca="1" si="197"/>
        <v>#N/A</v>
      </c>
      <c r="AL645" s="55" t="e">
        <f t="shared" ca="1" si="198"/>
        <v>#N/A</v>
      </c>
      <c r="AM645" s="55"/>
    </row>
    <row r="646" spans="18:39">
      <c r="R646" s="55" t="e">
        <f ca="1"/>
        <v>#N/A</v>
      </c>
      <c r="S646" s="55" t="e">
        <f t="shared" ca="1" si="180"/>
        <v>#N/A</v>
      </c>
      <c r="T646" s="55" t="e">
        <f t="shared" ca="1" si="181"/>
        <v>#N/A</v>
      </c>
      <c r="U646" s="55" t="e">
        <f t="shared" ca="1" si="182"/>
        <v>#N/A</v>
      </c>
      <c r="V646" s="55" t="e">
        <f t="shared" ca="1" si="183"/>
        <v>#N/A</v>
      </c>
      <c r="W646" s="55" t="e">
        <f t="shared" ca="1" si="193"/>
        <v>#N/A</v>
      </c>
      <c r="X646" s="55" t="e">
        <f t="shared" ca="1" si="194"/>
        <v>#N/A</v>
      </c>
      <c r="Y646" s="55" t="e">
        <f t="shared" ca="1" si="195"/>
        <v>#N/A</v>
      </c>
      <c r="Z646" s="55" t="e">
        <f t="shared" ca="1" si="191"/>
        <v>#N/A</v>
      </c>
      <c r="AA646" t="e">
        <f t="shared" ca="1" si="192"/>
        <v>#N/A</v>
      </c>
      <c r="AB646" t="e">
        <f t="shared" ca="1" si="184"/>
        <v>#N/A</v>
      </c>
      <c r="AC646" t="e">
        <f t="shared" ca="1" si="185"/>
        <v>#N/A</v>
      </c>
      <c r="AD646" t="e">
        <f t="shared" ca="1" si="186"/>
        <v>#N/A</v>
      </c>
      <c r="AE646" s="83" t="e">
        <f ca="1"/>
        <v>#N/A</v>
      </c>
      <c r="AF646" s="55" t="e">
        <f t="shared" ca="1" si="187"/>
        <v>#N/A</v>
      </c>
      <c r="AG646" s="55" t="e">
        <f t="shared" ca="1" si="188"/>
        <v>#N/A</v>
      </c>
      <c r="AH646" s="55" t="e">
        <f t="shared" ca="1" si="189"/>
        <v>#N/A</v>
      </c>
      <c r="AI646" s="55" t="e">
        <f t="shared" ca="1" si="190"/>
        <v>#N/A</v>
      </c>
      <c r="AJ646" s="55" t="e">
        <f t="shared" ca="1" si="196"/>
        <v>#N/A</v>
      </c>
      <c r="AK646" s="55" t="e">
        <f t="shared" ca="1" si="197"/>
        <v>#N/A</v>
      </c>
      <c r="AL646" s="55" t="e">
        <f t="shared" ca="1" si="198"/>
        <v>#N/A</v>
      </c>
      <c r="AM646" s="55"/>
    </row>
    <row r="647" spans="18:39">
      <c r="R647" s="55" t="e">
        <f ca="1"/>
        <v>#N/A</v>
      </c>
      <c r="S647" s="55" t="e">
        <f t="shared" ca="1" si="180"/>
        <v>#N/A</v>
      </c>
      <c r="T647" s="55" t="e">
        <f t="shared" ca="1" si="181"/>
        <v>#N/A</v>
      </c>
      <c r="U647" s="55" t="e">
        <f t="shared" ca="1" si="182"/>
        <v>#N/A</v>
      </c>
      <c r="V647" s="55" t="e">
        <f t="shared" ca="1" si="183"/>
        <v>#N/A</v>
      </c>
      <c r="W647" s="55" t="e">
        <f t="shared" ca="1" si="193"/>
        <v>#N/A</v>
      </c>
      <c r="X647" s="55" t="e">
        <f t="shared" ca="1" si="194"/>
        <v>#N/A</v>
      </c>
      <c r="Y647" s="55" t="e">
        <f t="shared" ca="1" si="195"/>
        <v>#N/A</v>
      </c>
      <c r="Z647" s="55" t="e">
        <f t="shared" ca="1" si="191"/>
        <v>#N/A</v>
      </c>
      <c r="AA647" t="e">
        <f t="shared" ca="1" si="192"/>
        <v>#N/A</v>
      </c>
      <c r="AB647" t="e">
        <f t="shared" ca="1" si="184"/>
        <v>#N/A</v>
      </c>
      <c r="AC647" t="e">
        <f t="shared" ca="1" si="185"/>
        <v>#N/A</v>
      </c>
      <c r="AD647" t="e">
        <f t="shared" ca="1" si="186"/>
        <v>#N/A</v>
      </c>
      <c r="AE647" s="83" t="e">
        <f ca="1"/>
        <v>#N/A</v>
      </c>
      <c r="AF647" s="55" t="e">
        <f t="shared" ca="1" si="187"/>
        <v>#N/A</v>
      </c>
      <c r="AG647" s="55" t="e">
        <f t="shared" ca="1" si="188"/>
        <v>#N/A</v>
      </c>
      <c r="AH647" s="55" t="e">
        <f t="shared" ca="1" si="189"/>
        <v>#N/A</v>
      </c>
      <c r="AI647" s="55" t="e">
        <f t="shared" ca="1" si="190"/>
        <v>#N/A</v>
      </c>
      <c r="AJ647" s="55" t="e">
        <f t="shared" ca="1" si="196"/>
        <v>#N/A</v>
      </c>
      <c r="AK647" s="55" t="e">
        <f t="shared" ca="1" si="197"/>
        <v>#N/A</v>
      </c>
      <c r="AL647" s="55" t="e">
        <f t="shared" ca="1" si="198"/>
        <v>#N/A</v>
      </c>
      <c r="AM647" s="55"/>
    </row>
    <row r="648" spans="18:39">
      <c r="R648" s="55" t="e">
        <f ca="1"/>
        <v>#N/A</v>
      </c>
      <c r="S648" s="55" t="e">
        <f t="shared" ca="1" si="180"/>
        <v>#N/A</v>
      </c>
      <c r="T648" s="55" t="e">
        <f t="shared" ca="1" si="181"/>
        <v>#N/A</v>
      </c>
      <c r="U648" s="55" t="e">
        <f t="shared" ca="1" si="182"/>
        <v>#N/A</v>
      </c>
      <c r="V648" s="55" t="e">
        <f t="shared" ca="1" si="183"/>
        <v>#N/A</v>
      </c>
      <c r="W648" s="55" t="e">
        <f t="shared" ca="1" si="193"/>
        <v>#N/A</v>
      </c>
      <c r="X648" s="55" t="e">
        <f t="shared" ca="1" si="194"/>
        <v>#N/A</v>
      </c>
      <c r="Y648" s="55" t="e">
        <f t="shared" ca="1" si="195"/>
        <v>#N/A</v>
      </c>
      <c r="Z648" s="55" t="e">
        <f t="shared" ca="1" si="191"/>
        <v>#N/A</v>
      </c>
      <c r="AA648" t="e">
        <f t="shared" ca="1" si="192"/>
        <v>#N/A</v>
      </c>
      <c r="AB648" t="e">
        <f t="shared" ca="1" si="184"/>
        <v>#N/A</v>
      </c>
      <c r="AC648" t="e">
        <f t="shared" ca="1" si="185"/>
        <v>#N/A</v>
      </c>
      <c r="AD648" t="e">
        <f t="shared" ca="1" si="186"/>
        <v>#N/A</v>
      </c>
      <c r="AE648" s="83" t="e">
        <f ca="1"/>
        <v>#N/A</v>
      </c>
      <c r="AF648" s="55" t="e">
        <f t="shared" ca="1" si="187"/>
        <v>#N/A</v>
      </c>
      <c r="AG648" s="55" t="e">
        <f t="shared" ca="1" si="188"/>
        <v>#N/A</v>
      </c>
      <c r="AH648" s="55" t="e">
        <f t="shared" ca="1" si="189"/>
        <v>#N/A</v>
      </c>
      <c r="AI648" s="55" t="e">
        <f t="shared" ca="1" si="190"/>
        <v>#N/A</v>
      </c>
      <c r="AJ648" s="55" t="e">
        <f t="shared" ca="1" si="196"/>
        <v>#N/A</v>
      </c>
      <c r="AK648" s="55" t="e">
        <f t="shared" ca="1" si="197"/>
        <v>#N/A</v>
      </c>
      <c r="AL648" s="55" t="e">
        <f t="shared" ca="1" si="198"/>
        <v>#N/A</v>
      </c>
      <c r="AM648" s="55"/>
    </row>
    <row r="649" spans="18:39">
      <c r="R649" s="55" t="e">
        <f ca="1"/>
        <v>#N/A</v>
      </c>
      <c r="S649" s="55" t="e">
        <f t="shared" ca="1" si="180"/>
        <v>#N/A</v>
      </c>
      <c r="T649" s="55" t="e">
        <f t="shared" ca="1" si="181"/>
        <v>#N/A</v>
      </c>
      <c r="U649" s="55" t="e">
        <f t="shared" ca="1" si="182"/>
        <v>#N/A</v>
      </c>
      <c r="V649" s="55" t="e">
        <f t="shared" ca="1" si="183"/>
        <v>#N/A</v>
      </c>
      <c r="W649" s="55" t="e">
        <f t="shared" ca="1" si="193"/>
        <v>#N/A</v>
      </c>
      <c r="X649" s="55" t="e">
        <f t="shared" ca="1" si="194"/>
        <v>#N/A</v>
      </c>
      <c r="Y649" s="55" t="e">
        <f t="shared" ca="1" si="195"/>
        <v>#N/A</v>
      </c>
      <c r="Z649" s="55" t="e">
        <f t="shared" ca="1" si="191"/>
        <v>#N/A</v>
      </c>
      <c r="AA649" t="e">
        <f t="shared" ca="1" si="192"/>
        <v>#N/A</v>
      </c>
      <c r="AB649" t="e">
        <f t="shared" ca="1" si="184"/>
        <v>#N/A</v>
      </c>
      <c r="AC649" t="e">
        <f t="shared" ca="1" si="185"/>
        <v>#N/A</v>
      </c>
      <c r="AD649" t="e">
        <f t="shared" ca="1" si="186"/>
        <v>#N/A</v>
      </c>
      <c r="AE649" s="83" t="e">
        <f ca="1"/>
        <v>#N/A</v>
      </c>
      <c r="AF649" s="55" t="e">
        <f t="shared" ca="1" si="187"/>
        <v>#N/A</v>
      </c>
      <c r="AG649" s="55" t="e">
        <f t="shared" ca="1" si="188"/>
        <v>#N/A</v>
      </c>
      <c r="AH649" s="55" t="e">
        <f t="shared" ca="1" si="189"/>
        <v>#N/A</v>
      </c>
      <c r="AI649" s="55" t="e">
        <f t="shared" ca="1" si="190"/>
        <v>#N/A</v>
      </c>
      <c r="AJ649" s="55" t="e">
        <f t="shared" ca="1" si="196"/>
        <v>#N/A</v>
      </c>
      <c r="AK649" s="55" t="e">
        <f t="shared" ca="1" si="197"/>
        <v>#N/A</v>
      </c>
      <c r="AL649" s="55" t="e">
        <f t="shared" ca="1" si="198"/>
        <v>#N/A</v>
      </c>
      <c r="AM649" s="55"/>
    </row>
    <row r="650" spans="18:39">
      <c r="R650" s="55" t="e">
        <f ca="1"/>
        <v>#N/A</v>
      </c>
      <c r="S650" s="55" t="e">
        <f t="shared" ca="1" si="180"/>
        <v>#N/A</v>
      </c>
      <c r="T650" s="55" t="e">
        <f t="shared" ca="1" si="181"/>
        <v>#N/A</v>
      </c>
      <c r="U650" s="55" t="e">
        <f t="shared" ca="1" si="182"/>
        <v>#N/A</v>
      </c>
      <c r="V650" s="55" t="e">
        <f t="shared" ca="1" si="183"/>
        <v>#N/A</v>
      </c>
      <c r="W650" s="55" t="e">
        <f t="shared" ca="1" si="193"/>
        <v>#N/A</v>
      </c>
      <c r="X650" s="55" t="e">
        <f t="shared" ca="1" si="194"/>
        <v>#N/A</v>
      </c>
      <c r="Y650" s="55" t="e">
        <f t="shared" ca="1" si="195"/>
        <v>#N/A</v>
      </c>
      <c r="Z650" s="55" t="e">
        <f t="shared" ca="1" si="191"/>
        <v>#N/A</v>
      </c>
      <c r="AA650" t="e">
        <f t="shared" ca="1" si="192"/>
        <v>#N/A</v>
      </c>
      <c r="AB650" t="e">
        <f t="shared" ca="1" si="184"/>
        <v>#N/A</v>
      </c>
      <c r="AC650" t="e">
        <f t="shared" ca="1" si="185"/>
        <v>#N/A</v>
      </c>
      <c r="AD650" t="e">
        <f t="shared" ca="1" si="186"/>
        <v>#N/A</v>
      </c>
      <c r="AE650" s="83" t="e">
        <f ca="1"/>
        <v>#N/A</v>
      </c>
      <c r="AF650" s="55" t="e">
        <f t="shared" ca="1" si="187"/>
        <v>#N/A</v>
      </c>
      <c r="AG650" s="55" t="e">
        <f t="shared" ca="1" si="188"/>
        <v>#N/A</v>
      </c>
      <c r="AH650" s="55" t="e">
        <f t="shared" ca="1" si="189"/>
        <v>#N/A</v>
      </c>
      <c r="AI650" s="55" t="e">
        <f t="shared" ca="1" si="190"/>
        <v>#N/A</v>
      </c>
      <c r="AJ650" s="55" t="e">
        <f t="shared" ca="1" si="196"/>
        <v>#N/A</v>
      </c>
      <c r="AK650" s="55" t="e">
        <f t="shared" ca="1" si="197"/>
        <v>#N/A</v>
      </c>
      <c r="AL650" s="55" t="e">
        <f t="shared" ca="1" si="198"/>
        <v>#N/A</v>
      </c>
      <c r="AM650" s="55"/>
    </row>
    <row r="651" spans="18:39">
      <c r="R651" s="55" t="e">
        <f ca="1"/>
        <v>#N/A</v>
      </c>
      <c r="S651" s="55" t="e">
        <f t="shared" ca="1" si="180"/>
        <v>#N/A</v>
      </c>
      <c r="T651" s="55" t="e">
        <f t="shared" ca="1" si="181"/>
        <v>#N/A</v>
      </c>
      <c r="U651" s="55" t="e">
        <f t="shared" ca="1" si="182"/>
        <v>#N/A</v>
      </c>
      <c r="V651" s="55" t="e">
        <f t="shared" ca="1" si="183"/>
        <v>#N/A</v>
      </c>
      <c r="W651" s="55" t="e">
        <f t="shared" ca="1" si="193"/>
        <v>#N/A</v>
      </c>
      <c r="X651" s="55" t="e">
        <f t="shared" ca="1" si="194"/>
        <v>#N/A</v>
      </c>
      <c r="Y651" s="55" t="e">
        <f t="shared" ca="1" si="195"/>
        <v>#N/A</v>
      </c>
      <c r="Z651" s="55" t="e">
        <f t="shared" ca="1" si="191"/>
        <v>#N/A</v>
      </c>
      <c r="AA651" t="e">
        <f t="shared" ca="1" si="192"/>
        <v>#N/A</v>
      </c>
      <c r="AB651" t="e">
        <f t="shared" ca="1" si="184"/>
        <v>#N/A</v>
      </c>
      <c r="AC651" t="e">
        <f t="shared" ca="1" si="185"/>
        <v>#N/A</v>
      </c>
      <c r="AD651" t="e">
        <f t="shared" ca="1" si="186"/>
        <v>#N/A</v>
      </c>
      <c r="AE651" s="83" t="e">
        <f ca="1"/>
        <v>#N/A</v>
      </c>
      <c r="AF651" s="55" t="e">
        <f t="shared" ca="1" si="187"/>
        <v>#N/A</v>
      </c>
      <c r="AG651" s="55" t="e">
        <f t="shared" ca="1" si="188"/>
        <v>#N/A</v>
      </c>
      <c r="AH651" s="55" t="e">
        <f t="shared" ca="1" si="189"/>
        <v>#N/A</v>
      </c>
      <c r="AI651" s="55" t="e">
        <f t="shared" ca="1" si="190"/>
        <v>#N/A</v>
      </c>
      <c r="AJ651" s="55" t="e">
        <f t="shared" ca="1" si="196"/>
        <v>#N/A</v>
      </c>
      <c r="AK651" s="55" t="e">
        <f t="shared" ca="1" si="197"/>
        <v>#N/A</v>
      </c>
      <c r="AL651" s="55" t="e">
        <f t="shared" ca="1" si="198"/>
        <v>#N/A</v>
      </c>
      <c r="AM651" s="55"/>
    </row>
    <row r="652" spans="18:39">
      <c r="R652" s="55" t="e">
        <f ca="1"/>
        <v>#N/A</v>
      </c>
      <c r="S652" s="55" t="e">
        <f t="shared" ref="S652:S662" ca="1" si="199">IF(R652&gt;1,R652,"")</f>
        <v>#N/A</v>
      </c>
      <c r="T652" s="55" t="e">
        <f t="shared" ref="T652:T662" ca="1" si="200">VLOOKUP(S652,ModelOutputs,2,FALSE)</f>
        <v>#N/A</v>
      </c>
      <c r="U652" s="55" t="e">
        <f t="shared" ref="U652:U662" ca="1" si="201">VLOOKUP(S652,ModelOutputs,7,FALSE)</f>
        <v>#N/A</v>
      </c>
      <c r="V652" s="55" t="e">
        <f t="shared" ref="V652:V662" ca="1" si="202">VLOOKUP(S652,ModelOutputs,6,FALSE)</f>
        <v>#N/A</v>
      </c>
      <c r="W652" s="55" t="e">
        <f t="shared" ca="1" si="193"/>
        <v>#N/A</v>
      </c>
      <c r="X652" s="55" t="e">
        <f t="shared" ca="1" si="194"/>
        <v>#N/A</v>
      </c>
      <c r="Y652" s="55" t="e">
        <f t="shared" ca="1" si="195"/>
        <v>#N/A</v>
      </c>
      <c r="Z652" s="55" t="e">
        <f t="shared" ca="1" si="191"/>
        <v>#N/A</v>
      </c>
      <c r="AA652" t="e">
        <f t="shared" ca="1" si="192"/>
        <v>#N/A</v>
      </c>
      <c r="AB652" t="e">
        <f t="shared" ref="AB652:AB662" ca="1" si="203">VLOOKUP(S652,ModelOutputs,11,FALSE)+AB651</f>
        <v>#N/A</v>
      </c>
      <c r="AC652" t="e">
        <f t="shared" ref="AC652:AC662" ca="1" si="204">VLOOKUP(S652,ModelOutputs,12,FALSE)</f>
        <v>#N/A</v>
      </c>
      <c r="AD652" t="e">
        <f t="shared" ref="AD652:AD662" ca="1" si="205">VLOOKUP(S652,ModelOutputs,13,FALSE)</f>
        <v>#N/A</v>
      </c>
      <c r="AE652" s="83" t="e">
        <f ca="1"/>
        <v>#N/A</v>
      </c>
      <c r="AF652" s="55" t="e">
        <f t="shared" ref="AF652:AF662" ca="1" si="206">IF(AE652&gt;1,AE652,"")</f>
        <v>#N/A</v>
      </c>
      <c r="AG652" s="55" t="e">
        <f t="shared" ref="AG652:AG662" ca="1" si="207">VLOOKUP(AF652,ModelOutputs,2,FALSE)</f>
        <v>#N/A</v>
      </c>
      <c r="AH652" s="55" t="e">
        <f t="shared" ref="AH652:AH662" ca="1" si="208">VLOOKUP(AF652,ModelOutputs,7,FALSE)</f>
        <v>#N/A</v>
      </c>
      <c r="AI652" s="55" t="e">
        <f t="shared" ref="AI652:AI662" ca="1" si="209">VLOOKUP(AF652,ModelOutputs,6,FALSE)</f>
        <v>#N/A</v>
      </c>
      <c r="AJ652" s="55" t="e">
        <f t="shared" ca="1" si="196"/>
        <v>#N/A</v>
      </c>
      <c r="AK652" s="55" t="e">
        <f t="shared" ca="1" si="197"/>
        <v>#N/A</v>
      </c>
      <c r="AL652" s="55" t="e">
        <f t="shared" ca="1" si="198"/>
        <v>#N/A</v>
      </c>
      <c r="AM652" s="55"/>
    </row>
    <row r="653" spans="18:39">
      <c r="R653" s="55" t="e">
        <f ca="1"/>
        <v>#N/A</v>
      </c>
      <c r="S653" s="55" t="e">
        <f t="shared" ca="1" si="199"/>
        <v>#N/A</v>
      </c>
      <c r="T653" s="55" t="e">
        <f t="shared" ca="1" si="200"/>
        <v>#N/A</v>
      </c>
      <c r="U653" s="55" t="e">
        <f t="shared" ca="1" si="201"/>
        <v>#N/A</v>
      </c>
      <c r="V653" s="55" t="e">
        <f t="shared" ca="1" si="202"/>
        <v>#N/A</v>
      </c>
      <c r="W653" s="55" t="e">
        <f t="shared" ca="1" si="193"/>
        <v>#N/A</v>
      </c>
      <c r="X653" s="55" t="e">
        <f t="shared" ca="1" si="194"/>
        <v>#N/A</v>
      </c>
      <c r="Y653" s="55" t="e">
        <f t="shared" ca="1" si="195"/>
        <v>#N/A</v>
      </c>
      <c r="Z653" s="55" t="e">
        <f t="shared" ca="1" si="191"/>
        <v>#N/A</v>
      </c>
      <c r="AA653" t="e">
        <f t="shared" ca="1" si="192"/>
        <v>#N/A</v>
      </c>
      <c r="AB653" t="e">
        <f t="shared" ca="1" si="203"/>
        <v>#N/A</v>
      </c>
      <c r="AC653" t="e">
        <f t="shared" ca="1" si="204"/>
        <v>#N/A</v>
      </c>
      <c r="AD653" t="e">
        <f t="shared" ca="1" si="205"/>
        <v>#N/A</v>
      </c>
      <c r="AE653" s="83" t="e">
        <f ca="1"/>
        <v>#N/A</v>
      </c>
      <c r="AF653" s="55" t="e">
        <f t="shared" ca="1" si="206"/>
        <v>#N/A</v>
      </c>
      <c r="AG653" s="55" t="e">
        <f t="shared" ca="1" si="207"/>
        <v>#N/A</v>
      </c>
      <c r="AH653" s="55" t="e">
        <f t="shared" ca="1" si="208"/>
        <v>#N/A</v>
      </c>
      <c r="AI653" s="55" t="e">
        <f t="shared" ca="1" si="209"/>
        <v>#N/A</v>
      </c>
      <c r="AJ653" s="55" t="e">
        <f t="shared" ca="1" si="196"/>
        <v>#N/A</v>
      </c>
      <c r="AK653" s="55" t="e">
        <f t="shared" ca="1" si="197"/>
        <v>#N/A</v>
      </c>
      <c r="AL653" s="55" t="e">
        <f t="shared" ca="1" si="198"/>
        <v>#N/A</v>
      </c>
      <c r="AM653" s="55"/>
    </row>
    <row r="654" spans="18:39">
      <c r="R654" s="55" t="e">
        <f ca="1"/>
        <v>#N/A</v>
      </c>
      <c r="S654" s="55" t="e">
        <f t="shared" ca="1" si="199"/>
        <v>#N/A</v>
      </c>
      <c r="T654" s="55" t="e">
        <f t="shared" ca="1" si="200"/>
        <v>#N/A</v>
      </c>
      <c r="U654" s="55" t="e">
        <f t="shared" ca="1" si="201"/>
        <v>#N/A</v>
      </c>
      <c r="V654" s="55" t="e">
        <f t="shared" ca="1" si="202"/>
        <v>#N/A</v>
      </c>
      <c r="W654" s="55" t="e">
        <f t="shared" ca="1" si="193"/>
        <v>#N/A</v>
      </c>
      <c r="X654" s="55" t="e">
        <f t="shared" ca="1" si="194"/>
        <v>#N/A</v>
      </c>
      <c r="Y654" s="55" t="e">
        <f t="shared" ca="1" si="195"/>
        <v>#N/A</v>
      </c>
      <c r="Z654" s="55" t="e">
        <f t="shared" ca="1" si="191"/>
        <v>#N/A</v>
      </c>
      <c r="AA654" t="e">
        <f t="shared" ca="1" si="192"/>
        <v>#N/A</v>
      </c>
      <c r="AB654" t="e">
        <f t="shared" ca="1" si="203"/>
        <v>#N/A</v>
      </c>
      <c r="AC654" t="e">
        <f t="shared" ca="1" si="204"/>
        <v>#N/A</v>
      </c>
      <c r="AD654" t="e">
        <f t="shared" ca="1" si="205"/>
        <v>#N/A</v>
      </c>
      <c r="AE654" s="83" t="e">
        <f ca="1"/>
        <v>#N/A</v>
      </c>
      <c r="AF654" s="55" t="e">
        <f t="shared" ca="1" si="206"/>
        <v>#N/A</v>
      </c>
      <c r="AG654" s="55" t="e">
        <f t="shared" ca="1" si="207"/>
        <v>#N/A</v>
      </c>
      <c r="AH654" s="55" t="e">
        <f t="shared" ca="1" si="208"/>
        <v>#N/A</v>
      </c>
      <c r="AI654" s="55" t="e">
        <f t="shared" ca="1" si="209"/>
        <v>#N/A</v>
      </c>
      <c r="AJ654" s="55" t="e">
        <f t="shared" ca="1" si="196"/>
        <v>#N/A</v>
      </c>
      <c r="AK654" s="55" t="e">
        <f t="shared" ca="1" si="197"/>
        <v>#N/A</v>
      </c>
      <c r="AL654" s="55" t="e">
        <f t="shared" ca="1" si="198"/>
        <v>#N/A</v>
      </c>
      <c r="AM654" s="55"/>
    </row>
    <row r="655" spans="18:39">
      <c r="R655" s="55" t="e">
        <f ca="1"/>
        <v>#N/A</v>
      </c>
      <c r="S655" s="55" t="e">
        <f t="shared" ca="1" si="199"/>
        <v>#N/A</v>
      </c>
      <c r="T655" s="55" t="e">
        <f t="shared" ca="1" si="200"/>
        <v>#N/A</v>
      </c>
      <c r="U655" s="55" t="e">
        <f t="shared" ca="1" si="201"/>
        <v>#N/A</v>
      </c>
      <c r="V655" s="55" t="e">
        <f t="shared" ca="1" si="202"/>
        <v>#N/A</v>
      </c>
      <c r="W655" s="55" t="e">
        <f t="shared" ca="1" si="193"/>
        <v>#N/A</v>
      </c>
      <c r="X655" s="55" t="e">
        <f t="shared" ca="1" si="194"/>
        <v>#N/A</v>
      </c>
      <c r="Y655" s="55" t="e">
        <f t="shared" ca="1" si="195"/>
        <v>#N/A</v>
      </c>
      <c r="Z655" s="55" t="e">
        <f t="shared" ca="1" si="191"/>
        <v>#N/A</v>
      </c>
      <c r="AA655" t="e">
        <f t="shared" ca="1" si="192"/>
        <v>#N/A</v>
      </c>
      <c r="AB655" t="e">
        <f t="shared" ca="1" si="203"/>
        <v>#N/A</v>
      </c>
      <c r="AC655" t="e">
        <f t="shared" ca="1" si="204"/>
        <v>#N/A</v>
      </c>
      <c r="AD655" t="e">
        <f t="shared" ca="1" si="205"/>
        <v>#N/A</v>
      </c>
      <c r="AE655" s="83" t="e">
        <f ca="1"/>
        <v>#N/A</v>
      </c>
      <c r="AF655" s="55" t="e">
        <f t="shared" ca="1" si="206"/>
        <v>#N/A</v>
      </c>
      <c r="AG655" s="55" t="e">
        <f t="shared" ca="1" si="207"/>
        <v>#N/A</v>
      </c>
      <c r="AH655" s="55" t="e">
        <f t="shared" ca="1" si="208"/>
        <v>#N/A</v>
      </c>
      <c r="AI655" s="55" t="e">
        <f t="shared" ca="1" si="209"/>
        <v>#N/A</v>
      </c>
      <c r="AJ655" s="55" t="e">
        <f t="shared" ca="1" si="196"/>
        <v>#N/A</v>
      </c>
      <c r="AK655" s="55" t="e">
        <f t="shared" ca="1" si="197"/>
        <v>#N/A</v>
      </c>
      <c r="AL655" s="55" t="e">
        <f t="shared" ca="1" si="198"/>
        <v>#N/A</v>
      </c>
      <c r="AM655" s="55"/>
    </row>
    <row r="656" spans="18:39">
      <c r="R656" s="55" t="e">
        <f ca="1"/>
        <v>#N/A</v>
      </c>
      <c r="S656" s="55" t="e">
        <f t="shared" ca="1" si="199"/>
        <v>#N/A</v>
      </c>
      <c r="T656" s="55" t="e">
        <f t="shared" ca="1" si="200"/>
        <v>#N/A</v>
      </c>
      <c r="U656" s="55" t="e">
        <f t="shared" ca="1" si="201"/>
        <v>#N/A</v>
      </c>
      <c r="V656" s="55" t="e">
        <f t="shared" ca="1" si="202"/>
        <v>#N/A</v>
      </c>
      <c r="W656" s="55" t="e">
        <f t="shared" ca="1" si="193"/>
        <v>#N/A</v>
      </c>
      <c r="X656" s="55" t="e">
        <f t="shared" ca="1" si="194"/>
        <v>#N/A</v>
      </c>
      <c r="Y656" s="55" t="e">
        <f t="shared" ca="1" si="195"/>
        <v>#N/A</v>
      </c>
      <c r="Z656" s="55" t="e">
        <f t="shared" ca="1" si="191"/>
        <v>#N/A</v>
      </c>
      <c r="AA656" t="e">
        <f t="shared" ca="1" si="192"/>
        <v>#N/A</v>
      </c>
      <c r="AB656" t="e">
        <f t="shared" ca="1" si="203"/>
        <v>#N/A</v>
      </c>
      <c r="AC656" t="e">
        <f t="shared" ca="1" si="204"/>
        <v>#N/A</v>
      </c>
      <c r="AD656" t="e">
        <f t="shared" ca="1" si="205"/>
        <v>#N/A</v>
      </c>
      <c r="AE656" s="83" t="e">
        <f ca="1"/>
        <v>#N/A</v>
      </c>
      <c r="AF656" s="55" t="e">
        <f t="shared" ca="1" si="206"/>
        <v>#N/A</v>
      </c>
      <c r="AG656" s="55" t="e">
        <f t="shared" ca="1" si="207"/>
        <v>#N/A</v>
      </c>
      <c r="AH656" s="55" t="e">
        <f t="shared" ca="1" si="208"/>
        <v>#N/A</v>
      </c>
      <c r="AI656" s="55" t="e">
        <f t="shared" ca="1" si="209"/>
        <v>#N/A</v>
      </c>
      <c r="AJ656" s="55" t="e">
        <f t="shared" ca="1" si="196"/>
        <v>#N/A</v>
      </c>
      <c r="AK656" s="55" t="e">
        <f t="shared" ca="1" si="197"/>
        <v>#N/A</v>
      </c>
      <c r="AL656" s="55" t="e">
        <f t="shared" ca="1" si="198"/>
        <v>#N/A</v>
      </c>
      <c r="AM656" s="55"/>
    </row>
    <row r="657" spans="18:39">
      <c r="R657" s="55" t="e">
        <f ca="1"/>
        <v>#N/A</v>
      </c>
      <c r="S657" s="55" t="e">
        <f t="shared" ca="1" si="199"/>
        <v>#N/A</v>
      </c>
      <c r="T657" s="55" t="e">
        <f t="shared" ca="1" si="200"/>
        <v>#N/A</v>
      </c>
      <c r="U657" s="55" t="e">
        <f t="shared" ca="1" si="201"/>
        <v>#N/A</v>
      </c>
      <c r="V657" s="55" t="e">
        <f t="shared" ca="1" si="202"/>
        <v>#N/A</v>
      </c>
      <c r="W657" s="55" t="e">
        <f t="shared" ca="1" si="193"/>
        <v>#N/A</v>
      </c>
      <c r="X657" s="55" t="e">
        <f t="shared" ca="1" si="194"/>
        <v>#N/A</v>
      </c>
      <c r="Y657" s="55" t="e">
        <f t="shared" ca="1" si="195"/>
        <v>#N/A</v>
      </c>
      <c r="Z657" s="55" t="e">
        <f t="shared" ca="1" si="191"/>
        <v>#N/A</v>
      </c>
      <c r="AA657" t="e">
        <f t="shared" ca="1" si="192"/>
        <v>#N/A</v>
      </c>
      <c r="AB657" t="e">
        <f t="shared" ca="1" si="203"/>
        <v>#N/A</v>
      </c>
      <c r="AC657" t="e">
        <f t="shared" ca="1" si="204"/>
        <v>#N/A</v>
      </c>
      <c r="AD657" t="e">
        <f t="shared" ca="1" si="205"/>
        <v>#N/A</v>
      </c>
      <c r="AE657" s="83" t="e">
        <f ca="1"/>
        <v>#N/A</v>
      </c>
      <c r="AF657" s="55" t="e">
        <f t="shared" ca="1" si="206"/>
        <v>#N/A</v>
      </c>
      <c r="AG657" s="55" t="e">
        <f t="shared" ca="1" si="207"/>
        <v>#N/A</v>
      </c>
      <c r="AH657" s="55" t="e">
        <f t="shared" ca="1" si="208"/>
        <v>#N/A</v>
      </c>
      <c r="AI657" s="55" t="e">
        <f t="shared" ca="1" si="209"/>
        <v>#N/A</v>
      </c>
      <c r="AJ657" s="55" t="e">
        <f t="shared" ca="1" si="196"/>
        <v>#N/A</v>
      </c>
      <c r="AK657" s="55" t="e">
        <f t="shared" ca="1" si="197"/>
        <v>#N/A</v>
      </c>
      <c r="AL657" s="55" t="e">
        <f t="shared" ca="1" si="198"/>
        <v>#N/A</v>
      </c>
      <c r="AM657" s="55"/>
    </row>
    <row r="658" spans="18:39">
      <c r="R658" s="55" t="e">
        <f ca="1"/>
        <v>#N/A</v>
      </c>
      <c r="S658" s="55" t="e">
        <f t="shared" ca="1" si="199"/>
        <v>#N/A</v>
      </c>
      <c r="T658" s="55" t="e">
        <f t="shared" ca="1" si="200"/>
        <v>#N/A</v>
      </c>
      <c r="U658" s="55" t="e">
        <f t="shared" ca="1" si="201"/>
        <v>#N/A</v>
      </c>
      <c r="V658" s="55" t="e">
        <f t="shared" ca="1" si="202"/>
        <v>#N/A</v>
      </c>
      <c r="W658" s="55" t="e">
        <f t="shared" ca="1" si="193"/>
        <v>#N/A</v>
      </c>
      <c r="X658" s="55" t="e">
        <f t="shared" ca="1" si="194"/>
        <v>#N/A</v>
      </c>
      <c r="Y658" s="55" t="e">
        <f t="shared" ca="1" si="195"/>
        <v>#N/A</v>
      </c>
      <c r="Z658" s="55" t="e">
        <f t="shared" ca="1" si="191"/>
        <v>#N/A</v>
      </c>
      <c r="AA658" t="e">
        <f t="shared" ca="1" si="192"/>
        <v>#N/A</v>
      </c>
      <c r="AB658" t="e">
        <f t="shared" ca="1" si="203"/>
        <v>#N/A</v>
      </c>
      <c r="AC658" t="e">
        <f t="shared" ca="1" si="204"/>
        <v>#N/A</v>
      </c>
      <c r="AD658" t="e">
        <f t="shared" ca="1" si="205"/>
        <v>#N/A</v>
      </c>
      <c r="AE658" s="83" t="e">
        <f ca="1"/>
        <v>#N/A</v>
      </c>
      <c r="AF658" s="55" t="e">
        <f t="shared" ca="1" si="206"/>
        <v>#N/A</v>
      </c>
      <c r="AG658" s="55" t="e">
        <f t="shared" ca="1" si="207"/>
        <v>#N/A</v>
      </c>
      <c r="AH658" s="55" t="e">
        <f t="shared" ca="1" si="208"/>
        <v>#N/A</v>
      </c>
      <c r="AI658" s="55" t="e">
        <f t="shared" ca="1" si="209"/>
        <v>#N/A</v>
      </c>
      <c r="AJ658" s="55" t="e">
        <f t="shared" ca="1" si="196"/>
        <v>#N/A</v>
      </c>
      <c r="AK658" s="55" t="e">
        <f t="shared" ca="1" si="197"/>
        <v>#N/A</v>
      </c>
      <c r="AL658" s="55" t="e">
        <f t="shared" ca="1" si="198"/>
        <v>#N/A</v>
      </c>
      <c r="AM658" s="55"/>
    </row>
    <row r="659" spans="18:39">
      <c r="R659" s="55" t="e">
        <f ca="1"/>
        <v>#N/A</v>
      </c>
      <c r="S659" s="55" t="e">
        <f t="shared" ca="1" si="199"/>
        <v>#N/A</v>
      </c>
      <c r="T659" s="55" t="e">
        <f t="shared" ca="1" si="200"/>
        <v>#N/A</v>
      </c>
      <c r="U659" s="55" t="e">
        <f t="shared" ca="1" si="201"/>
        <v>#N/A</v>
      </c>
      <c r="V659" s="55" t="e">
        <f t="shared" ca="1" si="202"/>
        <v>#N/A</v>
      </c>
      <c r="W659" s="55" t="e">
        <f t="shared" ca="1" si="193"/>
        <v>#N/A</v>
      </c>
      <c r="X659" s="55" t="e">
        <f t="shared" ca="1" si="194"/>
        <v>#N/A</v>
      </c>
      <c r="Y659" s="55" t="e">
        <f t="shared" ca="1" si="195"/>
        <v>#N/A</v>
      </c>
      <c r="Z659" s="55" t="e">
        <f t="shared" ca="1" si="191"/>
        <v>#N/A</v>
      </c>
      <c r="AA659" t="e">
        <f t="shared" ca="1" si="192"/>
        <v>#N/A</v>
      </c>
      <c r="AB659" t="e">
        <f t="shared" ca="1" si="203"/>
        <v>#N/A</v>
      </c>
      <c r="AC659" t="e">
        <f t="shared" ca="1" si="204"/>
        <v>#N/A</v>
      </c>
      <c r="AD659" t="e">
        <f t="shared" ca="1" si="205"/>
        <v>#N/A</v>
      </c>
      <c r="AE659" s="83" t="e">
        <f ca="1"/>
        <v>#N/A</v>
      </c>
      <c r="AF659" s="55" t="e">
        <f t="shared" ca="1" si="206"/>
        <v>#N/A</v>
      </c>
      <c r="AG659" s="55" t="e">
        <f t="shared" ca="1" si="207"/>
        <v>#N/A</v>
      </c>
      <c r="AH659" s="55" t="e">
        <f t="shared" ca="1" si="208"/>
        <v>#N/A</v>
      </c>
      <c r="AI659" s="55" t="e">
        <f t="shared" ca="1" si="209"/>
        <v>#N/A</v>
      </c>
      <c r="AJ659" s="55" t="e">
        <f t="shared" ca="1" si="196"/>
        <v>#N/A</v>
      </c>
      <c r="AK659" s="55" t="e">
        <f t="shared" ca="1" si="197"/>
        <v>#N/A</v>
      </c>
      <c r="AL659" s="55" t="e">
        <f t="shared" ca="1" si="198"/>
        <v>#N/A</v>
      </c>
      <c r="AM659" s="55"/>
    </row>
    <row r="660" spans="18:39">
      <c r="R660" s="55" t="e">
        <f ca="1"/>
        <v>#N/A</v>
      </c>
      <c r="S660" s="55" t="e">
        <f t="shared" ca="1" si="199"/>
        <v>#N/A</v>
      </c>
      <c r="T660" s="55" t="e">
        <f t="shared" ca="1" si="200"/>
        <v>#N/A</v>
      </c>
      <c r="U660" s="55" t="e">
        <f t="shared" ca="1" si="201"/>
        <v>#N/A</v>
      </c>
      <c r="V660" s="55" t="e">
        <f t="shared" ca="1" si="202"/>
        <v>#N/A</v>
      </c>
      <c r="W660" s="55" t="e">
        <f t="shared" ca="1" si="193"/>
        <v>#N/A</v>
      </c>
      <c r="X660" s="55" t="e">
        <f t="shared" ca="1" si="194"/>
        <v>#N/A</v>
      </c>
      <c r="Y660" s="55" t="e">
        <f t="shared" ca="1" si="195"/>
        <v>#N/A</v>
      </c>
      <c r="Z660" s="55" t="e">
        <f t="shared" ca="1" si="191"/>
        <v>#N/A</v>
      </c>
      <c r="AA660" t="e">
        <f t="shared" ca="1" si="192"/>
        <v>#N/A</v>
      </c>
      <c r="AB660" t="e">
        <f t="shared" ca="1" si="203"/>
        <v>#N/A</v>
      </c>
      <c r="AC660" t="e">
        <f t="shared" ca="1" si="204"/>
        <v>#N/A</v>
      </c>
      <c r="AD660" t="e">
        <f t="shared" ca="1" si="205"/>
        <v>#N/A</v>
      </c>
      <c r="AE660" s="83" t="e">
        <f ca="1"/>
        <v>#N/A</v>
      </c>
      <c r="AF660" s="55" t="e">
        <f t="shared" ca="1" si="206"/>
        <v>#N/A</v>
      </c>
      <c r="AG660" s="55" t="e">
        <f t="shared" ca="1" si="207"/>
        <v>#N/A</v>
      </c>
      <c r="AH660" s="55" t="e">
        <f t="shared" ca="1" si="208"/>
        <v>#N/A</v>
      </c>
      <c r="AI660" s="55" t="e">
        <f t="shared" ca="1" si="209"/>
        <v>#N/A</v>
      </c>
      <c r="AJ660" s="55" t="e">
        <f t="shared" ca="1" si="196"/>
        <v>#N/A</v>
      </c>
      <c r="AK660" s="55" t="e">
        <f t="shared" ca="1" si="197"/>
        <v>#N/A</v>
      </c>
      <c r="AL660" s="55" t="e">
        <f t="shared" ca="1" si="198"/>
        <v>#N/A</v>
      </c>
      <c r="AM660" s="55"/>
    </row>
    <row r="661" spans="18:39">
      <c r="R661" s="55" t="e">
        <f ca="1"/>
        <v>#N/A</v>
      </c>
      <c r="S661" s="55" t="e">
        <f t="shared" ca="1" si="199"/>
        <v>#N/A</v>
      </c>
      <c r="T661" s="55" t="e">
        <f t="shared" ca="1" si="200"/>
        <v>#N/A</v>
      </c>
      <c r="U661" s="55" t="e">
        <f t="shared" ca="1" si="201"/>
        <v>#N/A</v>
      </c>
      <c r="V661" s="55" t="e">
        <f t="shared" ca="1" si="202"/>
        <v>#N/A</v>
      </c>
      <c r="W661" s="55" t="e">
        <f t="shared" ca="1" si="193"/>
        <v>#N/A</v>
      </c>
      <c r="X661" s="55" t="e">
        <f t="shared" ca="1" si="194"/>
        <v>#N/A</v>
      </c>
      <c r="Y661" s="55" t="e">
        <f t="shared" ca="1" si="195"/>
        <v>#N/A</v>
      </c>
      <c r="Z661" s="55" t="e">
        <f t="shared" ca="1" si="191"/>
        <v>#N/A</v>
      </c>
      <c r="AA661" t="e">
        <f t="shared" ca="1" si="192"/>
        <v>#N/A</v>
      </c>
      <c r="AB661" t="e">
        <f t="shared" ca="1" si="203"/>
        <v>#N/A</v>
      </c>
      <c r="AC661" t="e">
        <f t="shared" ca="1" si="204"/>
        <v>#N/A</v>
      </c>
      <c r="AD661" t="e">
        <f t="shared" ca="1" si="205"/>
        <v>#N/A</v>
      </c>
      <c r="AE661" s="83" t="e">
        <f ca="1"/>
        <v>#N/A</v>
      </c>
      <c r="AF661" s="55" t="e">
        <f t="shared" ca="1" si="206"/>
        <v>#N/A</v>
      </c>
      <c r="AG661" s="55" t="e">
        <f t="shared" ca="1" si="207"/>
        <v>#N/A</v>
      </c>
      <c r="AH661" s="55" t="e">
        <f t="shared" ca="1" si="208"/>
        <v>#N/A</v>
      </c>
      <c r="AI661" s="55" t="e">
        <f t="shared" ca="1" si="209"/>
        <v>#N/A</v>
      </c>
      <c r="AJ661" s="55" t="e">
        <f t="shared" ca="1" si="196"/>
        <v>#N/A</v>
      </c>
      <c r="AK661" s="55" t="e">
        <f t="shared" ca="1" si="197"/>
        <v>#N/A</v>
      </c>
      <c r="AL661" s="55" t="e">
        <f t="shared" ca="1" si="198"/>
        <v>#N/A</v>
      </c>
      <c r="AM661" s="55"/>
    </row>
    <row r="662" spans="18:39">
      <c r="R662" s="55" t="e">
        <f ca="1"/>
        <v>#N/A</v>
      </c>
      <c r="S662" s="55" t="e">
        <f t="shared" ca="1" si="199"/>
        <v>#N/A</v>
      </c>
      <c r="T662" s="55" t="e">
        <f t="shared" ca="1" si="200"/>
        <v>#N/A</v>
      </c>
      <c r="U662" s="55" t="e">
        <f t="shared" ca="1" si="201"/>
        <v>#N/A</v>
      </c>
      <c r="V662" s="55" t="e">
        <f t="shared" ca="1" si="202"/>
        <v>#N/A</v>
      </c>
      <c r="W662" s="55" t="e">
        <f t="shared" ca="1" si="193"/>
        <v>#N/A</v>
      </c>
      <c r="X662" s="55" t="e">
        <f t="shared" ca="1" si="194"/>
        <v>#N/A</v>
      </c>
      <c r="Y662" s="55" t="e">
        <f t="shared" ca="1" si="195"/>
        <v>#N/A</v>
      </c>
      <c r="Z662" s="55" t="e">
        <f t="shared" ca="1" si="191"/>
        <v>#N/A</v>
      </c>
      <c r="AA662" t="e">
        <f t="shared" ca="1" si="192"/>
        <v>#N/A</v>
      </c>
      <c r="AB662" t="e">
        <f t="shared" ca="1" si="203"/>
        <v>#N/A</v>
      </c>
      <c r="AC662" t="e">
        <f t="shared" ca="1" si="204"/>
        <v>#N/A</v>
      </c>
      <c r="AD662" t="e">
        <f t="shared" ca="1" si="205"/>
        <v>#N/A</v>
      </c>
      <c r="AE662" s="83" t="e">
        <f ca="1"/>
        <v>#N/A</v>
      </c>
      <c r="AF662" s="55" t="e">
        <f t="shared" ca="1" si="206"/>
        <v>#N/A</v>
      </c>
      <c r="AG662" s="55" t="e">
        <f t="shared" ca="1" si="207"/>
        <v>#N/A</v>
      </c>
      <c r="AH662" s="55" t="e">
        <f t="shared" ca="1" si="208"/>
        <v>#N/A</v>
      </c>
      <c r="AI662" s="55" t="e">
        <f t="shared" ca="1" si="209"/>
        <v>#N/A</v>
      </c>
      <c r="AJ662" s="55" t="e">
        <f t="shared" ca="1" si="196"/>
        <v>#N/A</v>
      </c>
      <c r="AK662" s="55" t="e">
        <f t="shared" ca="1" si="197"/>
        <v>#N/A</v>
      </c>
      <c r="AL662" s="55" t="e">
        <f t="shared" ca="1" si="198"/>
        <v>#N/A</v>
      </c>
      <c r="AM662" s="55"/>
    </row>
  </sheetData>
  <sheetProtection selectLockedCells="1"/>
  <mergeCells count="13">
    <mergeCell ref="C47:H47"/>
    <mergeCell ref="C17:H17"/>
    <mergeCell ref="C3:H3"/>
    <mergeCell ref="C69:H69"/>
    <mergeCell ref="C58:H58"/>
    <mergeCell ref="C28:D28"/>
    <mergeCell ref="C37:D37"/>
    <mergeCell ref="F28:G28"/>
    <mergeCell ref="AA15:AD15"/>
    <mergeCell ref="AE15:AI15"/>
    <mergeCell ref="R15:V15"/>
    <mergeCell ref="D1:H1"/>
    <mergeCell ref="D2:H2"/>
  </mergeCells>
  <conditionalFormatting sqref="H30:H44">
    <cfRule type="containsText" dxfId="23" priority="48" operator="containsText" text="Suggested">
      <formula>NOT(ISERROR(SEARCH("Suggested",H30)))</formula>
    </cfRule>
  </conditionalFormatting>
  <conditionalFormatting sqref="F30:G30">
    <cfRule type="expression" dxfId="22" priority="54">
      <formula>$B$30=1</formula>
    </cfRule>
  </conditionalFormatting>
  <conditionalFormatting sqref="F31:G31">
    <cfRule type="expression" dxfId="21" priority="61">
      <formula>$B$31=1</formula>
    </cfRule>
  </conditionalFormatting>
  <conditionalFormatting sqref="F32:G32">
    <cfRule type="expression" dxfId="20" priority="63">
      <formula>$B$32=1</formula>
    </cfRule>
  </conditionalFormatting>
  <conditionalFormatting sqref="F33:G33">
    <cfRule type="expression" dxfId="19" priority="65">
      <formula>$B$33=1</formula>
    </cfRule>
  </conditionalFormatting>
  <conditionalFormatting sqref="F34:G34">
    <cfRule type="expression" dxfId="18" priority="67">
      <formula>$B$34=1</formula>
    </cfRule>
  </conditionalFormatting>
  <conditionalFormatting sqref="F35:G35">
    <cfRule type="expression" dxfId="17" priority="69">
      <formula>$B$35=1</formula>
    </cfRule>
  </conditionalFormatting>
  <conditionalFormatting sqref="F36:G36">
    <cfRule type="expression" dxfId="16" priority="71">
      <formula>$B$36=1</formula>
    </cfRule>
  </conditionalFormatting>
  <conditionalFormatting sqref="F37">
    <cfRule type="expression" dxfId="15" priority="73">
      <formula>$B$37=1</formula>
    </cfRule>
  </conditionalFormatting>
  <conditionalFormatting sqref="F38:G38">
    <cfRule type="expression" dxfId="14" priority="75">
      <formula>$B$38=1</formula>
    </cfRule>
  </conditionalFormatting>
  <conditionalFormatting sqref="F39:G39">
    <cfRule type="expression" dxfId="13" priority="77">
      <formula>$B$39=1</formula>
    </cfRule>
  </conditionalFormatting>
  <conditionalFormatting sqref="F22:H24 C22:E23 C17:H21 D24 C31:H46 D30:H30 C25:H29">
    <cfRule type="expression" dxfId="12" priority="8">
      <formula>$B$1=1</formula>
    </cfRule>
  </conditionalFormatting>
  <conditionalFormatting sqref="C56:E57 F55:H56 C69:H72 C65:E68 F66:H67 F8:H15 C58:H64 C54:H54 C53:D53 F53:H53 C47:H52 C55 E55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3:E73">
    <cfRule type="expression" dxfId="9" priority="4">
      <formula>NOT($B$1=3)</formula>
    </cfRule>
  </conditionalFormatting>
  <conditionalFormatting sqref="C73">
    <cfRule type="expression" dxfId="8" priority="3">
      <formula>NOT($B$1=3)</formula>
    </cfRule>
  </conditionalFormatting>
  <conditionalFormatting sqref="G37">
    <cfRule type="expression" dxfId="7" priority="86">
      <formula>$B$37</formula>
    </cfRule>
  </conditionalFormatting>
  <conditionalFormatting sqref="F40:G40">
    <cfRule type="expression" dxfId="6" priority="89">
      <formula>$B$40=1</formula>
    </cfRule>
  </conditionalFormatting>
  <conditionalFormatting sqref="F41:G41">
    <cfRule type="expression" dxfId="5" priority="90">
      <formula>$B$41=1</formula>
    </cfRule>
  </conditionalFormatting>
  <conditionalFormatting sqref="F42:G42">
    <cfRule type="expression" dxfId="4" priority="91">
      <formula>$B$42=1</formula>
    </cfRule>
  </conditionalFormatting>
  <conditionalFormatting sqref="F43:G43">
    <cfRule type="expression" dxfId="3" priority="92">
      <formula>$B$43=1</formula>
    </cfRule>
  </conditionalFormatting>
  <conditionalFormatting sqref="F44:G44">
    <cfRule type="expression" dxfId="2" priority="93">
      <formula>$B$44=1</formula>
    </cfRule>
  </conditionalFormatting>
  <conditionalFormatting sqref="C24 E24">
    <cfRule type="expression" dxfId="1" priority="2">
      <formula>$B$1=1</formula>
    </cfRule>
  </conditionalFormatting>
  <conditionalFormatting sqref="D55">
    <cfRule type="expression" dxfId="0" priority="1">
      <formula>NOT($B$1=3)</formula>
    </cfRule>
  </conditionalFormatting>
  <dataValidations count="3">
    <dataValidation type="list" allowBlank="1" showInputMessage="1" showErrorMessage="1" sqref="E60:E61 E49:E50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9:C44 E52 E63:E64 C30:C35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7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E59 E48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H52 H63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H64 H10 H53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H66 H55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E67 E13 E56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H67 H56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zoomScale="105" workbookViewId="0">
      <selection activeCell="C4" sqref="C4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_xll.GetDailyNBalanceSummary(A6:B55,D17:E23,D8:E14)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278</v>
      </c>
    </row>
    <row r="2" spans="1:43">
      <c r="H2" t="s">
        <v>276</v>
      </c>
      <c r="I2">
        <f ca="1"/>
        <v>54</v>
      </c>
      <c r="J2">
        <f ca="1"/>
        <v>0</v>
      </c>
      <c r="K2">
        <f ca="1"/>
        <v>13</v>
      </c>
      <c r="L2">
        <f ca="1"/>
        <v>18</v>
      </c>
      <c r="M2">
        <f ca="1"/>
        <v>236</v>
      </c>
      <c r="N2">
        <f ca="1"/>
        <v>2</v>
      </c>
      <c r="O2">
        <f ca="1"/>
        <v>0</v>
      </c>
      <c r="P2">
        <f ca="1"/>
        <v>0</v>
      </c>
      <c r="Q2">
        <f ca="1">SUM(I2:O2)</f>
        <v>323</v>
      </c>
      <c r="R2">
        <f ca="1">Q2-Q3</f>
        <v>1</v>
      </c>
    </row>
    <row r="3" spans="1:43">
      <c r="H3" t="s">
        <v>277</v>
      </c>
      <c r="I3">
        <f ca="1"/>
        <v>28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29</v>
      </c>
      <c r="O3">
        <f ca="1"/>
        <v>265</v>
      </c>
      <c r="P3">
        <f ca="1"/>
        <v>0</v>
      </c>
      <c r="Q3">
        <f ca="1">SUM(I3:P3)</f>
        <v>322</v>
      </c>
    </row>
    <row r="4" spans="1:43" ht="15.75" thickBot="1"/>
    <row r="5" spans="1:43" ht="27" thickBot="1">
      <c r="A5" s="140" t="s">
        <v>110</v>
      </c>
      <c r="B5" s="141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_xll.GetDailyNBalanceSummary(A6:B55,D17:E23,D8:E14)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lincoln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54</v>
      </c>
      <c r="AH6">
        <f ca="1"/>
        <v>0</v>
      </c>
      <c r="AI6">
        <f ca="1"/>
        <v>13</v>
      </c>
      <c r="AJ6">
        <f ca="1"/>
        <v>18</v>
      </c>
      <c r="AK6">
        <f ca="1"/>
        <v>236</v>
      </c>
      <c r="AL6">
        <f ca="1"/>
        <v>2</v>
      </c>
      <c r="AM6">
        <f ca="1"/>
        <v>0</v>
      </c>
      <c r="AN6">
        <f ca="1"/>
        <v>0</v>
      </c>
      <c r="AO6">
        <f ca="1"/>
        <v>322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ConceptDemo!C28</f>
        <v>Fertiliser already applied or planned</v>
      </c>
      <c r="E7" s="40"/>
      <c r="I7" s="12" t="s">
        <v>0</v>
      </c>
      <c r="J7" s="28">
        <f ca="1">B26+1</f>
        <v>45195</v>
      </c>
      <c r="K7" s="3">
        <v>50</v>
      </c>
      <c r="L7" s="3"/>
      <c r="M7" s="3">
        <f ca="1">SUMIF($I$12:$I$1005,TRUE,M12:M1005)</f>
        <v>14.44598359958721</v>
      </c>
      <c r="N7" s="3">
        <f ca="1">SUMIF($I$12:$I$1005,TRUE,N12:N1005)</f>
        <v>19.835667527622412</v>
      </c>
      <c r="O7" s="3">
        <f ca="1">SUMIF($I$12:$I$1005,TRUE,O12:O1005)</f>
        <v>235.55793708965507</v>
      </c>
      <c r="P7" s="3">
        <f ca="1">VLOOKUP(B37,ModelOutputs,P9,FALSE)-Q7</f>
        <v>0.20354955461300328</v>
      </c>
      <c r="Q7">
        <f ca="1">VLOOKUP(B37,ModelOutputs,Q9,FALSE)</f>
        <v>1.8520772661490867</v>
      </c>
      <c r="R7" s="13"/>
      <c r="W7" s="3">
        <f ca="1">MAX(0,X8-X7)</f>
        <v>1.1368683772161603E-13</v>
      </c>
      <c r="X7" s="3">
        <f ca="1">SUM(K7:R7)</f>
        <v>321.89521503762677</v>
      </c>
      <c r="AA7" s="3"/>
      <c r="AG7">
        <f ca="1"/>
        <v>28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29</v>
      </c>
      <c r="AM7">
        <f ca="1"/>
        <v>265</v>
      </c>
      <c r="AN7">
        <f ca="1"/>
        <v>0</v>
      </c>
      <c r="AO7">
        <f ca="1"/>
        <v>322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ConceptDemo!C29</f>
        <v>Date</v>
      </c>
      <c r="E8" s="20" t="str">
        <f>ConceptDemo!D29</f>
        <v>Amount</v>
      </c>
      <c r="I8" s="14" t="s">
        <v>12</v>
      </c>
      <c r="J8" s="29">
        <f>B39</f>
        <v>45355</v>
      </c>
      <c r="K8" s="24">
        <f ca="1">VLOOKUP(J8,ModelOutputs,2,FALSE)</f>
        <v>28.21478025501824</v>
      </c>
      <c r="L8" s="27"/>
      <c r="M8" s="25"/>
      <c r="N8" s="25"/>
      <c r="O8" s="25"/>
      <c r="P8" s="24">
        <f ca="1">(VLOOKUP($J$8,ModelOutputs,P9,FALSE)-VLOOKUP($J$7+1,ModelOutputs,P9,FALSE))-Q8</f>
        <v>29.080434782608734</v>
      </c>
      <c r="Q8" s="26">
        <f ca="1">VLOOKUP($J$8,ModelOutputs,Q9,FALSE)-VLOOKUP($J$7+1,ModelOutputs,Q9,FALSE)</f>
        <v>264.59999999999991</v>
      </c>
      <c r="R8" s="27">
        <f ca="1">SUMIF($I$12:$I$1005,TRUE,R12:R1005)</f>
        <v>0</v>
      </c>
      <c r="S8" s="3"/>
      <c r="T8" s="3"/>
      <c r="U8" s="3"/>
      <c r="V8" s="3"/>
      <c r="W8" s="3">
        <f ca="1">MAX(0,X7-X8)</f>
        <v>0</v>
      </c>
      <c r="X8" s="3">
        <f ca="1">SUM(K8:R8)</f>
        <v>321.89521503762688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IF(ConceptDemo!C30="","",ConceptDemo!C30)</f>
        <v/>
      </c>
      <c r="E9" s="38">
        <f>IF(ConceptDemo!D30="","",ConceptDemo!D30)</f>
        <v>80</v>
      </c>
      <c r="L9">
        <f ca="1">SUMIF(H11:H1004,FALSE,L11:L1004)</f>
        <v>351.15432184205315</v>
      </c>
      <c r="M9">
        <f ca="1">SUMIF(H11:H1004,TRUE,M11:M1004)</f>
        <v>14.408663205547615</v>
      </c>
      <c r="P9">
        <v>7</v>
      </c>
      <c r="Q9">
        <v>8</v>
      </c>
      <c r="W9" s="3"/>
      <c r="AA9" s="3"/>
      <c r="AG9" t="e" cm="1">
        <f t="array" aca="1" ref="AG9" ca="1">_xll.GetDailyNBalanceSummary(A10:B59,D21:E27,D12:E18)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IF(ConceptDemo!C31="","",ConceptDemo!C31)</f>
        <v/>
      </c>
      <c r="E10" s="17" t="str">
        <f>IF(ConceptDemo!D31="","",ConceptDemo!D31)</f>
        <v/>
      </c>
      <c r="H10" t="s">
        <v>172</v>
      </c>
      <c r="I10" t="s">
        <v>108</v>
      </c>
      <c r="J10" t="str">
        <f t="array" aca="1" ref="J10:V1004" ca="1">_xll.GetDailyNBalance(A6:B55,D17:E23,D8:E14)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_xll.GetDailyNBalanceSummary(A11:B60,D22:E28,D13:E19)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4</v>
      </c>
      <c r="D11" s="18" t="str">
        <f>IF(ConceptDemo!C32="","",ConceptDemo!C32)</f>
        <v/>
      </c>
      <c r="E11" s="17" t="str">
        <f>IF(ConceptDemo!D32="","",ConceptDemo!D32)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45194</v>
      </c>
      <c r="K11">
        <f ca="1"/>
        <v>0</v>
      </c>
      <c r="L11">
        <f ca="1"/>
        <v>2.6822676512949926</v>
      </c>
      <c r="M11">
        <f ca="1"/>
        <v>0</v>
      </c>
      <c r="N11" s="4">
        <f ca="1"/>
        <v>0.15994465864049956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45194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_xll.GetDailyNBalanceSummary(A12:B61,D23:E29,D14:E20)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IF(ConceptDemo!C33="","",ConceptDemo!C33)</f>
        <v/>
      </c>
      <c r="E12" s="17" t="str">
        <f>IF(ConceptDemo!D33="","",ConceptDemo!D33)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45195</v>
      </c>
      <c r="K12">
        <f ca="1"/>
        <v>50.152309456947577</v>
      </c>
      <c r="L12">
        <f ca="1"/>
        <v>0</v>
      </c>
      <c r="M12">
        <f ca="1"/>
        <v>-1.6914463195841903E-2</v>
      </c>
      <c r="N12" s="4">
        <f ca="1"/>
        <v>0.16922392014341767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0.88214492753623186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45195</v>
      </c>
      <c r="Y12">
        <f t="shared" ca="1" si="2"/>
        <v>0</v>
      </c>
      <c r="Z12" s="3"/>
      <c r="AA12" s="63">
        <f ca="1">K11+M12+N12+O12</f>
        <v>0.15230945694757575</v>
      </c>
      <c r="AB12" s="63">
        <f ca="1">K12+L12+R12</f>
        <v>50.152309456947577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IF(ConceptDemo!C34="","",ConceptDemo!C34)</f>
        <v/>
      </c>
      <c r="E13" s="17" t="str">
        <f>IF(ConceptDemo!D34="","",ConceptDemo!D34)</f>
        <v/>
      </c>
      <c r="H13" t="b">
        <f t="shared" ca="1" si="3"/>
        <v>1</v>
      </c>
      <c r="I13" t="b">
        <f t="shared" ca="1" si="0"/>
        <v>1</v>
      </c>
      <c r="J13" s="2">
        <f ca="1"/>
        <v>45196</v>
      </c>
      <c r="K13">
        <f ca="1"/>
        <v>50.323908076557942</v>
      </c>
      <c r="L13">
        <f ca="1"/>
        <v>0</v>
      </c>
      <c r="M13">
        <f ca="1"/>
        <v>6.1166600793988585E-3</v>
      </c>
      <c r="N13" s="4">
        <f ca="1"/>
        <v>0.16548195953096362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0.84878665826507038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45196</v>
      </c>
      <c r="Y13">
        <f t="shared" ca="1" si="2"/>
        <v>0</v>
      </c>
      <c r="AA13" s="63">
        <f t="shared" ref="AA13:AA76" ca="1" si="4">K12+M13+N13+O13</f>
        <v>50.323908076557942</v>
      </c>
      <c r="AB13" s="63">
        <f t="shared" ref="AB13:AB76" ca="1" si="5">K13+L13+R13</f>
        <v>50.323908076557942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IF(ConceptDemo!C35="","",ConceptDemo!C35)</f>
        <v/>
      </c>
      <c r="E14" s="20" t="str">
        <f>IF(ConceptDemo!D35="","",ConceptDemo!D35)</f>
        <v/>
      </c>
      <c r="H14" t="b">
        <f t="shared" ca="1" si="3"/>
        <v>1</v>
      </c>
      <c r="I14" t="b">
        <f t="shared" ca="1" si="0"/>
        <v>1</v>
      </c>
      <c r="J14" s="2">
        <f ca="1"/>
        <v>45197</v>
      </c>
      <c r="K14">
        <f ca="1"/>
        <v>50.513034740050728</v>
      </c>
      <c r="L14">
        <f ca="1"/>
        <v>0</v>
      </c>
      <c r="M14">
        <f ca="1"/>
        <v>2.7129666316913659E-2</v>
      </c>
      <c r="N14" s="4">
        <f ca="1"/>
        <v>0.16199699717587243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0.8511278605529834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45197</v>
      </c>
      <c r="Y14">
        <f t="shared" ca="1" si="2"/>
        <v>0</v>
      </c>
      <c r="AA14" s="63">
        <f t="shared" ca="1" si="4"/>
        <v>50.513034740050728</v>
      </c>
      <c r="AB14" s="63">
        <f t="shared" ca="1" si="5"/>
        <v>50.513034740050728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45198</v>
      </c>
      <c r="K15">
        <f ca="1"/>
        <v>50.717920094141746</v>
      </c>
      <c r="L15">
        <f ca="1"/>
        <v>0</v>
      </c>
      <c r="M15">
        <f ca="1"/>
        <v>4.5953293139018553E-2</v>
      </c>
      <c r="N15" s="4">
        <f ca="1"/>
        <v>0.1589320609519963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0.84617286257813584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45198</v>
      </c>
      <c r="Y15">
        <f t="shared" ca="1" si="2"/>
        <v>0</v>
      </c>
      <c r="AA15" s="63">
        <f t="shared" ca="1" si="4"/>
        <v>50.717920094141746</v>
      </c>
      <c r="AB15" s="63">
        <f t="shared" ca="1" si="5"/>
        <v>50.717920094141746</v>
      </c>
      <c r="AC15" s="3">
        <f t="shared" ca="1" si="6"/>
        <v>0</v>
      </c>
    </row>
    <row r="16" spans="1:43" ht="15.75" thickBot="1">
      <c r="A16" s="12" t="s">
        <v>286</v>
      </c>
      <c r="B16" s="36" t="str">
        <f>FinalFertDate</f>
        <v/>
      </c>
      <c r="D16" s="138" t="str">
        <f>ConceptDemo!C37</f>
        <v>Soil Mineral N Test Results</v>
      </c>
      <c r="E16" s="139"/>
      <c r="H16" t="b">
        <f t="shared" ca="1" si="3"/>
        <v>1</v>
      </c>
      <c r="I16" t="b">
        <f t="shared" ca="1" si="0"/>
        <v>1</v>
      </c>
      <c r="J16" s="2">
        <f ca="1"/>
        <v>45199</v>
      </c>
      <c r="K16">
        <f ca="1"/>
        <v>50.957257841689795</v>
      </c>
      <c r="L16">
        <f ca="1"/>
        <v>0</v>
      </c>
      <c r="M16">
        <f ca="1"/>
        <v>6.9632448416736881E-2</v>
      </c>
      <c r="N16" s="4">
        <f ca="1"/>
        <v>0.16970529913131649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0.80928229067391211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45199</v>
      </c>
      <c r="Y16">
        <f t="shared" ca="1" si="2"/>
        <v>0</v>
      </c>
      <c r="AA16" s="63">
        <f t="shared" ca="1" si="4"/>
        <v>50.957257841689795</v>
      </c>
      <c r="AB16" s="63">
        <f t="shared" ca="1" si="5"/>
        <v>50.957257841689795</v>
      </c>
      <c r="AC16" s="3">
        <f t="shared" ca="1" si="6"/>
        <v>0</v>
      </c>
    </row>
    <row r="17" spans="1:29" ht="15.75" thickBot="1">
      <c r="A17" s="5" t="s">
        <v>139</v>
      </c>
      <c r="B17" s="31" t="str">
        <f>PriorCropNameFull</f>
        <v>Annual ryegrass Green manure General</v>
      </c>
      <c r="D17" s="19" t="str">
        <f>ConceptDemo!C38</f>
        <v>Date</v>
      </c>
      <c r="E17" s="20" t="str">
        <f>ConceptDemo!D38</f>
        <v>Value</v>
      </c>
      <c r="H17" t="b">
        <f t="shared" ca="1" si="3"/>
        <v>1</v>
      </c>
      <c r="I17" t="b">
        <f t="shared" ca="1" si="0"/>
        <v>1</v>
      </c>
      <c r="J17" s="2">
        <f ca="1"/>
        <v>45200</v>
      </c>
      <c r="K17">
        <f ca="1"/>
        <v>51.208670976479148</v>
      </c>
      <c r="L17">
        <f ca="1"/>
        <v>0</v>
      </c>
      <c r="M17">
        <f ca="1"/>
        <v>8.8755895158570131E-2</v>
      </c>
      <c r="N17" s="4">
        <f ca="1"/>
        <v>0.16265723963078138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0.7739182801560609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45200</v>
      </c>
      <c r="Y17">
        <f t="shared" ca="1" si="2"/>
        <v>0</v>
      </c>
      <c r="AA17" s="63">
        <f t="shared" ca="1" si="4"/>
        <v>51.208670976479148</v>
      </c>
      <c r="AB17" s="63">
        <f t="shared" ca="1" si="5"/>
        <v>51.208670976479148</v>
      </c>
      <c r="AC17" s="3">
        <f t="shared" ca="1" si="6"/>
        <v>0</v>
      </c>
    </row>
    <row r="18" spans="1:29">
      <c r="A18" s="6" t="s">
        <v>235</v>
      </c>
      <c r="B18" s="32">
        <f>PriorYield</f>
        <v>3</v>
      </c>
      <c r="D18" s="18" t="str">
        <f>IF(ConceptDemo!C39="","",ConceptDemo!C39)</f>
        <v/>
      </c>
      <c r="E18" s="17" t="str">
        <f>IF(ConceptDemo!D39="","",ConceptDemo!D39)</f>
        <v/>
      </c>
      <c r="H18" t="b">
        <f t="shared" ca="1" si="3"/>
        <v>1</v>
      </c>
      <c r="I18" t="b">
        <f t="shared" ca="1" si="0"/>
        <v>1</v>
      </c>
      <c r="J18" s="2">
        <f ca="1"/>
        <v>45201</v>
      </c>
      <c r="K18">
        <f ca="1"/>
        <v>51.478835424964068</v>
      </c>
      <c r="L18">
        <f ca="1"/>
        <v>0</v>
      </c>
      <c r="M18">
        <f ca="1"/>
        <v>0.10844855231268735</v>
      </c>
      <c r="N18" s="4">
        <f ca="1"/>
        <v>0.16171589617223234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0.74816754800919516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45201</v>
      </c>
      <c r="Y18">
        <f t="shared" ca="1" si="2"/>
        <v>0</v>
      </c>
      <c r="AA18" s="63">
        <f t="shared" ca="1" si="4"/>
        <v>51.478835424964068</v>
      </c>
      <c r="AB18" s="63">
        <f t="shared" ca="1" si="5"/>
        <v>51.478835424964068</v>
      </c>
      <c r="AC18" s="3">
        <f t="shared" ca="1" si="6"/>
        <v>0</v>
      </c>
    </row>
    <row r="19" spans="1:29">
      <c r="A19" s="6" t="s">
        <v>228</v>
      </c>
      <c r="B19" s="32">
        <f>PriorPopulation</f>
        <v>1</v>
      </c>
      <c r="D19" s="18" t="str">
        <f>IF(ConceptDemo!C40="","",ConceptDemo!C40)</f>
        <v/>
      </c>
      <c r="E19" s="17" t="str">
        <f>IF(ConceptDemo!D40="","",ConceptDemo!D40)</f>
        <v/>
      </c>
      <c r="H19" t="b">
        <f t="shared" ca="1" si="3"/>
        <v>1</v>
      </c>
      <c r="I19" t="b">
        <f t="shared" ca="1" si="0"/>
        <v>1</v>
      </c>
      <c r="J19" s="2">
        <f ca="1"/>
        <v>45202</v>
      </c>
      <c r="K19">
        <f ca="1"/>
        <v>51.749249113953773</v>
      </c>
      <c r="L19">
        <f ca="1"/>
        <v>0</v>
      </c>
      <c r="M19">
        <f ca="1"/>
        <v>0.11820836115435346</v>
      </c>
      <c r="N19" s="4">
        <f ca="1"/>
        <v>0.15220532783535709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0.75506625007484507</v>
      </c>
      <c r="T19">
        <f ca="1"/>
        <v>0</v>
      </c>
      <c r="U19">
        <f ca="1"/>
        <v>0</v>
      </c>
      <c r="V19">
        <f ca="1"/>
        <v>0</v>
      </c>
      <c r="X19" s="2">
        <f t="shared" ca="1" si="1"/>
        <v>45202</v>
      </c>
      <c r="Y19">
        <f t="shared" ca="1" si="2"/>
        <v>0</v>
      </c>
      <c r="AA19" s="63">
        <f t="shared" ca="1" si="4"/>
        <v>51.749249113953773</v>
      </c>
      <c r="AB19" s="63">
        <f t="shared" ca="1" si="5"/>
        <v>51.749249113953773</v>
      </c>
      <c r="AC19" s="3">
        <f t="shared" ca="1" si="6"/>
        <v>0</v>
      </c>
    </row>
    <row r="20" spans="1:29">
      <c r="A20" s="6" t="s">
        <v>229</v>
      </c>
      <c r="B20" s="32" t="str">
        <f>PriorUnits</f>
        <v>t/ha</v>
      </c>
      <c r="D20" s="18" t="str">
        <f>IF(ConceptDemo!C41="","",ConceptDemo!C41)</f>
        <v/>
      </c>
      <c r="E20" s="17" t="str">
        <f>IF(ConceptDemo!D41="","",ConceptDemo!D41)</f>
        <v/>
      </c>
      <c r="H20" t="b">
        <f t="shared" ca="1" si="3"/>
        <v>1</v>
      </c>
      <c r="I20" t="b">
        <f t="shared" ca="1" si="0"/>
        <v>1</v>
      </c>
      <c r="J20" s="2">
        <f ca="1"/>
        <v>45203</v>
      </c>
      <c r="K20">
        <f ca="1"/>
        <v>52.028932297833407</v>
      </c>
      <c r="L20">
        <f ca="1"/>
        <v>0</v>
      </c>
      <c r="M20">
        <f ca="1"/>
        <v>0.12908912678518669</v>
      </c>
      <c r="N20" s="4">
        <f ca="1"/>
        <v>0.15059405709444268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0.76666197797020674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45203</v>
      </c>
      <c r="Y20">
        <f t="shared" ca="1" si="2"/>
        <v>0</v>
      </c>
      <c r="AA20" s="63">
        <f t="shared" ca="1" si="4"/>
        <v>52.028932297833407</v>
      </c>
      <c r="AB20" s="63">
        <f t="shared" ca="1" si="5"/>
        <v>52.028932297833407</v>
      </c>
      <c r="AC20" s="3">
        <f t="shared" ca="1" si="6"/>
        <v>0</v>
      </c>
    </row>
    <row r="21" spans="1:29">
      <c r="A21" s="6" t="s">
        <v>112</v>
      </c>
      <c r="B21" s="32">
        <f>PriorFieldLoss</f>
        <v>0</v>
      </c>
      <c r="D21" s="18" t="str">
        <f>IF(ConceptDemo!C42="","",ConceptDemo!C42)</f>
        <v/>
      </c>
      <c r="E21" s="17" t="str">
        <f>IF(ConceptDemo!D42="","",ConceptDemo!D42)</f>
        <v/>
      </c>
      <c r="H21" t="b">
        <f t="shared" ca="1" si="3"/>
        <v>1</v>
      </c>
      <c r="I21" t="b">
        <f t="shared" ca="1" si="0"/>
        <v>1</v>
      </c>
      <c r="J21" s="2">
        <f ca="1"/>
        <v>45204</v>
      </c>
      <c r="K21">
        <f ca="1"/>
        <v>52.315362844503213</v>
      </c>
      <c r="L21">
        <f ca="1"/>
        <v>0</v>
      </c>
      <c r="M21">
        <f ca="1"/>
        <v>0.14004154613601427</v>
      </c>
      <c r="N21" s="4">
        <f ca="1"/>
        <v>0.14638900053379186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0.75099071006383999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45204</v>
      </c>
      <c r="Y21">
        <f t="shared" ca="1" si="2"/>
        <v>0</v>
      </c>
      <c r="AA21" s="63">
        <f t="shared" ca="1" si="4"/>
        <v>52.315362844503213</v>
      </c>
      <c r="AB21" s="63">
        <f t="shared" ca="1" si="5"/>
        <v>52.315362844503213</v>
      </c>
      <c r="AC21" s="3">
        <f t="shared" ca="1" si="6"/>
        <v>0</v>
      </c>
    </row>
    <row r="22" spans="1:29">
      <c r="A22" s="6" t="s">
        <v>113</v>
      </c>
      <c r="B22" s="32">
        <f>PriorDressingLoss</f>
        <v>0</v>
      </c>
      <c r="D22" s="18" t="str">
        <f>IF(ConceptDemo!C43="","",ConceptDemo!C43)</f>
        <v/>
      </c>
      <c r="E22" s="17" t="str">
        <f>IF(ConceptDemo!D43="","",ConceptDemo!D43)</f>
        <v/>
      </c>
      <c r="H22" t="b">
        <f t="shared" ca="1" si="3"/>
        <v>1</v>
      </c>
      <c r="I22" t="b">
        <f t="shared" ca="1" si="0"/>
        <v>1</v>
      </c>
      <c r="J22" s="2">
        <f ca="1"/>
        <v>45205</v>
      </c>
      <c r="K22">
        <f ca="1"/>
        <v>52.622211674988392</v>
      </c>
      <c r="L22">
        <f ca="1"/>
        <v>0</v>
      </c>
      <c r="M22">
        <f ca="1"/>
        <v>0.1569715610493202</v>
      </c>
      <c r="N22" s="4">
        <f ca="1"/>
        <v>0.14987726943586185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0.72681174484621991</v>
      </c>
      <c r="T22">
        <f ca="1"/>
        <v>0</v>
      </c>
      <c r="U22">
        <f ca="1"/>
        <v>0</v>
      </c>
      <c r="V22">
        <f ca="1"/>
        <v>0</v>
      </c>
      <c r="X22" s="2">
        <f t="shared" ca="1" si="1"/>
        <v>45205</v>
      </c>
      <c r="Y22">
        <f t="shared" ca="1" si="2"/>
        <v>0</v>
      </c>
      <c r="AA22" s="63">
        <f t="shared" ca="1" si="4"/>
        <v>52.622211674988392</v>
      </c>
      <c r="AB22" s="63">
        <f t="shared" ca="1" si="5"/>
        <v>52.622211674988392</v>
      </c>
      <c r="AC22" s="3">
        <f t="shared" ca="1" si="6"/>
        <v>0</v>
      </c>
    </row>
    <row r="23" spans="1:29" ht="15.75" thickBot="1">
      <c r="A23" s="6" t="s">
        <v>114</v>
      </c>
      <c r="B23" s="32">
        <f>PriorMoistureContent</f>
        <v>0</v>
      </c>
      <c r="D23" s="35" t="str">
        <f>IF(ConceptDemo!C44="","",ConceptDemo!C44)</f>
        <v/>
      </c>
      <c r="E23" s="20" t="str">
        <f>IF(ConceptDemo!D44="","",ConceptDemo!D44)</f>
        <v/>
      </c>
      <c r="H23" t="b">
        <f t="shared" ca="1" si="3"/>
        <v>1</v>
      </c>
      <c r="I23" t="b">
        <f t="shared" ca="1" si="0"/>
        <v>1</v>
      </c>
      <c r="J23" s="2">
        <f ca="1"/>
        <v>45206</v>
      </c>
      <c r="K23">
        <f ca="1"/>
        <v>52.937518805635754</v>
      </c>
      <c r="L23">
        <f ca="1"/>
        <v>0</v>
      </c>
      <c r="M23">
        <f ca="1"/>
        <v>0.16820387787573532</v>
      </c>
      <c r="N23" s="4">
        <f ca="1"/>
        <v>0.14710325277163067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0.70699289673434373</v>
      </c>
      <c r="T23">
        <f ca="1"/>
        <v>0</v>
      </c>
      <c r="U23">
        <f ca="1"/>
        <v>0</v>
      </c>
      <c r="V23">
        <f ca="1"/>
        <v>0</v>
      </c>
      <c r="X23" s="2">
        <f t="shared" ca="1" si="1"/>
        <v>45206</v>
      </c>
      <c r="Y23">
        <f t="shared" ca="1" si="2"/>
        <v>0</v>
      </c>
      <c r="AA23" s="63">
        <f t="shared" ca="1" si="4"/>
        <v>52.937518805635754</v>
      </c>
      <c r="AB23" s="63">
        <f t="shared" ca="1" si="5"/>
        <v>52.937518805635754</v>
      </c>
      <c r="AC23" s="3">
        <f t="shared" ca="1" si="6"/>
        <v>0</v>
      </c>
    </row>
    <row r="24" spans="1:29">
      <c r="A24" s="6" t="s">
        <v>115</v>
      </c>
      <c r="B24" s="34">
        <f ca="1">PriorEstablishDate</f>
        <v>45149</v>
      </c>
      <c r="H24" t="b">
        <f t="shared" ca="1" si="3"/>
        <v>1</v>
      </c>
      <c r="I24" t="b">
        <f t="shared" ca="1" si="0"/>
        <v>1</v>
      </c>
      <c r="J24" s="2">
        <f ca="1"/>
        <v>45207</v>
      </c>
      <c r="K24">
        <f ca="1"/>
        <v>53.248322847781878</v>
      </c>
      <c r="L24">
        <f ca="1"/>
        <v>0</v>
      </c>
      <c r="M24">
        <f ca="1"/>
        <v>0.16866071004372607</v>
      </c>
      <c r="N24" s="4">
        <f ca="1"/>
        <v>0.14214333210239824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0.73307306785065629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45207</v>
      </c>
      <c r="Y24">
        <f t="shared" ca="1" si="2"/>
        <v>0</v>
      </c>
      <c r="AA24" s="63">
        <f t="shared" ca="1" si="4"/>
        <v>53.248322847781878</v>
      </c>
      <c r="AB24" s="63">
        <f t="shared" ca="1" si="5"/>
        <v>53.248322847781878</v>
      </c>
      <c r="AC24" s="3">
        <f t="shared" ca="1" si="6"/>
        <v>0</v>
      </c>
    </row>
    <row r="25" spans="1:29">
      <c r="A25" s="6" t="s">
        <v>116</v>
      </c>
      <c r="B25" s="32" t="str">
        <f>PriorEstablishStage</f>
        <v>Seed</v>
      </c>
      <c r="H25" t="b">
        <f t="shared" ca="1" si="3"/>
        <v>1</v>
      </c>
      <c r="I25" t="b">
        <f t="shared" ca="1" si="0"/>
        <v>1</v>
      </c>
      <c r="J25" s="2">
        <f ca="1"/>
        <v>45208</v>
      </c>
      <c r="K25">
        <f ca="1"/>
        <v>53.560801611740317</v>
      </c>
      <c r="L25">
        <f ca="1"/>
        <v>0</v>
      </c>
      <c r="M25">
        <f ca="1"/>
        <v>0.17237663459870278</v>
      </c>
      <c r="N25" s="4">
        <f ca="1"/>
        <v>0.14010212935973232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0.74497768863198388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45208</v>
      </c>
      <c r="Y25">
        <f t="shared" ca="1" si="2"/>
        <v>0</v>
      </c>
      <c r="AA25" s="63">
        <f t="shared" ca="1" si="4"/>
        <v>53.560801611740317</v>
      </c>
      <c r="AB25" s="63">
        <f t="shared" ca="1" si="5"/>
        <v>53.560801611740317</v>
      </c>
      <c r="AC25" s="3">
        <f t="shared" ca="1" si="6"/>
        <v>0</v>
      </c>
    </row>
    <row r="26" spans="1:29">
      <c r="A26" s="6" t="s">
        <v>117</v>
      </c>
      <c r="B26" s="34">
        <f ca="1">PriorHarvestDate</f>
        <v>45194</v>
      </c>
      <c r="H26" t="b">
        <f t="shared" ca="1" si="3"/>
        <v>1</v>
      </c>
      <c r="I26" t="b">
        <f t="shared" ca="1" si="0"/>
        <v>1</v>
      </c>
      <c r="J26" s="2">
        <f ca="1"/>
        <v>45209</v>
      </c>
      <c r="K26">
        <f ca="1"/>
        <v>96.914543478260853</v>
      </c>
      <c r="L26">
        <f ca="1"/>
        <v>0</v>
      </c>
      <c r="M26">
        <f ca="1"/>
        <v>0.17794127396499571</v>
      </c>
      <c r="N26" s="4">
        <f ca="1"/>
        <v>0.14013528254282581</v>
      </c>
      <c r="O26">
        <f ca="1"/>
        <v>43.03566531001271</v>
      </c>
      <c r="P26">
        <f ca="1"/>
        <v>2.05562682076209</v>
      </c>
      <c r="Q26">
        <f ca="1"/>
        <v>1.8520772661490867</v>
      </c>
      <c r="R26">
        <f ca="1"/>
        <v>0</v>
      </c>
      <c r="S26">
        <f ca="1"/>
        <v>0.75036354426565322</v>
      </c>
      <c r="T26">
        <f ca="1"/>
        <v>0</v>
      </c>
      <c r="U26">
        <f ca="1"/>
        <v>0</v>
      </c>
      <c r="V26">
        <f ca="1"/>
        <v>7.6473483727455584E-3</v>
      </c>
      <c r="X26" s="2">
        <f t="shared" ca="1" si="1"/>
        <v>45209</v>
      </c>
      <c r="Y26">
        <f t="shared" ca="1" si="2"/>
        <v>43.03566531001271</v>
      </c>
      <c r="AA26" s="63">
        <f t="shared" ca="1" si="4"/>
        <v>96.914543478260853</v>
      </c>
      <c r="AB26" s="63">
        <f t="shared" ca="1" si="5"/>
        <v>96.914543478260853</v>
      </c>
      <c r="AC26" s="3">
        <f t="shared" ca="1" si="6"/>
        <v>0</v>
      </c>
    </row>
    <row r="27" spans="1:29">
      <c r="A27" s="6" t="s">
        <v>118</v>
      </c>
      <c r="B27" s="32" t="str">
        <f>PriorHarvestStage</f>
        <v>EarlyReproductive</v>
      </c>
      <c r="H27" t="b">
        <f t="shared" ca="1" si="3"/>
        <v>1</v>
      </c>
      <c r="I27" t="b">
        <f t="shared" ca="1" si="0"/>
        <v>1</v>
      </c>
      <c r="J27" s="2">
        <f ca="1"/>
        <v>45210</v>
      </c>
      <c r="K27">
        <f ca="1"/>
        <v>97.148665143485857</v>
      </c>
      <c r="L27">
        <f ca="1"/>
        <v>0.10647234259380323</v>
      </c>
      <c r="M27">
        <f ca="1"/>
        <v>0.19273886537926765</v>
      </c>
      <c r="N27" s="4">
        <f ca="1"/>
        <v>0.14785514243954412</v>
      </c>
      <c r="O27">
        <f ca="1"/>
        <v>0</v>
      </c>
      <c r="P27">
        <f ca="1"/>
        <v>2.1620991633558932</v>
      </c>
      <c r="Q27">
        <f ca="1"/>
        <v>1.9480066455480738</v>
      </c>
      <c r="R27">
        <f ca="1"/>
        <v>0</v>
      </c>
      <c r="S27">
        <f ca="1"/>
        <v>0.74031090289705781</v>
      </c>
      <c r="T27">
        <f ca="1"/>
        <v>0</v>
      </c>
      <c r="U27">
        <f ca="1"/>
        <v>0</v>
      </c>
      <c r="V27">
        <f ca="1"/>
        <v>8.8967897060881502E-3</v>
      </c>
      <c r="X27" s="2">
        <f t="shared" ca="1" si="1"/>
        <v>45210</v>
      </c>
      <c r="Y27">
        <f t="shared" ca="1" si="2"/>
        <v>0</v>
      </c>
      <c r="AA27" s="63">
        <f t="shared" ca="1" si="4"/>
        <v>97.255137486079661</v>
      </c>
      <c r="AB27" s="63">
        <f t="shared" ca="1" si="5"/>
        <v>97.255137486079661</v>
      </c>
      <c r="AC27" s="3">
        <f t="shared" ca="1" si="6"/>
        <v>0</v>
      </c>
    </row>
    <row r="28" spans="1:29">
      <c r="A28" s="6" t="s">
        <v>162</v>
      </c>
      <c r="B28" s="32" t="str">
        <f>PriorResidueRemoval</f>
        <v>None removed</v>
      </c>
      <c r="H28" t="b">
        <f t="shared" ca="1" si="3"/>
        <v>1</v>
      </c>
      <c r="I28" t="b">
        <f t="shared" ca="1" si="0"/>
        <v>1</v>
      </c>
      <c r="J28" s="2">
        <f ca="1"/>
        <v>45211</v>
      </c>
      <c r="K28">
        <f ca="1"/>
        <v>97.390773131811244</v>
      </c>
      <c r="L28">
        <f ca="1"/>
        <v>0.13723248918742437</v>
      </c>
      <c r="M28">
        <f ca="1"/>
        <v>0.21654346680495196</v>
      </c>
      <c r="N28" s="4">
        <f ca="1"/>
        <v>0.16279701070785721</v>
      </c>
      <c r="O28">
        <f ca="1"/>
        <v>0</v>
      </c>
      <c r="P28">
        <f ca="1"/>
        <v>2.2993316525433176</v>
      </c>
      <c r="Q28">
        <f ca="1"/>
        <v>2.0716502810727611</v>
      </c>
      <c r="R28">
        <f ca="1"/>
        <v>0</v>
      </c>
      <c r="S28">
        <f ca="1"/>
        <v>0.72385071470338969</v>
      </c>
      <c r="T28">
        <f ca="1"/>
        <v>0</v>
      </c>
      <c r="U28">
        <f ca="1"/>
        <v>0</v>
      </c>
      <c r="V28">
        <f ca="1"/>
        <v>1.0696343599873327E-2</v>
      </c>
      <c r="X28" s="2">
        <f t="shared" ca="1" si="1"/>
        <v>45211</v>
      </c>
      <c r="Y28">
        <f t="shared" ca="1" si="2"/>
        <v>0</v>
      </c>
      <c r="AA28" s="63">
        <f t="shared" ca="1" si="4"/>
        <v>97.52800562099867</v>
      </c>
      <c r="AB28" s="63">
        <f t="shared" ca="1" si="5"/>
        <v>97.52800562099867</v>
      </c>
      <c r="AC28" s="3">
        <f t="shared" ca="1" si="6"/>
        <v>0</v>
      </c>
    </row>
    <row r="29" spans="1:29" ht="15.75" thickBot="1">
      <c r="A29" s="6" t="s">
        <v>165</v>
      </c>
      <c r="B29" s="95" t="str">
        <f>PriorResidueIncorporation</f>
        <v>Full (Plough)</v>
      </c>
      <c r="H29" t="b">
        <f t="shared" ca="1" si="3"/>
        <v>1</v>
      </c>
      <c r="I29" t="b">
        <f t="shared" ca="1" si="0"/>
        <v>1</v>
      </c>
      <c r="J29" s="2">
        <f ca="1"/>
        <v>45212</v>
      </c>
      <c r="K29">
        <f ca="1"/>
        <v>97.626492264215003</v>
      </c>
      <c r="L29">
        <f ca="1"/>
        <v>0.13388710891433542</v>
      </c>
      <c r="M29">
        <f ca="1"/>
        <v>0.21357758321013898</v>
      </c>
      <c r="N29" s="4">
        <f ca="1"/>
        <v>0.15602865810795058</v>
      </c>
      <c r="O29">
        <f ca="1"/>
        <v>0</v>
      </c>
      <c r="P29">
        <f ca="1"/>
        <v>2.433218761457653</v>
      </c>
      <c r="Q29">
        <f ca="1"/>
        <v>2.192279798135949</v>
      </c>
      <c r="R29">
        <f ca="1"/>
        <v>0</v>
      </c>
      <c r="S29">
        <f ca="1"/>
        <v>0.73092164840914398</v>
      </c>
      <c r="T29">
        <f ca="1"/>
        <v>0</v>
      </c>
      <c r="U29">
        <f ca="1"/>
        <v>0</v>
      </c>
      <c r="V29">
        <f ca="1"/>
        <v>1.2667945143880427E-2</v>
      </c>
      <c r="X29" s="2">
        <f t="shared" ca="1" si="1"/>
        <v>45212</v>
      </c>
      <c r="Y29">
        <f t="shared" ca="1" si="2"/>
        <v>0</v>
      </c>
      <c r="AA29" s="63">
        <f t="shared" ca="1" si="4"/>
        <v>97.760379373129339</v>
      </c>
      <c r="AB29" s="63">
        <f t="shared" ca="1" si="5"/>
        <v>97.760379373129339</v>
      </c>
      <c r="AC29" s="3">
        <f t="shared" ca="1" si="6"/>
        <v>0</v>
      </c>
    </row>
    <row r="30" spans="1:29" ht="15.75" thickBot="1">
      <c r="A30" s="8" t="s">
        <v>140</v>
      </c>
      <c r="B30" s="11" t="str">
        <f>CurrentCropNameFull</f>
        <v>GroundStore Potato Long (Group3)</v>
      </c>
      <c r="H30" t="b">
        <f t="shared" ca="1" si="3"/>
        <v>1</v>
      </c>
      <c r="I30" t="b">
        <f t="shared" ca="1" si="0"/>
        <v>1</v>
      </c>
      <c r="J30" s="2">
        <f ca="1"/>
        <v>45213</v>
      </c>
      <c r="K30">
        <f ca="1"/>
        <v>97.854030223291645</v>
      </c>
      <c r="L30">
        <f ca="1"/>
        <v>0.13349928391737897</v>
      </c>
      <c r="M30">
        <f ca="1"/>
        <v>0.21255598392020714</v>
      </c>
      <c r="N30" s="4">
        <f ca="1"/>
        <v>0.14848125907380269</v>
      </c>
      <c r="O30">
        <f ca="1"/>
        <v>0</v>
      </c>
      <c r="P30">
        <f ca="1"/>
        <v>2.566718045375032</v>
      </c>
      <c r="Q30">
        <f ca="1"/>
        <v>2.3125598928950231</v>
      </c>
      <c r="R30">
        <f ca="1"/>
        <v>0</v>
      </c>
      <c r="S30">
        <f ca="1"/>
        <v>0.71902293489898628</v>
      </c>
      <c r="T30">
        <f ca="1"/>
        <v>0</v>
      </c>
      <c r="U30">
        <f ca="1"/>
        <v>0</v>
      </c>
      <c r="V30">
        <f ca="1"/>
        <v>1.4856974449335873E-2</v>
      </c>
      <c r="X30" s="2">
        <f t="shared" ca="1" si="1"/>
        <v>45213</v>
      </c>
      <c r="Y30">
        <f t="shared" ca="1" si="2"/>
        <v>0</v>
      </c>
      <c r="AA30" s="63">
        <f t="shared" ca="1" si="4"/>
        <v>97.987529507209018</v>
      </c>
      <c r="AB30" s="63">
        <f t="shared" ca="1" si="5"/>
        <v>97.987529507209018</v>
      </c>
      <c r="AC30" s="3">
        <f t="shared" ca="1" si="6"/>
        <v>0</v>
      </c>
    </row>
    <row r="31" spans="1:29">
      <c r="A31" s="9" t="s">
        <v>236</v>
      </c>
      <c r="B31" s="11">
        <f>CurrentYield</f>
        <v>70</v>
      </c>
      <c r="H31" t="b">
        <f t="shared" ca="1" si="3"/>
        <v>1</v>
      </c>
      <c r="I31" t="b">
        <f t="shared" ca="1" si="0"/>
        <v>1</v>
      </c>
      <c r="J31" s="2">
        <f ca="1"/>
        <v>45214</v>
      </c>
      <c r="K31">
        <f ca="1"/>
        <v>98.072674269370467</v>
      </c>
      <c r="L31">
        <f ca="1"/>
        <v>0.13435630067338211</v>
      </c>
      <c r="M31">
        <f ca="1"/>
        <v>0.21204280770943518</v>
      </c>
      <c r="N31" s="4">
        <f ca="1"/>
        <v>0.14095753904277397</v>
      </c>
      <c r="O31">
        <f ca="1"/>
        <v>0</v>
      </c>
      <c r="P31">
        <f ca="1"/>
        <v>2.7010743460484141</v>
      </c>
      <c r="Q31">
        <f ca="1"/>
        <v>2.433612142032739</v>
      </c>
      <c r="R31">
        <f ca="1"/>
        <v>0</v>
      </c>
      <c r="S31">
        <f ca="1"/>
        <v>0.69915586636839699</v>
      </c>
      <c r="T31">
        <f ca="1"/>
        <v>0</v>
      </c>
      <c r="U31">
        <f ca="1"/>
        <v>0</v>
      </c>
      <c r="V31">
        <f ca="1"/>
        <v>1.7295393355279961E-2</v>
      </c>
      <c r="X31" s="2">
        <f t="shared" ca="1" si="1"/>
        <v>45214</v>
      </c>
      <c r="Y31">
        <f t="shared" ca="1" si="2"/>
        <v>0</v>
      </c>
      <c r="AA31" s="63">
        <f t="shared" ca="1" si="4"/>
        <v>98.207030570043855</v>
      </c>
      <c r="AB31" s="63">
        <f t="shared" ca="1" si="5"/>
        <v>98.207030570043855</v>
      </c>
      <c r="AC31" s="3">
        <f t="shared" ca="1" si="6"/>
        <v>0</v>
      </c>
    </row>
    <row r="32" spans="1:29">
      <c r="A32" s="9" t="s">
        <v>230</v>
      </c>
      <c r="B32" s="13" t="str">
        <f>CurrentPopulation</f>
        <v>1</v>
      </c>
      <c r="H32" t="b">
        <f t="shared" ca="1" si="3"/>
        <v>1</v>
      </c>
      <c r="I32" t="b">
        <f t="shared" ca="1" si="0"/>
        <v>1</v>
      </c>
      <c r="J32" s="2">
        <f ca="1"/>
        <v>45215</v>
      </c>
      <c r="K32">
        <f ca="1"/>
        <v>98.284872896612256</v>
      </c>
      <c r="L32">
        <f ca="1"/>
        <v>0.15529865430816781</v>
      </c>
      <c r="M32">
        <f ca="1"/>
        <v>0.22340719819404065</v>
      </c>
      <c r="N32" s="4">
        <f ca="1"/>
        <v>0.14409008335591419</v>
      </c>
      <c r="O32">
        <f ca="1"/>
        <v>0</v>
      </c>
      <c r="P32">
        <f ca="1"/>
        <v>2.8563730003565819</v>
      </c>
      <c r="Q32">
        <f ca="1"/>
        <v>2.5735330188196408</v>
      </c>
      <c r="R32">
        <f ca="1"/>
        <v>0</v>
      </c>
      <c r="S32">
        <f ca="1"/>
        <v>0.67584501372428873</v>
      </c>
      <c r="T32">
        <f ca="1"/>
        <v>0</v>
      </c>
      <c r="U32">
        <f ca="1"/>
        <v>0</v>
      </c>
      <c r="V32">
        <f ca="1"/>
        <v>2.0421016499752753E-2</v>
      </c>
      <c r="X32" s="2">
        <f t="shared" ca="1" si="1"/>
        <v>45215</v>
      </c>
      <c r="Y32">
        <f t="shared" ca="1" si="2"/>
        <v>0</v>
      </c>
      <c r="AA32" s="63">
        <f t="shared" ca="1" si="4"/>
        <v>98.440171550920425</v>
      </c>
      <c r="AB32" s="63">
        <f t="shared" ca="1" si="5"/>
        <v>98.440171550920425</v>
      </c>
      <c r="AC32" s="3">
        <f t="shared" ca="1" si="6"/>
        <v>0</v>
      </c>
    </row>
    <row r="33" spans="1:29">
      <c r="A33" s="9" t="s">
        <v>231</v>
      </c>
      <c r="B33" s="13" t="str">
        <f>CurrentUnits</f>
        <v>t/ha</v>
      </c>
      <c r="H33" t="b">
        <f t="shared" ca="1" si="3"/>
        <v>1</v>
      </c>
      <c r="I33" t="b">
        <f t="shared" ca="1" si="0"/>
        <v>1</v>
      </c>
      <c r="J33" s="2">
        <f ca="1"/>
        <v>45216</v>
      </c>
      <c r="K33">
        <f ca="1"/>
        <v>98.490151824182647</v>
      </c>
      <c r="L33">
        <f ca="1"/>
        <v>0.18509759841336582</v>
      </c>
      <c r="M33">
        <f ca="1"/>
        <v>0.23861100753447051</v>
      </c>
      <c r="N33" s="4">
        <f ca="1"/>
        <v>0.15176551844928318</v>
      </c>
      <c r="O33">
        <f ca="1"/>
        <v>0</v>
      </c>
      <c r="P33">
        <f ca="1"/>
        <v>3.0414705987699477</v>
      </c>
      <c r="Q33">
        <f ca="1"/>
        <v>2.7403021281626954</v>
      </c>
      <c r="R33">
        <f ca="1"/>
        <v>0</v>
      </c>
      <c r="S33">
        <f ca="1"/>
        <v>0.66001204682674108</v>
      </c>
      <c r="T33">
        <f ca="1"/>
        <v>0</v>
      </c>
      <c r="U33">
        <f ca="1"/>
        <v>0</v>
      </c>
      <c r="V33">
        <f ca="1"/>
        <v>2.4595627546648138E-2</v>
      </c>
      <c r="X33" s="2">
        <f t="shared" ca="1" si="1"/>
        <v>45216</v>
      </c>
      <c r="Y33">
        <f t="shared" ca="1" si="2"/>
        <v>0</v>
      </c>
      <c r="AA33" s="63">
        <f t="shared" ca="1" si="4"/>
        <v>98.675249422596011</v>
      </c>
      <c r="AB33" s="63">
        <f t="shared" ca="1" si="5"/>
        <v>98.675249422596011</v>
      </c>
      <c r="AC33" s="3">
        <f t="shared" ca="1" si="6"/>
        <v>0</v>
      </c>
    </row>
    <row r="34" spans="1:29">
      <c r="A34" s="9" t="s">
        <v>119</v>
      </c>
      <c r="B34" s="10">
        <f>CurrentFieldLoss</f>
        <v>0</v>
      </c>
      <c r="H34" t="b">
        <f t="shared" ca="1" si="3"/>
        <v>1</v>
      </c>
      <c r="I34" t="b">
        <f t="shared" ca="1" si="0"/>
        <v>1</v>
      </c>
      <c r="J34" s="2">
        <f ca="1"/>
        <v>45217</v>
      </c>
      <c r="K34">
        <f ca="1"/>
        <v>98.679436109124879</v>
      </c>
      <c r="L34">
        <f ca="1"/>
        <v>0.17972233255855574</v>
      </c>
      <c r="M34">
        <f ca="1"/>
        <v>0.23066876150695137</v>
      </c>
      <c r="N34" s="4">
        <f ca="1"/>
        <v>0.13833785599383758</v>
      </c>
      <c r="O34">
        <f ca="1"/>
        <v>0</v>
      </c>
      <c r="P34">
        <f ca="1"/>
        <v>3.2211929313285035</v>
      </c>
      <c r="Q34">
        <f ca="1"/>
        <v>2.902228234102286</v>
      </c>
      <c r="R34">
        <f ca="1"/>
        <v>0</v>
      </c>
      <c r="S34">
        <f ca="1"/>
        <v>0.63266626094613743</v>
      </c>
      <c r="T34">
        <f ca="1"/>
        <v>0</v>
      </c>
      <c r="U34">
        <f ca="1"/>
        <v>0</v>
      </c>
      <c r="V34">
        <f ca="1"/>
        <v>2.9136433207648992E-2</v>
      </c>
      <c r="X34" s="2">
        <f t="shared" ca="1" si="1"/>
        <v>45217</v>
      </c>
      <c r="Y34">
        <f t="shared" ca="1" si="2"/>
        <v>0</v>
      </c>
      <c r="AA34" s="63">
        <f t="shared" ca="1" si="4"/>
        <v>98.859158441683434</v>
      </c>
      <c r="AB34" s="63">
        <f t="shared" ca="1" si="5"/>
        <v>98.859158441683434</v>
      </c>
      <c r="AC34" s="3">
        <f t="shared" ca="1" si="6"/>
        <v>0</v>
      </c>
    </row>
    <row r="35" spans="1:29">
      <c r="A35" s="9" t="s">
        <v>120</v>
      </c>
      <c r="B35" s="10">
        <f>CurrentDressingLoss</f>
        <v>0</v>
      </c>
      <c r="H35" t="b">
        <f t="shared" ca="1" si="3"/>
        <v>1</v>
      </c>
      <c r="I35" t="b">
        <f t="shared" ca="1" si="0"/>
        <v>1</v>
      </c>
      <c r="J35" s="2">
        <f ca="1"/>
        <v>45218</v>
      </c>
      <c r="K35">
        <f ca="1"/>
        <v>98.858210604953541</v>
      </c>
      <c r="L35">
        <f ca="1"/>
        <v>0.18932294604421296</v>
      </c>
      <c r="M35">
        <f ca="1"/>
        <v>0.23153765058793407</v>
      </c>
      <c r="N35" s="4">
        <f ca="1"/>
        <v>0.13655979128493184</v>
      </c>
      <c r="O35">
        <f ca="1"/>
        <v>0</v>
      </c>
      <c r="P35">
        <f ca="1"/>
        <v>3.4105158773727164</v>
      </c>
      <c r="Q35">
        <f ca="1"/>
        <v>3.0728042943031659</v>
      </c>
      <c r="R35">
        <f ca="1"/>
        <v>0</v>
      </c>
      <c r="S35">
        <f ca="1"/>
        <v>0.62506409617366709</v>
      </c>
      <c r="T35">
        <f ca="1"/>
        <v>0</v>
      </c>
      <c r="U35">
        <f ca="1"/>
        <v>0</v>
      </c>
      <c r="V35">
        <f ca="1"/>
        <v>3.4459417495298371E-2</v>
      </c>
      <c r="X35" s="2">
        <f t="shared" ca="1" si="1"/>
        <v>45218</v>
      </c>
      <c r="Y35">
        <f t="shared" ca="1" si="2"/>
        <v>0</v>
      </c>
      <c r="AA35" s="63">
        <f t="shared" ca="1" si="4"/>
        <v>99.047533550997755</v>
      </c>
      <c r="AB35" s="63">
        <f t="shared" ca="1" si="5"/>
        <v>99.047533550997755</v>
      </c>
      <c r="AC35" s="3">
        <f t="shared" ca="1" si="6"/>
        <v>0</v>
      </c>
    </row>
    <row r="36" spans="1:29">
      <c r="A36" s="9" t="s">
        <v>121</v>
      </c>
      <c r="B36" s="10">
        <f>CurrentMoistureContent</f>
        <v>79</v>
      </c>
      <c r="H36" t="b">
        <f t="shared" ca="1" si="3"/>
        <v>1</v>
      </c>
      <c r="I36" t="b">
        <f t="shared" ca="1" si="0"/>
        <v>1</v>
      </c>
      <c r="J36" s="2">
        <f ca="1"/>
        <v>45219</v>
      </c>
      <c r="K36">
        <f ca="1"/>
        <v>99.021582894564901</v>
      </c>
      <c r="L36">
        <f ca="1"/>
        <v>0.20220535781194338</v>
      </c>
      <c r="M36">
        <f ca="1"/>
        <v>0.23336302705968714</v>
      </c>
      <c r="N36" s="4">
        <f ca="1"/>
        <v>0.13221462036362921</v>
      </c>
      <c r="O36">
        <f ca="1"/>
        <v>0</v>
      </c>
      <c r="P36">
        <f ca="1"/>
        <v>3.6127212351846598</v>
      </c>
      <c r="Q36">
        <f ca="1"/>
        <v>3.2549871411674629</v>
      </c>
      <c r="R36">
        <f ca="1"/>
        <v>0</v>
      </c>
      <c r="S36">
        <f ca="1"/>
        <v>0.59664294004232399</v>
      </c>
      <c r="T36">
        <f ca="1"/>
        <v>0</v>
      </c>
      <c r="U36">
        <f ca="1"/>
        <v>0</v>
      </c>
      <c r="V36">
        <f ca="1"/>
        <v>4.0776318990418774E-2</v>
      </c>
      <c r="X36" s="2">
        <f t="shared" ca="1" si="1"/>
        <v>45219</v>
      </c>
      <c r="Y36">
        <f t="shared" ca="1" si="2"/>
        <v>0</v>
      </c>
      <c r="AA36" s="63">
        <f t="shared" ca="1" si="4"/>
        <v>99.223788252376849</v>
      </c>
      <c r="AB36" s="63">
        <f t="shared" ca="1" si="5"/>
        <v>99.223788252376849</v>
      </c>
      <c r="AC36" s="3">
        <f t="shared" ca="1" si="6"/>
        <v>0</v>
      </c>
    </row>
    <row r="37" spans="1:29">
      <c r="A37" s="9" t="s">
        <v>122</v>
      </c>
      <c r="B37" s="36">
        <f ca="1">CurrentEstablishDate</f>
        <v>45209</v>
      </c>
      <c r="H37" t="b">
        <f t="shared" ca="1" si="3"/>
        <v>1</v>
      </c>
      <c r="I37" t="b">
        <f t="shared" ca="1" si="0"/>
        <v>1</v>
      </c>
      <c r="J37" s="2">
        <f ca="1"/>
        <v>45220</v>
      </c>
      <c r="K37">
        <f ca="1"/>
        <v>99.164434480773878</v>
      </c>
      <c r="L37">
        <f ca="1"/>
        <v>0.25028715027465198</v>
      </c>
      <c r="M37">
        <f ca="1"/>
        <v>0.25194471214215097</v>
      </c>
      <c r="N37" s="4">
        <f ca="1"/>
        <v>0.14119402434148692</v>
      </c>
      <c r="O37">
        <f ca="1"/>
        <v>0</v>
      </c>
      <c r="P37">
        <f ca="1"/>
        <v>3.8630083854593118</v>
      </c>
      <c r="Q37">
        <f ca="1"/>
        <v>3.4804906889666052</v>
      </c>
      <c r="R37">
        <f ca="1"/>
        <v>0</v>
      </c>
      <c r="S37">
        <f ca="1"/>
        <v>0.57199609935972806</v>
      </c>
      <c r="T37">
        <f ca="1"/>
        <v>0</v>
      </c>
      <c r="U37">
        <f ca="1"/>
        <v>0</v>
      </c>
      <c r="V37">
        <f ca="1"/>
        <v>4.9525241352661266E-2</v>
      </c>
      <c r="X37" s="2">
        <f t="shared" ca="1" si="1"/>
        <v>45220</v>
      </c>
      <c r="Y37">
        <f t="shared" ca="1" si="2"/>
        <v>0</v>
      </c>
      <c r="AA37" s="63">
        <f t="shared" ca="1" si="4"/>
        <v>99.414721631048536</v>
      </c>
      <c r="AB37" s="63">
        <f t="shared" ca="1" si="5"/>
        <v>99.414721631048536</v>
      </c>
      <c r="AC37" s="3">
        <f t="shared" ca="1" si="6"/>
        <v>0</v>
      </c>
    </row>
    <row r="38" spans="1:29">
      <c r="A38" s="9" t="s">
        <v>123</v>
      </c>
      <c r="B38" s="10" t="str">
        <f>CurrentEstablishStage</f>
        <v>Seed</v>
      </c>
      <c r="H38" t="b">
        <f t="shared" ca="1" si="3"/>
        <v>1</v>
      </c>
      <c r="I38" t="b">
        <f t="shared" ca="1" si="0"/>
        <v>1</v>
      </c>
      <c r="J38" s="2">
        <f ca="1"/>
        <v>45221</v>
      </c>
      <c r="K38">
        <f ca="1"/>
        <v>99.294349888850221</v>
      </c>
      <c r="L38">
        <f ca="1"/>
        <v>0.22901197729317913</v>
      </c>
      <c r="M38">
        <f ca="1"/>
        <v>0.2338980434772715</v>
      </c>
      <c r="N38" s="4">
        <f ca="1"/>
        <v>0.12502934189225789</v>
      </c>
      <c r="O38">
        <f ca="1"/>
        <v>0</v>
      </c>
      <c r="P38">
        <f ca="1"/>
        <v>4.0920203627524909</v>
      </c>
      <c r="Q38">
        <f ca="1"/>
        <v>3.6868257457661184</v>
      </c>
      <c r="R38">
        <f ca="1"/>
        <v>0</v>
      </c>
      <c r="S38">
        <f ca="1"/>
        <v>0.55399055473241432</v>
      </c>
      <c r="T38">
        <f ca="1"/>
        <v>0</v>
      </c>
      <c r="U38">
        <f ca="1"/>
        <v>0</v>
      </c>
      <c r="V38">
        <f ca="1"/>
        <v>5.8451376560968688E-2</v>
      </c>
      <c r="X38" s="2">
        <f t="shared" ca="1" si="1"/>
        <v>45221</v>
      </c>
      <c r="Y38">
        <f t="shared" ca="1" si="2"/>
        <v>0</v>
      </c>
      <c r="AA38" s="63">
        <f t="shared" ca="1" si="4"/>
        <v>99.523361866143404</v>
      </c>
      <c r="AB38" s="63">
        <f t="shared" ca="1" si="5"/>
        <v>99.523361866143404</v>
      </c>
      <c r="AC38" s="3">
        <f t="shared" ca="1" si="6"/>
        <v>0</v>
      </c>
    </row>
    <row r="39" spans="1:29">
      <c r="A39" s="9" t="s">
        <v>124</v>
      </c>
      <c r="B39" s="36">
        <f>CurrentHarvestDate</f>
        <v>45355</v>
      </c>
      <c r="H39" t="b">
        <f t="shared" ca="1" si="3"/>
        <v>1</v>
      </c>
      <c r="I39" t="b">
        <f t="shared" ca="1" si="0"/>
        <v>1</v>
      </c>
      <c r="J39" s="2">
        <f ca="1"/>
        <v>45222</v>
      </c>
      <c r="K39">
        <f ca="1"/>
        <v>99.409709209219812</v>
      </c>
      <c r="L39">
        <f ca="1"/>
        <v>0.23974207219933419</v>
      </c>
      <c r="M39">
        <f ca="1"/>
        <v>0.23233971752258675</v>
      </c>
      <c r="N39" s="4">
        <f ca="1"/>
        <v>0.12276167504633628</v>
      </c>
      <c r="O39">
        <f ca="1"/>
        <v>0</v>
      </c>
      <c r="P39">
        <f ca="1"/>
        <v>4.3317624349518251</v>
      </c>
      <c r="Q39">
        <f ca="1"/>
        <v>3.9028283962351593</v>
      </c>
      <c r="R39">
        <f ca="1"/>
        <v>0</v>
      </c>
      <c r="S39">
        <f ca="1"/>
        <v>0.54511443050334463</v>
      </c>
      <c r="T39">
        <f ca="1"/>
        <v>0</v>
      </c>
      <c r="U39">
        <f ca="1"/>
        <v>0</v>
      </c>
      <c r="V39">
        <f ca="1"/>
        <v>6.8750706383364044E-2</v>
      </c>
      <c r="X39" s="2">
        <f t="shared" ca="1" si="1"/>
        <v>45222</v>
      </c>
      <c r="Y39">
        <f t="shared" ca="1" si="2"/>
        <v>0</v>
      </c>
      <c r="AA39" s="63">
        <f t="shared" ca="1" si="4"/>
        <v>99.649451281419147</v>
      </c>
      <c r="AB39" s="63">
        <f t="shared" ca="1" si="5"/>
        <v>99.649451281419147</v>
      </c>
      <c r="AC39" s="3">
        <f t="shared" ca="1" si="6"/>
        <v>0</v>
      </c>
    </row>
    <row r="40" spans="1:29">
      <c r="A40" s="9" t="s">
        <v>125</v>
      </c>
      <c r="B40" s="10" t="str">
        <f>CurrentHarvestStage</f>
        <v>Late</v>
      </c>
      <c r="H40" t="b">
        <f t="shared" ca="1" si="3"/>
        <v>1</v>
      </c>
      <c r="I40" t="b">
        <f t="shared" ca="1" si="0"/>
        <v>1</v>
      </c>
      <c r="J40" s="2">
        <f ca="1"/>
        <v>45223</v>
      </c>
      <c r="K40">
        <f ca="1"/>
        <v>99.506263302946437</v>
      </c>
      <c r="L40">
        <f ca="1"/>
        <v>0.2567610352973535</v>
      </c>
      <c r="M40">
        <f ca="1"/>
        <v>0.23285236716724178</v>
      </c>
      <c r="N40" s="4">
        <f ca="1"/>
        <v>0.12046276185674722</v>
      </c>
      <c r="O40">
        <f ca="1"/>
        <v>0</v>
      </c>
      <c r="P40">
        <f ca="1"/>
        <v>4.5885234702491786</v>
      </c>
      <c r="Q40">
        <f ca="1"/>
        <v>4.1341647805944728</v>
      </c>
      <c r="R40">
        <f ca="1"/>
        <v>0</v>
      </c>
      <c r="S40">
        <f ca="1"/>
        <v>0.52523356840786872</v>
      </c>
      <c r="T40">
        <f ca="1"/>
        <v>0</v>
      </c>
      <c r="U40">
        <f ca="1"/>
        <v>0</v>
      </c>
      <c r="V40">
        <f ca="1"/>
        <v>8.0866908428892909E-2</v>
      </c>
      <c r="X40" s="2">
        <f t="shared" ca="1" si="1"/>
        <v>45223</v>
      </c>
      <c r="Y40">
        <f t="shared" ca="1" si="2"/>
        <v>0</v>
      </c>
      <c r="AA40" s="63">
        <f t="shared" ca="1" si="4"/>
        <v>99.763024338243795</v>
      </c>
      <c r="AB40" s="63">
        <f t="shared" ca="1" si="5"/>
        <v>99.763024338243795</v>
      </c>
      <c r="AC40" s="3">
        <f t="shared" ca="1" si="6"/>
        <v>0</v>
      </c>
    </row>
    <row r="41" spans="1:29">
      <c r="A41" s="9" t="s">
        <v>163</v>
      </c>
      <c r="B41" s="10" t="str">
        <f>CurrentResidueRemoval</f>
        <v>None removed</v>
      </c>
      <c r="H41" t="b">
        <f t="shared" ca="1" si="3"/>
        <v>1</v>
      </c>
      <c r="I41" t="b">
        <f t="shared" ca="1" si="0"/>
        <v>1</v>
      </c>
      <c r="J41" s="2">
        <f ca="1"/>
        <v>45224</v>
      </c>
      <c r="K41">
        <f ca="1"/>
        <v>99.576134228924616</v>
      </c>
      <c r="L41">
        <f ca="1"/>
        <v>0.28061192531113743</v>
      </c>
      <c r="M41">
        <f ca="1"/>
        <v>0.23253880361243873</v>
      </c>
      <c r="N41">
        <f ca="1"/>
        <v>0.11794404767687677</v>
      </c>
      <c r="O41">
        <f ca="1"/>
        <v>0</v>
      </c>
      <c r="P41">
        <f ca="1"/>
        <v>4.869135395560316</v>
      </c>
      <c r="Q41">
        <f ca="1"/>
        <v>4.3869903237474883</v>
      </c>
      <c r="R41">
        <f ca="1"/>
        <v>0</v>
      </c>
      <c r="S41">
        <f ca="1"/>
        <v>0.49445759200023365</v>
      </c>
      <c r="T41">
        <f ca="1"/>
        <v>0</v>
      </c>
      <c r="U41">
        <f ca="1"/>
        <v>0</v>
      </c>
      <c r="V41">
        <f ca="1"/>
        <v>9.5380559394040595E-2</v>
      </c>
      <c r="X41" s="2">
        <f t="shared" ca="1" si="1"/>
        <v>45224</v>
      </c>
      <c r="Y41">
        <f t="shared" ca="1" si="2"/>
        <v>0</v>
      </c>
      <c r="AA41" s="63">
        <f t="shared" ca="1" si="4"/>
        <v>99.856746154235751</v>
      </c>
      <c r="AB41" s="63">
        <f t="shared" ca="1" si="5"/>
        <v>99.856746154235751</v>
      </c>
      <c r="AC41" s="3">
        <f t="shared" ca="1" si="6"/>
        <v>0</v>
      </c>
    </row>
    <row r="42" spans="1:29" ht="15.75" thickBot="1">
      <c r="A42" s="9" t="s">
        <v>166</v>
      </c>
      <c r="B42" s="10" t="str">
        <f>CurrentResidueIncorporation</f>
        <v>Full (Plough)</v>
      </c>
      <c r="H42" t="b">
        <f t="shared" ca="1" si="3"/>
        <v>1</v>
      </c>
      <c r="I42" t="b">
        <f t="shared" ca="1" si="0"/>
        <v>1</v>
      </c>
      <c r="J42" s="2">
        <f ca="1"/>
        <v>45225</v>
      </c>
      <c r="K42">
        <f ca="1"/>
        <v>99.596916726394895</v>
      </c>
      <c r="L42">
        <f ca="1"/>
        <v>0.34482239966422679</v>
      </c>
      <c r="M42">
        <f ca="1"/>
        <v>0.23905925822755592</v>
      </c>
      <c r="N42">
        <f ca="1"/>
        <v>0.12654563890694376</v>
      </c>
      <c r="O42">
        <f ca="1"/>
        <v>0</v>
      </c>
      <c r="P42">
        <f ca="1"/>
        <v>5.2139577952245428</v>
      </c>
      <c r="Q42">
        <f ca="1"/>
        <v>4.6976681767637887</v>
      </c>
      <c r="R42">
        <f ca="1"/>
        <v>0</v>
      </c>
      <c r="S42">
        <f ca="1"/>
        <v>0.47557391542933897</v>
      </c>
      <c r="T42">
        <f ca="1"/>
        <v>0</v>
      </c>
      <c r="U42">
        <f ca="1"/>
        <v>0</v>
      </c>
      <c r="V42">
        <f ca="1"/>
        <v>0.11498647780148774</v>
      </c>
      <c r="X42" s="2">
        <f t="shared" ca="1" si="1"/>
        <v>45225</v>
      </c>
      <c r="Y42">
        <f t="shared" ca="1" si="2"/>
        <v>0</v>
      </c>
      <c r="AA42" s="63">
        <f t="shared" ca="1" si="4"/>
        <v>99.941739126059119</v>
      </c>
      <c r="AB42" s="63">
        <f t="shared" ca="1" si="5"/>
        <v>99.941739126059119</v>
      </c>
      <c r="AC42" s="3">
        <f t="shared" ca="1" si="6"/>
        <v>0</v>
      </c>
    </row>
    <row r="43" spans="1:29">
      <c r="A43" s="5" t="s">
        <v>141</v>
      </c>
      <c r="B43" s="31" t="str">
        <f>FollowingCropFullName</f>
        <v>Early harvest Potato Moonlight</v>
      </c>
      <c r="H43" t="b">
        <f t="shared" ca="1" si="3"/>
        <v>1</v>
      </c>
      <c r="I43" t="b">
        <f t="shared" ca="1" si="0"/>
        <v>1</v>
      </c>
      <c r="J43" s="2">
        <f ca="1"/>
        <v>45226</v>
      </c>
      <c r="K43">
        <f ca="1"/>
        <v>99.597252337141626</v>
      </c>
      <c r="L43">
        <f ca="1"/>
        <v>0.34556366487567836</v>
      </c>
      <c r="M43">
        <f ca="1"/>
        <v>0.22587892799192577</v>
      </c>
      <c r="N43">
        <f ca="1"/>
        <v>0.12002034763048214</v>
      </c>
      <c r="O43">
        <f ca="1"/>
        <v>0</v>
      </c>
      <c r="P43">
        <f ca="1"/>
        <v>5.5595214601002212</v>
      </c>
      <c r="Q43">
        <f ca="1"/>
        <v>5.0090138944102103</v>
      </c>
      <c r="R43">
        <f ca="1"/>
        <v>0</v>
      </c>
      <c r="S43">
        <f ca="1"/>
        <v>0.46799189735943225</v>
      </c>
      <c r="T43">
        <f ca="1"/>
        <v>0</v>
      </c>
      <c r="U43">
        <f ca="1"/>
        <v>0</v>
      </c>
      <c r="V43">
        <f ca="1"/>
        <v>0.13649929446221731</v>
      </c>
      <c r="X43" s="2">
        <f t="shared" ca="1" si="1"/>
        <v>45226</v>
      </c>
      <c r="Y43">
        <f t="shared" ca="1" si="2"/>
        <v>0</v>
      </c>
      <c r="AA43" s="63">
        <f t="shared" ca="1" si="4"/>
        <v>99.94281600201731</v>
      </c>
      <c r="AB43" s="63">
        <f t="shared" ca="1" si="5"/>
        <v>99.94281600201731</v>
      </c>
      <c r="AC43" s="3">
        <f t="shared" ca="1" si="6"/>
        <v>0</v>
      </c>
    </row>
    <row r="44" spans="1:29">
      <c r="A44" s="6" t="s">
        <v>237</v>
      </c>
      <c r="B44" s="32">
        <f>FollowingYIeld</f>
        <v>70</v>
      </c>
      <c r="H44" t="b">
        <f t="shared" ca="1" si="3"/>
        <v>1</v>
      </c>
      <c r="I44" t="b">
        <f t="shared" ca="1" si="0"/>
        <v>1</v>
      </c>
      <c r="J44" s="2">
        <f ca="1"/>
        <v>45227</v>
      </c>
      <c r="K44">
        <f ca="1"/>
        <v>99.552194861667445</v>
      </c>
      <c r="L44">
        <f ca="1"/>
        <v>0.40044969870035008</v>
      </c>
      <c r="M44">
        <f ca="1"/>
        <v>0.22978926927901089</v>
      </c>
      <c r="N44">
        <f ca="1"/>
        <v>0.12560295394716825</v>
      </c>
      <c r="O44">
        <f ca="1"/>
        <v>0</v>
      </c>
      <c r="P44">
        <f ca="1"/>
        <v>5.9599711588005713</v>
      </c>
      <c r="Q44">
        <f ca="1"/>
        <v>5.3698107937833219</v>
      </c>
      <c r="R44">
        <f ca="1"/>
        <v>0</v>
      </c>
      <c r="S44">
        <f ca="1"/>
        <v>0.45960178123697087</v>
      </c>
      <c r="T44">
        <f ca="1"/>
        <v>0</v>
      </c>
      <c r="U44">
        <f ca="1"/>
        <v>0</v>
      </c>
      <c r="V44">
        <f ca="1"/>
        <v>0.16357798477929827</v>
      </c>
      <c r="X44" s="2">
        <f t="shared" ca="1" si="1"/>
        <v>45227</v>
      </c>
      <c r="Y44">
        <f t="shared" ca="1" si="2"/>
        <v>0</v>
      </c>
      <c r="AA44" s="63">
        <f t="shared" ca="1" si="4"/>
        <v>99.952644560367801</v>
      </c>
      <c r="AB44" s="63">
        <f t="shared" ca="1" si="5"/>
        <v>99.952644560367801</v>
      </c>
      <c r="AC44" s="3">
        <f t="shared" ca="1" si="6"/>
        <v>0</v>
      </c>
    </row>
    <row r="45" spans="1:29">
      <c r="A45" s="6" t="s">
        <v>232</v>
      </c>
      <c r="B45" s="32">
        <f>FollowingPopulation</f>
        <v>1</v>
      </c>
      <c r="H45" t="b">
        <f t="shared" ca="1" si="3"/>
        <v>1</v>
      </c>
      <c r="I45" t="b">
        <f t="shared" ca="1" si="0"/>
        <v>1</v>
      </c>
      <c r="J45" s="2">
        <f ca="1"/>
        <v>45228</v>
      </c>
      <c r="K45">
        <f ca="1"/>
        <v>99.460002510399548</v>
      </c>
      <c r="L45">
        <f ca="1"/>
        <v>0.43916697535000804</v>
      </c>
      <c r="M45">
        <f ca="1"/>
        <v>0.22204660614563565</v>
      </c>
      <c r="N45">
        <f ca="1"/>
        <v>0.12492801793647088</v>
      </c>
      <c r="O45">
        <f ca="1"/>
        <v>0</v>
      </c>
      <c r="P45">
        <f ca="1"/>
        <v>6.3991381341505793</v>
      </c>
      <c r="Q45">
        <f ca="1"/>
        <v>5.7654911589517743</v>
      </c>
      <c r="R45">
        <f ca="1"/>
        <v>0</v>
      </c>
      <c r="S45">
        <f ca="1"/>
        <v>0.442470036710922</v>
      </c>
      <c r="T45">
        <f ca="1"/>
        <v>0</v>
      </c>
      <c r="U45">
        <f ca="1"/>
        <v>0</v>
      </c>
      <c r="V45">
        <f ca="1"/>
        <v>0.19560872278692837</v>
      </c>
      <c r="X45" s="2">
        <f t="shared" ca="1" si="1"/>
        <v>45228</v>
      </c>
      <c r="Y45">
        <f t="shared" ca="1" si="2"/>
        <v>0</v>
      </c>
      <c r="AA45" s="63">
        <f t="shared" ca="1" si="4"/>
        <v>99.899169485749553</v>
      </c>
      <c r="AB45" s="63">
        <f t="shared" ca="1" si="5"/>
        <v>99.899169485749553</v>
      </c>
      <c r="AC45" s="3">
        <f t="shared" ca="1" si="6"/>
        <v>0</v>
      </c>
    </row>
    <row r="46" spans="1:29">
      <c r="A46" s="6" t="s">
        <v>233</v>
      </c>
      <c r="B46" s="32" t="str">
        <f>FollowingUnits</f>
        <v>t/ha</v>
      </c>
      <c r="H46" t="b">
        <f t="shared" ca="1" si="3"/>
        <v>1</v>
      </c>
      <c r="I46" t="b">
        <f t="shared" ca="1" si="0"/>
        <v>1</v>
      </c>
      <c r="J46" s="2">
        <f ca="1"/>
        <v>45229</v>
      </c>
      <c r="K46">
        <f ca="1"/>
        <v>99.336443880172027</v>
      </c>
      <c r="L46">
        <f ca="1"/>
        <v>0.4506052587009366</v>
      </c>
      <c r="M46">
        <f ca="1"/>
        <v>0.20796602407976916</v>
      </c>
      <c r="N46">
        <f ca="1"/>
        <v>0.11908060439364135</v>
      </c>
      <c r="O46">
        <f ca="1"/>
        <v>0</v>
      </c>
      <c r="P46">
        <f ca="1"/>
        <v>6.8497433928515159</v>
      </c>
      <c r="Q46">
        <f ca="1"/>
        <v>6.1714771809369475</v>
      </c>
      <c r="R46">
        <f ca="1"/>
        <v>0</v>
      </c>
      <c r="S46">
        <f ca="1"/>
        <v>0.42856143233222921</v>
      </c>
      <c r="T46">
        <f ca="1"/>
        <v>0</v>
      </c>
      <c r="U46">
        <f ca="1"/>
        <v>0</v>
      </c>
      <c r="V46">
        <f ca="1"/>
        <v>0.23056595468052804</v>
      </c>
      <c r="X46" s="2">
        <f t="shared" ca="1" si="1"/>
        <v>45229</v>
      </c>
      <c r="Y46">
        <f t="shared" ca="1" si="2"/>
        <v>0</v>
      </c>
      <c r="AA46" s="63">
        <f t="shared" ca="1" si="4"/>
        <v>99.787049138872959</v>
      </c>
      <c r="AB46" s="63">
        <f t="shared" ca="1" si="5"/>
        <v>99.787049138872959</v>
      </c>
      <c r="AC46" s="3">
        <f t="shared" ca="1" si="6"/>
        <v>0</v>
      </c>
    </row>
    <row r="47" spans="1:29">
      <c r="A47" s="6" t="s">
        <v>126</v>
      </c>
      <c r="B47" s="32">
        <f>FollowingFieldLoss</f>
        <v>0</v>
      </c>
      <c r="H47" t="b">
        <f t="shared" ca="1" si="3"/>
        <v>1</v>
      </c>
      <c r="I47" t="b">
        <f t="shared" ca="1" si="0"/>
        <v>1</v>
      </c>
      <c r="J47" s="2">
        <f ca="1"/>
        <v>45230</v>
      </c>
      <c r="K47">
        <f ca="1"/>
        <v>99.162871016588937</v>
      </c>
      <c r="L47">
        <f ca="1"/>
        <v>0.47710086352463499</v>
      </c>
      <c r="M47">
        <f ca="1"/>
        <v>0.18982258033279198</v>
      </c>
      <c r="N47">
        <f ca="1"/>
        <v>0.11370541960875706</v>
      </c>
      <c r="O47">
        <f ca="1"/>
        <v>0</v>
      </c>
      <c r="P47">
        <f ca="1"/>
        <v>7.3268442563761509</v>
      </c>
      <c r="Q47">
        <f ca="1"/>
        <v>6.6013351950810151</v>
      </c>
      <c r="R47">
        <f ca="1"/>
        <v>0</v>
      </c>
      <c r="S47">
        <f ca="1"/>
        <v>0.39707150276006892</v>
      </c>
      <c r="T47">
        <f ca="1"/>
        <v>0</v>
      </c>
      <c r="U47">
        <f ca="1"/>
        <v>0</v>
      </c>
      <c r="V47">
        <f ca="1"/>
        <v>0.26931028131528623</v>
      </c>
      <c r="X47" s="2">
        <f t="shared" ca="1" si="1"/>
        <v>45230</v>
      </c>
      <c r="Y47">
        <f t="shared" ca="1" si="2"/>
        <v>0</v>
      </c>
      <c r="AA47" s="63">
        <f t="shared" ca="1" si="4"/>
        <v>99.639971880113578</v>
      </c>
      <c r="AB47" s="63">
        <f t="shared" ca="1" si="5"/>
        <v>99.639971880113578</v>
      </c>
      <c r="AC47" s="3">
        <f t="shared" ca="1" si="6"/>
        <v>0</v>
      </c>
    </row>
    <row r="48" spans="1:29">
      <c r="A48" s="6" t="s">
        <v>127</v>
      </c>
      <c r="B48" s="32">
        <f>FollowingDressingLoss</f>
        <v>0</v>
      </c>
      <c r="H48" t="b">
        <f t="shared" ca="1" si="3"/>
        <v>1</v>
      </c>
      <c r="I48" t="b">
        <f t="shared" ca="1" si="0"/>
        <v>1</v>
      </c>
      <c r="J48" s="2">
        <f ca="1"/>
        <v>45231</v>
      </c>
      <c r="K48">
        <f ca="1"/>
        <v>98.909312428463522</v>
      </c>
      <c r="L48">
        <f ca="1"/>
        <v>0.5527210231933406</v>
      </c>
      <c r="M48">
        <f ca="1"/>
        <v>0.18288240004162226</v>
      </c>
      <c r="N48">
        <f ca="1"/>
        <v>0.11628003502631024</v>
      </c>
      <c r="O48">
        <f ca="1"/>
        <v>0</v>
      </c>
      <c r="P48">
        <f ca="1"/>
        <v>7.8795652795694915</v>
      </c>
      <c r="Q48">
        <f ca="1"/>
        <v>7.0993254096665286</v>
      </c>
      <c r="R48">
        <f ca="1"/>
        <v>0</v>
      </c>
      <c r="S48">
        <f ca="1"/>
        <v>0.36971408492503743</v>
      </c>
      <c r="T48">
        <f ca="1"/>
        <v>0</v>
      </c>
      <c r="U48">
        <f ca="1"/>
        <v>0</v>
      </c>
      <c r="V48">
        <f ca="1"/>
        <v>0.3155826894798951</v>
      </c>
      <c r="X48" s="2">
        <f t="shared" ca="1" si="1"/>
        <v>45231</v>
      </c>
      <c r="Y48">
        <f t="shared" ca="1" si="2"/>
        <v>0</v>
      </c>
      <c r="AA48" s="63">
        <f t="shared" ca="1" si="4"/>
        <v>99.462033451656865</v>
      </c>
      <c r="AB48" s="63">
        <f t="shared" ca="1" si="5"/>
        <v>99.462033451656865</v>
      </c>
      <c r="AC48" s="3">
        <f t="shared" ca="1" si="6"/>
        <v>0</v>
      </c>
    </row>
    <row r="49" spans="1:29">
      <c r="A49" s="6" t="s">
        <v>128</v>
      </c>
      <c r="B49" s="32">
        <f>FollowingMoistureLoss</f>
        <v>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45232</v>
      </c>
      <c r="K49">
        <f ca="1"/>
        <v>98.638414197310709</v>
      </c>
      <c r="L49">
        <f ca="1"/>
        <v>0.54382842135127785</v>
      </c>
      <c r="M49">
        <f ca="1"/>
        <v>0.16547912289481737</v>
      </c>
      <c r="N49">
        <f ca="1"/>
        <v>0.10745106730364845</v>
      </c>
      <c r="O49">
        <f ca="1"/>
        <v>0</v>
      </c>
      <c r="P49">
        <f ca="1"/>
        <v>8.4233937009207693</v>
      </c>
      <c r="Q49">
        <f ca="1"/>
        <v>7.5893035738437398</v>
      </c>
      <c r="R49">
        <f ca="1"/>
        <v>0</v>
      </c>
      <c r="S49">
        <f ca="1"/>
        <v>0.35426967976456836</v>
      </c>
      <c r="T49">
        <f ca="1"/>
        <v>0</v>
      </c>
      <c r="U49">
        <f ca="1"/>
        <v>0</v>
      </c>
      <c r="V49">
        <f ca="1"/>
        <v>0.36164879380908027</v>
      </c>
      <c r="X49" s="2">
        <f t="shared" ca="1" si="1"/>
        <v>45232</v>
      </c>
      <c r="Y49">
        <f t="shared" ca="1" si="2"/>
        <v>0</v>
      </c>
      <c r="AA49" s="63">
        <f t="shared" ca="1" si="4"/>
        <v>99.182242618661988</v>
      </c>
      <c r="AB49" s="63">
        <f t="shared" ca="1" si="5"/>
        <v>99.182242618661988</v>
      </c>
      <c r="AC49" s="3">
        <f t="shared" ca="1" si="6"/>
        <v>0</v>
      </c>
    </row>
    <row r="50" spans="1:29">
      <c r="A50" s="6" t="s">
        <v>129</v>
      </c>
      <c r="B50" s="34">
        <f>FollowingEstablishDate</f>
        <v>45370</v>
      </c>
      <c r="H50" t="b">
        <f t="shared" ca="1" si="3"/>
        <v>1</v>
      </c>
      <c r="I50" t="b">
        <f t="shared" ca="1" si="0"/>
        <v>1</v>
      </c>
      <c r="J50" s="2">
        <f ca="1"/>
        <v>45233</v>
      </c>
      <c r="K50">
        <f ca="1"/>
        <v>98.300371296533228</v>
      </c>
      <c r="L50">
        <f ca="1"/>
        <v>0.59563369635153229</v>
      </c>
      <c r="M50">
        <f ca="1"/>
        <v>0.15208254806341248</v>
      </c>
      <c r="N50">
        <f ca="1"/>
        <v>0.10550824751063395</v>
      </c>
      <c r="O50">
        <f ca="1"/>
        <v>0</v>
      </c>
      <c r="P50">
        <f ca="1"/>
        <v>9.0190273972723016</v>
      </c>
      <c r="Q50">
        <f ca="1"/>
        <v>8.1259572197404406</v>
      </c>
      <c r="R50">
        <f ca="1"/>
        <v>0</v>
      </c>
      <c r="S50">
        <f ca="1"/>
        <v>0.32427940254758164</v>
      </c>
      <c r="T50">
        <f ca="1"/>
        <v>0</v>
      </c>
      <c r="U50">
        <f ca="1"/>
        <v>0</v>
      </c>
      <c r="V50">
        <f ca="1"/>
        <v>0.41169191267395228</v>
      </c>
      <c r="X50" s="2">
        <f t="shared" ca="1" si="1"/>
        <v>45233</v>
      </c>
      <c r="Y50">
        <f t="shared" ca="1" si="2"/>
        <v>0</v>
      </c>
      <c r="AA50" s="63">
        <f t="shared" ca="1" si="4"/>
        <v>98.896004992884755</v>
      </c>
      <c r="AB50" s="63">
        <f t="shared" ca="1" si="5"/>
        <v>98.896004992884755</v>
      </c>
      <c r="AC50" s="3">
        <f t="shared" ca="1" si="6"/>
        <v>0</v>
      </c>
    </row>
    <row r="51" spans="1:29">
      <c r="A51" s="6" t="s">
        <v>130</v>
      </c>
      <c r="B51" s="32" t="str">
        <f>FollowingEstablishStage</f>
        <v>Seed</v>
      </c>
      <c r="H51" t="b">
        <f t="shared" ca="1" si="3"/>
        <v>1</v>
      </c>
      <c r="I51" t="b">
        <f t="shared" ca="1" si="0"/>
        <v>1</v>
      </c>
      <c r="J51" s="2">
        <f ca="1"/>
        <v>45234</v>
      </c>
      <c r="K51">
        <f ca="1"/>
        <v>97.899265325131324</v>
      </c>
      <c r="L51">
        <f ca="1"/>
        <v>0.64128435973017872</v>
      </c>
      <c r="M51">
        <f ca="1"/>
        <v>0.13766055545463374</v>
      </c>
      <c r="N51">
        <f ca="1"/>
        <v>0.10251783287365128</v>
      </c>
      <c r="O51">
        <f ca="1"/>
        <v>0</v>
      </c>
      <c r="P51">
        <f ca="1"/>
        <v>9.6603117570024803</v>
      </c>
      <c r="Q51">
        <f ca="1"/>
        <v>8.7037411695299838</v>
      </c>
      <c r="R51">
        <f ca="1"/>
        <v>0</v>
      </c>
      <c r="S51">
        <f ca="1"/>
        <v>0.29507575432388744</v>
      </c>
      <c r="T51">
        <f ca="1"/>
        <v>0</v>
      </c>
      <c r="U51">
        <f ca="1"/>
        <v>0</v>
      </c>
      <c r="V51">
        <f ca="1"/>
        <v>0.46402635101813056</v>
      </c>
      <c r="X51" s="2">
        <f t="shared" ca="1" si="1"/>
        <v>45234</v>
      </c>
      <c r="Y51">
        <f t="shared" ca="1" si="2"/>
        <v>0</v>
      </c>
      <c r="AA51" s="63">
        <f t="shared" ca="1" si="4"/>
        <v>98.540549684861503</v>
      </c>
      <c r="AB51" s="63">
        <f t="shared" ca="1" si="5"/>
        <v>98.540549684861503</v>
      </c>
      <c r="AC51" s="3">
        <f t="shared" ca="1" si="6"/>
        <v>0</v>
      </c>
    </row>
    <row r="52" spans="1:29">
      <c r="A52" s="6" t="s">
        <v>131</v>
      </c>
      <c r="B52" s="34">
        <f>FollowingHarvestDate</f>
        <v>45490</v>
      </c>
      <c r="H52" t="b">
        <f t="shared" ca="1" si="3"/>
        <v>1</v>
      </c>
      <c r="I52" t="b">
        <f t="shared" ca="1" si="0"/>
        <v>1</v>
      </c>
      <c r="J52" s="2">
        <f ca="1"/>
        <v>45235</v>
      </c>
      <c r="K52">
        <f ca="1"/>
        <v>97.45733715056781</v>
      </c>
      <c r="L52">
        <f ca="1"/>
        <v>0.66934442809168004</v>
      </c>
      <c r="M52">
        <f ca="1"/>
        <v>0.12816185662414359</v>
      </c>
      <c r="N52">
        <f ca="1"/>
        <v>9.9254396904022393E-2</v>
      </c>
      <c r="O52">
        <f ca="1"/>
        <v>0</v>
      </c>
      <c r="P52">
        <f ca="1"/>
        <v>10.32965618509416</v>
      </c>
      <c r="Q52">
        <f ca="1"/>
        <v>9.3068066607812465</v>
      </c>
      <c r="R52">
        <f ca="1"/>
        <v>0</v>
      </c>
      <c r="S52">
        <f ca="1"/>
        <v>0.28068423916725632</v>
      </c>
      <c r="T52">
        <f ca="1"/>
        <v>0</v>
      </c>
      <c r="U52">
        <f ca="1"/>
        <v>0</v>
      </c>
      <c r="V52">
        <f ca="1"/>
        <v>0.51597241300039909</v>
      </c>
      <c r="X52" s="2">
        <f t="shared" ca="1" si="1"/>
        <v>45235</v>
      </c>
      <c r="Y52">
        <f t="shared" ca="1" si="2"/>
        <v>0</v>
      </c>
      <c r="AA52" s="63">
        <f t="shared" ca="1" si="4"/>
        <v>98.126681578659486</v>
      </c>
      <c r="AB52" s="63">
        <f t="shared" ca="1" si="5"/>
        <v>98.126681578659486</v>
      </c>
      <c r="AC52" s="3">
        <f t="shared" ca="1" si="6"/>
        <v>0</v>
      </c>
    </row>
    <row r="53" spans="1:29">
      <c r="A53" s="6" t="s">
        <v>132</v>
      </c>
      <c r="B53" s="32" t="str">
        <f>FollowingHarvestStage</f>
        <v>MidReproductive</v>
      </c>
      <c r="H53" t="b">
        <f t="shared" ca="1" si="3"/>
        <v>1</v>
      </c>
      <c r="I53" t="b">
        <f t="shared" ca="1" si="0"/>
        <v>1</v>
      </c>
      <c r="J53" s="2">
        <f ca="1"/>
        <v>45236</v>
      </c>
      <c r="K53">
        <f ca="1"/>
        <v>96.999672986271278</v>
      </c>
      <c r="L53">
        <f ca="1"/>
        <v>0.66513392991285158</v>
      </c>
      <c r="M53">
        <f ca="1"/>
        <v>0.1146422538804428</v>
      </c>
      <c r="N53">
        <f ca="1"/>
        <v>9.2827511735871324E-2</v>
      </c>
      <c r="O53">
        <f ca="1"/>
        <v>0</v>
      </c>
      <c r="P53">
        <f ca="1"/>
        <v>10.994790115007012</v>
      </c>
      <c r="Q53">
        <f ca="1"/>
        <v>9.9060785802239444</v>
      </c>
      <c r="R53">
        <f ca="1"/>
        <v>0</v>
      </c>
      <c r="S53">
        <f ca="1"/>
        <v>0.26252571838420985</v>
      </c>
      <c r="T53">
        <f ca="1"/>
        <v>0</v>
      </c>
      <c r="U53">
        <f ca="1"/>
        <v>0</v>
      </c>
      <c r="V53">
        <f ca="1"/>
        <v>0.56418561745435547</v>
      </c>
      <c r="X53" s="2">
        <f t="shared" ca="1" si="1"/>
        <v>45236</v>
      </c>
      <c r="Y53">
        <f t="shared" ca="1" si="2"/>
        <v>0</v>
      </c>
      <c r="AA53" s="63">
        <f t="shared" ca="1" si="4"/>
        <v>97.664806916184133</v>
      </c>
      <c r="AB53" s="63">
        <f t="shared" ca="1" si="5"/>
        <v>97.664806916184133</v>
      </c>
      <c r="AC53" s="3">
        <f t="shared" ca="1" si="6"/>
        <v>0</v>
      </c>
    </row>
    <row r="54" spans="1:29" ht="15.75" thickBot="1">
      <c r="A54" s="7" t="s">
        <v>164</v>
      </c>
      <c r="B54" s="33" t="str">
        <f>FollowingResidueRemoval</f>
        <v>None removed</v>
      </c>
      <c r="H54" t="b">
        <f t="shared" ca="1" si="3"/>
        <v>1</v>
      </c>
      <c r="I54" t="b">
        <f t="shared" ca="1" si="0"/>
        <v>1</v>
      </c>
      <c r="J54" s="2">
        <f ca="1"/>
        <v>45237</v>
      </c>
      <c r="K54">
        <f ca="1"/>
        <v>96.477211304753894</v>
      </c>
      <c r="L54">
        <f ca="1"/>
        <v>0.73405339616966536</v>
      </c>
      <c r="M54">
        <f ca="1"/>
        <v>0.11629710301117768</v>
      </c>
      <c r="N54">
        <f ca="1"/>
        <v>9.5294611641102339E-2</v>
      </c>
      <c r="O54">
        <f ca="1"/>
        <v>0</v>
      </c>
      <c r="P54">
        <f ca="1"/>
        <v>11.728843511176677</v>
      </c>
      <c r="Q54">
        <f ca="1"/>
        <v>10.567445513878443</v>
      </c>
      <c r="R54">
        <f ca="1"/>
        <v>0</v>
      </c>
      <c r="S54">
        <f ca="1"/>
        <v>0.26340490789725141</v>
      </c>
      <c r="T54">
        <f ca="1"/>
        <v>0</v>
      </c>
      <c r="U54">
        <f ca="1"/>
        <v>0</v>
      </c>
      <c r="V54">
        <f ca="1"/>
        <v>0.61297928011574709</v>
      </c>
      <c r="X54" s="2">
        <f t="shared" ca="1" si="1"/>
        <v>45237</v>
      </c>
      <c r="Y54">
        <f t="shared" ca="1" si="2"/>
        <v>0</v>
      </c>
      <c r="AA54" s="63">
        <f t="shared" ca="1" si="4"/>
        <v>97.211264700923564</v>
      </c>
      <c r="AB54" s="63">
        <f t="shared" ca="1" si="5"/>
        <v>97.211264700923564</v>
      </c>
      <c r="AC54" s="3">
        <f t="shared" ca="1" si="6"/>
        <v>0</v>
      </c>
    </row>
    <row r="55" spans="1:29">
      <c r="A55" s="6" t="s">
        <v>167</v>
      </c>
      <c r="B55" t="str">
        <f>FollowingResidueIncorporation</f>
        <v>Full (Plough)</v>
      </c>
      <c r="H55" t="b">
        <f t="shared" ca="1" si="3"/>
        <v>1</v>
      </c>
      <c r="I55" t="b">
        <f t="shared" ca="1" si="0"/>
        <v>1</v>
      </c>
      <c r="J55" s="2">
        <f ca="1"/>
        <v>45238</v>
      </c>
      <c r="K55">
        <f ca="1"/>
        <v>95.901591140555794</v>
      </c>
      <c r="L55">
        <f ca="1"/>
        <v>0.77559726820146579</v>
      </c>
      <c r="M55">
        <f ca="1"/>
        <v>0.10696988681597919</v>
      </c>
      <c r="N55">
        <f ca="1"/>
        <v>9.3007217187388386E-2</v>
      </c>
      <c r="O55">
        <f ca="1"/>
        <v>0</v>
      </c>
      <c r="P55">
        <f ca="1"/>
        <v>12.504440779378143</v>
      </c>
      <c r="Q55">
        <f ca="1"/>
        <v>11.26624261732873</v>
      </c>
      <c r="R55">
        <f ca="1"/>
        <v>0</v>
      </c>
      <c r="S55">
        <f ca="1"/>
        <v>0.24517128737861621</v>
      </c>
      <c r="T55">
        <f ca="1"/>
        <v>0</v>
      </c>
      <c r="U55">
        <f ca="1"/>
        <v>0</v>
      </c>
      <c r="V55">
        <f ca="1"/>
        <v>0.65930801936375594</v>
      </c>
      <c r="X55" s="2">
        <f t="shared" ca="1" si="1"/>
        <v>45238</v>
      </c>
      <c r="Y55">
        <f t="shared" ca="1" si="2"/>
        <v>0</v>
      </c>
      <c r="AA55" s="63">
        <f t="shared" ca="1" si="4"/>
        <v>96.67718840875726</v>
      </c>
      <c r="AB55" s="63">
        <f t="shared" ca="1" si="5"/>
        <v>96.67718840875726</v>
      </c>
      <c r="AC55" s="3">
        <f t="shared" ca="1" si="6"/>
        <v>0</v>
      </c>
    </row>
    <row r="56" spans="1:29">
      <c r="A56" s="12"/>
      <c r="B56" s="13"/>
      <c r="H56" t="b">
        <f t="shared" ca="1" si="3"/>
        <v>1</v>
      </c>
      <c r="I56" t="b">
        <f t="shared" ca="1" si="0"/>
        <v>1</v>
      </c>
      <c r="J56" s="2">
        <f ca="1"/>
        <v>45239</v>
      </c>
      <c r="K56">
        <f ca="1"/>
        <v>95.242338726376516</v>
      </c>
      <c r="L56">
        <f ca="1"/>
        <v>0.8548850247859523</v>
      </c>
      <c r="M56">
        <f ca="1"/>
        <v>0.10178579779238461</v>
      </c>
      <c r="N56">
        <f ca="1"/>
        <v>9.384681281428664E-2</v>
      </c>
      <c r="O56">
        <f ca="1"/>
        <v>0</v>
      </c>
      <c r="P56">
        <f ca="1"/>
        <v>13.359325804164095</v>
      </c>
      <c r="Q56">
        <f ca="1"/>
        <v>12.036476350215311</v>
      </c>
      <c r="R56">
        <f ca="1"/>
        <v>0</v>
      </c>
      <c r="S56">
        <f ca="1"/>
        <v>0.23082386913715833</v>
      </c>
      <c r="T56">
        <f ca="1"/>
        <v>0</v>
      </c>
      <c r="U56">
        <f ca="1"/>
        <v>0</v>
      </c>
      <c r="V56">
        <f ca="1"/>
        <v>0.70427446008314876</v>
      </c>
      <c r="X56" s="2">
        <f t="shared" ca="1" si="1"/>
        <v>45239</v>
      </c>
      <c r="Y56">
        <f t="shared" ca="1" si="2"/>
        <v>0</v>
      </c>
      <c r="AA56" s="63">
        <f t="shared" ca="1" si="4"/>
        <v>96.097223751162474</v>
      </c>
      <c r="AB56" s="63">
        <f t="shared" ca="1" si="5"/>
        <v>96.097223751162474</v>
      </c>
      <c r="AC56" s="3">
        <f t="shared" ca="1" si="6"/>
        <v>0</v>
      </c>
    </row>
    <row r="57" spans="1:29" ht="15.75" thickBot="1">
      <c r="A57" s="14"/>
      <c r="B57" s="15"/>
      <c r="H57" t="b">
        <f t="shared" ca="1" si="3"/>
        <v>1</v>
      </c>
      <c r="I57" t="b">
        <f t="shared" ca="1" si="0"/>
        <v>1</v>
      </c>
      <c r="J57" s="2">
        <f ca="1"/>
        <v>45240</v>
      </c>
      <c r="K57">
        <f ca="1"/>
        <v>94.356844568090537</v>
      </c>
      <c r="L57">
        <f ca="1"/>
        <v>1.0928090459576101</v>
      </c>
      <c r="M57">
        <f ca="1"/>
        <v>0.10246901095033145</v>
      </c>
      <c r="N57">
        <f ca="1"/>
        <v>0.10484587672129214</v>
      </c>
      <c r="O57">
        <f ca="1"/>
        <v>0</v>
      </c>
      <c r="P57">
        <f ca="1"/>
        <v>14.452134850121706</v>
      </c>
      <c r="Q57">
        <f ca="1"/>
        <v>13.02107470718256</v>
      </c>
      <c r="R57">
        <f ca="1"/>
        <v>0</v>
      </c>
      <c r="S57">
        <f ca="1"/>
        <v>0.21099142432797172</v>
      </c>
      <c r="T57">
        <f ca="1"/>
        <v>0</v>
      </c>
      <c r="U57">
        <f ca="1"/>
        <v>0</v>
      </c>
      <c r="V57">
        <f ca="1"/>
        <v>0.75312191211680413</v>
      </c>
      <c r="X57" s="2">
        <f t="shared" ca="1" si="1"/>
        <v>45240</v>
      </c>
      <c r="Y57">
        <f t="shared" ca="1" si="2"/>
        <v>0</v>
      </c>
      <c r="AA57" s="63">
        <f t="shared" ca="1" si="4"/>
        <v>95.449653614048145</v>
      </c>
      <c r="AB57" s="63">
        <f t="shared" ca="1" si="5"/>
        <v>95.449653614048145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45241</v>
      </c>
      <c r="K58">
        <f ca="1"/>
        <v>93.456996521109389</v>
      </c>
      <c r="L58">
        <f ca="1"/>
        <v>1.0897486401641476</v>
      </c>
      <c r="M58">
        <f ca="1"/>
        <v>9.1984647813486475E-2</v>
      </c>
      <c r="N58">
        <f ca="1"/>
        <v>9.7915945369512605E-2</v>
      </c>
      <c r="O58">
        <f ca="1"/>
        <v>0</v>
      </c>
      <c r="P58">
        <f ca="1"/>
        <v>15.541883490285853</v>
      </c>
      <c r="Q58">
        <f ca="1"/>
        <v>14.002915701802705</v>
      </c>
      <c r="R58">
        <f ca="1"/>
        <v>0</v>
      </c>
      <c r="S58">
        <f ca="1"/>
        <v>0.19999045744813324</v>
      </c>
      <c r="T58">
        <f ca="1"/>
        <v>0</v>
      </c>
      <c r="U58">
        <f ca="1"/>
        <v>0</v>
      </c>
      <c r="V58">
        <f ca="1"/>
        <v>0.79333531693772841</v>
      </c>
      <c r="X58" s="2">
        <f t="shared" ca="1" si="1"/>
        <v>45241</v>
      </c>
      <c r="Y58">
        <f t="shared" ca="1" si="2"/>
        <v>0</v>
      </c>
      <c r="AA58" s="63">
        <f t="shared" ca="1" si="4"/>
        <v>94.546745161273535</v>
      </c>
      <c r="AB58" s="63">
        <f t="shared" ca="1" si="5"/>
        <v>94.546745161273535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45242</v>
      </c>
      <c r="K59">
        <f ca="1"/>
        <v>92.529683101410328</v>
      </c>
      <c r="L59">
        <f ca="1"/>
        <v>1.1168920804075722</v>
      </c>
      <c r="M59">
        <f ca="1"/>
        <v>9.3689373661369757E-2</v>
      </c>
      <c r="N59">
        <f ca="1"/>
        <v>9.5889287047122768E-2</v>
      </c>
      <c r="O59">
        <f ca="1"/>
        <v>0</v>
      </c>
      <c r="P59">
        <f ca="1"/>
        <v>16.658775570693425</v>
      </c>
      <c r="Q59">
        <f ca="1"/>
        <v>15.00921237490115</v>
      </c>
      <c r="R59">
        <f ca="1"/>
        <v>0</v>
      </c>
      <c r="S59">
        <f ca="1"/>
        <v>0.21047526379696779</v>
      </c>
      <c r="T59">
        <f ca="1"/>
        <v>0</v>
      </c>
      <c r="U59">
        <f ca="1"/>
        <v>0</v>
      </c>
      <c r="V59">
        <f ca="1"/>
        <v>0.82712839029719198</v>
      </c>
      <c r="X59" s="2">
        <f t="shared" ca="1" si="1"/>
        <v>45242</v>
      </c>
      <c r="Y59">
        <f t="shared" ca="1" si="2"/>
        <v>0</v>
      </c>
      <c r="AA59" s="63">
        <f t="shared" ca="1" si="4"/>
        <v>93.646575181817894</v>
      </c>
      <c r="AB59" s="63">
        <f t="shared" ca="1" si="5"/>
        <v>93.646575181817894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45243</v>
      </c>
      <c r="K60">
        <f ca="1"/>
        <v>91.640913146086461</v>
      </c>
      <c r="L60">
        <f ca="1"/>
        <v>1.0619378568177211</v>
      </c>
      <c r="M60">
        <f ca="1"/>
        <v>8.5024628642511146E-2</v>
      </c>
      <c r="N60">
        <f ca="1"/>
        <v>8.8143272851346072E-2</v>
      </c>
      <c r="O60">
        <f ca="1"/>
        <v>0</v>
      </c>
      <c r="P60">
        <f ca="1"/>
        <v>17.720713427511146</v>
      </c>
      <c r="Q60">
        <f ca="1"/>
        <v>15.965996428704276</v>
      </c>
      <c r="R60">
        <f ca="1"/>
        <v>0</v>
      </c>
      <c r="S60">
        <f ca="1"/>
        <v>0.2045852644207275</v>
      </c>
      <c r="T60">
        <f ca="1"/>
        <v>0</v>
      </c>
      <c r="U60">
        <f ca="1"/>
        <v>0</v>
      </c>
      <c r="V60">
        <f ca="1"/>
        <v>0.85349998577353281</v>
      </c>
      <c r="X60" s="2">
        <f t="shared" ca="1" si="1"/>
        <v>45243</v>
      </c>
      <c r="Y60">
        <f t="shared" ca="1" si="2"/>
        <v>0</v>
      </c>
      <c r="AA60" s="63">
        <f t="shared" ca="1" si="4"/>
        <v>92.702851002904183</v>
      </c>
      <c r="AB60" s="63">
        <f t="shared" ca="1" si="5"/>
        <v>92.702851002904183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45244</v>
      </c>
      <c r="K61">
        <f ca="1"/>
        <v>90.596812257953061</v>
      </c>
      <c r="L61">
        <f ca="1"/>
        <v>1.2157192928180329</v>
      </c>
      <c r="M61">
        <f ca="1"/>
        <v>8.0357666620353818E-2</v>
      </c>
      <c r="N61">
        <f ca="1"/>
        <v>9.1260738064284919E-2</v>
      </c>
      <c r="O61">
        <f ca="1"/>
        <v>0</v>
      </c>
      <c r="P61">
        <f ca="1"/>
        <v>18.936432720329179</v>
      </c>
      <c r="Q61">
        <f ca="1"/>
        <v>17.061334376966879</v>
      </c>
      <c r="R61">
        <f ca="1"/>
        <v>0</v>
      </c>
      <c r="S61">
        <f ca="1"/>
        <v>0.18708745628513546</v>
      </c>
      <c r="T61">
        <f ca="1"/>
        <v>0</v>
      </c>
      <c r="U61">
        <f ca="1"/>
        <v>0</v>
      </c>
      <c r="V61">
        <f ca="1"/>
        <v>0.87810659668023283</v>
      </c>
      <c r="X61" s="2">
        <f t="shared" ca="1" si="1"/>
        <v>45244</v>
      </c>
      <c r="Y61">
        <f t="shared" ca="1" si="2"/>
        <v>0</v>
      </c>
      <c r="AA61" s="63">
        <f t="shared" ca="1" si="4"/>
        <v>91.812531550771098</v>
      </c>
      <c r="AB61" s="63">
        <f t="shared" ca="1" si="5"/>
        <v>91.812531550771098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45245</v>
      </c>
      <c r="K62">
        <f ca="1"/>
        <v>89.402010940659579</v>
      </c>
      <c r="L62">
        <f ca="1"/>
        <v>1.3647777484609733</v>
      </c>
      <c r="M62">
        <f ca="1"/>
        <v>7.638172595568804E-2</v>
      </c>
      <c r="N62">
        <f ca="1"/>
        <v>9.3594705211815829E-2</v>
      </c>
      <c r="O62">
        <f ca="1"/>
        <v>0</v>
      </c>
      <c r="P62">
        <f ca="1"/>
        <v>20.301210468790153</v>
      </c>
      <c r="Q62">
        <f ca="1"/>
        <v>18.290970912032911</v>
      </c>
      <c r="R62">
        <f ca="1"/>
        <v>0</v>
      </c>
      <c r="S62">
        <f ca="1"/>
        <v>0.17382240734762353</v>
      </c>
      <c r="T62">
        <f ca="1"/>
        <v>0</v>
      </c>
      <c r="U62">
        <f ca="1"/>
        <v>0</v>
      </c>
      <c r="V62">
        <f ca="1"/>
        <v>0.9000997437929108</v>
      </c>
      <c r="X62" s="2">
        <f t="shared" ca="1" si="1"/>
        <v>45245</v>
      </c>
      <c r="Y62">
        <f t="shared" ca="1" si="2"/>
        <v>0</v>
      </c>
      <c r="AA62" s="63">
        <f t="shared" ca="1" si="4"/>
        <v>90.76678868912056</v>
      </c>
      <c r="AB62" s="63">
        <f t="shared" ca="1" si="5"/>
        <v>90.766788689120546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45246</v>
      </c>
      <c r="K63">
        <f ca="1"/>
        <v>88.064187113670855</v>
      </c>
      <c r="L63">
        <f ca="1"/>
        <v>1.5160199735469888</v>
      </c>
      <c r="M63">
        <f ca="1"/>
        <v>8.1094517845722969E-2</v>
      </c>
      <c r="N63">
        <f ca="1"/>
        <v>9.7101628712542659E-2</v>
      </c>
      <c r="O63">
        <f ca="1"/>
        <v>0</v>
      </c>
      <c r="P63">
        <f ca="1"/>
        <v>21.817230442337141</v>
      </c>
      <c r="Q63">
        <f ca="1"/>
        <v>19.656873565021929</v>
      </c>
      <c r="R63">
        <f ca="1"/>
        <v>0</v>
      </c>
      <c r="S63">
        <f ca="1"/>
        <v>0.18154764197242768</v>
      </c>
      <c r="T63">
        <f ca="1"/>
        <v>0</v>
      </c>
      <c r="U63">
        <f ca="1"/>
        <v>0</v>
      </c>
      <c r="V63">
        <f ca="1"/>
        <v>0.91916594940402474</v>
      </c>
      <c r="X63" s="2">
        <f t="shared" ca="1" si="1"/>
        <v>45246</v>
      </c>
      <c r="Y63">
        <f t="shared" ca="1" si="2"/>
        <v>0</v>
      </c>
      <c r="AA63" s="63">
        <f t="shared" ca="1" si="4"/>
        <v>89.580207087217843</v>
      </c>
      <c r="AB63" s="63">
        <f t="shared" ca="1" si="5"/>
        <v>89.580207087217843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45247</v>
      </c>
      <c r="K64">
        <f ca="1"/>
        <v>86.778820067668249</v>
      </c>
      <c r="L64">
        <f ca="1"/>
        <v>1.4521909700310083</v>
      </c>
      <c r="M64">
        <f ca="1"/>
        <v>7.6724283584205466E-2</v>
      </c>
      <c r="N64">
        <f ca="1"/>
        <v>9.0099640444212703E-2</v>
      </c>
      <c r="O64">
        <f ca="1"/>
        <v>0</v>
      </c>
      <c r="P64">
        <f ca="1"/>
        <v>23.26942141236815</v>
      </c>
      <c r="Q64">
        <f ca="1"/>
        <v>20.965267605485124</v>
      </c>
      <c r="R64">
        <f ca="1"/>
        <v>0</v>
      </c>
      <c r="S64">
        <f ca="1"/>
        <v>0.18391066545146875</v>
      </c>
      <c r="T64">
        <f ca="1"/>
        <v>0</v>
      </c>
      <c r="U64">
        <f ca="1"/>
        <v>0</v>
      </c>
      <c r="V64">
        <f ca="1"/>
        <v>0.93341995614901763</v>
      </c>
      <c r="X64" s="2">
        <f t="shared" ca="1" si="1"/>
        <v>45247</v>
      </c>
      <c r="Y64">
        <f t="shared" ca="1" si="2"/>
        <v>0</v>
      </c>
      <c r="AA64" s="63">
        <f t="shared" ca="1" si="4"/>
        <v>88.231011037699261</v>
      </c>
      <c r="AB64" s="63">
        <f t="shared" ca="1" si="5"/>
        <v>88.231011037699261</v>
      </c>
      <c r="AC64" s="3">
        <f t="shared" ca="1" si="6"/>
        <v>0</v>
      </c>
    </row>
    <row r="65" spans="1:29">
      <c r="A65" s="1"/>
      <c r="B65" s="1"/>
      <c r="H65" t="b">
        <f t="shared" ca="1" si="3"/>
        <v>1</v>
      </c>
      <c r="I65" t="b">
        <f t="shared" ca="1" si="0"/>
        <v>1</v>
      </c>
      <c r="J65" s="2">
        <f ca="1"/>
        <v>45248</v>
      </c>
      <c r="K65">
        <f ca="1"/>
        <v>85.513554886024394</v>
      </c>
      <c r="L65">
        <f ca="1"/>
        <v>1.4337488661417623</v>
      </c>
      <c r="M65">
        <f ca="1"/>
        <v>8.0968162554103884E-2</v>
      </c>
      <c r="N65">
        <f ca="1"/>
        <v>8.7515521943818425E-2</v>
      </c>
      <c r="O65">
        <f ca="1"/>
        <v>0</v>
      </c>
      <c r="P65">
        <f ca="1"/>
        <v>24.703170278509912</v>
      </c>
      <c r="Q65">
        <f ca="1"/>
        <v>22.257045691628083</v>
      </c>
      <c r="R65">
        <f ca="1"/>
        <v>0</v>
      </c>
      <c r="S65">
        <f ca="1"/>
        <v>0.20285541974885352</v>
      </c>
      <c r="T65">
        <f ca="1"/>
        <v>0</v>
      </c>
      <c r="U65">
        <f ca="1"/>
        <v>0</v>
      </c>
      <c r="V65">
        <f ca="1"/>
        <v>0.9445782969180252</v>
      </c>
      <c r="X65" s="2">
        <f t="shared" ca="1" si="1"/>
        <v>45248</v>
      </c>
      <c r="Y65">
        <f t="shared" ca="1" si="2"/>
        <v>0</v>
      </c>
      <c r="AA65" s="63">
        <f t="shared" ca="1" si="4"/>
        <v>86.947303752166164</v>
      </c>
      <c r="AB65" s="63">
        <f t="shared" ca="1" si="5"/>
        <v>86.947303752166164</v>
      </c>
      <c r="AC65" s="3">
        <f t="shared" ca="1" si="6"/>
        <v>0</v>
      </c>
    </row>
    <row r="66" spans="1:29">
      <c r="H66" t="b">
        <f t="shared" ca="1" si="3"/>
        <v>1</v>
      </c>
      <c r="I66" t="b">
        <f t="shared" ca="1" si="0"/>
        <v>1</v>
      </c>
      <c r="J66" s="2">
        <f ca="1"/>
        <v>45249</v>
      </c>
      <c r="K66">
        <f ca="1"/>
        <v>84.216687937652722</v>
      </c>
      <c r="L66">
        <f ca="1"/>
        <v>1.4713158174269978</v>
      </c>
      <c r="M66">
        <f ca="1"/>
        <v>8.6801264652084598E-2</v>
      </c>
      <c r="N66">
        <f ca="1"/>
        <v>8.7647604403245691E-2</v>
      </c>
      <c r="O66">
        <f ca="1"/>
        <v>0</v>
      </c>
      <c r="P66">
        <f ca="1"/>
        <v>26.17448609593691</v>
      </c>
      <c r="Q66">
        <f ca="1"/>
        <v>23.58267082419561</v>
      </c>
      <c r="R66">
        <f ca="1"/>
        <v>0</v>
      </c>
      <c r="S66">
        <f ca="1"/>
        <v>0.22229922742621158</v>
      </c>
      <c r="T66">
        <f ca="1"/>
        <v>0</v>
      </c>
      <c r="U66">
        <f ca="1"/>
        <v>0</v>
      </c>
      <c r="V66">
        <f ca="1"/>
        <v>0.95372514399534791</v>
      </c>
      <c r="X66" s="2">
        <f t="shared" ca="1" si="1"/>
        <v>45249</v>
      </c>
      <c r="Y66">
        <f t="shared" ca="1" si="2"/>
        <v>0</v>
      </c>
      <c r="AA66" s="63">
        <f t="shared" ca="1" si="4"/>
        <v>85.68800375507972</v>
      </c>
      <c r="AB66" s="63">
        <f t="shared" ca="1" si="5"/>
        <v>85.68800375507972</v>
      </c>
      <c r="AC66" s="3">
        <f t="shared" ca="1" si="6"/>
        <v>0</v>
      </c>
    </row>
    <row r="67" spans="1:29">
      <c r="H67" t="b">
        <f t="shared" ca="1" si="3"/>
        <v>1</v>
      </c>
      <c r="I67" t="b">
        <f t="shared" ca="1" si="0"/>
        <v>1</v>
      </c>
      <c r="J67" s="2">
        <f ca="1"/>
        <v>45250</v>
      </c>
      <c r="K67">
        <f ca="1"/>
        <v>82.6543901101264</v>
      </c>
      <c r="L67">
        <f ca="1"/>
        <v>1.7482217458171867</v>
      </c>
      <c r="M67">
        <f ca="1"/>
        <v>9.1087453496816906E-2</v>
      </c>
      <c r="N67">
        <f ca="1"/>
        <v>9.483646479406202E-2</v>
      </c>
      <c r="O67">
        <f ca="1"/>
        <v>0</v>
      </c>
      <c r="P67">
        <f ca="1"/>
        <v>27.922707841754097</v>
      </c>
      <c r="Q67">
        <f ca="1"/>
        <v>25.157782473310547</v>
      </c>
      <c r="R67">
        <f ca="1"/>
        <v>0</v>
      </c>
      <c r="S67">
        <f ca="1"/>
        <v>0.22125201228145111</v>
      </c>
      <c r="T67">
        <f ca="1"/>
        <v>0</v>
      </c>
      <c r="U67">
        <f ca="1"/>
        <v>0</v>
      </c>
      <c r="V67">
        <f ca="1"/>
        <v>0.96229051462931103</v>
      </c>
      <c r="X67" s="2">
        <f t="shared" ca="1" si="1"/>
        <v>45250</v>
      </c>
      <c r="Y67">
        <f t="shared" ca="1" si="2"/>
        <v>0</v>
      </c>
      <c r="AA67" s="63">
        <f t="shared" ca="1" si="4"/>
        <v>84.40261185594359</v>
      </c>
      <c r="AB67" s="63">
        <f t="shared" ca="1" si="5"/>
        <v>84.40261185594359</v>
      </c>
      <c r="AC67" s="3">
        <f t="shared" ca="1" si="6"/>
        <v>0</v>
      </c>
    </row>
    <row r="68" spans="1:29">
      <c r="H68" t="b">
        <f t="shared" ca="1" si="3"/>
        <v>1</v>
      </c>
      <c r="I68" t="b">
        <f t="shared" ca="1" si="0"/>
        <v>1</v>
      </c>
      <c r="J68" s="2">
        <f ca="1"/>
        <v>45251</v>
      </c>
      <c r="K68">
        <f ca="1"/>
        <v>81.017054161134894</v>
      </c>
      <c r="L68">
        <f ca="1"/>
        <v>1.8307004421927502</v>
      </c>
      <c r="M68">
        <f ca="1"/>
        <v>9.7387473259443524E-2</v>
      </c>
      <c r="N68">
        <f ca="1"/>
        <v>9.5977019941791961E-2</v>
      </c>
      <c r="O68">
        <f ca="1"/>
        <v>0</v>
      </c>
      <c r="P68">
        <f ca="1"/>
        <v>29.753408283946847</v>
      </c>
      <c r="Q68">
        <f ca="1"/>
        <v>26.807205722641989</v>
      </c>
      <c r="R68">
        <f ca="1"/>
        <v>0</v>
      </c>
      <c r="S68">
        <f ca="1"/>
        <v>0.24030590660337253</v>
      </c>
      <c r="T68">
        <f ca="1"/>
        <v>0</v>
      </c>
      <c r="U68">
        <f ca="1"/>
        <v>0</v>
      </c>
      <c r="V68">
        <f ca="1"/>
        <v>0.96925034926962883</v>
      </c>
      <c r="X68" s="2">
        <f t="shared" ca="1" si="1"/>
        <v>45251</v>
      </c>
      <c r="Y68">
        <f t="shared" ca="1" si="2"/>
        <v>0</v>
      </c>
      <c r="AA68" s="63">
        <f t="shared" ca="1" si="4"/>
        <v>82.847754603327644</v>
      </c>
      <c r="AB68" s="63">
        <f t="shared" ca="1" si="5"/>
        <v>82.847754603327644</v>
      </c>
      <c r="AC68" s="3">
        <f t="shared" ca="1" si="6"/>
        <v>0</v>
      </c>
    </row>
    <row r="69" spans="1:29">
      <c r="H69" t="b">
        <f t="shared" ca="1" si="3"/>
        <v>1</v>
      </c>
      <c r="I69" t="b">
        <f t="shared" ca="1" si="0"/>
        <v>1</v>
      </c>
      <c r="J69" s="2">
        <f ca="1"/>
        <v>45252</v>
      </c>
      <c r="K69">
        <f ca="1"/>
        <v>79.433243041295583</v>
      </c>
      <c r="L69">
        <f ca="1"/>
        <v>1.7642730956173018</v>
      </c>
      <c r="M69">
        <f ca="1"/>
        <v>9.0587039435918726E-2</v>
      </c>
      <c r="N69">
        <f ca="1"/>
        <v>8.987493634206499E-2</v>
      </c>
      <c r="O69">
        <f ca="1"/>
        <v>0</v>
      </c>
      <c r="P69">
        <f ca="1"/>
        <v>31.517681379564149</v>
      </c>
      <c r="Q69">
        <f ca="1"/>
        <v>28.396779306070854</v>
      </c>
      <c r="R69">
        <f ca="1"/>
        <v>0</v>
      </c>
      <c r="S69">
        <f ca="1"/>
        <v>0.2367560229066335</v>
      </c>
      <c r="T69">
        <f ca="1"/>
        <v>0</v>
      </c>
      <c r="U69">
        <f ca="1"/>
        <v>0</v>
      </c>
      <c r="V69">
        <f ca="1"/>
        <v>0.97450812054445102</v>
      </c>
      <c r="X69" s="2">
        <f t="shared" ca="1" si="1"/>
        <v>45252</v>
      </c>
      <c r="Y69">
        <f t="shared" ca="1" si="2"/>
        <v>0</v>
      </c>
      <c r="AA69" s="63">
        <f t="shared" ca="1" si="4"/>
        <v>81.197516136912881</v>
      </c>
      <c r="AB69" s="63">
        <f t="shared" ca="1" si="5"/>
        <v>81.197516136912881</v>
      </c>
      <c r="AC69" s="3">
        <f t="shared" ca="1" si="6"/>
        <v>0</v>
      </c>
    </row>
    <row r="70" spans="1:29">
      <c r="H70" t="b">
        <f t="shared" ca="1" si="3"/>
        <v>1</v>
      </c>
      <c r="I70" t="b">
        <f t="shared" ca="1" si="0"/>
        <v>1</v>
      </c>
      <c r="J70" s="2">
        <f ca="1"/>
        <v>45253</v>
      </c>
      <c r="K70">
        <f ca="1"/>
        <v>77.419346351410326</v>
      </c>
      <c r="L70">
        <f ca="1"/>
        <v>2.207925994980787</v>
      </c>
      <c r="M70">
        <f ca="1"/>
        <v>9.3942085209500092E-2</v>
      </c>
      <c r="N70">
        <f ca="1"/>
        <v>0.10008721988602158</v>
      </c>
      <c r="O70">
        <f ca="1"/>
        <v>0</v>
      </c>
      <c r="P70">
        <f ca="1"/>
        <v>33.725607374544936</v>
      </c>
      <c r="Q70">
        <f ca="1"/>
        <v>30.386074979459419</v>
      </c>
      <c r="R70">
        <f ca="1"/>
        <v>0</v>
      </c>
      <c r="S70">
        <f ca="1"/>
        <v>0.22593018898320982</v>
      </c>
      <c r="T70">
        <f ca="1"/>
        <v>0</v>
      </c>
      <c r="U70">
        <f ca="1"/>
        <v>0</v>
      </c>
      <c r="V70">
        <f ca="1"/>
        <v>0.97960904095027757</v>
      </c>
      <c r="X70" s="2">
        <f t="shared" ca="1" si="1"/>
        <v>45253</v>
      </c>
      <c r="Y70">
        <f t="shared" ca="1" si="2"/>
        <v>0</v>
      </c>
      <c r="AA70" s="63">
        <f t="shared" ca="1" si="4"/>
        <v>79.627272346391109</v>
      </c>
      <c r="AB70" s="63">
        <f t="shared" ca="1" si="5"/>
        <v>79.627272346391109</v>
      </c>
      <c r="AC70" s="3">
        <f t="shared" ca="1" si="6"/>
        <v>0</v>
      </c>
    </row>
    <row r="71" spans="1:29">
      <c r="H71" t="b">
        <f t="shared" ca="1" si="3"/>
        <v>1</v>
      </c>
      <c r="I71" t="b">
        <f t="shared" ca="1" si="0"/>
        <v>1</v>
      </c>
      <c r="J71" s="2">
        <f ca="1"/>
        <v>45254</v>
      </c>
      <c r="K71">
        <f ca="1"/>
        <v>75.190666312075109</v>
      </c>
      <c r="L71">
        <f ca="1"/>
        <v>2.4225708501881797</v>
      </c>
      <c r="M71">
        <f ca="1"/>
        <v>9.1993753216094376E-2</v>
      </c>
      <c r="N71">
        <f ca="1"/>
        <v>0.10189705763686495</v>
      </c>
      <c r="O71">
        <f ca="1"/>
        <v>0</v>
      </c>
      <c r="P71">
        <f ca="1"/>
        <v>36.148178224733115</v>
      </c>
      <c r="Q71">
        <f ca="1"/>
        <v>32.568761229683375</v>
      </c>
      <c r="R71">
        <f ca="1"/>
        <v>0</v>
      </c>
      <c r="S71">
        <f ca="1"/>
        <v>0.21901975005660063</v>
      </c>
      <c r="T71">
        <f ca="1"/>
        <v>0</v>
      </c>
      <c r="U71">
        <f ca="1"/>
        <v>0</v>
      </c>
      <c r="V71">
        <f ca="1"/>
        <v>0.98382922742237899</v>
      </c>
      <c r="X71" s="2">
        <f t="shared" ca="1" si="1"/>
        <v>45254</v>
      </c>
      <c r="Y71">
        <f t="shared" ca="1" si="2"/>
        <v>0</v>
      </c>
      <c r="AA71" s="63">
        <f t="shared" ca="1" si="4"/>
        <v>77.613237162263275</v>
      </c>
      <c r="AB71" s="63">
        <f t="shared" ca="1" si="5"/>
        <v>77.613237162263289</v>
      </c>
      <c r="AC71" s="3">
        <f t="shared" ca="1" si="6"/>
        <v>0</v>
      </c>
    </row>
    <row r="72" spans="1:29">
      <c r="H72" t="b">
        <f t="shared" ca="1" si="3"/>
        <v>1</v>
      </c>
      <c r="I72" t="b">
        <f t="shared" ca="1" si="0"/>
        <v>1</v>
      </c>
      <c r="J72" s="2">
        <f ca="1"/>
        <v>45255</v>
      </c>
      <c r="K72">
        <f ca="1"/>
        <v>72.731071519280988</v>
      </c>
      <c r="L72">
        <f ca="1"/>
        <v>2.6689148979910655</v>
      </c>
      <c r="M72">
        <f ca="1"/>
        <v>0.10215773852389454</v>
      </c>
      <c r="N72">
        <f ca="1"/>
        <v>0.10716236667305079</v>
      </c>
      <c r="O72">
        <f ca="1"/>
        <v>0</v>
      </c>
      <c r="P72">
        <f ca="1"/>
        <v>38.817093122724181</v>
      </c>
      <c r="Q72">
        <f ca="1"/>
        <v>34.973398373901659</v>
      </c>
      <c r="R72">
        <f ca="1"/>
        <v>0</v>
      </c>
      <c r="S72">
        <f ca="1"/>
        <v>0.24026846058207518</v>
      </c>
      <c r="T72">
        <f ca="1"/>
        <v>0</v>
      </c>
      <c r="U72">
        <f ca="1"/>
        <v>0</v>
      </c>
      <c r="V72">
        <f ca="1"/>
        <v>0.9872977089255498</v>
      </c>
      <c r="X72" s="2">
        <f t="shared" ca="1" si="1"/>
        <v>45255</v>
      </c>
      <c r="Y72">
        <f t="shared" ca="1" si="2"/>
        <v>0</v>
      </c>
      <c r="AA72" s="63">
        <f t="shared" ca="1" si="4"/>
        <v>75.399986417272061</v>
      </c>
      <c r="AB72" s="63">
        <f t="shared" ca="1" si="5"/>
        <v>75.399986417272061</v>
      </c>
      <c r="AC72" s="3">
        <f t="shared" ca="1" si="6"/>
        <v>0</v>
      </c>
    </row>
    <row r="73" spans="1:29">
      <c r="H73" t="b">
        <f t="shared" ca="1" si="3"/>
        <v>1</v>
      </c>
      <c r="I73" t="b">
        <f t="shared" ca="1" si="0"/>
        <v>1</v>
      </c>
      <c r="J73" s="2">
        <f ca="1"/>
        <v>45256</v>
      </c>
      <c r="K73">
        <f ca="1"/>
        <v>70.193632549299366</v>
      </c>
      <c r="L73">
        <f ca="1"/>
        <v>2.7424954624492841</v>
      </c>
      <c r="M73">
        <f ca="1"/>
        <v>0.10019135883669605</v>
      </c>
      <c r="N73">
        <f ca="1"/>
        <v>0.10486513363096081</v>
      </c>
      <c r="O73">
        <f ca="1"/>
        <v>0</v>
      </c>
      <c r="P73">
        <f ca="1"/>
        <v>41.559588585173465</v>
      </c>
      <c r="Q73">
        <f ca="1"/>
        <v>37.444330085444641</v>
      </c>
      <c r="R73">
        <f ca="1"/>
        <v>0</v>
      </c>
      <c r="S73">
        <f ca="1"/>
        <v>0.24317864198200728</v>
      </c>
      <c r="T73">
        <f ca="1"/>
        <v>0</v>
      </c>
      <c r="U73">
        <f ca="1"/>
        <v>0</v>
      </c>
      <c r="V73">
        <f ca="1"/>
        <v>0.98995352030622985</v>
      </c>
      <c r="X73" s="2">
        <f t="shared" ca="1" si="1"/>
        <v>45256</v>
      </c>
      <c r="Y73">
        <f t="shared" ca="1" si="2"/>
        <v>0</v>
      </c>
      <c r="AA73" s="63">
        <f t="shared" ca="1" si="4"/>
        <v>72.93612801174865</v>
      </c>
      <c r="AB73" s="63">
        <f t="shared" ca="1" si="5"/>
        <v>72.93612801174865</v>
      </c>
      <c r="AC73" s="3">
        <f t="shared" ca="1" si="6"/>
        <v>0</v>
      </c>
    </row>
    <row r="74" spans="1:29">
      <c r="H74" t="b">
        <f t="shared" ca="1" si="3"/>
        <v>1</v>
      </c>
      <c r="I74" t="b">
        <f t="shared" ca="1" si="0"/>
        <v>1</v>
      </c>
      <c r="J74" s="2">
        <f ca="1"/>
        <v>45257</v>
      </c>
      <c r="K74">
        <f ca="1"/>
        <v>67.590950642875882</v>
      </c>
      <c r="L74">
        <f ca="1"/>
        <v>2.7957637245135771</v>
      </c>
      <c r="M74">
        <f ca="1"/>
        <v>9.2311201953023669E-2</v>
      </c>
      <c r="N74">
        <f ca="1"/>
        <v>0.10077061613707106</v>
      </c>
      <c r="O74">
        <f ca="1"/>
        <v>0</v>
      </c>
      <c r="P74">
        <f ca="1"/>
        <v>44.355352309687042</v>
      </c>
      <c r="Q74">
        <f ca="1"/>
        <v>39.963255399805085</v>
      </c>
      <c r="R74">
        <f ca="1"/>
        <v>0</v>
      </c>
      <c r="S74">
        <f ca="1"/>
        <v>0.23162667021592345</v>
      </c>
      <c r="T74">
        <f ca="1"/>
        <v>0</v>
      </c>
      <c r="U74">
        <f ca="1"/>
        <v>0</v>
      </c>
      <c r="V74">
        <f ca="1"/>
        <v>0.99199133353568358</v>
      </c>
      <c r="X74" s="2">
        <f t="shared" ca="1" si="1"/>
        <v>45257</v>
      </c>
      <c r="Y74">
        <f t="shared" ca="1" si="2"/>
        <v>0</v>
      </c>
      <c r="AA74" s="63">
        <f t="shared" ca="1" si="4"/>
        <v>70.386714367389459</v>
      </c>
      <c r="AB74" s="63">
        <f t="shared" ca="1" si="5"/>
        <v>70.386714367389459</v>
      </c>
      <c r="AC74" s="3">
        <f t="shared" ca="1" si="6"/>
        <v>0</v>
      </c>
    </row>
    <row r="75" spans="1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45258</v>
      </c>
      <c r="K75">
        <f ca="1"/>
        <v>64.913544257876026</v>
      </c>
      <c r="L75">
        <f ca="1"/>
        <v>2.87488733269074</v>
      </c>
      <c r="M75">
        <f ca="1"/>
        <v>9.6698516202097906E-2</v>
      </c>
      <c r="N75">
        <f ca="1"/>
        <v>0.1007824314887755</v>
      </c>
      <c r="O75">
        <f ca="1"/>
        <v>0</v>
      </c>
      <c r="P75">
        <f ca="1"/>
        <v>47.230239642377782</v>
      </c>
      <c r="Q75">
        <f ca="1"/>
        <v>42.553469449280527</v>
      </c>
      <c r="R75">
        <f ca="1"/>
        <v>0</v>
      </c>
      <c r="S75">
        <f ca="1"/>
        <v>0.24894311603290409</v>
      </c>
      <c r="T75">
        <f ca="1"/>
        <v>0</v>
      </c>
      <c r="U75">
        <f ca="1"/>
        <v>0</v>
      </c>
      <c r="V75">
        <f ca="1"/>
        <v>0.99358303015845795</v>
      </c>
      <c r="X75" s="2">
        <f t="shared" ref="X75:X138" ca="1" si="8">IFERROR(J75,$X$9)</f>
        <v>45258</v>
      </c>
      <c r="Y75">
        <f t="shared" ref="Y75:Y138" ca="1" si="9">IFERROR(O75,0)</f>
        <v>0</v>
      </c>
      <c r="AA75" s="63">
        <f t="shared" ca="1" si="4"/>
        <v>67.788431590566759</v>
      </c>
      <c r="AB75" s="63">
        <f t="shared" ca="1" si="5"/>
        <v>67.788431590566773</v>
      </c>
      <c r="AC75" s="3">
        <f t="shared" ca="1" si="6"/>
        <v>0</v>
      </c>
    </row>
    <row r="76" spans="1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45259</v>
      </c>
      <c r="K76">
        <f ca="1"/>
        <v>62.184463689038331</v>
      </c>
      <c r="L76">
        <f ca="1"/>
        <v>2.9169063105701341</v>
      </c>
      <c r="M76">
        <f ca="1"/>
        <v>9.0476975769881562E-2</v>
      </c>
      <c r="N76">
        <f ca="1"/>
        <v>9.7348765962549808E-2</v>
      </c>
      <c r="O76">
        <f ca="1"/>
        <v>0</v>
      </c>
      <c r="P76">
        <f ca="1"/>
        <v>50.147145952947916</v>
      </c>
      <c r="Q76">
        <f ca="1"/>
        <v>45.181541729097795</v>
      </c>
      <c r="R76">
        <f ca="1"/>
        <v>0</v>
      </c>
      <c r="S76">
        <f ca="1"/>
        <v>0.24034115121007718</v>
      </c>
      <c r="T76">
        <f ca="1"/>
        <v>0</v>
      </c>
      <c r="U76">
        <f ca="1"/>
        <v>0</v>
      </c>
      <c r="V76">
        <f ca="1"/>
        <v>0.99482051758059598</v>
      </c>
      <c r="X76" s="2">
        <f t="shared" ca="1" si="8"/>
        <v>45259</v>
      </c>
      <c r="Y76">
        <f t="shared" ca="1" si="9"/>
        <v>0</v>
      </c>
      <c r="AA76" s="63">
        <f t="shared" ca="1" si="4"/>
        <v>65.101369999608465</v>
      </c>
      <c r="AB76" s="63">
        <f t="shared" ca="1" si="5"/>
        <v>65.101369999608465</v>
      </c>
      <c r="AC76" s="3">
        <f t="shared" ca="1" si="6"/>
        <v>0</v>
      </c>
    </row>
    <row r="77" spans="1:29">
      <c r="H77" t="b">
        <f t="shared" ca="1" si="10"/>
        <v>1</v>
      </c>
      <c r="I77" t="b">
        <f t="shared" ca="1" si="7"/>
        <v>1</v>
      </c>
      <c r="J77" s="2">
        <f ca="1"/>
        <v>45260</v>
      </c>
      <c r="K77">
        <f ca="1"/>
        <v>59.161023689014108</v>
      </c>
      <c r="L77">
        <f ca="1"/>
        <v>3.2163790263038408</v>
      </c>
      <c r="M77">
        <f ca="1"/>
        <v>9.2033967848541565E-2</v>
      </c>
      <c r="N77">
        <f ca="1"/>
        <v>0.10090505843107397</v>
      </c>
      <c r="O77">
        <f ca="1"/>
        <v>0</v>
      </c>
      <c r="P77">
        <f ca="1"/>
        <v>53.363524979251757</v>
      </c>
      <c r="Q77">
        <f ca="1"/>
        <v>48.079432734298649</v>
      </c>
      <c r="R77">
        <f ca="1"/>
        <v>0</v>
      </c>
      <c r="S77">
        <f ca="1"/>
        <v>0.2403016399082864</v>
      </c>
      <c r="T77">
        <f ca="1"/>
        <v>0</v>
      </c>
      <c r="U77">
        <f ca="1"/>
        <v>0</v>
      </c>
      <c r="V77">
        <f ca="1"/>
        <v>0.99586540702662141</v>
      </c>
      <c r="X77" s="2">
        <f t="shared" ca="1" si="8"/>
        <v>45260</v>
      </c>
      <c r="Y77">
        <f t="shared" ca="1" si="9"/>
        <v>0</v>
      </c>
      <c r="AA77" s="63">
        <f t="shared" ref="AA77:AA140" ca="1" si="11">K76+M77+N77+O77</f>
        <v>62.377402715317949</v>
      </c>
      <c r="AB77" s="63">
        <f t="shared" ref="AB77:AB140" ca="1" si="12">K77+L77+R77</f>
        <v>62.377402715317949</v>
      </c>
      <c r="AC77" s="3">
        <f t="shared" ref="AC77:AC140" ca="1" si="13">AB77-AA77</f>
        <v>0</v>
      </c>
    </row>
    <row r="78" spans="1:29">
      <c r="H78" t="b">
        <f t="shared" ca="1" si="10"/>
        <v>1</v>
      </c>
      <c r="I78" t="b">
        <f t="shared" ca="1" si="7"/>
        <v>1</v>
      </c>
      <c r="J78" s="2">
        <f ca="1"/>
        <v>45261</v>
      </c>
      <c r="K78">
        <f ca="1"/>
        <v>55.587786163889177</v>
      </c>
      <c r="L78">
        <f ca="1"/>
        <v>3.7766272595190387</v>
      </c>
      <c r="M78">
        <f ca="1"/>
        <v>9.4419171540918612E-2</v>
      </c>
      <c r="N78">
        <f ca="1"/>
        <v>0.10897056285318477</v>
      </c>
      <c r="O78">
        <f ca="1"/>
        <v>0</v>
      </c>
      <c r="P78">
        <f ca="1"/>
        <v>57.140152238770796</v>
      </c>
      <c r="Q78">
        <f ca="1"/>
        <v>51.482095814692293</v>
      </c>
      <c r="R78">
        <f ca="1"/>
        <v>0</v>
      </c>
      <c r="S78">
        <f ca="1"/>
        <v>0.23288328734187921</v>
      </c>
      <c r="T78">
        <f ca="1"/>
        <v>0</v>
      </c>
      <c r="U78">
        <f ca="1"/>
        <v>0</v>
      </c>
      <c r="V78">
        <f ca="1"/>
        <v>0.99678549272203887</v>
      </c>
      <c r="X78" s="2">
        <f t="shared" ca="1" si="8"/>
        <v>45261</v>
      </c>
      <c r="Y78">
        <f t="shared" ca="1" si="9"/>
        <v>0</v>
      </c>
      <c r="AA78" s="63">
        <f t="shared" ca="1" si="11"/>
        <v>59.364413423408216</v>
      </c>
      <c r="AB78" s="63">
        <f t="shared" ca="1" si="12"/>
        <v>59.364413423408216</v>
      </c>
      <c r="AC78" s="3">
        <f t="shared" ca="1" si="13"/>
        <v>0</v>
      </c>
    </row>
    <row r="79" spans="1:29">
      <c r="H79" t="b">
        <f t="shared" ca="1" si="10"/>
        <v>1</v>
      </c>
      <c r="I79" t="b">
        <f t="shared" ca="1" si="7"/>
        <v>1</v>
      </c>
      <c r="J79" s="2">
        <f ca="1"/>
        <v>45262</v>
      </c>
      <c r="K79">
        <f ca="1"/>
        <v>116.88795899743282</v>
      </c>
      <c r="L79">
        <f ca="1"/>
        <v>4.0916453105603097</v>
      </c>
      <c r="M79">
        <f ca="1"/>
        <v>8.957798856444299E-2</v>
      </c>
      <c r="N79">
        <f ca="1"/>
        <v>0.10991784616630855</v>
      </c>
      <c r="O79">
        <f ca="1"/>
        <v>65.192322309373196</v>
      </c>
      <c r="P79">
        <f ca="1"/>
        <v>61.231797549331105</v>
      </c>
      <c r="Q79">
        <f ca="1"/>
        <v>55.168583646187336</v>
      </c>
      <c r="R79">
        <f ca="1"/>
        <v>0</v>
      </c>
      <c r="S79">
        <f ca="1"/>
        <v>0.21941293775209436</v>
      </c>
      <c r="T79">
        <f ca="1"/>
        <v>0</v>
      </c>
      <c r="U79">
        <f ca="1"/>
        <v>0</v>
      </c>
      <c r="V79">
        <f ca="1"/>
        <v>0.99751913723809094</v>
      </c>
      <c r="X79" s="2">
        <f t="shared" ca="1" si="8"/>
        <v>45262</v>
      </c>
      <c r="Y79">
        <f t="shared" ca="1" si="9"/>
        <v>65.192322309373196</v>
      </c>
      <c r="AA79" s="63">
        <f t="shared" ca="1" si="11"/>
        <v>120.97960430799313</v>
      </c>
      <c r="AB79" s="63">
        <f t="shared" ca="1" si="12"/>
        <v>120.97960430799313</v>
      </c>
      <c r="AC79" s="3">
        <f t="shared" ca="1" si="13"/>
        <v>0</v>
      </c>
    </row>
    <row r="80" spans="1:29">
      <c r="H80" t="b">
        <f t="shared" ca="1" si="10"/>
        <v>1</v>
      </c>
      <c r="I80" t="b">
        <f t="shared" ca="1" si="7"/>
        <v>1</v>
      </c>
      <c r="J80" s="2">
        <f ca="1"/>
        <v>45263</v>
      </c>
      <c r="K80">
        <f ca="1"/>
        <v>112.49969376189074</v>
      </c>
      <c r="L80">
        <f ca="1"/>
        <v>4.5922026642075338</v>
      </c>
      <c r="M80">
        <f ca="1"/>
        <v>8.9034234777447097E-2</v>
      </c>
      <c r="N80">
        <f ca="1"/>
        <v>0.11490319388801613</v>
      </c>
      <c r="O80">
        <f ca="1"/>
        <v>0</v>
      </c>
      <c r="P80">
        <f ca="1"/>
        <v>65.824000213538639</v>
      </c>
      <c r="Q80">
        <f ca="1"/>
        <v>59.306063304472261</v>
      </c>
      <c r="R80">
        <f ca="1"/>
        <v>0</v>
      </c>
      <c r="S80">
        <f ca="1"/>
        <v>0.21106568509615287</v>
      </c>
      <c r="T80">
        <f ca="1"/>
        <v>0</v>
      </c>
      <c r="U80">
        <f ca="1"/>
        <v>0</v>
      </c>
      <c r="V80">
        <f ca="1"/>
        <v>0.99811784221886191</v>
      </c>
      <c r="X80" s="2">
        <f t="shared" ca="1" si="8"/>
        <v>45263</v>
      </c>
      <c r="Y80">
        <f t="shared" ca="1" si="9"/>
        <v>0</v>
      </c>
      <c r="AA80" s="63">
        <f t="shared" ca="1" si="11"/>
        <v>117.09189642609827</v>
      </c>
      <c r="AB80" s="63">
        <f t="shared" ca="1" si="12"/>
        <v>117.09189642609827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45264</v>
      </c>
      <c r="K81">
        <f ca="1"/>
        <v>108.06449502761122</v>
      </c>
      <c r="L81">
        <f ca="1"/>
        <v>4.6280472103145911</v>
      </c>
      <c r="M81">
        <f ca="1"/>
        <v>8.2691555470578493E-2</v>
      </c>
      <c r="N81">
        <f ca="1"/>
        <v>0.11015692056449465</v>
      </c>
      <c r="O81">
        <f ca="1"/>
        <v>0</v>
      </c>
      <c r="P81">
        <f ca="1"/>
        <v>70.45204742385323</v>
      </c>
      <c r="Q81">
        <f ca="1"/>
        <v>63.475838157726315</v>
      </c>
      <c r="R81">
        <f ca="1"/>
        <v>0</v>
      </c>
      <c r="S81">
        <f ca="1"/>
        <v>0.20428392818239746</v>
      </c>
      <c r="T81">
        <f ca="1"/>
        <v>0</v>
      </c>
      <c r="U81">
        <f ca="1"/>
        <v>0</v>
      </c>
      <c r="V81">
        <f ca="1"/>
        <v>0.99855590716980824</v>
      </c>
      <c r="X81" s="2">
        <f t="shared" ca="1" si="8"/>
        <v>45264</v>
      </c>
      <c r="Y81">
        <f t="shared" ca="1" si="9"/>
        <v>0</v>
      </c>
      <c r="AA81" s="63">
        <f t="shared" ca="1" si="11"/>
        <v>112.69254223792581</v>
      </c>
      <c r="AB81" s="63">
        <f t="shared" ca="1" si="12"/>
        <v>112.69254223792581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45265</v>
      </c>
      <c r="K82">
        <f ca="1"/>
        <v>103.45975614403964</v>
      </c>
      <c r="L82">
        <f ca="1"/>
        <v>4.7964349261491321</v>
      </c>
      <c r="M82">
        <f ca="1"/>
        <v>8.2181623012726135E-2</v>
      </c>
      <c r="N82">
        <f ca="1"/>
        <v>0.10951441956483661</v>
      </c>
      <c r="O82">
        <f ca="1"/>
        <v>0</v>
      </c>
      <c r="P82">
        <f ca="1"/>
        <v>75.248482350002362</v>
      </c>
      <c r="Q82">
        <f ca="1"/>
        <v>67.797326861590818</v>
      </c>
      <c r="R82">
        <f ca="1"/>
        <v>0</v>
      </c>
      <c r="S82">
        <f ca="1"/>
        <v>0.20673876067895133</v>
      </c>
      <c r="T82">
        <f ca="1"/>
        <v>0</v>
      </c>
      <c r="U82">
        <f ca="1"/>
        <v>0</v>
      </c>
      <c r="V82">
        <f ca="1"/>
        <v>0.99888918669923343</v>
      </c>
      <c r="X82" s="2">
        <f t="shared" ca="1" si="8"/>
        <v>45265</v>
      </c>
      <c r="Y82">
        <f t="shared" ca="1" si="9"/>
        <v>0</v>
      </c>
      <c r="AA82" s="63">
        <f t="shared" ca="1" si="11"/>
        <v>108.25619107018878</v>
      </c>
      <c r="AB82" s="63">
        <f t="shared" ca="1" si="12"/>
        <v>108.25619107018878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45266</v>
      </c>
      <c r="K83">
        <f ca="1"/>
        <v>98.94837948272729</v>
      </c>
      <c r="L83">
        <f ca="1"/>
        <v>4.6964171873930383</v>
      </c>
      <c r="M83">
        <f ca="1"/>
        <v>8.0262603577761382E-2</v>
      </c>
      <c r="N83">
        <f ca="1"/>
        <v>0.10477792250292001</v>
      </c>
      <c r="O83">
        <f ca="1"/>
        <v>0</v>
      </c>
      <c r="P83">
        <f ca="1"/>
        <v>79.944899537395401</v>
      </c>
      <c r="Q83">
        <f ca="1"/>
        <v>72.028701650667472</v>
      </c>
      <c r="R83">
        <f ca="1"/>
        <v>0</v>
      </c>
      <c r="S83">
        <f ca="1"/>
        <v>0.21286558074494932</v>
      </c>
      <c r="T83">
        <f ca="1"/>
        <v>0</v>
      </c>
      <c r="U83">
        <f ca="1"/>
        <v>0</v>
      </c>
      <c r="V83">
        <f ca="1"/>
        <v>0.999131914078913</v>
      </c>
      <c r="X83" s="2">
        <f t="shared" ca="1" si="8"/>
        <v>45266</v>
      </c>
      <c r="Y83">
        <f t="shared" ca="1" si="9"/>
        <v>0</v>
      </c>
      <c r="AA83" s="63">
        <f t="shared" ca="1" si="11"/>
        <v>103.64479667012033</v>
      </c>
      <c r="AB83" s="63">
        <f t="shared" ca="1" si="12"/>
        <v>103.64479667012033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45267</v>
      </c>
      <c r="K84">
        <f ca="1"/>
        <v>93.978846983682217</v>
      </c>
      <c r="L84">
        <f ca="1"/>
        <v>5.1588958740005069</v>
      </c>
      <c r="M84">
        <f ca="1"/>
        <v>8.0369268061147636E-2</v>
      </c>
      <c r="N84">
        <f ca="1"/>
        <v>0.10899410689428324</v>
      </c>
      <c r="O84">
        <f ca="1"/>
        <v>0</v>
      </c>
      <c r="P84">
        <f ca="1"/>
        <v>85.103795411395907</v>
      </c>
      <c r="Q84">
        <f ca="1"/>
        <v>76.67676017479414</v>
      </c>
      <c r="R84">
        <f ca="1"/>
        <v>0</v>
      </c>
      <c r="S84">
        <f ca="1"/>
        <v>0.2078010223594853</v>
      </c>
      <c r="T84">
        <f ca="1"/>
        <v>0</v>
      </c>
      <c r="U84">
        <f ca="1"/>
        <v>0</v>
      </c>
      <c r="V84">
        <f ca="1"/>
        <v>0.99933110633827704</v>
      </c>
      <c r="X84" s="2">
        <f t="shared" ca="1" si="8"/>
        <v>45267</v>
      </c>
      <c r="Y84">
        <f t="shared" ca="1" si="9"/>
        <v>0</v>
      </c>
      <c r="AA84" s="63">
        <f t="shared" ca="1" si="11"/>
        <v>99.137742857682724</v>
      </c>
      <c r="AB84" s="63">
        <f t="shared" ca="1" si="12"/>
        <v>99.137742857682724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45268</v>
      </c>
      <c r="K85">
        <f ca="1"/>
        <v>88.799274058680197</v>
      </c>
      <c r="L85">
        <f ca="1"/>
        <v>5.37867312374172</v>
      </c>
      <c r="M85">
        <f ca="1"/>
        <v>8.7381882708644554E-2</v>
      </c>
      <c r="N85">
        <f ca="1"/>
        <v>0.11171831603105686</v>
      </c>
      <c r="O85">
        <f ca="1"/>
        <v>0</v>
      </c>
      <c r="P85">
        <f ca="1"/>
        <v>90.482468535137627</v>
      </c>
      <c r="Q85">
        <f ca="1"/>
        <v>81.522833457120754</v>
      </c>
      <c r="R85">
        <f ca="1"/>
        <v>0</v>
      </c>
      <c r="S85">
        <f ca="1"/>
        <v>0.22788306045606346</v>
      </c>
      <c r="T85">
        <f ca="1"/>
        <v>0</v>
      </c>
      <c r="U85">
        <f ca="1"/>
        <v>0</v>
      </c>
      <c r="V85">
        <f ca="1"/>
        <v>0.99948529827830679</v>
      </c>
      <c r="X85" s="2">
        <f t="shared" ca="1" si="8"/>
        <v>45268</v>
      </c>
      <c r="Y85">
        <f t="shared" ca="1" si="9"/>
        <v>0</v>
      </c>
      <c r="AA85" s="63">
        <f t="shared" ca="1" si="11"/>
        <v>94.177947182421917</v>
      </c>
      <c r="AB85" s="63">
        <f t="shared" ca="1" si="12"/>
        <v>94.177947182421917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45269</v>
      </c>
      <c r="K86">
        <f ca="1"/>
        <v>83.794948332462141</v>
      </c>
      <c r="L86">
        <f ca="1"/>
        <v>5.1851197291245228</v>
      </c>
      <c r="M86">
        <f ca="1"/>
        <v>7.6796609458662957E-2</v>
      </c>
      <c r="N86">
        <f ca="1"/>
        <v>0.10399739344780107</v>
      </c>
      <c r="O86">
        <f ca="1"/>
        <v>0</v>
      </c>
      <c r="P86">
        <f ca="1"/>
        <v>95.66758826426215</v>
      </c>
      <c r="Q86">
        <f ca="1"/>
        <v>86.194519132545224</v>
      </c>
      <c r="R86">
        <f ca="1"/>
        <v>0</v>
      </c>
      <c r="S86">
        <f ca="1"/>
        <v>0.2121897878644419</v>
      </c>
      <c r="T86">
        <f ca="1"/>
        <v>0</v>
      </c>
      <c r="U86">
        <f ca="1"/>
        <v>0</v>
      </c>
      <c r="V86">
        <f ca="1"/>
        <v>0.99959696545378629</v>
      </c>
      <c r="X86" s="2">
        <f t="shared" ca="1" si="8"/>
        <v>45269</v>
      </c>
      <c r="Y86">
        <f t="shared" ca="1" si="9"/>
        <v>0</v>
      </c>
      <c r="AA86" s="63">
        <f t="shared" ca="1" si="11"/>
        <v>88.980068061586664</v>
      </c>
      <c r="AB86" s="63">
        <f t="shared" ca="1" si="12"/>
        <v>88.980068061586664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45270</v>
      </c>
      <c r="K87">
        <f ca="1"/>
        <v>142.66849631387402</v>
      </c>
      <c r="L87">
        <f ca="1"/>
        <v>5.7395561570058504</v>
      </c>
      <c r="M87">
        <f ca="1"/>
        <v>7.53815999356231E-2</v>
      </c>
      <c r="N87">
        <f ca="1"/>
        <v>0.10896210811378659</v>
      </c>
      <c r="O87">
        <f ca="1"/>
        <v>64.4287604303683</v>
      </c>
      <c r="P87">
        <f ca="1"/>
        <v>101.407144421268</v>
      </c>
      <c r="Q87">
        <f ca="1"/>
        <v>91.365740566713711</v>
      </c>
      <c r="R87">
        <f ca="1"/>
        <v>0</v>
      </c>
      <c r="S87">
        <f ca="1"/>
        <v>0.20082169834356833</v>
      </c>
      <c r="T87">
        <f ca="1"/>
        <v>0</v>
      </c>
      <c r="U87">
        <f ca="1"/>
        <v>0</v>
      </c>
      <c r="V87">
        <f ca="1"/>
        <v>0.99969013784741145</v>
      </c>
      <c r="X87" s="2">
        <f t="shared" ca="1" si="8"/>
        <v>45270</v>
      </c>
      <c r="Y87">
        <f t="shared" ca="1" si="9"/>
        <v>64.4287604303683</v>
      </c>
      <c r="AA87" s="63">
        <f t="shared" ca="1" si="11"/>
        <v>148.40805247087985</v>
      </c>
      <c r="AB87" s="63">
        <f t="shared" ca="1" si="12"/>
        <v>148.40805247087985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45271</v>
      </c>
      <c r="K88">
        <f ca="1"/>
        <v>136.33967893083556</v>
      </c>
      <c r="L88">
        <f ca="1"/>
        <v>6.5187339681844492</v>
      </c>
      <c r="M88">
        <f ca="1"/>
        <v>7.3315033992662038E-2</v>
      </c>
      <c r="N88">
        <f ca="1"/>
        <v>0.11660155115333332</v>
      </c>
      <c r="O88">
        <f ca="1"/>
        <v>0</v>
      </c>
      <c r="P88">
        <f ca="1"/>
        <v>107.92587838945245</v>
      </c>
      <c r="Q88">
        <f ca="1"/>
        <v>97.238985099528421</v>
      </c>
      <c r="R88">
        <f ca="1"/>
        <v>0</v>
      </c>
      <c r="S88">
        <f ca="1"/>
        <v>0.1839243788980067</v>
      </c>
      <c r="T88">
        <f ca="1"/>
        <v>0</v>
      </c>
      <c r="U88">
        <f ca="1"/>
        <v>0</v>
      </c>
      <c r="V88">
        <f ca="1"/>
        <v>0.99976819792320137</v>
      </c>
      <c r="X88" s="2">
        <f t="shared" ca="1" si="8"/>
        <v>45271</v>
      </c>
      <c r="Y88">
        <f t="shared" ca="1" si="9"/>
        <v>0</v>
      </c>
      <c r="AA88" s="63">
        <f t="shared" ca="1" si="11"/>
        <v>142.85841289902001</v>
      </c>
      <c r="AB88" s="63">
        <f t="shared" ca="1" si="12"/>
        <v>142.85841289902001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45272</v>
      </c>
      <c r="K89">
        <f ca="1"/>
        <v>129.42345427247648</v>
      </c>
      <c r="L89">
        <f ca="1"/>
        <v>7.1150465158566902</v>
      </c>
      <c r="M89">
        <f ca="1"/>
        <v>7.5730177530656917E-2</v>
      </c>
      <c r="N89">
        <f ca="1"/>
        <v>0.12309167996692186</v>
      </c>
      <c r="O89">
        <f ca="1"/>
        <v>0</v>
      </c>
      <c r="P89">
        <f ca="1"/>
        <v>115.04092490530914</v>
      </c>
      <c r="Q89">
        <f ca="1"/>
        <v>103.64949490924481</v>
      </c>
      <c r="R89">
        <f ca="1"/>
        <v>0</v>
      </c>
      <c r="S89">
        <f ca="1"/>
        <v>0.18321071780130435</v>
      </c>
      <c r="T89">
        <f ca="1"/>
        <v>0</v>
      </c>
      <c r="U89">
        <f ca="1"/>
        <v>0</v>
      </c>
      <c r="V89">
        <f ca="1"/>
        <v>0.9998297423702579</v>
      </c>
      <c r="X89" s="2">
        <f t="shared" ca="1" si="8"/>
        <v>45272</v>
      </c>
      <c r="Y89">
        <f t="shared" ca="1" si="9"/>
        <v>0</v>
      </c>
      <c r="AA89" s="63">
        <f t="shared" ca="1" si="11"/>
        <v>136.53850078833315</v>
      </c>
      <c r="AB89" s="63">
        <f t="shared" ca="1" si="12"/>
        <v>136.53850078833318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45273</v>
      </c>
      <c r="K90">
        <f ca="1"/>
        <v>122.97823059020079</v>
      </c>
      <c r="L90">
        <f ca="1"/>
        <v>6.6380673017121552</v>
      </c>
      <c r="M90">
        <f ca="1"/>
        <v>7.7136377711450876E-2</v>
      </c>
      <c r="N90">
        <f ca="1"/>
        <v>0.11570724172504319</v>
      </c>
      <c r="O90">
        <f ca="1"/>
        <v>0</v>
      </c>
      <c r="P90">
        <f ca="1"/>
        <v>121.6789922070213</v>
      </c>
      <c r="Q90">
        <f ca="1"/>
        <v>109.63025630839351</v>
      </c>
      <c r="R90">
        <f ca="1"/>
        <v>0</v>
      </c>
      <c r="S90">
        <f ca="1"/>
        <v>0.20256908991492761</v>
      </c>
      <c r="T90">
        <f ca="1"/>
        <v>0</v>
      </c>
      <c r="U90">
        <f ca="1"/>
        <v>0</v>
      </c>
      <c r="V90">
        <f ca="1"/>
        <v>0.99987155190441612</v>
      </c>
      <c r="X90" s="2">
        <f t="shared" ca="1" si="8"/>
        <v>45273</v>
      </c>
      <c r="Y90">
        <f t="shared" ca="1" si="9"/>
        <v>0</v>
      </c>
      <c r="AA90" s="63">
        <f t="shared" ca="1" si="11"/>
        <v>129.61629789191295</v>
      </c>
      <c r="AB90" s="63">
        <f t="shared" ca="1" si="12"/>
        <v>129.61629789191295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45274</v>
      </c>
      <c r="K91">
        <f ca="1"/>
        <v>116.87801836578548</v>
      </c>
      <c r="L91">
        <f ca="1"/>
        <v>6.279304082622744</v>
      </c>
      <c r="M91">
        <f ca="1"/>
        <v>7.0663408658198534E-2</v>
      </c>
      <c r="N91">
        <f ca="1"/>
        <v>0.108428449549218</v>
      </c>
      <c r="O91">
        <f ca="1"/>
        <v>0</v>
      </c>
      <c r="P91">
        <f ca="1"/>
        <v>127.95829628964404</v>
      </c>
      <c r="Q91">
        <f ca="1"/>
        <v>115.28777946444534</v>
      </c>
      <c r="R91">
        <f ca="1"/>
        <v>0</v>
      </c>
      <c r="S91">
        <f ca="1"/>
        <v>0.19752809004481642</v>
      </c>
      <c r="T91">
        <f ca="1"/>
        <v>0</v>
      </c>
      <c r="U91">
        <f ca="1"/>
        <v>0</v>
      </c>
      <c r="V91">
        <f ca="1"/>
        <v>0.99990120002571248</v>
      </c>
      <c r="X91" s="2">
        <f t="shared" ca="1" si="8"/>
        <v>45274</v>
      </c>
      <c r="Y91">
        <f t="shared" ca="1" si="9"/>
        <v>0</v>
      </c>
      <c r="AA91" s="63">
        <f t="shared" ca="1" si="11"/>
        <v>123.15732244840822</v>
      </c>
      <c r="AB91" s="63">
        <f t="shared" ca="1" si="12"/>
        <v>123.15732244840822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45275</v>
      </c>
      <c r="K92">
        <f ca="1"/>
        <v>110.00319865987369</v>
      </c>
      <c r="L92">
        <f ca="1"/>
        <v>7.0666300833169657</v>
      </c>
      <c r="M92">
        <f ca="1"/>
        <v>7.3633935313720755E-2</v>
      </c>
      <c r="N92">
        <f ca="1"/>
        <v>0.11817644209145045</v>
      </c>
      <c r="O92">
        <f ca="1"/>
        <v>0</v>
      </c>
      <c r="P92">
        <f ca="1"/>
        <v>135.024926372961</v>
      </c>
      <c r="Q92">
        <f ca="1"/>
        <v>121.65466706943604</v>
      </c>
      <c r="R92">
        <f ca="1"/>
        <v>0</v>
      </c>
      <c r="S92">
        <f ca="1"/>
        <v>0.19284659356455461</v>
      </c>
      <c r="T92">
        <f ca="1"/>
        <v>0</v>
      </c>
      <c r="U92">
        <f ca="1"/>
        <v>0</v>
      </c>
      <c r="V92">
        <f ca="1"/>
        <v>0.99992621109517055</v>
      </c>
      <c r="X92" s="2">
        <f t="shared" ca="1" si="8"/>
        <v>45275</v>
      </c>
      <c r="Y92">
        <f t="shared" ca="1" si="9"/>
        <v>0</v>
      </c>
      <c r="AA92" s="63">
        <f t="shared" ca="1" si="11"/>
        <v>117.06982874319066</v>
      </c>
      <c r="AB92" s="63">
        <f t="shared" ca="1" si="12"/>
        <v>117.06982874319066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45276</v>
      </c>
      <c r="K93">
        <f ca="1"/>
        <v>103.35514931068766</v>
      </c>
      <c r="L93">
        <f ca="1"/>
        <v>6.836806243989713</v>
      </c>
      <c r="M93">
        <f ca="1"/>
        <v>7.3730948602173996E-2</v>
      </c>
      <c r="N93">
        <f ca="1"/>
        <v>0.11502594620150897</v>
      </c>
      <c r="O93">
        <f ca="1"/>
        <v>0</v>
      </c>
      <c r="P93">
        <f ca="1"/>
        <v>141.86173261695072</v>
      </c>
      <c r="Q93">
        <f ca="1"/>
        <v>127.8144881467195</v>
      </c>
      <c r="R93">
        <f ca="1"/>
        <v>0</v>
      </c>
      <c r="S93">
        <f ca="1"/>
        <v>0.20153223343268367</v>
      </c>
      <c r="T93">
        <f ca="1"/>
        <v>0</v>
      </c>
      <c r="U93">
        <f ca="1"/>
        <v>0</v>
      </c>
      <c r="V93">
        <f ca="1"/>
        <v>0.99994424377887858</v>
      </c>
      <c r="X93" s="2">
        <f t="shared" ca="1" si="8"/>
        <v>45276</v>
      </c>
      <c r="Y93">
        <f t="shared" ca="1" si="9"/>
        <v>0</v>
      </c>
      <c r="AA93" s="63">
        <f t="shared" ca="1" si="11"/>
        <v>110.19195555467738</v>
      </c>
      <c r="AB93" s="63">
        <f t="shared" ca="1" si="12"/>
        <v>110.19195555467738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45277</v>
      </c>
      <c r="K94">
        <f ca="1"/>
        <v>96.888131987127849</v>
      </c>
      <c r="L94">
        <f ca="1"/>
        <v>6.657317089556642</v>
      </c>
      <c r="M94">
        <f ca="1"/>
        <v>7.6475804024425997E-2</v>
      </c>
      <c r="N94">
        <f ca="1"/>
        <v>0.11382396197239625</v>
      </c>
      <c r="O94">
        <f ca="1"/>
        <v>0</v>
      </c>
      <c r="P94">
        <f ca="1"/>
        <v>148.51904970650736</v>
      </c>
      <c r="Q94">
        <f ca="1"/>
        <v>133.81259320673351</v>
      </c>
      <c r="R94">
        <f ca="1"/>
        <v>0</v>
      </c>
      <c r="S94">
        <f ca="1"/>
        <v>0.21630595451424736</v>
      </c>
      <c r="T94">
        <f ca="1"/>
        <v>0</v>
      </c>
      <c r="U94">
        <f ca="1"/>
        <v>0</v>
      </c>
      <c r="V94">
        <f ca="1"/>
        <v>0.99995752177805819</v>
      </c>
      <c r="X94" s="2">
        <f t="shared" ca="1" si="8"/>
        <v>45277</v>
      </c>
      <c r="Y94">
        <f t="shared" ca="1" si="9"/>
        <v>0</v>
      </c>
      <c r="AA94" s="63">
        <f t="shared" ca="1" si="11"/>
        <v>103.54544907668449</v>
      </c>
      <c r="AB94" s="63">
        <f t="shared" ca="1" si="12"/>
        <v>103.54544907668449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45278</v>
      </c>
      <c r="K95">
        <f ca="1"/>
        <v>153.17281672887532</v>
      </c>
      <c r="L95">
        <f ca="1"/>
        <v>6.8125347301276236</v>
      </c>
      <c r="M95">
        <f ca="1"/>
        <v>7.9078024785825818E-2</v>
      </c>
      <c r="N95">
        <f ca="1"/>
        <v>0.1169524071883867</v>
      </c>
      <c r="O95">
        <f ca="1"/>
        <v>62.901189039900871</v>
      </c>
      <c r="P95">
        <f ca="1"/>
        <v>155.33158443663498</v>
      </c>
      <c r="Q95">
        <f ca="1"/>
        <v>139.95054615183219</v>
      </c>
      <c r="R95">
        <f ca="1"/>
        <v>0</v>
      </c>
      <c r="S95">
        <f ca="1"/>
        <v>0.22279079416631833</v>
      </c>
      <c r="T95">
        <f ca="1"/>
        <v>0</v>
      </c>
      <c r="U95">
        <f ca="1"/>
        <v>0</v>
      </c>
      <c r="V95">
        <f ca="1"/>
        <v>0.99996785179269432</v>
      </c>
      <c r="X95" s="2">
        <f t="shared" ca="1" si="8"/>
        <v>45278</v>
      </c>
      <c r="Y95">
        <f t="shared" ca="1" si="9"/>
        <v>62.901189039900871</v>
      </c>
      <c r="AA95" s="63">
        <f t="shared" ca="1" si="11"/>
        <v>159.98535145900294</v>
      </c>
      <c r="AB95" s="63">
        <f t="shared" ca="1" si="12"/>
        <v>159.98535145900294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45279</v>
      </c>
      <c r="K96">
        <f ca="1"/>
        <v>146.58055772791295</v>
      </c>
      <c r="L96">
        <f ca="1"/>
        <v>6.7891553203090211</v>
      </c>
      <c r="M96">
        <f ca="1"/>
        <v>7.9326036820837942E-2</v>
      </c>
      <c r="N96">
        <f ca="1"/>
        <v>0.11757028252579188</v>
      </c>
      <c r="O96">
        <f ca="1"/>
        <v>0</v>
      </c>
      <c r="P96">
        <f ca="1"/>
        <v>162.120739756944</v>
      </c>
      <c r="Q96">
        <f ca="1"/>
        <v>146.06743473204529</v>
      </c>
      <c r="R96">
        <f ca="1"/>
        <v>0</v>
      </c>
      <c r="S96">
        <f ca="1"/>
        <v>0.22630842439908175</v>
      </c>
      <c r="T96">
        <f ca="1"/>
        <v>0</v>
      </c>
      <c r="U96">
        <f ca="1"/>
        <v>0</v>
      </c>
      <c r="V96">
        <f ca="1"/>
        <v>0.99997568268602366</v>
      </c>
      <c r="X96" s="2">
        <f t="shared" ca="1" si="8"/>
        <v>45279</v>
      </c>
      <c r="Y96">
        <f t="shared" ca="1" si="9"/>
        <v>0</v>
      </c>
      <c r="AA96" s="63">
        <f t="shared" ca="1" si="11"/>
        <v>153.36971304822197</v>
      </c>
      <c r="AB96" s="63">
        <f t="shared" ca="1" si="12"/>
        <v>153.36971304822197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45280</v>
      </c>
      <c r="K97">
        <f ca="1"/>
        <v>140.27448532898489</v>
      </c>
      <c r="L97">
        <f ca="1"/>
        <v>6.5143598366288415</v>
      </c>
      <c r="M97">
        <f ca="1"/>
        <v>8.9126115741549938E-2</v>
      </c>
      <c r="N97">
        <f ca="1"/>
        <v>0.1191613219592469</v>
      </c>
      <c r="O97">
        <f ca="1"/>
        <v>0</v>
      </c>
      <c r="P97">
        <f ca="1"/>
        <v>168.63509959357285</v>
      </c>
      <c r="Q97">
        <f ca="1"/>
        <v>151.93673826276205</v>
      </c>
      <c r="R97">
        <f ca="1"/>
        <v>0</v>
      </c>
      <c r="S97">
        <f ca="1"/>
        <v>0.26411206148749311</v>
      </c>
      <c r="T97">
        <f ca="1"/>
        <v>0</v>
      </c>
      <c r="U97">
        <f ca="1"/>
        <v>0</v>
      </c>
      <c r="V97">
        <f ca="1"/>
        <v>0.99998144432127212</v>
      </c>
      <c r="X97" s="2">
        <f t="shared" ca="1" si="8"/>
        <v>45280</v>
      </c>
      <c r="Y97">
        <f t="shared" ca="1" si="9"/>
        <v>0</v>
      </c>
      <c r="AA97" s="63">
        <f t="shared" ca="1" si="11"/>
        <v>146.78884516561374</v>
      </c>
      <c r="AB97" s="63">
        <f t="shared" ca="1" si="12"/>
        <v>146.78884516561374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45281</v>
      </c>
      <c r="K98">
        <f ca="1"/>
        <v>134.18043159384635</v>
      </c>
      <c r="L98">
        <f ca="1"/>
        <v>6.3028937036998514</v>
      </c>
      <c r="M98">
        <f ca="1"/>
        <v>9.0155419142309512E-2</v>
      </c>
      <c r="N98">
        <f ca="1"/>
        <v>0.11868454941898432</v>
      </c>
      <c r="O98">
        <f ca="1"/>
        <v>0</v>
      </c>
      <c r="P98">
        <f ca="1"/>
        <v>174.9379932972727</v>
      </c>
      <c r="Q98">
        <f ca="1"/>
        <v>157.61551517969727</v>
      </c>
      <c r="R98">
        <f ca="1"/>
        <v>0</v>
      </c>
      <c r="S98">
        <f ca="1"/>
        <v>0.27538172598542188</v>
      </c>
      <c r="T98">
        <f ca="1"/>
        <v>0</v>
      </c>
      <c r="U98">
        <f ca="1"/>
        <v>0</v>
      </c>
      <c r="V98">
        <f ca="1"/>
        <v>0.99998576549101581</v>
      </c>
      <c r="X98" s="2">
        <f t="shared" ca="1" si="8"/>
        <v>45281</v>
      </c>
      <c r="Y98">
        <f t="shared" ca="1" si="9"/>
        <v>0</v>
      </c>
      <c r="AA98" s="63">
        <f t="shared" ca="1" si="11"/>
        <v>140.4833252975462</v>
      </c>
      <c r="AB98" s="63">
        <f t="shared" ca="1" si="12"/>
        <v>140.4833252975462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45282</v>
      </c>
      <c r="K99">
        <f ca="1"/>
        <v>127.99444120140848</v>
      </c>
      <c r="L99">
        <f ca="1"/>
        <v>6.4001819732824572</v>
      </c>
      <c r="M99">
        <f ca="1"/>
        <v>9.1776898843743737E-2</v>
      </c>
      <c r="N99">
        <f ca="1"/>
        <v>0.12241468200083758</v>
      </c>
      <c r="O99">
        <f ca="1"/>
        <v>0</v>
      </c>
      <c r="P99">
        <f ca="1"/>
        <v>181.33817527055515</v>
      </c>
      <c r="Q99">
        <f ca="1"/>
        <v>163.38194681612589</v>
      </c>
      <c r="R99">
        <f ca="1"/>
        <v>0</v>
      </c>
      <c r="S99">
        <f ca="1"/>
        <v>0.27871289050474013</v>
      </c>
      <c r="T99">
        <f ca="1"/>
        <v>0</v>
      </c>
      <c r="U99">
        <f ca="1"/>
        <v>0</v>
      </c>
      <c r="V99">
        <f ca="1"/>
        <v>0.99998917558479705</v>
      </c>
      <c r="X99" s="2">
        <f t="shared" ca="1" si="8"/>
        <v>45282</v>
      </c>
      <c r="Y99">
        <f t="shared" ca="1" si="9"/>
        <v>0</v>
      </c>
      <c r="AA99" s="63">
        <f t="shared" ca="1" si="11"/>
        <v>134.39462317469093</v>
      </c>
      <c r="AB99" s="63">
        <f t="shared" ca="1" si="12"/>
        <v>134.39462317469093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45283</v>
      </c>
      <c r="K100">
        <f ca="1"/>
        <v>122.06970288327787</v>
      </c>
      <c r="L100">
        <f ca="1"/>
        <v>6.1327242882006203</v>
      </c>
      <c r="M100">
        <f ca="1"/>
        <v>8.8086426609214286E-2</v>
      </c>
      <c r="N100">
        <f ca="1"/>
        <v>0.11989954346079988</v>
      </c>
      <c r="O100">
        <f ca="1"/>
        <v>0</v>
      </c>
      <c r="P100">
        <f ca="1"/>
        <v>187.47089955875578</v>
      </c>
      <c r="Q100">
        <f ca="1"/>
        <v>168.90740460788876</v>
      </c>
      <c r="R100">
        <f ca="1"/>
        <v>0</v>
      </c>
      <c r="S100">
        <f ca="1"/>
        <v>0.27634868328989359</v>
      </c>
      <c r="T100">
        <f ca="1"/>
        <v>0</v>
      </c>
      <c r="U100">
        <f ca="1"/>
        <v>0</v>
      </c>
      <c r="V100">
        <f ca="1"/>
        <v>0.99999172054879115</v>
      </c>
      <c r="X100" s="2">
        <f t="shared" ca="1" si="8"/>
        <v>45283</v>
      </c>
      <c r="Y100">
        <f t="shared" ca="1" si="9"/>
        <v>0</v>
      </c>
      <c r="AA100" s="63">
        <f t="shared" ca="1" si="11"/>
        <v>128.20242717147849</v>
      </c>
      <c r="AB100" s="63">
        <f t="shared" ca="1" si="12"/>
        <v>128.20242717147849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45284</v>
      </c>
      <c r="K101">
        <f ca="1"/>
        <v>115.91408714084861</v>
      </c>
      <c r="L101">
        <f ca="1"/>
        <v>6.3628242266765938</v>
      </c>
      <c r="M101">
        <f ca="1"/>
        <v>8.3681329185093745E-2</v>
      </c>
      <c r="N101">
        <f ca="1"/>
        <v>0.12352715506223623</v>
      </c>
      <c r="O101">
        <f ca="1"/>
        <v>0</v>
      </c>
      <c r="P101">
        <f ca="1"/>
        <v>193.83372378543237</v>
      </c>
      <c r="Q101">
        <f ca="1"/>
        <v>174.64017768698369</v>
      </c>
      <c r="R101">
        <f ca="1"/>
        <v>0</v>
      </c>
      <c r="S101">
        <f ca="1"/>
        <v>0.25523542395879728</v>
      </c>
      <c r="T101">
        <f ca="1"/>
        <v>0</v>
      </c>
      <c r="U101">
        <f ca="1"/>
        <v>0</v>
      </c>
      <c r="V101">
        <f ca="1"/>
        <v>0.99999377546231505</v>
      </c>
      <c r="X101" s="2">
        <f t="shared" ca="1" si="8"/>
        <v>45284</v>
      </c>
      <c r="Y101">
        <f t="shared" ca="1" si="9"/>
        <v>0</v>
      </c>
      <c r="AA101" s="63">
        <f t="shared" ca="1" si="11"/>
        <v>122.2769113675252</v>
      </c>
      <c r="AB101" s="63">
        <f t="shared" ca="1" si="12"/>
        <v>122.2769113675252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45285</v>
      </c>
      <c r="K102">
        <f ca="1"/>
        <v>109.91410063627973</v>
      </c>
      <c r="L102">
        <f ca="1"/>
        <v>6.2007354862108173</v>
      </c>
      <c r="M102">
        <f ca="1"/>
        <v>7.843492093326887E-2</v>
      </c>
      <c r="N102">
        <f ca="1"/>
        <v>0.12231406070867379</v>
      </c>
      <c r="O102">
        <f ca="1"/>
        <v>0</v>
      </c>
      <c r="P102">
        <f ca="1"/>
        <v>200.03445927164319</v>
      </c>
      <c r="Q102">
        <f ca="1"/>
        <v>180.22691216204632</v>
      </c>
      <c r="R102">
        <f ca="1"/>
        <v>0</v>
      </c>
      <c r="S102">
        <f ca="1"/>
        <v>0.24232048230762562</v>
      </c>
      <c r="T102">
        <f ca="1"/>
        <v>0</v>
      </c>
      <c r="U102">
        <f ca="1"/>
        <v>0</v>
      </c>
      <c r="V102">
        <f ca="1"/>
        <v>0.99999532656535395</v>
      </c>
      <c r="X102" s="2">
        <f t="shared" ca="1" si="8"/>
        <v>45285</v>
      </c>
      <c r="Y102">
        <f t="shared" ca="1" si="9"/>
        <v>0</v>
      </c>
      <c r="AA102" s="63">
        <f t="shared" ca="1" si="11"/>
        <v>116.11483612249054</v>
      </c>
      <c r="AB102" s="63">
        <f t="shared" ca="1" si="12"/>
        <v>116.11483612249054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45286</v>
      </c>
      <c r="K103">
        <f ca="1"/>
        <v>104.46719221686364</v>
      </c>
      <c r="L103">
        <f ca="1"/>
        <v>5.6304876453860118</v>
      </c>
      <c r="M103">
        <f ca="1"/>
        <v>6.942131864316714E-2</v>
      </c>
      <c r="N103">
        <f ca="1"/>
        <v>0.11415790732675625</v>
      </c>
      <c r="O103">
        <f ca="1"/>
        <v>0</v>
      </c>
      <c r="P103">
        <f ca="1"/>
        <v>205.6649469170292</v>
      </c>
      <c r="Q103">
        <f ca="1"/>
        <v>185.29986512219824</v>
      </c>
      <c r="R103">
        <f ca="1"/>
        <v>0</v>
      </c>
      <c r="S103">
        <f ca="1"/>
        <v>0.22794344484167925</v>
      </c>
      <c r="T103">
        <f ca="1"/>
        <v>0</v>
      </c>
      <c r="U103">
        <f ca="1"/>
        <v>0</v>
      </c>
      <c r="V103">
        <f ca="1"/>
        <v>0.99999642914964781</v>
      </c>
      <c r="X103" s="2">
        <f t="shared" ca="1" si="8"/>
        <v>45286</v>
      </c>
      <c r="Y103">
        <f t="shared" ca="1" si="9"/>
        <v>0</v>
      </c>
      <c r="AA103" s="63">
        <f t="shared" ca="1" si="11"/>
        <v>110.09767986224965</v>
      </c>
      <c r="AB103" s="63">
        <f t="shared" ca="1" si="12"/>
        <v>110.09767986224965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45287</v>
      </c>
      <c r="K104">
        <f ca="1"/>
        <v>98.318837653220342</v>
      </c>
      <c r="L104">
        <f ca="1"/>
        <v>6.353952771386389</v>
      </c>
      <c r="M104">
        <f ca="1"/>
        <v>7.5027554219648351E-2</v>
      </c>
      <c r="N104">
        <f ca="1"/>
        <v>0.13057065352344646</v>
      </c>
      <c r="O104">
        <f ca="1"/>
        <v>0</v>
      </c>
      <c r="P104">
        <f ca="1"/>
        <v>212.01889968841559</v>
      </c>
      <c r="Q104">
        <f ca="1"/>
        <v>191.02464520349085</v>
      </c>
      <c r="R104">
        <f ca="1"/>
        <v>0</v>
      </c>
      <c r="S104">
        <f ca="1"/>
        <v>0.2213809352118854</v>
      </c>
      <c r="T104">
        <f ca="1"/>
        <v>0</v>
      </c>
      <c r="U104">
        <f ca="1"/>
        <v>0</v>
      </c>
      <c r="V104">
        <f ca="1"/>
        <v>0.99999739610896354</v>
      </c>
      <c r="X104" s="2">
        <f t="shared" ca="1" si="8"/>
        <v>45287</v>
      </c>
      <c r="Y104">
        <f t="shared" ca="1" si="9"/>
        <v>0</v>
      </c>
      <c r="AA104" s="63">
        <f t="shared" ca="1" si="11"/>
        <v>104.67279042460673</v>
      </c>
      <c r="AB104" s="63">
        <f t="shared" ca="1" si="12"/>
        <v>104.67279042460673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45288</v>
      </c>
      <c r="K105">
        <f ca="1"/>
        <v>92.353243460971242</v>
      </c>
      <c r="L105">
        <f ca="1"/>
        <v>6.1836659987100404</v>
      </c>
      <c r="M105">
        <f ca="1"/>
        <v>8.2099664871623901E-2</v>
      </c>
      <c r="N105">
        <f ca="1"/>
        <v>0.13597214158931453</v>
      </c>
      <c r="O105">
        <f ca="1"/>
        <v>0</v>
      </c>
      <c r="P105">
        <f ca="1"/>
        <v>218.20256568712563</v>
      </c>
      <c r="Q105">
        <f ca="1"/>
        <v>196.59600042322089</v>
      </c>
      <c r="R105">
        <f ca="1"/>
        <v>0</v>
      </c>
      <c r="S105">
        <f ca="1"/>
        <v>0.24228628496294879</v>
      </c>
      <c r="T105">
        <f ca="1"/>
        <v>0</v>
      </c>
      <c r="U105">
        <f ca="1"/>
        <v>0</v>
      </c>
      <c r="V105">
        <f ca="1"/>
        <v>0.99999811327841026</v>
      </c>
      <c r="X105" s="2">
        <f t="shared" ca="1" si="8"/>
        <v>45288</v>
      </c>
      <c r="Y105">
        <f t="shared" ca="1" si="9"/>
        <v>0</v>
      </c>
      <c r="AA105" s="63">
        <f t="shared" ca="1" si="11"/>
        <v>98.536909459681283</v>
      </c>
      <c r="AB105" s="63">
        <f t="shared" ca="1" si="12"/>
        <v>98.536909459681283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45289</v>
      </c>
      <c r="K106">
        <f ca="1"/>
        <v>87.307418321747008</v>
      </c>
      <c r="L106">
        <f ca="1"/>
        <v>5.2375682723229602</v>
      </c>
      <c r="M106">
        <f ca="1"/>
        <v>7.0668028135500549E-2</v>
      </c>
      <c r="N106">
        <f ca="1"/>
        <v>0.12107510496323096</v>
      </c>
      <c r="O106">
        <f ca="1"/>
        <v>0</v>
      </c>
      <c r="P106">
        <f ca="1"/>
        <v>223.44013395944859</v>
      </c>
      <c r="Q106">
        <f ca="1"/>
        <v>201.31494115171211</v>
      </c>
      <c r="R106">
        <f ca="1"/>
        <v>0</v>
      </c>
      <c r="S106">
        <f ca="1"/>
        <v>0.23269531335237395</v>
      </c>
      <c r="T106">
        <f ca="1"/>
        <v>0</v>
      </c>
      <c r="U106">
        <f ca="1"/>
        <v>0</v>
      </c>
      <c r="V106">
        <f ca="1"/>
        <v>0.99999858343527515</v>
      </c>
      <c r="X106" s="2">
        <f t="shared" ca="1" si="8"/>
        <v>45289</v>
      </c>
      <c r="Y106">
        <f t="shared" ca="1" si="9"/>
        <v>0</v>
      </c>
      <c r="AA106" s="63">
        <f t="shared" ca="1" si="11"/>
        <v>92.544986594069968</v>
      </c>
      <c r="AB106" s="63">
        <f t="shared" ca="1" si="12"/>
        <v>92.544986594069968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45290</v>
      </c>
      <c r="K107">
        <f ca="1"/>
        <v>82.286472117838457</v>
      </c>
      <c r="L107">
        <f ca="1"/>
        <v>5.2257625335390117</v>
      </c>
      <c r="M107">
        <f ca="1"/>
        <v>7.6503817237927763E-2</v>
      </c>
      <c r="N107">
        <f ca="1"/>
        <v>0.12831251239252919</v>
      </c>
      <c r="O107">
        <f ca="1"/>
        <v>0</v>
      </c>
      <c r="P107">
        <f ca="1"/>
        <v>228.6658964929876</v>
      </c>
      <c r="Q107">
        <f ca="1"/>
        <v>206.02324515363847</v>
      </c>
      <c r="R107">
        <f ca="1"/>
        <v>0</v>
      </c>
      <c r="S107">
        <f ca="1"/>
        <v>0.24667214182183603</v>
      </c>
      <c r="T107">
        <f ca="1"/>
        <v>0</v>
      </c>
      <c r="U107">
        <f ca="1"/>
        <v>0</v>
      </c>
      <c r="V107">
        <f ca="1"/>
        <v>0.99999895156526153</v>
      </c>
      <c r="X107" s="2">
        <f t="shared" ca="1" si="8"/>
        <v>45290</v>
      </c>
      <c r="Y107">
        <f t="shared" ca="1" si="9"/>
        <v>0</v>
      </c>
      <c r="AA107" s="63">
        <f t="shared" ca="1" si="11"/>
        <v>87.512234651377454</v>
      </c>
      <c r="AB107" s="63">
        <f t="shared" ca="1" si="12"/>
        <v>87.512234651377469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45291</v>
      </c>
      <c r="K108">
        <f ca="1"/>
        <v>77.752082141678756</v>
      </c>
      <c r="L108">
        <f ca="1"/>
        <v>4.7259390855458605</v>
      </c>
      <c r="M108">
        <f ca="1"/>
        <v>6.9675118751627352E-2</v>
      </c>
      <c r="N108">
        <f ca="1"/>
        <v>0.12187399063452453</v>
      </c>
      <c r="O108">
        <f ca="1"/>
        <v>0</v>
      </c>
      <c r="P108">
        <f ca="1"/>
        <v>233.39183557853346</v>
      </c>
      <c r="Q108">
        <f ca="1"/>
        <v>210.28121856259597</v>
      </c>
      <c r="R108">
        <f ca="1"/>
        <v>0</v>
      </c>
      <c r="S108">
        <f ca="1"/>
        <v>0.23664259367121429</v>
      </c>
      <c r="T108">
        <f ca="1"/>
        <v>0</v>
      </c>
      <c r="U108">
        <f ca="1"/>
        <v>0</v>
      </c>
      <c r="V108">
        <f ca="1"/>
        <v>0.99999921345393772</v>
      </c>
      <c r="X108" s="2">
        <f t="shared" ca="1" si="8"/>
        <v>45291</v>
      </c>
      <c r="Y108">
        <f t="shared" ca="1" si="9"/>
        <v>0</v>
      </c>
      <c r="AA108" s="63">
        <f t="shared" ca="1" si="11"/>
        <v>82.478021227224616</v>
      </c>
      <c r="AB108" s="63">
        <f t="shared" ca="1" si="12"/>
        <v>82.478021227224616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45292</v>
      </c>
      <c r="K109">
        <f ca="1"/>
        <v>73.334974437326082</v>
      </c>
      <c r="L109">
        <f ca="1"/>
        <v>4.6068865181529759</v>
      </c>
      <c r="M109">
        <f ca="1"/>
        <v>6.6210581872313767E-2</v>
      </c>
      <c r="N109">
        <f ca="1"/>
        <v>0.12356823192798465</v>
      </c>
      <c r="O109">
        <f ca="1"/>
        <v>0</v>
      </c>
      <c r="P109">
        <f ca="1"/>
        <v>237.99872209668644</v>
      </c>
      <c r="Q109">
        <f ca="1"/>
        <v>214.43192806970225</v>
      </c>
      <c r="R109">
        <f ca="1"/>
        <v>0</v>
      </c>
      <c r="S109">
        <f ca="1"/>
        <v>0.22297832293567638</v>
      </c>
      <c r="T109">
        <f ca="1"/>
        <v>0</v>
      </c>
      <c r="U109">
        <f ca="1"/>
        <v>0</v>
      </c>
      <c r="V109">
        <f ca="1"/>
        <v>0.99999941538077586</v>
      </c>
      <c r="X109" s="2">
        <f t="shared" ca="1" si="8"/>
        <v>45292</v>
      </c>
      <c r="Y109">
        <f t="shared" ca="1" si="9"/>
        <v>0</v>
      </c>
      <c r="AA109" s="63">
        <f t="shared" ca="1" si="11"/>
        <v>77.941860955479058</v>
      </c>
      <c r="AB109" s="63">
        <f t="shared" ca="1" si="12"/>
        <v>77.941860955479058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45293</v>
      </c>
      <c r="K110">
        <f ca="1"/>
        <v>68.838551711846748</v>
      </c>
      <c r="L110">
        <f ca="1"/>
        <v>4.6998103348879283</v>
      </c>
      <c r="M110">
        <f ca="1"/>
        <v>6.9872906172307125E-2</v>
      </c>
      <c r="N110">
        <f ca="1"/>
        <v>0.13351470323628947</v>
      </c>
      <c r="O110">
        <f ca="1"/>
        <v>0</v>
      </c>
      <c r="P110">
        <f ca="1"/>
        <v>242.69853243157436</v>
      </c>
      <c r="Q110">
        <f ca="1"/>
        <v>218.66636001451968</v>
      </c>
      <c r="R110">
        <f ca="1"/>
        <v>0</v>
      </c>
      <c r="S110">
        <f ca="1"/>
        <v>0.22343410634660996</v>
      </c>
      <c r="T110">
        <f ca="1"/>
        <v>0</v>
      </c>
      <c r="U110">
        <f ca="1"/>
        <v>0</v>
      </c>
      <c r="V110">
        <f ca="1"/>
        <v>0.99999957662290362</v>
      </c>
      <c r="X110" s="2">
        <f t="shared" ca="1" si="8"/>
        <v>45293</v>
      </c>
      <c r="Y110">
        <f t="shared" ca="1" si="9"/>
        <v>0</v>
      </c>
      <c r="AA110" s="63">
        <f t="shared" ca="1" si="11"/>
        <v>73.538362046734676</v>
      </c>
      <c r="AB110" s="63">
        <f t="shared" ca="1" si="12"/>
        <v>73.538362046734676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45294</v>
      </c>
      <c r="K111">
        <f ca="1"/>
        <v>64.780828454016557</v>
      </c>
      <c r="L111">
        <f ca="1"/>
        <v>4.2598165688903862</v>
      </c>
      <c r="M111">
        <f ca="1"/>
        <v>7.056450972755357E-2</v>
      </c>
      <c r="N111">
        <f ca="1"/>
        <v>0.13152880133263314</v>
      </c>
      <c r="O111">
        <f ca="1"/>
        <v>0</v>
      </c>
      <c r="P111">
        <f ca="1"/>
        <v>246.95834900046475</v>
      </c>
      <c r="Q111">
        <f ca="1"/>
        <v>222.50436667288884</v>
      </c>
      <c r="R111">
        <f ca="1"/>
        <v>0</v>
      </c>
      <c r="S111">
        <f ca="1"/>
        <v>0.2351486612048107</v>
      </c>
      <c r="T111">
        <f ca="1"/>
        <v>0</v>
      </c>
      <c r="U111">
        <f ca="1"/>
        <v>0</v>
      </c>
      <c r="V111">
        <f ca="1"/>
        <v>0.99999969053224136</v>
      </c>
      <c r="X111" s="2">
        <f t="shared" ca="1" si="8"/>
        <v>45294</v>
      </c>
      <c r="Y111">
        <f t="shared" ca="1" si="9"/>
        <v>0</v>
      </c>
      <c r="AA111" s="63">
        <f t="shared" ca="1" si="11"/>
        <v>69.040645022906929</v>
      </c>
      <c r="AB111" s="63">
        <f t="shared" ca="1" si="12"/>
        <v>69.040645022906943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45295</v>
      </c>
      <c r="K112">
        <f ca="1"/>
        <v>61.338982156332008</v>
      </c>
      <c r="L112">
        <f ca="1"/>
        <v>3.6294706678227726</v>
      </c>
      <c r="M112">
        <f ca="1"/>
        <v>6.5902159687984962E-2</v>
      </c>
      <c r="N112">
        <f ca="1"/>
        <v>0.12172221045023895</v>
      </c>
      <c r="O112">
        <f ca="1"/>
        <v>0</v>
      </c>
      <c r="P112">
        <f ca="1"/>
        <v>250.58781966828752</v>
      </c>
      <c r="Q112">
        <f ca="1"/>
        <v>225.77444470657463</v>
      </c>
      <c r="R112">
        <f ca="1"/>
        <v>0</v>
      </c>
      <c r="S112">
        <f ca="1"/>
        <v>0.24003958822342719</v>
      </c>
      <c r="T112">
        <f ca="1"/>
        <v>0</v>
      </c>
      <c r="U112">
        <f ca="1"/>
        <v>0</v>
      </c>
      <c r="V112">
        <f ca="1"/>
        <v>0.99999976746432162</v>
      </c>
      <c r="X112" s="2">
        <f t="shared" ca="1" si="8"/>
        <v>45295</v>
      </c>
      <c r="Y112">
        <f t="shared" ca="1" si="9"/>
        <v>0</v>
      </c>
      <c r="AA112" s="63">
        <f t="shared" ca="1" si="11"/>
        <v>64.968452824154781</v>
      </c>
      <c r="AB112" s="63">
        <f t="shared" ca="1" si="12"/>
        <v>64.968452824154781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45296</v>
      </c>
      <c r="K113">
        <f ca="1"/>
        <v>58.050267982633784</v>
      </c>
      <c r="L113">
        <f ca="1"/>
        <v>3.4786361782928168</v>
      </c>
      <c r="M113">
        <f ca="1"/>
        <v>6.5641073500989577E-2</v>
      </c>
      <c r="N113">
        <f ca="1"/>
        <v>0.1242809310935982</v>
      </c>
      <c r="O113">
        <f ca="1"/>
        <v>0</v>
      </c>
      <c r="P113">
        <f ca="1"/>
        <v>254.06645584658034</v>
      </c>
      <c r="Q113">
        <f ca="1"/>
        <v>228.90862398364368</v>
      </c>
      <c r="R113">
        <f ca="1"/>
        <v>0</v>
      </c>
      <c r="S113">
        <f ca="1"/>
        <v>0.2384147025275011</v>
      </c>
      <c r="T113">
        <f ca="1"/>
        <v>0</v>
      </c>
      <c r="U113">
        <f ca="1"/>
        <v>0</v>
      </c>
      <c r="V113">
        <f ca="1"/>
        <v>0.98718338087923352</v>
      </c>
      <c r="X113" s="2">
        <f t="shared" ca="1" si="8"/>
        <v>45296</v>
      </c>
      <c r="Y113">
        <f t="shared" ca="1" si="9"/>
        <v>0</v>
      </c>
      <c r="AA113" s="63">
        <f t="shared" ca="1" si="11"/>
        <v>61.528904160926601</v>
      </c>
      <c r="AB113" s="63">
        <f t="shared" ca="1" si="12"/>
        <v>61.528904160926601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45297</v>
      </c>
      <c r="K114">
        <f ca="1"/>
        <v>54.952301111619875</v>
      </c>
      <c r="L114">
        <f ca="1"/>
        <v>3.2816434670496903</v>
      </c>
      <c r="M114">
        <f ca="1"/>
        <v>6.0268139891128669E-2</v>
      </c>
      <c r="N114">
        <f ca="1"/>
        <v>0.12340845614465371</v>
      </c>
      <c r="O114">
        <f ca="1"/>
        <v>0</v>
      </c>
      <c r="P114">
        <f ca="1"/>
        <v>257.34809931363003</v>
      </c>
      <c r="Q114">
        <f ca="1"/>
        <v>231.86531690063731</v>
      </c>
      <c r="R114">
        <f ca="1"/>
        <v>0</v>
      </c>
      <c r="S114">
        <f ca="1"/>
        <v>0.22017148162140895</v>
      </c>
      <c r="T114">
        <f ca="1"/>
        <v>0</v>
      </c>
      <c r="U114">
        <f ca="1"/>
        <v>0</v>
      </c>
      <c r="V114">
        <f ca="1"/>
        <v>0.95607699622446174</v>
      </c>
      <c r="X114" s="2">
        <f t="shared" ca="1" si="8"/>
        <v>45297</v>
      </c>
      <c r="Y114">
        <f t="shared" ca="1" si="9"/>
        <v>0</v>
      </c>
      <c r="AA114" s="63">
        <f t="shared" ca="1" si="11"/>
        <v>58.233944578669565</v>
      </c>
      <c r="AB114" s="63">
        <f t="shared" ca="1" si="12"/>
        <v>58.233944578669565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45298</v>
      </c>
      <c r="K115">
        <f ca="1"/>
        <v>51.789062889164867</v>
      </c>
      <c r="L115">
        <f ca="1"/>
        <v>3.3589876667581393</v>
      </c>
      <c r="M115">
        <f ca="1"/>
        <v>6.1558544477941624E-2</v>
      </c>
      <c r="N115">
        <f ca="1"/>
        <v>0.13419089982519414</v>
      </c>
      <c r="O115">
        <f ca="1"/>
        <v>0</v>
      </c>
      <c r="P115">
        <f ca="1"/>
        <v>260.70708698038817</v>
      </c>
      <c r="Q115">
        <f ca="1"/>
        <v>234.89169534250428</v>
      </c>
      <c r="R115">
        <f ca="1"/>
        <v>0</v>
      </c>
      <c r="S115">
        <f ca="1"/>
        <v>0.21026984749450878</v>
      </c>
      <c r="T115">
        <f ca="1"/>
        <v>0</v>
      </c>
      <c r="U115">
        <f ca="1"/>
        <v>0</v>
      </c>
      <c r="V115">
        <f ca="1"/>
        <v>0.92163778464239299</v>
      </c>
      <c r="X115" s="2">
        <f t="shared" ca="1" si="8"/>
        <v>45298</v>
      </c>
      <c r="Y115">
        <f t="shared" ca="1" si="9"/>
        <v>0</v>
      </c>
      <c r="AA115" s="63">
        <f t="shared" ca="1" si="11"/>
        <v>55.148050555923007</v>
      </c>
      <c r="AB115" s="63">
        <f t="shared" ca="1" si="12"/>
        <v>55.148050555923007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45299</v>
      </c>
      <c r="K116">
        <f ca="1"/>
        <v>48.970068948081703</v>
      </c>
      <c r="L116">
        <f ca="1"/>
        <v>3.0138688043994648</v>
      </c>
      <c r="M116">
        <f ca="1"/>
        <v>6.2316575714300271E-2</v>
      </c>
      <c r="N116">
        <f ca="1"/>
        <v>0.13255828760200059</v>
      </c>
      <c r="O116">
        <f ca="1"/>
        <v>0</v>
      </c>
      <c r="P116">
        <f ca="1"/>
        <v>263.72095578478763</v>
      </c>
      <c r="Q116">
        <f ca="1"/>
        <v>237.60712882459651</v>
      </c>
      <c r="R116">
        <f ca="1"/>
        <v>0</v>
      </c>
      <c r="S116">
        <f ca="1"/>
        <v>0.22096209525987909</v>
      </c>
      <c r="T116">
        <f ca="1"/>
        <v>0</v>
      </c>
      <c r="U116">
        <f ca="1"/>
        <v>0</v>
      </c>
      <c r="V116">
        <f ca="1"/>
        <v>0.88803177979214842</v>
      </c>
      <c r="X116" s="2">
        <f t="shared" ca="1" si="8"/>
        <v>45299</v>
      </c>
      <c r="Y116">
        <f t="shared" ca="1" si="9"/>
        <v>0</v>
      </c>
      <c r="AA116" s="63">
        <f t="shared" ca="1" si="11"/>
        <v>51.983937752481168</v>
      </c>
      <c r="AB116" s="63">
        <f t="shared" ca="1" si="12"/>
        <v>51.983937752481168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45300</v>
      </c>
      <c r="K117">
        <f ca="1"/>
        <v>46.574534284459006</v>
      </c>
      <c r="L117">
        <f ca="1"/>
        <v>2.5724538713712946</v>
      </c>
      <c r="M117">
        <f ca="1"/>
        <v>5.4720843025432231E-2</v>
      </c>
      <c r="N117">
        <f ca="1"/>
        <v>0.12219836472316425</v>
      </c>
      <c r="O117">
        <f ca="1"/>
        <v>0</v>
      </c>
      <c r="P117">
        <f ca="1"/>
        <v>266.29340965615893</v>
      </c>
      <c r="Q117">
        <f ca="1"/>
        <v>239.92485657812796</v>
      </c>
      <c r="R117">
        <f ca="1"/>
        <v>0</v>
      </c>
      <c r="S117">
        <f ca="1"/>
        <v>0.20969423302276033</v>
      </c>
      <c r="T117">
        <f ca="1"/>
        <v>0</v>
      </c>
      <c r="U117">
        <f ca="1"/>
        <v>0</v>
      </c>
      <c r="V117">
        <f ca="1"/>
        <v>0.8568976215796491</v>
      </c>
      <c r="X117" s="2">
        <f t="shared" ca="1" si="8"/>
        <v>45300</v>
      </c>
      <c r="Y117">
        <f t="shared" ca="1" si="9"/>
        <v>0</v>
      </c>
      <c r="AA117" s="63">
        <f t="shared" ca="1" si="11"/>
        <v>49.1469881558303</v>
      </c>
      <c r="AB117" s="63">
        <f t="shared" ca="1" si="12"/>
        <v>49.1469881558303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45301</v>
      </c>
      <c r="K118">
        <f ca="1"/>
        <v>44.444000110020298</v>
      </c>
      <c r="L118">
        <f ca="1"/>
        <v>2.3081968989853294</v>
      </c>
      <c r="M118">
        <f ca="1"/>
        <v>5.6635373262164279E-2</v>
      </c>
      <c r="N118">
        <f ca="1"/>
        <v>0.1210273512844546</v>
      </c>
      <c r="O118">
        <f ca="1"/>
        <v>0</v>
      </c>
      <c r="P118">
        <f ca="1"/>
        <v>268.60160655514426</v>
      </c>
      <c r="Q118">
        <f ca="1"/>
        <v>242.00449426295918</v>
      </c>
      <c r="R118">
        <f ca="1"/>
        <v>0</v>
      </c>
      <c r="S118">
        <f ca="1"/>
        <v>0.22535815546114871</v>
      </c>
      <c r="T118">
        <f ca="1"/>
        <v>0</v>
      </c>
      <c r="U118">
        <f ca="1"/>
        <v>0</v>
      </c>
      <c r="V118">
        <f ca="1"/>
        <v>0.82665221721442916</v>
      </c>
      <c r="X118" s="2">
        <f t="shared" ca="1" si="8"/>
        <v>45301</v>
      </c>
      <c r="Y118">
        <f t="shared" ca="1" si="9"/>
        <v>0</v>
      </c>
      <c r="AA118" s="63">
        <f t="shared" ca="1" si="11"/>
        <v>46.752197009005627</v>
      </c>
      <c r="AB118" s="63">
        <f t="shared" ca="1" si="12"/>
        <v>46.752197009005627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45302</v>
      </c>
      <c r="K119">
        <f ca="1"/>
        <v>42.430199567140882</v>
      </c>
      <c r="L119">
        <f ca="1"/>
        <v>2.1987190892848503</v>
      </c>
      <c r="M119">
        <f ca="1"/>
        <v>5.9254398469411385E-2</v>
      </c>
      <c r="N119">
        <f ca="1"/>
        <v>0.12566414793601863</v>
      </c>
      <c r="O119">
        <f ca="1"/>
        <v>0</v>
      </c>
      <c r="P119">
        <f ca="1"/>
        <v>270.80032564442911</v>
      </c>
      <c r="Q119">
        <f ca="1"/>
        <v>243.98549470466517</v>
      </c>
      <c r="R119">
        <f ca="1"/>
        <v>0</v>
      </c>
      <c r="S119">
        <f ca="1"/>
        <v>0.23377311966817568</v>
      </c>
      <c r="T119">
        <f ca="1"/>
        <v>0</v>
      </c>
      <c r="U119">
        <f ca="1"/>
        <v>0</v>
      </c>
      <c r="V119">
        <f ca="1"/>
        <v>0.79540696477102002</v>
      </c>
      <c r="X119" s="2">
        <f t="shared" ca="1" si="8"/>
        <v>45302</v>
      </c>
      <c r="Y119">
        <f t="shared" ca="1" si="9"/>
        <v>0</v>
      </c>
      <c r="AA119" s="63">
        <f t="shared" ca="1" si="11"/>
        <v>44.628918656425732</v>
      </c>
      <c r="AB119" s="63">
        <f t="shared" ca="1" si="12"/>
        <v>44.628918656425732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45303</v>
      </c>
      <c r="K120">
        <f ca="1"/>
        <v>40.532652295175751</v>
      </c>
      <c r="L120">
        <f ca="1"/>
        <v>2.0922099649640131</v>
      </c>
      <c r="M120">
        <f ca="1"/>
        <v>6.3114342439602567E-2</v>
      </c>
      <c r="N120">
        <f ca="1"/>
        <v>0.13154835055927977</v>
      </c>
      <c r="O120">
        <f ca="1"/>
        <v>0</v>
      </c>
      <c r="P120">
        <f ca="1"/>
        <v>272.89253560939312</v>
      </c>
      <c r="Q120">
        <f ca="1"/>
        <v>245.87053262739664</v>
      </c>
      <c r="R120">
        <f ca="1"/>
        <v>0</v>
      </c>
      <c r="S120">
        <f ca="1"/>
        <v>0.24634084514930038</v>
      </c>
      <c r="T120">
        <f ca="1"/>
        <v>0</v>
      </c>
      <c r="U120">
        <f ca="1"/>
        <v>0</v>
      </c>
      <c r="V120">
        <f ca="1"/>
        <v>0.76302299646078453</v>
      </c>
      <c r="X120" s="2">
        <f t="shared" ca="1" si="8"/>
        <v>45303</v>
      </c>
      <c r="Y120">
        <f t="shared" ca="1" si="9"/>
        <v>0</v>
      </c>
      <c r="AA120" s="63">
        <f t="shared" ca="1" si="11"/>
        <v>42.624862260139764</v>
      </c>
      <c r="AB120" s="63">
        <f t="shared" ca="1" si="12"/>
        <v>42.624862260139764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45304</v>
      </c>
      <c r="K121">
        <f ca="1"/>
        <v>38.782592356379922</v>
      </c>
      <c r="L121">
        <f ca="1"/>
        <v>1.9417705901867066</v>
      </c>
      <c r="M121">
        <f ca="1"/>
        <v>5.9936859997735681E-2</v>
      </c>
      <c r="N121">
        <f ca="1"/>
        <v>0.13177379139314505</v>
      </c>
      <c r="O121">
        <f ca="1"/>
        <v>0</v>
      </c>
      <c r="P121">
        <f ca="1"/>
        <v>274.83430619957983</v>
      </c>
      <c r="Q121">
        <f ca="1"/>
        <v>247.62002778373457</v>
      </c>
      <c r="R121">
        <f ca="1"/>
        <v>0</v>
      </c>
      <c r="S121">
        <f ca="1"/>
        <v>0.23543154405283523</v>
      </c>
      <c r="T121">
        <f ca="1"/>
        <v>0</v>
      </c>
      <c r="U121">
        <f ca="1"/>
        <v>0</v>
      </c>
      <c r="V121">
        <f ca="1"/>
        <v>0.73016687766918165</v>
      </c>
      <c r="X121" s="2">
        <f t="shared" ca="1" si="8"/>
        <v>45304</v>
      </c>
      <c r="Y121">
        <f t="shared" ca="1" si="9"/>
        <v>0</v>
      </c>
      <c r="AA121" s="63">
        <f t="shared" ca="1" si="11"/>
        <v>40.724362946566629</v>
      </c>
      <c r="AB121" s="63">
        <f t="shared" ca="1" si="12"/>
        <v>40.724362946566629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45305</v>
      </c>
      <c r="K122">
        <f ca="1"/>
        <v>37.193357084347042</v>
      </c>
      <c r="L122">
        <f ca="1"/>
        <v>1.7740758419022882</v>
      </c>
      <c r="M122">
        <f ca="1"/>
        <v>5.5071347897728273E-2</v>
      </c>
      <c r="N122">
        <f ca="1"/>
        <v>0.12976922197167801</v>
      </c>
      <c r="O122">
        <f ca="1"/>
        <v>0</v>
      </c>
      <c r="P122">
        <f ca="1"/>
        <v>276.60838204148212</v>
      </c>
      <c r="Q122">
        <f ca="1"/>
        <v>249.21843343889793</v>
      </c>
      <c r="R122">
        <f ca="1"/>
        <v>0</v>
      </c>
      <c r="S122">
        <f ca="1"/>
        <v>0.21994432249950574</v>
      </c>
      <c r="T122">
        <f ca="1"/>
        <v>0</v>
      </c>
      <c r="U122">
        <f ca="1"/>
        <v>0</v>
      </c>
      <c r="V122">
        <f ca="1"/>
        <v>0.69728298531985144</v>
      </c>
      <c r="X122" s="2">
        <f t="shared" ca="1" si="8"/>
        <v>45305</v>
      </c>
      <c r="Y122">
        <f t="shared" ca="1" si="9"/>
        <v>0</v>
      </c>
      <c r="AA122" s="63">
        <f t="shared" ca="1" si="11"/>
        <v>38.96743292624933</v>
      </c>
      <c r="AB122" s="63">
        <f t="shared" ca="1" si="12"/>
        <v>38.96743292624933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45306</v>
      </c>
      <c r="K123">
        <f ca="1"/>
        <v>35.697033563906942</v>
      </c>
      <c r="L123">
        <f ca="1"/>
        <v>1.6824195922999934</v>
      </c>
      <c r="M123">
        <f ca="1"/>
        <v>5.2896824601214476E-2</v>
      </c>
      <c r="N123">
        <f ca="1"/>
        <v>0.13319924725867968</v>
      </c>
      <c r="O123">
        <f ca="1"/>
        <v>0</v>
      </c>
      <c r="P123">
        <f ca="1"/>
        <v>278.29080163378211</v>
      </c>
      <c r="Q123">
        <f ca="1"/>
        <v>250.73425870813014</v>
      </c>
      <c r="R123">
        <f ca="1"/>
        <v>0</v>
      </c>
      <c r="S123">
        <f ca="1"/>
        <v>0.20747373598417473</v>
      </c>
      <c r="T123">
        <f ca="1"/>
        <v>0</v>
      </c>
      <c r="U123">
        <f ca="1"/>
        <v>0</v>
      </c>
      <c r="V123">
        <f ca="1"/>
        <v>0.66301041508414749</v>
      </c>
      <c r="X123" s="2">
        <f t="shared" ca="1" si="8"/>
        <v>45306</v>
      </c>
      <c r="Y123">
        <f t="shared" ca="1" si="9"/>
        <v>0</v>
      </c>
      <c r="AA123" s="63">
        <f t="shared" ca="1" si="11"/>
        <v>37.379453156206935</v>
      </c>
      <c r="AB123" s="63">
        <f t="shared" ca="1" si="12"/>
        <v>37.379453156206935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45307</v>
      </c>
      <c r="K124">
        <f ca="1"/>
        <v>34.40375977484414</v>
      </c>
      <c r="L124">
        <f ca="1"/>
        <v>1.4657986515156836</v>
      </c>
      <c r="M124">
        <f ca="1"/>
        <v>4.6459294662383854E-2</v>
      </c>
      <c r="N124">
        <f ca="1"/>
        <v>0.12606556779049866</v>
      </c>
      <c r="O124">
        <f ca="1"/>
        <v>0</v>
      </c>
      <c r="P124">
        <f ca="1"/>
        <v>279.75660028529779</v>
      </c>
      <c r="Q124">
        <f ca="1"/>
        <v>252.05491298827701</v>
      </c>
      <c r="R124">
        <f ca="1"/>
        <v>0</v>
      </c>
      <c r="S124">
        <f ca="1"/>
        <v>0.19173635792845159</v>
      </c>
      <c r="T124">
        <f ca="1"/>
        <v>0</v>
      </c>
      <c r="U124">
        <f ca="1"/>
        <v>0</v>
      </c>
      <c r="V124">
        <f ca="1"/>
        <v>0.63015429629254471</v>
      </c>
      <c r="X124" s="2">
        <f t="shared" ca="1" si="8"/>
        <v>45307</v>
      </c>
      <c r="Y124">
        <f t="shared" ca="1" si="9"/>
        <v>0</v>
      </c>
      <c r="AA124" s="63">
        <f t="shared" ca="1" si="11"/>
        <v>35.869558426359823</v>
      </c>
      <c r="AB124" s="63">
        <f t="shared" ca="1" si="12"/>
        <v>35.869558426359823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45308</v>
      </c>
      <c r="K125">
        <f ca="1"/>
        <v>33.246599476601538</v>
      </c>
      <c r="L125">
        <f ca="1"/>
        <v>1.3216171011038682</v>
      </c>
      <c r="M125">
        <f ca="1"/>
        <v>4.1465271834098871E-2</v>
      </c>
      <c r="N125">
        <f ca="1"/>
        <v>0.12299153102716806</v>
      </c>
      <c r="O125">
        <f ca="1"/>
        <v>0</v>
      </c>
      <c r="P125">
        <f ca="1"/>
        <v>281.07821738640166</v>
      </c>
      <c r="Q125">
        <f ca="1"/>
        <v>253.24566267240542</v>
      </c>
      <c r="R125">
        <f ca="1"/>
        <v>0</v>
      </c>
      <c r="S125">
        <f ca="1"/>
        <v>0.17486372446866691</v>
      </c>
      <c r="T125">
        <f ca="1"/>
        <v>0</v>
      </c>
      <c r="U125">
        <f ca="1"/>
        <v>0</v>
      </c>
      <c r="V125">
        <f ca="1"/>
        <v>0.59760368663594421</v>
      </c>
      <c r="X125" s="2">
        <f t="shared" ca="1" si="8"/>
        <v>45308</v>
      </c>
      <c r="Y125">
        <f t="shared" ca="1" si="9"/>
        <v>0</v>
      </c>
      <c r="AA125" s="63">
        <f t="shared" ca="1" si="11"/>
        <v>34.568216577705407</v>
      </c>
      <c r="AB125" s="63">
        <f t="shared" ca="1" si="12"/>
        <v>34.568216577705407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45309</v>
      </c>
      <c r="K126">
        <f ca="1"/>
        <v>32.169172315463939</v>
      </c>
      <c r="L126">
        <f ca="1"/>
        <v>1.2587843047468823</v>
      </c>
      <c r="M126">
        <f ca="1"/>
        <v>4.9236821169312606E-2</v>
      </c>
      <c r="N126">
        <f ca="1"/>
        <v>0.1321203224399696</v>
      </c>
      <c r="O126">
        <f ca="1"/>
        <v>0</v>
      </c>
      <c r="P126">
        <f ca="1"/>
        <v>282.33700169114854</v>
      </c>
      <c r="Q126">
        <f ca="1"/>
        <v>254.37980130606203</v>
      </c>
      <c r="R126">
        <f ca="1"/>
        <v>0</v>
      </c>
      <c r="S126">
        <f ca="1"/>
        <v>0.20240318727695789</v>
      </c>
      <c r="T126">
        <f ca="1"/>
        <v>0</v>
      </c>
      <c r="U126">
        <f ca="1"/>
        <v>0</v>
      </c>
      <c r="V126">
        <f ca="1"/>
        <v>0.5634422106311503</v>
      </c>
      <c r="X126" s="2">
        <f t="shared" ca="1" si="8"/>
        <v>45309</v>
      </c>
      <c r="Y126">
        <f t="shared" ca="1" si="9"/>
        <v>0</v>
      </c>
      <c r="AA126" s="63">
        <f t="shared" ca="1" si="11"/>
        <v>33.427956620210814</v>
      </c>
      <c r="AB126" s="63">
        <f t="shared" ca="1" si="12"/>
        <v>33.427956620210821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45310</v>
      </c>
      <c r="K127">
        <f ca="1"/>
        <v>31.224986705314549</v>
      </c>
      <c r="L127">
        <f ca="1"/>
        <v>1.1166229970316977</v>
      </c>
      <c r="M127">
        <f ca="1"/>
        <v>4.4520345156712438E-2</v>
      </c>
      <c r="N127">
        <f ca="1"/>
        <v>0.12791704172559271</v>
      </c>
      <c r="O127">
        <f ca="1"/>
        <v>0</v>
      </c>
      <c r="P127">
        <f ca="1"/>
        <v>283.45362468818024</v>
      </c>
      <c r="Q127">
        <f ca="1"/>
        <v>255.38585554060202</v>
      </c>
      <c r="R127">
        <f ca="1"/>
        <v>0</v>
      </c>
      <c r="S127">
        <f ca="1"/>
        <v>0.18910674540385497</v>
      </c>
      <c r="T127">
        <f ca="1"/>
        <v>0</v>
      </c>
      <c r="U127">
        <f ca="1"/>
        <v>0</v>
      </c>
      <c r="V127">
        <f ca="1"/>
        <v>0.52997507356954343</v>
      </c>
      <c r="X127" s="2">
        <f t="shared" ca="1" si="8"/>
        <v>45310</v>
      </c>
      <c r="Y127">
        <f t="shared" ca="1" si="9"/>
        <v>0</v>
      </c>
      <c r="AA127" s="63">
        <f t="shared" ca="1" si="11"/>
        <v>32.341609702346247</v>
      </c>
      <c r="AB127" s="63">
        <f t="shared" ca="1" si="12"/>
        <v>32.341609702346247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45311</v>
      </c>
      <c r="K128">
        <f ca="1"/>
        <v>30.453269582781743</v>
      </c>
      <c r="L128">
        <f ca="1"/>
        <v>0.92228510363293026</v>
      </c>
      <c r="M128">
        <f ca="1"/>
        <v>3.583854627809302E-2</v>
      </c>
      <c r="N128">
        <f ca="1"/>
        <v>0.11472943482203039</v>
      </c>
      <c r="O128">
        <f ca="1"/>
        <v>0</v>
      </c>
      <c r="P128">
        <f ca="1"/>
        <v>284.37590979181317</v>
      </c>
      <c r="Q128">
        <f ca="1"/>
        <v>256.21681535105688</v>
      </c>
      <c r="R128">
        <f ca="1"/>
        <v>0</v>
      </c>
      <c r="S128">
        <f ca="1"/>
        <v>0.16662687464908968</v>
      </c>
      <c r="T128">
        <f ca="1"/>
        <v>0</v>
      </c>
      <c r="U128">
        <f ca="1"/>
        <v>0</v>
      </c>
      <c r="V128">
        <f ca="1"/>
        <v>0.49959080141568579</v>
      </c>
      <c r="X128" s="2">
        <f t="shared" ca="1" si="8"/>
        <v>45311</v>
      </c>
      <c r="Y128">
        <f t="shared" ca="1" si="9"/>
        <v>0</v>
      </c>
      <c r="AA128" s="63">
        <f t="shared" ca="1" si="11"/>
        <v>31.375554686414674</v>
      </c>
      <c r="AB128" s="63">
        <f t="shared" ca="1" si="12"/>
        <v>31.375554686414674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45312</v>
      </c>
      <c r="K129">
        <f ca="1"/>
        <v>29.660676640109198</v>
      </c>
      <c r="L129">
        <f ca="1"/>
        <v>0.95497894609906098</v>
      </c>
      <c r="M129">
        <f ca="1"/>
        <v>3.5046179980440684E-2</v>
      </c>
      <c r="N129">
        <f ca="1"/>
        <v>0.12733982344607669</v>
      </c>
      <c r="O129">
        <f ca="1"/>
        <v>0</v>
      </c>
      <c r="P129">
        <f ca="1"/>
        <v>285.33088873791223</v>
      </c>
      <c r="Q129">
        <f ca="1"/>
        <v>257.07723163764024</v>
      </c>
      <c r="R129">
        <f ca="1"/>
        <v>0</v>
      </c>
      <c r="S129">
        <f ca="1"/>
        <v>0.14821698438648612</v>
      </c>
      <c r="T129">
        <f ca="1"/>
        <v>0</v>
      </c>
      <c r="U129">
        <f ca="1"/>
        <v>0</v>
      </c>
      <c r="V129">
        <f ca="1"/>
        <v>0.46492940137179717</v>
      </c>
      <c r="X129" s="2">
        <f t="shared" ca="1" si="8"/>
        <v>45312</v>
      </c>
      <c r="Y129">
        <f t="shared" ca="1" si="9"/>
        <v>0</v>
      </c>
      <c r="AA129" s="63">
        <f t="shared" ca="1" si="11"/>
        <v>30.615655586208259</v>
      </c>
      <c r="AB129" s="63">
        <f t="shared" ca="1" si="12"/>
        <v>30.615655586208259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45313</v>
      </c>
      <c r="K130">
        <f ca="1"/>
        <v>28.923755188107044</v>
      </c>
      <c r="L130">
        <f ca="1"/>
        <v>0.91083475739515052</v>
      </c>
      <c r="M130">
        <f ca="1"/>
        <v>3.8144895182117722E-2</v>
      </c>
      <c r="N130">
        <f ca="1"/>
        <v>0.13576841021087888</v>
      </c>
      <c r="O130">
        <f ca="1"/>
        <v>0</v>
      </c>
      <c r="P130">
        <f ca="1"/>
        <v>286.24172349530738</v>
      </c>
      <c r="Q130">
        <f ca="1"/>
        <v>257.89787492286666</v>
      </c>
      <c r="R130">
        <f ca="1"/>
        <v>0</v>
      </c>
      <c r="S130">
        <f ca="1"/>
        <v>0.15487528109301402</v>
      </c>
      <c r="T130">
        <f ca="1"/>
        <v>0</v>
      </c>
      <c r="U130">
        <f ca="1"/>
        <v>0</v>
      </c>
      <c r="V130">
        <f ca="1"/>
        <v>0.42812943738289311</v>
      </c>
      <c r="X130" s="2">
        <f t="shared" ca="1" si="8"/>
        <v>45313</v>
      </c>
      <c r="Y130">
        <f t="shared" ca="1" si="9"/>
        <v>0</v>
      </c>
      <c r="AA130" s="63">
        <f t="shared" ca="1" si="11"/>
        <v>29.834589945502195</v>
      </c>
      <c r="AB130" s="63">
        <f t="shared" ca="1" si="12"/>
        <v>29.834589945502195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45314</v>
      </c>
      <c r="K131">
        <f ca="1"/>
        <v>28.327436874384123</v>
      </c>
      <c r="L131">
        <f ca="1"/>
        <v>0.75250508443002673</v>
      </c>
      <c r="M131">
        <f ca="1"/>
        <v>3.2309814567760498E-2</v>
      </c>
      <c r="N131">
        <f ca="1"/>
        <v>0.12387695613934574</v>
      </c>
      <c r="O131">
        <f ca="1"/>
        <v>0</v>
      </c>
      <c r="P131">
        <f ca="1"/>
        <v>286.99422857973741</v>
      </c>
      <c r="Q131">
        <f ca="1"/>
        <v>258.57586644616174</v>
      </c>
      <c r="R131">
        <f ca="1"/>
        <v>0</v>
      </c>
      <c r="S131">
        <f ca="1"/>
        <v>0.14302922463475085</v>
      </c>
      <c r="T131">
        <f ca="1"/>
        <v>0</v>
      </c>
      <c r="U131">
        <f ca="1"/>
        <v>0</v>
      </c>
      <c r="V131">
        <f ca="1"/>
        <v>0.394301244070829</v>
      </c>
      <c r="X131" s="2">
        <f t="shared" ca="1" si="8"/>
        <v>45314</v>
      </c>
      <c r="Y131">
        <f t="shared" ca="1" si="9"/>
        <v>0</v>
      </c>
      <c r="AA131" s="63">
        <f t="shared" ca="1" si="11"/>
        <v>29.07994195881415</v>
      </c>
      <c r="AB131" s="63">
        <f t="shared" ca="1" si="12"/>
        <v>29.07994195881415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45315</v>
      </c>
      <c r="K132">
        <f ca="1"/>
        <v>27.818255683952884</v>
      </c>
      <c r="L132">
        <f ca="1"/>
        <v>0.6610017631996925</v>
      </c>
      <c r="M132">
        <f ca="1"/>
        <v>3.1182772542306836E-2</v>
      </c>
      <c r="N132">
        <f ca="1"/>
        <v>0.12063780022614992</v>
      </c>
      <c r="O132">
        <f ca="1"/>
        <v>0</v>
      </c>
      <c r="P132">
        <f ca="1"/>
        <v>287.6552303429371</v>
      </c>
      <c r="Q132">
        <f ca="1"/>
        <v>259.1714153688269</v>
      </c>
      <c r="R132">
        <f ca="1"/>
        <v>0</v>
      </c>
      <c r="S132">
        <f ca="1"/>
        <v>0.14292641129100994</v>
      </c>
      <c r="T132">
        <f ca="1"/>
        <v>0</v>
      </c>
      <c r="U132">
        <f ca="1"/>
        <v>0</v>
      </c>
      <c r="V132">
        <f ca="1"/>
        <v>0.36141735172149869</v>
      </c>
      <c r="X132" s="2">
        <f t="shared" ca="1" si="8"/>
        <v>45315</v>
      </c>
      <c r="Y132">
        <f t="shared" ca="1" si="9"/>
        <v>0</v>
      </c>
      <c r="AA132" s="63">
        <f t="shared" ca="1" si="11"/>
        <v>28.479257447152577</v>
      </c>
      <c r="AB132" s="63">
        <f t="shared" ca="1" si="12"/>
        <v>28.479257447152577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45316</v>
      </c>
      <c r="K133">
        <f ca="1"/>
        <v>27.376680787756662</v>
      </c>
      <c r="L133">
        <f ca="1"/>
        <v>0.59068049781717491</v>
      </c>
      <c r="M133">
        <f ca="1"/>
        <v>3.0085903535699288E-2</v>
      </c>
      <c r="N133">
        <f ca="1"/>
        <v>0.11901969808525235</v>
      </c>
      <c r="O133">
        <f ca="1"/>
        <v>0</v>
      </c>
      <c r="P133">
        <f ca="1"/>
        <v>288.24591084075428</v>
      </c>
      <c r="Q133">
        <f ca="1"/>
        <v>259.7036062852498</v>
      </c>
      <c r="R133">
        <f ca="1"/>
        <v>0</v>
      </c>
      <c r="S133">
        <f ca="1"/>
        <v>0.1408758920764237</v>
      </c>
      <c r="T133">
        <f ca="1"/>
        <v>0</v>
      </c>
      <c r="U133">
        <f ca="1"/>
        <v>0</v>
      </c>
      <c r="V133">
        <f ca="1"/>
        <v>0.32895006273808058</v>
      </c>
      <c r="X133" s="2">
        <f t="shared" ca="1" si="8"/>
        <v>45316</v>
      </c>
      <c r="Y133">
        <f t="shared" ca="1" si="9"/>
        <v>0</v>
      </c>
      <c r="AA133" s="63">
        <f t="shared" ca="1" si="11"/>
        <v>27.967361285573837</v>
      </c>
      <c r="AB133" s="63">
        <f t="shared" ca="1" si="12"/>
        <v>27.967361285573837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45317</v>
      </c>
      <c r="K134">
        <f ca="1"/>
        <v>26.996762983457053</v>
      </c>
      <c r="L134">
        <f ca="1"/>
        <v>0.52341285444509822</v>
      </c>
      <c r="M134">
        <f ca="1"/>
        <v>2.7645930308397126E-2</v>
      </c>
      <c r="N134">
        <f ca="1"/>
        <v>0.11584911983709408</v>
      </c>
      <c r="O134">
        <f ca="1"/>
        <v>0</v>
      </c>
      <c r="P134">
        <f ca="1"/>
        <v>288.76932369519938</v>
      </c>
      <c r="Q134">
        <f ca="1"/>
        <v>260.17519044572913</v>
      </c>
      <c r="R134">
        <f ca="1"/>
        <v>0</v>
      </c>
      <c r="S134">
        <f ca="1"/>
        <v>0.13318971470852556</v>
      </c>
      <c r="T134">
        <f ca="1"/>
        <v>0</v>
      </c>
      <c r="U134">
        <f ca="1"/>
        <v>0</v>
      </c>
      <c r="V134">
        <f ca="1"/>
        <v>0.29720488625557706</v>
      </c>
      <c r="X134" s="2">
        <f t="shared" ca="1" si="8"/>
        <v>45317</v>
      </c>
      <c r="Y134">
        <f t="shared" ca="1" si="9"/>
        <v>0</v>
      </c>
      <c r="AA134" s="63">
        <f t="shared" ca="1" si="11"/>
        <v>27.520175837902151</v>
      </c>
      <c r="AB134" s="63">
        <f t="shared" ca="1" si="12"/>
        <v>27.520175837902151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45318</v>
      </c>
      <c r="K135">
        <f ca="1"/>
        <v>26.672226664845002</v>
      </c>
      <c r="L135">
        <f ca="1"/>
        <v>0.47076204346080885</v>
      </c>
      <c r="M135">
        <f ca="1"/>
        <v>2.9945027000895408E-2</v>
      </c>
      <c r="N135">
        <f ca="1"/>
        <v>0.1162806978478637</v>
      </c>
      <c r="O135">
        <f ca="1"/>
        <v>0</v>
      </c>
      <c r="P135">
        <f ca="1"/>
        <v>289.24008573866018</v>
      </c>
      <c r="Q135">
        <f ca="1"/>
        <v>260.59933731404857</v>
      </c>
      <c r="R135">
        <f ca="1"/>
        <v>0</v>
      </c>
      <c r="S135">
        <f ca="1"/>
        <v>0.14681049101650334</v>
      </c>
      <c r="T135">
        <f ca="1"/>
        <v>0</v>
      </c>
      <c r="U135">
        <f ca="1"/>
        <v>0</v>
      </c>
      <c r="V135">
        <f ca="1"/>
        <v>0.26573744535034827</v>
      </c>
      <c r="X135" s="2">
        <f t="shared" ca="1" si="8"/>
        <v>45318</v>
      </c>
      <c r="Y135">
        <f t="shared" ca="1" si="9"/>
        <v>0</v>
      </c>
      <c r="AA135" s="63">
        <f t="shared" ca="1" si="11"/>
        <v>27.142988708305811</v>
      </c>
      <c r="AB135" s="63">
        <f t="shared" ca="1" si="12"/>
        <v>27.142988708305811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45319</v>
      </c>
      <c r="K136">
        <f ca="1"/>
        <v>26.371163737658623</v>
      </c>
      <c r="L136">
        <f ca="1"/>
        <v>0.45260311007865539</v>
      </c>
      <c r="M136">
        <f ca="1"/>
        <v>2.9432720151419289E-2</v>
      </c>
      <c r="N136">
        <f ca="1"/>
        <v>0.12210746274085631</v>
      </c>
      <c r="O136">
        <f ca="1"/>
        <v>0</v>
      </c>
      <c r="P136">
        <f ca="1"/>
        <v>289.69268884873884</v>
      </c>
      <c r="Q136">
        <f ca="1"/>
        <v>261.00712335882025</v>
      </c>
      <c r="R136">
        <f ca="1"/>
        <v>0</v>
      </c>
      <c r="S136">
        <f ca="1"/>
        <v>0.1388898262946768</v>
      </c>
      <c r="T136">
        <f ca="1"/>
        <v>0</v>
      </c>
      <c r="U136">
        <f ca="1"/>
        <v>0</v>
      </c>
      <c r="V136">
        <f ca="1"/>
        <v>0.23229808184646872</v>
      </c>
      <c r="X136" s="2">
        <f t="shared" ca="1" si="8"/>
        <v>45319</v>
      </c>
      <c r="Y136">
        <f t="shared" ca="1" si="9"/>
        <v>0</v>
      </c>
      <c r="AA136" s="63">
        <f t="shared" ca="1" si="11"/>
        <v>26.823766847737279</v>
      </c>
      <c r="AB136" s="63">
        <f t="shared" ca="1" si="12"/>
        <v>26.823766847737279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45320</v>
      </c>
      <c r="K137">
        <f ca="1"/>
        <v>26.098455990699811</v>
      </c>
      <c r="L137">
        <f ca="1"/>
        <v>0.42221438382290444</v>
      </c>
      <c r="M137">
        <f ca="1"/>
        <v>2.5402320698399095E-2</v>
      </c>
      <c r="N137">
        <f ca="1"/>
        <v>0.12410431616569086</v>
      </c>
      <c r="O137">
        <f ca="1"/>
        <v>0</v>
      </c>
      <c r="P137">
        <f ca="1"/>
        <v>290.11490323256174</v>
      </c>
      <c r="Q137">
        <f ca="1"/>
        <v>261.38752978951158</v>
      </c>
      <c r="R137">
        <f ca="1"/>
        <v>0</v>
      </c>
      <c r="S137">
        <f ca="1"/>
        <v>0.11747202439236518</v>
      </c>
      <c r="T137">
        <f ca="1"/>
        <v>0</v>
      </c>
      <c r="U137">
        <f ca="1"/>
        <v>0</v>
      </c>
      <c r="V137">
        <f ca="1"/>
        <v>0.19763668180258021</v>
      </c>
      <c r="X137" s="2">
        <f t="shared" ca="1" si="8"/>
        <v>45320</v>
      </c>
      <c r="Y137">
        <f t="shared" ca="1" si="9"/>
        <v>0</v>
      </c>
      <c r="AA137" s="63">
        <f t="shared" ca="1" si="11"/>
        <v>26.520670374522716</v>
      </c>
      <c r="AB137" s="63">
        <f t="shared" ca="1" si="12"/>
        <v>26.520670374522716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45321</v>
      </c>
      <c r="K138">
        <f ca="1"/>
        <v>25.856033081955729</v>
      </c>
      <c r="L138">
        <f ca="1"/>
        <v>0.39434343516199988</v>
      </c>
      <c r="M138">
        <f ca="1"/>
        <v>2.3780713723452251E-2</v>
      </c>
      <c r="N138">
        <f ca="1"/>
        <v>0.12813981269446242</v>
      </c>
      <c r="O138">
        <f ca="1"/>
        <v>0</v>
      </c>
      <c r="P138">
        <f ca="1"/>
        <v>290.50924666772374</v>
      </c>
      <c r="Q138">
        <f ca="1"/>
        <v>261.74282507168152</v>
      </c>
      <c r="R138">
        <f ca="1"/>
        <v>0</v>
      </c>
      <c r="S138">
        <f ca="1"/>
        <v>0.1069994667955137</v>
      </c>
      <c r="T138">
        <f ca="1"/>
        <v>0</v>
      </c>
      <c r="U138">
        <f ca="1"/>
        <v>0</v>
      </c>
      <c r="V138">
        <f ca="1"/>
        <v>0.16150328319913554</v>
      </c>
      <c r="X138" s="2">
        <f t="shared" ca="1" si="8"/>
        <v>45321</v>
      </c>
      <c r="Y138">
        <f t="shared" ca="1" si="9"/>
        <v>0</v>
      </c>
      <c r="AA138" s="63">
        <f t="shared" ca="1" si="11"/>
        <v>26.250376517117729</v>
      </c>
      <c r="AB138" s="63">
        <f t="shared" ca="1" si="12"/>
        <v>26.250376517117729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45322</v>
      </c>
      <c r="K139">
        <f ca="1"/>
        <v>25.652621392863889</v>
      </c>
      <c r="L139">
        <f ca="1"/>
        <v>0.35544812455259489</v>
      </c>
      <c r="M139">
        <f ca="1"/>
        <v>2.3053666487101054E-2</v>
      </c>
      <c r="N139">
        <f ca="1"/>
        <v>0.12898276897365413</v>
      </c>
      <c r="O139">
        <f ca="1"/>
        <v>0</v>
      </c>
      <c r="P139">
        <f ca="1"/>
        <v>290.86469479227634</v>
      </c>
      <c r="Q139">
        <f ca="1"/>
        <v>262.06307648313907</v>
      </c>
      <c r="R139">
        <f ca="1"/>
        <v>0</v>
      </c>
      <c r="S139">
        <f ca="1"/>
        <v>0.10379598646547628</v>
      </c>
      <c r="T139">
        <f ca="1"/>
        <v>0</v>
      </c>
      <c r="U139">
        <f ca="1"/>
        <v>0</v>
      </c>
      <c r="V139">
        <f ca="1"/>
        <v>0.12503660190296084</v>
      </c>
      <c r="X139" s="2">
        <f t="shared" ref="X139:X202" ca="1" si="15">IFERROR(J139,$X$9)</f>
        <v>45322</v>
      </c>
      <c r="Y139">
        <f t="shared" ref="Y139:Y202" ca="1" si="16">IFERROR(O139,0)</f>
        <v>0</v>
      </c>
      <c r="AA139" s="63">
        <f t="shared" ca="1" si="11"/>
        <v>26.008069517416484</v>
      </c>
      <c r="AB139" s="63">
        <f t="shared" ca="1" si="12"/>
        <v>26.008069517416484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45323</v>
      </c>
      <c r="K140">
        <f ca="1"/>
        <v>25.490629126817602</v>
      </c>
      <c r="L140">
        <f ca="1"/>
        <v>0.30417151638488349</v>
      </c>
      <c r="M140">
        <f ca="1"/>
        <v>1.9651695526055946E-2</v>
      </c>
      <c r="N140">
        <f ca="1"/>
        <v>0.1225275548125425</v>
      </c>
      <c r="O140">
        <f ca="1"/>
        <v>0</v>
      </c>
      <c r="P140">
        <f ca="1"/>
        <v>291.16886630866122</v>
      </c>
      <c r="Q140">
        <f ca="1"/>
        <v>262.33712873076331</v>
      </c>
      <c r="R140">
        <f ca="1"/>
        <v>0</v>
      </c>
      <c r="S140">
        <f ca="1"/>
        <v>9.2807949690156058E-2</v>
      </c>
      <c r="T140">
        <f ca="1"/>
        <v>0</v>
      </c>
      <c r="U140">
        <f ca="1"/>
        <v>0</v>
      </c>
      <c r="V140">
        <f ca="1"/>
        <v>9.0153013397252679E-2</v>
      </c>
      <c r="X140" s="2">
        <f t="shared" ca="1" si="15"/>
        <v>45323</v>
      </c>
      <c r="Y140">
        <f t="shared" ca="1" si="16"/>
        <v>0</v>
      </c>
      <c r="AA140" s="63">
        <f t="shared" ca="1" si="11"/>
        <v>25.794800643202485</v>
      </c>
      <c r="AB140" s="63">
        <f t="shared" ca="1" si="12"/>
        <v>25.794800643202485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45324</v>
      </c>
      <c r="K141">
        <f ca="1"/>
        <v>25.372500776426879</v>
      </c>
      <c r="L141">
        <f ca="1"/>
        <v>0.25146552425468371</v>
      </c>
      <c r="M141">
        <f ca="1"/>
        <v>1.9599299474560183E-2</v>
      </c>
      <c r="N141">
        <f ca="1"/>
        <v>0.11373787438939886</v>
      </c>
      <c r="O141">
        <f ca="1"/>
        <v>0</v>
      </c>
      <c r="P141">
        <f ca="1"/>
        <v>291.42033183291591</v>
      </c>
      <c r="Q141">
        <f ca="1"/>
        <v>262.56369396915602</v>
      </c>
      <c r="R141">
        <f ca="1"/>
        <v>0</v>
      </c>
      <c r="S141">
        <f ca="1"/>
        <v>0.10017453179406477</v>
      </c>
      <c r="T141">
        <f ca="1"/>
        <v>0</v>
      </c>
      <c r="U141">
        <f ca="1"/>
        <v>0</v>
      </c>
      <c r="V141">
        <f ca="1"/>
        <v>5.8130101337474316E-2</v>
      </c>
      <c r="X141" s="2">
        <f t="shared" ca="1" si="15"/>
        <v>45324</v>
      </c>
      <c r="Y141">
        <f t="shared" ca="1" si="16"/>
        <v>0</v>
      </c>
      <c r="AA141" s="63">
        <f t="shared" ref="AA141:AA204" ca="1" si="18">K140+M141+N141+O141</f>
        <v>25.623966300681563</v>
      </c>
      <c r="AB141" s="63">
        <f t="shared" ref="AB141:AB204" ca="1" si="19">K141+L141+R141</f>
        <v>25.623966300681563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45325</v>
      </c>
      <c r="K142">
        <f ca="1"/>
        <v>25.280442968471714</v>
      </c>
      <c r="L142">
        <f ca="1"/>
        <v>0.22388988078250804</v>
      </c>
      <c r="M142">
        <f ca="1"/>
        <v>1.9607867871165752E-2</v>
      </c>
      <c r="N142">
        <f ca="1"/>
        <v>0.11222420495617944</v>
      </c>
      <c r="O142">
        <f ca="1"/>
        <v>0</v>
      </c>
      <c r="P142">
        <f ca="1"/>
        <v>291.64422171369841</v>
      </c>
      <c r="Q142">
        <f ca="1"/>
        <v>262.76541412289697</v>
      </c>
      <c r="R142">
        <f ca="1"/>
        <v>0</v>
      </c>
      <c r="S142">
        <f ca="1"/>
        <v>0.10233322897965774</v>
      </c>
      <c r="T142">
        <f ca="1"/>
        <v>0</v>
      </c>
      <c r="U142">
        <f ca="1"/>
        <v>0</v>
      </c>
      <c r="V142">
        <f ca="1"/>
        <v>2.6634886874518093E-2</v>
      </c>
      <c r="X142" s="2">
        <f t="shared" ca="1" si="15"/>
        <v>45325</v>
      </c>
      <c r="Y142">
        <f t="shared" ca="1" si="16"/>
        <v>0</v>
      </c>
      <c r="AA142" s="63">
        <f t="shared" ca="1" si="18"/>
        <v>25.504332849254222</v>
      </c>
      <c r="AB142" s="63">
        <f t="shared" ca="1" si="19"/>
        <v>25.504332849254222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45326</v>
      </c>
      <c r="K143">
        <f ca="1"/>
        <v>25.204894729374026</v>
      </c>
      <c r="L143">
        <f ca="1"/>
        <v>0.22951620000827688</v>
      </c>
      <c r="M143">
        <f ca="1"/>
        <v>2.5397213094175086E-2</v>
      </c>
      <c r="N143">
        <f ca="1"/>
        <v>0.12857074781641342</v>
      </c>
      <c r="O143">
        <f ca="1"/>
        <v>0</v>
      </c>
      <c r="P143">
        <f ca="1"/>
        <v>291.87373791370669</v>
      </c>
      <c r="Q143">
        <f ca="1"/>
        <v>262.97220347393812</v>
      </c>
      <c r="R143">
        <f ca="1"/>
        <v>0</v>
      </c>
      <c r="S143">
        <f ca="1"/>
        <v>0.11986483116788103</v>
      </c>
      <c r="T143">
        <f ca="1"/>
        <v>0</v>
      </c>
      <c r="U143">
        <f ca="1"/>
        <v>0</v>
      </c>
      <c r="V143">
        <f ca="1"/>
        <v>0</v>
      </c>
      <c r="X143" s="2">
        <f t="shared" ca="1" si="15"/>
        <v>45326</v>
      </c>
      <c r="Y143">
        <f t="shared" ca="1" si="16"/>
        <v>0</v>
      </c>
      <c r="AA143" s="63">
        <f t="shared" ca="1" si="18"/>
        <v>25.434410929382306</v>
      </c>
      <c r="AB143" s="63">
        <f t="shared" ca="1" si="19"/>
        <v>25.434410929382302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45327</v>
      </c>
      <c r="K144">
        <f ca="1"/>
        <v>25.16808903996219</v>
      </c>
      <c r="L144">
        <f ca="1"/>
        <v>0.17722816964169397</v>
      </c>
      <c r="M144">
        <f ca="1"/>
        <v>2.6666332920703084E-2</v>
      </c>
      <c r="N144">
        <f ca="1"/>
        <v>0.11375614730915556</v>
      </c>
      <c r="O144">
        <f ca="1"/>
        <v>0</v>
      </c>
      <c r="P144">
        <f ca="1"/>
        <v>292.05096608334838</v>
      </c>
      <c r="Q144">
        <f ca="1"/>
        <v>263.13188239065562</v>
      </c>
      <c r="R144">
        <f ca="1"/>
        <v>0</v>
      </c>
      <c r="S144">
        <f ca="1"/>
        <v>0.14447609451444843</v>
      </c>
      <c r="T144">
        <f ca="1"/>
        <v>0</v>
      </c>
      <c r="U144">
        <f ca="1"/>
        <v>0</v>
      </c>
      <c r="V144">
        <f ca="1"/>
        <v>0</v>
      </c>
      <c r="X144" s="2">
        <f t="shared" ca="1" si="15"/>
        <v>45327</v>
      </c>
      <c r="Y144">
        <f t="shared" ca="1" si="16"/>
        <v>0</v>
      </c>
      <c r="AA144" s="63">
        <f t="shared" ca="1" si="18"/>
        <v>25.345317209603888</v>
      </c>
      <c r="AB144" s="63">
        <f t="shared" ca="1" si="19"/>
        <v>25.345317209603884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45328</v>
      </c>
      <c r="K145">
        <f ca="1"/>
        <v>25.145144502416198</v>
      </c>
      <c r="L145">
        <f ca="1"/>
        <v>0.16721527083541332</v>
      </c>
      <c r="M145">
        <f ca="1"/>
        <v>2.6615060149474346E-2</v>
      </c>
      <c r="N145">
        <f ca="1"/>
        <v>0.11765567313994807</v>
      </c>
      <c r="O145">
        <f ca="1"/>
        <v>0</v>
      </c>
      <c r="P145">
        <f ca="1"/>
        <v>292.2181813541838</v>
      </c>
      <c r="Q145">
        <f ca="1"/>
        <v>263.28253989256172</v>
      </c>
      <c r="R145">
        <f ca="1"/>
        <v>0</v>
      </c>
      <c r="S145">
        <f ca="1"/>
        <v>0.14119201583630836</v>
      </c>
      <c r="T145">
        <f ca="1"/>
        <v>0</v>
      </c>
      <c r="U145">
        <f ca="1"/>
        <v>0</v>
      </c>
      <c r="V145">
        <f ca="1"/>
        <v>0</v>
      </c>
      <c r="X145" s="2">
        <f t="shared" ca="1" si="15"/>
        <v>45328</v>
      </c>
      <c r="Y145">
        <f t="shared" ca="1" si="16"/>
        <v>0</v>
      </c>
      <c r="AA145" s="63">
        <f t="shared" ca="1" si="18"/>
        <v>25.312359773251611</v>
      </c>
      <c r="AB145" s="63">
        <f t="shared" ca="1" si="19"/>
        <v>25.312359773251611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45329</v>
      </c>
      <c r="K146">
        <f ca="1"/>
        <v>25.143518436997631</v>
      </c>
      <c r="L146">
        <f ca="1"/>
        <v>0.15102814910272855</v>
      </c>
      <c r="M146">
        <f ca="1"/>
        <v>2.9845893912071375E-2</v>
      </c>
      <c r="N146">
        <f ca="1"/>
        <v>0.11955618977208997</v>
      </c>
      <c r="O146">
        <f ca="1"/>
        <v>0</v>
      </c>
      <c r="P146">
        <f ca="1"/>
        <v>292.36920950328653</v>
      </c>
      <c r="Q146">
        <f ca="1"/>
        <v>263.41861313244965</v>
      </c>
      <c r="R146">
        <f ca="1"/>
        <v>0</v>
      </c>
      <c r="S146">
        <f ca="1"/>
        <v>0.1602907034555506</v>
      </c>
      <c r="T146">
        <f ca="1"/>
        <v>0</v>
      </c>
      <c r="U146">
        <f ca="1"/>
        <v>0</v>
      </c>
      <c r="V146">
        <f ca="1"/>
        <v>0</v>
      </c>
      <c r="X146" s="2">
        <f t="shared" ca="1" si="15"/>
        <v>45329</v>
      </c>
      <c r="Y146">
        <f t="shared" ca="1" si="16"/>
        <v>0</v>
      </c>
      <c r="AA146" s="63">
        <f t="shared" ca="1" si="18"/>
        <v>25.29454658610036</v>
      </c>
      <c r="AB146" s="63">
        <f t="shared" ca="1" si="19"/>
        <v>25.29454658610036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45330</v>
      </c>
      <c r="K147">
        <f ca="1"/>
        <v>25.156078493689709</v>
      </c>
      <c r="L147">
        <f ca="1"/>
        <v>0.14022581919255117</v>
      </c>
      <c r="M147">
        <f ca="1"/>
        <v>3.011760922996487E-2</v>
      </c>
      <c r="N147">
        <f ca="1"/>
        <v>0.12266826665466411</v>
      </c>
      <c r="O147">
        <f ca="1"/>
        <v>0</v>
      </c>
      <c r="P147">
        <f ca="1"/>
        <v>292.50943532247908</v>
      </c>
      <c r="Q147">
        <f ca="1"/>
        <v>263.54495369642297</v>
      </c>
      <c r="R147">
        <f ca="1"/>
        <v>0</v>
      </c>
      <c r="S147">
        <f ca="1"/>
        <v>0.16007824937805984</v>
      </c>
      <c r="T147">
        <f ca="1"/>
        <v>0</v>
      </c>
      <c r="U147">
        <f ca="1"/>
        <v>0</v>
      </c>
      <c r="V147">
        <f ca="1"/>
        <v>0</v>
      </c>
      <c r="X147" s="2">
        <f t="shared" ca="1" si="15"/>
        <v>45330</v>
      </c>
      <c r="Y147">
        <f t="shared" ca="1" si="16"/>
        <v>0</v>
      </c>
      <c r="AA147" s="63">
        <f t="shared" ca="1" si="18"/>
        <v>25.29630431288226</v>
      </c>
      <c r="AB147" s="63">
        <f t="shared" ca="1" si="19"/>
        <v>25.29630431288226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45331</v>
      </c>
      <c r="K148">
        <f ca="1"/>
        <v>25.184004753197208</v>
      </c>
      <c r="L148">
        <f ca="1"/>
        <v>0.12738560294286572</v>
      </c>
      <c r="M148">
        <f ca="1"/>
        <v>3.1027860018847164E-2</v>
      </c>
      <c r="N148">
        <f ca="1"/>
        <v>0.12428400243151577</v>
      </c>
      <c r="O148">
        <f ca="1"/>
        <v>0</v>
      </c>
      <c r="P148">
        <f ca="1"/>
        <v>292.63682092542194</v>
      </c>
      <c r="Q148">
        <f ca="1"/>
        <v>263.65972549102213</v>
      </c>
      <c r="R148">
        <f ca="1"/>
        <v>0</v>
      </c>
      <c r="S148">
        <f ca="1"/>
        <v>0.16590490547033729</v>
      </c>
      <c r="T148">
        <f ca="1"/>
        <v>0</v>
      </c>
      <c r="U148">
        <f ca="1"/>
        <v>0</v>
      </c>
      <c r="V148">
        <f ca="1"/>
        <v>0</v>
      </c>
      <c r="X148" s="2">
        <f t="shared" ca="1" si="15"/>
        <v>45331</v>
      </c>
      <c r="Y148">
        <f t="shared" ca="1" si="16"/>
        <v>0</v>
      </c>
      <c r="AA148" s="63">
        <f t="shared" ca="1" si="18"/>
        <v>25.311390356140073</v>
      </c>
      <c r="AB148" s="63">
        <f t="shared" ca="1" si="19"/>
        <v>25.311390356140073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45332</v>
      </c>
      <c r="K149">
        <f ca="1"/>
        <v>25.224186211269224</v>
      </c>
      <c r="L149">
        <f ca="1"/>
        <v>0.11387302480198969</v>
      </c>
      <c r="M149">
        <f ca="1"/>
        <v>3.0559572717933747E-2</v>
      </c>
      <c r="N149">
        <f ca="1"/>
        <v>0.12349491015607315</v>
      </c>
      <c r="O149">
        <f ca="1"/>
        <v>0</v>
      </c>
      <c r="P149">
        <f ca="1"/>
        <v>292.75069395022393</v>
      </c>
      <c r="Q149">
        <f ca="1"/>
        <v>263.76232273208427</v>
      </c>
      <c r="R149">
        <f ca="1"/>
        <v>0</v>
      </c>
      <c r="S149">
        <f ca="1"/>
        <v>0.1666057658598418</v>
      </c>
      <c r="T149">
        <f ca="1"/>
        <v>0</v>
      </c>
      <c r="U149">
        <f ca="1"/>
        <v>0</v>
      </c>
      <c r="V149">
        <f ca="1"/>
        <v>0</v>
      </c>
      <c r="X149" s="2">
        <f t="shared" ca="1" si="15"/>
        <v>45332</v>
      </c>
      <c r="Y149">
        <f t="shared" ca="1" si="16"/>
        <v>0</v>
      </c>
      <c r="AA149" s="63">
        <f t="shared" ca="1" si="18"/>
        <v>25.338059236071214</v>
      </c>
      <c r="AB149" s="63">
        <f t="shared" ca="1" si="19"/>
        <v>25.338059236071214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45333</v>
      </c>
      <c r="K150">
        <f ca="1"/>
        <v>25.278904923760301</v>
      </c>
      <c r="L150">
        <f ca="1"/>
        <v>0.10766895958653322</v>
      </c>
      <c r="M150">
        <f ca="1"/>
        <v>3.2304451554033164E-2</v>
      </c>
      <c r="N150">
        <f ca="1"/>
        <v>0.13008322052357646</v>
      </c>
      <c r="O150">
        <f ca="1"/>
        <v>0</v>
      </c>
      <c r="P150">
        <f ca="1"/>
        <v>292.85836290981047</v>
      </c>
      <c r="Q150">
        <f ca="1"/>
        <v>263.85933023865408</v>
      </c>
      <c r="R150">
        <f ca="1"/>
        <v>0</v>
      </c>
      <c r="S150">
        <f ca="1"/>
        <v>0.17103000102805208</v>
      </c>
      <c r="T150">
        <f ca="1"/>
        <v>0</v>
      </c>
      <c r="U150">
        <f ca="1"/>
        <v>0</v>
      </c>
      <c r="V150">
        <f ca="1"/>
        <v>0</v>
      </c>
      <c r="X150" s="2">
        <f t="shared" ca="1" si="15"/>
        <v>45333</v>
      </c>
      <c r="Y150">
        <f t="shared" ca="1" si="16"/>
        <v>0</v>
      </c>
      <c r="AA150" s="63">
        <f t="shared" ca="1" si="18"/>
        <v>25.386573883346834</v>
      </c>
      <c r="AB150" s="63">
        <f t="shared" ca="1" si="19"/>
        <v>25.386573883346834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45334</v>
      </c>
      <c r="K151">
        <f ca="1"/>
        <v>25.353427808437374</v>
      </c>
      <c r="L151">
        <f ca="1"/>
        <v>0.10004703470343657</v>
      </c>
      <c r="M151">
        <f ca="1"/>
        <v>3.688652193427977E-2</v>
      </c>
      <c r="N151">
        <f ca="1"/>
        <v>0.13768339744622898</v>
      </c>
      <c r="O151">
        <f ca="1"/>
        <v>0</v>
      </c>
      <c r="P151">
        <f ca="1"/>
        <v>292.9584099445139</v>
      </c>
      <c r="Q151">
        <f ca="1"/>
        <v>263.94947054848484</v>
      </c>
      <c r="R151">
        <f ca="1"/>
        <v>0</v>
      </c>
      <c r="S151">
        <f ca="1"/>
        <v>0.19167216328193168</v>
      </c>
      <c r="T151">
        <f ca="1"/>
        <v>0</v>
      </c>
      <c r="U151">
        <f ca="1"/>
        <v>0</v>
      </c>
      <c r="V151">
        <f ca="1"/>
        <v>0</v>
      </c>
      <c r="X151" s="2">
        <f t="shared" ca="1" si="15"/>
        <v>45334</v>
      </c>
      <c r="Y151">
        <f t="shared" ca="1" si="16"/>
        <v>0</v>
      </c>
      <c r="AA151" s="63">
        <f t="shared" ca="1" si="18"/>
        <v>25.453474843140807</v>
      </c>
      <c r="AB151" s="63">
        <f t="shared" ca="1" si="19"/>
        <v>25.45347484314081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45335</v>
      </c>
      <c r="K152">
        <f ca="1"/>
        <v>25.433184697969629</v>
      </c>
      <c r="L152">
        <f ca="1"/>
        <v>7.8925011451076443E-2</v>
      </c>
      <c r="M152">
        <f ca="1"/>
        <v>3.503294194190687E-2</v>
      </c>
      <c r="N152">
        <f ca="1"/>
        <v>0.12364895904142449</v>
      </c>
      <c r="O152">
        <f ca="1"/>
        <v>0</v>
      </c>
      <c r="P152">
        <f ca="1"/>
        <v>293.03733495596498</v>
      </c>
      <c r="Q152">
        <f ca="1"/>
        <v>264.02058035205545</v>
      </c>
      <c r="R152">
        <f ca="1"/>
        <v>0</v>
      </c>
      <c r="S152">
        <f ca="1"/>
        <v>0.2064133921245101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45335</v>
      </c>
      <c r="Y152">
        <f t="shared" ca="1" si="16"/>
        <v>0</v>
      </c>
      <c r="AA152" s="63">
        <f t="shared" ca="1" si="18"/>
        <v>25.512109709420706</v>
      </c>
      <c r="AB152" s="63">
        <f t="shared" ca="1" si="19"/>
        <v>25.512109709420706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45336</v>
      </c>
      <c r="K153">
        <f ca="1"/>
        <v>25.524243562656828</v>
      </c>
      <c r="L153">
        <f ca="1"/>
        <v>6.8347704195957704E-2</v>
      </c>
      <c r="M153">
        <f ca="1"/>
        <v>3.7470135064603838E-2</v>
      </c>
      <c r="N153">
        <f ca="1"/>
        <v>0.12193643381855328</v>
      </c>
      <c r="O153">
        <f ca="1"/>
        <v>0</v>
      </c>
      <c r="P153">
        <f ca="1"/>
        <v>293.10568266016094</v>
      </c>
      <c r="Q153">
        <f ca="1"/>
        <v>264.08216022047151</v>
      </c>
      <c r="R153">
        <f ca="1"/>
        <v>0</v>
      </c>
      <c r="S153">
        <f ca="1"/>
        <v>0.23253604213759776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45336</v>
      </c>
      <c r="Y153">
        <f t="shared" ca="1" si="16"/>
        <v>0</v>
      </c>
      <c r="AA153" s="63">
        <f t="shared" ca="1" si="18"/>
        <v>25.592591266852786</v>
      </c>
      <c r="AB153" s="63">
        <f t="shared" ca="1" si="19"/>
        <v>25.592591266852786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45337</v>
      </c>
      <c r="K154">
        <f ca="1"/>
        <v>25.623442147806596</v>
      </c>
      <c r="L154">
        <f ca="1"/>
        <v>5.9812286071121434E-2</v>
      </c>
      <c r="M154">
        <f ca="1"/>
        <v>3.8714187002252487E-2</v>
      </c>
      <c r="N154">
        <f ca="1"/>
        <v>0.12029668421863733</v>
      </c>
      <c r="O154">
        <f ca="1"/>
        <v>0</v>
      </c>
      <c r="P154">
        <f ca="1"/>
        <v>293.16549494623206</v>
      </c>
      <c r="Q154">
        <f ca="1"/>
        <v>264.13604985362366</v>
      </c>
      <c r="R154">
        <f ca="1"/>
        <v>0</v>
      </c>
      <c r="S154">
        <f ca="1"/>
        <v>0.25177561418148525</v>
      </c>
      <c r="T154">
        <f ca="1"/>
        <v>0</v>
      </c>
      <c r="U154">
        <f ca="1"/>
        <v>0</v>
      </c>
      <c r="V154">
        <f ca="1"/>
        <v>0</v>
      </c>
      <c r="X154" s="2">
        <f t="shared" ca="1" si="15"/>
        <v>45337</v>
      </c>
      <c r="Y154">
        <f t="shared" ca="1" si="16"/>
        <v>0</v>
      </c>
      <c r="AA154" s="63">
        <f t="shared" ca="1" si="18"/>
        <v>25.683254433877718</v>
      </c>
      <c r="AB154" s="63">
        <f t="shared" ca="1" si="19"/>
        <v>25.683254433877718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45338</v>
      </c>
      <c r="K155">
        <f ca="1"/>
        <v>25.732795850746175</v>
      </c>
      <c r="L155">
        <f ca="1"/>
        <v>5.7370163807661356E-2</v>
      </c>
      <c r="M155">
        <f ca="1"/>
        <v>4.0182038215732518E-2</v>
      </c>
      <c r="N155">
        <f ca="1"/>
        <v>0.12654182853150769</v>
      </c>
      <c r="O155">
        <f ca="1"/>
        <v>0</v>
      </c>
      <c r="P155">
        <f ca="1"/>
        <v>293.22286511003972</v>
      </c>
      <c r="Q155">
        <f ca="1"/>
        <v>264.18773918510658</v>
      </c>
      <c r="R155">
        <f ca="1"/>
        <v>0</v>
      </c>
      <c r="S155">
        <f ca="1"/>
        <v>0.25594238096632776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45338</v>
      </c>
      <c r="Y155">
        <f t="shared" ca="1" si="16"/>
        <v>0</v>
      </c>
      <c r="AA155" s="63">
        <f t="shared" ca="1" si="18"/>
        <v>25.790166014553837</v>
      </c>
      <c r="AB155" s="63">
        <f t="shared" ca="1" si="19"/>
        <v>25.790166014553837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45339</v>
      </c>
      <c r="K156">
        <f ca="1"/>
        <v>25.857586279954806</v>
      </c>
      <c r="L156">
        <f ca="1"/>
        <v>5.7054899824436234E-2</v>
      </c>
      <c r="M156">
        <f ca="1"/>
        <v>4.3127183687982296E-2</v>
      </c>
      <c r="N156">
        <f ca="1"/>
        <v>0.1387181453450845</v>
      </c>
      <c r="O156">
        <f ca="1"/>
        <v>0</v>
      </c>
      <c r="P156">
        <f ca="1"/>
        <v>293.27992000986416</v>
      </c>
      <c r="Q156">
        <f ca="1"/>
        <v>264.23914447025851</v>
      </c>
      <c r="R156">
        <f ca="1"/>
        <v>0</v>
      </c>
      <c r="S156">
        <f ca="1"/>
        <v>0.25936176585155263</v>
      </c>
      <c r="T156">
        <f ca="1"/>
        <v>0</v>
      </c>
      <c r="U156">
        <f ca="1"/>
        <v>0</v>
      </c>
      <c r="V156">
        <f ca="1"/>
        <v>0</v>
      </c>
      <c r="X156" s="2">
        <f t="shared" ca="1" si="15"/>
        <v>45339</v>
      </c>
      <c r="Y156">
        <f t="shared" ca="1" si="16"/>
        <v>0</v>
      </c>
      <c r="AA156" s="63">
        <f t="shared" ca="1" si="18"/>
        <v>25.914641179779242</v>
      </c>
      <c r="AB156" s="63">
        <f t="shared" ca="1" si="19"/>
        <v>25.914641179779242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45340</v>
      </c>
      <c r="K157">
        <f ca="1"/>
        <v>25.995420492098823</v>
      </c>
      <c r="L157">
        <f ca="1"/>
        <v>5.2889443055448737E-2</v>
      </c>
      <c r="M157">
        <f ca="1"/>
        <v>4.5539388618465182E-2</v>
      </c>
      <c r="N157">
        <f ca="1"/>
        <v>0.1451842665810007</v>
      </c>
      <c r="O157">
        <f ca="1"/>
        <v>0</v>
      </c>
      <c r="P157">
        <f ca="1"/>
        <v>293.33280945291961</v>
      </c>
      <c r="Q157">
        <f ca="1"/>
        <v>264.28679676498086</v>
      </c>
      <c r="R157">
        <f ca="1"/>
        <v>0</v>
      </c>
      <c r="S157">
        <f ca="1"/>
        <v>0.27210274189977568</v>
      </c>
      <c r="T157">
        <f ca="1"/>
        <v>0</v>
      </c>
      <c r="U157">
        <f ca="1"/>
        <v>0</v>
      </c>
      <c r="V157">
        <f ca="1"/>
        <v>0</v>
      </c>
      <c r="X157" s="2">
        <f t="shared" ca="1" si="15"/>
        <v>45340</v>
      </c>
      <c r="Y157">
        <f t="shared" ca="1" si="16"/>
        <v>0</v>
      </c>
      <c r="AA157" s="63">
        <f t="shared" ca="1" si="18"/>
        <v>26.048309935154272</v>
      </c>
      <c r="AB157" s="63">
        <f t="shared" ca="1" si="19"/>
        <v>26.048309935154272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45341</v>
      </c>
      <c r="K158">
        <f ca="1"/>
        <v>26.129314079684473</v>
      </c>
      <c r="L158">
        <f ca="1"/>
        <v>4.5269092707258096E-2</v>
      </c>
      <c r="M158">
        <f ca="1"/>
        <v>4.1539367427770202E-2</v>
      </c>
      <c r="N158">
        <f ca="1"/>
        <v>0.13762331286513649</v>
      </c>
      <c r="O158">
        <f ca="1"/>
        <v>0</v>
      </c>
      <c r="P158">
        <f ca="1"/>
        <v>293.37807854562686</v>
      </c>
      <c r="Q158">
        <f ca="1"/>
        <v>264.32758328158764</v>
      </c>
      <c r="R158">
        <f ca="1"/>
        <v>0</v>
      </c>
      <c r="S158">
        <f ca="1"/>
        <v>0.2641449305649638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45341</v>
      </c>
      <c r="Y158">
        <f t="shared" ca="1" si="16"/>
        <v>0</v>
      </c>
      <c r="AA158" s="63">
        <f t="shared" ca="1" si="18"/>
        <v>26.174583172391731</v>
      </c>
      <c r="AB158" s="63">
        <f t="shared" ca="1" si="19"/>
        <v>26.174583172391731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45342</v>
      </c>
      <c r="K159">
        <f ca="1"/>
        <v>26.269353755672164</v>
      </c>
      <c r="L159">
        <f ca="1"/>
        <v>3.9661354505426516E-2</v>
      </c>
      <c r="M159">
        <f ca="1"/>
        <v>4.2642014593765154E-2</v>
      </c>
      <c r="N159">
        <f ca="1"/>
        <v>0.13705901589934838</v>
      </c>
      <c r="O159">
        <f ca="1"/>
        <v>0</v>
      </c>
      <c r="P159">
        <f ca="1"/>
        <v>293.41773990013229</v>
      </c>
      <c r="Q159">
        <f ca="1"/>
        <v>264.36331734201252</v>
      </c>
      <c r="R159">
        <f ca="1"/>
        <v>0</v>
      </c>
      <c r="S159">
        <f ca="1"/>
        <v>0.28355195409492423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45342</v>
      </c>
      <c r="Y159">
        <f t="shared" ca="1" si="16"/>
        <v>0</v>
      </c>
      <c r="AA159" s="63">
        <f t="shared" ca="1" si="18"/>
        <v>26.309015110177587</v>
      </c>
      <c r="AB159" s="63">
        <f t="shared" ca="1" si="19"/>
        <v>26.30901511017759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45343</v>
      </c>
      <c r="K160">
        <f ca="1"/>
        <v>26.410550081148511</v>
      </c>
      <c r="L160">
        <f ca="1"/>
        <v>3.5900192205815529E-2</v>
      </c>
      <c r="M160">
        <f ca="1"/>
        <v>4.074026150205512E-2</v>
      </c>
      <c r="N160">
        <f ca="1"/>
        <v>0.13635625618010913</v>
      </c>
      <c r="O160">
        <f ca="1"/>
        <v>0</v>
      </c>
      <c r="P160">
        <f ca="1"/>
        <v>293.45364009233811</v>
      </c>
      <c r="Q160">
        <f ca="1"/>
        <v>264.39566267296624</v>
      </c>
      <c r="R160">
        <f ca="1"/>
        <v>0</v>
      </c>
      <c r="S160">
        <f ca="1"/>
        <v>0.27619721156152843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45343</v>
      </c>
      <c r="Y160">
        <f t="shared" ca="1" si="16"/>
        <v>0</v>
      </c>
      <c r="AA160" s="63">
        <f t="shared" ca="1" si="18"/>
        <v>26.446450273354326</v>
      </c>
      <c r="AB160" s="63">
        <f t="shared" ca="1" si="19"/>
        <v>26.446450273354326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45344</v>
      </c>
      <c r="K161">
        <f ca="1"/>
        <v>26.552382144426151</v>
      </c>
      <c r="L161">
        <f ca="1"/>
        <v>3.1562524471610232E-2</v>
      </c>
      <c r="M161">
        <f ca="1"/>
        <v>3.9652239520204802E-2</v>
      </c>
      <c r="N161">
        <f ca="1"/>
        <v>0.13374234822904613</v>
      </c>
      <c r="O161">
        <f ca="1"/>
        <v>0</v>
      </c>
      <c r="P161">
        <f ca="1"/>
        <v>293.48520261680972</v>
      </c>
      <c r="Q161">
        <f ca="1"/>
        <v>264.42409985497113</v>
      </c>
      <c r="R161">
        <f ca="1"/>
        <v>0</v>
      </c>
      <c r="S161">
        <f ca="1"/>
        <v>0.28071852021390037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45344</v>
      </c>
      <c r="Y161">
        <f t="shared" ca="1" si="16"/>
        <v>0</v>
      </c>
      <c r="AA161" s="63">
        <f t="shared" ca="1" si="18"/>
        <v>26.583944668897761</v>
      </c>
      <c r="AB161" s="63">
        <f t="shared" ca="1" si="19"/>
        <v>26.583944668897761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45345</v>
      </c>
      <c r="K162">
        <f ca="1"/>
        <v>26.695987298808067</v>
      </c>
      <c r="L162">
        <f ca="1"/>
        <v>2.7827680163056812E-2</v>
      </c>
      <c r="M162">
        <f ca="1"/>
        <v>3.9351621141520354E-2</v>
      </c>
      <c r="N162">
        <f ca="1"/>
        <v>0.13208121340345189</v>
      </c>
      <c r="O162">
        <f ca="1"/>
        <v>0</v>
      </c>
      <c r="P162">
        <f ca="1"/>
        <v>293.51303029697277</v>
      </c>
      <c r="Q162">
        <f ca="1"/>
        <v>264.44917201947055</v>
      </c>
      <c r="R162">
        <f ca="1"/>
        <v>0</v>
      </c>
      <c r="S162">
        <f ca="1"/>
        <v>0.2907531663872866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45345</v>
      </c>
      <c r="Y162">
        <f t="shared" ca="1" si="16"/>
        <v>0</v>
      </c>
      <c r="AA162" s="63">
        <f t="shared" ca="1" si="18"/>
        <v>26.723814978971124</v>
      </c>
      <c r="AB162" s="63">
        <f t="shared" ca="1" si="19"/>
        <v>26.723814978971124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45346</v>
      </c>
      <c r="K163">
        <f ca="1"/>
        <v>26.850298676857122</v>
      </c>
      <c r="L163">
        <f ca="1"/>
        <v>2.6721681218361937E-2</v>
      </c>
      <c r="M163">
        <f ca="1"/>
        <v>4.0902782552819872E-2</v>
      </c>
      <c r="N163">
        <f ca="1"/>
        <v>0.14013027671459863</v>
      </c>
      <c r="O163">
        <f ca="1"/>
        <v>0</v>
      </c>
      <c r="P163">
        <f ca="1"/>
        <v>293.53975197819113</v>
      </c>
      <c r="Q163">
        <f ca="1"/>
        <v>264.47324770178705</v>
      </c>
      <c r="R163">
        <f ca="1"/>
        <v>0</v>
      </c>
      <c r="S163">
        <f ca="1"/>
        <v>0.29474827082713306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45346</v>
      </c>
      <c r="Y163">
        <f t="shared" ca="1" si="16"/>
        <v>0</v>
      </c>
      <c r="AA163" s="63">
        <f t="shared" ca="1" si="18"/>
        <v>26.877020358075484</v>
      </c>
      <c r="AB163" s="63">
        <f t="shared" ca="1" si="19"/>
        <v>26.877020358075484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45347</v>
      </c>
      <c r="K164">
        <f ca="1"/>
        <v>26.996516296203858</v>
      </c>
      <c r="L164">
        <f ca="1"/>
        <v>2.2934049521097677E-2</v>
      </c>
      <c r="M164">
        <f ca="1"/>
        <v>3.7005355756404512E-2</v>
      </c>
      <c r="N164">
        <f ca="1"/>
        <v>0.13214631311143005</v>
      </c>
      <c r="O164">
        <f ca="1"/>
        <v>0</v>
      </c>
      <c r="P164">
        <f ca="1"/>
        <v>293.56268602771223</v>
      </c>
      <c r="Q164">
        <f ca="1"/>
        <v>264.49391080625213</v>
      </c>
      <c r="R164">
        <f ca="1"/>
        <v>0</v>
      </c>
      <c r="S164">
        <f ca="1"/>
        <v>0.28416171643140037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45347</v>
      </c>
      <c r="Y164">
        <f t="shared" ca="1" si="16"/>
        <v>0</v>
      </c>
      <c r="AA164" s="63">
        <f t="shared" ca="1" si="18"/>
        <v>27.019450345724959</v>
      </c>
      <c r="AB164" s="63">
        <f t="shared" ca="1" si="19"/>
        <v>27.019450345724955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45348</v>
      </c>
      <c r="K165">
        <f ca="1"/>
        <v>27.146837987375484</v>
      </c>
      <c r="L165">
        <f ca="1"/>
        <v>2.0775745059040673E-2</v>
      </c>
      <c r="M165">
        <f ca="1"/>
        <v>3.7453717210373938E-2</v>
      </c>
      <c r="N165">
        <f ca="1"/>
        <v>0.13364371902029226</v>
      </c>
      <c r="O165">
        <f ca="1"/>
        <v>0</v>
      </c>
      <c r="P165">
        <f ca="1"/>
        <v>293.58346177277127</v>
      </c>
      <c r="Q165">
        <f ca="1"/>
        <v>264.51262932301921</v>
      </c>
      <c r="R165">
        <f ca="1"/>
        <v>0</v>
      </c>
      <c r="S165">
        <f ca="1"/>
        <v>0.29405345650192433</v>
      </c>
      <c r="T165">
        <f ca="1"/>
        <v>0</v>
      </c>
      <c r="U165">
        <f ca="1"/>
        <v>0</v>
      </c>
      <c r="V165">
        <f ca="1"/>
        <v>0</v>
      </c>
      <c r="X165" s="2">
        <f t="shared" ca="1" si="15"/>
        <v>45348</v>
      </c>
      <c r="Y165">
        <f t="shared" ca="1" si="16"/>
        <v>0</v>
      </c>
      <c r="AA165" s="63">
        <f t="shared" ca="1" si="18"/>
        <v>27.167613732434525</v>
      </c>
      <c r="AB165" s="63">
        <f t="shared" ca="1" si="19"/>
        <v>27.167613732434525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45349</v>
      </c>
      <c r="K166">
        <f ca="1"/>
        <v>27.298367909027341</v>
      </c>
      <c r="L166">
        <f ca="1"/>
        <v>1.8852292496148948E-2</v>
      </c>
      <c r="M166">
        <f ca="1"/>
        <v>3.6604428605356176E-2</v>
      </c>
      <c r="N166">
        <f ca="1"/>
        <v>0.1337777855426468</v>
      </c>
      <c r="O166">
        <f ca="1"/>
        <v>0</v>
      </c>
      <c r="P166">
        <f ca="1"/>
        <v>293.60231406526742</v>
      </c>
      <c r="Q166">
        <f ca="1"/>
        <v>264.5296148487937</v>
      </c>
      <c r="R166">
        <f ca="1"/>
        <v>0</v>
      </c>
      <c r="S166">
        <f ca="1"/>
        <v>0.29353723662282449</v>
      </c>
      <c r="T166">
        <f ca="1"/>
        <v>0</v>
      </c>
      <c r="U166">
        <f ca="1"/>
        <v>0</v>
      </c>
      <c r="V166">
        <f ca="1"/>
        <v>0</v>
      </c>
      <c r="X166" s="2">
        <f t="shared" ca="1" si="15"/>
        <v>45349</v>
      </c>
      <c r="Y166">
        <f t="shared" ca="1" si="16"/>
        <v>0</v>
      </c>
      <c r="AA166" s="63">
        <f t="shared" ca="1" si="18"/>
        <v>27.31722020152349</v>
      </c>
      <c r="AB166" s="63">
        <f t="shared" ca="1" si="19"/>
        <v>27.31722020152349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45350</v>
      </c>
      <c r="K167">
        <f ca="1"/>
        <v>27.449861902988687</v>
      </c>
      <c r="L167">
        <f ca="1"/>
        <v>1.6886169854103628E-2</v>
      </c>
      <c r="M167">
        <f ca="1"/>
        <v>3.5696085539486333E-2</v>
      </c>
      <c r="N167">
        <f ca="1"/>
        <v>0.13268407827596232</v>
      </c>
      <c r="O167">
        <f ca="1"/>
        <v>0</v>
      </c>
      <c r="P167">
        <f ca="1"/>
        <v>293.61920023512153</v>
      </c>
      <c r="Q167">
        <f ca="1"/>
        <v>264.54482893871671</v>
      </c>
      <c r="R167">
        <f ca="1"/>
        <v>0</v>
      </c>
      <c r="S167">
        <f ca="1"/>
        <v>0.29543037553751961</v>
      </c>
      <c r="T167">
        <f ca="1"/>
        <v>0</v>
      </c>
      <c r="U167">
        <f ca="1"/>
        <v>0</v>
      </c>
      <c r="V167">
        <f ca="1"/>
        <v>0</v>
      </c>
      <c r="X167" s="2">
        <f t="shared" ca="1" si="15"/>
        <v>45350</v>
      </c>
      <c r="Y167">
        <f t="shared" ca="1" si="16"/>
        <v>0</v>
      </c>
      <c r="AA167" s="63">
        <f t="shared" ca="1" si="18"/>
        <v>27.466748072842787</v>
      </c>
      <c r="AB167" s="63">
        <f t="shared" ca="1" si="19"/>
        <v>27.46674807284279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45351</v>
      </c>
      <c r="K168">
        <f ca="1"/>
        <v>27.600943249227022</v>
      </c>
      <c r="L168">
        <f ca="1"/>
        <v>1.5547890799552988E-2</v>
      </c>
      <c r="M168">
        <f ca="1"/>
        <v>3.3887887479631118E-2</v>
      </c>
      <c r="N168">
        <f ca="1"/>
        <v>0.13274134955825695</v>
      </c>
      <c r="O168">
        <f ca="1"/>
        <v>0</v>
      </c>
      <c r="P168">
        <f ca="1"/>
        <v>293.63474812592108</v>
      </c>
      <c r="Q168">
        <f ca="1"/>
        <v>264.55883726687989</v>
      </c>
      <c r="R168">
        <f ca="1"/>
        <v>0</v>
      </c>
      <c r="S168">
        <f ca="1"/>
        <v>0.2832053308649386</v>
      </c>
      <c r="T168">
        <f ca="1"/>
        <v>0</v>
      </c>
      <c r="U168">
        <f ca="1"/>
        <v>0</v>
      </c>
      <c r="V168">
        <f ca="1"/>
        <v>0</v>
      </c>
      <c r="X168" s="2">
        <f t="shared" ca="1" si="15"/>
        <v>45351</v>
      </c>
      <c r="Y168">
        <f t="shared" ca="1" si="16"/>
        <v>0</v>
      </c>
      <c r="AA168" s="63">
        <f t="shared" ca="1" si="18"/>
        <v>27.616491140026572</v>
      </c>
      <c r="AB168" s="63">
        <f t="shared" ca="1" si="19"/>
        <v>27.616491140026575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45352</v>
      </c>
      <c r="K169">
        <f ca="1"/>
        <v>27.7510193987519</v>
      </c>
      <c r="L169">
        <f ca="1"/>
        <v>1.3730084845292367E-2</v>
      </c>
      <c r="M169">
        <f ca="1"/>
        <v>3.3198888151298789E-2</v>
      </c>
      <c r="N169">
        <f ca="1"/>
        <v>0.13060734621887446</v>
      </c>
      <c r="O169">
        <f ca="1"/>
        <v>0</v>
      </c>
      <c r="P169">
        <f ca="1"/>
        <v>293.64847821076637</v>
      </c>
      <c r="Q169">
        <f ca="1"/>
        <v>264.57120778946091</v>
      </c>
      <c r="R169">
        <f ca="1"/>
        <v>0</v>
      </c>
      <c r="S169">
        <f ca="1"/>
        <v>0.28934621372515329</v>
      </c>
      <c r="T169">
        <f ca="1"/>
        <v>0</v>
      </c>
      <c r="U169">
        <f ca="1"/>
        <v>0</v>
      </c>
      <c r="V169">
        <f ca="1"/>
        <v>0</v>
      </c>
      <c r="X169" s="2">
        <f t="shared" ca="1" si="15"/>
        <v>45352</v>
      </c>
      <c r="Y169">
        <f t="shared" ca="1" si="16"/>
        <v>0</v>
      </c>
      <c r="AA169" s="63">
        <f t="shared" ca="1" si="18"/>
        <v>27.764749483597193</v>
      </c>
      <c r="AB169" s="63">
        <f t="shared" ca="1" si="19"/>
        <v>27.764749483597193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45353</v>
      </c>
      <c r="K170">
        <f ca="1"/>
        <v>27.901946171858935</v>
      </c>
      <c r="L170">
        <f ca="1"/>
        <v>1.1647414736273731E-2</v>
      </c>
      <c r="M170">
        <f ca="1"/>
        <v>3.4558658997823954E-2</v>
      </c>
      <c r="N170">
        <f ca="1"/>
        <v>0.12801552884548303</v>
      </c>
      <c r="O170">
        <f ca="1"/>
        <v>0</v>
      </c>
      <c r="P170">
        <f ca="1"/>
        <v>293.66012562550264</v>
      </c>
      <c r="Q170">
        <f ca="1"/>
        <v>264.58170186933211</v>
      </c>
      <c r="R170">
        <f ca="1"/>
        <v>0</v>
      </c>
      <c r="S170">
        <f ca="1"/>
        <v>0.32452869090931513</v>
      </c>
      <c r="T170">
        <f ca="1"/>
        <v>0</v>
      </c>
      <c r="U170">
        <f ca="1"/>
        <v>0</v>
      </c>
      <c r="V170">
        <f ca="1"/>
        <v>0</v>
      </c>
      <c r="X170" s="2">
        <f t="shared" ca="1" si="15"/>
        <v>45353</v>
      </c>
      <c r="Y170">
        <f t="shared" ca="1" si="16"/>
        <v>0</v>
      </c>
      <c r="AA170" s="63">
        <f t="shared" ca="1" si="18"/>
        <v>27.913593586595209</v>
      </c>
      <c r="AB170" s="63">
        <f t="shared" ca="1" si="19"/>
        <v>27.913593586595209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45354</v>
      </c>
      <c r="K171">
        <f ca="1"/>
        <v>28.049022898011192</v>
      </c>
      <c r="L171">
        <f ca="1"/>
        <v>1.0032897014696118E-2</v>
      </c>
      <c r="M171">
        <f ca="1"/>
        <v>3.3604866924555665E-2</v>
      </c>
      <c r="N171">
        <f ca="1"/>
        <v>0.12350475624239761</v>
      </c>
      <c r="O171">
        <f ca="1"/>
        <v>0</v>
      </c>
      <c r="P171">
        <f ca="1"/>
        <v>293.67015852251734</v>
      </c>
      <c r="Q171">
        <f ca="1"/>
        <v>264.59074130211576</v>
      </c>
      <c r="R171">
        <f ca="1"/>
        <v>0</v>
      </c>
      <c r="S171">
        <f ca="1"/>
        <v>0.33695743572616682</v>
      </c>
      <c r="T171">
        <f ca="1"/>
        <v>0</v>
      </c>
      <c r="U171">
        <f ca="1"/>
        <v>0</v>
      </c>
      <c r="V171">
        <f ca="1"/>
        <v>0</v>
      </c>
      <c r="X171" s="2">
        <f t="shared" ca="1" si="15"/>
        <v>45354</v>
      </c>
      <c r="Y171">
        <f t="shared" ca="1" si="16"/>
        <v>0</v>
      </c>
      <c r="AA171" s="63">
        <f t="shared" ca="1" si="18"/>
        <v>28.059055795025888</v>
      </c>
      <c r="AB171" s="63">
        <f t="shared" ca="1" si="19"/>
        <v>28.059055795025888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1</v>
      </c>
      <c r="J172" s="2">
        <f ca="1"/>
        <v>45355</v>
      </c>
      <c r="K172">
        <f ca="1"/>
        <v>28.21478025501824</v>
      </c>
      <c r="L172">
        <f ca="1"/>
        <v>1.0276260091302447E-2</v>
      </c>
      <c r="M172">
        <f ca="1"/>
        <v>3.7320394039594973E-2</v>
      </c>
      <c r="N172">
        <f ca="1"/>
        <v>0.13871322305875841</v>
      </c>
      <c r="O172">
        <f ca="1"/>
        <v>0</v>
      </c>
      <c r="P172">
        <f ca="1"/>
        <v>293.68043478260864</v>
      </c>
      <c r="Q172">
        <f ca="1"/>
        <v>264.59999999999991</v>
      </c>
      <c r="R172">
        <f ca="1"/>
        <v>0</v>
      </c>
      <c r="S172">
        <f ca="1"/>
        <v>0.35398794209088358</v>
      </c>
      <c r="T172">
        <f ca="1"/>
        <v>0</v>
      </c>
      <c r="U172">
        <f ca="1"/>
        <v>0</v>
      </c>
      <c r="V172">
        <f ca="1"/>
        <v>0</v>
      </c>
      <c r="X172" s="2">
        <f t="shared" ca="1" si="15"/>
        <v>45355</v>
      </c>
      <c r="Y172">
        <f t="shared" ca="1" si="16"/>
        <v>0</v>
      </c>
      <c r="AA172" s="63">
        <f t="shared" ca="1" si="18"/>
        <v>28.225056515109543</v>
      </c>
      <c r="AB172" s="63">
        <f t="shared" ca="1" si="19"/>
        <v>28.225056515109543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45356</v>
      </c>
      <c r="K173">
        <f ca="1"/>
        <v>27.807908205265555</v>
      </c>
      <c r="L173">
        <f ca="1"/>
        <v>0</v>
      </c>
      <c r="M173">
        <f ca="1"/>
        <v>-0.54585614391669601</v>
      </c>
      <c r="N173">
        <f ca="1"/>
        <v>0.13898409416401378</v>
      </c>
      <c r="O173">
        <f ca="1"/>
        <v>0</v>
      </c>
      <c r="P173">
        <f ca="1"/>
        <v>0</v>
      </c>
      <c r="Q173">
        <f ca="1"/>
        <v>0</v>
      </c>
      <c r="R173">
        <f ca="1"/>
        <v>0</v>
      </c>
      <c r="S173">
        <f ca="1"/>
        <v>0.34030285797884291</v>
      </c>
      <c r="T173">
        <f ca="1"/>
        <v>0</v>
      </c>
      <c r="U173">
        <f ca="1"/>
        <v>0</v>
      </c>
      <c r="V173">
        <f ca="1"/>
        <v>0</v>
      </c>
      <c r="X173" s="2">
        <f t="shared" ca="1" si="15"/>
        <v>45356</v>
      </c>
      <c r="Y173">
        <f t="shared" ca="1" si="16"/>
        <v>0</v>
      </c>
      <c r="AA173" s="63">
        <f t="shared" ca="1" si="18"/>
        <v>27.807908205265559</v>
      </c>
      <c r="AB173" s="63">
        <f t="shared" ca="1" si="19"/>
        <v>27.807908205265555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45357</v>
      </c>
      <c r="K174">
        <f ca="1"/>
        <v>27.45412944895179</v>
      </c>
      <c r="L174">
        <f ca="1"/>
        <v>0</v>
      </c>
      <c r="M174">
        <f ca="1"/>
        <v>-0.48110680402098183</v>
      </c>
      <c r="N174">
        <f ca="1"/>
        <v>0.12732804770721617</v>
      </c>
      <c r="O174">
        <f ca="1"/>
        <v>0</v>
      </c>
      <c r="P174">
        <f ca="1"/>
        <v>0</v>
      </c>
      <c r="Q174">
        <f ca="1"/>
        <v>0</v>
      </c>
      <c r="R174">
        <f ca="1"/>
        <v>0</v>
      </c>
      <c r="S174">
        <f ca="1"/>
        <v>0.33387129105800667</v>
      </c>
      <c r="T174">
        <f ca="1"/>
        <v>0</v>
      </c>
      <c r="U174">
        <f ca="1"/>
        <v>0</v>
      </c>
      <c r="V174">
        <f ca="1"/>
        <v>0</v>
      </c>
      <c r="X174" s="2">
        <f t="shared" ca="1" si="15"/>
        <v>45357</v>
      </c>
      <c r="Y174">
        <f t="shared" ca="1" si="16"/>
        <v>0</v>
      </c>
      <c r="AA174" s="63">
        <f t="shared" ca="1" si="18"/>
        <v>27.45412944895179</v>
      </c>
      <c r="AB174" s="63">
        <f t="shared" ca="1" si="19"/>
        <v>27.45412944895179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45358</v>
      </c>
      <c r="K175">
        <f ca="1"/>
        <v>27.115946887534562</v>
      </c>
      <c r="L175">
        <f ca="1"/>
        <v>0</v>
      </c>
      <c r="M175">
        <f ca="1"/>
        <v>-0.46825897936869687</v>
      </c>
      <c r="N175">
        <f ca="1"/>
        <v>0.13007641795147284</v>
      </c>
      <c r="O175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0.33036426114490453</v>
      </c>
      <c r="T175">
        <f ca="1"/>
        <v>0</v>
      </c>
      <c r="U175">
        <f ca="1"/>
        <v>0</v>
      </c>
      <c r="V175">
        <f ca="1"/>
        <v>0</v>
      </c>
      <c r="X175" s="2">
        <f t="shared" ca="1" si="15"/>
        <v>45358</v>
      </c>
      <c r="Y175">
        <f t="shared" ca="1" si="16"/>
        <v>0</v>
      </c>
      <c r="AA175" s="63">
        <f t="shared" ca="1" si="18"/>
        <v>27.115946887534562</v>
      </c>
      <c r="AB175" s="63">
        <f t="shared" ca="1" si="19"/>
        <v>27.115946887534562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45359</v>
      </c>
      <c r="K176">
        <f ca="1"/>
        <v>26.814831876903526</v>
      </c>
      <c r="L176">
        <f ca="1"/>
        <v>0</v>
      </c>
      <c r="M176">
        <f ca="1"/>
        <v>-0.4231116778503381</v>
      </c>
      <c r="N176">
        <f ca="1"/>
        <v>0.1219966672193008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0.32525131727440582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45359</v>
      </c>
      <c r="Y176">
        <f t="shared" ca="1" si="16"/>
        <v>0</v>
      </c>
      <c r="AA176" s="63">
        <f t="shared" ca="1" si="18"/>
        <v>26.814831876903526</v>
      </c>
      <c r="AB176" s="63">
        <f t="shared" ca="1" si="19"/>
        <v>26.814831876903526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45360</v>
      </c>
      <c r="K177">
        <f ca="1"/>
        <v>26.502780997277739</v>
      </c>
      <c r="L177">
        <f ca="1"/>
        <v>0</v>
      </c>
      <c r="M177">
        <f ca="1"/>
        <v>-0.44691889645337035</v>
      </c>
      <c r="N177">
        <f ca="1"/>
        <v>0.13486801682758234</v>
      </c>
      <c r="O177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0.32931023176337987</v>
      </c>
      <c r="T177">
        <f ca="1"/>
        <v>0</v>
      </c>
      <c r="U177">
        <f ca="1"/>
        <v>0</v>
      </c>
      <c r="V177">
        <f ca="1"/>
        <v>0</v>
      </c>
      <c r="X177" s="2">
        <f t="shared" ca="1" si="15"/>
        <v>45360</v>
      </c>
      <c r="Y177">
        <f t="shared" ca="1" si="16"/>
        <v>0</v>
      </c>
      <c r="AA177" s="63">
        <f t="shared" ca="1" si="18"/>
        <v>26.502780997277739</v>
      </c>
      <c r="AB177" s="63">
        <f t="shared" ca="1" si="19"/>
        <v>26.502780997277739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45361</v>
      </c>
      <c r="K178">
        <f ca="1"/>
        <v>26.207881219876747</v>
      </c>
      <c r="L178">
        <f ca="1"/>
        <v>0</v>
      </c>
      <c r="M178">
        <f ca="1"/>
        <v>-0.42388978274629174</v>
      </c>
      <c r="N178">
        <f ca="1"/>
        <v>0.12899000534529906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0.34191518461510473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45361</v>
      </c>
      <c r="Y178">
        <f t="shared" ca="1" si="16"/>
        <v>0</v>
      </c>
      <c r="AA178" s="63">
        <f t="shared" ca="1" si="18"/>
        <v>26.207881219876743</v>
      </c>
      <c r="AB178" s="63">
        <f t="shared" ca="1" si="19"/>
        <v>26.207881219876747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45362</v>
      </c>
      <c r="K179">
        <f ca="1"/>
        <v>25.899962095304588</v>
      </c>
      <c r="L179">
        <f ca="1"/>
        <v>0</v>
      </c>
      <c r="M179">
        <f ca="1"/>
        <v>-0.4408368418243267</v>
      </c>
      <c r="N179">
        <f ca="1"/>
        <v>0.13291771725216592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0.3732588036429883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45362</v>
      </c>
      <c r="Y179">
        <f t="shared" ca="1" si="16"/>
        <v>0</v>
      </c>
      <c r="AA179" s="63">
        <f t="shared" ca="1" si="18"/>
        <v>25.899962095304584</v>
      </c>
      <c r="AB179" s="63">
        <f t="shared" ca="1" si="19"/>
        <v>25.899962095304588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45363</v>
      </c>
      <c r="K180">
        <f ca="1"/>
        <v>25.583339815624619</v>
      </c>
      <c r="L180">
        <f ca="1"/>
        <v>0</v>
      </c>
      <c r="M180">
        <f ca="1"/>
        <v>-0.4564846439261192</v>
      </c>
      <c r="N180">
        <f ca="1"/>
        <v>0.13986236424615162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0.39752711320736089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45363</v>
      </c>
      <c r="Y180">
        <f t="shared" ca="1" si="16"/>
        <v>0</v>
      </c>
      <c r="AA180" s="63">
        <f t="shared" ca="1" si="18"/>
        <v>25.583339815624623</v>
      </c>
      <c r="AB180" s="63">
        <f t="shared" ca="1" si="19"/>
        <v>25.583339815624619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45364</v>
      </c>
      <c r="K181">
        <f ca="1"/>
        <v>25.28131861351001</v>
      </c>
      <c r="L181">
        <f ca="1"/>
        <v>0</v>
      </c>
      <c r="M181">
        <f ca="1"/>
        <v>-0.44068484487778825</v>
      </c>
      <c r="N181">
        <f ca="1"/>
        <v>0.13866364276317761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0.4116754423815564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45364</v>
      </c>
      <c r="Y181">
        <f t="shared" ca="1" si="16"/>
        <v>0</v>
      </c>
      <c r="AA181" s="63">
        <f t="shared" ca="1" si="18"/>
        <v>25.28131861351001</v>
      </c>
      <c r="AB181" s="63">
        <f t="shared" ca="1" si="19"/>
        <v>25.28131861351001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45365</v>
      </c>
      <c r="K182">
        <f ca="1"/>
        <v>25.014091117763094</v>
      </c>
      <c r="L182">
        <f ca="1"/>
        <v>0</v>
      </c>
      <c r="M182">
        <f ca="1"/>
        <v>-0.40370620306480198</v>
      </c>
      <c r="N182">
        <f ca="1"/>
        <v>0.13647870731788606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0.39315537732996919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45365</v>
      </c>
      <c r="Y182">
        <f t="shared" ca="1" si="16"/>
        <v>0</v>
      </c>
      <c r="AA182" s="63">
        <f t="shared" ca="1" si="18"/>
        <v>25.014091117763094</v>
      </c>
      <c r="AB182" s="63">
        <f t="shared" ca="1" si="19"/>
        <v>25.014091117763094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45366</v>
      </c>
      <c r="K183">
        <f ca="1"/>
        <v>24.765359745430686</v>
      </c>
      <c r="L183">
        <f ca="1"/>
        <v>0</v>
      </c>
      <c r="M183">
        <f ca="1"/>
        <v>-0.38541091264949046</v>
      </c>
      <c r="N183">
        <f ca="1"/>
        <v>0.1366795403170819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0.39300584681458234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45366</v>
      </c>
      <c r="Y183">
        <f t="shared" ca="1" si="16"/>
        <v>0</v>
      </c>
      <c r="AA183" s="63">
        <f t="shared" ca="1" si="18"/>
        <v>24.765359745430686</v>
      </c>
      <c r="AB183" s="63">
        <f t="shared" ca="1" si="19"/>
        <v>24.765359745430686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45367</v>
      </c>
      <c r="K184">
        <f ca="1"/>
        <v>24.536480192469565</v>
      </c>
      <c r="L184">
        <f ca="1"/>
        <v>0</v>
      </c>
      <c r="M184">
        <f ca="1"/>
        <v>-0.36366545967164754</v>
      </c>
      <c r="N184">
        <f ca="1"/>
        <v>0.13478590671052543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0.39381060999033263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45367</v>
      </c>
      <c r="Y184">
        <f t="shared" ca="1" si="16"/>
        <v>0</v>
      </c>
      <c r="AA184" s="63">
        <f t="shared" ca="1" si="18"/>
        <v>24.536480192469565</v>
      </c>
      <c r="AB184" s="63">
        <f t="shared" ca="1" si="19"/>
        <v>24.536480192469565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45368</v>
      </c>
      <c r="K185">
        <f ca="1"/>
        <v>24.331891813854142</v>
      </c>
      <c r="L185">
        <f ca="1"/>
        <v>0</v>
      </c>
      <c r="M185">
        <f ca="1"/>
        <v>-0.32886314506219883</v>
      </c>
      <c r="N185">
        <f ca="1"/>
        <v>0.12427476644677954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0.40213022772411994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45368</v>
      </c>
      <c r="Y185">
        <f t="shared" ca="1" si="16"/>
        <v>0</v>
      </c>
      <c r="AA185" s="63">
        <f t="shared" ca="1" si="18"/>
        <v>24.331891813854146</v>
      </c>
      <c r="AB185" s="63">
        <f t="shared" ca="1" si="19"/>
        <v>24.331891813854142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45369</v>
      </c>
      <c r="K186">
        <f ca="1"/>
        <v>24.135253799187105</v>
      </c>
      <c r="L186">
        <f ca="1"/>
        <v>0</v>
      </c>
      <c r="M186">
        <f ca="1"/>
        <v>-0.32959449421990605</v>
      </c>
      <c r="N186">
        <f ca="1"/>
        <v>0.13295647955287043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0.39825251310932824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45369</v>
      </c>
      <c r="Y186">
        <f t="shared" ca="1" si="16"/>
        <v>0</v>
      </c>
      <c r="AA186" s="63">
        <f t="shared" ca="1" si="18"/>
        <v>24.135253799187108</v>
      </c>
      <c r="AB186" s="63">
        <f t="shared" ca="1" si="19"/>
        <v>24.135253799187105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45370</v>
      </c>
      <c r="K187">
        <f ca="1"/>
        <v>23.953843320047834</v>
      </c>
      <c r="L187">
        <f ca="1"/>
        <v>0</v>
      </c>
      <c r="M187">
        <f ca="1"/>
        <v>-0.32103164092093905</v>
      </c>
      <c r="N187">
        <f ca="1"/>
        <v>0.13962116178166886</v>
      </c>
      <c r="O187">
        <f ca="1"/>
        <v>0</v>
      </c>
      <c r="P187">
        <f ca="1"/>
        <v>3.1383073592145814</v>
      </c>
      <c r="Q187">
        <f ca="1"/>
        <v>2.678722599496965</v>
      </c>
      <c r="R187">
        <f ca="1"/>
        <v>0</v>
      </c>
      <c r="S187">
        <f ca="1"/>
        <v>0.38631958557406043</v>
      </c>
      <c r="T187">
        <f ca="1"/>
        <v>0</v>
      </c>
      <c r="U187">
        <f ca="1"/>
        <v>0</v>
      </c>
      <c r="V187">
        <f ca="1"/>
        <v>9.8646739042144646E-3</v>
      </c>
      <c r="X187" s="2">
        <f t="shared" ca="1" si="15"/>
        <v>45370</v>
      </c>
      <c r="Y187">
        <f t="shared" ca="1" si="16"/>
        <v>0</v>
      </c>
      <c r="AA187" s="63">
        <f t="shared" ca="1" si="18"/>
        <v>23.953843320047834</v>
      </c>
      <c r="AB187" s="63">
        <f t="shared" ca="1" si="19"/>
        <v>23.953843320047834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45371</v>
      </c>
      <c r="K188">
        <f ca="1"/>
        <v>23.379752201483836</v>
      </c>
      <c r="L188">
        <f ca="1"/>
        <v>0.41500865726823832</v>
      </c>
      <c r="M188">
        <f ca="1"/>
        <v>-0.29324628641885386</v>
      </c>
      <c r="N188">
        <f ca="1"/>
        <v>0.13416382512309255</v>
      </c>
      <c r="O188">
        <f ca="1"/>
        <v>0</v>
      </c>
      <c r="P188">
        <f ca="1"/>
        <v>3.5533160164828197</v>
      </c>
      <c r="Q188">
        <f ca="1"/>
        <v>3.0329559303870091</v>
      </c>
      <c r="R188">
        <f ca="1"/>
        <v>0</v>
      </c>
      <c r="S188">
        <f ca="1"/>
        <v>0.38145135261876317</v>
      </c>
      <c r="T188">
        <f ca="1"/>
        <v>0</v>
      </c>
      <c r="U188">
        <f ca="1"/>
        <v>0</v>
      </c>
      <c r="V188">
        <f ca="1"/>
        <v>1.4297897071375833E-2</v>
      </c>
      <c r="X188" s="2">
        <f t="shared" ca="1" si="15"/>
        <v>45371</v>
      </c>
      <c r="Y188">
        <f t="shared" ca="1" si="16"/>
        <v>0</v>
      </c>
      <c r="AA188" s="63">
        <f t="shared" ca="1" si="18"/>
        <v>23.794760858752074</v>
      </c>
      <c r="AB188" s="63">
        <f t="shared" ca="1" si="19"/>
        <v>23.794760858752074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45372</v>
      </c>
      <c r="K189">
        <f ca="1"/>
        <v>22.790392225993667</v>
      </c>
      <c r="L189">
        <f ca="1"/>
        <v>0.44884871615138744</v>
      </c>
      <c r="M189">
        <f ca="1"/>
        <v>-0.26972508009998553</v>
      </c>
      <c r="N189">
        <f ca="1"/>
        <v>0.12921382076120574</v>
      </c>
      <c r="O189">
        <f ca="1"/>
        <v>0</v>
      </c>
      <c r="P189">
        <f ca="1"/>
        <v>4.0021647326342071</v>
      </c>
      <c r="Q189">
        <f ca="1"/>
        <v>3.4160736630015829</v>
      </c>
      <c r="R189">
        <f ca="1"/>
        <v>0</v>
      </c>
      <c r="S189">
        <f ca="1"/>
        <v>0.37877156201174728</v>
      </c>
      <c r="T189">
        <f ca="1"/>
        <v>0</v>
      </c>
      <c r="U189">
        <f ca="1"/>
        <v>0</v>
      </c>
      <c r="V189">
        <f ca="1"/>
        <v>2.0370622796204524E-2</v>
      </c>
      <c r="X189" s="2">
        <f t="shared" ca="1" si="15"/>
        <v>45372</v>
      </c>
      <c r="Y189">
        <f t="shared" ca="1" si="16"/>
        <v>0</v>
      </c>
      <c r="AA189" s="63">
        <f t="shared" ca="1" si="18"/>
        <v>23.239240942145056</v>
      </c>
      <c r="AB189" s="63">
        <f t="shared" ca="1" si="19"/>
        <v>23.239240942145056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45373</v>
      </c>
      <c r="K190">
        <f ca="1"/>
        <v>22.18534886658896</v>
      </c>
      <c r="L190">
        <f ca="1"/>
        <v>0.47361409728869219</v>
      </c>
      <c r="M190">
        <f ca="1"/>
        <v>-0.25691981549215548</v>
      </c>
      <c r="N190">
        <f ca="1"/>
        <v>0.12549055337613751</v>
      </c>
      <c r="O190">
        <f ca="1"/>
        <v>0</v>
      </c>
      <c r="P190">
        <f ca="1"/>
        <v>4.4757788299228993</v>
      </c>
      <c r="Q190">
        <f ca="1"/>
        <v>3.8203300472982065</v>
      </c>
      <c r="R190">
        <f ca="1"/>
        <v>0</v>
      </c>
      <c r="S190">
        <f ca="1"/>
        <v>0.39344874595155005</v>
      </c>
      <c r="T190">
        <f ca="1"/>
        <v>0</v>
      </c>
      <c r="U190">
        <f ca="1"/>
        <v>0</v>
      </c>
      <c r="V190">
        <f ca="1"/>
        <v>2.83584795140393E-2</v>
      </c>
      <c r="X190" s="2">
        <f t="shared" ca="1" si="15"/>
        <v>45373</v>
      </c>
      <c r="Y190">
        <f t="shared" ca="1" si="16"/>
        <v>0</v>
      </c>
      <c r="AA190" s="63">
        <f t="shared" ca="1" si="18"/>
        <v>22.658962963877649</v>
      </c>
      <c r="AB190" s="63">
        <f t="shared" ca="1" si="19"/>
        <v>22.658962963877652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45374</v>
      </c>
      <c r="K191">
        <f ca="1"/>
        <v>21.530913088929928</v>
      </c>
      <c r="L191">
        <f ca="1"/>
        <v>0.53644520411759178</v>
      </c>
      <c r="M191">
        <f ca="1"/>
        <v>-0.24408006223925405</v>
      </c>
      <c r="N191">
        <f ca="1"/>
        <v>0.12608948869781039</v>
      </c>
      <c r="O191">
        <f ca="1"/>
        <v>0</v>
      </c>
      <c r="P191">
        <f ca="1"/>
        <v>5.0122240340404911</v>
      </c>
      <c r="Q191">
        <f ca="1"/>
        <v>4.2782163303107117</v>
      </c>
      <c r="R191">
        <f ca="1"/>
        <v>0</v>
      </c>
      <c r="S191">
        <f ca="1"/>
        <v>0.38905412680718887</v>
      </c>
      <c r="T191">
        <f ca="1"/>
        <v>0</v>
      </c>
      <c r="U191">
        <f ca="1"/>
        <v>0</v>
      </c>
      <c r="V191">
        <f ca="1"/>
        <v>3.9524382053178465E-2</v>
      </c>
      <c r="X191" s="2">
        <f t="shared" ca="1" si="15"/>
        <v>45374</v>
      </c>
      <c r="Y191">
        <f t="shared" ca="1" si="16"/>
        <v>0</v>
      </c>
      <c r="AA191" s="63">
        <f t="shared" ca="1" si="18"/>
        <v>22.067358293047516</v>
      </c>
      <c r="AB191" s="63">
        <f t="shared" ca="1" si="19"/>
        <v>22.067358293047519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45375</v>
      </c>
      <c r="K192">
        <f ca="1"/>
        <v>20.797572151820926</v>
      </c>
      <c r="L192">
        <f ca="1"/>
        <v>0.62079238715785401</v>
      </c>
      <c r="M192">
        <f ca="1"/>
        <v>-0.24367753143871695</v>
      </c>
      <c r="N192">
        <f ca="1"/>
        <v>0.13112898148757038</v>
      </c>
      <c r="O192">
        <f ca="1"/>
        <v>0</v>
      </c>
      <c r="P192">
        <f ca="1"/>
        <v>5.6330164211983451</v>
      </c>
      <c r="Q192">
        <f ca="1"/>
        <v>4.8080976984287132</v>
      </c>
      <c r="R192">
        <f ca="1"/>
        <v>0</v>
      </c>
      <c r="S192">
        <f ca="1"/>
        <v>0.39997556247473831</v>
      </c>
      <c r="T192">
        <f ca="1"/>
        <v>0</v>
      </c>
      <c r="U192">
        <f ca="1"/>
        <v>0</v>
      </c>
      <c r="V192">
        <f ca="1"/>
        <v>5.5428628509181163E-2</v>
      </c>
      <c r="X192" s="2">
        <f t="shared" ca="1" si="15"/>
        <v>45375</v>
      </c>
      <c r="Y192">
        <f t="shared" ca="1" si="16"/>
        <v>0</v>
      </c>
      <c r="AA192" s="63">
        <f t="shared" ca="1" si="18"/>
        <v>21.418364538978782</v>
      </c>
      <c r="AB192" s="63">
        <f t="shared" ca="1" si="19"/>
        <v>21.418364538978778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45376</v>
      </c>
      <c r="K193">
        <f ca="1"/>
        <v>20.071313964087071</v>
      </c>
      <c r="L193">
        <f ca="1"/>
        <v>0.63482445592581982</v>
      </c>
      <c r="M193">
        <f ca="1"/>
        <v>-0.21187327465648309</v>
      </c>
      <c r="N193">
        <f ca="1"/>
        <v>0.12043954284844879</v>
      </c>
      <c r="O193">
        <f ca="1"/>
        <v>0</v>
      </c>
      <c r="P193">
        <f ca="1"/>
        <v>6.2678408771241649</v>
      </c>
      <c r="Q193">
        <f ca="1"/>
        <v>5.3499562298465682</v>
      </c>
      <c r="R193">
        <f ca="1"/>
        <v>0</v>
      </c>
      <c r="S193">
        <f ca="1"/>
        <v>0.38611691939529058</v>
      </c>
      <c r="T193">
        <f ca="1"/>
        <v>0</v>
      </c>
      <c r="U193">
        <f ca="1"/>
        <v>0</v>
      </c>
      <c r="V193">
        <f ca="1"/>
        <v>7.5119533453800305E-2</v>
      </c>
      <c r="X193" s="2">
        <f t="shared" ca="1" si="15"/>
        <v>45376</v>
      </c>
      <c r="Y193">
        <f t="shared" ca="1" si="16"/>
        <v>0</v>
      </c>
      <c r="AA193" s="63">
        <f t="shared" ca="1" si="18"/>
        <v>20.706138420012891</v>
      </c>
      <c r="AB193" s="63">
        <f t="shared" ca="1" si="19"/>
        <v>20.706138420012891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45377</v>
      </c>
      <c r="K194">
        <f ca="1"/>
        <v>19.208316474944723</v>
      </c>
      <c r="L194">
        <f ca="1"/>
        <v>0.77971622499089399</v>
      </c>
      <c r="M194">
        <f ca="1"/>
        <v>-0.21246299512008626</v>
      </c>
      <c r="N194">
        <f ca="1"/>
        <v>0.1291817309686332</v>
      </c>
      <c r="O194">
        <f ca="1"/>
        <v>0</v>
      </c>
      <c r="P194">
        <f ca="1"/>
        <v>7.0475571021150589</v>
      </c>
      <c r="Q194">
        <f ca="1"/>
        <v>6.0154880704245688</v>
      </c>
      <c r="R194">
        <f ca="1"/>
        <v>0</v>
      </c>
      <c r="S194">
        <f ca="1"/>
        <v>0.38331304486783063</v>
      </c>
      <c r="T194">
        <f ca="1"/>
        <v>0</v>
      </c>
      <c r="U194">
        <f ca="1"/>
        <v>0</v>
      </c>
      <c r="V194">
        <f ca="1"/>
        <v>0.10404512330254424</v>
      </c>
      <c r="X194" s="2">
        <f t="shared" ca="1" si="15"/>
        <v>45377</v>
      </c>
      <c r="Y194">
        <f t="shared" ca="1" si="16"/>
        <v>0</v>
      </c>
      <c r="AA194" s="63">
        <f t="shared" ca="1" si="18"/>
        <v>19.988032699935616</v>
      </c>
      <c r="AB194" s="63">
        <f t="shared" ca="1" si="19"/>
        <v>19.988032699935616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45378</v>
      </c>
      <c r="K195">
        <f ca="1"/>
        <v>18.217509838352314</v>
      </c>
      <c r="L195">
        <f ca="1"/>
        <v>0.91992261239391926</v>
      </c>
      <c r="M195">
        <f ca="1"/>
        <v>-0.2037626605619085</v>
      </c>
      <c r="N195">
        <f ca="1"/>
        <v>0.13287863636341729</v>
      </c>
      <c r="O195">
        <f ca="1"/>
        <v>0</v>
      </c>
      <c r="P195">
        <f ca="1"/>
        <v>7.9674797145089782</v>
      </c>
      <c r="Q195">
        <f ca="1"/>
        <v>6.8006939822587098</v>
      </c>
      <c r="R195">
        <f ca="1"/>
        <v>0</v>
      </c>
      <c r="S195">
        <f ca="1"/>
        <v>0.37503388895359574</v>
      </c>
      <c r="T195">
        <f ca="1"/>
        <v>0</v>
      </c>
      <c r="U195">
        <f ca="1"/>
        <v>0</v>
      </c>
      <c r="V195">
        <f ca="1"/>
        <v>0.14452793944725059</v>
      </c>
      <c r="X195" s="2">
        <f t="shared" ca="1" si="15"/>
        <v>45378</v>
      </c>
      <c r="Y195">
        <f t="shared" ca="1" si="16"/>
        <v>0</v>
      </c>
      <c r="AA195" s="63">
        <f t="shared" ca="1" si="18"/>
        <v>19.137432450746235</v>
      </c>
      <c r="AB195" s="63">
        <f t="shared" ca="1" si="19"/>
        <v>19.137432450746232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45379</v>
      </c>
      <c r="K196">
        <f ca="1"/>
        <v>17.129305125509699</v>
      </c>
      <c r="L196">
        <f ca="1"/>
        <v>1.0306823279896014</v>
      </c>
      <c r="M196">
        <f ca="1"/>
        <v>-0.18842440503456981</v>
      </c>
      <c r="N196">
        <f ca="1"/>
        <v>0.13090202018155866</v>
      </c>
      <c r="O196">
        <f ca="1"/>
        <v>0</v>
      </c>
      <c r="P196">
        <f ca="1"/>
        <v>8.9981620424985795</v>
      </c>
      <c r="Q196">
        <f ca="1"/>
        <v>7.6804395676556902</v>
      </c>
      <c r="R196">
        <f ca="1"/>
        <v>0</v>
      </c>
      <c r="S196">
        <f ca="1"/>
        <v>0.3669344255814701</v>
      </c>
      <c r="T196">
        <f ca="1"/>
        <v>0</v>
      </c>
      <c r="U196">
        <f ca="1"/>
        <v>0</v>
      </c>
      <c r="V196">
        <f ca="1"/>
        <v>0.19693515019693444</v>
      </c>
      <c r="X196" s="2">
        <f t="shared" ca="1" si="15"/>
        <v>45379</v>
      </c>
      <c r="Y196">
        <f t="shared" ca="1" si="16"/>
        <v>0</v>
      </c>
      <c r="AA196" s="63">
        <f t="shared" ca="1" si="18"/>
        <v>18.159987453499301</v>
      </c>
      <c r="AB196" s="63">
        <f t="shared" ca="1" si="19"/>
        <v>18.159987453499301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45380</v>
      </c>
      <c r="K197">
        <f ca="1"/>
        <v>15.907543022215805</v>
      </c>
      <c r="L197">
        <f ca="1"/>
        <v>1.1693918200732298</v>
      </c>
      <c r="M197">
        <f ca="1"/>
        <v>-0.18634855491591651</v>
      </c>
      <c r="N197">
        <f ca="1"/>
        <v>0.13397827169525037</v>
      </c>
      <c r="O197">
        <f ca="1"/>
        <v>0</v>
      </c>
      <c r="P197">
        <f ca="1"/>
        <v>10.167553862571809</v>
      </c>
      <c r="Q197">
        <f ca="1"/>
        <v>8.6785815396010424</v>
      </c>
      <c r="R197">
        <f ca="1"/>
        <v>0</v>
      </c>
      <c r="S197">
        <f ca="1"/>
        <v>0.38100608998585234</v>
      </c>
      <c r="T197">
        <f ca="1"/>
        <v>0</v>
      </c>
      <c r="U197">
        <f ca="1"/>
        <v>0</v>
      </c>
      <c r="V197">
        <f ca="1"/>
        <v>0.26302620297138624</v>
      </c>
      <c r="X197" s="2">
        <f t="shared" ca="1" si="15"/>
        <v>45380</v>
      </c>
      <c r="Y197">
        <f t="shared" ca="1" si="16"/>
        <v>0</v>
      </c>
      <c r="AA197" s="63">
        <f t="shared" ca="1" si="18"/>
        <v>17.076934842289035</v>
      </c>
      <c r="AB197" s="63">
        <f t="shared" ca="1" si="19"/>
        <v>17.076934842289035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45381</v>
      </c>
      <c r="K198">
        <f ca="1"/>
        <v>14.67567367284299</v>
      </c>
      <c r="L198">
        <f ca="1"/>
        <v>1.1898711771945312</v>
      </c>
      <c r="M198">
        <f ca="1"/>
        <v>-0.16626563247695803</v>
      </c>
      <c r="N198">
        <f ca="1"/>
        <v>0.12426746029867576</v>
      </c>
      <c r="O198">
        <f ca="1"/>
        <v>0</v>
      </c>
      <c r="P198">
        <f ca="1"/>
        <v>11.357425039766341</v>
      </c>
      <c r="Q198">
        <f ca="1"/>
        <v>9.6942037996331933</v>
      </c>
      <c r="R198">
        <f ca="1"/>
        <v>0</v>
      </c>
      <c r="S198">
        <f ca="1"/>
        <v>0.38218240463287406</v>
      </c>
      <c r="T198">
        <f ca="1"/>
        <v>0</v>
      </c>
      <c r="U198">
        <f ca="1"/>
        <v>0</v>
      </c>
      <c r="V198">
        <f ca="1"/>
        <v>0.33416847822631024</v>
      </c>
      <c r="X198" s="2">
        <f t="shared" ca="1" si="15"/>
        <v>45381</v>
      </c>
      <c r="Y198">
        <f t="shared" ca="1" si="16"/>
        <v>0</v>
      </c>
      <c r="AA198" s="63">
        <f t="shared" ca="1" si="18"/>
        <v>15.865544850037523</v>
      </c>
      <c r="AB198" s="63">
        <f t="shared" ca="1" si="19"/>
        <v>15.865544850037521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45382</v>
      </c>
      <c r="K199">
        <f ca="1"/>
        <v>13.408309835662036</v>
      </c>
      <c r="L199">
        <f ca="1"/>
        <v>1.2368495815486398</v>
      </c>
      <c r="M199">
        <f ca="1"/>
        <v>-0.1470811344892855</v>
      </c>
      <c r="N199">
        <f ca="1"/>
        <v>0.11656687885697205</v>
      </c>
      <c r="O199">
        <f ca="1"/>
        <v>0</v>
      </c>
      <c r="P199">
        <f ca="1"/>
        <v>12.59427462131498</v>
      </c>
      <c r="Q199">
        <f ca="1"/>
        <v>10.749924781373457</v>
      </c>
      <c r="R199">
        <f ca="1"/>
        <v>0</v>
      </c>
      <c r="S199">
        <f ca="1"/>
        <v>0.37029685158443482</v>
      </c>
      <c r="T199">
        <f ca="1"/>
        <v>0</v>
      </c>
      <c r="U199">
        <f ca="1"/>
        <v>0</v>
      </c>
      <c r="V199">
        <f ca="1"/>
        <v>0.40854026304110769</v>
      </c>
      <c r="X199" s="2">
        <f t="shared" ca="1" si="15"/>
        <v>45382</v>
      </c>
      <c r="Y199">
        <f t="shared" ca="1" si="16"/>
        <v>0</v>
      </c>
      <c r="AA199" s="63">
        <f t="shared" ca="1" si="18"/>
        <v>14.645159417210676</v>
      </c>
      <c r="AB199" s="63">
        <f t="shared" ca="1" si="19"/>
        <v>14.645159417210676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45383</v>
      </c>
      <c r="K200">
        <f ca="1"/>
        <v>11.927460183484689</v>
      </c>
      <c r="L200">
        <f ca="1"/>
        <v>1.4622165432634784</v>
      </c>
      <c r="M200">
        <f ca="1"/>
        <v>-0.13829085927269702</v>
      </c>
      <c r="N200">
        <f ca="1"/>
        <v>0.11965775035882684</v>
      </c>
      <c r="O200">
        <f ca="1"/>
        <v>0</v>
      </c>
      <c r="P200">
        <f ca="1"/>
        <v>14.056491164578459</v>
      </c>
      <c r="Q200">
        <f ca="1"/>
        <v>11.998009194870317</v>
      </c>
      <c r="R200">
        <f ca="1"/>
        <v>0</v>
      </c>
      <c r="S200">
        <f ca="1"/>
        <v>0.35216295826107918</v>
      </c>
      <c r="T200">
        <f ca="1"/>
        <v>0</v>
      </c>
      <c r="U200">
        <f ca="1"/>
        <v>0</v>
      </c>
      <c r="V200">
        <f ca="1"/>
        <v>0.4926321924739277</v>
      </c>
      <c r="X200" s="2">
        <f t="shared" ca="1" si="15"/>
        <v>45383</v>
      </c>
      <c r="Y200">
        <f t="shared" ca="1" si="16"/>
        <v>0</v>
      </c>
      <c r="AA200" s="63">
        <f t="shared" ca="1" si="18"/>
        <v>13.389676726748167</v>
      </c>
      <c r="AB200" s="63">
        <f t="shared" ca="1" si="19"/>
        <v>13.389676726748167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45384</v>
      </c>
      <c r="K201">
        <f ca="1"/>
        <v>10.36972944297675</v>
      </c>
      <c r="L201">
        <f ca="1"/>
        <v>1.5476705829423132</v>
      </c>
      <c r="M201">
        <f ca="1"/>
        <v>-0.12409090118884869</v>
      </c>
      <c r="N201">
        <f ca="1"/>
        <v>0.11403074362322294</v>
      </c>
      <c r="O201">
        <f ca="1"/>
        <v>0</v>
      </c>
      <c r="P201">
        <f ca="1"/>
        <v>15.604161747520772</v>
      </c>
      <c r="Q201">
        <f ca="1"/>
        <v>13.319033458134884</v>
      </c>
      <c r="R201">
        <f ca="1"/>
        <v>0</v>
      </c>
      <c r="S201">
        <f ca="1"/>
        <v>0.34156186973016883</v>
      </c>
      <c r="T201">
        <f ca="1"/>
        <v>0</v>
      </c>
      <c r="U201">
        <f ca="1"/>
        <v>0</v>
      </c>
      <c r="V201">
        <f ca="1"/>
        <v>0.57336111560377889</v>
      </c>
      <c r="X201" s="2">
        <f t="shared" ca="1" si="15"/>
        <v>45384</v>
      </c>
      <c r="Y201">
        <f t="shared" ca="1" si="16"/>
        <v>0</v>
      </c>
      <c r="AA201" s="63">
        <f t="shared" ca="1" si="18"/>
        <v>11.917400025919063</v>
      </c>
      <c r="AB201" s="63">
        <f t="shared" ca="1" si="19"/>
        <v>11.917400025919063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45385</v>
      </c>
      <c r="K202">
        <f ca="1"/>
        <v>8.7632817688028233</v>
      </c>
      <c r="L202">
        <f ca="1"/>
        <v>1.6024417066190626</v>
      </c>
      <c r="M202">
        <f ca="1"/>
        <v>-0.11220257554710589</v>
      </c>
      <c r="N202">
        <f ca="1"/>
        <v>0.10819660799224137</v>
      </c>
      <c r="O202">
        <f ca="1"/>
        <v>0</v>
      </c>
      <c r="P202">
        <f ca="1"/>
        <v>17.206603454139834</v>
      </c>
      <c r="Q202">
        <f ca="1"/>
        <v>14.686807969223961</v>
      </c>
      <c r="R202">
        <f ca="1"/>
        <v>0</v>
      </c>
      <c r="S202">
        <f ca="1"/>
        <v>0.33573858820132912</v>
      </c>
      <c r="T202">
        <f ca="1"/>
        <v>0</v>
      </c>
      <c r="U202">
        <f ca="1"/>
        <v>0</v>
      </c>
      <c r="V202">
        <f ca="1"/>
        <v>0.64588448697065814</v>
      </c>
      <c r="X202" s="2">
        <f t="shared" ca="1" si="15"/>
        <v>45385</v>
      </c>
      <c r="Y202">
        <f t="shared" ca="1" si="16"/>
        <v>0</v>
      </c>
      <c r="AA202" s="63">
        <f t="shared" ca="1" si="18"/>
        <v>10.365723475421884</v>
      </c>
      <c r="AB202" s="63">
        <f t="shared" ca="1" si="19"/>
        <v>10.365723475421886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45386</v>
      </c>
      <c r="K203">
        <f ca="1"/>
        <v>7.0613326727980894</v>
      </c>
      <c r="L203">
        <f ca="1"/>
        <v>1.7045588140895305</v>
      </c>
      <c r="M203">
        <f ca="1"/>
        <v>-0.10191302150133019</v>
      </c>
      <c r="N203">
        <f ca="1"/>
        <v>0.10452273958612759</v>
      </c>
      <c r="O203">
        <f ca="1"/>
        <v>0</v>
      </c>
      <c r="P203">
        <f ca="1"/>
        <v>18.911162268229365</v>
      </c>
      <c r="Q203">
        <f ca="1"/>
        <v>16.14174519966021</v>
      </c>
      <c r="R203">
        <f ca="1"/>
        <v>0</v>
      </c>
      <c r="S203">
        <f ca="1"/>
        <v>0.32460924930904772</v>
      </c>
      <c r="T203">
        <f ca="1"/>
        <v>0</v>
      </c>
      <c r="U203">
        <f ca="1"/>
        <v>0</v>
      </c>
      <c r="V203">
        <f ca="1"/>
        <v>0.71040597399249028</v>
      </c>
      <c r="X203" s="2">
        <f t="shared" ref="X203:X266" ca="1" si="22">IFERROR(J203,$X$9)</f>
        <v>45386</v>
      </c>
      <c r="Y203">
        <f t="shared" ref="Y203:Y266" ca="1" si="23">IFERROR(O203,0)</f>
        <v>0</v>
      </c>
      <c r="AA203" s="63">
        <f t="shared" ca="1" si="18"/>
        <v>8.7658914868876199</v>
      </c>
      <c r="AB203" s="63">
        <f t="shared" ca="1" si="19"/>
        <v>8.7658914868876199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45387</v>
      </c>
      <c r="K204">
        <f ca="1"/>
        <v>5.1691906236792287</v>
      </c>
      <c r="L204">
        <f ca="1"/>
        <v>1.8993170316981853</v>
      </c>
      <c r="M204">
        <f ca="1"/>
        <v>-9.8908810398823377E-2</v>
      </c>
      <c r="N204">
        <f ca="1"/>
        <v>0.10608379297814763</v>
      </c>
      <c r="O204">
        <f ca="1"/>
        <v>0</v>
      </c>
      <c r="P204">
        <f ca="1"/>
        <v>20.81047929992755</v>
      </c>
      <c r="Q204">
        <f ca="1"/>
        <v>17.762919569812638</v>
      </c>
      <c r="R204">
        <f ca="1"/>
        <v>0</v>
      </c>
      <c r="S204">
        <f ca="1"/>
        <v>0.32662321323097371</v>
      </c>
      <c r="T204">
        <f ca="1"/>
        <v>0</v>
      </c>
      <c r="U204">
        <f ca="1"/>
        <v>0</v>
      </c>
      <c r="V204">
        <f ca="1"/>
        <v>0.76834702205847183</v>
      </c>
      <c r="X204" s="2">
        <f t="shared" ca="1" si="22"/>
        <v>45387</v>
      </c>
      <c r="Y204">
        <f t="shared" ca="1" si="23"/>
        <v>0</v>
      </c>
      <c r="AA204" s="63">
        <f t="shared" ca="1" si="18"/>
        <v>7.068507655377414</v>
      </c>
      <c r="AB204" s="63">
        <f t="shared" ca="1" si="19"/>
        <v>7.068507655377414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45388</v>
      </c>
      <c r="K205">
        <f ca="1"/>
        <v>3.1260916196844599</v>
      </c>
      <c r="L205">
        <f ca="1"/>
        <v>2.05177494884596</v>
      </c>
      <c r="M205">
        <f ca="1"/>
        <v>-9.8756726404483963E-2</v>
      </c>
      <c r="N205">
        <f ca="1"/>
        <v>0.10743267125567486</v>
      </c>
      <c r="O205">
        <f ca="1"/>
        <v>0</v>
      </c>
      <c r="P205">
        <f ca="1"/>
        <v>22.86225424877351</v>
      </c>
      <c r="Q205">
        <f ca="1"/>
        <v>19.514225383890363</v>
      </c>
      <c r="R205">
        <f ca="1"/>
        <v>0</v>
      </c>
      <c r="S205">
        <f ca="1"/>
        <v>0.34457934965860787</v>
      </c>
      <c r="T205">
        <f ca="1"/>
        <v>0</v>
      </c>
      <c r="U205">
        <f ca="1"/>
        <v>0</v>
      </c>
      <c r="V205">
        <f ca="1"/>
        <v>0.81710721169698053</v>
      </c>
      <c r="X205" s="2">
        <f t="shared" ca="1" si="22"/>
        <v>45388</v>
      </c>
      <c r="Y205">
        <f t="shared" ca="1" si="23"/>
        <v>0</v>
      </c>
      <c r="AA205" s="63">
        <f ca="1">K204+M205+N205+O205</f>
        <v>5.1778665685304199</v>
      </c>
      <c r="AB205" s="63">
        <f ca="1">K205+L205+R205</f>
        <v>5.1778665685304199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45389</v>
      </c>
      <c r="K206">
        <f ca="1"/>
        <v>0.89038665766810654</v>
      </c>
      <c r="L206">
        <f ca="1"/>
        <v>2.2499852090281998</v>
      </c>
      <c r="M206">
        <f ca="1"/>
        <v>-9.2803193430482267E-2</v>
      </c>
      <c r="N206">
        <f ca="1"/>
        <v>0.10708344044232858</v>
      </c>
      <c r="O206">
        <f ca="1"/>
        <v>0</v>
      </c>
      <c r="P206">
        <f ca="1"/>
        <v>25.11223945780171</v>
      </c>
      <c r="Q206">
        <f ca="1"/>
        <v>21.434714851010668</v>
      </c>
      <c r="R206">
        <f ca="1"/>
        <v>0</v>
      </c>
      <c r="S206">
        <f ca="1"/>
        <v>0.3396660491450213</v>
      </c>
      <c r="T206">
        <f ca="1"/>
        <v>0</v>
      </c>
      <c r="U206">
        <f ca="1"/>
        <v>0</v>
      </c>
      <c r="V206">
        <f ca="1"/>
        <v>0.85764568596085267</v>
      </c>
      <c r="X206" s="2">
        <f t="shared" ca="1" si="22"/>
        <v>45389</v>
      </c>
      <c r="Y206">
        <f t="shared" ca="1" si="23"/>
        <v>0</v>
      </c>
      <c r="AA206" s="63">
        <f ca="1">K205+M206+N206+O206</f>
        <v>3.1403718666963063</v>
      </c>
      <c r="AB206" s="63">
        <f ca="1">K206+L206+R206</f>
        <v>3.1403718666963063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45390</v>
      </c>
      <c r="K207">
        <f ca="1"/>
        <v>-1.3689578827032127</v>
      </c>
      <c r="L207">
        <f ca="1"/>
        <v>2.2750052829367071</v>
      </c>
      <c r="M207">
        <f ca="1"/>
        <v>-8.7447302478676825E-2</v>
      </c>
      <c r="N207">
        <f ca="1"/>
        <v>0.10310804504406455</v>
      </c>
      <c r="O207">
        <f ca="1"/>
        <v>0</v>
      </c>
      <c r="P207">
        <f ca="1"/>
        <v>27.387244740738417</v>
      </c>
      <c r="Q207">
        <f ca="1"/>
        <v>23.376560364479651</v>
      </c>
      <c r="R207">
        <f ca="1"/>
        <v>0</v>
      </c>
      <c r="S207">
        <f ca="1"/>
        <v>0.34991819439442473</v>
      </c>
      <c r="T207">
        <f ca="1"/>
        <v>0</v>
      </c>
      <c r="U207">
        <f ca="1"/>
        <v>0</v>
      </c>
      <c r="V207">
        <f ca="1"/>
        <v>0.88832374585170037</v>
      </c>
      <c r="X207" s="2">
        <f t="shared" ca="1" si="22"/>
        <v>45390</v>
      </c>
      <c r="Y207">
        <f t="shared" ca="1" si="23"/>
        <v>0</v>
      </c>
      <c r="AA207" s="63">
        <f ca="1">K206+M207+N207+O207</f>
        <v>0.90604740023349428</v>
      </c>
      <c r="AB207" s="63">
        <f ca="1">K207+L207+R207</f>
        <v>0.90604740023349439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45391</v>
      </c>
      <c r="K208">
        <f ca="1"/>
        <v>-3.4708741047039355</v>
      </c>
      <c r="L208">
        <f ca="1"/>
        <v>2.1186225377735823</v>
      </c>
      <c r="M208">
        <f ca="1"/>
        <v>-7.6969410256651827E-2</v>
      </c>
      <c r="N208">
        <f ca="1"/>
        <v>9.3675726029511339E-2</v>
      </c>
      <c r="O208">
        <f ca="1"/>
        <v>0</v>
      </c>
      <c r="P208">
        <f ca="1"/>
        <v>29.505867278512</v>
      </c>
      <c r="Q208">
        <f ca="1"/>
        <v>25.18492437161694</v>
      </c>
      <c r="R208">
        <f ca="1"/>
        <v>0</v>
      </c>
      <c r="S208">
        <f ca="1"/>
        <v>0.3467608959864748</v>
      </c>
      <c r="T208">
        <f ca="1"/>
        <v>0</v>
      </c>
      <c r="U208">
        <f ca="1"/>
        <v>0</v>
      </c>
      <c r="V208">
        <f ca="1"/>
        <v>0.9100167633441858</v>
      </c>
      <c r="X208" s="2">
        <f t="shared" ca="1" si="22"/>
        <v>45391</v>
      </c>
      <c r="Y208">
        <f t="shared" ca="1" si="23"/>
        <v>0</v>
      </c>
      <c r="AA208" s="63">
        <f t="shared" ref="AA208:AA271" ca="1" si="25">K207+M208+N208+O208</f>
        <v>-1.3522515669303532</v>
      </c>
      <c r="AB208" s="63">
        <f t="shared" ref="AB208:AB271" ca="1" si="26">K208+L208+R208</f>
        <v>-1.3522515669303532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45392</v>
      </c>
      <c r="K209">
        <f ca="1"/>
        <v>-5.8061338962998086</v>
      </c>
      <c r="L209">
        <f ca="1"/>
        <v>2.3576524009373827</v>
      </c>
      <c r="M209">
        <f ca="1"/>
        <v>-7.2040890828878545E-2</v>
      </c>
      <c r="N209">
        <f ca="1"/>
        <v>9.4433500170388457E-2</v>
      </c>
      <c r="O209">
        <f ca="1"/>
        <v>0</v>
      </c>
      <c r="P209">
        <f ca="1"/>
        <v>31.863519679449382</v>
      </c>
      <c r="Q209">
        <f ca="1"/>
        <v>27.197313868651356</v>
      </c>
      <c r="R209">
        <f ca="1"/>
        <v>0</v>
      </c>
      <c r="S209">
        <f ca="1"/>
        <v>0.33484754729460325</v>
      </c>
      <c r="T209">
        <f ca="1"/>
        <v>0</v>
      </c>
      <c r="U209">
        <f ca="1"/>
        <v>0</v>
      </c>
      <c r="V209">
        <f ca="1"/>
        <v>0.92844254164231665</v>
      </c>
      <c r="X209" s="2">
        <f t="shared" ca="1" si="22"/>
        <v>45392</v>
      </c>
      <c r="Y209">
        <f t="shared" ca="1" si="23"/>
        <v>0</v>
      </c>
      <c r="AA209" s="63">
        <f t="shared" ca="1" si="25"/>
        <v>-3.4484814953624254</v>
      </c>
      <c r="AB209" s="63">
        <f t="shared" ca="1" si="26"/>
        <v>-3.4484814953624259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45393</v>
      </c>
      <c r="K210">
        <f ca="1"/>
        <v>-8.2502986246857297</v>
      </c>
      <c r="L210">
        <f ca="1"/>
        <v>2.4696448894359833</v>
      </c>
      <c r="M210">
        <f ca="1"/>
        <v>-6.7257430523073758E-2</v>
      </c>
      <c r="N210">
        <f ca="1"/>
        <v>9.2737591573137199E-2</v>
      </c>
      <c r="O210">
        <f ca="1"/>
        <v>0</v>
      </c>
      <c r="P210">
        <f ca="1"/>
        <v>34.333164568885365</v>
      </c>
      <c r="Q210">
        <f ca="1"/>
        <v>29.305295280554869</v>
      </c>
      <c r="R210">
        <f ca="1"/>
        <v>0</v>
      </c>
      <c r="S210">
        <f ca="1"/>
        <v>0.33137969579723331</v>
      </c>
      <c r="T210">
        <f ca="1"/>
        <v>0</v>
      </c>
      <c r="U210">
        <f ca="1"/>
        <v>0</v>
      </c>
      <c r="V210">
        <f ca="1"/>
        <v>0.94302675979521455</v>
      </c>
      <c r="X210" s="2">
        <f t="shared" ca="1" si="22"/>
        <v>45393</v>
      </c>
      <c r="Y210">
        <f t="shared" ca="1" si="23"/>
        <v>0</v>
      </c>
      <c r="AA210" s="63">
        <f t="shared" ca="1" si="25"/>
        <v>-5.7806537352497456</v>
      </c>
      <c r="AB210" s="63">
        <f t="shared" ca="1" si="26"/>
        <v>-5.7806537352497465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45394</v>
      </c>
      <c r="K211">
        <f ca="1"/>
        <v>-11.052199619245211</v>
      </c>
      <c r="L211">
        <f ca="1"/>
        <v>2.8334791521278433</v>
      </c>
      <c r="M211">
        <f ca="1"/>
        <v>-6.3769446652075068E-2</v>
      </c>
      <c r="N211">
        <f ca="1"/>
        <v>9.5347604220436449E-2</v>
      </c>
      <c r="O211">
        <f ca="1"/>
        <v>0</v>
      </c>
      <c r="P211">
        <f ca="1"/>
        <v>37.166643721013209</v>
      </c>
      <c r="Q211">
        <f ca="1"/>
        <v>31.723829786973621</v>
      </c>
      <c r="R211">
        <f ca="1"/>
        <v>0</v>
      </c>
      <c r="S211">
        <f ca="1"/>
        <v>0.31961330071413691</v>
      </c>
      <c r="T211">
        <f ca="1"/>
        <v>0</v>
      </c>
      <c r="U211">
        <f ca="1"/>
        <v>0</v>
      </c>
      <c r="V211">
        <f ca="1"/>
        <v>0.95551111121642607</v>
      </c>
      <c r="X211" s="2">
        <f t="shared" ca="1" si="22"/>
        <v>45394</v>
      </c>
      <c r="Y211">
        <f t="shared" ca="1" si="23"/>
        <v>0</v>
      </c>
      <c r="AA211" s="63">
        <f t="shared" ca="1" si="25"/>
        <v>-8.2187204671173681</v>
      </c>
      <c r="AB211" s="63">
        <f t="shared" ca="1" si="26"/>
        <v>-8.2187204671173681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45395</v>
      </c>
      <c r="K212">
        <f ca="1"/>
        <v>-13.8786368231622</v>
      </c>
      <c r="L212">
        <f ca="1"/>
        <v>2.8601484312846424</v>
      </c>
      <c r="M212">
        <f ca="1"/>
        <v>-5.6839757276839542E-2</v>
      </c>
      <c r="N212">
        <f ca="1"/>
        <v>9.0550984644492349E-2</v>
      </c>
      <c r="O212">
        <f ca="1"/>
        <v>0</v>
      </c>
      <c r="P212">
        <f ca="1"/>
        <v>40.026792152297851</v>
      </c>
      <c r="Q212">
        <f ca="1"/>
        <v>34.165128029576408</v>
      </c>
      <c r="R212">
        <f ca="1"/>
        <v>0</v>
      </c>
      <c r="S212">
        <f ca="1"/>
        <v>0.3071769854183718</v>
      </c>
      <c r="T212">
        <f ca="1"/>
        <v>0</v>
      </c>
      <c r="U212">
        <f ca="1"/>
        <v>0</v>
      </c>
      <c r="V212">
        <f ca="1"/>
        <v>0.96485175495833664</v>
      </c>
      <c r="X212" s="2">
        <f t="shared" ca="1" si="22"/>
        <v>45395</v>
      </c>
      <c r="Y212">
        <f t="shared" ca="1" si="23"/>
        <v>0</v>
      </c>
      <c r="AA212" s="63">
        <f t="shared" ca="1" si="25"/>
        <v>-11.018488391877559</v>
      </c>
      <c r="AB212" s="63">
        <f t="shared" ca="1" si="26"/>
        <v>-11.018488391877558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45396</v>
      </c>
      <c r="K213">
        <f ca="1"/>
        <v>-17.359111714673894</v>
      </c>
      <c r="L213">
        <f ca="1"/>
        <v>3.5232202850868859</v>
      </c>
      <c r="M213">
        <f ca="1"/>
        <v>-5.3462672230831565E-2</v>
      </c>
      <c r="N213">
        <f ca="1"/>
        <v>9.6208065806023688E-2</v>
      </c>
      <c r="O213">
        <f ca="1"/>
        <v>0</v>
      </c>
      <c r="P213">
        <f ca="1"/>
        <v>43.550012437384737</v>
      </c>
      <c r="Q213">
        <f ca="1"/>
        <v>37.172395553248897</v>
      </c>
      <c r="R213">
        <f ca="1"/>
        <v>0</v>
      </c>
      <c r="S213">
        <f ca="1"/>
        <v>0.28324513443529631</v>
      </c>
      <c r="T213">
        <f ca="1"/>
        <v>0</v>
      </c>
      <c r="U213">
        <f ca="1"/>
        <v>0</v>
      </c>
      <c r="V213">
        <f ca="1"/>
        <v>0.97324814513964109</v>
      </c>
      <c r="X213" s="2">
        <f t="shared" ca="1" si="22"/>
        <v>45396</v>
      </c>
      <c r="Y213">
        <f t="shared" ca="1" si="23"/>
        <v>0</v>
      </c>
      <c r="AA213" s="63">
        <f t="shared" ca="1" si="25"/>
        <v>-13.835891429587008</v>
      </c>
      <c r="AB213" s="63">
        <f t="shared" ca="1" si="26"/>
        <v>-13.835891429587008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45397</v>
      </c>
      <c r="K214">
        <f ca="1"/>
        <v>-20.908919574799096</v>
      </c>
      <c r="L214">
        <f ca="1"/>
        <v>3.5938528043523519</v>
      </c>
      <c r="M214">
        <f ca="1"/>
        <v>-4.7687630756899857E-2</v>
      </c>
      <c r="N214">
        <f ca="1"/>
        <v>9.1732574984048743E-2</v>
      </c>
      <c r="O214">
        <f ca="1"/>
        <v>0</v>
      </c>
      <c r="P214">
        <f ca="1"/>
        <v>47.143865241737089</v>
      </c>
      <c r="Q214">
        <f ca="1"/>
        <v>40.239951921817429</v>
      </c>
      <c r="R214">
        <f ca="1"/>
        <v>0</v>
      </c>
      <c r="S214">
        <f ca="1"/>
        <v>0.27154780919718519</v>
      </c>
      <c r="T214">
        <f ca="1"/>
        <v>0</v>
      </c>
      <c r="U214">
        <f ca="1"/>
        <v>0</v>
      </c>
      <c r="V214">
        <f ca="1"/>
        <v>0.97939345506639819</v>
      </c>
      <c r="X214" s="2">
        <f t="shared" ca="1" si="22"/>
        <v>45397</v>
      </c>
      <c r="Y214">
        <f t="shared" ca="1" si="23"/>
        <v>0</v>
      </c>
      <c r="AA214" s="63">
        <f t="shared" ca="1" si="25"/>
        <v>-17.315066770446744</v>
      </c>
      <c r="AB214" s="63">
        <f t="shared" ca="1" si="26"/>
        <v>-17.315066770446744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45398</v>
      </c>
      <c r="K215">
        <f ca="1"/>
        <v>-24.840210036407427</v>
      </c>
      <c r="L215">
        <f ca="1"/>
        <v>3.9788433756305324</v>
      </c>
      <c r="M215">
        <f ca="1"/>
        <v>-4.583085069332693E-2</v>
      </c>
      <c r="N215">
        <f ca="1"/>
        <v>9.3383764715528991E-2</v>
      </c>
      <c r="O215">
        <f ca="1"/>
        <v>0</v>
      </c>
      <c r="P215">
        <f ca="1"/>
        <v>51.122708617367621</v>
      </c>
      <c r="Q215">
        <f ca="1"/>
        <v>43.636119489301237</v>
      </c>
      <c r="R215">
        <f ca="1"/>
        <v>0</v>
      </c>
      <c r="S215">
        <f ca="1"/>
        <v>0.26875714190642375</v>
      </c>
      <c r="T215">
        <f ca="1"/>
        <v>0</v>
      </c>
      <c r="U215">
        <f ca="1"/>
        <v>0</v>
      </c>
      <c r="V215">
        <f ca="1"/>
        <v>0.98428496095535489</v>
      </c>
      <c r="X215" s="2">
        <f t="shared" ca="1" si="22"/>
        <v>45398</v>
      </c>
      <c r="Y215">
        <f t="shared" ca="1" si="23"/>
        <v>0</v>
      </c>
      <c r="AA215" s="63">
        <f t="shared" ca="1" si="25"/>
        <v>-20.861366660776895</v>
      </c>
      <c r="AB215" s="63">
        <f t="shared" ca="1" si="26"/>
        <v>-20.861366660776895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45399</v>
      </c>
      <c r="K216">
        <f ca="1"/>
        <v>-28.630639516310168</v>
      </c>
      <c r="L216">
        <f ca="1"/>
        <v>3.8367301494483002</v>
      </c>
      <c r="M216">
        <f ca="1"/>
        <v>-4.0323200500518297E-2</v>
      </c>
      <c r="N216">
        <f ca="1"/>
        <v>8.6623870046076273E-2</v>
      </c>
      <c r="O216">
        <f ca="1"/>
        <v>0</v>
      </c>
      <c r="P216">
        <f ca="1"/>
        <v>54.959438766815921</v>
      </c>
      <c r="Q216">
        <f ca="1"/>
        <v>46.91098539092237</v>
      </c>
      <c r="R216">
        <f ca="1"/>
        <v>0</v>
      </c>
      <c r="S216">
        <f ca="1"/>
        <v>0.25972016222659883</v>
      </c>
      <c r="T216">
        <f ca="1"/>
        <v>0</v>
      </c>
      <c r="U216">
        <f ca="1"/>
        <v>0</v>
      </c>
      <c r="V216">
        <f ca="1"/>
        <v>0.98770832731555569</v>
      </c>
      <c r="X216" s="2">
        <f t="shared" ca="1" si="22"/>
        <v>45399</v>
      </c>
      <c r="Y216">
        <f t="shared" ca="1" si="23"/>
        <v>0</v>
      </c>
      <c r="AA216" s="63">
        <f t="shared" ca="1" si="25"/>
        <v>-24.793909366861868</v>
      </c>
      <c r="AB216" s="63">
        <f t="shared" ca="1" si="26"/>
        <v>-24.793909366861868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45400</v>
      </c>
      <c r="K217">
        <f ca="1"/>
        <v>-32.728930701168508</v>
      </c>
      <c r="L217">
        <f ca="1"/>
        <v>4.1476117498300908</v>
      </c>
      <c r="M217">
        <f ca="1"/>
        <v>-3.6939891988251539E-2</v>
      </c>
      <c r="N217">
        <f ca="1"/>
        <v>8.6260456960004575E-2</v>
      </c>
      <c r="O217">
        <f ca="1"/>
        <v>0</v>
      </c>
      <c r="P217">
        <f ca="1"/>
        <v>59.107050516646012</v>
      </c>
      <c r="Q217">
        <f ca="1"/>
        <v>50.451206298727136</v>
      </c>
      <c r="R217">
        <f ca="1"/>
        <v>0</v>
      </c>
      <c r="S217">
        <f ca="1"/>
        <v>0.24643010520109082</v>
      </c>
      <c r="T217">
        <f ca="1"/>
        <v>0</v>
      </c>
      <c r="U217">
        <f ca="1"/>
        <v>0</v>
      </c>
      <c r="V217">
        <f ca="1"/>
        <v>0.99043265707119976</v>
      </c>
      <c r="X217" s="2">
        <f t="shared" ca="1" si="22"/>
        <v>45400</v>
      </c>
      <c r="Y217">
        <f t="shared" ca="1" si="23"/>
        <v>0</v>
      </c>
      <c r="AA217" s="63">
        <f t="shared" ca="1" si="25"/>
        <v>-28.581318951338414</v>
      </c>
      <c r="AB217" s="63">
        <f t="shared" ca="1" si="26"/>
        <v>-28.581318951338417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45401</v>
      </c>
      <c r="K218">
        <f ca="1"/>
        <v>-37.338108865046749</v>
      </c>
      <c r="L218">
        <f ca="1"/>
        <v>4.6622532579154949</v>
      </c>
      <c r="M218">
        <f ca="1"/>
        <v>-3.6122506525117615E-2</v>
      </c>
      <c r="N218">
        <f ca="1"/>
        <v>8.9197600562374732E-2</v>
      </c>
      <c r="O218">
        <f ca="1"/>
        <v>0</v>
      </c>
      <c r="P218">
        <f ca="1"/>
        <v>63.769303774561507</v>
      </c>
      <c r="Q218">
        <f ca="1"/>
        <v>54.430702803391412</v>
      </c>
      <c r="R218">
        <f ca="1"/>
        <v>0</v>
      </c>
      <c r="S218">
        <f ca="1"/>
        <v>0.24505963487574162</v>
      </c>
      <c r="T218">
        <f ca="1"/>
        <v>0</v>
      </c>
      <c r="U218">
        <f ca="1"/>
        <v>0</v>
      </c>
      <c r="V218">
        <f ca="1"/>
        <v>0.99266294273460065</v>
      </c>
      <c r="X218" s="2">
        <f t="shared" ca="1" si="22"/>
        <v>45401</v>
      </c>
      <c r="Y218">
        <f t="shared" ca="1" si="23"/>
        <v>0</v>
      </c>
      <c r="AA218" s="63">
        <f t="shared" ca="1" si="25"/>
        <v>-32.675855607131254</v>
      </c>
      <c r="AB218" s="63">
        <f t="shared" ca="1" si="26"/>
        <v>-32.675855607131254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45402</v>
      </c>
      <c r="K219">
        <f ca="1"/>
        <v>-41.600809350648404</v>
      </c>
      <c r="L219">
        <f ca="1"/>
        <v>4.3122804886642996</v>
      </c>
      <c r="M219">
        <f ca="1"/>
        <v>-3.2401181226769715E-2</v>
      </c>
      <c r="N219">
        <f ca="1"/>
        <v>8.1981184289408524E-2</v>
      </c>
      <c r="O219">
        <f ca="1"/>
        <v>0</v>
      </c>
      <c r="P219">
        <f ca="1"/>
        <v>68.081584263225807</v>
      </c>
      <c r="Q219">
        <f ca="1"/>
        <v>58.111477781163451</v>
      </c>
      <c r="R219">
        <f ca="1"/>
        <v>0</v>
      </c>
      <c r="S219">
        <f ca="1"/>
        <v>0.24428294753538563</v>
      </c>
      <c r="T219">
        <f ca="1"/>
        <v>0</v>
      </c>
      <c r="U219">
        <f ca="1"/>
        <v>0</v>
      </c>
      <c r="V219">
        <f ca="1"/>
        <v>0.99418303586332235</v>
      </c>
      <c r="X219" s="2">
        <f t="shared" ca="1" si="22"/>
        <v>45402</v>
      </c>
      <c r="Y219">
        <f t="shared" ca="1" si="23"/>
        <v>0</v>
      </c>
      <c r="AA219" s="63">
        <f t="shared" ca="1" si="25"/>
        <v>-37.288528861984105</v>
      </c>
      <c r="AB219" s="63">
        <f t="shared" ca="1" si="26"/>
        <v>-37.288528861984105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45403</v>
      </c>
      <c r="K220">
        <f ca="1"/>
        <v>-45.950595887558983</v>
      </c>
      <c r="L220">
        <f ca="1"/>
        <v>4.4001453117879521</v>
      </c>
      <c r="M220">
        <f ca="1"/>
        <v>-2.9085326147117563E-2</v>
      </c>
      <c r="N220">
        <f ca="1"/>
        <v>7.9444101024490302E-2</v>
      </c>
      <c r="O220">
        <f ca="1"/>
        <v>0</v>
      </c>
      <c r="P220">
        <f ca="1"/>
        <v>72.481729575013759</v>
      </c>
      <c r="Q220">
        <f ca="1"/>
        <v>61.867250348547309</v>
      </c>
      <c r="R220">
        <f ca="1"/>
        <v>0</v>
      </c>
      <c r="S220">
        <f ca="1"/>
        <v>0.23156222015082653</v>
      </c>
      <c r="T220">
        <f ca="1"/>
        <v>0</v>
      </c>
      <c r="U220">
        <f ca="1"/>
        <v>0</v>
      </c>
      <c r="V220">
        <f ca="1"/>
        <v>0.99535662358447807</v>
      </c>
      <c r="X220" s="2">
        <f t="shared" ca="1" si="22"/>
        <v>45403</v>
      </c>
      <c r="Y220">
        <f t="shared" ca="1" si="23"/>
        <v>0</v>
      </c>
      <c r="AA220" s="63">
        <f t="shared" ca="1" si="25"/>
        <v>-41.550450575771031</v>
      </c>
      <c r="AB220" s="63">
        <f t="shared" ca="1" si="26"/>
        <v>-41.550450575771031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45404</v>
      </c>
      <c r="K221">
        <f ca="1"/>
        <v>-50.982422772993104</v>
      </c>
      <c r="L221">
        <f ca="1"/>
        <v>5.0871740118390818</v>
      </c>
      <c r="M221">
        <f ca="1"/>
        <v>-2.7584301303600789E-2</v>
      </c>
      <c r="N221">
        <f ca="1"/>
        <v>8.2931427708558242E-2</v>
      </c>
      <c r="O221">
        <f ca="1"/>
        <v>0</v>
      </c>
      <c r="P221">
        <f ca="1"/>
        <v>77.568903586852841</v>
      </c>
      <c r="Q221">
        <f ca="1"/>
        <v>66.209440718485268</v>
      </c>
      <c r="R221">
        <f ca="1"/>
        <v>0</v>
      </c>
      <c r="S221">
        <f ca="1"/>
        <v>0.21953975403414519</v>
      </c>
      <c r="T221">
        <f ca="1"/>
        <v>0</v>
      </c>
      <c r="U221">
        <f ca="1"/>
        <v>0</v>
      </c>
      <c r="V221">
        <f ca="1"/>
        <v>0.996375651910548</v>
      </c>
      <c r="X221" s="2">
        <f t="shared" ca="1" si="22"/>
        <v>45404</v>
      </c>
      <c r="Y221">
        <f t="shared" ca="1" si="23"/>
        <v>0</v>
      </c>
      <c r="AA221" s="63">
        <f t="shared" ca="1" si="25"/>
        <v>-45.895248761154022</v>
      </c>
      <c r="AB221" s="63">
        <f t="shared" ca="1" si="26"/>
        <v>-45.895248761154022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45405</v>
      </c>
      <c r="K222">
        <f ca="1"/>
        <v>-55.795834383211691</v>
      </c>
      <c r="L222">
        <f ca="1"/>
        <v>4.8663304707585695</v>
      </c>
      <c r="M222">
        <f ca="1"/>
        <v>-2.581569603895506E-2</v>
      </c>
      <c r="N222">
        <f ca="1"/>
        <v>7.8734556578936216E-2</v>
      </c>
      <c r="O222">
        <f ca="1"/>
        <v>0</v>
      </c>
      <c r="P222">
        <f ca="1"/>
        <v>82.43523405761141</v>
      </c>
      <c r="Q222">
        <f ca="1"/>
        <v>70.363128651685045</v>
      </c>
      <c r="R222">
        <f ca="1"/>
        <v>0</v>
      </c>
      <c r="S222">
        <f ca="1"/>
        <v>0.2229313515256055</v>
      </c>
      <c r="T222">
        <f ca="1"/>
        <v>0</v>
      </c>
      <c r="U222">
        <f ca="1"/>
        <v>0</v>
      </c>
      <c r="V222">
        <f ca="1"/>
        <v>0.99710816034878214</v>
      </c>
      <c r="X222" s="2">
        <f t="shared" ca="1" si="22"/>
        <v>45405</v>
      </c>
      <c r="Y222">
        <f t="shared" ca="1" si="23"/>
        <v>0</v>
      </c>
      <c r="AA222" s="63">
        <f t="shared" ca="1" si="25"/>
        <v>-50.929503912453121</v>
      </c>
      <c r="AB222" s="63">
        <f t="shared" ca="1" si="26"/>
        <v>-50.929503912453121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45406</v>
      </c>
      <c r="K223">
        <f ca="1"/>
        <v>-61.308464182712932</v>
      </c>
      <c r="L223">
        <f ca="1"/>
        <v>5.5697605623474828</v>
      </c>
      <c r="M223">
        <f ca="1"/>
        <v>-2.5981328978438079E-2</v>
      </c>
      <c r="N223">
        <f ca="1"/>
        <v>8.3112091824683099E-2</v>
      </c>
      <c r="O223">
        <f ca="1"/>
        <v>0</v>
      </c>
      <c r="P223">
        <f ca="1"/>
        <v>88.004994619958893</v>
      </c>
      <c r="Q223">
        <f ca="1"/>
        <v>75.117233901554869</v>
      </c>
      <c r="R223">
        <f ca="1"/>
        <v>0</v>
      </c>
      <c r="S223">
        <f ca="1"/>
        <v>0.22526217176007632</v>
      </c>
      <c r="T223">
        <f ca="1"/>
        <v>0</v>
      </c>
      <c r="U223">
        <f ca="1"/>
        <v>0</v>
      </c>
      <c r="V223">
        <f ca="1"/>
        <v>0.99774026826196738</v>
      </c>
      <c r="X223" s="2">
        <f t="shared" ca="1" si="22"/>
        <v>45406</v>
      </c>
      <c r="Y223">
        <f t="shared" ca="1" si="23"/>
        <v>0</v>
      </c>
      <c r="AA223" s="63">
        <f t="shared" ca="1" si="25"/>
        <v>-55.738703620365449</v>
      </c>
      <c r="AB223" s="63">
        <f t="shared" ca="1" si="26"/>
        <v>-55.738703620365449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45407</v>
      </c>
      <c r="K224">
        <f ca="1"/>
        <v>-67.224679500773632</v>
      </c>
      <c r="L224">
        <f ca="1"/>
        <v>5.9757778693780637</v>
      </c>
      <c r="M224">
        <f ca="1"/>
        <v>-2.3300207412981777E-2</v>
      </c>
      <c r="N224">
        <f ca="1"/>
        <v>8.2862758730342753E-2</v>
      </c>
      <c r="O224">
        <f ca="1"/>
        <v>0</v>
      </c>
      <c r="P224">
        <f ca="1"/>
        <v>93.980772489336957</v>
      </c>
      <c r="Q224">
        <f ca="1"/>
        <v>80.217897857007273</v>
      </c>
      <c r="R224">
        <f ca="1"/>
        <v>0</v>
      </c>
      <c r="S224">
        <f ca="1"/>
        <v>0.20866715115368475</v>
      </c>
      <c r="T224">
        <f ca="1"/>
        <v>0</v>
      </c>
      <c r="U224">
        <f ca="1"/>
        <v>0</v>
      </c>
      <c r="V224">
        <f ca="1"/>
        <v>0.99824440495937372</v>
      </c>
      <c r="X224" s="2">
        <f t="shared" ca="1" si="22"/>
        <v>45407</v>
      </c>
      <c r="Y224">
        <f t="shared" ca="1" si="23"/>
        <v>0</v>
      </c>
      <c r="AA224" s="63">
        <f t="shared" ca="1" si="25"/>
        <v>-61.248901631395569</v>
      </c>
      <c r="AB224" s="63">
        <f t="shared" ca="1" si="26"/>
        <v>-61.248901631395569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45408</v>
      </c>
      <c r="K225">
        <f ca="1"/>
        <v>-73.54359264681689</v>
      </c>
      <c r="L225">
        <f ca="1"/>
        <v>6.3801385530563692</v>
      </c>
      <c r="M225">
        <f ca="1"/>
        <v>-2.308133383018518E-2</v>
      </c>
      <c r="N225">
        <f ca="1"/>
        <v>8.4306740843305639E-2</v>
      </c>
      <c r="O225">
        <f ca="1"/>
        <v>0</v>
      </c>
      <c r="P225">
        <f ca="1"/>
        <v>100.36091104239333</v>
      </c>
      <c r="Q225">
        <f ca="1"/>
        <v>85.663706496436149</v>
      </c>
      <c r="R225">
        <f ca="1"/>
        <v>0</v>
      </c>
      <c r="S225">
        <f ca="1"/>
        <v>0.21388016932146234</v>
      </c>
      <c r="T225">
        <f ca="1"/>
        <v>0</v>
      </c>
      <c r="U225">
        <f ca="1"/>
        <v>0</v>
      </c>
      <c r="V225">
        <f ca="1"/>
        <v>0.99864289235662995</v>
      </c>
      <c r="X225" s="2">
        <f t="shared" ca="1" si="22"/>
        <v>45408</v>
      </c>
      <c r="Y225">
        <f t="shared" ca="1" si="23"/>
        <v>0</v>
      </c>
      <c r="AA225" s="63">
        <f t="shared" ca="1" si="25"/>
        <v>-67.163454093760521</v>
      </c>
      <c r="AB225" s="63">
        <f t="shared" ca="1" si="26"/>
        <v>-67.163454093760521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45409</v>
      </c>
      <c r="K226">
        <f ca="1"/>
        <v>-80.446435963221589</v>
      </c>
      <c r="L226">
        <f ca="1"/>
        <v>6.9668491717217478</v>
      </c>
      <c r="M226">
        <f ca="1"/>
        <v>-2.3536834060653433E-2</v>
      </c>
      <c r="N226">
        <f ca="1"/>
        <v>8.7542689377700572E-2</v>
      </c>
      <c r="O226">
        <f ca="1"/>
        <v>0</v>
      </c>
      <c r="P226">
        <f ca="1"/>
        <v>107.32776021411507</v>
      </c>
      <c r="Q226">
        <f ca="1"/>
        <v>91.610305789453875</v>
      </c>
      <c r="R226">
        <f ca="1"/>
        <v>0</v>
      </c>
      <c r="S226">
        <f ca="1"/>
        <v>0.22379023108467258</v>
      </c>
      <c r="T226">
        <f ca="1"/>
        <v>0</v>
      </c>
      <c r="U226">
        <f ca="1"/>
        <v>0</v>
      </c>
      <c r="V226">
        <f ca="1"/>
        <v>0.99896282679970072</v>
      </c>
      <c r="X226" s="2">
        <f t="shared" ca="1" si="22"/>
        <v>45409</v>
      </c>
      <c r="Y226">
        <f t="shared" ca="1" si="23"/>
        <v>0</v>
      </c>
      <c r="AA226" s="63">
        <f t="shared" ca="1" si="25"/>
        <v>-73.479586791499841</v>
      </c>
      <c r="AB226" s="63">
        <f t="shared" ca="1" si="26"/>
        <v>-73.479586791499841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45410</v>
      </c>
      <c r="K227">
        <f ca="1"/>
        <v>-86.313808796589328</v>
      </c>
      <c r="L227">
        <f ca="1"/>
        <v>5.9242522487282372</v>
      </c>
      <c r="M227">
        <f ca="1"/>
        <v>-2.5542160337516329E-2</v>
      </c>
      <c r="N227">
        <f ca="1"/>
        <v>8.2421575698027855E-2</v>
      </c>
      <c r="O227">
        <f ca="1"/>
        <v>0</v>
      </c>
      <c r="P227">
        <f ca="1"/>
        <v>113.25201246284331</v>
      </c>
      <c r="Q227">
        <f ca="1"/>
        <v>96.66698971723865</v>
      </c>
      <c r="R227">
        <f ca="1"/>
        <v>0</v>
      </c>
      <c r="S227">
        <f ca="1"/>
        <v>0.28024735988022764</v>
      </c>
      <c r="T227">
        <f ca="1"/>
        <v>0</v>
      </c>
      <c r="U227">
        <f ca="1"/>
        <v>0</v>
      </c>
      <c r="V227">
        <f ca="1"/>
        <v>0.99916756043344235</v>
      </c>
      <c r="X227" s="2">
        <f t="shared" ca="1" si="22"/>
        <v>45410</v>
      </c>
      <c r="Y227">
        <f t="shared" ca="1" si="23"/>
        <v>0</v>
      </c>
      <c r="AA227" s="63">
        <f t="shared" ca="1" si="25"/>
        <v>-80.389556547861091</v>
      </c>
      <c r="AB227" s="63">
        <f t="shared" ca="1" si="26"/>
        <v>-80.389556547861091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45411</v>
      </c>
      <c r="K228">
        <f ca="1"/>
        <v>-92.081669109161908</v>
      </c>
      <c r="L228">
        <f ca="1"/>
        <v>5.824596523633204</v>
      </c>
      <c r="M228">
        <f ca="1"/>
        <v>-2.475329673789517E-2</v>
      </c>
      <c r="N228">
        <f ca="1"/>
        <v>8.1489507798520586E-2</v>
      </c>
      <c r="O228">
        <f ca="1"/>
        <v>0</v>
      </c>
      <c r="P228">
        <f ca="1"/>
        <v>119.07660898647651</v>
      </c>
      <c r="Q228">
        <f ca="1"/>
        <v>101.63861185456572</v>
      </c>
      <c r="R228">
        <f ca="1"/>
        <v>0</v>
      </c>
      <c r="S228">
        <f ca="1"/>
        <v>0.29388216925753657</v>
      </c>
      <c r="T228">
        <f ca="1"/>
        <v>0</v>
      </c>
      <c r="U228">
        <f ca="1"/>
        <v>0</v>
      </c>
      <c r="V228">
        <f ca="1"/>
        <v>0.99932481261964567</v>
      </c>
      <c r="X228" s="2">
        <f t="shared" ca="1" si="22"/>
        <v>45411</v>
      </c>
      <c r="Y228">
        <f t="shared" ca="1" si="23"/>
        <v>0</v>
      </c>
      <c r="AA228" s="63">
        <f t="shared" ca="1" si="25"/>
        <v>-86.257072585528704</v>
      </c>
      <c r="AB228" s="63">
        <f t="shared" ca="1" si="26"/>
        <v>-86.257072585528704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45412</v>
      </c>
      <c r="K229">
        <f ca="1"/>
        <v>-97.641153713005551</v>
      </c>
      <c r="L229">
        <f ca="1"/>
        <v>5.6154216204074601</v>
      </c>
      <c r="M229">
        <f ca="1"/>
        <v>-2.2081447417151345E-2</v>
      </c>
      <c r="N229">
        <f ca="1"/>
        <v>7.8018463980973507E-2</v>
      </c>
      <c r="O229">
        <f ca="1"/>
        <v>0</v>
      </c>
      <c r="P229">
        <f ca="1"/>
        <v>124.69203060688397</v>
      </c>
      <c r="Q229">
        <f ca="1"/>
        <v>106.43169139667084</v>
      </c>
      <c r="R229">
        <f ca="1"/>
        <v>0</v>
      </c>
      <c r="S229">
        <f ca="1"/>
        <v>0.28548540123791305</v>
      </c>
      <c r="T229">
        <f ca="1"/>
        <v>0</v>
      </c>
      <c r="U229">
        <f ca="1"/>
        <v>0</v>
      </c>
      <c r="V229">
        <f ca="1"/>
        <v>0.99944509533371273</v>
      </c>
      <c r="X229" s="2">
        <f t="shared" ca="1" si="22"/>
        <v>45412</v>
      </c>
      <c r="Y229">
        <f t="shared" ca="1" si="23"/>
        <v>0</v>
      </c>
      <c r="AA229" s="63">
        <f t="shared" ca="1" si="25"/>
        <v>-92.025732092598091</v>
      </c>
      <c r="AB229" s="63">
        <f t="shared" ca="1" si="26"/>
        <v>-92.025732092598091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45413</v>
      </c>
      <c r="K230">
        <f ca="1"/>
        <v>-103.48024748894184</v>
      </c>
      <c r="L230">
        <f ca="1"/>
        <v>5.8969440863399427</v>
      </c>
      <c r="M230">
        <f ca="1"/>
        <v>-2.0290525617082444E-2</v>
      </c>
      <c r="N230">
        <f ca="1"/>
        <v>7.8140836020731491E-2</v>
      </c>
      <c r="O230">
        <f ca="1"/>
        <v>0</v>
      </c>
      <c r="P230">
        <f ca="1"/>
        <v>130.58897469322392</v>
      </c>
      <c r="Q230">
        <f ca="1"/>
        <v>111.46506626534595</v>
      </c>
      <c r="R230">
        <f ca="1"/>
        <v>0</v>
      </c>
      <c r="S230">
        <f ca="1"/>
        <v>0.27650708665879503</v>
      </c>
      <c r="T230">
        <f ca="1"/>
        <v>0</v>
      </c>
      <c r="U230">
        <f ca="1"/>
        <v>0</v>
      </c>
      <c r="V230">
        <f ca="1"/>
        <v>0.99954602020635563</v>
      </c>
      <c r="X230" s="2">
        <f t="shared" ca="1" si="22"/>
        <v>45413</v>
      </c>
      <c r="Y230">
        <f t="shared" ca="1" si="23"/>
        <v>0</v>
      </c>
      <c r="AA230" s="63">
        <f t="shared" ca="1" si="25"/>
        <v>-97.583303402601899</v>
      </c>
      <c r="AB230" s="63">
        <f t="shared" ca="1" si="26"/>
        <v>-97.583303402601899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45414</v>
      </c>
      <c r="K231">
        <f ca="1"/>
        <v>-109.40744898266377</v>
      </c>
      <c r="L231">
        <f ca="1"/>
        <v>5.9857346298692846</v>
      </c>
      <c r="M231">
        <f ca="1"/>
        <v>-1.8183820867089473E-2</v>
      </c>
      <c r="N231">
        <f ca="1"/>
        <v>7.6716957014450179E-2</v>
      </c>
      <c r="O231">
        <f ca="1"/>
        <v>0</v>
      </c>
      <c r="P231">
        <f ca="1"/>
        <v>136.5747093230932</v>
      </c>
      <c r="Q231">
        <f ca="1"/>
        <v>116.57422887828875</v>
      </c>
      <c r="R231">
        <f ca="1"/>
        <v>0</v>
      </c>
      <c r="S231">
        <f ca="1"/>
        <v>0.26434004056772348</v>
      </c>
      <c r="T231">
        <f ca="1"/>
        <v>0</v>
      </c>
      <c r="U231">
        <f ca="1"/>
        <v>0</v>
      </c>
      <c r="V231">
        <f ca="1"/>
        <v>0.9996278944232927</v>
      </c>
      <c r="X231" s="2">
        <f t="shared" ca="1" si="22"/>
        <v>45414</v>
      </c>
      <c r="Y231">
        <f t="shared" ca="1" si="23"/>
        <v>0</v>
      </c>
      <c r="AA231" s="63">
        <f t="shared" ca="1" si="25"/>
        <v>-103.42171435279448</v>
      </c>
      <c r="AB231" s="63">
        <f t="shared" ca="1" si="26"/>
        <v>-103.42171435279448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45415</v>
      </c>
      <c r="K232">
        <f ca="1"/>
        <v>-116.09979981419195</v>
      </c>
      <c r="L232">
        <f ca="1"/>
        <v>6.7554387905522617</v>
      </c>
      <c r="M232">
        <f ca="1"/>
        <v>-1.7686816891192336E-2</v>
      </c>
      <c r="N232">
        <f ca="1"/>
        <v>8.0774775915275238E-2</v>
      </c>
      <c r="O232">
        <f ca="1"/>
        <v>0</v>
      </c>
      <c r="P232">
        <f ca="1"/>
        <v>143.33014811364546</v>
      </c>
      <c r="Q232">
        <f ca="1"/>
        <v>122.34037746938776</v>
      </c>
      <c r="R232">
        <f ca="1"/>
        <v>0</v>
      </c>
      <c r="S232">
        <f ca="1"/>
        <v>0.26384592460907491</v>
      </c>
      <c r="T232">
        <f ca="1"/>
        <v>0</v>
      </c>
      <c r="U232">
        <f ca="1"/>
        <v>0</v>
      </c>
      <c r="V232">
        <f ca="1"/>
        <v>0.99970116025667899</v>
      </c>
      <c r="X232" s="2">
        <f t="shared" ca="1" si="22"/>
        <v>45415</v>
      </c>
      <c r="Y232">
        <f t="shared" ca="1" si="23"/>
        <v>0</v>
      </c>
      <c r="AA232" s="63">
        <f t="shared" ca="1" si="25"/>
        <v>-109.34436102363969</v>
      </c>
      <c r="AB232" s="63">
        <f t="shared" ca="1" si="26"/>
        <v>-109.34436102363969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45416</v>
      </c>
      <c r="K233">
        <f ca="1"/>
        <v>-122.89527585313282</v>
      </c>
      <c r="L233">
        <f ca="1"/>
        <v>6.8592560298649232</v>
      </c>
      <c r="M233">
        <f ca="1"/>
        <v>-1.6063062714334997E-2</v>
      </c>
      <c r="N233">
        <f ca="1"/>
        <v>7.9843053638402259E-2</v>
      </c>
      <c r="O233">
        <f ca="1"/>
        <v>0</v>
      </c>
      <c r="P233">
        <f ca="1"/>
        <v>150.18940414351039</v>
      </c>
      <c r="Q233">
        <f ca="1"/>
        <v>128.19513993839379</v>
      </c>
      <c r="R233">
        <f ca="1"/>
        <v>0</v>
      </c>
      <c r="S233">
        <f ca="1"/>
        <v>0.25674852702786982</v>
      </c>
      <c r="T233">
        <f ca="1"/>
        <v>0</v>
      </c>
      <c r="U233">
        <f ca="1"/>
        <v>0</v>
      </c>
      <c r="V233">
        <f ca="1"/>
        <v>0.99975964124920402</v>
      </c>
      <c r="X233" s="2">
        <f t="shared" ca="1" si="22"/>
        <v>45416</v>
      </c>
      <c r="Y233">
        <f t="shared" ca="1" si="23"/>
        <v>0</v>
      </c>
      <c r="AA233" s="63">
        <f t="shared" ca="1" si="25"/>
        <v>-116.03601982326789</v>
      </c>
      <c r="AB233" s="63">
        <f t="shared" ca="1" si="26"/>
        <v>-116.03601982326789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45417</v>
      </c>
      <c r="K234">
        <f ca="1"/>
        <v>-130.81167022570116</v>
      </c>
      <c r="L234">
        <f ca="1"/>
        <v>7.9875458510454678</v>
      </c>
      <c r="M234">
        <f ca="1"/>
        <v>-1.7114051720858114E-2</v>
      </c>
      <c r="N234">
        <f ca="1"/>
        <v>8.8265530197960324E-2</v>
      </c>
      <c r="O234">
        <f ca="1"/>
        <v>0</v>
      </c>
      <c r="P234">
        <f ca="1"/>
        <v>158.17694999455586</v>
      </c>
      <c r="Q234">
        <f ca="1"/>
        <v>135.01296150162926</v>
      </c>
      <c r="R234">
        <f ca="1"/>
        <v>0</v>
      </c>
      <c r="S234">
        <f ca="1"/>
        <v>0.27831870461096159</v>
      </c>
      <c r="T234">
        <f ca="1"/>
        <v>0</v>
      </c>
      <c r="U234">
        <f ca="1"/>
        <v>0</v>
      </c>
      <c r="V234">
        <f ca="1"/>
        <v>0.99981250120852616</v>
      </c>
      <c r="X234" s="2">
        <f t="shared" ca="1" si="22"/>
        <v>45417</v>
      </c>
      <c r="Y234">
        <f t="shared" ca="1" si="23"/>
        <v>0</v>
      </c>
      <c r="AA234" s="63">
        <f t="shared" ca="1" si="25"/>
        <v>-122.82412437465571</v>
      </c>
      <c r="AB234" s="63">
        <f t="shared" ca="1" si="26"/>
        <v>-122.8241243746557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45418</v>
      </c>
      <c r="K235">
        <f ca="1"/>
        <v>-138.33623134901742</v>
      </c>
      <c r="L235">
        <f ca="1"/>
        <v>7.5936193503365814</v>
      </c>
      <c r="M235">
        <f ca="1"/>
        <v>-1.4863628606911483E-2</v>
      </c>
      <c r="N235">
        <f ca="1"/>
        <v>8.3921855627243719E-2</v>
      </c>
      <c r="O235">
        <f ca="1"/>
        <v>0</v>
      </c>
      <c r="P235">
        <f ca="1"/>
        <v>165.77056934489244</v>
      </c>
      <c r="Q235">
        <f ca="1"/>
        <v>141.49454454543121</v>
      </c>
      <c r="R235">
        <f ca="1"/>
        <v>0</v>
      </c>
      <c r="S235">
        <f ca="1"/>
        <v>0.27006046366759096</v>
      </c>
      <c r="T235">
        <f ca="1"/>
        <v>0</v>
      </c>
      <c r="U235">
        <f ca="1"/>
        <v>0</v>
      </c>
      <c r="V235">
        <f ca="1"/>
        <v>0.99985128833029835</v>
      </c>
      <c r="X235" s="2">
        <f t="shared" ca="1" si="22"/>
        <v>45418</v>
      </c>
      <c r="Y235">
        <f t="shared" ca="1" si="23"/>
        <v>0</v>
      </c>
      <c r="AA235" s="63">
        <f t="shared" ca="1" si="25"/>
        <v>-130.74261199868084</v>
      </c>
      <c r="AB235" s="63">
        <f t="shared" ca="1" si="26"/>
        <v>-130.74261199868084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45419</v>
      </c>
      <c r="K236">
        <f ca="1"/>
        <v>-144.64316238363557</v>
      </c>
      <c r="L236">
        <f ca="1"/>
        <v>6.3707696259272382</v>
      </c>
      <c r="M236">
        <f ca="1"/>
        <v>-1.3646106330083008E-2</v>
      </c>
      <c r="N236">
        <f ca="1"/>
        <v>7.7484697639177855E-2</v>
      </c>
      <c r="O236">
        <f ca="1"/>
        <v>0</v>
      </c>
      <c r="P236">
        <f ca="1"/>
        <v>172.14133897081967</v>
      </c>
      <c r="Q236">
        <f ca="1"/>
        <v>146.93235627634817</v>
      </c>
      <c r="R236">
        <f ca="1"/>
        <v>0</v>
      </c>
      <c r="S236">
        <f ca="1"/>
        <v>0.2897728163574943</v>
      </c>
      <c r="T236">
        <f ca="1"/>
        <v>0</v>
      </c>
      <c r="U236">
        <f ca="1"/>
        <v>0</v>
      </c>
      <c r="V236">
        <f ca="1"/>
        <v>0.99987723753273872</v>
      </c>
      <c r="X236" s="2">
        <f t="shared" ca="1" si="22"/>
        <v>45419</v>
      </c>
      <c r="Y236">
        <f t="shared" ca="1" si="23"/>
        <v>0</v>
      </c>
      <c r="AA236" s="63">
        <f t="shared" ca="1" si="25"/>
        <v>-138.27239275770833</v>
      </c>
      <c r="AB236" s="63">
        <f t="shared" ca="1" si="26"/>
        <v>-138.27239275770833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45420</v>
      </c>
      <c r="K237">
        <f ca="1"/>
        <v>-151.20673474976704</v>
      </c>
      <c r="L237">
        <f ca="1"/>
        <v>6.6290136043641894</v>
      </c>
      <c r="M237">
        <f ca="1"/>
        <v>-1.212553968548935E-2</v>
      </c>
      <c r="N237">
        <f ca="1"/>
        <v>7.7566777918198965E-2</v>
      </c>
      <c r="O237">
        <f ca="1"/>
        <v>0</v>
      </c>
      <c r="P237">
        <f ca="1"/>
        <v>178.77035257518386</v>
      </c>
      <c r="Q237">
        <f ca="1"/>
        <v>152.59059382986408</v>
      </c>
      <c r="R237">
        <f ca="1"/>
        <v>0</v>
      </c>
      <c r="S237">
        <f ca="1"/>
        <v>0.27774550078365551</v>
      </c>
      <c r="T237">
        <f ca="1"/>
        <v>0</v>
      </c>
      <c r="U237">
        <f ca="1"/>
        <v>0</v>
      </c>
      <c r="V237">
        <f ca="1"/>
        <v>0.99989923143431059</v>
      </c>
      <c r="X237" s="2">
        <f t="shared" ca="1" si="22"/>
        <v>45420</v>
      </c>
      <c r="Y237">
        <f t="shared" ca="1" si="23"/>
        <v>0</v>
      </c>
      <c r="AA237" s="63">
        <f t="shared" ca="1" si="25"/>
        <v>-144.57772114540285</v>
      </c>
      <c r="AB237" s="63">
        <f t="shared" ca="1" si="26"/>
        <v>-144.57772114540285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45421</v>
      </c>
      <c r="K238">
        <f ca="1"/>
        <v>-157.66080019792048</v>
      </c>
      <c r="L238">
        <f ca="1"/>
        <v>6.520085051857194</v>
      </c>
      <c r="M238">
        <f ca="1"/>
        <v>-1.1298065794645318E-2</v>
      </c>
      <c r="N238">
        <f ca="1"/>
        <v>7.7317669498408348E-2</v>
      </c>
      <c r="O238">
        <f ca="1"/>
        <v>0</v>
      </c>
      <c r="P238">
        <f ca="1"/>
        <v>185.29043762704106</v>
      </c>
      <c r="Q238">
        <f ca="1"/>
        <v>158.15585471094718</v>
      </c>
      <c r="R238">
        <f ca="1"/>
        <v>0</v>
      </c>
      <c r="S238">
        <f ca="1"/>
        <v>0.28615252468686547</v>
      </c>
      <c r="T238">
        <f ca="1"/>
        <v>0</v>
      </c>
      <c r="U238">
        <f ca="1"/>
        <v>0</v>
      </c>
      <c r="V238">
        <f ca="1"/>
        <v>0.99991687835819465</v>
      </c>
      <c r="X238" s="2">
        <f t="shared" ca="1" si="22"/>
        <v>45421</v>
      </c>
      <c r="Y238">
        <f t="shared" ca="1" si="23"/>
        <v>0</v>
      </c>
      <c r="AA238" s="63">
        <f t="shared" ca="1" si="25"/>
        <v>-151.14071514606329</v>
      </c>
      <c r="AB238" s="63">
        <f t="shared" ca="1" si="26"/>
        <v>-151.14071514606329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45422</v>
      </c>
      <c r="K239">
        <f ca="1"/>
        <v>-164.59283854585121</v>
      </c>
      <c r="L239">
        <f ca="1"/>
        <v>7.0009105500225814</v>
      </c>
      <c r="M239">
        <f ca="1"/>
        <v>-1.0088130262017714E-2</v>
      </c>
      <c r="N239">
        <f ca="1"/>
        <v>7.8960332353858145E-2</v>
      </c>
      <c r="O239">
        <f ca="1"/>
        <v>0</v>
      </c>
      <c r="P239">
        <f ca="1"/>
        <v>192.29134817706364</v>
      </c>
      <c r="Q239">
        <f ca="1"/>
        <v>164.1315273143137</v>
      </c>
      <c r="R239">
        <f ca="1"/>
        <v>0</v>
      </c>
      <c r="S239">
        <f ca="1"/>
        <v>0.27542904950322833</v>
      </c>
      <c r="T239">
        <f ca="1"/>
        <v>0</v>
      </c>
      <c r="U239">
        <f ca="1"/>
        <v>0</v>
      </c>
      <c r="V239">
        <f ca="1"/>
        <v>0.99993230951734602</v>
      </c>
      <c r="X239" s="2">
        <f t="shared" ca="1" si="22"/>
        <v>45422</v>
      </c>
      <c r="Y239">
        <f t="shared" ca="1" si="23"/>
        <v>0</v>
      </c>
      <c r="AA239" s="63">
        <f t="shared" ca="1" si="25"/>
        <v>-157.59192799582863</v>
      </c>
      <c r="AB239" s="63">
        <f t="shared" ca="1" si="26"/>
        <v>-157.59192799582863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45423</v>
      </c>
      <c r="K240">
        <f ca="1"/>
        <v>-172.01921212379906</v>
      </c>
      <c r="L240">
        <f ca="1"/>
        <v>7.4989738749006563</v>
      </c>
      <c r="M240">
        <f ca="1"/>
        <v>-9.3681612652174451E-3</v>
      </c>
      <c r="N240">
        <f ca="1"/>
        <v>8.1968458218029741E-2</v>
      </c>
      <c r="O240">
        <f ca="1"/>
        <v>0</v>
      </c>
      <c r="P240">
        <f ca="1"/>
        <v>199.7903220519643</v>
      </c>
      <c r="Q240">
        <f ca="1"/>
        <v>170.53232509874775</v>
      </c>
      <c r="R240">
        <f ca="1"/>
        <v>0</v>
      </c>
      <c r="S240">
        <f ca="1"/>
        <v>0.2778937141581494</v>
      </c>
      <c r="T240">
        <f ca="1"/>
        <v>0</v>
      </c>
      <c r="U240">
        <f ca="1"/>
        <v>0</v>
      </c>
      <c r="V240">
        <f ca="1"/>
        <v>0.9999456201886977</v>
      </c>
      <c r="X240" s="2">
        <f t="shared" ca="1" si="22"/>
        <v>45423</v>
      </c>
      <c r="Y240">
        <f t="shared" ca="1" si="23"/>
        <v>0</v>
      </c>
      <c r="AA240" s="63">
        <f t="shared" ca="1" si="25"/>
        <v>-164.52023824889841</v>
      </c>
      <c r="AB240" s="63">
        <f t="shared" ca="1" si="26"/>
        <v>-164.52023824889841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45424</v>
      </c>
      <c r="K241">
        <f ca="1"/>
        <v>-178.62354698627382</v>
      </c>
      <c r="L241">
        <f ca="1"/>
        <v>6.6730058831477947</v>
      </c>
      <c r="M241">
        <f ca="1"/>
        <v>-7.8074441640954007E-3</v>
      </c>
      <c r="N241">
        <f ca="1"/>
        <v>7.6478464837113111E-2</v>
      </c>
      <c r="O241">
        <f ca="1"/>
        <v>0</v>
      </c>
      <c r="P241">
        <f ca="1"/>
        <v>206.46332793511209</v>
      </c>
      <c r="Q241">
        <f ca="1"/>
        <v>176.22811254712497</v>
      </c>
      <c r="R241">
        <f ca="1"/>
        <v>0</v>
      </c>
      <c r="S241">
        <f ca="1"/>
        <v>0.27209737644456927</v>
      </c>
      <c r="T241">
        <f ca="1"/>
        <v>0</v>
      </c>
      <c r="U241">
        <f ca="1"/>
        <v>0</v>
      </c>
      <c r="V241">
        <f ca="1"/>
        <v>0.9999552283139379</v>
      </c>
      <c r="X241" s="2">
        <f t="shared" ca="1" si="22"/>
        <v>45424</v>
      </c>
      <c r="Y241">
        <f t="shared" ca="1" si="23"/>
        <v>0</v>
      </c>
      <c r="AA241" s="63">
        <f t="shared" ca="1" si="25"/>
        <v>-171.95054110312603</v>
      </c>
      <c r="AB241" s="63">
        <f t="shared" ca="1" si="26"/>
        <v>-171.95054110312603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45425</v>
      </c>
      <c r="K242">
        <f ca="1"/>
        <v>-185.07138615942412</v>
      </c>
      <c r="L242">
        <f ca="1"/>
        <v>6.5166573393175042</v>
      </c>
      <c r="M242">
        <f ca="1"/>
        <v>-6.8761907590157989E-3</v>
      </c>
      <c r="N242">
        <f ca="1"/>
        <v>7.5694356926214318E-2</v>
      </c>
      <c r="O242">
        <f ca="1"/>
        <v>0</v>
      </c>
      <c r="P242">
        <f ca="1"/>
        <v>212.97998527442959</v>
      </c>
      <c r="Q242">
        <f ca="1"/>
        <v>181.7904476819399</v>
      </c>
      <c r="R242">
        <f ca="1"/>
        <v>0</v>
      </c>
      <c r="S242">
        <f ca="1"/>
        <v>0.27340235317697842</v>
      </c>
      <c r="T242">
        <f ca="1"/>
        <v>0</v>
      </c>
      <c r="U242">
        <f ca="1"/>
        <v>0</v>
      </c>
      <c r="V242">
        <f ca="1"/>
        <v>0.99996297151951175</v>
      </c>
      <c r="X242" s="2">
        <f t="shared" ca="1" si="22"/>
        <v>45425</v>
      </c>
      <c r="Y242">
        <f t="shared" ca="1" si="23"/>
        <v>0</v>
      </c>
      <c r="AA242" s="63">
        <f t="shared" ca="1" si="25"/>
        <v>-178.55472882010662</v>
      </c>
      <c r="AB242" s="63">
        <f t="shared" ca="1" si="26"/>
        <v>-178.55472882010662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45426</v>
      </c>
      <c r="K243">
        <f ca="1"/>
        <v>-190.97807694877991</v>
      </c>
      <c r="L243">
        <f ca="1"/>
        <v>5.9734672328044098</v>
      </c>
      <c r="M243">
        <f ca="1"/>
        <v>-5.8148656516401331E-3</v>
      </c>
      <c r="N243">
        <f ca="1"/>
        <v>7.2591309100259252E-2</v>
      </c>
      <c r="O243">
        <f ca="1"/>
        <v>0</v>
      </c>
      <c r="P243">
        <f ca="1"/>
        <v>218.953452507234</v>
      </c>
      <c r="Q243">
        <f ca="1"/>
        <v>186.88913937855955</v>
      </c>
      <c r="R243">
        <f ca="1"/>
        <v>0</v>
      </c>
      <c r="S243">
        <f ca="1"/>
        <v>0.27224345691537694</v>
      </c>
      <c r="T243">
        <f ca="1"/>
        <v>0</v>
      </c>
      <c r="U243">
        <f ca="1"/>
        <v>0</v>
      </c>
      <c r="V243">
        <f ca="1"/>
        <v>0.99996889789206722</v>
      </c>
      <c r="X243" s="2">
        <f t="shared" ca="1" si="22"/>
        <v>45426</v>
      </c>
      <c r="Y243">
        <f t="shared" ca="1" si="23"/>
        <v>0</v>
      </c>
      <c r="AA243" s="63">
        <f t="shared" ca="1" si="25"/>
        <v>-185.0046097159755</v>
      </c>
      <c r="AB243" s="63">
        <f t="shared" ca="1" si="26"/>
        <v>-185.0046097159755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45427</v>
      </c>
      <c r="K244">
        <f ca="1"/>
        <v>-197.57740593391492</v>
      </c>
      <c r="L244">
        <f ca="1"/>
        <v>6.6711045567190013</v>
      </c>
      <c r="M244">
        <f ca="1"/>
        <v>-5.2511687377201355E-3</v>
      </c>
      <c r="N244">
        <f ca="1"/>
        <v>7.7026740321709058E-2</v>
      </c>
      <c r="O244">
        <f ca="1"/>
        <v>0</v>
      </c>
      <c r="P244">
        <f ca="1"/>
        <v>225.62455706395301</v>
      </c>
      <c r="Q244">
        <f ca="1"/>
        <v>192.5833039374327</v>
      </c>
      <c r="R244">
        <f ca="1"/>
        <v>0</v>
      </c>
      <c r="S244">
        <f ca="1"/>
        <v>0.27586712012217468</v>
      </c>
      <c r="T244">
        <f ca="1"/>
        <v>0</v>
      </c>
      <c r="U244">
        <f ca="1"/>
        <v>0</v>
      </c>
      <c r="V244">
        <f ca="1"/>
        <v>0.99997442227405486</v>
      </c>
      <c r="X244" s="2">
        <f t="shared" ca="1" si="22"/>
        <v>45427</v>
      </c>
      <c r="Y244">
        <f t="shared" ca="1" si="23"/>
        <v>0</v>
      </c>
      <c r="AA244" s="63">
        <f t="shared" ca="1" si="25"/>
        <v>-190.90630137719592</v>
      </c>
      <c r="AB244" s="63">
        <f t="shared" ca="1" si="26"/>
        <v>-190.90630137719592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45428</v>
      </c>
      <c r="K245">
        <f ca="1"/>
        <v>-202.99137925010314</v>
      </c>
      <c r="L245">
        <f ca="1"/>
        <v>5.4814579224410807</v>
      </c>
      <c r="M245">
        <f ca="1"/>
        <v>-4.3711368459611322E-3</v>
      </c>
      <c r="N245">
        <f ca="1"/>
        <v>7.1855743098800967E-2</v>
      </c>
      <c r="O245">
        <f ca="1"/>
        <v>0</v>
      </c>
      <c r="P245">
        <f ca="1"/>
        <v>231.10601498639409</v>
      </c>
      <c r="Q245">
        <f ca="1"/>
        <v>197.26203789633641</v>
      </c>
      <c r="R245">
        <f ca="1"/>
        <v>0</v>
      </c>
      <c r="S245">
        <f ca="1"/>
        <v>0.29340369686053303</v>
      </c>
      <c r="T245">
        <f ca="1"/>
        <v>0</v>
      </c>
      <c r="U245">
        <f ca="1"/>
        <v>0</v>
      </c>
      <c r="V245">
        <f ca="1"/>
        <v>0.99997823846519784</v>
      </c>
      <c r="X245" s="2">
        <f t="shared" ca="1" si="22"/>
        <v>45428</v>
      </c>
      <c r="Y245">
        <f t="shared" ca="1" si="23"/>
        <v>0</v>
      </c>
      <c r="AA245" s="63">
        <f t="shared" ca="1" si="25"/>
        <v>-197.50992132766208</v>
      </c>
      <c r="AB245" s="63">
        <f t="shared" ca="1" si="26"/>
        <v>-197.50992132766206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45429</v>
      </c>
      <c r="K246">
        <f ca="1"/>
        <v>-208.0785549771818</v>
      </c>
      <c r="L246">
        <f ca="1"/>
        <v>5.1539811475836359</v>
      </c>
      <c r="M246">
        <f ca="1"/>
        <v>-3.4768424827902322E-3</v>
      </c>
      <c r="N246">
        <f ca="1"/>
        <v>7.0282262987776942E-2</v>
      </c>
      <c r="O246">
        <f ca="1"/>
        <v>0</v>
      </c>
      <c r="P246">
        <f ca="1"/>
        <v>236.25999613397772</v>
      </c>
      <c r="Q246">
        <f ca="1"/>
        <v>201.66125193025712</v>
      </c>
      <c r="R246">
        <f ca="1"/>
        <v>0</v>
      </c>
      <c r="S246">
        <f ca="1"/>
        <v>0.29441846310710951</v>
      </c>
      <c r="T246">
        <f ca="1"/>
        <v>0</v>
      </c>
      <c r="U246">
        <f ca="1"/>
        <v>0</v>
      </c>
      <c r="V246">
        <f ca="1"/>
        <v>0.99998132382936245</v>
      </c>
      <c r="X246" s="2">
        <f t="shared" ca="1" si="22"/>
        <v>45429</v>
      </c>
      <c r="Y246">
        <f t="shared" ca="1" si="23"/>
        <v>0</v>
      </c>
      <c r="AA246" s="63">
        <f t="shared" ca="1" si="25"/>
        <v>-202.92457382959816</v>
      </c>
      <c r="AB246" s="63">
        <f t="shared" ca="1" si="26"/>
        <v>-202.92457382959816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45430</v>
      </c>
      <c r="K247">
        <f ca="1"/>
        <v>-213.51391618497945</v>
      </c>
      <c r="L247">
        <f ca="1"/>
        <v>5.5053262621939325</v>
      </c>
      <c r="M247">
        <f ca="1"/>
        <v>-2.7256110178859316E-3</v>
      </c>
      <c r="N247">
        <f ca="1"/>
        <v>7.2690665414172337E-2</v>
      </c>
      <c r="O247">
        <f ca="1"/>
        <v>0</v>
      </c>
      <c r="P247">
        <f ca="1"/>
        <v>241.76532239617165</v>
      </c>
      <c r="Q247">
        <f ca="1"/>
        <v>206.36035886535154</v>
      </c>
      <c r="R247">
        <f ca="1"/>
        <v>0</v>
      </c>
      <c r="S247">
        <f ca="1"/>
        <v>0.29644768026712137</v>
      </c>
      <c r="T247">
        <f ca="1"/>
        <v>0</v>
      </c>
      <c r="U247">
        <f ca="1"/>
        <v>0</v>
      </c>
      <c r="V247">
        <f ca="1"/>
        <v>0.99998415824346742</v>
      </c>
      <c r="X247" s="2">
        <f t="shared" ca="1" si="22"/>
        <v>45430</v>
      </c>
      <c r="Y247">
        <f t="shared" ca="1" si="23"/>
        <v>0</v>
      </c>
      <c r="AA247" s="63">
        <f t="shared" ca="1" si="25"/>
        <v>-208.00858992278552</v>
      </c>
      <c r="AB247" s="63">
        <f t="shared" ca="1" si="26"/>
        <v>-208.00858992278552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45431</v>
      </c>
      <c r="K248">
        <f ca="1"/>
        <v>-218.99455866876247</v>
      </c>
      <c r="L248">
        <f ca="1"/>
        <v>5.5526442164505738</v>
      </c>
      <c r="M248">
        <f ca="1"/>
        <v>-1.9282201739434512E-3</v>
      </c>
      <c r="N248">
        <f ca="1"/>
        <v>7.3929952841490454E-2</v>
      </c>
      <c r="O248">
        <f ca="1"/>
        <v>0</v>
      </c>
      <c r="P248">
        <f ca="1"/>
        <v>247.31796661262223</v>
      </c>
      <c r="Q248">
        <f ca="1"/>
        <v>211.09985434717544</v>
      </c>
      <c r="R248">
        <f ca="1"/>
        <v>0</v>
      </c>
      <c r="S248">
        <f ca="1"/>
        <v>0.30412903229501265</v>
      </c>
      <c r="T248">
        <f ca="1"/>
        <v>0</v>
      </c>
      <c r="U248">
        <f ca="1"/>
        <v>0</v>
      </c>
      <c r="V248">
        <f ca="1"/>
        <v>0.99998660301714271</v>
      </c>
      <c r="X248" s="2">
        <f t="shared" ca="1" si="22"/>
        <v>45431</v>
      </c>
      <c r="Y248">
        <f t="shared" ca="1" si="23"/>
        <v>0</v>
      </c>
      <c r="AA248" s="63">
        <f t="shared" ca="1" si="25"/>
        <v>-213.44191445231189</v>
      </c>
      <c r="AB248" s="63">
        <f t="shared" ca="1" si="26"/>
        <v>-213.44191445231189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45432</v>
      </c>
      <c r="K249">
        <f ca="1"/>
        <v>-224.08113225125581</v>
      </c>
      <c r="L249">
        <f ca="1"/>
        <v>5.1587636726466712</v>
      </c>
      <c r="M249">
        <f ca="1"/>
        <v>-1.0715124518849706E-3</v>
      </c>
      <c r="N249">
        <f ca="1"/>
        <v>7.326160260522073E-2</v>
      </c>
      <c r="O249">
        <f ca="1"/>
        <v>0</v>
      </c>
      <c r="P249">
        <f ca="1"/>
        <v>252.4767302852689</v>
      </c>
      <c r="Q249">
        <f ca="1"/>
        <v>215.50315053638013</v>
      </c>
      <c r="R249">
        <f ca="1"/>
        <v>0</v>
      </c>
      <c r="S249">
        <f ca="1"/>
        <v>0.31963642642163043</v>
      </c>
      <c r="T249">
        <f ca="1"/>
        <v>0</v>
      </c>
      <c r="U249">
        <f ca="1"/>
        <v>0</v>
      </c>
      <c r="V249">
        <f ca="1"/>
        <v>0.99998855443270518</v>
      </c>
      <c r="X249" s="2">
        <f t="shared" ca="1" si="22"/>
        <v>45432</v>
      </c>
      <c r="Y249">
        <f t="shared" ca="1" si="23"/>
        <v>0</v>
      </c>
      <c r="AA249" s="63">
        <f t="shared" ca="1" si="25"/>
        <v>-218.92236857860914</v>
      </c>
      <c r="AB249" s="63">
        <f t="shared" ca="1" si="26"/>
        <v>-218.92236857860914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45433</v>
      </c>
      <c r="K250">
        <f ca="1"/>
        <v>-228.11409335269676</v>
      </c>
      <c r="L250">
        <f ca="1"/>
        <v>4.1006240598874228</v>
      </c>
      <c r="M250">
        <f ca="1"/>
        <v>-1.7276065497462412E-4</v>
      </c>
      <c r="N250">
        <f ca="1"/>
        <v>6.7835719101456846E-2</v>
      </c>
      <c r="O250">
        <f ca="1"/>
        <v>0</v>
      </c>
      <c r="P250">
        <f ca="1"/>
        <v>256.57735434515632</v>
      </c>
      <c r="Q250">
        <f ca="1"/>
        <v>219.00326479670247</v>
      </c>
      <c r="R250">
        <f ca="1"/>
        <v>0</v>
      </c>
      <c r="S250">
        <f ca="1"/>
        <v>0.32586842584136955</v>
      </c>
      <c r="T250">
        <f ca="1"/>
        <v>0</v>
      </c>
      <c r="U250">
        <f ca="1"/>
        <v>0</v>
      </c>
      <c r="V250">
        <f ca="1"/>
        <v>0.99998991416285021</v>
      </c>
      <c r="X250" s="2">
        <f t="shared" ca="1" si="22"/>
        <v>45433</v>
      </c>
      <c r="Y250">
        <f t="shared" ca="1" si="23"/>
        <v>0</v>
      </c>
      <c r="AA250" s="63">
        <f t="shared" ca="1" si="25"/>
        <v>-224.01346929280933</v>
      </c>
      <c r="AB250" s="63">
        <f t="shared" ca="1" si="26"/>
        <v>-224.01346929280933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45434</v>
      </c>
      <c r="K251">
        <f ca="1"/>
        <v>-232.89320194864226</v>
      </c>
      <c r="L251">
        <f ca="1"/>
        <v>4.8527223183050978</v>
      </c>
      <c r="M251">
        <f ca="1"/>
        <v>7.1167574517971843E-4</v>
      </c>
      <c r="N251">
        <f ca="1"/>
        <v>7.2902046614429963E-2</v>
      </c>
      <c r="O251">
        <f ca="1"/>
        <v>0</v>
      </c>
      <c r="P251">
        <f ca="1"/>
        <v>261.43007666346142</v>
      </c>
      <c r="Q251">
        <f ca="1"/>
        <v>223.14533740312189</v>
      </c>
      <c r="R251">
        <f ca="1"/>
        <v>0</v>
      </c>
      <c r="S251">
        <f ca="1"/>
        <v>0.32920187690161379</v>
      </c>
      <c r="T251">
        <f ca="1"/>
        <v>0</v>
      </c>
      <c r="U251">
        <f ca="1"/>
        <v>0</v>
      </c>
      <c r="V251">
        <f ca="1"/>
        <v>0.99999133107250771</v>
      </c>
      <c r="X251" s="2">
        <f t="shared" ca="1" si="22"/>
        <v>45434</v>
      </c>
      <c r="Y251">
        <f t="shared" ca="1" si="23"/>
        <v>0</v>
      </c>
      <c r="AA251" s="63">
        <f t="shared" ca="1" si="25"/>
        <v>-228.04047963033716</v>
      </c>
      <c r="AB251" s="63">
        <f t="shared" ca="1" si="26"/>
        <v>-228.04047963033716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45435</v>
      </c>
      <c r="K252">
        <f ca="1"/>
        <v>-237.34388941872908</v>
      </c>
      <c r="L252">
        <f ca="1"/>
        <v>4.5264013419612183</v>
      </c>
      <c r="M252">
        <f ca="1"/>
        <v>1.765810087549724E-3</v>
      </c>
      <c r="N252">
        <f ca="1"/>
        <v>7.3948061786823768E-2</v>
      </c>
      <c r="O252">
        <f ca="1"/>
        <v>0</v>
      </c>
      <c r="P252">
        <f ca="1"/>
        <v>265.95647800542264</v>
      </c>
      <c r="Q252">
        <f ca="1"/>
        <v>227.00887662387541</v>
      </c>
      <c r="R252">
        <f ca="1"/>
        <v>0</v>
      </c>
      <c r="S252">
        <f ca="1"/>
        <v>0.35963675300317516</v>
      </c>
      <c r="T252">
        <f ca="1"/>
        <v>0</v>
      </c>
      <c r="U252">
        <f ca="1"/>
        <v>0</v>
      </c>
      <c r="V252">
        <f ca="1"/>
        <v>0.99999248678608676</v>
      </c>
      <c r="X252" s="2">
        <f t="shared" ca="1" si="22"/>
        <v>45435</v>
      </c>
      <c r="Y252">
        <f t="shared" ca="1" si="23"/>
        <v>0</v>
      </c>
      <c r="AA252" s="63">
        <f t="shared" ca="1" si="25"/>
        <v>-232.81748807676786</v>
      </c>
      <c r="AB252" s="63">
        <f t="shared" ca="1" si="26"/>
        <v>-232.81748807676786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45436</v>
      </c>
      <c r="K253">
        <f ca="1"/>
        <v>-241.24203729648696</v>
      </c>
      <c r="L253">
        <f ca="1"/>
        <v>3.9724955488271121</v>
      </c>
      <c r="M253">
        <f ca="1"/>
        <v>2.7598602273855022E-3</v>
      </c>
      <c r="N253">
        <f ca="1"/>
        <v>7.1587810841823488E-2</v>
      </c>
      <c r="O253">
        <f ca="1"/>
        <v>0</v>
      </c>
      <c r="P253">
        <f ca="1"/>
        <v>269.92897355424975</v>
      </c>
      <c r="Q253">
        <f ca="1"/>
        <v>230.39962596262325</v>
      </c>
      <c r="R253">
        <f ca="1"/>
        <v>0</v>
      </c>
      <c r="S253">
        <f ca="1"/>
        <v>0.36862233945212364</v>
      </c>
      <c r="T253">
        <f ca="1"/>
        <v>0</v>
      </c>
      <c r="U253">
        <f ca="1"/>
        <v>0</v>
      </c>
      <c r="V253">
        <f ca="1"/>
        <v>0.99999338435388896</v>
      </c>
      <c r="X253" s="2">
        <f t="shared" ca="1" si="22"/>
        <v>45436</v>
      </c>
      <c r="Y253">
        <f t="shared" ca="1" si="23"/>
        <v>0</v>
      </c>
      <c r="AA253" s="63">
        <f t="shared" ca="1" si="25"/>
        <v>-237.26954174765984</v>
      </c>
      <c r="AB253" s="63">
        <f t="shared" ca="1" si="26"/>
        <v>-237.26954174765984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45437</v>
      </c>
      <c r="K254">
        <f ca="1"/>
        <v>-245.30056857188916</v>
      </c>
      <c r="L254">
        <f ca="1"/>
        <v>4.1399911775886835</v>
      </c>
      <c r="M254">
        <f ca="1"/>
        <v>4.3055556551676588E-3</v>
      </c>
      <c r="N254">
        <f ca="1"/>
        <v>7.7154346531304499E-2</v>
      </c>
      <c r="O254">
        <f ca="1"/>
        <v>0</v>
      </c>
      <c r="P254">
        <f ca="1"/>
        <v>274.06896473183843</v>
      </c>
      <c r="Q254">
        <f ca="1"/>
        <v>233.9333422815692</v>
      </c>
      <c r="R254">
        <f ca="1"/>
        <v>0</v>
      </c>
      <c r="S254">
        <f ca="1"/>
        <v>0.41268038138330748</v>
      </c>
      <c r="T254">
        <f ca="1"/>
        <v>0</v>
      </c>
      <c r="U254">
        <f ca="1"/>
        <v>0</v>
      </c>
      <c r="V254">
        <f ca="1"/>
        <v>0.99999421632947527</v>
      </c>
      <c r="X254" s="2">
        <f t="shared" ca="1" si="22"/>
        <v>45437</v>
      </c>
      <c r="Y254">
        <f t="shared" ca="1" si="23"/>
        <v>0</v>
      </c>
      <c r="AA254" s="63">
        <f t="shared" ca="1" si="25"/>
        <v>-241.16057739430047</v>
      </c>
      <c r="AB254" s="63">
        <f t="shared" ca="1" si="26"/>
        <v>-241.16057739430047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45438</v>
      </c>
      <c r="K255">
        <f ca="1"/>
        <v>-249.18489833564192</v>
      </c>
      <c r="L255">
        <f ca="1"/>
        <v>3.9654220422286812</v>
      </c>
      <c r="M255">
        <f ca="1"/>
        <v>5.3763860415481091E-3</v>
      </c>
      <c r="N255">
        <f ca="1"/>
        <v>7.5715892434360485E-2</v>
      </c>
      <c r="O255">
        <f ca="1"/>
        <v>0</v>
      </c>
      <c r="P255">
        <f ca="1"/>
        <v>278.03438677406712</v>
      </c>
      <c r="Q255">
        <f ca="1"/>
        <v>237.31805398288574</v>
      </c>
      <c r="R255">
        <f ca="1"/>
        <v>0</v>
      </c>
      <c r="S255">
        <f ca="1"/>
        <v>0.4060137777909677</v>
      </c>
      <c r="T255">
        <f ca="1"/>
        <v>0</v>
      </c>
      <c r="U255">
        <f ca="1"/>
        <v>0</v>
      </c>
      <c r="V255">
        <f ca="1"/>
        <v>0.99999492455236738</v>
      </c>
      <c r="X255" s="2">
        <f t="shared" ca="1" si="22"/>
        <v>45438</v>
      </c>
      <c r="Y255">
        <f t="shared" ca="1" si="23"/>
        <v>0</v>
      </c>
      <c r="AA255" s="63">
        <f t="shared" ca="1" si="25"/>
        <v>-245.21947629341324</v>
      </c>
      <c r="AB255" s="63">
        <f t="shared" ca="1" si="26"/>
        <v>-245.21947629341324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45439</v>
      </c>
      <c r="K256">
        <f ca="1"/>
        <v>-252.70664146929889</v>
      </c>
      <c r="L256">
        <f ca="1"/>
        <v>3.6029413230919545</v>
      </c>
      <c r="M256">
        <f ca="1"/>
        <v>6.5530171001917381E-3</v>
      </c>
      <c r="N256">
        <f ca="1"/>
        <v>7.464517233478779E-2</v>
      </c>
      <c r="O256">
        <f ca="1"/>
        <v>0</v>
      </c>
      <c r="P256">
        <f ca="1"/>
        <v>281.63732809715907</v>
      </c>
      <c r="Q256">
        <f ca="1"/>
        <v>240.39336791556673</v>
      </c>
      <c r="R256">
        <f ca="1"/>
        <v>0</v>
      </c>
      <c r="S256">
        <f ca="1"/>
        <v>0.41702833290732183</v>
      </c>
      <c r="T256">
        <f ca="1"/>
        <v>0</v>
      </c>
      <c r="U256">
        <f ca="1"/>
        <v>0</v>
      </c>
      <c r="V256">
        <f ca="1"/>
        <v>0.99999550042009389</v>
      </c>
      <c r="X256" s="2">
        <f t="shared" ca="1" si="22"/>
        <v>45439</v>
      </c>
      <c r="Y256">
        <f t="shared" ca="1" si="23"/>
        <v>0</v>
      </c>
      <c r="AA256" s="63">
        <f t="shared" ca="1" si="25"/>
        <v>-249.10370014620693</v>
      </c>
      <c r="AB256" s="63">
        <f t="shared" ca="1" si="26"/>
        <v>-249.10370014620693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45440</v>
      </c>
      <c r="K257">
        <f ca="1"/>
        <v>-256.38040431561848</v>
      </c>
      <c r="L257">
        <f ca="1"/>
        <v>3.7599729624722045</v>
      </c>
      <c r="M257">
        <f ca="1"/>
        <v>8.1519343878149186E-3</v>
      </c>
      <c r="N257">
        <f ca="1"/>
        <v>7.8058181764785725E-2</v>
      </c>
      <c r="O257">
        <f ca="1"/>
        <v>0</v>
      </c>
      <c r="P257">
        <f ca="1"/>
        <v>285.39730105963127</v>
      </c>
      <c r="Q257">
        <f ca="1"/>
        <v>243.60271722244676</v>
      </c>
      <c r="R257">
        <f ca="1"/>
        <v>0</v>
      </c>
      <c r="S257">
        <f ca="1"/>
        <v>0.43644866994390435</v>
      </c>
      <c r="T257">
        <f ca="1"/>
        <v>0</v>
      </c>
      <c r="U257">
        <f ca="1"/>
        <v>0</v>
      </c>
      <c r="V257">
        <f ca="1"/>
        <v>0.99999603946034177</v>
      </c>
      <c r="X257" s="2">
        <f t="shared" ca="1" si="22"/>
        <v>45440</v>
      </c>
      <c r="Y257">
        <f t="shared" ca="1" si="23"/>
        <v>0</v>
      </c>
      <c r="AA257" s="63">
        <f t="shared" ca="1" si="25"/>
        <v>-252.62043135314627</v>
      </c>
      <c r="AB257" s="63">
        <f t="shared" ca="1" si="26"/>
        <v>-252.62043135314627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45441</v>
      </c>
      <c r="K258">
        <f ca="1"/>
        <v>-259.49556346812221</v>
      </c>
      <c r="L258">
        <f ca="1"/>
        <v>3.1990988690279778</v>
      </c>
      <c r="M258">
        <f ca="1"/>
        <v>9.1364754526752634E-3</v>
      </c>
      <c r="N258">
        <f ca="1"/>
        <v>7.4803241071563886E-2</v>
      </c>
      <c r="O258">
        <f ca="1"/>
        <v>0</v>
      </c>
      <c r="P258">
        <f ca="1"/>
        <v>288.59639992865925</v>
      </c>
      <c r="Q258">
        <f ca="1"/>
        <v>246.33332880939952</v>
      </c>
      <c r="R258">
        <f ca="1"/>
        <v>0</v>
      </c>
      <c r="S258">
        <f ca="1"/>
        <v>0.44094145891168707</v>
      </c>
      <c r="T258">
        <f ca="1"/>
        <v>0</v>
      </c>
      <c r="U258">
        <f ca="1"/>
        <v>0</v>
      </c>
      <c r="V258">
        <f ca="1"/>
        <v>0.99999645285630667</v>
      </c>
      <c r="X258" s="2">
        <f t="shared" ca="1" si="22"/>
        <v>45441</v>
      </c>
      <c r="Y258">
        <f t="shared" ca="1" si="23"/>
        <v>0</v>
      </c>
      <c r="AA258" s="63">
        <f t="shared" ca="1" si="25"/>
        <v>-256.29646459909424</v>
      </c>
      <c r="AB258" s="63">
        <f t="shared" ca="1" si="26"/>
        <v>-256.29646459909424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45442</v>
      </c>
      <c r="K259">
        <f ca="1"/>
        <v>-262.61727560291314</v>
      </c>
      <c r="L259">
        <f ca="1"/>
        <v>3.2058683657094207</v>
      </c>
      <c r="M259">
        <f ca="1"/>
        <v>1.0011751108550904E-2</v>
      </c>
      <c r="N259">
        <f ca="1"/>
        <v>7.4144479809950231E-2</v>
      </c>
      <c r="O259">
        <f ca="1"/>
        <v>0</v>
      </c>
      <c r="P259">
        <f ca="1"/>
        <v>291.80226829436867</v>
      </c>
      <c r="Q259">
        <f ca="1"/>
        <v>249.06971854414732</v>
      </c>
      <c r="R259">
        <f ca="1"/>
        <v>0</v>
      </c>
      <c r="S259">
        <f ca="1"/>
        <v>0.42992700238325615</v>
      </c>
      <c r="T259">
        <f ca="1"/>
        <v>0</v>
      </c>
      <c r="U259">
        <f ca="1"/>
        <v>0</v>
      </c>
      <c r="V259">
        <f ca="1"/>
        <v>0.99999682909383147</v>
      </c>
      <c r="X259" s="2">
        <f t="shared" ca="1" si="22"/>
        <v>45442</v>
      </c>
      <c r="Y259">
        <f t="shared" ca="1" si="23"/>
        <v>0</v>
      </c>
      <c r="AA259" s="63">
        <f t="shared" ca="1" si="25"/>
        <v>-259.41140723720372</v>
      </c>
      <c r="AB259" s="63">
        <f t="shared" ca="1" si="26"/>
        <v>-259.41140723720372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45443</v>
      </c>
      <c r="K260">
        <f ca="1"/>
        <v>-265.79061882468659</v>
      </c>
      <c r="L260">
        <f ca="1"/>
        <v>3.2617416484592923</v>
      </c>
      <c r="M260">
        <f ca="1"/>
        <v>1.1628108214854826E-2</v>
      </c>
      <c r="N260">
        <f ca="1"/>
        <v>7.6770318471007001E-2</v>
      </c>
      <c r="O260">
        <f ca="1"/>
        <v>0</v>
      </c>
      <c r="P260">
        <f ca="1"/>
        <v>295.06400994282797</v>
      </c>
      <c r="Q260">
        <f ca="1"/>
        <v>251.85379928174436</v>
      </c>
      <c r="R260">
        <f ca="1"/>
        <v>0</v>
      </c>
      <c r="S260">
        <f ca="1"/>
        <v>0.44876761382330038</v>
      </c>
      <c r="T260">
        <f ca="1"/>
        <v>0</v>
      </c>
      <c r="U260">
        <f ca="1"/>
        <v>0</v>
      </c>
      <c r="V260">
        <f ca="1"/>
        <v>0.99999717610589955</v>
      </c>
      <c r="X260" s="2">
        <f t="shared" ca="1" si="22"/>
        <v>45443</v>
      </c>
      <c r="Y260">
        <f t="shared" ca="1" si="23"/>
        <v>0</v>
      </c>
      <c r="AA260" s="63">
        <f t="shared" ca="1" si="25"/>
        <v>-262.5288771762273</v>
      </c>
      <c r="AB260" s="63">
        <f t="shared" ca="1" si="26"/>
        <v>-262.5288771762273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45444</v>
      </c>
      <c r="K261">
        <f ca="1"/>
        <v>-268.57888613193785</v>
      </c>
      <c r="L261">
        <f ca="1"/>
        <v>2.8759056370055305</v>
      </c>
      <c r="M261">
        <f ca="1"/>
        <v>1.2661150158995049E-2</v>
      </c>
      <c r="N261">
        <f ca="1"/>
        <v>7.4977179595322019E-2</v>
      </c>
      <c r="O261">
        <f ca="1"/>
        <v>0</v>
      </c>
      <c r="P261">
        <f ca="1"/>
        <v>297.9399155798335</v>
      </c>
      <c r="Q261">
        <f ca="1"/>
        <v>254.30854718948129</v>
      </c>
      <c r="R261">
        <f ca="1"/>
        <v>0</v>
      </c>
      <c r="S261">
        <f ca="1"/>
        <v>0.45673865129468383</v>
      </c>
      <c r="T261">
        <f ca="1"/>
        <v>0</v>
      </c>
      <c r="U261">
        <f ca="1"/>
        <v>0</v>
      </c>
      <c r="V261">
        <f ca="1"/>
        <v>0.99999745457649192</v>
      </c>
      <c r="X261" s="2">
        <f t="shared" ca="1" si="22"/>
        <v>45444</v>
      </c>
      <c r="Y261">
        <f t="shared" ca="1" si="23"/>
        <v>0</v>
      </c>
      <c r="AA261" s="63">
        <f t="shared" ca="1" si="25"/>
        <v>-265.70298049493232</v>
      </c>
      <c r="AB261" s="63">
        <f t="shared" ca="1" si="26"/>
        <v>-265.70298049493232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45445</v>
      </c>
      <c r="K262">
        <f ca="1"/>
        <v>-271.01672990351449</v>
      </c>
      <c r="L262">
        <f ca="1"/>
        <v>2.5250586095813787</v>
      </c>
      <c r="M262">
        <f ca="1"/>
        <v>1.3705752821441486E-2</v>
      </c>
      <c r="N262">
        <f ca="1"/>
        <v>7.3509085183254233E-2</v>
      </c>
      <c r="O262">
        <f ca="1"/>
        <v>0</v>
      </c>
      <c r="P262">
        <f ca="1"/>
        <v>300.46497418941487</v>
      </c>
      <c r="Q262">
        <f ca="1"/>
        <v>256.46382734159261</v>
      </c>
      <c r="R262">
        <f ca="1"/>
        <v>0</v>
      </c>
      <c r="S262">
        <f ca="1"/>
        <v>0.46630389152409735</v>
      </c>
      <c r="T262">
        <f ca="1"/>
        <v>0</v>
      </c>
      <c r="U262">
        <f ca="1"/>
        <v>0</v>
      </c>
      <c r="V262">
        <f ca="1"/>
        <v>0.99999767945275486</v>
      </c>
      <c r="X262" s="2">
        <f t="shared" ca="1" si="22"/>
        <v>45445</v>
      </c>
      <c r="Y262">
        <f t="shared" ca="1" si="23"/>
        <v>0</v>
      </c>
      <c r="AA262" s="63">
        <f t="shared" ca="1" si="25"/>
        <v>-268.49167129393311</v>
      </c>
      <c r="AB262" s="63">
        <f t="shared" ca="1" si="26"/>
        <v>-268.49167129393311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45446</v>
      </c>
      <c r="K263">
        <f ca="1"/>
        <v>-273.23653513394822</v>
      </c>
      <c r="L263">
        <f ca="1"/>
        <v>2.3079109798412674</v>
      </c>
      <c r="M263">
        <f ca="1"/>
        <v>1.490379604575498E-2</v>
      </c>
      <c r="N263">
        <f ca="1"/>
        <v>7.3201953361768213E-2</v>
      </c>
      <c r="O263">
        <f ca="1"/>
        <v>0</v>
      </c>
      <c r="P263">
        <f ca="1"/>
        <v>302.77288516925614</v>
      </c>
      <c r="Q263">
        <f ca="1"/>
        <v>258.43375972605963</v>
      </c>
      <c r="R263">
        <f ca="1"/>
        <v>0</v>
      </c>
      <c r="S263">
        <f ca="1"/>
        <v>0.47804304238748152</v>
      </c>
      <c r="T263">
        <f ca="1"/>
        <v>0</v>
      </c>
      <c r="U263">
        <f ca="1"/>
        <v>0</v>
      </c>
      <c r="V263">
        <f ca="1"/>
        <v>0.99999787003724239</v>
      </c>
      <c r="X263" s="2">
        <f t="shared" ca="1" si="22"/>
        <v>45446</v>
      </c>
      <c r="Y263">
        <f t="shared" ca="1" si="23"/>
        <v>0</v>
      </c>
      <c r="AA263" s="63">
        <f t="shared" ca="1" si="25"/>
        <v>-270.92862415410696</v>
      </c>
      <c r="AB263" s="63">
        <f t="shared" ca="1" si="26"/>
        <v>-270.92862415410696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45447</v>
      </c>
      <c r="K264">
        <f ca="1"/>
        <v>-275.35535868761917</v>
      </c>
      <c r="L264">
        <f ca="1"/>
        <v>2.2073845249458941</v>
      </c>
      <c r="M264">
        <f ca="1"/>
        <v>1.5845578308653963E-2</v>
      </c>
      <c r="N264">
        <f ca="1"/>
        <v>7.2715392966329215E-2</v>
      </c>
      <c r="O264">
        <f ca="1"/>
        <v>0</v>
      </c>
      <c r="P264">
        <f ca="1"/>
        <v>304.98026969420204</v>
      </c>
      <c r="Q264">
        <f ca="1"/>
        <v>260.31788710300088</v>
      </c>
      <c r="R264">
        <f ca="1"/>
        <v>0</v>
      </c>
      <c r="S264">
        <f ca="1"/>
        <v>0.47876769756585519</v>
      </c>
      <c r="T264">
        <f ca="1"/>
        <v>0</v>
      </c>
      <c r="U264">
        <f ca="1"/>
        <v>0</v>
      </c>
      <c r="V264">
        <f ca="1"/>
        <v>0.99999803979585822</v>
      </c>
      <c r="X264" s="2">
        <f t="shared" ca="1" si="22"/>
        <v>45447</v>
      </c>
      <c r="Y264">
        <f t="shared" ca="1" si="23"/>
        <v>0</v>
      </c>
      <c r="AA264" s="63">
        <f t="shared" ca="1" si="25"/>
        <v>-273.14797416267328</v>
      </c>
      <c r="AB264" s="63">
        <f t="shared" ca="1" si="26"/>
        <v>-273.14797416267328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45448</v>
      </c>
      <c r="K265">
        <f ca="1"/>
        <v>-277.1119777470015</v>
      </c>
      <c r="L265">
        <f ca="1"/>
        <v>1.8434943783259428</v>
      </c>
      <c r="M265">
        <f ca="1"/>
        <v>1.651472901137474E-2</v>
      </c>
      <c r="N265">
        <f ca="1"/>
        <v>7.0360589932224216E-2</v>
      </c>
      <c r="O265">
        <f ca="1"/>
        <v>0</v>
      </c>
      <c r="P265">
        <f ca="1"/>
        <v>306.82376407252798</v>
      </c>
      <c r="Q265">
        <f ca="1"/>
        <v>261.89141368533768</v>
      </c>
      <c r="R265">
        <f ca="1"/>
        <v>0</v>
      </c>
      <c r="S265">
        <f ca="1"/>
        <v>0.48210104635904333</v>
      </c>
      <c r="T265">
        <f ca="1"/>
        <v>0</v>
      </c>
      <c r="U265">
        <f ca="1"/>
        <v>0</v>
      </c>
      <c r="V265">
        <f ca="1"/>
        <v>0.99999817271977454</v>
      </c>
      <c r="X265" s="2">
        <f t="shared" ca="1" si="22"/>
        <v>45448</v>
      </c>
      <c r="Y265">
        <f t="shared" ca="1" si="23"/>
        <v>0</v>
      </c>
      <c r="AA265" s="63">
        <f t="shared" ca="1" si="25"/>
        <v>-275.26848336867556</v>
      </c>
      <c r="AB265" s="63">
        <f t="shared" ca="1" si="26"/>
        <v>-275.26848336867556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45449</v>
      </c>
      <c r="K266">
        <f ca="1"/>
        <v>-279.05710521177059</v>
      </c>
      <c r="L266">
        <f ca="1"/>
        <v>2.0366604530808559</v>
      </c>
      <c r="M266">
        <f ca="1"/>
        <v>1.8179740119101062E-2</v>
      </c>
      <c r="N266">
        <f ca="1"/>
        <v>7.3353248192686973E-2</v>
      </c>
      <c r="O266">
        <f ca="1"/>
        <v>0</v>
      </c>
      <c r="P266">
        <f ca="1"/>
        <v>308.86042452560883</v>
      </c>
      <c r="Q266">
        <f ca="1"/>
        <v>263.62981842353224</v>
      </c>
      <c r="R266">
        <f ca="1"/>
        <v>0</v>
      </c>
      <c r="S266">
        <f ca="1"/>
        <v>0.49543439516121507</v>
      </c>
      <c r="T266">
        <f ca="1"/>
        <v>0</v>
      </c>
      <c r="U266">
        <f ca="1"/>
        <v>0</v>
      </c>
      <c r="V266">
        <f ca="1"/>
        <v>0.99999831071887191</v>
      </c>
      <c r="X266" s="2">
        <f t="shared" ca="1" si="22"/>
        <v>45449</v>
      </c>
      <c r="Y266">
        <f t="shared" ca="1" si="23"/>
        <v>0</v>
      </c>
      <c r="AA266" s="63">
        <f t="shared" ca="1" si="25"/>
        <v>-277.02044475868973</v>
      </c>
      <c r="AB266" s="63">
        <f t="shared" ca="1" si="26"/>
        <v>-277.02044475868973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45450</v>
      </c>
      <c r="K267">
        <f ca="1"/>
        <v>-281.48583912336841</v>
      </c>
      <c r="L267">
        <f ca="1"/>
        <v>2.5277469407942021</v>
      </c>
      <c r="M267">
        <f ca="1"/>
        <v>2.0045403488639479E-2</v>
      </c>
      <c r="N267">
        <f ca="1"/>
        <v>7.8967625707718453E-2</v>
      </c>
      <c r="O267">
        <f ca="1"/>
        <v>0</v>
      </c>
      <c r="P267">
        <f ca="1"/>
        <v>311.38817146640304</v>
      </c>
      <c r="Q267">
        <f ca="1"/>
        <v>265.78739321818506</v>
      </c>
      <c r="R267">
        <f ca="1"/>
        <v>0</v>
      </c>
      <c r="S267">
        <f ca="1"/>
        <v>0.50702861227052398</v>
      </c>
      <c r="T267">
        <f ca="1"/>
        <v>0</v>
      </c>
      <c r="U267">
        <f ca="1"/>
        <v>0</v>
      </c>
      <c r="V267">
        <f ca="1"/>
        <v>0.99999846981134288</v>
      </c>
      <c r="X267" s="2">
        <f t="shared" ref="X267:X330" ca="1" si="29">IFERROR(J267,$X$9)</f>
        <v>45450</v>
      </c>
      <c r="Y267">
        <f t="shared" ref="Y267:Y330" ca="1" si="30">IFERROR(O267,0)</f>
        <v>0</v>
      </c>
      <c r="AA267" s="63">
        <f t="shared" ca="1" si="25"/>
        <v>-278.95809218257421</v>
      </c>
      <c r="AB267" s="63">
        <f t="shared" ca="1" si="26"/>
        <v>-278.95809218257421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45451</v>
      </c>
      <c r="K268">
        <f ca="1"/>
        <v>-284.06620686918592</v>
      </c>
      <c r="L268">
        <f ca="1"/>
        <v>2.6828398333779546</v>
      </c>
      <c r="M268">
        <f ca="1"/>
        <v>2.1341889200773068E-2</v>
      </c>
      <c r="N268">
        <f ca="1"/>
        <v>8.113019835971054E-2</v>
      </c>
      <c r="O268">
        <f ca="1"/>
        <v>0</v>
      </c>
      <c r="P268">
        <f ca="1"/>
        <v>314.07101129978099</v>
      </c>
      <c r="Q268">
        <f ca="1"/>
        <v>268.07734855713522</v>
      </c>
      <c r="R268">
        <f ca="1"/>
        <v>0</v>
      </c>
      <c r="S268">
        <f ca="1"/>
        <v>0.51050688532266753</v>
      </c>
      <c r="T268">
        <f ca="1"/>
        <v>0</v>
      </c>
      <c r="U268">
        <f ca="1"/>
        <v>0</v>
      </c>
      <c r="V268">
        <f ca="1"/>
        <v>0.99999862486636582</v>
      </c>
      <c r="X268" s="2">
        <f t="shared" ca="1" si="29"/>
        <v>45451</v>
      </c>
      <c r="Y268">
        <f t="shared" ca="1" si="30"/>
        <v>0</v>
      </c>
      <c r="AA268" s="63">
        <f t="shared" ca="1" si="25"/>
        <v>-281.38336703580796</v>
      </c>
      <c r="AB268" s="63">
        <f t="shared" ca="1" si="26"/>
        <v>-281.38336703580796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45452</v>
      </c>
      <c r="K269">
        <f ca="1"/>
        <v>-286.59470577278688</v>
      </c>
      <c r="L269">
        <f ca="1"/>
        <v>2.6331750113454291</v>
      </c>
      <c r="M269">
        <f ca="1"/>
        <v>2.2310187673022064E-2</v>
      </c>
      <c r="N269">
        <f ca="1"/>
        <v>8.2365920071398216E-2</v>
      </c>
      <c r="O269">
        <f ca="1"/>
        <v>0</v>
      </c>
      <c r="P269">
        <f ca="1"/>
        <v>316.70418631112642</v>
      </c>
      <c r="Q269">
        <f ca="1"/>
        <v>270.32491216514552</v>
      </c>
      <c r="R269">
        <f ca="1"/>
        <v>0</v>
      </c>
      <c r="S269">
        <f ca="1"/>
        <v>0.52195617024082519</v>
      </c>
      <c r="T269">
        <f ca="1"/>
        <v>0</v>
      </c>
      <c r="U269">
        <f ca="1"/>
        <v>0</v>
      </c>
      <c r="V269">
        <f ca="1"/>
        <v>0.99999876420958089</v>
      </c>
      <c r="X269" s="2">
        <f t="shared" ca="1" si="29"/>
        <v>45452</v>
      </c>
      <c r="Y269">
        <f t="shared" ca="1" si="30"/>
        <v>0</v>
      </c>
      <c r="AA269" s="63">
        <f t="shared" ca="1" si="25"/>
        <v>-283.96153076144145</v>
      </c>
      <c r="AB269" s="63">
        <f t="shared" ca="1" si="26"/>
        <v>-283.96153076144145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45453</v>
      </c>
      <c r="K270">
        <f ca="1"/>
        <v>-288.87557222043489</v>
      </c>
      <c r="L270">
        <f ca="1"/>
        <v>2.3842292839635206</v>
      </c>
      <c r="M270">
        <f ca="1"/>
        <v>2.2879553463091007E-2</v>
      </c>
      <c r="N270">
        <f ca="1"/>
        <v>8.0483282852401625E-2</v>
      </c>
      <c r="O270">
        <f ca="1"/>
        <v>0</v>
      </c>
      <c r="P270">
        <f ca="1"/>
        <v>319.08841559508994</v>
      </c>
      <c r="Q270">
        <f ca="1"/>
        <v>272.3599865330475</v>
      </c>
      <c r="R270">
        <f ca="1"/>
        <v>0</v>
      </c>
      <c r="S270">
        <f ca="1"/>
        <v>0.52224603508883405</v>
      </c>
      <c r="T270">
        <f ca="1"/>
        <v>0</v>
      </c>
      <c r="U270">
        <f ca="1"/>
        <v>0</v>
      </c>
      <c r="V270">
        <f ca="1"/>
        <v>0.99999888017073923</v>
      </c>
      <c r="X270" s="2">
        <f t="shared" ca="1" si="29"/>
        <v>45453</v>
      </c>
      <c r="Y270">
        <f t="shared" ca="1" si="30"/>
        <v>0</v>
      </c>
      <c r="AA270" s="63">
        <f t="shared" ca="1" si="25"/>
        <v>-286.49134293647137</v>
      </c>
      <c r="AB270" s="63">
        <f t="shared" ca="1" si="26"/>
        <v>-286.49134293647137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45454</v>
      </c>
      <c r="K271">
        <f ca="1"/>
        <v>-291.18785515935792</v>
      </c>
      <c r="L271">
        <f ca="1"/>
        <v>2.4216036357460666</v>
      </c>
      <c r="M271">
        <f ca="1"/>
        <v>2.3893057031639131E-2</v>
      </c>
      <c r="N271">
        <f ca="1"/>
        <v>8.5427639791446505E-2</v>
      </c>
      <c r="O271">
        <f ca="1"/>
        <v>0</v>
      </c>
      <c r="P271">
        <f ca="1"/>
        <v>321.51001923083601</v>
      </c>
      <c r="Q271">
        <f ca="1"/>
        <v>274.42696202129935</v>
      </c>
      <c r="R271">
        <f ca="1"/>
        <v>0</v>
      </c>
      <c r="S271">
        <f ca="1"/>
        <v>0.5599272036820877</v>
      </c>
      <c r="T271">
        <f ca="1"/>
        <v>0</v>
      </c>
      <c r="U271">
        <f ca="1"/>
        <v>0</v>
      </c>
      <c r="V271">
        <f ca="1"/>
        <v>0.99999898869262926</v>
      </c>
      <c r="X271" s="2">
        <f t="shared" ca="1" si="29"/>
        <v>45454</v>
      </c>
      <c r="Y271">
        <f t="shared" ca="1" si="30"/>
        <v>0</v>
      </c>
      <c r="AA271" s="63">
        <f t="shared" ca="1" si="25"/>
        <v>-288.76625152361186</v>
      </c>
      <c r="AB271" s="63">
        <f t="shared" ca="1" si="26"/>
        <v>-288.76625152361186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45455</v>
      </c>
      <c r="K272">
        <f ca="1"/>
        <v>-292.7355287568318</v>
      </c>
      <c r="L272">
        <f ca="1"/>
        <v>1.6503992414795334</v>
      </c>
      <c r="M272">
        <f ca="1"/>
        <v>2.3325019477692166E-2</v>
      </c>
      <c r="N272">
        <f ca="1"/>
        <v>7.9400624527975125E-2</v>
      </c>
      <c r="O272">
        <f ca="1"/>
        <v>0</v>
      </c>
      <c r="P272">
        <f ca="1"/>
        <v>323.16041847231554</v>
      </c>
      <c r="Q272">
        <f ca="1"/>
        <v>275.83567099729032</v>
      </c>
      <c r="R272">
        <f ca="1"/>
        <v>0</v>
      </c>
      <c r="S272">
        <f ca="1"/>
        <v>0.57268083378237544</v>
      </c>
      <c r="T272">
        <f ca="1"/>
        <v>0</v>
      </c>
      <c r="U272">
        <f ca="1"/>
        <v>0</v>
      </c>
      <c r="V272">
        <f ca="1"/>
        <v>0.9999990576265575</v>
      </c>
      <c r="X272" s="2">
        <f t="shared" ca="1" si="29"/>
        <v>45455</v>
      </c>
      <c r="Y272">
        <f t="shared" ca="1" si="30"/>
        <v>0</v>
      </c>
      <c r="AA272" s="63">
        <f t="shared" ref="AA272:AA335" ca="1" si="32">K271+M272+N272+O272</f>
        <v>-291.08512951535226</v>
      </c>
      <c r="AB272" s="63">
        <f t="shared" ref="AB272:AB335" ca="1" si="33">K272+L272+R272</f>
        <v>-291.08512951535226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45456</v>
      </c>
      <c r="K273">
        <f ca="1"/>
        <v>-294.56723185346317</v>
      </c>
      <c r="L273">
        <f ca="1"/>
        <v>1.9394337953769991</v>
      </c>
      <c r="M273">
        <f ca="1"/>
        <v>2.4656116481528656E-2</v>
      </c>
      <c r="N273">
        <f ca="1"/>
        <v>8.3074582264103691E-2</v>
      </c>
      <c r="O273">
        <f ca="1"/>
        <v>0</v>
      </c>
      <c r="P273">
        <f ca="1"/>
        <v>325.09985226769254</v>
      </c>
      <c r="Q273">
        <f ca="1"/>
        <v>277.4910872912522</v>
      </c>
      <c r="R273">
        <f ca="1"/>
        <v>0</v>
      </c>
      <c r="S273">
        <f ca="1"/>
        <v>0.57702866662913821</v>
      </c>
      <c r="T273">
        <f ca="1"/>
        <v>0</v>
      </c>
      <c r="U273">
        <f ca="1"/>
        <v>0</v>
      </c>
      <c r="V273">
        <f ca="1"/>
        <v>0.99999913371575466</v>
      </c>
      <c r="X273" s="2">
        <f t="shared" ca="1" si="29"/>
        <v>45456</v>
      </c>
      <c r="Y273">
        <f t="shared" ca="1" si="30"/>
        <v>0</v>
      </c>
      <c r="AA273" s="63">
        <f t="shared" ca="1" si="32"/>
        <v>-292.62779805808617</v>
      </c>
      <c r="AB273" s="63">
        <f t="shared" ca="1" si="33"/>
        <v>-292.62779805808617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45457</v>
      </c>
      <c r="K274">
        <f ca="1"/>
        <v>-296.45538637429615</v>
      </c>
      <c r="L274">
        <f ca="1"/>
        <v>2.0015363341234433</v>
      </c>
      <c r="M274">
        <f ca="1"/>
        <v>2.5572460691239307E-2</v>
      </c>
      <c r="N274">
        <f ca="1"/>
        <v>8.7809352599184681E-2</v>
      </c>
      <c r="O274">
        <f ca="1"/>
        <v>0</v>
      </c>
      <c r="P274">
        <f ca="1"/>
        <v>327.10138860181598</v>
      </c>
      <c r="Q274">
        <f ca="1"/>
        <v>279.19951160991826</v>
      </c>
      <c r="R274">
        <f ca="1"/>
        <v>0</v>
      </c>
      <c r="S274">
        <f ca="1"/>
        <v>0.60963736796908119</v>
      </c>
      <c r="T274">
        <f ca="1"/>
        <v>0</v>
      </c>
      <c r="U274">
        <f ca="1"/>
        <v>0</v>
      </c>
      <c r="V274">
        <f ca="1"/>
        <v>0.99999920696153322</v>
      </c>
      <c r="X274" s="2">
        <f t="shared" ca="1" si="29"/>
        <v>45457</v>
      </c>
      <c r="Y274">
        <f t="shared" ca="1" si="30"/>
        <v>0</v>
      </c>
      <c r="AA274" s="63">
        <f t="shared" ca="1" si="32"/>
        <v>-294.45385004017271</v>
      </c>
      <c r="AB274" s="63">
        <f t="shared" ca="1" si="33"/>
        <v>-294.45385004017271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45458</v>
      </c>
      <c r="K275">
        <f ca="1"/>
        <v>-297.74549187055163</v>
      </c>
      <c r="L275">
        <f ca="1"/>
        <v>1.3990607423608594</v>
      </c>
      <c r="M275">
        <f ca="1"/>
        <v>2.5046874325028057E-2</v>
      </c>
      <c r="N275">
        <f ca="1"/>
        <v>8.3908371780358607E-2</v>
      </c>
      <c r="O275">
        <f ca="1"/>
        <v>0</v>
      </c>
      <c r="P275">
        <f ca="1"/>
        <v>328.50044934417684</v>
      </c>
      <c r="Q275">
        <f ca="1"/>
        <v>280.39368897996684</v>
      </c>
      <c r="R275">
        <f ca="1"/>
        <v>0</v>
      </c>
      <c r="S275">
        <f ca="1"/>
        <v>0.63152143040695474</v>
      </c>
      <c r="T275">
        <f ca="1"/>
        <v>0</v>
      </c>
      <c r="U275">
        <f ca="1"/>
        <v>0</v>
      </c>
      <c r="V275">
        <f ca="1"/>
        <v>0.99999925513557864</v>
      </c>
      <c r="X275" s="2">
        <f t="shared" ca="1" si="29"/>
        <v>45458</v>
      </c>
      <c r="Y275">
        <f t="shared" ca="1" si="30"/>
        <v>0</v>
      </c>
      <c r="AA275" s="63">
        <f t="shared" ca="1" si="32"/>
        <v>-296.34643112819077</v>
      </c>
      <c r="AB275" s="63">
        <f t="shared" ca="1" si="33"/>
        <v>-296.34643112819077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45459</v>
      </c>
      <c r="K276">
        <f ca="1"/>
        <v>-298.4909960226172</v>
      </c>
      <c r="L276">
        <f ca="1"/>
        <v>0.8510941250074211</v>
      </c>
      <c r="M276">
        <f ca="1"/>
        <v>2.4530620143925042E-2</v>
      </c>
      <c r="N276">
        <f ca="1"/>
        <v>8.1059352797908685E-2</v>
      </c>
      <c r="O276">
        <f ca="1"/>
        <v>0</v>
      </c>
      <c r="P276">
        <f ca="1"/>
        <v>329.35154346918426</v>
      </c>
      <c r="Q276">
        <f ca="1"/>
        <v>281.12014589001507</v>
      </c>
      <c r="R276">
        <f ca="1"/>
        <v>0</v>
      </c>
      <c r="S276">
        <f ca="1"/>
        <v>0.65963737653137899</v>
      </c>
      <c r="T276">
        <f ca="1"/>
        <v>0</v>
      </c>
      <c r="U276">
        <f ca="1"/>
        <v>0</v>
      </c>
      <c r="V276">
        <f ca="1"/>
        <v>0.99999928327340959</v>
      </c>
      <c r="X276" s="2">
        <f t="shared" ca="1" si="29"/>
        <v>45459</v>
      </c>
      <c r="Y276">
        <f t="shared" ca="1" si="30"/>
        <v>0</v>
      </c>
      <c r="AA276" s="63">
        <f t="shared" ca="1" si="32"/>
        <v>-297.63990189760978</v>
      </c>
      <c r="AB276" s="63">
        <f t="shared" ca="1" si="33"/>
        <v>-297.63990189760978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45460</v>
      </c>
      <c r="K277">
        <f ca="1"/>
        <v>-299.60116183355615</v>
      </c>
      <c r="L277">
        <f ca="1"/>
        <v>1.223333083801549</v>
      </c>
      <c r="M277">
        <f ca="1"/>
        <v>2.5886249376496195E-2</v>
      </c>
      <c r="N277">
        <f ca="1"/>
        <v>8.7281023486103435E-2</v>
      </c>
      <c r="O277">
        <f ca="1"/>
        <v>0</v>
      </c>
      <c r="P277">
        <f ca="1"/>
        <v>330.57487655298581</v>
      </c>
      <c r="Q277">
        <f ca="1"/>
        <v>282.16432977744392</v>
      </c>
      <c r="R277">
        <f ca="1"/>
        <v>0</v>
      </c>
      <c r="S277">
        <f ca="1"/>
        <v>0.67615911943978768</v>
      </c>
      <c r="T277">
        <f ca="1"/>
        <v>0</v>
      </c>
      <c r="U277">
        <f ca="1"/>
        <v>0</v>
      </c>
      <c r="V277">
        <f ca="1"/>
        <v>0.99999932222158217</v>
      </c>
      <c r="X277" s="2">
        <f t="shared" ca="1" si="29"/>
        <v>45460</v>
      </c>
      <c r="Y277">
        <f t="shared" ca="1" si="30"/>
        <v>0</v>
      </c>
      <c r="AA277" s="63">
        <f t="shared" ca="1" si="32"/>
        <v>-298.3778287497546</v>
      </c>
      <c r="AB277" s="63">
        <f t="shared" ca="1" si="33"/>
        <v>-298.3778287497546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45461</v>
      </c>
      <c r="K278">
        <f ca="1"/>
        <v>-300.61510417840122</v>
      </c>
      <c r="L278">
        <f ca="1"/>
        <v>1.1283293950517645</v>
      </c>
      <c r="M278">
        <f ca="1"/>
        <v>2.6247602445762297E-2</v>
      </c>
      <c r="N278">
        <f ca="1"/>
        <v>8.8139447760922682E-2</v>
      </c>
      <c r="O278">
        <f ca="1"/>
        <v>0</v>
      </c>
      <c r="P278">
        <f ca="1"/>
        <v>331.70320594803758</v>
      </c>
      <c r="Q278">
        <f ca="1"/>
        <v>283.12742265020779</v>
      </c>
      <c r="R278">
        <f ca="1"/>
        <v>0</v>
      </c>
      <c r="S278">
        <f ca="1"/>
        <v>0.69195622421058256</v>
      </c>
      <c r="T278">
        <f ca="1"/>
        <v>0</v>
      </c>
      <c r="U278">
        <f ca="1"/>
        <v>0</v>
      </c>
      <c r="V278">
        <f ca="1"/>
        <v>0.99999935662892248</v>
      </c>
      <c r="X278" s="2">
        <f t="shared" ca="1" si="29"/>
        <v>45461</v>
      </c>
      <c r="Y278">
        <f t="shared" ca="1" si="30"/>
        <v>0</v>
      </c>
      <c r="AA278" s="63">
        <f t="shared" ca="1" si="32"/>
        <v>-299.48677478334946</v>
      </c>
      <c r="AB278" s="63">
        <f t="shared" ca="1" si="33"/>
        <v>-299.48677478334946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45462</v>
      </c>
      <c r="K279">
        <f ca="1"/>
        <v>-301.66245779611734</v>
      </c>
      <c r="L279">
        <f ca="1"/>
        <v>1.1647047541207485</v>
      </c>
      <c r="M279">
        <f ca="1"/>
        <v>2.6875249615782693E-2</v>
      </c>
      <c r="N279">
        <f ca="1"/>
        <v>9.0475886788868046E-2</v>
      </c>
      <c r="O279">
        <f ca="1"/>
        <v>0</v>
      </c>
      <c r="P279">
        <f ca="1"/>
        <v>332.86791070215833</v>
      </c>
      <c r="Q279">
        <f ca="1"/>
        <v>284.12156394661213</v>
      </c>
      <c r="R279">
        <f ca="1"/>
        <v>0</v>
      </c>
      <c r="S279">
        <f ca="1"/>
        <v>0.70659390836231994</v>
      </c>
      <c r="T279">
        <f ca="1"/>
        <v>0</v>
      </c>
      <c r="U279">
        <f ca="1"/>
        <v>0</v>
      </c>
      <c r="V279">
        <f ca="1"/>
        <v>0.99999939067137289</v>
      </c>
      <c r="X279" s="2">
        <f t="shared" ca="1" si="29"/>
        <v>45462</v>
      </c>
      <c r="Y279">
        <f t="shared" ca="1" si="30"/>
        <v>0</v>
      </c>
      <c r="AA279" s="63">
        <f t="shared" ca="1" si="32"/>
        <v>-300.49775304199659</v>
      </c>
      <c r="AB279" s="63">
        <f t="shared" ca="1" si="33"/>
        <v>-300.49775304199659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45463</v>
      </c>
      <c r="K280">
        <f ca="1"/>
        <v>-302.78860829940493</v>
      </c>
      <c r="L280">
        <f ca="1"/>
        <v>1.2471752898322848</v>
      </c>
      <c r="M280">
        <f ca="1"/>
        <v>2.7602453925236858E-2</v>
      </c>
      <c r="N280">
        <f ca="1"/>
        <v>9.3422332619446977E-2</v>
      </c>
      <c r="O280">
        <f ca="1"/>
        <v>0</v>
      </c>
      <c r="P280">
        <f ca="1"/>
        <v>334.11508599199061</v>
      </c>
      <c r="Q280">
        <f ca="1"/>
        <v>285.18609850362378</v>
      </c>
      <c r="R280">
        <f ca="1"/>
        <v>0</v>
      </c>
      <c r="S280">
        <f ca="1"/>
        <v>0.7206518819662181</v>
      </c>
      <c r="T280">
        <f ca="1"/>
        <v>0</v>
      </c>
      <c r="U280">
        <f ca="1"/>
        <v>0</v>
      </c>
      <c r="V280">
        <f ca="1"/>
        <v>0.9999994255210306</v>
      </c>
      <c r="X280" s="2">
        <f t="shared" ca="1" si="29"/>
        <v>45463</v>
      </c>
      <c r="Y280">
        <f t="shared" ca="1" si="30"/>
        <v>0</v>
      </c>
      <c r="AA280" s="63">
        <f t="shared" ca="1" si="32"/>
        <v>-301.54143300957264</v>
      </c>
      <c r="AB280" s="63">
        <f t="shared" ca="1" si="33"/>
        <v>-301.54143300957264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45464</v>
      </c>
      <c r="K281">
        <f ca="1"/>
        <v>-303.57220286427088</v>
      </c>
      <c r="L281">
        <f ca="1"/>
        <v>0.90182274294551235</v>
      </c>
      <c r="M281">
        <f ca="1"/>
        <v>2.7272265057675327E-2</v>
      </c>
      <c r="N281">
        <f ca="1"/>
        <v>9.0955913021888268E-2</v>
      </c>
      <c r="O281">
        <f ca="1"/>
        <v>0</v>
      </c>
      <c r="P281">
        <f ca="1"/>
        <v>335.01690873493612</v>
      </c>
      <c r="Q281">
        <f ca="1"/>
        <v>285.95585515450614</v>
      </c>
      <c r="R281">
        <f ca="1"/>
        <v>0</v>
      </c>
      <c r="S281">
        <f ca="1"/>
        <v>0.73615913061540339</v>
      </c>
      <c r="T281">
        <f ca="1"/>
        <v>0</v>
      </c>
      <c r="U281">
        <f ca="1"/>
        <v>0</v>
      </c>
      <c r="V281">
        <f ca="1"/>
        <v>0.99999944972102173</v>
      </c>
      <c r="X281" s="2">
        <f t="shared" ca="1" si="29"/>
        <v>45464</v>
      </c>
      <c r="Y281">
        <f t="shared" ca="1" si="30"/>
        <v>0</v>
      </c>
      <c r="AA281" s="63">
        <f t="shared" ca="1" si="32"/>
        <v>-302.67038012132537</v>
      </c>
      <c r="AB281" s="63">
        <f t="shared" ca="1" si="33"/>
        <v>-302.67038012132537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45465</v>
      </c>
      <c r="K282">
        <f ca="1"/>
        <v>-304.40061302185251</v>
      </c>
      <c r="L282">
        <f ca="1"/>
        <v>0.94837215788180629</v>
      </c>
      <c r="M282">
        <f ca="1"/>
        <v>2.7842660075016568E-2</v>
      </c>
      <c r="N282">
        <f ca="1"/>
        <v>9.2119340225183297E-2</v>
      </c>
      <c r="O282">
        <f ca="1"/>
        <v>0</v>
      </c>
      <c r="P282">
        <f ca="1"/>
        <v>335.96528089281793</v>
      </c>
      <c r="Q282">
        <f ca="1"/>
        <v>286.76534436039691</v>
      </c>
      <c r="R282">
        <f ca="1"/>
        <v>0</v>
      </c>
      <c r="S282">
        <f ca="1"/>
        <v>0.73978232137312216</v>
      </c>
      <c r="T282">
        <f ca="1"/>
        <v>0</v>
      </c>
      <c r="U282">
        <f ca="1"/>
        <v>0</v>
      </c>
      <c r="V282">
        <f ca="1"/>
        <v>0.9999994742927053</v>
      </c>
      <c r="X282" s="2">
        <f t="shared" ca="1" si="29"/>
        <v>45465</v>
      </c>
      <c r="Y282">
        <f t="shared" ca="1" si="30"/>
        <v>0</v>
      </c>
      <c r="AA282" s="63">
        <f t="shared" ca="1" si="32"/>
        <v>-303.4522408639707</v>
      </c>
      <c r="AB282" s="63">
        <f t="shared" ca="1" si="33"/>
        <v>-303.4522408639707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45466</v>
      </c>
      <c r="K283">
        <f ca="1"/>
        <v>-305.44592339304296</v>
      </c>
      <c r="L283">
        <f ca="1"/>
        <v>1.1707884678511391</v>
      </c>
      <c r="M283">
        <f ca="1"/>
        <v>2.8859687360412778E-2</v>
      </c>
      <c r="N283">
        <f ca="1"/>
        <v>9.661840930026748E-2</v>
      </c>
      <c r="O283">
        <f ca="1"/>
        <v>0</v>
      </c>
      <c r="P283">
        <f ca="1"/>
        <v>337.13606936066907</v>
      </c>
      <c r="Q283">
        <f ca="1"/>
        <v>287.76467845011081</v>
      </c>
      <c r="R283">
        <f ca="1"/>
        <v>0</v>
      </c>
      <c r="S283">
        <f ca="1"/>
        <v>0.75036203348441122</v>
      </c>
      <c r="T283">
        <f ca="1"/>
        <v>0</v>
      </c>
      <c r="U283">
        <f ca="1"/>
        <v>0</v>
      </c>
      <c r="V283">
        <f ca="1"/>
        <v>0.99999950342329391</v>
      </c>
      <c r="X283" s="2">
        <f t="shared" ca="1" si="29"/>
        <v>45466</v>
      </c>
      <c r="Y283">
        <f t="shared" ca="1" si="30"/>
        <v>0</v>
      </c>
      <c r="AA283" s="63">
        <f t="shared" ca="1" si="32"/>
        <v>-304.27513492519182</v>
      </c>
      <c r="AB283" s="63">
        <f t="shared" ca="1" si="33"/>
        <v>-304.27513492519182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45467</v>
      </c>
      <c r="K284">
        <f ca="1"/>
        <v>-306.42364487229031</v>
      </c>
      <c r="L284">
        <f ca="1"/>
        <v>1.1033975059846171</v>
      </c>
      <c r="M284">
        <f ca="1"/>
        <v>2.9132948565708361E-2</v>
      </c>
      <c r="N284">
        <f ca="1"/>
        <v>9.6543078171580865E-2</v>
      </c>
      <c r="O284">
        <f ca="1"/>
        <v>0</v>
      </c>
      <c r="P284">
        <f ca="1"/>
        <v>338.23946686665369</v>
      </c>
      <c r="Q284">
        <f ca="1"/>
        <v>288.70649054726925</v>
      </c>
      <c r="R284">
        <f ca="1"/>
        <v>0</v>
      </c>
      <c r="S284">
        <f ca="1"/>
        <v>0.75572435423069717</v>
      </c>
      <c r="T284">
        <f ca="1"/>
        <v>0</v>
      </c>
      <c r="U284">
        <f ca="1"/>
        <v>0</v>
      </c>
      <c r="V284">
        <f ca="1"/>
        <v>0.99999952969847272</v>
      </c>
      <c r="X284" s="2">
        <f t="shared" ca="1" si="29"/>
        <v>45467</v>
      </c>
      <c r="Y284">
        <f t="shared" ca="1" si="30"/>
        <v>0</v>
      </c>
      <c r="AA284" s="63">
        <f t="shared" ca="1" si="32"/>
        <v>-305.32024736630569</v>
      </c>
      <c r="AB284" s="63">
        <f t="shared" ca="1" si="33"/>
        <v>-305.32024736630569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45468</v>
      </c>
      <c r="K285">
        <f ca="1"/>
        <v>-307.57272541173654</v>
      </c>
      <c r="L285">
        <f ca="1"/>
        <v>1.2786835638030425</v>
      </c>
      <c r="M285">
        <f ca="1"/>
        <v>3.0044497189290809E-2</v>
      </c>
      <c r="N285">
        <f ca="1"/>
        <v>9.955852716753652E-2</v>
      </c>
      <c r="O285">
        <f ca="1"/>
        <v>0</v>
      </c>
      <c r="P285">
        <f ca="1"/>
        <v>339.51815043045673</v>
      </c>
      <c r="Q285">
        <f ca="1"/>
        <v>289.79791919587103</v>
      </c>
      <c r="R285">
        <f ca="1"/>
        <v>0</v>
      </c>
      <c r="S285">
        <f ca="1"/>
        <v>0.75789826908616864</v>
      </c>
      <c r="T285">
        <f ca="1"/>
        <v>0</v>
      </c>
      <c r="U285">
        <f ca="1"/>
        <v>0</v>
      </c>
      <c r="V285">
        <f ca="1"/>
        <v>0.99999955876751079</v>
      </c>
      <c r="X285" s="2">
        <f t="shared" ca="1" si="29"/>
        <v>45468</v>
      </c>
      <c r="Y285">
        <f t="shared" ca="1" si="30"/>
        <v>0</v>
      </c>
      <c r="AA285" s="63">
        <f t="shared" ca="1" si="32"/>
        <v>-306.2940418479335</v>
      </c>
      <c r="AB285" s="63">
        <f t="shared" ca="1" si="33"/>
        <v>-306.2940418479335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45469</v>
      </c>
      <c r="K286">
        <f ca="1"/>
        <v>-308.33044282242531</v>
      </c>
      <c r="L286">
        <f ca="1"/>
        <v>0.8824244492014941</v>
      </c>
      <c r="M286">
        <f ca="1"/>
        <v>2.9366947814953193E-2</v>
      </c>
      <c r="N286">
        <f ca="1"/>
        <v>9.534009069778146E-2</v>
      </c>
      <c r="O286">
        <f ca="1"/>
        <v>0</v>
      </c>
      <c r="P286">
        <f ca="1"/>
        <v>340.40057487965822</v>
      </c>
      <c r="Q286">
        <f ca="1"/>
        <v>290.55111830732329</v>
      </c>
      <c r="R286">
        <f ca="1"/>
        <v>0</v>
      </c>
      <c r="S286">
        <f ca="1"/>
        <v>0.7684779808302602</v>
      </c>
      <c r="T286">
        <f ca="1"/>
        <v>0</v>
      </c>
      <c r="U286">
        <f ca="1"/>
        <v>0</v>
      </c>
      <c r="V286">
        <f ca="1"/>
        <v>0.99999957799224037</v>
      </c>
      <c r="X286" s="2">
        <f t="shared" ca="1" si="29"/>
        <v>45469</v>
      </c>
      <c r="Y286">
        <f t="shared" ca="1" si="30"/>
        <v>0</v>
      </c>
      <c r="AA286" s="63">
        <f t="shared" ca="1" si="32"/>
        <v>-307.44801837322382</v>
      </c>
      <c r="AB286" s="63">
        <f t="shared" ca="1" si="33"/>
        <v>-307.44801837322382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45470</v>
      </c>
      <c r="K287">
        <f ca="1"/>
        <v>-308.88955547406727</v>
      </c>
      <c r="L287">
        <f ca="1"/>
        <v>0.68208720384126309</v>
      </c>
      <c r="M287">
        <f ca="1"/>
        <v>2.9175010251822897E-2</v>
      </c>
      <c r="N287">
        <f ca="1"/>
        <v>9.3799541947472961E-2</v>
      </c>
      <c r="O287">
        <f ca="1"/>
        <v>0</v>
      </c>
      <c r="P287">
        <f ca="1"/>
        <v>341.08266208349949</v>
      </c>
      <c r="Q287">
        <f ca="1"/>
        <v>291.13331826374019</v>
      </c>
      <c r="R287">
        <f ca="1"/>
        <v>0</v>
      </c>
      <c r="S287">
        <f ca="1"/>
        <v>0.7786229097478331</v>
      </c>
      <c r="T287">
        <f ca="1"/>
        <v>0</v>
      </c>
      <c r="U287">
        <f ca="1"/>
        <v>0</v>
      </c>
      <c r="V287">
        <f ca="1"/>
        <v>0.99999959239800784</v>
      </c>
      <c r="X287" s="2">
        <f t="shared" ca="1" si="29"/>
        <v>45470</v>
      </c>
      <c r="Y287">
        <f t="shared" ca="1" si="30"/>
        <v>0</v>
      </c>
      <c r="AA287" s="63">
        <f t="shared" ca="1" si="32"/>
        <v>-308.207468270226</v>
      </c>
      <c r="AB287" s="63">
        <f t="shared" ca="1" si="33"/>
        <v>-308.207468270226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45471</v>
      </c>
      <c r="K288">
        <f ca="1"/>
        <v>-309.60473662612503</v>
      </c>
      <c r="L288">
        <f ca="1"/>
        <v>0.84535500447992717</v>
      </c>
      <c r="M288">
        <f ca="1"/>
        <v>2.9964487627735181E-2</v>
      </c>
      <c r="N288">
        <f ca="1"/>
        <v>0.10020936479438397</v>
      </c>
      <c r="O288">
        <f ca="1"/>
        <v>0</v>
      </c>
      <c r="P288">
        <f ca="1"/>
        <v>341.92801708797941</v>
      </c>
      <c r="Q288">
        <f ca="1"/>
        <v>291.85487651024187</v>
      </c>
      <c r="R288">
        <f ca="1"/>
        <v>0</v>
      </c>
      <c r="S288">
        <f ca="1"/>
        <v>0.80920262119502162</v>
      </c>
      <c r="T288">
        <f ca="1"/>
        <v>0</v>
      </c>
      <c r="U288">
        <f ca="1"/>
        <v>0</v>
      </c>
      <c r="V288">
        <f ca="1"/>
        <v>0.99999960971566115</v>
      </c>
      <c r="X288" s="2">
        <f t="shared" ca="1" si="29"/>
        <v>45471</v>
      </c>
      <c r="Y288">
        <f t="shared" ca="1" si="30"/>
        <v>0</v>
      </c>
      <c r="AA288" s="63">
        <f t="shared" ca="1" si="32"/>
        <v>-308.7593816216451</v>
      </c>
      <c r="AB288" s="63">
        <f t="shared" ca="1" si="33"/>
        <v>-308.7593816216451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45472</v>
      </c>
      <c r="K289">
        <f ca="1"/>
        <v>-310.55106071847416</v>
      </c>
      <c r="L289">
        <f ca="1"/>
        <v>1.0833401228262005</v>
      </c>
      <c r="M289">
        <f ca="1"/>
        <v>3.0996576789542374E-2</v>
      </c>
      <c r="N289">
        <f ca="1"/>
        <v>0.10601945368751799</v>
      </c>
      <c r="O289">
        <f ca="1"/>
        <v>0</v>
      </c>
      <c r="P289">
        <f ca="1"/>
        <v>343.01135721080561</v>
      </c>
      <c r="Q289">
        <f ca="1"/>
        <v>292.77956849792616</v>
      </c>
      <c r="R289">
        <f ca="1"/>
        <v>0</v>
      </c>
      <c r="S289">
        <f ca="1"/>
        <v>0.82311566591789598</v>
      </c>
      <c r="T289">
        <f ca="1"/>
        <v>0</v>
      </c>
      <c r="U289">
        <f ca="1"/>
        <v>0</v>
      </c>
      <c r="V289">
        <f ca="1"/>
        <v>0.99999963106370893</v>
      </c>
      <c r="X289" s="2">
        <f t="shared" ca="1" si="29"/>
        <v>45472</v>
      </c>
      <c r="Y289">
        <f t="shared" ca="1" si="30"/>
        <v>0</v>
      </c>
      <c r="AA289" s="63">
        <f t="shared" ca="1" si="32"/>
        <v>-309.46772059564796</v>
      </c>
      <c r="AB289" s="63">
        <f t="shared" ca="1" si="33"/>
        <v>-309.46772059564796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45473</v>
      </c>
      <c r="K290">
        <f ca="1"/>
        <v>-310.99880445401334</v>
      </c>
      <c r="L290">
        <f ca="1"/>
        <v>0.57611464701517434</v>
      </c>
      <c r="M290">
        <f ca="1"/>
        <v>2.9832296912209344E-2</v>
      </c>
      <c r="N290">
        <f ca="1"/>
        <v>9.8538614563756566E-2</v>
      </c>
      <c r="O290">
        <f ca="1"/>
        <v>0</v>
      </c>
      <c r="P290">
        <f ca="1"/>
        <v>343.58747185782079</v>
      </c>
      <c r="Q290">
        <f ca="1"/>
        <v>293.27131489119432</v>
      </c>
      <c r="R290">
        <f ca="1"/>
        <v>0</v>
      </c>
      <c r="S290">
        <f ca="1"/>
        <v>0.8270287103963907</v>
      </c>
      <c r="T290">
        <f ca="1"/>
        <v>0</v>
      </c>
      <c r="U290">
        <f ca="1"/>
        <v>0</v>
      </c>
      <c r="V290">
        <f ca="1"/>
        <v>0.99999964203980629</v>
      </c>
      <c r="X290" s="2">
        <f t="shared" ca="1" si="29"/>
        <v>45473</v>
      </c>
      <c r="Y290">
        <f t="shared" ca="1" si="30"/>
        <v>0</v>
      </c>
      <c r="AA290" s="63">
        <f t="shared" ca="1" si="32"/>
        <v>-310.42268980699816</v>
      </c>
      <c r="AB290" s="63">
        <f t="shared" ca="1" si="33"/>
        <v>-310.42268980699816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45474</v>
      </c>
      <c r="K291">
        <f ca="1"/>
        <v>-311.21020982370209</v>
      </c>
      <c r="L291">
        <f ca="1"/>
        <v>0.33666602998903272</v>
      </c>
      <c r="M291">
        <f ca="1"/>
        <v>2.9410607902011776E-2</v>
      </c>
      <c r="N291">
        <f ca="1"/>
        <v>9.5850052398249092E-2</v>
      </c>
      <c r="O291">
        <f ca="1"/>
        <v>0</v>
      </c>
      <c r="P291">
        <f ca="1"/>
        <v>343.92413788780982</v>
      </c>
      <c r="Q291">
        <f ca="1"/>
        <v>293.55867836449045</v>
      </c>
      <c r="R291">
        <f ca="1"/>
        <v>0</v>
      </c>
      <c r="S291">
        <f ca="1"/>
        <v>0.83514465339509614</v>
      </c>
      <c r="T291">
        <f ca="1"/>
        <v>0</v>
      </c>
      <c r="U291">
        <f ca="1"/>
        <v>0</v>
      </c>
      <c r="V291">
        <f ca="1"/>
        <v>0.99999964833535615</v>
      </c>
      <c r="X291" s="2">
        <f t="shared" ca="1" si="29"/>
        <v>45474</v>
      </c>
      <c r="Y291">
        <f t="shared" ca="1" si="30"/>
        <v>0</v>
      </c>
      <c r="AA291" s="63">
        <f t="shared" ca="1" si="32"/>
        <v>-310.87354379371305</v>
      </c>
      <c r="AB291" s="63">
        <f t="shared" ca="1" si="33"/>
        <v>-310.87354379371305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45475</v>
      </c>
      <c r="K292">
        <f ca="1"/>
        <v>-311.79532615900627</v>
      </c>
      <c r="L292">
        <f ca="1"/>
        <v>0.71897383718584251</v>
      </c>
      <c r="M292">
        <f ca="1"/>
        <v>3.0782494526505388E-2</v>
      </c>
      <c r="N292">
        <f ca="1"/>
        <v>0.10307500735511588</v>
      </c>
      <c r="O292">
        <f ca="1"/>
        <v>0</v>
      </c>
      <c r="P292">
        <f ca="1"/>
        <v>344.64311172499566</v>
      </c>
      <c r="Q292">
        <f ca="1"/>
        <v>294.17236314602144</v>
      </c>
      <c r="R292">
        <f ca="1"/>
        <v>0</v>
      </c>
      <c r="S292">
        <f ca="1"/>
        <v>0.84326059637033779</v>
      </c>
      <c r="T292">
        <f ca="1"/>
        <v>0</v>
      </c>
      <c r="U292">
        <f ca="1"/>
        <v>0</v>
      </c>
      <c r="V292">
        <f ca="1"/>
        <v>0.99999966149199393</v>
      </c>
      <c r="X292" s="2">
        <f t="shared" ca="1" si="29"/>
        <v>45475</v>
      </c>
      <c r="Y292">
        <f t="shared" ca="1" si="30"/>
        <v>0</v>
      </c>
      <c r="AA292" s="63">
        <f t="shared" ca="1" si="32"/>
        <v>-311.07635232182048</v>
      </c>
      <c r="AB292" s="63">
        <f t="shared" ca="1" si="33"/>
        <v>-311.07635232182042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45476</v>
      </c>
      <c r="K293">
        <f ca="1"/>
        <v>-312.55244592140826</v>
      </c>
      <c r="L293">
        <f ca="1"/>
        <v>0.89536576215391506</v>
      </c>
      <c r="M293">
        <f ca="1"/>
        <v>3.158937657832972E-2</v>
      </c>
      <c r="N293">
        <f ca="1"/>
        <v>0.10665662317357982</v>
      </c>
      <c r="O293">
        <f ca="1"/>
        <v>0</v>
      </c>
      <c r="P293">
        <f ca="1"/>
        <v>345.53847748714958</v>
      </c>
      <c r="Q293">
        <f ca="1"/>
        <v>294.93660839907329</v>
      </c>
      <c r="R293">
        <f ca="1"/>
        <v>0</v>
      </c>
      <c r="S293">
        <f ca="1"/>
        <v>0.84688378561169986</v>
      </c>
      <c r="T293">
        <f ca="1"/>
        <v>0</v>
      </c>
      <c r="U293">
        <f ca="1"/>
        <v>0</v>
      </c>
      <c r="V293">
        <f ca="1"/>
        <v>0.99999967733915018</v>
      </c>
      <c r="X293" s="2">
        <f t="shared" ca="1" si="29"/>
        <v>45476</v>
      </c>
      <c r="Y293">
        <f t="shared" ca="1" si="30"/>
        <v>0</v>
      </c>
      <c r="AA293" s="63">
        <f t="shared" ca="1" si="32"/>
        <v>-311.65708015925435</v>
      </c>
      <c r="AB293" s="63">
        <f t="shared" ca="1" si="33"/>
        <v>-311.65708015925435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45477</v>
      </c>
      <c r="K294">
        <f ca="1"/>
        <v>-313.4830933029624</v>
      </c>
      <c r="L294">
        <f ca="1"/>
        <v>1.0727882911862139</v>
      </c>
      <c r="M294">
        <f ca="1"/>
        <v>3.24273060806064E-2</v>
      </c>
      <c r="N294">
        <f ca="1"/>
        <v>0.10971360355150271</v>
      </c>
      <c r="O294">
        <f ca="1"/>
        <v>0</v>
      </c>
      <c r="P294">
        <f ca="1"/>
        <v>346.61126577833579</v>
      </c>
      <c r="Q294">
        <f ca="1"/>
        <v>295.85229380242885</v>
      </c>
      <c r="R294">
        <f ca="1"/>
        <v>0</v>
      </c>
      <c r="S294">
        <f ca="1"/>
        <v>0.84528958359814277</v>
      </c>
      <c r="T294">
        <f ca="1"/>
        <v>0</v>
      </c>
      <c r="U294">
        <f ca="1"/>
        <v>0</v>
      </c>
      <c r="V294">
        <f ca="1"/>
        <v>0.99999969556349011</v>
      </c>
      <c r="X294" s="2">
        <f t="shared" ca="1" si="29"/>
        <v>45477</v>
      </c>
      <c r="Y294">
        <f t="shared" ca="1" si="30"/>
        <v>0</v>
      </c>
      <c r="AA294" s="63">
        <f t="shared" ca="1" si="32"/>
        <v>-312.41030501177619</v>
      </c>
      <c r="AB294" s="63">
        <f t="shared" ca="1" si="33"/>
        <v>-312.41030501177619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45478</v>
      </c>
      <c r="K295">
        <f ca="1"/>
        <v>-314.25463158718696</v>
      </c>
      <c r="L295">
        <f ca="1"/>
        <v>0.91514931853748749</v>
      </c>
      <c r="M295">
        <f ca="1"/>
        <v>3.2182134904839899E-2</v>
      </c>
      <c r="N295">
        <f ca="1"/>
        <v>0.11142889940808692</v>
      </c>
      <c r="O295">
        <f ca="1"/>
        <v>0</v>
      </c>
      <c r="P295">
        <f ca="1"/>
        <v>347.52641509687328</v>
      </c>
      <c r="Q295">
        <f ca="1"/>
        <v>296.63342543833539</v>
      </c>
      <c r="R295">
        <f ca="1"/>
        <v>0</v>
      </c>
      <c r="S295">
        <f ca="1"/>
        <v>0.87572436695338784</v>
      </c>
      <c r="T295">
        <f ca="1"/>
        <v>0</v>
      </c>
      <c r="U295">
        <f ca="1"/>
        <v>0</v>
      </c>
      <c r="V295">
        <f ca="1"/>
        <v>0.99999971047217062</v>
      </c>
      <c r="X295" s="2">
        <f t="shared" ca="1" si="29"/>
        <v>45478</v>
      </c>
      <c r="Y295">
        <f t="shared" ca="1" si="30"/>
        <v>0</v>
      </c>
      <c r="AA295" s="63">
        <f t="shared" ca="1" si="32"/>
        <v>-313.33948226864948</v>
      </c>
      <c r="AB295" s="63">
        <f t="shared" ca="1" si="33"/>
        <v>-313.33948226864948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45479</v>
      </c>
      <c r="K296">
        <f ca="1"/>
        <v>-314.51087993922994</v>
      </c>
      <c r="L296">
        <f ca="1"/>
        <v>0.38900038269872539</v>
      </c>
      <c r="M296">
        <f ca="1"/>
        <v>3.0722764113924939E-2</v>
      </c>
      <c r="N296">
        <f ca="1"/>
        <v>0.1020292665417953</v>
      </c>
      <c r="O296">
        <f ca="1"/>
        <v>0</v>
      </c>
      <c r="P296">
        <f ca="1"/>
        <v>347.915415479572</v>
      </c>
      <c r="Q296">
        <f ca="1"/>
        <v>296.96545923779365</v>
      </c>
      <c r="R296">
        <f ca="1"/>
        <v>0</v>
      </c>
      <c r="S296">
        <f ca="1"/>
        <v>0.87470987480710005</v>
      </c>
      <c r="T296">
        <f ca="1"/>
        <v>0</v>
      </c>
      <c r="U296">
        <f ca="1"/>
        <v>0</v>
      </c>
      <c r="V296">
        <f ca="1"/>
        <v>0.99999971663597964</v>
      </c>
      <c r="X296" s="2">
        <f t="shared" ca="1" si="29"/>
        <v>45479</v>
      </c>
      <c r="Y296">
        <f t="shared" ca="1" si="30"/>
        <v>0</v>
      </c>
      <c r="AA296" s="63">
        <f t="shared" ca="1" si="32"/>
        <v>-314.12187955653121</v>
      </c>
      <c r="AB296" s="63">
        <f t="shared" ca="1" si="33"/>
        <v>-314.12187955653121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45480</v>
      </c>
      <c r="K297">
        <f ca="1"/>
        <v>-314.53111193986018</v>
      </c>
      <c r="L297">
        <f ca="1"/>
        <v>0.14962730968329652</v>
      </c>
      <c r="M297">
        <f ca="1"/>
        <v>3.015528891421404E-2</v>
      </c>
      <c r="N297">
        <f ca="1"/>
        <v>9.9240020138847973E-2</v>
      </c>
      <c r="O297">
        <f ca="1"/>
        <v>0</v>
      </c>
      <c r="P297">
        <f ca="1"/>
        <v>348.0650427892553</v>
      </c>
      <c r="Q297">
        <f ca="1"/>
        <v>297.09317459836012</v>
      </c>
      <c r="R297">
        <f ca="1"/>
        <v>0</v>
      </c>
      <c r="S297">
        <f ca="1"/>
        <v>0.88499973043066216</v>
      </c>
      <c r="T297">
        <f ca="1"/>
        <v>0</v>
      </c>
      <c r="U297">
        <f ca="1"/>
        <v>0</v>
      </c>
      <c r="V297">
        <f ca="1"/>
        <v>0.99999971897974171</v>
      </c>
      <c r="X297" s="2">
        <f t="shared" ca="1" si="29"/>
        <v>45480</v>
      </c>
      <c r="Y297">
        <f t="shared" ca="1" si="30"/>
        <v>0</v>
      </c>
      <c r="AA297" s="63">
        <f t="shared" ca="1" si="32"/>
        <v>-314.38148463017689</v>
      </c>
      <c r="AB297" s="63">
        <f t="shared" ca="1" si="33"/>
        <v>-314.38148463017689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45481</v>
      </c>
      <c r="K298">
        <f ca="1"/>
        <v>-314.70985818469046</v>
      </c>
      <c r="L298">
        <f ca="1"/>
        <v>0.31193497331923936</v>
      </c>
      <c r="M298">
        <f ca="1"/>
        <v>3.0821153473306495E-2</v>
      </c>
      <c r="N298">
        <f ca="1"/>
        <v>0.10236757501567413</v>
      </c>
      <c r="O298">
        <f ca="1"/>
        <v>0</v>
      </c>
      <c r="P298">
        <f ca="1"/>
        <v>348.37697776257454</v>
      </c>
      <c r="Q298">
        <f ca="1"/>
        <v>297.35942871784607</v>
      </c>
      <c r="R298">
        <f ca="1"/>
        <v>0</v>
      </c>
      <c r="S298">
        <f ca="1"/>
        <v>0.8873185715443257</v>
      </c>
      <c r="T298">
        <f ca="1"/>
        <v>0</v>
      </c>
      <c r="U298">
        <f ca="1"/>
        <v>0</v>
      </c>
      <c r="V298">
        <f ca="1"/>
        <v>0.99999972381788049</v>
      </c>
      <c r="X298" s="2">
        <f t="shared" ca="1" si="29"/>
        <v>45481</v>
      </c>
      <c r="Y298">
        <f t="shared" ca="1" si="30"/>
        <v>0</v>
      </c>
      <c r="AA298" s="63">
        <f t="shared" ca="1" si="32"/>
        <v>-314.39792321137122</v>
      </c>
      <c r="AB298" s="63">
        <f t="shared" ca="1" si="33"/>
        <v>-314.39792321137122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45482</v>
      </c>
      <c r="K299">
        <f ca="1"/>
        <v>-315.02574927121361</v>
      </c>
      <c r="L299">
        <f ca="1"/>
        <v>0.45211209950309694</v>
      </c>
      <c r="M299">
        <f ca="1"/>
        <v>3.1426887877005427E-2</v>
      </c>
      <c r="N299">
        <f ca="1"/>
        <v>0.10479412510296014</v>
      </c>
      <c r="O299">
        <f ca="1"/>
        <v>0</v>
      </c>
      <c r="P299">
        <f ca="1"/>
        <v>348.82908986207764</v>
      </c>
      <c r="Q299">
        <f ca="1"/>
        <v>297.7453319324847</v>
      </c>
      <c r="R299">
        <f ca="1"/>
        <v>0</v>
      </c>
      <c r="S299">
        <f ca="1"/>
        <v>0.88659393438208056</v>
      </c>
      <c r="T299">
        <f ca="1"/>
        <v>0</v>
      </c>
      <c r="U299">
        <f ca="1"/>
        <v>0</v>
      </c>
      <c r="V299">
        <f ca="1"/>
        <v>0.99999973071611226</v>
      </c>
      <c r="X299" s="2">
        <f t="shared" ca="1" si="29"/>
        <v>45482</v>
      </c>
      <c r="Y299">
        <f t="shared" ca="1" si="30"/>
        <v>0</v>
      </c>
      <c r="AA299" s="63">
        <f t="shared" ca="1" si="32"/>
        <v>-314.57363717171052</v>
      </c>
      <c r="AB299" s="63">
        <f t="shared" ca="1" si="33"/>
        <v>-314.57363717171052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45483</v>
      </c>
      <c r="K300">
        <f ca="1"/>
        <v>-315.27880319932967</v>
      </c>
      <c r="L300">
        <f ca="1"/>
        <v>0.3892519557211358</v>
      </c>
      <c r="M300">
        <f ca="1"/>
        <v>3.1374084433297256E-2</v>
      </c>
      <c r="N300">
        <f ca="1"/>
        <v>0.10482394317174548</v>
      </c>
      <c r="O300">
        <f ca="1"/>
        <v>0</v>
      </c>
      <c r="P300">
        <f ca="1"/>
        <v>349.21834181779877</v>
      </c>
      <c r="Q300">
        <f ca="1"/>
        <v>298.07758046372783</v>
      </c>
      <c r="R300">
        <f ca="1"/>
        <v>0</v>
      </c>
      <c r="S300">
        <f ca="1"/>
        <v>0.89499973197714999</v>
      </c>
      <c r="T300">
        <f ca="1"/>
        <v>0</v>
      </c>
      <c r="U300">
        <f ca="1"/>
        <v>0</v>
      </c>
      <c r="V300">
        <f ca="1"/>
        <v>0.99999973654842356</v>
      </c>
      <c r="X300" s="2">
        <f t="shared" ca="1" si="29"/>
        <v>45483</v>
      </c>
      <c r="Y300">
        <f t="shared" ca="1" si="30"/>
        <v>0</v>
      </c>
      <c r="AA300" s="63">
        <f t="shared" ca="1" si="32"/>
        <v>-314.88955124360854</v>
      </c>
      <c r="AB300" s="63">
        <f t="shared" ca="1" si="33"/>
        <v>-314.88955124360854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45484</v>
      </c>
      <c r="K301">
        <f ca="1"/>
        <v>-315.68590236884768</v>
      </c>
      <c r="L301">
        <f ca="1"/>
        <v>0.54696050175419941</v>
      </c>
      <c r="M301">
        <f ca="1"/>
        <v>3.2035289368025133E-2</v>
      </c>
      <c r="N301">
        <f ca="1"/>
        <v>0.1078260428681769</v>
      </c>
      <c r="O301">
        <f ca="1"/>
        <v>0</v>
      </c>
      <c r="P301">
        <f ca="1"/>
        <v>349.76530231955297</v>
      </c>
      <c r="Q301">
        <f ca="1"/>
        <v>298.54444214723344</v>
      </c>
      <c r="R301">
        <f ca="1"/>
        <v>0</v>
      </c>
      <c r="S301">
        <f ca="1"/>
        <v>0.8954345150678148</v>
      </c>
      <c r="T301">
        <f ca="1"/>
        <v>0</v>
      </c>
      <c r="U301">
        <f ca="1"/>
        <v>0</v>
      </c>
      <c r="V301">
        <f ca="1"/>
        <v>0.99999974457921148</v>
      </c>
      <c r="X301" s="2">
        <f t="shared" ca="1" si="29"/>
        <v>45484</v>
      </c>
      <c r="Y301">
        <f t="shared" ca="1" si="30"/>
        <v>0</v>
      </c>
      <c r="AA301" s="63">
        <f t="shared" ca="1" si="32"/>
        <v>-315.13894186709348</v>
      </c>
      <c r="AB301" s="63">
        <f t="shared" ca="1" si="33"/>
        <v>-315.13894186709348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45485</v>
      </c>
      <c r="K302">
        <f ca="1"/>
        <v>-316.14004560064973</v>
      </c>
      <c r="L302">
        <f ca="1"/>
        <v>0.59580443036696806</v>
      </c>
      <c r="M302">
        <f ca="1"/>
        <v>3.2339797803514259E-2</v>
      </c>
      <c r="N302">
        <f ca="1"/>
        <v>0.10932140076143121</v>
      </c>
      <c r="O302">
        <f ca="1"/>
        <v>0</v>
      </c>
      <c r="P302">
        <f ca="1"/>
        <v>350.36110674991994</v>
      </c>
      <c r="Q302">
        <f ca="1"/>
        <v>299.05299488277689</v>
      </c>
      <c r="R302">
        <f ca="1"/>
        <v>0</v>
      </c>
      <c r="S302">
        <f ca="1"/>
        <v>0.89905770392258522</v>
      </c>
      <c r="T302">
        <f ca="1"/>
        <v>0</v>
      </c>
      <c r="U302">
        <f ca="1"/>
        <v>0</v>
      </c>
      <c r="V302">
        <f ca="1"/>
        <v>0.99999975311198031</v>
      </c>
      <c r="X302" s="2">
        <f t="shared" ca="1" si="29"/>
        <v>45485</v>
      </c>
      <c r="Y302">
        <f t="shared" ca="1" si="30"/>
        <v>0</v>
      </c>
      <c r="AA302" s="63">
        <f t="shared" ca="1" si="32"/>
        <v>-315.54424117028276</v>
      </c>
      <c r="AB302" s="63">
        <f t="shared" ca="1" si="33"/>
        <v>-315.54424117028276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45486</v>
      </c>
      <c r="K303">
        <f ca="1"/>
        <v>-316.75568124604285</v>
      </c>
      <c r="L303">
        <f ca="1"/>
        <v>0.76097946783511361</v>
      </c>
      <c r="M303">
        <f ca="1"/>
        <v>3.3047152878951991E-2</v>
      </c>
      <c r="N303">
        <f ca="1"/>
        <v>0.11229666956303389</v>
      </c>
      <c r="O303">
        <f ca="1"/>
        <v>0</v>
      </c>
      <c r="P303">
        <f ca="1"/>
        <v>351.12208621775505</v>
      </c>
      <c r="Q303">
        <f ca="1"/>
        <v>299.70253384276998</v>
      </c>
      <c r="R303">
        <f ca="1"/>
        <v>0</v>
      </c>
      <c r="S303">
        <f ca="1"/>
        <v>0.89688379125246775</v>
      </c>
      <c r="T303">
        <f ca="1"/>
        <v>0</v>
      </c>
      <c r="U303">
        <f ca="1"/>
        <v>0</v>
      </c>
      <c r="V303">
        <f ca="1"/>
        <v>0.9999997636906629</v>
      </c>
      <c r="X303" s="2">
        <f t="shared" ca="1" si="29"/>
        <v>45486</v>
      </c>
      <c r="Y303">
        <f t="shared" ca="1" si="30"/>
        <v>0</v>
      </c>
      <c r="AA303" s="63">
        <f t="shared" ca="1" si="32"/>
        <v>-315.99470177820774</v>
      </c>
      <c r="AB303" s="63">
        <f t="shared" ca="1" si="33"/>
        <v>-315.99470177820774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45487</v>
      </c>
      <c r="K304">
        <f ca="1"/>
        <v>-317.17403172678445</v>
      </c>
      <c r="L304">
        <f ca="1"/>
        <v>0.55914577103931151</v>
      </c>
      <c r="M304">
        <f ca="1"/>
        <v>3.2473277467785167E-2</v>
      </c>
      <c r="N304">
        <f ca="1"/>
        <v>0.10832201282994688</v>
      </c>
      <c r="O304">
        <f ca="1"/>
        <v>0</v>
      </c>
      <c r="P304">
        <f ca="1"/>
        <v>351.68123198879437</v>
      </c>
      <c r="Q304">
        <f ca="1"/>
        <v>300.17979634189982</v>
      </c>
      <c r="R304">
        <f ca="1"/>
        <v>0</v>
      </c>
      <c r="S304">
        <f ca="1"/>
        <v>0.89543451624911019</v>
      </c>
      <c r="T304">
        <f ca="1"/>
        <v>0</v>
      </c>
      <c r="U304">
        <f ca="1"/>
        <v>0</v>
      </c>
      <c r="V304">
        <f ca="1"/>
        <v>0.99999977123978867</v>
      </c>
      <c r="X304" s="2">
        <f t="shared" ca="1" si="29"/>
        <v>45487</v>
      </c>
      <c r="Y304">
        <f t="shared" ca="1" si="30"/>
        <v>0</v>
      </c>
      <c r="AA304" s="63">
        <f t="shared" ca="1" si="32"/>
        <v>-316.61488595574514</v>
      </c>
      <c r="AB304" s="63">
        <f t="shared" ca="1" si="33"/>
        <v>-316.61488595574514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45488</v>
      </c>
      <c r="K305">
        <f ca="1"/>
        <v>-317.88074124752524</v>
      </c>
      <c r="L305">
        <f ca="1"/>
        <v>0.8563355402372963</v>
      </c>
      <c r="M305">
        <f ca="1"/>
        <v>3.3648404988076308E-2</v>
      </c>
      <c r="N305">
        <f ca="1"/>
        <v>0.11597761450845216</v>
      </c>
      <c r="O305">
        <f ca="1"/>
        <v>0</v>
      </c>
      <c r="P305">
        <f ca="1"/>
        <v>352.53756752903166</v>
      </c>
      <c r="Q305">
        <f ca="1"/>
        <v>300.91072709590992</v>
      </c>
      <c r="R305">
        <f ca="1"/>
        <v>0</v>
      </c>
      <c r="S305">
        <f ca="1"/>
        <v>0.9071736470432612</v>
      </c>
      <c r="T305">
        <f ca="1"/>
        <v>0</v>
      </c>
      <c r="U305">
        <f ca="1"/>
        <v>0</v>
      </c>
      <c r="V305">
        <f ca="1"/>
        <v>0.99999978244249621</v>
      </c>
      <c r="X305" s="2">
        <f t="shared" ca="1" si="29"/>
        <v>45488</v>
      </c>
      <c r="Y305">
        <f t="shared" ca="1" si="30"/>
        <v>0</v>
      </c>
      <c r="AA305" s="63">
        <f t="shared" ca="1" si="32"/>
        <v>-317.02440570728794</v>
      </c>
      <c r="AB305" s="63">
        <f t="shared" ca="1" si="33"/>
        <v>-317.02440570728794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45489</v>
      </c>
      <c r="K306">
        <f ca="1"/>
        <v>-318.64209863553623</v>
      </c>
      <c r="L306">
        <f ca="1"/>
        <v>0.91573358899148616</v>
      </c>
      <c r="M306">
        <f ca="1"/>
        <v>3.3997884533183864E-2</v>
      </c>
      <c r="N306">
        <f ca="1"/>
        <v>0.12037831644731448</v>
      </c>
      <c r="O306">
        <f ca="1"/>
        <v>0</v>
      </c>
      <c r="P306">
        <f ca="1"/>
        <v>353.45330111802315</v>
      </c>
      <c r="Q306">
        <f ca="1"/>
        <v>301.69235743965152</v>
      </c>
      <c r="R306">
        <f ca="1"/>
        <v>0</v>
      </c>
      <c r="S306">
        <f ca="1"/>
        <v>0.92688379224522111</v>
      </c>
      <c r="T306">
        <f ca="1"/>
        <v>0</v>
      </c>
      <c r="U306">
        <f ca="1"/>
        <v>0</v>
      </c>
      <c r="V306">
        <f ca="1"/>
        <v>0.99999979395403882</v>
      </c>
      <c r="X306" s="2">
        <f t="shared" ca="1" si="29"/>
        <v>45489</v>
      </c>
      <c r="Y306">
        <f t="shared" ca="1" si="30"/>
        <v>0</v>
      </c>
      <c r="AA306" s="63">
        <f t="shared" ca="1" si="32"/>
        <v>-317.72636504654474</v>
      </c>
      <c r="AB306" s="63">
        <f t="shared" ca="1" si="33"/>
        <v>-317.72636504654474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45490</v>
      </c>
      <c r="K307">
        <f ca="1"/>
        <v>-319.31347469102752</v>
      </c>
      <c r="L307">
        <f ca="1"/>
        <v>0.82905182315329284</v>
      </c>
      <c r="M307">
        <f ca="1"/>
        <v>3.3797077995499691E-2</v>
      </c>
      <c r="N307">
        <f ca="1"/>
        <v>0.12387868966650872</v>
      </c>
      <c r="O307">
        <f ca="1"/>
        <v>0</v>
      </c>
      <c r="P307">
        <f ca="1"/>
        <v>354.28235294117644</v>
      </c>
      <c r="Q307">
        <f ca="1"/>
        <v>302.40000000000003</v>
      </c>
      <c r="R307">
        <f ca="1"/>
        <v>0</v>
      </c>
      <c r="S307">
        <f ca="1"/>
        <v>0.96442002412927885</v>
      </c>
      <c r="T307">
        <f ca="1"/>
        <v>0</v>
      </c>
      <c r="U307">
        <f ca="1"/>
        <v>0</v>
      </c>
      <c r="V307">
        <f ca="1"/>
        <v>1</v>
      </c>
      <c r="X307" s="2">
        <f t="shared" ca="1" si="29"/>
        <v>45490</v>
      </c>
      <c r="Y307">
        <f t="shared" ca="1" si="30"/>
        <v>0</v>
      </c>
      <c r="AA307" s="63">
        <f t="shared" ca="1" si="32"/>
        <v>-318.48442286787423</v>
      </c>
      <c r="AB307" s="63">
        <f t="shared" ca="1" si="33"/>
        <v>-318.48442286787423</v>
      </c>
      <c r="AC307" s="3">
        <f t="shared" ca="1" si="34"/>
        <v>0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H1" workbookViewId="0">
      <selection activeCell="AR8" sqref="AR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284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2" t="s">
        <v>196</v>
      </c>
      <c r="B1" s="142"/>
      <c r="C1" s="142"/>
      <c r="D1" s="142"/>
      <c r="E1" s="142"/>
      <c r="F1" s="142"/>
      <c r="H1" s="142" t="s">
        <v>197</v>
      </c>
      <c r="I1" s="142"/>
      <c r="J1" s="142"/>
      <c r="K1" s="142"/>
      <c r="L1" s="142"/>
      <c r="M1" s="142"/>
      <c r="O1" s="142" t="s">
        <v>198</v>
      </c>
      <c r="P1" s="142"/>
      <c r="Q1" s="142"/>
      <c r="R1" s="142"/>
      <c r="S1" s="142"/>
      <c r="T1" s="142"/>
      <c r="V1" s="142"/>
      <c r="W1" s="142"/>
      <c r="X1" s="142"/>
      <c r="Y1" s="142"/>
      <c r="Z1" s="142"/>
      <c r="AA1" s="142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FinalFertDate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2026-05-01T04:58:14Z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