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66635FAC-0F6D-405D-A124-45697BE9B72D}" xr6:coauthVersionLast="47" xr6:coauthVersionMax="47" xr10:uidLastSave="{00000000-0000-0000-0000-000000000000}"/>
  <bookViews>
    <workbookView xWindow="11508" yWindow="-12" windowWidth="11544" windowHeight="12384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2" i="1" l="1"/>
  <c r="D50" i="1"/>
  <c r="D54" i="1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R14" i="1"/>
  <c r="G52" i="1"/>
  <c r="B29" i="3"/>
  <c r="D18" i="3"/>
  <c r="D9" i="3"/>
  <c r="AI9" i="3" a="1"/>
  <c r="AI11" i="3" a="1"/>
  <c r="AI10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9" i="3" a="1"/>
  <c r="AG5" i="3" a="1"/>
  <c r="AG9" i="3" a="1"/>
  <c r="AH11" i="3" a="1"/>
  <c r="AH10" i="3" a="1"/>
  <c r="J10" i="3" a="1"/>
  <c r="I1" i="3" a="1"/>
  <c r="AG10" i="3" a="1"/>
  <c r="AG1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O10" i="3" a="1"/>
  <c r="AL11" i="3" a="1"/>
  <c r="AK11" i="3" a="1"/>
  <c r="AN11" i="3" a="1"/>
  <c r="AJ9" i="3" a="1"/>
  <c r="AM11" i="3" a="1"/>
  <c r="AK10" i="3" a="1"/>
  <c r="AL10" i="3" a="1"/>
  <c r="AM9" i="3" a="1"/>
  <c r="AN9" i="3" a="1"/>
  <c r="AM10" i="3" a="1"/>
  <c r="AO11" i="3" a="1"/>
  <c r="AO9" i="3" a="1"/>
  <c r="AL9" i="3" a="1"/>
  <c r="AJ11" i="3" a="1"/>
  <c r="AJ10" i="3" a="1"/>
  <c r="AK9" i="3" a="1"/>
  <c r="AN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<sst xmlns="http://schemas.openxmlformats.org/spreadsheetml/2006/main" count="486" uniqueCount="285">
  <si>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</si>
  <si>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</si>
  <si>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</si>
  <si>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</si>
  <si>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</si>
  <si>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</si>
  <si>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</si>
  <si>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</si>
  <si>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</si>
  <si>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</si>
  <si>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</si>
  <si>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</si>
  <si>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</si>
  <si>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</si>
  <si>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</si>
  <si>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</si>
  <si>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</si>
  <si>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</si>
  <si>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</si>
  <si>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</si>
  <si>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</si>
  <si>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</si>
  <si>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</si>
  <si>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</si>
  <si>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</si>
  <si>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</si>
  <si>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</si>
  <si>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</si>
  <si>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</si>
  <si>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</si>
  <si>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</si>
  <si>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</si>
  <si>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</si>
  <si>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</si>
  <si>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</si>
  <si>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</si>
  <si>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</si>
  <si>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</si>
  <si>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</si>
  <si>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</si>
  <si>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</si>
  <si>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</si>
  <si>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</si>
  <si>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</si>
  <si>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</si>
  <si>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</si>
  <si>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</si>
  <si>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</si>
  <si>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</si>
  <si>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</si>
  <si>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</si>
  <si>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</si>
  <si>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</si>
  <si>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</si>
  <si>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</si>
  <si>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</si>
  <si>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</si>
  <si>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</si>
  <si>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</si>
  <si>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</si>
  <si>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</si>
  <si>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</si>
  <si>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</si>
  <si>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</si>
  <si>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</si>
  <si>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</si>
  <si>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</si>
  <si>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</si>
  <si>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</si>
  <si>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</si>
  <si>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</si>
  <si>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</si>
  <si>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</si>
  <si>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</si>
  <si>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</si>
  <si>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</si>
  <si>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</si>
  <si>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</si>
  <si>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</si>
  <si>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</si>
  <si>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</si>
  <si>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</si>
  <si>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</si>
  <si>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</si>
  <si>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</si>
  <si>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</si>
  <si>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</si>
  <si>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</si>
  <si>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</si>
  <si>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</si>
  <si>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</si>
  <si>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</si>
  <si>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</si>
  <si>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</si>
  <si>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</si>
  <si>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</si>
  <si>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</si>
  <si>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</si>
  <si>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</si>
  <si>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</si>
  <si>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</si>
  <si>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</si>
  <si>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</si>
  <si>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</si>
  <si>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</si>
  <si>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</si>
  <si>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</si>
  <si>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</si>
  <si>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</si>
  <si>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</si>
  <si>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</si>
  <si>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</si>
  <si>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</si>
  <si>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</si>
  <si>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</si>
  <si>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</si>
  <si>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</si>
  <si>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</si>
  <si>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</si>
  <si>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</si>
  <si>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</si>
  <si>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</si>
  <si>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</si>
  <si>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</si>
  <si>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</si>
  <si>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</si>
  <si>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</si>
  <si>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</si>
  <si>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</si>
  <si>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</si>
  <si>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</si>
  <si>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</si>
  <si>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</si>
  <si>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</si>
  <si>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</si>
  <si>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</si>
  <si>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</si>
  <si>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</si>
  <si>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</si>
  <si>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</si>
  <si>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</si>
  <si>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</si>
  <si>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</si>
  <si>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</si>
  <si>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</si>
  <si>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</si>
  <si>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</si>
  <si>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</si>
  <si>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</si>
  <si>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</si>
  <si>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</si>
  <si>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</si>
  <si>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</si>
  <si>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</si>
  <si>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</si>
  <si>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</si>
  <si>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</si>
  <si>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</si>
  <si>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</si>
  <si>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</si>
  <si>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</si>
  <si>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</si>
  <si>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</si>
  <si>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</si>
  <si>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</si>
  <si>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</si>
  <si>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</si>
  <si>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</si>
  <si>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</si>
  <si>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</si>
  <si>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</si>
  <si>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</si>
  <si>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</si>
  <si>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</si>
  <si>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</si>
  <si>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</si>
  <si>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</si>
  <si>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</si>
  <si>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</si>
  <si>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</si>
  <si>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</si>
  <si>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</si>
  <si>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</si>
  <si>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</si>
  <si>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</si>
  <si>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</si>
  <si>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</si>
  <si>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</si>
  <si>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</si>
  <si>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</si>
  <si>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</si>
  <si>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</si>
  <si>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</si>
  <si>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</si>
  <si>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</si>
  <si>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</si>
  <si>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</si>
  <si>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</si>
  <si>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</si>
  <si>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</si>
  <si>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</si>
  <si>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</si>
  <si>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</si>
  <si>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</si>
  <si>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</si>
  <si>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</si>
  <si>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</si>
  <si>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</si>
  <si>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</si>
  <si>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</si>
  <si>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</si>
  <si>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</si>
  <si>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</si>
  <si>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</si>
  <si>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</si>
  <si>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</si>
  <si>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</si>
  <si>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</si>
  <si>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</si>
  <si>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</si>
  <si>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</si>
  <si>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</si>
  <si>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</si>
  <si>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</si>
  <si>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</si>
  <si>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</si>
  <si>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</si>
  <si>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</si>
  <si>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</si>
  <si>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</si>
  <si>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</si>
  <si>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</si>
  <si>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</si>
  <si>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</si>
  <si>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</si>
  <si>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</si>
  <si>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</si>
  <si>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</si>
  <si>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</si>
  <si>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</si>
  <si>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</si>
  <si>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</si>
  <si>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</si>
  <si>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</si>
  <si>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</si>
  <si>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</si>
  <si>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</si>
  <si>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</si>
  <si>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</si>
  <si>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</si>
  <si>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</si>
  <si>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</si>
  <si>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</si>
  <si>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</si>
  <si>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</si>
  <si>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</si>
  <si>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</si>
  <si>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</si>
  <si>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</si>
  <si>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</si>
  <si>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</si>
  <si>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</si>
  <si>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</si>
  <si>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</si>
  <si>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</si>
  <si>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</si>
  <si>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</si>
  <si>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</si>
  <si>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</si>
  <si>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</si>
  <si>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</si>
  <si>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</si>
  <si>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</si>
  <si>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</si>
  <si>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</si>
  <si>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</si>
  <si>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</si>
  <si>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</si>
  <si>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</si>
  <si>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</si>
  <si>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</si>
  <si>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</si>
  <si>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</si>
  <si>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</si>
  <si>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Green 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</si>
</sst>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6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3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365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41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120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166.4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2.53772215382789</c:v>
                </c:pt>
                <c:pt idx="43">
                  <c:v>2.8903893225774602</c:v>
                </c:pt>
                <c:pt idx="44">
                  <c:v>3.2496460253822277</c:v>
                </c:pt>
                <c:pt idx="45">
                  <c:v>3.6308897482653881</c:v>
                </c:pt>
                <c:pt idx="46">
                  <c:v>4.1007868234890879</c:v>
                </c:pt>
                <c:pt idx="47">
                  <c:v>4.5214279190959328</c:v>
                </c:pt>
                <c:pt idx="48">
                  <c:v>4.9908261653183521</c:v>
                </c:pt>
                <c:pt idx="49">
                  <c:v>5.5404390039039546</c:v>
                </c:pt>
                <c:pt idx="50">
                  <c:v>6.1494524621996201</c:v>
                </c:pt>
                <c:pt idx="51">
                  <c:v>6.8098496178952646</c:v>
                </c:pt>
                <c:pt idx="52">
                  <c:v>7.7055766315823746</c:v>
                </c:pt>
                <c:pt idx="53">
                  <c:v>8.6692676087113423</c:v>
                </c:pt>
                <c:pt idx="54">
                  <c:v>9.7238098411090022</c:v>
                </c:pt>
                <c:pt idx="55">
                  <c:v>10.879983592630319</c:v>
                </c:pt>
                <c:pt idx="56">
                  <c:v>11.953764437125127</c:v>
                </c:pt>
                <c:pt idx="57">
                  <c:v>13.102483848968401</c:v>
                </c:pt>
                <c:pt idx="58">
                  <c:v>14.773697245904973</c:v>
                </c:pt>
                <c:pt idx="59">
                  <c:v>16.647074763305987</c:v>
                </c:pt>
                <c:pt idx="60">
                  <c:v>19.100409166589902</c:v>
                </c:pt>
                <c:pt idx="61">
                  <c:v>21.311346236572895</c:v>
                </c:pt>
                <c:pt idx="62">
                  <c:v>23.590844359255307</c:v>
                </c:pt>
                <c:pt idx="63">
                  <c:v>25.537505091099078</c:v>
                </c:pt>
                <c:pt idx="64">
                  <c:v>28.228459458515058</c:v>
                </c:pt>
                <c:pt idx="65">
                  <c:v>31.234553559451044</c:v>
                </c:pt>
                <c:pt idx="66">
                  <c:v>34.584052167856882</c:v>
                </c:pt>
                <c:pt idx="67">
                  <c:v>38.500138770921893</c:v>
                </c:pt>
                <c:pt idx="68">
                  <c:v>42.757029279683515</c:v>
                </c:pt>
                <c:pt idx="69">
                  <c:v>46.901899849321772</c:v>
                </c:pt>
                <c:pt idx="70">
                  <c:v>50.406601297335108</c:v>
                </c:pt>
                <c:pt idx="71">
                  <c:v>54.172318721494968</c:v>
                </c:pt>
                <c:pt idx="72">
                  <c:v>59.54254727453413</c:v>
                </c:pt>
                <c:pt idx="73">
                  <c:v>64.377570018828635</c:v>
                </c:pt>
                <c:pt idx="74">
                  <c:v>69.062868518947838</c:v>
                </c:pt>
                <c:pt idx="75">
                  <c:v>73.556281283251124</c:v>
                </c:pt>
                <c:pt idx="76">
                  <c:v>78.345473953785415</c:v>
                </c:pt>
                <c:pt idx="77">
                  <c:v>83.174581693086338</c:v>
                </c:pt>
                <c:pt idx="78">
                  <c:v>87.951110907396767</c:v>
                </c:pt>
                <c:pt idx="79">
                  <c:v>93.315267863128753</c:v>
                </c:pt>
                <c:pt idx="80">
                  <c:v>98.004652191625269</c:v>
                </c:pt>
                <c:pt idx="81">
                  <c:v>103.74053176917297</c:v>
                </c:pt>
                <c:pt idx="82">
                  <c:v>109.29706339749656</c:v>
                </c:pt>
                <c:pt idx="83">
                  <c:v>116.29111823242181</c:v>
                </c:pt>
                <c:pt idx="84">
                  <c:v>123.02502366267508</c:v>
                </c:pt>
                <c:pt idx="85">
                  <c:v>130.83216094150643</c:v>
                </c:pt>
                <c:pt idx="86">
                  <c:v>136.86255028392932</c:v>
                </c:pt>
                <c:pt idx="87">
                  <c:v>142.33259040855839</c:v>
                </c:pt>
                <c:pt idx="88">
                  <c:v>147.9992530644366</c:v>
                </c:pt>
                <c:pt idx="89">
                  <c:v>153.34079537017371</c:v>
                </c:pt>
                <c:pt idx="90">
                  <c:v>159.31626621680459</c:v>
                </c:pt>
                <c:pt idx="91">
                  <c:v>164.81481110526889</c:v>
                </c:pt>
                <c:pt idx="92">
                  <c:v>170.01709197926925</c:v>
                </c:pt>
                <c:pt idx="93">
                  <c:v>176.88613183623559</c:v>
                </c:pt>
                <c:pt idx="94">
                  <c:v>183.72504777909282</c:v>
                </c:pt>
                <c:pt idx="95">
                  <c:v>191.7869744228787</c:v>
                </c:pt>
                <c:pt idx="96">
                  <c:v>198.46500202269564</c:v>
                </c:pt>
                <c:pt idx="97">
                  <c:v>205.28151680174156</c:v>
                </c:pt>
                <c:pt idx="98">
                  <c:v>212.81546729293251</c:v>
                </c:pt>
                <c:pt idx="99">
                  <c:v>220.68971434133272</c:v>
                </c:pt>
                <c:pt idx="100">
                  <c:v>228.62415322278679</c:v>
                </c:pt>
                <c:pt idx="101">
                  <c:v>235.36413898249353</c:v>
                </c:pt>
                <c:pt idx="102">
                  <c:v>241.81115887058181</c:v>
                </c:pt>
                <c:pt idx="103">
                  <c:v>247.35030515217724</c:v>
                </c:pt>
                <c:pt idx="104">
                  <c:v>252.44923357016862</c:v>
                </c:pt>
                <c:pt idx="105">
                  <c:v>258.07206513612317</c:v>
                </c:pt>
                <c:pt idx="106">
                  <c:v>263.01370554933857</c:v>
                </c:pt>
                <c:pt idx="107">
                  <c:v>267.78140457409847</c:v>
                </c:pt>
                <c:pt idx="108">
                  <c:v>271.36734702767552</c:v>
                </c:pt>
                <c:pt idx="109">
                  <c:v>275.40838829815164</c:v>
                </c:pt>
                <c:pt idx="110">
                  <c:v>280.81702125011259</c:v>
                </c:pt>
                <c:pt idx="111">
                  <c:v>286.06286029246644</c:v>
                </c:pt>
                <c:pt idx="112">
                  <c:v>290.473648921387</c:v>
                </c:pt>
                <c:pt idx="113">
                  <c:v>294.61064275120992</c:v>
                </c:pt>
                <c:pt idx="114">
                  <c:v>298.12846117815025</c:v>
                </c:pt>
                <c:pt idx="115">
                  <c:v>301.45255566248289</c:v>
                </c:pt>
                <c:pt idx="116">
                  <c:v>304.57982921514298</c:v>
                </c:pt>
                <c:pt idx="117">
                  <c:v>307.15579615022006</c:v>
                </c:pt>
                <c:pt idx="118">
                  <c:v>309.00390679655288</c:v>
                </c:pt>
                <c:pt idx="119">
                  <c:v>310.45086256633022</c:v>
                </c:pt>
                <c:pt idx="120">
                  <c:v>312.26986496143195</c:v>
                </c:pt>
                <c:pt idx="121">
                  <c:v>314.14389574115876</c:v>
                </c:pt>
                <c:pt idx="122">
                  <c:v>315.99662441356935</c:v>
                </c:pt>
                <c:pt idx="123">
                  <c:v>317.80088661278478</c:v>
                </c:pt>
                <c:pt idx="124">
                  <c:v>319.33655238027768</c:v>
                </c:pt>
                <c:pt idx="125">
                  <c:v>320.82596650991661</c:v>
                </c:pt>
                <c:pt idx="126">
                  <c:v>322.16386174083942</c:v>
                </c:pt>
                <c:pt idx="127">
                  <c:v>323.18517031542831</c:v>
                </c:pt>
                <c:pt idx="128">
                  <c:v>324.28627319073075</c:v>
                </c:pt>
                <c:pt idx="129">
                  <c:v>325.24659989260454</c:v>
                </c:pt>
                <c:pt idx="130">
                  <c:v>326.22956298073501</c:v>
                </c:pt>
                <c:pt idx="131">
                  <c:v>327.07826638116978</c:v>
                </c:pt>
                <c:pt idx="132">
                  <c:v>327.8629796171362</c:v>
                </c:pt>
                <c:pt idx="133">
                  <c:v>328.62431373732881</c:v>
                </c:pt>
                <c:pt idx="134">
                  <c:v>329.29079201819212</c:v>
                </c:pt>
                <c:pt idx="135">
                  <c:v>330.01696417200992</c:v>
                </c:pt>
                <c:pt idx="136">
                  <c:v>330.66597858147549</c:v>
                </c:pt>
                <c:pt idx="137">
                  <c:v>331.27361429885923</c:v>
                </c:pt>
                <c:pt idx="138">
                  <c:v>331.7679542673751</c:v>
                </c:pt>
                <c:pt idx="139">
                  <c:v>332.24828501769696</c:v>
                </c:pt>
                <c:pt idx="140">
                  <c:v>332.64194979153319</c:v>
                </c:pt>
                <c:pt idx="141">
                  <c:v>332.95960682261949</c:v>
                </c:pt>
                <c:pt idx="142">
                  <c:v>333.22065022805054</c:v>
                </c:pt>
                <c:pt idx="143">
                  <c:v>333.46181142975468</c:v>
                </c:pt>
                <c:pt idx="144">
                  <c:v>333.69365068621357</c:v>
                </c:pt>
                <c:pt idx="145">
                  <c:v>333.89118578008197</c:v>
                </c:pt>
                <c:pt idx="146">
                  <c:v>334.08929400317396</c:v>
                </c:pt>
                <c:pt idx="147">
                  <c:v>334.28016161803799</c:v>
                </c:pt>
                <c:pt idx="148">
                  <c:v>334.44396285723599</c:v>
                </c:pt>
                <c:pt idx="149">
                  <c:v>334.5654986258134</c:v>
                </c:pt>
                <c:pt idx="150">
                  <c:v>334.68665961264719</c:v>
                </c:pt>
                <c:pt idx="151">
                  <c:v>334.80656154833349</c:v>
                </c:pt>
                <c:pt idx="152">
                  <c:v>334.90962327450853</c:v>
                </c:pt>
                <c:pt idx="153">
                  <c:v>335.01362519854268</c:v>
                </c:pt>
                <c:pt idx="154">
                  <c:v>335.10316825031231</c:v>
                </c:pt>
                <c:pt idx="155">
                  <c:v>335.18513014863521</c:v>
                </c:pt>
                <c:pt idx="156">
                  <c:v>335.255917864786</c:v>
                </c:pt>
                <c:pt idx="157">
                  <c:v>335.3262736337428</c:v>
                </c:pt>
                <c:pt idx="158">
                  <c:v>335.3799397676292</c:v>
                </c:pt>
                <c:pt idx="159">
                  <c:v>335.42093264241043</c:v>
                </c:pt>
                <c:pt idx="160">
                  <c:v>335.4567280870923</c:v>
                </c:pt>
                <c:pt idx="161">
                  <c:v>335.48562285224523</c:v>
                </c:pt>
                <c:pt idx="162">
                  <c:v>335.51327224187861</c:v>
                </c:pt>
                <c:pt idx="163">
                  <c:v>335.54166258576294</c:v>
                </c:pt>
                <c:pt idx="164">
                  <c:v>335.56938078864709</c:v>
                </c:pt>
                <c:pt idx="165">
                  <c:v>335.59499661193689</c:v>
                </c:pt>
                <c:pt idx="166">
                  <c:v>335.61581600132621</c:v>
                </c:pt>
                <c:pt idx="167">
                  <c:v>335.63478260869556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75.011399614991646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81.374280821524877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108.14529362243525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50.850827748374364</c:v>
                </c:pt>
                <c:pt idx="2">
                  <c:v>51.801643777927367</c:v>
                </c:pt>
                <c:pt idx="3">
                  <c:v>52.590048119685456</c:v>
                </c:pt>
                <c:pt idx="4">
                  <c:v>53.153285739145062</c:v>
                </c:pt>
                <c:pt idx="5">
                  <c:v>54.137560445364052</c:v>
                </c:pt>
                <c:pt idx="6">
                  <c:v>55.341017743000542</c:v>
                </c:pt>
                <c:pt idx="7">
                  <c:v>56.743175572154449</c:v>
                </c:pt>
                <c:pt idx="8">
                  <c:v>58.198739771768146</c:v>
                </c:pt>
                <c:pt idx="9">
                  <c:v>59.62160884438245</c:v>
                </c:pt>
                <c:pt idx="10">
                  <c:v>61.12019199490679</c:v>
                </c:pt>
                <c:pt idx="11">
                  <c:v>62.769193065259138</c:v>
                </c:pt>
                <c:pt idx="12">
                  <c:v>62.791709652301442</c:v>
                </c:pt>
                <c:pt idx="13">
                  <c:v>64.388259526254714</c:v>
                </c:pt>
                <c:pt idx="14">
                  <c:v>65.318713437652619</c:v>
                </c:pt>
                <c:pt idx="15">
                  <c:v>65.436265591389727</c:v>
                </c:pt>
                <c:pt idx="16">
                  <c:v>65.924998772428864</c:v>
                </c:pt>
                <c:pt idx="17">
                  <c:v>66.16683504090372</c:v>
                </c:pt>
                <c:pt idx="18">
                  <c:v>67.584101911910153</c:v>
                </c:pt>
                <c:pt idx="19">
                  <c:v>69.003043341987421</c:v>
                </c:pt>
                <c:pt idx="20">
                  <c:v>70.576266700642421</c:v>
                </c:pt>
                <c:pt idx="21">
                  <c:v>72.158369381610171</c:v>
                </c:pt>
                <c:pt idx="22">
                  <c:v>72.418757070282425</c:v>
                </c:pt>
                <c:pt idx="23">
                  <c:v>73.584090197495243</c:v>
                </c:pt>
                <c:pt idx="24">
                  <c:v>73.444811225436524</c:v>
                </c:pt>
                <c:pt idx="25">
                  <c:v>74.609941468333304</c:v>
                </c:pt>
                <c:pt idx="26">
                  <c:v>76.307395309304425</c:v>
                </c:pt>
                <c:pt idx="27">
                  <c:v>77.847670034828496</c:v>
                </c:pt>
                <c:pt idx="28">
                  <c:v>78.265858583008352</c:v>
                </c:pt>
                <c:pt idx="29">
                  <c:v>77.758617133033667</c:v>
                </c:pt>
                <c:pt idx="30">
                  <c:v>77.636441513100038</c:v>
                </c:pt>
                <c:pt idx="31">
                  <c:v>77.584758249500197</c:v>
                </c:pt>
                <c:pt idx="32">
                  <c:v>75.970701523559029</c:v>
                </c:pt>
                <c:pt idx="33">
                  <c:v>75.939358052223241</c:v>
                </c:pt>
                <c:pt idx="34">
                  <c:v>76.329863317163984</c:v>
                </c:pt>
                <c:pt idx="35">
                  <c:v>77.105023566549463</c:v>
                </c:pt>
                <c:pt idx="36">
                  <c:v>78.001557379529103</c:v>
                </c:pt>
                <c:pt idx="37">
                  <c:v>79.324729120106781</c:v>
                </c:pt>
                <c:pt idx="38">
                  <c:v>80.620590489551248</c:v>
                </c:pt>
                <c:pt idx="39">
                  <c:v>80.950197431170523</c:v>
                </c:pt>
                <c:pt idx="40">
                  <c:v>81.312025928408275</c:v>
                </c:pt>
                <c:pt idx="41">
                  <c:v>80.45381491883694</c:v>
                </c:pt>
                <c:pt idx="42">
                  <c:v>80.662326477325195</c:v>
                </c:pt>
                <c:pt idx="43">
                  <c:v>79.284214133109998</c:v>
                </c:pt>
                <c:pt idx="44">
                  <c:v>79.318538480775715</c:v>
                </c:pt>
                <c:pt idx="45">
                  <c:v>79.269165401823514</c:v>
                </c:pt>
                <c:pt idx="46">
                  <c:v>79.015161115506444</c:v>
                </c:pt>
                <c:pt idx="47">
                  <c:v>79.250663115042173</c:v>
                </c:pt>
                <c:pt idx="48">
                  <c:v>78.259585970421881</c:v>
                </c:pt>
                <c:pt idx="49">
                  <c:v>78.18562522010636</c:v>
                </c:pt>
                <c:pt idx="50">
                  <c:v>176.91979331892298</c:v>
                </c:pt>
                <c:pt idx="51">
                  <c:v>176.49681796654102</c:v>
                </c:pt>
                <c:pt idx="52">
                  <c:v>175.27790300295217</c:v>
                </c:pt>
                <c:pt idx="53">
                  <c:v>172.27517363356588</c:v>
                </c:pt>
                <c:pt idx="54">
                  <c:v>168.234335529003</c:v>
                </c:pt>
                <c:pt idx="55">
                  <c:v>166.79206421670625</c:v>
                </c:pt>
                <c:pt idx="56">
                  <c:v>166.08525877133241</c:v>
                </c:pt>
                <c:pt idx="57">
                  <c:v>165.3367365132481</c:v>
                </c:pt>
                <c:pt idx="58">
                  <c:v>161.11912448450641</c:v>
                </c:pt>
                <c:pt idx="59">
                  <c:v>154.86193308630624</c:v>
                </c:pt>
                <c:pt idx="60">
                  <c:v>153.54708490642247</c:v>
                </c:pt>
                <c:pt idx="61">
                  <c:v>148.60947075225567</c:v>
                </c:pt>
                <c:pt idx="62">
                  <c:v>147.20796393675514</c:v>
                </c:pt>
                <c:pt idx="63">
                  <c:v>145.10019495283646</c:v>
                </c:pt>
                <c:pt idx="64">
                  <c:v>53.901626885964319</c:v>
                </c:pt>
                <c:pt idx="65">
                  <c:v>51.397055771381076</c:v>
                </c:pt>
                <c:pt idx="66">
                  <c:v>47.756988093698872</c:v>
                </c:pt>
                <c:pt idx="67">
                  <c:v>42.228188112089555</c:v>
                </c:pt>
                <c:pt idx="68">
                  <c:v>109.10919922273743</c:v>
                </c:pt>
                <c:pt idx="69">
                  <c:v>105.30049891047264</c:v>
                </c:pt>
                <c:pt idx="70">
                  <c:v>102.02633762188589</c:v>
                </c:pt>
                <c:pt idx="71">
                  <c:v>97.905008616718689</c:v>
                </c:pt>
                <c:pt idx="72">
                  <c:v>92.013027431042801</c:v>
                </c:pt>
                <c:pt idx="73">
                  <c:v>87.010643207063879</c:v>
                </c:pt>
                <c:pt idx="74">
                  <c:v>83.030113612872256</c:v>
                </c:pt>
                <c:pt idx="75">
                  <c:v>78.421573690457038</c:v>
                </c:pt>
                <c:pt idx="76">
                  <c:v>74.420856662793952</c:v>
                </c:pt>
                <c:pt idx="77">
                  <c:v>70.053952440616598</c:v>
                </c:pt>
                <c:pt idx="78">
                  <c:v>65.404661061551863</c:v>
                </c:pt>
                <c:pt idx="79">
                  <c:v>60.376375937328405</c:v>
                </c:pt>
                <c:pt idx="80">
                  <c:v>56.415544843135244</c:v>
                </c:pt>
                <c:pt idx="81">
                  <c:v>131.02739482527522</c:v>
                </c:pt>
                <c:pt idx="82">
                  <c:v>126.21830741859343</c:v>
                </c:pt>
                <c:pt idx="83">
                  <c:v>120.02661231799746</c:v>
                </c:pt>
                <c:pt idx="84">
                  <c:v>113.86965828039165</c:v>
                </c:pt>
                <c:pt idx="85">
                  <c:v>104.70843290647132</c:v>
                </c:pt>
                <c:pt idx="86">
                  <c:v>97.954759637505617</c:v>
                </c:pt>
                <c:pt idx="87">
                  <c:v>91.525388247320564</c:v>
                </c:pt>
                <c:pt idx="88">
                  <c:v>85.987103692230448</c:v>
                </c:pt>
                <c:pt idx="89">
                  <c:v>79.739957155826971</c:v>
                </c:pt>
                <c:pt idx="90">
                  <c:v>74.215321714348747</c:v>
                </c:pt>
                <c:pt idx="91">
                  <c:v>67.830132155391723</c:v>
                </c:pt>
                <c:pt idx="92">
                  <c:v>62.142693809062507</c:v>
                </c:pt>
                <c:pt idx="93">
                  <c:v>163.17090786793406</c:v>
                </c:pt>
                <c:pt idx="94">
                  <c:v>152.62049568629169</c:v>
                </c:pt>
                <c:pt idx="95">
                  <c:v>142.46272014065275</c:v>
                </c:pt>
                <c:pt idx="96">
                  <c:v>136.44434558445298</c:v>
                </c:pt>
                <c:pt idx="97">
                  <c:v>130.2182830114067</c:v>
                </c:pt>
                <c:pt idx="98">
                  <c:v>122.23274664944002</c:v>
                </c:pt>
                <c:pt idx="99">
                  <c:v>113.54510585926695</c:v>
                </c:pt>
                <c:pt idx="100">
                  <c:v>104.33503005489801</c:v>
                </c:pt>
                <c:pt idx="101">
                  <c:v>96.019895505289767</c:v>
                </c:pt>
                <c:pt idx="102">
                  <c:v>89.770505497031209</c:v>
                </c:pt>
                <c:pt idx="103">
                  <c:v>84.937420123560287</c:v>
                </c:pt>
                <c:pt idx="104">
                  <c:v>80.53055795738463</c:v>
                </c:pt>
                <c:pt idx="105">
                  <c:v>75.636697533762998</c:v>
                </c:pt>
                <c:pt idx="106">
                  <c:v>71.398065890325256</c:v>
                </c:pt>
                <c:pt idx="107">
                  <c:v>66.779179001327861</c:v>
                </c:pt>
                <c:pt idx="108">
                  <c:v>63.774817049745771</c:v>
                </c:pt>
                <c:pt idx="109">
                  <c:v>59.902681301687508</c:v>
                </c:pt>
                <c:pt idx="110">
                  <c:v>53.996393826960968</c:v>
                </c:pt>
                <c:pt idx="111">
                  <c:v>48.6622359788946</c:v>
                </c:pt>
                <c:pt idx="112">
                  <c:v>44.848465009342355</c:v>
                </c:pt>
                <c:pt idx="113">
                  <c:v>40.381571666053205</c:v>
                </c:pt>
                <c:pt idx="114">
                  <c:v>37.266476203792102</c:v>
                </c:pt>
                <c:pt idx="115">
                  <c:v>34.040611435800891</c:v>
                </c:pt>
                <c:pt idx="116">
                  <c:v>31.473425173892874</c:v>
                </c:pt>
                <c:pt idx="117">
                  <c:v>29.205319527650964</c:v>
                </c:pt>
                <c:pt idx="118">
                  <c:v>27.681353775533857</c:v>
                </c:pt>
                <c:pt idx="119">
                  <c:v>26.823677305646509</c:v>
                </c:pt>
                <c:pt idx="120">
                  <c:v>25.190341186146853</c:v>
                </c:pt>
                <c:pt idx="121">
                  <c:v>23.517752391608141</c:v>
                </c:pt>
                <c:pt idx="122">
                  <c:v>22.136791980822345</c:v>
                </c:pt>
                <c:pt idx="123">
                  <c:v>20.430432342182371</c:v>
                </c:pt>
                <c:pt idx="124">
                  <c:v>19.375521917007994</c:v>
                </c:pt>
                <c:pt idx="125">
                  <c:v>18.570086531951791</c:v>
                </c:pt>
                <c:pt idx="126">
                  <c:v>17.43751518861691</c:v>
                </c:pt>
                <c:pt idx="127">
                  <c:v>16.891854395817536</c:v>
                </c:pt>
                <c:pt idx="128">
                  <c:v>16.434267228603449</c:v>
                </c:pt>
                <c:pt idx="129">
                  <c:v>15.958608164172588</c:v>
                </c:pt>
                <c:pt idx="130">
                  <c:v>15.630047220613463</c:v>
                </c:pt>
                <c:pt idx="131">
                  <c:v>15.2407835487051</c:v>
                </c:pt>
                <c:pt idx="132">
                  <c:v>15.149078194246144</c:v>
                </c:pt>
                <c:pt idx="133">
                  <c:v>15.103976563693545</c:v>
                </c:pt>
                <c:pt idx="134">
                  <c:v>15.140737572114221</c:v>
                </c:pt>
                <c:pt idx="135">
                  <c:v>15.067477343832852</c:v>
                </c:pt>
                <c:pt idx="136">
                  <c:v>15.191509498738643</c:v>
                </c:pt>
                <c:pt idx="137">
                  <c:v>15.37968676559565</c:v>
                </c:pt>
                <c:pt idx="138">
                  <c:v>15.543431532398468</c:v>
                </c:pt>
                <c:pt idx="139">
                  <c:v>15.859133878150111</c:v>
                </c:pt>
                <c:pt idx="140">
                  <c:v>16.227392308621681</c:v>
                </c:pt>
                <c:pt idx="141">
                  <c:v>16.631631939009505</c:v>
                </c:pt>
                <c:pt idx="142">
                  <c:v>17.024555769879097</c:v>
                </c:pt>
                <c:pt idx="143">
                  <c:v>17.477832915247571</c:v>
                </c:pt>
                <c:pt idx="144">
                  <c:v>17.960579995103153</c:v>
                </c:pt>
                <c:pt idx="145">
                  <c:v>18.287514945829379</c:v>
                </c:pt>
                <c:pt idx="146">
                  <c:v>18.369530666038408</c:v>
                </c:pt>
                <c:pt idx="147">
                  <c:v>18.940136265076351</c:v>
                </c:pt>
                <c:pt idx="148">
                  <c:v>19.523236617705983</c:v>
                </c:pt>
                <c:pt idx="149">
                  <c:v>19.975394952947678</c:v>
                </c:pt>
                <c:pt idx="150">
                  <c:v>20.366601776613429</c:v>
                </c:pt>
                <c:pt idx="151">
                  <c:v>20.458770016002717</c:v>
                </c:pt>
                <c:pt idx="152">
                  <c:v>21.078191284206575</c:v>
                </c:pt>
                <c:pt idx="153">
                  <c:v>21.762587013049149</c:v>
                </c:pt>
                <c:pt idx="154">
                  <c:v>22.402512410019032</c:v>
                </c:pt>
                <c:pt idx="155">
                  <c:v>23.118146391764419</c:v>
                </c:pt>
                <c:pt idx="156">
                  <c:v>23.808835990818373</c:v>
                </c:pt>
                <c:pt idx="157">
                  <c:v>24.25581404307524</c:v>
                </c:pt>
                <c:pt idx="158">
                  <c:v>24.734071686326313</c:v>
                </c:pt>
                <c:pt idx="159">
                  <c:v>24.508317879196685</c:v>
                </c:pt>
                <c:pt idx="160">
                  <c:v>24.953996019782192</c:v>
                </c:pt>
                <c:pt idx="161">
                  <c:v>25.610974086724678</c:v>
                </c:pt>
                <c:pt idx="162">
                  <c:v>26.103891165423263</c:v>
                </c:pt>
                <c:pt idx="163">
                  <c:v>26.837036202689852</c:v>
                </c:pt>
                <c:pt idx="164">
                  <c:v>27.097065806668134</c:v>
                </c:pt>
                <c:pt idx="165">
                  <c:v>27.9167619580302</c:v>
                </c:pt>
                <c:pt idx="166">
                  <c:v>28.708763977592596</c:v>
                </c:pt>
                <c:pt idx="167">
                  <c:v>29.523855084532467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-0.30137538054705365</c:v>
                </c:pt>
                <c:pt idx="4">
                  <c:v>-0.88097729634608002</c:v>
                </c:pt>
                <c:pt idx="5">
                  <c:v>-1.1135334255635572</c:v>
                </c:pt>
                <c:pt idx="6">
                  <c:v>-1.1135334255635572</c:v>
                </c:pt>
                <c:pt idx="7">
                  <c:v>-1.1135334255635572</c:v>
                </c:pt>
                <c:pt idx="8">
                  <c:v>-1.1135334255635572</c:v>
                </c:pt>
                <c:pt idx="9">
                  <c:v>-1.1135334255635572</c:v>
                </c:pt>
                <c:pt idx="10">
                  <c:v>-1.1135334255635572</c:v>
                </c:pt>
                <c:pt idx="11">
                  <c:v>-1.1135334255635572</c:v>
                </c:pt>
                <c:pt idx="12">
                  <c:v>-2.7219391936507704</c:v>
                </c:pt>
                <c:pt idx="13">
                  <c:v>-2.7219391936507704</c:v>
                </c:pt>
                <c:pt idx="14">
                  <c:v>-3.5234822619453348</c:v>
                </c:pt>
                <c:pt idx="15">
                  <c:v>-5.0658814265516581</c:v>
                </c:pt>
                <c:pt idx="16">
                  <c:v>-6.2167981442511921</c:v>
                </c:pt>
                <c:pt idx="17">
                  <c:v>-7.6015069819188046</c:v>
                </c:pt>
                <c:pt idx="18">
                  <c:v>-7.6015069819188046</c:v>
                </c:pt>
                <c:pt idx="19">
                  <c:v>-7.6015069819188046</c:v>
                </c:pt>
                <c:pt idx="20">
                  <c:v>-7.6015069819188046</c:v>
                </c:pt>
                <c:pt idx="21">
                  <c:v>-7.6015069819188046</c:v>
                </c:pt>
                <c:pt idx="22">
                  <c:v>-8.9819054910333076</c:v>
                </c:pt>
                <c:pt idx="23">
                  <c:v>-9.4155184051536231</c:v>
                </c:pt>
                <c:pt idx="24">
                  <c:v>-11.077925740978069</c:v>
                </c:pt>
                <c:pt idx="25">
                  <c:v>-11.447731537821115</c:v>
                </c:pt>
                <c:pt idx="26">
                  <c:v>-11.447731537821115</c:v>
                </c:pt>
                <c:pt idx="27">
                  <c:v>-11.551595143759958</c:v>
                </c:pt>
                <c:pt idx="28">
                  <c:v>-12.689512670288567</c:v>
                </c:pt>
                <c:pt idx="29">
                  <c:v>-14.804997830899158</c:v>
                </c:pt>
                <c:pt idx="30">
                  <c:v>-16.442564163916053</c:v>
                </c:pt>
                <c:pt idx="31">
                  <c:v>-18.014948597772594</c:v>
                </c:pt>
                <c:pt idx="32">
                  <c:v>-21.19889170887155</c:v>
                </c:pt>
                <c:pt idx="33">
                  <c:v>-22.717018527672085</c:v>
                </c:pt>
                <c:pt idx="34">
                  <c:v>-23.730103872974386</c:v>
                </c:pt>
                <c:pt idx="35">
                  <c:v>-24.277884779529789</c:v>
                </c:pt>
                <c:pt idx="36">
                  <c:v>-24.728937263507063</c:v>
                </c:pt>
                <c:pt idx="37">
                  <c:v>-24.728937263507063</c:v>
                </c:pt>
                <c:pt idx="38">
                  <c:v>-24.730977077901173</c:v>
                </c:pt>
                <c:pt idx="39">
                  <c:v>-25.542356158240271</c:v>
                </c:pt>
                <c:pt idx="40">
                  <c:v>-26.370796074583325</c:v>
                </c:pt>
                <c:pt idx="41">
                  <c:v>-28.435544124703277</c:v>
                </c:pt>
                <c:pt idx="42">
                  <c:v>-29.403959650120907</c:v>
                </c:pt>
                <c:pt idx="43">
                  <c:v>-31.639544679358284</c:v>
                </c:pt>
                <c:pt idx="44">
                  <c:v>-32.386518393920717</c:v>
                </c:pt>
                <c:pt idx="45">
                  <c:v>-33.159220432315891</c:v>
                </c:pt>
                <c:pt idx="46">
                  <c:v>-34.090454186216327</c:v>
                </c:pt>
                <c:pt idx="47">
                  <c:v>-34.465803703694519</c:v>
                </c:pt>
                <c:pt idx="48">
                  <c:v>-36.017385060325495</c:v>
                </c:pt>
                <c:pt idx="49">
                  <c:v>-36.590066436937697</c:v>
                </c:pt>
                <c:pt idx="50">
                  <c:v>-38.287930308985388</c:v>
                </c:pt>
                <c:pt idx="51">
                  <c:v>-39.075259592610045</c:v>
                </c:pt>
                <c:pt idx="52">
                  <c:v>-40.513554501019783</c:v>
                </c:pt>
                <c:pt idx="53">
                  <c:v>-43.634980907928252</c:v>
                </c:pt>
                <c:pt idx="54">
                  <c:v>-47.683820582992915</c:v>
                </c:pt>
                <c:pt idx="55">
                  <c:v>-49.015739820433573</c:v>
                </c:pt>
                <c:pt idx="56">
                  <c:v>-49.610276906180232</c:v>
                </c:pt>
                <c:pt idx="57">
                  <c:v>-50.156606992050087</c:v>
                </c:pt>
                <c:pt idx="58">
                  <c:v>-53.768010440278175</c:v>
                </c:pt>
                <c:pt idx="59">
                  <c:v>-59.209275231212111</c:v>
                </c:pt>
                <c:pt idx="60">
                  <c:v>-59.209275231212111</c:v>
                </c:pt>
                <c:pt idx="61">
                  <c:v>-62.941322653250957</c:v>
                </c:pt>
                <c:pt idx="62">
                  <c:v>-63.030500811114095</c:v>
                </c:pt>
                <c:pt idx="63">
                  <c:v>-64.061343065692071</c:v>
                </c:pt>
                <c:pt idx="64">
                  <c:v>-64.590161323425008</c:v>
                </c:pt>
                <c:pt idx="65">
                  <c:v>-65.045881884597918</c:v>
                </c:pt>
                <c:pt idx="66">
                  <c:v>-66.295177007918596</c:v>
                </c:pt>
                <c:pt idx="67">
                  <c:v>-68.890558169451197</c:v>
                </c:pt>
                <c:pt idx="68">
                  <c:v>-73.736050353308926</c:v>
                </c:pt>
                <c:pt idx="69">
                  <c:v>-74.315966144410083</c:v>
                </c:pt>
                <c:pt idx="70">
                  <c:v>-74.911563373310017</c:v>
                </c:pt>
                <c:pt idx="71">
                  <c:v>-76.09238291201774</c:v>
                </c:pt>
                <c:pt idx="72">
                  <c:v>-77.541654770163504</c:v>
                </c:pt>
                <c:pt idx="73">
                  <c:v>-78.562327445696795</c:v>
                </c:pt>
                <c:pt idx="74">
                  <c:v>-78.676644268786987</c:v>
                </c:pt>
                <c:pt idx="75">
                  <c:v>-79.579287947409611</c:v>
                </c:pt>
                <c:pt idx="76">
                  <c:v>-79.579287947409611</c:v>
                </c:pt>
                <c:pt idx="77">
                  <c:v>-79.891789755880822</c:v>
                </c:pt>
                <c:pt idx="78">
                  <c:v>-80.522139025532013</c:v>
                </c:pt>
                <c:pt idx="79">
                  <c:v>-80.961049027998158</c:v>
                </c:pt>
                <c:pt idx="80">
                  <c:v>-80.961049027998158</c:v>
                </c:pt>
                <c:pt idx="81">
                  <c:v>-82.755430242586286</c:v>
                </c:pt>
                <c:pt idx="82">
                  <c:v>-82.755430242586286</c:v>
                </c:pt>
                <c:pt idx="83">
                  <c:v>-82.755430242586286</c:v>
                </c:pt>
                <c:pt idx="84">
                  <c:v>-82.956107094178904</c:v>
                </c:pt>
                <c:pt idx="85">
                  <c:v>-85.124330412103049</c:v>
                </c:pt>
                <c:pt idx="86">
                  <c:v>-86.575480488935781</c:v>
                </c:pt>
                <c:pt idx="87">
                  <c:v>-88.233814407585058</c:v>
                </c:pt>
                <c:pt idx="88">
                  <c:v>-88.806812527551543</c:v>
                </c:pt>
                <c:pt idx="89">
                  <c:v>-90.396526803834959</c:v>
                </c:pt>
                <c:pt idx="90">
                  <c:v>-90.649934482036414</c:v>
                </c:pt>
                <c:pt idx="91">
                  <c:v>-92.218874930152438</c:v>
                </c:pt>
                <c:pt idx="92">
                  <c:v>-93.372207302498609</c:v>
                </c:pt>
                <c:pt idx="93">
                  <c:v>-94.349699690540433</c:v>
                </c:pt>
                <c:pt idx="94">
                  <c:v>-98.787638278148776</c:v>
                </c:pt>
                <c:pt idx="95">
                  <c:v>-101.65919119367949</c:v>
                </c:pt>
                <c:pt idx="96">
                  <c:v>-101.719305803908</c:v>
                </c:pt>
                <c:pt idx="97">
                  <c:v>-101.85556319569675</c:v>
                </c:pt>
                <c:pt idx="98">
                  <c:v>-103.0672617276999</c:v>
                </c:pt>
                <c:pt idx="99">
                  <c:v>-104.66182995346264</c:v>
                </c:pt>
                <c:pt idx="100">
                  <c:v>-106.73038533194236</c:v>
                </c:pt>
                <c:pt idx="101">
                  <c:v>-109.05184025486879</c:v>
                </c:pt>
                <c:pt idx="102">
                  <c:v>-109.59566737512617</c:v>
                </c:pt>
                <c:pt idx="103">
                  <c:v>-109.59566737512617</c:v>
                </c:pt>
                <c:pt idx="104">
                  <c:v>-109.59566737512617</c:v>
                </c:pt>
                <c:pt idx="105">
                  <c:v>-109.59566737512617</c:v>
                </c:pt>
                <c:pt idx="106">
                  <c:v>-109.59566737512617</c:v>
                </c:pt>
                <c:pt idx="107">
                  <c:v>-110.15099916565107</c:v>
                </c:pt>
                <c:pt idx="108">
                  <c:v>-110.2142194190743</c:v>
                </c:pt>
                <c:pt idx="109">
                  <c:v>-110.72556259714233</c:v>
                </c:pt>
                <c:pt idx="110">
                  <c:v>-112.01318095080728</c:v>
                </c:pt>
                <c:pt idx="111">
                  <c:v>-112.90828399290022</c:v>
                </c:pt>
                <c:pt idx="112">
                  <c:v>-113.07870815993573</c:v>
                </c:pt>
                <c:pt idx="113">
                  <c:v>-114.17954491796249</c:v>
                </c:pt>
                <c:pt idx="114">
                  <c:v>-114.51613141028427</c:v>
                </c:pt>
                <c:pt idx="115">
                  <c:v>-115.1629030275645</c:v>
                </c:pt>
                <c:pt idx="116">
                  <c:v>-115.35356812499475</c:v>
                </c:pt>
                <c:pt idx="117">
                  <c:v>-115.75727875927697</c:v>
                </c:pt>
                <c:pt idx="118">
                  <c:v>-116.07437067267091</c:v>
                </c:pt>
                <c:pt idx="119">
                  <c:v>-116.0876658866398</c:v>
                </c:pt>
                <c:pt idx="120">
                  <c:v>-116.56350778087203</c:v>
                </c:pt>
                <c:pt idx="121">
                  <c:v>-117.04920049330741</c:v>
                </c:pt>
                <c:pt idx="122">
                  <c:v>-117.28327300677419</c:v>
                </c:pt>
                <c:pt idx="123">
                  <c:v>-117.90885876695627</c:v>
                </c:pt>
                <c:pt idx="124">
                  <c:v>-118.12653854362388</c:v>
                </c:pt>
                <c:pt idx="125">
                  <c:v>-118.15721955615493</c:v>
                </c:pt>
                <c:pt idx="126">
                  <c:v>-118.65947053710939</c:v>
                </c:pt>
                <c:pt idx="127">
                  <c:v>-118.83715326059466</c:v>
                </c:pt>
                <c:pt idx="128">
                  <c:v>-118.88874256902533</c:v>
                </c:pt>
                <c:pt idx="129">
                  <c:v>-119.08297502027564</c:v>
                </c:pt>
                <c:pt idx="130">
                  <c:v>-119.14064762929547</c:v>
                </c:pt>
                <c:pt idx="131">
                  <c:v>-119.37482558173514</c:v>
                </c:pt>
                <c:pt idx="132">
                  <c:v>-119.37816276997503</c:v>
                </c:pt>
                <c:pt idx="133">
                  <c:v>-119.37816276997503</c:v>
                </c:pt>
                <c:pt idx="134">
                  <c:v>-119.37816276997503</c:v>
                </c:pt>
                <c:pt idx="135">
                  <c:v>-119.49754037114452</c:v>
                </c:pt>
                <c:pt idx="136">
                  <c:v>-119.49754037114452</c:v>
                </c:pt>
                <c:pt idx="137">
                  <c:v>-119.49754037114452</c:v>
                </c:pt>
                <c:pt idx="138">
                  <c:v>-119.5975020990785</c:v>
                </c:pt>
                <c:pt idx="139">
                  <c:v>-119.5975020990785</c:v>
                </c:pt>
                <c:pt idx="140">
                  <c:v>-119.5975020990785</c:v>
                </c:pt>
                <c:pt idx="141">
                  <c:v>-119.5975020990785</c:v>
                </c:pt>
                <c:pt idx="142">
                  <c:v>-119.63291593667725</c:v>
                </c:pt>
                <c:pt idx="143">
                  <c:v>-119.63291593667725</c:v>
                </c:pt>
                <c:pt idx="144">
                  <c:v>-119.63291593667725</c:v>
                </c:pt>
                <c:pt idx="145">
                  <c:v>-119.8029214873529</c:v>
                </c:pt>
                <c:pt idx="146">
                  <c:v>-120.25411975652395</c:v>
                </c:pt>
                <c:pt idx="147">
                  <c:v>-120.25411975652395</c:v>
                </c:pt>
                <c:pt idx="148">
                  <c:v>-120.25411975652395</c:v>
                </c:pt>
                <c:pt idx="149">
                  <c:v>-120.35971500756688</c:v>
                </c:pt>
                <c:pt idx="150">
                  <c:v>-120.5582450996676</c:v>
                </c:pt>
                <c:pt idx="151">
                  <c:v>-121.09456137800015</c:v>
                </c:pt>
                <c:pt idx="152">
                  <c:v>-121.10616965725812</c:v>
                </c:pt>
                <c:pt idx="153">
                  <c:v>-121.10616965725812</c:v>
                </c:pt>
                <c:pt idx="154">
                  <c:v>-121.15540747158477</c:v>
                </c:pt>
                <c:pt idx="155">
                  <c:v>-121.15540747158477</c:v>
                </c:pt>
                <c:pt idx="156">
                  <c:v>-121.18473869732242</c:v>
                </c:pt>
                <c:pt idx="157">
                  <c:v>-121.52671052197609</c:v>
                </c:pt>
                <c:pt idx="158">
                  <c:v>-121.78824644519845</c:v>
                </c:pt>
                <c:pt idx="159">
                  <c:v>-122.70471545667532</c:v>
                </c:pt>
                <c:pt idx="160">
                  <c:v>-122.94658839200909</c:v>
                </c:pt>
                <c:pt idx="161">
                  <c:v>-122.94658839200909</c:v>
                </c:pt>
                <c:pt idx="162">
                  <c:v>-123.13223827906297</c:v>
                </c:pt>
                <c:pt idx="163">
                  <c:v>-123.13223827906297</c:v>
                </c:pt>
                <c:pt idx="164">
                  <c:v>-123.65577940693395</c:v>
                </c:pt>
                <c:pt idx="165">
                  <c:v>-123.65577940693395</c:v>
                </c:pt>
                <c:pt idx="166">
                  <c:v>-123.65577940693395</c:v>
                </c:pt>
                <c:pt idx="167">
                  <c:v>-123.65577940693395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0.94804269898302018</c:v>
                </c:pt>
                <c:pt idx="1">
                  <c:v>1.8529964954788567</c:v>
                </c:pt>
                <c:pt idx="2">
                  <c:v>2.7627651660884149</c:v>
                </c:pt>
                <c:pt idx="3">
                  <c:v>3.7219379622813675</c:v>
                </c:pt>
                <c:pt idx="4">
                  <c:v>4.658214801584367</c:v>
                </c:pt>
                <c:pt idx="5">
                  <c:v>5.5977417580505753</c:v>
                </c:pt>
                <c:pt idx="6">
                  <c:v>6.4790387054548848</c:v>
                </c:pt>
                <c:pt idx="7">
                  <c:v>7.4689872101451735</c:v>
                </c:pt>
                <c:pt idx="8">
                  <c:v>8.4580961362345057</c:v>
                </c:pt>
                <c:pt idx="9">
                  <c:v>9.391129763057025</c:v>
                </c:pt>
                <c:pt idx="10">
                  <c:v>10.349479011182172</c:v>
                </c:pt>
                <c:pt idx="11">
                  <c:v>11.384546949228959</c:v>
                </c:pt>
                <c:pt idx="12">
                  <c:v>12.385449475192138</c:v>
                </c:pt>
                <c:pt idx="13">
                  <c:v>13.346270665384157</c:v>
                </c:pt>
                <c:pt idx="14">
                  <c:v>14.37961379543423</c:v>
                </c:pt>
                <c:pt idx="15">
                  <c:v>15.354516242338722</c:v>
                </c:pt>
                <c:pt idx="16">
                  <c:v>16.307112763916802</c:v>
                </c:pt>
                <c:pt idx="17">
                  <c:v>17.244201485098731</c:v>
                </c:pt>
                <c:pt idx="18">
                  <c:v>18.044270080235183</c:v>
                </c:pt>
                <c:pt idx="19">
                  <c:v>18.84213140115553</c:v>
                </c:pt>
                <c:pt idx="20">
                  <c:v>19.73441819742127</c:v>
                </c:pt>
                <c:pt idx="21">
                  <c:v>20.630650323777331</c:v>
                </c:pt>
                <c:pt idx="22">
                  <c:v>21.562874226041931</c:v>
                </c:pt>
                <c:pt idx="23">
                  <c:v>22.46941447387788</c:v>
                </c:pt>
                <c:pt idx="24">
                  <c:v>23.329753863162846</c:v>
                </c:pt>
                <c:pt idx="25">
                  <c:v>24.199369200984474</c:v>
                </c:pt>
                <c:pt idx="26">
                  <c:v>25.173439874010349</c:v>
                </c:pt>
                <c:pt idx="27">
                  <c:v>26.117854957957267</c:v>
                </c:pt>
                <c:pt idx="28">
                  <c:v>27.010929961527914</c:v>
                </c:pt>
                <c:pt idx="29">
                  <c:v>27.941535708674976</c:v>
                </c:pt>
                <c:pt idx="30">
                  <c:v>28.818148447111113</c:v>
                </c:pt>
                <c:pt idx="31">
                  <c:v>29.70336068953117</c:v>
                </c:pt>
                <c:pt idx="32">
                  <c:v>30.62590153070558</c:v>
                </c:pt>
                <c:pt idx="33">
                  <c:v>31.500956293702647</c:v>
                </c:pt>
                <c:pt idx="34">
                  <c:v>32.327809824626634</c:v>
                </c:pt>
                <c:pt idx="35">
                  <c:v>33.107425195352832</c:v>
                </c:pt>
                <c:pt idx="36">
                  <c:v>33.908967423635289</c:v>
                </c:pt>
                <c:pt idx="37">
                  <c:v>34.700229772036884</c:v>
                </c:pt>
                <c:pt idx="38">
                  <c:v>35.480569912311822</c:v>
                </c:pt>
                <c:pt idx="39">
                  <c:v>36.160858534562749</c:v>
                </c:pt>
                <c:pt idx="40">
                  <c:v>36.879715952141417</c:v>
                </c:pt>
                <c:pt idx="41">
                  <c:v>37.615217312928735</c:v>
                </c:pt>
                <c:pt idx="42">
                  <c:v>38.336142076303659</c:v>
                </c:pt>
                <c:pt idx="43">
                  <c:v>39.085697400122797</c:v>
                </c:pt>
                <c:pt idx="44">
                  <c:v>39.792910665571306</c:v>
                </c:pt>
                <c:pt idx="45">
                  <c:v>40.480537495147104</c:v>
                </c:pt>
                <c:pt idx="46">
                  <c:v>41.203533357284073</c:v>
                </c:pt>
                <c:pt idx="47">
                  <c:v>41.850451039766916</c:v>
                </c:pt>
                <c:pt idx="48">
                  <c:v>42.501239245467723</c:v>
                </c:pt>
                <c:pt idx="49">
                  <c:v>43.170285286284049</c:v>
                </c:pt>
                <c:pt idx="50">
                  <c:v>43.839331327100375</c:v>
                </c:pt>
                <c:pt idx="51">
                  <c:v>44.501819717624265</c:v>
                </c:pt>
                <c:pt idx="52">
                  <c:v>45.235227426740416</c:v>
                </c:pt>
                <c:pt idx="53">
                  <c:v>45.950647603322182</c:v>
                </c:pt>
                <c:pt idx="54">
                  <c:v>46.657179663277454</c:v>
                </c:pt>
                <c:pt idx="55">
                  <c:v>47.356922519284645</c:v>
                </c:pt>
                <c:pt idx="56">
                  <c:v>47.999343224412605</c:v>
                </c:pt>
                <c:pt idx="57">
                  <c:v>48.635374438123478</c:v>
                </c:pt>
                <c:pt idx="58">
                  <c:v>49.365301089116905</c:v>
                </c:pt>
                <c:pt idx="59">
                  <c:v>50.095227740110332</c:v>
                </c:pt>
                <c:pt idx="60">
                  <c:v>50.892354149545923</c:v>
                </c:pt>
                <c:pt idx="61">
                  <c:v>51.594129406084981</c:v>
                </c:pt>
                <c:pt idx="62">
                  <c:v>52.271761986908693</c:v>
                </c:pt>
                <c:pt idx="63">
                  <c:v>52.87892629203558</c:v>
                </c:pt>
                <c:pt idx="64">
                  <c:v>53.556558872859291</c:v>
                </c:pt>
                <c:pt idx="65">
                  <c:v>54.240843951488394</c:v>
                </c:pt>
                <c:pt idx="66">
                  <c:v>54.931151630433391</c:v>
                </c:pt>
                <c:pt idx="67">
                  <c:v>55.645199826513959</c:v>
                </c:pt>
                <c:pt idx="68">
                  <c:v>56.355825356659359</c:v>
                </c:pt>
                <c:pt idx="69">
                  <c:v>57.026846722170554</c:v>
                </c:pt>
                <c:pt idx="70">
                  <c:v>57.630309092858191</c:v>
                </c:pt>
                <c:pt idx="71">
                  <c:v>58.236855397248917</c:v>
                </c:pt>
                <c:pt idx="72">
                  <c:v>58.929850551158644</c:v>
                </c:pt>
                <c:pt idx="73">
                  <c:v>59.56715639434784</c:v>
                </c:pt>
                <c:pt idx="74">
                  <c:v>60.180522986060041</c:v>
                </c:pt>
                <c:pt idx="75">
                  <c:v>60.771750619341312</c:v>
                </c:pt>
                <c:pt idx="76">
                  <c:v>61.367242050578191</c:v>
                </c:pt>
                <c:pt idx="77">
                  <c:v>61.954830710448284</c:v>
                </c:pt>
                <c:pt idx="78">
                  <c:v>62.531589283882731</c:v>
                </c:pt>
                <c:pt idx="79">
                  <c:v>63.125860471504495</c:v>
                </c:pt>
                <c:pt idx="80">
                  <c:v>63.684857293535281</c:v>
                </c:pt>
                <c:pt idx="81">
                  <c:v>64.279738401322732</c:v>
                </c:pt>
                <c:pt idx="82">
                  <c:v>64.860693215275532</c:v>
                </c:pt>
                <c:pt idx="83">
                  <c:v>65.491008799103582</c:v>
                </c:pt>
                <c:pt idx="84">
                  <c:v>66.103753338158839</c:v>
                </c:pt>
                <c:pt idx="85">
                  <c:v>66.75067102064169</c:v>
                </c:pt>
                <c:pt idx="86">
                  <c:v>67.327429594076136</c:v>
                </c:pt>
                <c:pt idx="87">
                  <c:v>67.8823336819937</c:v>
                </c:pt>
                <c:pt idx="88">
                  <c:v>68.441916773218935</c:v>
                </c:pt>
                <c:pt idx="89">
                  <c:v>68.989271761167402</c:v>
                </c:pt>
                <c:pt idx="90">
                  <c:v>69.556512643697673</c:v>
                </c:pt>
                <c:pt idx="91">
                  <c:v>70.107343489722581</c:v>
                </c:pt>
                <c:pt idx="92">
                  <c:v>70.648363148479234</c:v>
                </c:pt>
                <c:pt idx="93">
                  <c:v>71.24507643678173</c:v>
                </c:pt>
                <c:pt idx="94">
                  <c:v>71.841789725084226</c:v>
                </c:pt>
                <c:pt idx="95">
                  <c:v>72.484210430212187</c:v>
                </c:pt>
                <c:pt idx="96">
                  <c:v>73.080312588261137</c:v>
                </c:pt>
                <c:pt idx="97">
                  <c:v>73.685007318744368</c:v>
                </c:pt>
                <c:pt idx="98">
                  <c:v>74.32167564300363</c:v>
                </c:pt>
                <c:pt idx="99">
                  <c:v>74.979598151359568</c:v>
                </c:pt>
                <c:pt idx="100">
                  <c:v>75.650619516870762</c:v>
                </c:pt>
                <c:pt idx="101">
                  <c:v>76.28283663919494</c:v>
                </c:pt>
                <c:pt idx="102">
                  <c:v>76.91315222302299</c:v>
                </c:pt>
                <c:pt idx="103">
                  <c:v>77.514154726065058</c:v>
                </c:pt>
                <c:pt idx="104">
                  <c:v>78.104774857221017</c:v>
                </c:pt>
                <c:pt idx="105">
                  <c:v>78.730667782002513</c:v>
                </c:pt>
                <c:pt idx="106">
                  <c:v>79.335362512485744</c:v>
                </c:pt>
                <c:pt idx="107">
                  <c:v>79.943145223194506</c:v>
                </c:pt>
                <c:pt idx="108">
                  <c:v>80.499216673443641</c:v>
                </c:pt>
                <c:pt idx="109">
                  <c:v>81.089229705203238</c:v>
                </c:pt>
                <c:pt idx="110">
                  <c:v>81.780880293166291</c:v>
                </c:pt>
                <c:pt idx="111">
                  <c:v>82.490139669730766</c:v>
                </c:pt>
                <c:pt idx="112">
                  <c:v>83.165784554389802</c:v>
                </c:pt>
                <c:pt idx="113">
                  <c:v>83.846738219569545</c:v>
                </c:pt>
                <c:pt idx="114">
                  <c:v>84.500763134850033</c:v>
                </c:pt>
                <c:pt idx="115">
                  <c:v>85.161944932449856</c:v>
                </c:pt>
                <c:pt idx="116">
                  <c:v>85.830333355665502</c:v>
                </c:pt>
                <c:pt idx="117">
                  <c:v>86.464455687287398</c:v>
                </c:pt>
                <c:pt idx="118">
                  <c:v>87.035253698924677</c:v>
                </c:pt>
                <c:pt idx="119">
                  <c:v>87.571695928535405</c:v>
                </c:pt>
                <c:pt idx="120">
                  <c:v>88.16413977457205</c:v>
                </c:pt>
                <c:pt idx="121">
                  <c:v>88.781872096339711</c:v>
                </c:pt>
                <c:pt idx="122">
                  <c:v>89.418540420598973</c:v>
                </c:pt>
                <c:pt idx="123">
                  <c:v>90.073213908493713</c:v>
                </c:pt>
                <c:pt idx="124">
                  <c:v>90.706065692618566</c:v>
                </c:pt>
                <c:pt idx="125">
                  <c:v>91.355562084788659</c:v>
                </c:pt>
                <c:pt idx="126">
                  <c:v>91.999907610257537</c:v>
                </c:pt>
                <c:pt idx="127">
                  <c:v>92.594788718044995</c:v>
                </c:pt>
                <c:pt idx="128">
                  <c:v>93.23018322951576</c:v>
                </c:pt>
                <c:pt idx="129">
                  <c:v>93.851673444331055</c:v>
                </c:pt>
                <c:pt idx="130">
                  <c:v>94.505698359611543</c:v>
                </c:pt>
                <c:pt idx="131">
                  <c:v>95.143642130185398</c:v>
                </c:pt>
                <c:pt idx="132">
                  <c:v>95.785422046703758</c:v>
                </c:pt>
                <c:pt idx="133">
                  <c:v>96.447256935179411</c:v>
                </c:pt>
                <c:pt idx="134">
                  <c:v>97.098045140880217</c:v>
                </c:pt>
                <c:pt idx="135">
                  <c:v>97.815526412074647</c:v>
                </c:pt>
                <c:pt idx="136">
                  <c:v>98.535072528026731</c:v>
                </c:pt>
                <c:pt idx="137">
                  <c:v>99.277579925726002</c:v>
                </c:pt>
                <c:pt idx="138">
                  <c:v>99.985474812397726</c:v>
                </c:pt>
                <c:pt idx="139">
                  <c:v>100.73079635049118</c:v>
                </c:pt>
                <c:pt idx="140">
                  <c:v>101.44484454657174</c:v>
                </c:pt>
                <c:pt idx="141">
                  <c:v>102.12181414927217</c:v>
                </c:pt>
                <c:pt idx="142">
                  <c:v>102.76873183175502</c:v>
                </c:pt>
                <c:pt idx="143">
                  <c:v>103.42146083271847</c:v>
                </c:pt>
                <c:pt idx="144">
                  <c:v>104.09446123220854</c:v>
                </c:pt>
                <c:pt idx="145">
                  <c:v>104.74913472010329</c:v>
                </c:pt>
                <c:pt idx="146">
                  <c:v>105.44011364647429</c:v>
                </c:pt>
                <c:pt idx="147">
                  <c:v>106.16103840984921</c:v>
                </c:pt>
                <c:pt idx="148">
                  <c:v>106.86893329652094</c:v>
                </c:pt>
                <c:pt idx="149">
                  <c:v>107.51263680605179</c:v>
                </c:pt>
                <c:pt idx="150">
                  <c:v>108.18761995065663</c:v>
                </c:pt>
                <c:pt idx="151">
                  <c:v>108.89961329858166</c:v>
                </c:pt>
                <c:pt idx="152">
                  <c:v>109.59867951786998</c:v>
                </c:pt>
                <c:pt idx="153">
                  <c:v>110.35106575446392</c:v>
                </c:pt>
                <c:pt idx="154">
                  <c:v>111.09497938433559</c:v>
                </c:pt>
                <c:pt idx="155">
                  <c:v>111.85804138486198</c:v>
                </c:pt>
                <c:pt idx="156">
                  <c:v>112.61539788039745</c:v>
                </c:pt>
                <c:pt idx="157">
                  <c:v>113.43999831469573</c:v>
                </c:pt>
                <c:pt idx="158">
                  <c:v>114.20163141656083</c:v>
                </c:pt>
                <c:pt idx="159">
                  <c:v>114.90408497028544</c:v>
                </c:pt>
                <c:pt idx="160">
                  <c:v>115.5991000810111</c:v>
                </c:pt>
                <c:pt idx="161">
                  <c:v>116.2583250723181</c:v>
                </c:pt>
                <c:pt idx="162">
                  <c:v>116.93794906473663</c:v>
                </c:pt>
                <c:pt idx="163">
                  <c:v>117.67205423955473</c:v>
                </c:pt>
                <c:pt idx="164">
                  <c:v>118.45529767807822</c:v>
                </c:pt>
                <c:pt idx="165">
                  <c:v>119.27241541613938</c:v>
                </c:pt>
                <c:pt idx="166">
                  <c:v>120.05856890764984</c:v>
                </c:pt>
                <c:pt idx="167">
                  <c:v>120.86599704436831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-5.412604812147534E-2</c:v>
                </c:pt>
                <c:pt idx="2">
                  <c:v>-1.3078689178029901E-2</c:v>
                </c:pt>
                <c:pt idx="3">
                  <c:v>0.11752823693416292</c:v>
                </c:pt>
                <c:pt idx="4">
                  <c:v>0.32409093288979673</c:v>
                </c:pt>
                <c:pt idx="5">
                  <c:v>0.60139481186005783</c:v>
                </c:pt>
                <c:pt idx="6">
                  <c:v>0.92355516209224087</c:v>
                </c:pt>
                <c:pt idx="7">
                  <c:v>1.3357644865558589</c:v>
                </c:pt>
                <c:pt idx="8">
                  <c:v>1.8022197600802268</c:v>
                </c:pt>
                <c:pt idx="9">
                  <c:v>2.2920552058720132</c:v>
                </c:pt>
                <c:pt idx="10">
                  <c:v>2.8322891082712083</c:v>
                </c:pt>
                <c:pt idx="11">
                  <c:v>3.4462222405767693</c:v>
                </c:pt>
                <c:pt idx="12">
                  <c:v>4.0762420697431097</c:v>
                </c:pt>
                <c:pt idx="13">
                  <c:v>4.7119707535043638</c:v>
                </c:pt>
                <c:pt idx="14">
                  <c:v>5.4106246031467595</c:v>
                </c:pt>
                <c:pt idx="15">
                  <c:v>6.0956734745856975</c:v>
                </c:pt>
                <c:pt idx="16">
                  <c:v>6.7827268517462791</c:v>
                </c:pt>
                <c:pt idx="17">
                  <c:v>7.4721832367068206</c:v>
                </c:pt>
                <c:pt idx="18">
                  <c:v>8.0893815125767947</c:v>
                </c:pt>
                <c:pt idx="19">
                  <c:v>8.7104616217337227</c:v>
                </c:pt>
                <c:pt idx="20">
                  <c:v>9.3913981841229877</c:v>
                </c:pt>
                <c:pt idx="21">
                  <c:v>10.077268738734688</c:v>
                </c:pt>
                <c:pt idx="22">
                  <c:v>10.785831034256844</c:v>
                </c:pt>
                <c:pt idx="23">
                  <c:v>11.478236827754024</c:v>
                </c:pt>
                <c:pt idx="24">
                  <c:v>12.141025802234784</c:v>
                </c:pt>
                <c:pt idx="25">
                  <c:v>12.806346504152982</c:v>
                </c:pt>
                <c:pt idx="26">
                  <c:v>13.529729672098224</c:v>
                </c:pt>
                <c:pt idx="27">
                  <c:v>14.229452919614207</c:v>
                </c:pt>
                <c:pt idx="28">
                  <c:v>14.892483990752025</c:v>
                </c:pt>
                <c:pt idx="29">
                  <c:v>15.57012195424087</c:v>
                </c:pt>
                <c:pt idx="30">
                  <c:v>16.208899928887991</c:v>
                </c:pt>
                <c:pt idx="31">
                  <c:v>16.844388856724642</c:v>
                </c:pt>
                <c:pt idx="32">
                  <c:v>17.491734400708019</c:v>
                </c:pt>
                <c:pt idx="33">
                  <c:v>18.10346298517571</c:v>
                </c:pt>
                <c:pt idx="34">
                  <c:v>18.680200064494777</c:v>
                </c:pt>
                <c:pt idx="35">
                  <c:v>19.223525849709468</c:v>
                </c:pt>
                <c:pt idx="36">
                  <c:v>19.769569918383933</c:v>
                </c:pt>
                <c:pt idx="37">
                  <c:v>20.301479310560023</c:v>
                </c:pt>
                <c:pt idx="38">
                  <c:v>20.819040354123661</c:v>
                </c:pt>
                <c:pt idx="39">
                  <c:v>21.279737753831107</c:v>
                </c:pt>
                <c:pt idx="40">
                  <c:v>21.751148749833241</c:v>
                </c:pt>
                <c:pt idx="41">
                  <c:v>22.222184429594556</c:v>
                </c:pt>
                <c:pt idx="42">
                  <c:v>22.678186750125512</c:v>
                </c:pt>
                <c:pt idx="43">
                  <c:v>23.138771280078124</c:v>
                </c:pt>
                <c:pt idx="44">
                  <c:v>23.57211277966254</c:v>
                </c:pt>
                <c:pt idx="45">
                  <c:v>23.989058632412856</c:v>
                </c:pt>
                <c:pt idx="46">
                  <c:v>24.413189313082967</c:v>
                </c:pt>
                <c:pt idx="47">
                  <c:v>24.797764243220886</c:v>
                </c:pt>
                <c:pt idx="48">
                  <c:v>25.176878495753193</c:v>
                </c:pt>
                <c:pt idx="49">
                  <c:v>25.556165919819154</c:v>
                </c:pt>
                <c:pt idx="50">
                  <c:v>25.928165308162811</c:v>
                </c:pt>
                <c:pt idx="51">
                  <c:v>26.290428004577286</c:v>
                </c:pt>
                <c:pt idx="52">
                  <c:v>26.672127253969183</c:v>
                </c:pt>
                <c:pt idx="53">
                  <c:v>27.039095092038572</c:v>
                </c:pt>
                <c:pt idx="54">
                  <c:v>27.395106834982762</c:v>
                </c:pt>
                <c:pt idx="55">
                  <c:v>27.741185655640784</c:v>
                </c:pt>
                <c:pt idx="56">
                  <c:v>28.060277435380449</c:v>
                </c:pt>
                <c:pt idx="57">
                  <c:v>28.370773461298398</c:v>
                </c:pt>
                <c:pt idx="58">
                  <c:v>28.705851626727927</c:v>
                </c:pt>
                <c:pt idx="59">
                  <c:v>29.033375885869269</c:v>
                </c:pt>
                <c:pt idx="60">
                  <c:v>29.374735699833845</c:v>
                </c:pt>
                <c:pt idx="61">
                  <c:v>29.678330781149832</c:v>
                </c:pt>
                <c:pt idx="62">
                  <c:v>29.967867665371131</c:v>
                </c:pt>
                <c:pt idx="63">
                  <c:v>30.230437362747296</c:v>
                </c:pt>
                <c:pt idx="64">
                  <c:v>30.507738007313062</c:v>
                </c:pt>
                <c:pt idx="65">
                  <c:v>30.780696476209613</c:v>
                </c:pt>
                <c:pt idx="66">
                  <c:v>31.049114851308921</c:v>
                </c:pt>
                <c:pt idx="67">
                  <c:v>31.317734438216643</c:v>
                </c:pt>
                <c:pt idx="68">
                  <c:v>31.579103096346813</c:v>
                </c:pt>
                <c:pt idx="69">
                  <c:v>31.824167779310251</c:v>
                </c:pt>
                <c:pt idx="70">
                  <c:v>32.046842796949129</c:v>
                </c:pt>
                <c:pt idx="71">
                  <c:v>32.265504450258796</c:v>
                </c:pt>
                <c:pt idx="72">
                  <c:v>32.500028521858106</c:v>
                </c:pt>
                <c:pt idx="73">
                  <c:v>32.716033874517784</c:v>
                </c:pt>
                <c:pt idx="74">
                  <c:v>32.921753011823348</c:v>
                </c:pt>
                <c:pt idx="75">
                  <c:v>33.118041899052777</c:v>
                </c:pt>
                <c:pt idx="76">
                  <c:v>33.311026110687102</c:v>
                </c:pt>
                <c:pt idx="77">
                  <c:v>33.49814277641179</c:v>
                </c:pt>
                <c:pt idx="78">
                  <c:v>33.678971307874221</c:v>
                </c:pt>
                <c:pt idx="79">
                  <c:v>33.859481954227135</c:v>
                </c:pt>
                <c:pt idx="80">
                  <c:v>34.029038366499705</c:v>
                </c:pt>
                <c:pt idx="81">
                  <c:v>34.201987211463205</c:v>
                </c:pt>
                <c:pt idx="82">
                  <c:v>34.368476619152197</c:v>
                </c:pt>
                <c:pt idx="83">
                  <c:v>34.540520769653433</c:v>
                </c:pt>
                <c:pt idx="84">
                  <c:v>34.705404474838261</c:v>
                </c:pt>
                <c:pt idx="85">
                  <c:v>34.872622015190565</c:v>
                </c:pt>
                <c:pt idx="86">
                  <c:v>35.023729592046045</c:v>
                </c:pt>
                <c:pt idx="87">
                  <c:v>35.16782815722177</c:v>
                </c:pt>
                <c:pt idx="88">
                  <c:v>35.30962128675111</c:v>
                </c:pt>
                <c:pt idx="89">
                  <c:v>35.446376344419683</c:v>
                </c:pt>
                <c:pt idx="90">
                  <c:v>35.583378545243527</c:v>
                </c:pt>
                <c:pt idx="91">
                  <c:v>35.714843476841914</c:v>
                </c:pt>
                <c:pt idx="92">
                  <c:v>35.841998718102587</c:v>
                </c:pt>
                <c:pt idx="93">
                  <c:v>35.974738111244591</c:v>
                </c:pt>
                <c:pt idx="94">
                  <c:v>36.104467171765336</c:v>
                </c:pt>
                <c:pt idx="95">
                  <c:v>36.237750480315022</c:v>
                </c:pt>
                <c:pt idx="96">
                  <c:v>36.361415976111758</c:v>
                </c:pt>
                <c:pt idx="97">
                  <c:v>36.483430843416919</c:v>
                </c:pt>
                <c:pt idx="98">
                  <c:v>36.606875180385082</c:v>
                </c:pt>
                <c:pt idx="99">
                  <c:v>36.730127156019023</c:v>
                </c:pt>
                <c:pt idx="100">
                  <c:v>36.852024246072673</c:v>
                </c:pt>
                <c:pt idx="101">
                  <c:v>36.966113256773433</c:v>
                </c:pt>
                <c:pt idx="102">
                  <c:v>37.077254673032478</c:v>
                </c:pt>
                <c:pt idx="103">
                  <c:v>37.18231307811493</c:v>
                </c:pt>
                <c:pt idx="104">
                  <c:v>37.283759198774689</c:v>
                </c:pt>
                <c:pt idx="105">
                  <c:v>37.386837416326124</c:v>
                </c:pt>
                <c:pt idx="106">
                  <c:v>37.485151455620553</c:v>
                </c:pt>
                <c:pt idx="107">
                  <c:v>37.581512671199206</c:v>
                </c:pt>
                <c:pt idx="108">
                  <c:v>37.67024197636826</c:v>
                </c:pt>
                <c:pt idx="109">
                  <c:v>37.760477645094554</c:v>
                </c:pt>
                <c:pt idx="110">
                  <c:v>37.858790888030875</c:v>
                </c:pt>
                <c:pt idx="111">
                  <c:v>37.956315747846816</c:v>
                </c:pt>
                <c:pt idx="112">
                  <c:v>38.048112689591598</c:v>
                </c:pt>
                <c:pt idx="113">
                  <c:v>38.138096268972383</c:v>
                </c:pt>
                <c:pt idx="114">
                  <c:v>38.223380810692902</c:v>
                </c:pt>
                <c:pt idx="115">
                  <c:v>38.30720034671473</c:v>
                </c:pt>
                <c:pt idx="116">
                  <c:v>38.389564311681404</c:v>
                </c:pt>
                <c:pt idx="117">
                  <c:v>38.467013903176898</c:v>
                </c:pt>
                <c:pt idx="118">
                  <c:v>38.537452699149277</c:v>
                </c:pt>
                <c:pt idx="119">
                  <c:v>38.603584983397418</c:v>
                </c:pt>
                <c:pt idx="120">
                  <c:v>38.67264930719508</c:v>
                </c:pt>
                <c:pt idx="121">
                  <c:v>38.742051683050903</c:v>
                </c:pt>
                <c:pt idx="122">
                  <c:v>38.811224133883222</c:v>
                </c:pt>
                <c:pt idx="123">
                  <c:v>38.880038966746014</c:v>
                </c:pt>
                <c:pt idx="124">
                  <c:v>38.945622301607294</c:v>
                </c:pt>
                <c:pt idx="125">
                  <c:v>39.01078566655098</c:v>
                </c:pt>
                <c:pt idx="126">
                  <c:v>39.074015009624482</c:v>
                </c:pt>
                <c:pt idx="127">
                  <c:v>39.132464407111819</c:v>
                </c:pt>
                <c:pt idx="128">
                  <c:v>39.192174912160077</c:v>
                </c:pt>
                <c:pt idx="129">
                  <c:v>39.249584786038028</c:v>
                </c:pt>
                <c:pt idx="130">
                  <c:v>39.307634624348722</c:v>
                </c:pt>
                <c:pt idx="131">
                  <c:v>39.363308534740945</c:v>
                </c:pt>
                <c:pt idx="132">
                  <c:v>39.417873687969944</c:v>
                </c:pt>
                <c:pt idx="133">
                  <c:v>39.472271289134298</c:v>
                </c:pt>
                <c:pt idx="134">
                  <c:v>39.524722372717484</c:v>
                </c:pt>
                <c:pt idx="135">
                  <c:v>39.57953062822898</c:v>
                </c:pt>
                <c:pt idx="136">
                  <c:v>39.633031076648251</c:v>
                </c:pt>
                <c:pt idx="137">
                  <c:v>39.686336663189728</c:v>
                </c:pt>
                <c:pt idx="138">
                  <c:v>39.736488239770672</c:v>
                </c:pt>
                <c:pt idx="139">
                  <c:v>39.787199797750716</c:v>
                </c:pt>
                <c:pt idx="140">
                  <c:v>39.835074805977953</c:v>
                </c:pt>
                <c:pt idx="141">
                  <c:v>39.880001864751648</c:v>
                </c:pt>
                <c:pt idx="142">
                  <c:v>39.922465256168195</c:v>
                </c:pt>
                <c:pt idx="143">
                  <c:v>39.964174602277353</c:v>
                </c:pt>
                <c:pt idx="144">
                  <c:v>40.00576053910175</c:v>
                </c:pt>
                <c:pt idx="145">
                  <c:v>40.045562646477293</c:v>
                </c:pt>
                <c:pt idx="146">
                  <c:v>40.085905932578356</c:v>
                </c:pt>
                <c:pt idx="147">
                  <c:v>40.126454383105404</c:v>
                </c:pt>
                <c:pt idx="148">
                  <c:v>40.165461088261303</c:v>
                </c:pt>
                <c:pt idx="149">
                  <c:v>40.201046933592494</c:v>
                </c:pt>
                <c:pt idx="150">
                  <c:v>40.236961691587922</c:v>
                </c:pt>
                <c:pt idx="151">
                  <c:v>40.273354797071022</c:v>
                </c:pt>
                <c:pt idx="152">
                  <c:v>40.308379851419559</c:v>
                </c:pt>
                <c:pt idx="153">
                  <c:v>40.344391267702356</c:v>
                </c:pt>
                <c:pt idx="154">
                  <c:v>40.379183900896841</c:v>
                </c:pt>
                <c:pt idx="155">
                  <c:v>40.413717780438738</c:v>
                </c:pt>
                <c:pt idx="156">
                  <c:v>40.447169825845648</c:v>
                </c:pt>
                <c:pt idx="157">
                  <c:v>40.481875037414717</c:v>
                </c:pt>
                <c:pt idx="158">
                  <c:v>40.513701635909449</c:v>
                </c:pt>
                <c:pt idx="159">
                  <c:v>40.542956161313306</c:v>
                </c:pt>
                <c:pt idx="160">
                  <c:v>40.57128757118879</c:v>
                </c:pt>
                <c:pt idx="161">
                  <c:v>40.597935411977211</c:v>
                </c:pt>
                <c:pt idx="162">
                  <c:v>40.624527774944539</c:v>
                </c:pt>
                <c:pt idx="163">
                  <c:v>40.651957981277356</c:v>
                </c:pt>
                <c:pt idx="164">
                  <c:v>40.680003477487261</c:v>
                </c:pt>
                <c:pt idx="165">
                  <c:v>40.708197714077968</c:v>
                </c:pt>
                <c:pt idx="166">
                  <c:v>40.734865631519227</c:v>
                </c:pt>
                <c:pt idx="167">
                  <c:v>40.761495209109981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1.5298380824423061</c:v>
                </c:pt>
                <c:pt idx="15">
                  <c:v>1.5872084993253912</c:v>
                </c:pt>
                <c:pt idx="16">
                  <c:v>1.6498644916719156</c:v>
                </c:pt>
                <c:pt idx="17">
                  <c:v>1.7145583958168287</c:v>
                </c:pt>
                <c:pt idx="18">
                  <c:v>1.7797166965275555</c:v>
                </c:pt>
                <c:pt idx="19">
                  <c:v>1.8511977674812321</c:v>
                </c:pt>
                <c:pt idx="20">
                  <c:v>1.9240664917319363</c:v>
                </c:pt>
                <c:pt idx="21">
                  <c:v>1.9962067184221322</c:v>
                </c:pt>
                <c:pt idx="22">
                  <c:v>2.0742894579957016</c:v>
                </c:pt>
                <c:pt idx="23">
                  <c:v>2.1542222831708209</c:v>
                </c:pt>
                <c:pt idx="24">
                  <c:v>2.240183974868398</c:v>
                </c:pt>
                <c:pt idx="25">
                  <c:v>2.3246126658820678</c:v>
                </c:pt>
                <c:pt idx="26">
                  <c:v>2.4124798003771764</c:v>
                </c:pt>
                <c:pt idx="27">
                  <c:v>2.5080977002442797</c:v>
                </c:pt>
                <c:pt idx="28">
                  <c:v>2.6146366160159924</c:v>
                </c:pt>
                <c:pt idx="29">
                  <c:v>2.7267142540763079</c:v>
                </c:pt>
                <c:pt idx="30">
                  <c:v>2.8395038008920275</c:v>
                </c:pt>
                <c:pt idx="31">
                  <c:v>2.961624997388157</c:v>
                </c:pt>
                <c:pt idx="32">
                  <c:v>3.0804636581886742</c:v>
                </c:pt>
                <c:pt idx="33">
                  <c:v>3.1998531936754797</c:v>
                </c:pt>
                <c:pt idx="34">
                  <c:v>3.3223984227768431</c:v>
                </c:pt>
                <c:pt idx="35">
                  <c:v>3.4581871885036732</c:v>
                </c:pt>
                <c:pt idx="36">
                  <c:v>3.6107060884665851</c:v>
                </c:pt>
                <c:pt idx="37">
                  <c:v>3.7645151376026007</c:v>
                </c:pt>
                <c:pt idx="38">
                  <c:v>3.9181644441932426</c:v>
                </c:pt>
                <c:pt idx="39">
                  <c:v>4.0758874545655495</c:v>
                </c:pt>
                <c:pt idx="40">
                  <c:v>4.2432680131583425</c:v>
                </c:pt>
                <c:pt idx="41">
                  <c:v>4.4233396942084466</c:v>
                </c:pt>
                <c:pt idx="42">
                  <c:v>4.6148930954488918</c:v>
                </c:pt>
                <c:pt idx="43">
                  <c:v>4.8075082343699194</c:v>
                </c:pt>
                <c:pt idx="44">
                  <c:v>5.0114175887170704</c:v>
                </c:pt>
                <c:pt idx="45">
                  <c:v>5.2106876307332302</c:v>
                </c:pt>
                <c:pt idx="46">
                  <c:v>5.4094500383727686</c:v>
                </c:pt>
                <c:pt idx="47">
                  <c:v>5.6162651774130641</c:v>
                </c:pt>
                <c:pt idx="48">
                  <c:v>5.8458864249495308</c:v>
                </c:pt>
                <c:pt idx="49">
                  <c:v>6.1080017153305244</c:v>
                </c:pt>
                <c:pt idx="50">
                  <c:v>6.3853086251902846</c:v>
                </c:pt>
                <c:pt idx="51">
                  <c:v>6.6649277821964681</c:v>
                </c:pt>
                <c:pt idx="52">
                  <c:v>6.9458991947192317</c:v>
                </c:pt>
                <c:pt idx="53">
                  <c:v>7.2421660944548352</c:v>
                </c:pt>
                <c:pt idx="54">
                  <c:v>7.5524052326557651</c:v>
                </c:pt>
                <c:pt idx="55">
                  <c:v>7.8775317254896002</c:v>
                </c:pt>
                <c:pt idx="56">
                  <c:v>8.2301471773085488</c:v>
                </c:pt>
                <c:pt idx="57">
                  <c:v>8.5981593046327944</c:v>
                </c:pt>
                <c:pt idx="58">
                  <c:v>9.0064519494429174</c:v>
                </c:pt>
                <c:pt idx="59">
                  <c:v>9.4371322365271357</c:v>
                </c:pt>
                <c:pt idx="60">
                  <c:v>9.8969719335483042</c:v>
                </c:pt>
                <c:pt idx="61">
                  <c:v>10.371768150846295</c:v>
                </c:pt>
                <c:pt idx="62">
                  <c:v>10.835368353190525</c:v>
                </c:pt>
                <c:pt idx="63">
                  <c:v>11.354396452442572</c:v>
                </c:pt>
                <c:pt idx="64">
                  <c:v>11.88896349096029</c:v>
                </c:pt>
                <c:pt idx="65">
                  <c:v>12.456532660692256</c:v>
                </c:pt>
                <c:pt idx="66">
                  <c:v>13.046121670754419</c:v>
                </c:pt>
                <c:pt idx="67">
                  <c:v>13.682553224514987</c:v>
                </c:pt>
                <c:pt idx="68">
                  <c:v>14.341731378015776</c:v>
                </c:pt>
                <c:pt idx="69">
                  <c:v>15.030781216905373</c:v>
                </c:pt>
                <c:pt idx="70">
                  <c:v>15.724942815373465</c:v>
                </c:pt>
                <c:pt idx="71">
                  <c:v>16.419771520490169</c:v>
                </c:pt>
                <c:pt idx="72">
                  <c:v>17.174158424606031</c:v>
                </c:pt>
                <c:pt idx="73">
                  <c:v>18.001027482871841</c:v>
                </c:pt>
                <c:pt idx="74">
                  <c:v>18.906749791520127</c:v>
                </c:pt>
                <c:pt idx="75">
                  <c:v>19.824323112335335</c:v>
                </c:pt>
                <c:pt idx="76">
                  <c:v>20.774924294925292</c:v>
                </c:pt>
                <c:pt idx="77">
                  <c:v>21.724821366214396</c:v>
                </c:pt>
                <c:pt idx="78">
                  <c:v>22.685819962916309</c:v>
                </c:pt>
                <c:pt idx="79">
                  <c:v>23.750225832518737</c:v>
                </c:pt>
                <c:pt idx="80">
                  <c:v>24.85828188150786</c:v>
                </c:pt>
                <c:pt idx="81">
                  <c:v>26.04064254661743</c:v>
                </c:pt>
                <c:pt idx="82">
                  <c:v>27.237807669666328</c:v>
                </c:pt>
                <c:pt idx="83">
                  <c:v>28.423621438435568</c:v>
                </c:pt>
                <c:pt idx="84">
                  <c:v>29.662531633499771</c:v>
                </c:pt>
                <c:pt idx="85">
                  <c:v>30.952411064428048</c:v>
                </c:pt>
                <c:pt idx="86">
                  <c:v>32.345330082340062</c:v>
                </c:pt>
                <c:pt idx="87">
                  <c:v>33.794976079201</c:v>
                </c:pt>
                <c:pt idx="88">
                  <c:v>35.344501553514576</c:v>
                </c:pt>
                <c:pt idx="89">
                  <c:v>36.999871322482257</c:v>
                </c:pt>
                <c:pt idx="90">
                  <c:v>38.679473623624958</c:v>
                </c:pt>
                <c:pt idx="91">
                  <c:v>40.365059675299911</c:v>
                </c:pt>
                <c:pt idx="92">
                  <c:v>42.116412148535488</c:v>
                </c:pt>
                <c:pt idx="93">
                  <c:v>43.919800489911815</c:v>
                </c:pt>
                <c:pt idx="94">
                  <c:v>45.740655064093126</c:v>
                </c:pt>
                <c:pt idx="95">
                  <c:v>47.478732974469843</c:v>
                </c:pt>
                <c:pt idx="96">
                  <c:v>49.548756942672007</c:v>
                </c:pt>
                <c:pt idx="97">
                  <c:v>51.747295473591805</c:v>
                </c:pt>
                <c:pt idx="98">
                  <c:v>54.017460145470494</c:v>
                </c:pt>
                <c:pt idx="99">
                  <c:v>56.163154180509444</c:v>
                </c:pt>
                <c:pt idx="100">
                  <c:v>58.288120904580836</c:v>
                </c:pt>
                <c:pt idx="101">
                  <c:v>60.626128584341309</c:v>
                </c:pt>
                <c:pt idx="102">
                  <c:v>62.934810395041275</c:v>
                </c:pt>
                <c:pt idx="103">
                  <c:v>65.355762533701878</c:v>
                </c:pt>
                <c:pt idx="104">
                  <c:v>67.770843966815548</c:v>
                </c:pt>
                <c:pt idx="105">
                  <c:v>70.319438733120009</c:v>
                </c:pt>
                <c:pt idx="106">
                  <c:v>72.925424427911153</c:v>
                </c:pt>
                <c:pt idx="107">
                  <c:v>75.659629444538794</c:v>
                </c:pt>
                <c:pt idx="108">
                  <c:v>78.395400120662103</c:v>
                </c:pt>
                <c:pt idx="109">
                  <c:v>81.080542696955007</c:v>
                </c:pt>
                <c:pt idx="110">
                  <c:v>83.841298922284992</c:v>
                </c:pt>
                <c:pt idx="111">
                  <c:v>86.709696069196866</c:v>
                </c:pt>
                <c:pt idx="112">
                  <c:v>89.660360279078148</c:v>
                </c:pt>
                <c:pt idx="113">
                  <c:v>92.589198530930688</c:v>
                </c:pt>
                <c:pt idx="114">
                  <c:v>95.626209506322112</c:v>
                </c:pt>
                <c:pt idx="115">
                  <c:v>98.632461667705385</c:v>
                </c:pt>
                <c:pt idx="116">
                  <c:v>101.58076949022558</c:v>
                </c:pt>
                <c:pt idx="117">
                  <c:v>104.48596269062328</c:v>
                </c:pt>
                <c:pt idx="118">
                  <c:v>107.42410653036765</c:v>
                </c:pt>
                <c:pt idx="119">
                  <c:v>110.40125333430468</c:v>
                </c:pt>
                <c:pt idx="120">
                  <c:v>113.40134321871768</c:v>
                </c:pt>
                <c:pt idx="121">
                  <c:v>116.57734565644915</c:v>
                </c:pt>
                <c:pt idx="122">
                  <c:v>119.67566876596727</c:v>
                </c:pt>
                <c:pt idx="123">
                  <c:v>122.7171446806494</c:v>
                </c:pt>
                <c:pt idx="124">
                  <c:v>125.8493878528041</c:v>
                </c:pt>
                <c:pt idx="125">
                  <c:v>128.97520042769304</c:v>
                </c:pt>
                <c:pt idx="126">
                  <c:v>132.01328089011312</c:v>
                </c:pt>
                <c:pt idx="127">
                  <c:v>135.01679780234389</c:v>
                </c:pt>
                <c:pt idx="128">
                  <c:v>137.9563466314697</c:v>
                </c:pt>
                <c:pt idx="129">
                  <c:v>140.89721612382763</c:v>
                </c:pt>
                <c:pt idx="130">
                  <c:v>143.73000642730744</c:v>
                </c:pt>
                <c:pt idx="131">
                  <c:v>146.44544551387483</c:v>
                </c:pt>
                <c:pt idx="132">
                  <c:v>149.02375131744591</c:v>
                </c:pt>
                <c:pt idx="133">
                  <c:v>151.50492338798551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29.623130030991092</c:v>
                </c:pt>
                <c:pt idx="1">
                  <c:v>29.770471271023322</c:v>
                </c:pt>
                <c:pt idx="2">
                  <c:v>29.45768497093724</c:v>
                </c:pt>
                <c:pt idx="3">
                  <c:v>29.637235774292144</c:v>
                </c:pt>
                <c:pt idx="4">
                  <c:v>29.848867951974473</c:v>
                </c:pt>
                <c:pt idx="5">
                  <c:v>29.858931563851268</c:v>
                </c:pt>
                <c:pt idx="6">
                  <c:v>30.129929854821746</c:v>
                </c:pt>
                <c:pt idx="7">
                  <c:v>30.423746790548993</c:v>
                </c:pt>
                <c:pt idx="8">
                  <c:v>30.738399279913377</c:v>
                </c:pt>
                <c:pt idx="9">
                  <c:v>31.082008479070481</c:v>
                </c:pt>
                <c:pt idx="10">
                  <c:v>31.443212678917696</c:v>
                </c:pt>
                <c:pt idx="11">
                  <c:v>31.810153749556335</c:v>
                </c:pt>
                <c:pt idx="12">
                  <c:v>32.186837869867006</c:v>
                </c:pt>
                <c:pt idx="13">
                  <c:v>32.545723056224027</c:v>
                </c:pt>
                <c:pt idx="14">
                  <c:v>33.021273470218276</c:v>
                </c:pt>
                <c:pt idx="15">
                  <c:v>33.436442459188243</c:v>
                </c:pt>
                <c:pt idx="16">
                  <c:v>33.641737208381841</c:v>
                </c:pt>
                <c:pt idx="17">
                  <c:v>33.773304659640836</c:v>
                </c:pt>
                <c:pt idx="18">
                  <c:v>34.243185428394391</c:v>
                </c:pt>
                <c:pt idx="19">
                  <c:v>34.762726305747208</c:v>
                </c:pt>
                <c:pt idx="20">
                  <c:v>35.283153834773017</c:v>
                </c:pt>
                <c:pt idx="21">
                  <c:v>35.7852631284658</c:v>
                </c:pt>
                <c:pt idx="22">
                  <c:v>36.31225948117779</c:v>
                </c:pt>
                <c:pt idx="23">
                  <c:v>36.816419906483688</c:v>
                </c:pt>
                <c:pt idx="24">
                  <c:v>37.378613740840478</c:v>
                </c:pt>
                <c:pt idx="25">
                  <c:v>37.916457172784021</c:v>
                </c:pt>
                <c:pt idx="26">
                  <c:v>38.436769493076326</c:v>
                </c:pt>
                <c:pt idx="27">
                  <c:v>38.975318369427171</c:v>
                </c:pt>
                <c:pt idx="28">
                  <c:v>39.586455427606964</c:v>
                </c:pt>
                <c:pt idx="29">
                  <c:v>40.255851604826631</c:v>
                </c:pt>
                <c:pt idx="30">
                  <c:v>40.916640315137847</c:v>
                </c:pt>
                <c:pt idx="31">
                  <c:v>41.485689839306666</c:v>
                </c:pt>
                <c:pt idx="32">
                  <c:v>42.134719724457995</c:v>
                </c:pt>
                <c:pt idx="33">
                  <c:v>42.763756237036219</c:v>
                </c:pt>
                <c:pt idx="34">
                  <c:v>43.388646306391884</c:v>
                </c:pt>
                <c:pt idx="35">
                  <c:v>44.041205834156287</c:v>
                </c:pt>
                <c:pt idx="36">
                  <c:v>44.792128742513732</c:v>
                </c:pt>
                <c:pt idx="37">
                  <c:v>45.51483840636304</c:v>
                </c:pt>
                <c:pt idx="38">
                  <c:v>46.171622076323082</c:v>
                </c:pt>
                <c:pt idx="39">
                  <c:v>46.778986856376029</c:v>
                </c:pt>
                <c:pt idx="40">
                  <c:v>47.391056622926648</c:v>
                </c:pt>
                <c:pt idx="41">
                  <c:v>48.030784678938375</c:v>
                </c:pt>
                <c:pt idx="42">
                  <c:v>48.691473953655525</c:v>
                </c:pt>
                <c:pt idx="43">
                  <c:v>49.316833831664511</c:v>
                </c:pt>
                <c:pt idx="44">
                  <c:v>49.975894304431726</c:v>
                </c:pt>
                <c:pt idx="45">
                  <c:v>50.590297937766337</c:v>
                </c:pt>
                <c:pt idx="46">
                  <c:v>51.147488785511342</c:v>
                </c:pt>
                <c:pt idx="47">
                  <c:v>51.680194327926571</c:v>
                </c:pt>
                <c:pt idx="48">
                  <c:v>52.240398199446524</c:v>
                </c:pt>
                <c:pt idx="49">
                  <c:v>52.903561237342998</c:v>
                </c:pt>
                <c:pt idx="50">
                  <c:v>53.621296410362028</c:v>
                </c:pt>
                <c:pt idx="51">
                  <c:v>54.353810622259395</c:v>
                </c:pt>
                <c:pt idx="52">
                  <c:v>55.003981473540293</c:v>
                </c:pt>
                <c:pt idx="53">
                  <c:v>55.6452464546012</c:v>
                </c:pt>
                <c:pt idx="54">
                  <c:v>56.255828409093013</c:v>
                </c:pt>
                <c:pt idx="55">
                  <c:v>56.833152030114363</c:v>
                </c:pt>
                <c:pt idx="56">
                  <c:v>57.375907214729096</c:v>
                </c:pt>
                <c:pt idx="57">
                  <c:v>57.889297007677996</c:v>
                </c:pt>
                <c:pt idx="58">
                  <c:v>58.420622947888695</c:v>
                </c:pt>
                <c:pt idx="59">
                  <c:v>58.996727050753321</c:v>
                </c:pt>
                <c:pt idx="60">
                  <c:v>59.547740532640631</c:v>
                </c:pt>
                <c:pt idx="61">
                  <c:v>60.157331033136302</c:v>
                </c:pt>
                <c:pt idx="62">
                  <c:v>60.637244892839227</c:v>
                </c:pt>
                <c:pt idx="63">
                  <c:v>61.183432983219284</c:v>
                </c:pt>
                <c:pt idx="64">
                  <c:v>61.767185627228017</c:v>
                </c:pt>
                <c:pt idx="65">
                  <c:v>62.291965522947855</c:v>
                </c:pt>
                <c:pt idx="66">
                  <c:v>62.771346441006024</c:v>
                </c:pt>
                <c:pt idx="67">
                  <c:v>63.23936140513306</c:v>
                </c:pt>
                <c:pt idx="68">
                  <c:v>63.633096775499382</c:v>
                </c:pt>
                <c:pt idx="69">
                  <c:v>63.997270626439267</c:v>
                </c:pt>
                <c:pt idx="70">
                  <c:v>64.308416860963689</c:v>
                </c:pt>
                <c:pt idx="71">
                  <c:v>64.628294430998963</c:v>
                </c:pt>
                <c:pt idx="72">
                  <c:v>64.910765179142061</c:v>
                </c:pt>
                <c:pt idx="73">
                  <c:v>65.260010064263568</c:v>
                </c:pt>
                <c:pt idx="74">
                  <c:v>65.585913523868157</c:v>
                </c:pt>
                <c:pt idx="75">
                  <c:v>65.830313011534813</c:v>
                </c:pt>
                <c:pt idx="76">
                  <c:v>65.985911248673119</c:v>
                </c:pt>
                <c:pt idx="77">
                  <c:v>66.045168326074659</c:v>
                </c:pt>
                <c:pt idx="78">
                  <c:v>66.072729422762947</c:v>
                </c:pt>
                <c:pt idx="79">
                  <c:v>66.036194943699442</c:v>
                </c:pt>
                <c:pt idx="80">
                  <c:v>65.96549628579541</c:v>
                </c:pt>
                <c:pt idx="81">
                  <c:v>65.813701567354428</c:v>
                </c:pt>
                <c:pt idx="82">
                  <c:v>65.679026723314365</c:v>
                </c:pt>
                <c:pt idx="83">
                  <c:v>65.504684215170698</c:v>
                </c:pt>
                <c:pt idx="84">
                  <c:v>65.238905255575716</c:v>
                </c:pt>
                <c:pt idx="85">
                  <c:v>64.879869545080581</c:v>
                </c:pt>
                <c:pt idx="86">
                  <c:v>64.416072360717891</c:v>
                </c:pt>
                <c:pt idx="87">
                  <c:v>63.909271705072953</c:v>
                </c:pt>
                <c:pt idx="88">
                  <c:v>63.357582651969601</c:v>
                </c:pt>
                <c:pt idx="89">
                  <c:v>62.67725397893394</c:v>
                </c:pt>
                <c:pt idx="90">
                  <c:v>61.895199851633954</c:v>
                </c:pt>
                <c:pt idx="91">
                  <c:v>61.037735252271766</c:v>
                </c:pt>
                <c:pt idx="92">
                  <c:v>60.129419693544094</c:v>
                </c:pt>
                <c:pt idx="93">
                  <c:v>59.171102274550314</c:v>
                </c:pt>
                <c:pt idx="94">
                  <c:v>58.186041948575642</c:v>
                </c:pt>
                <c:pt idx="95">
                  <c:v>57.152890620709684</c:v>
                </c:pt>
                <c:pt idx="96">
                  <c:v>55.917576855235126</c:v>
                </c:pt>
                <c:pt idx="97">
                  <c:v>54.576584970382413</c:v>
                </c:pt>
                <c:pt idx="98">
                  <c:v>53.213400005522494</c:v>
                </c:pt>
                <c:pt idx="99">
                  <c:v>51.850008562389078</c:v>
                </c:pt>
                <c:pt idx="100">
                  <c:v>50.462751007036658</c:v>
                </c:pt>
                <c:pt idx="101">
                  <c:v>48.886858722540154</c:v>
                </c:pt>
                <c:pt idx="102">
                  <c:v>47.296124744894549</c:v>
                </c:pt>
                <c:pt idx="103">
                  <c:v>45.603438151228268</c:v>
                </c:pt>
                <c:pt idx="104">
                  <c:v>43.854280987264119</c:v>
                </c:pt>
                <c:pt idx="105">
                  <c:v>41.974127272415615</c:v>
                </c:pt>
                <c:pt idx="106">
                  <c:v>40.00837463784044</c:v>
                </c:pt>
                <c:pt idx="107">
                  <c:v>37.921116700179411</c:v>
                </c:pt>
                <c:pt idx="108">
                  <c:v>35.826541402204143</c:v>
                </c:pt>
                <c:pt idx="109">
                  <c:v>33.759765942847473</c:v>
                </c:pt>
                <c:pt idx="110">
                  <c:v>31.630283876398281</c:v>
                </c:pt>
                <c:pt idx="111">
                  <c:v>29.387783406209024</c:v>
                </c:pt>
                <c:pt idx="112">
                  <c:v>27.071907138603027</c:v>
                </c:pt>
                <c:pt idx="113">
                  <c:v>24.786339293978816</c:v>
                </c:pt>
                <c:pt idx="114">
                  <c:v>22.418345952137063</c:v>
                </c:pt>
                <c:pt idx="115">
                  <c:v>20.076887343342008</c:v>
                </c:pt>
                <c:pt idx="116">
                  <c:v>17.769749171597137</c:v>
                </c:pt>
                <c:pt idx="117">
                  <c:v>15.491261575920202</c:v>
                </c:pt>
                <c:pt idx="118">
                  <c:v>13.225080499958818</c:v>
                </c:pt>
                <c:pt idx="119">
                  <c:v>10.911439958280527</c:v>
                </c:pt>
                <c:pt idx="120">
                  <c:v>8.5535859337701687</c:v>
                </c:pt>
                <c:pt idx="121">
                  <c:v>6.064328530734139</c:v>
                </c:pt>
                <c:pt idx="122">
                  <c:v>3.6565389686927796</c:v>
                </c:pt>
                <c:pt idx="123">
                  <c:v>1.2720187975761998</c:v>
                </c:pt>
                <c:pt idx="124">
                  <c:v>-1.1983901233986556</c:v>
                </c:pt>
                <c:pt idx="125">
                  <c:v>-3.6660822472457864</c:v>
                </c:pt>
                <c:pt idx="126">
                  <c:v>-6.0872782868019835</c:v>
                </c:pt>
                <c:pt idx="127">
                  <c:v>-8.436156311823888</c:v>
                </c:pt>
                <c:pt idx="128">
                  <c:v>-10.691858163209636</c:v>
                </c:pt>
                <c:pt idx="129">
                  <c:v>-12.961821512935742</c:v>
                </c:pt>
                <c:pt idx="130">
                  <c:v>-15.111973518414043</c:v>
                </c:pt>
                <c:pt idx="131">
                  <c:v>-17.175104210814141</c:v>
                </c:pt>
                <c:pt idx="132">
                  <c:v>-19.157785816604097</c:v>
                </c:pt>
                <c:pt idx="133">
                  <c:v>-21.050782912903632</c:v>
                </c:pt>
                <c:pt idx="134">
                  <c:v>-22.93384077426634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-5.925012996822499E-3</c:v>
                </c:pt>
                <c:pt idx="1">
                  <c:v>-5.925012996822499E-3</c:v>
                </c:pt>
                <c:pt idx="2">
                  <c:v>-0.49516116539475974</c:v>
                </c:pt>
                <c:pt idx="3">
                  <c:v>-0.49516116539475974</c:v>
                </c:pt>
                <c:pt idx="4">
                  <c:v>-0.50234264879544954</c:v>
                </c:pt>
                <c:pt idx="5">
                  <c:v>-0.7720250567750454</c:v>
                </c:pt>
                <c:pt idx="6">
                  <c:v>-0.7720250567750454</c:v>
                </c:pt>
                <c:pt idx="7">
                  <c:v>-0.7720250567750454</c:v>
                </c:pt>
                <c:pt idx="8">
                  <c:v>-0.7720250567750454</c:v>
                </c:pt>
                <c:pt idx="9">
                  <c:v>-0.7720250567750454</c:v>
                </c:pt>
                <c:pt idx="10">
                  <c:v>-0.7720250567750454</c:v>
                </c:pt>
                <c:pt idx="11">
                  <c:v>-0.7720250567750454</c:v>
                </c:pt>
                <c:pt idx="12">
                  <c:v>-0.7720250567750454</c:v>
                </c:pt>
                <c:pt idx="13">
                  <c:v>-0.86320490134715699</c:v>
                </c:pt>
                <c:pt idx="14">
                  <c:v>-0.86320490134715699</c:v>
                </c:pt>
                <c:pt idx="15">
                  <c:v>-0.86320490134715699</c:v>
                </c:pt>
                <c:pt idx="16">
                  <c:v>-1.119403497532109</c:v>
                </c:pt>
                <c:pt idx="17">
                  <c:v>-1.4616396514164702</c:v>
                </c:pt>
                <c:pt idx="18">
                  <c:v>-1.4616396514164702</c:v>
                </c:pt>
                <c:pt idx="19">
                  <c:v>-1.4616396514164702</c:v>
                </c:pt>
                <c:pt idx="20">
                  <c:v>-1.4616396514164702</c:v>
                </c:pt>
                <c:pt idx="21">
                  <c:v>-1.4616396514164702</c:v>
                </c:pt>
                <c:pt idx="22">
                  <c:v>-1.4616396514164702</c:v>
                </c:pt>
                <c:pt idx="23">
                  <c:v>-1.4616396514164702</c:v>
                </c:pt>
                <c:pt idx="24">
                  <c:v>-1.4616396514164702</c:v>
                </c:pt>
                <c:pt idx="25">
                  <c:v>-1.4616396514164702</c:v>
                </c:pt>
                <c:pt idx="26">
                  <c:v>-1.4616396514164702</c:v>
                </c:pt>
                <c:pt idx="27">
                  <c:v>-1.4616396514164702</c:v>
                </c:pt>
                <c:pt idx="28">
                  <c:v>-1.4616396514164702</c:v>
                </c:pt>
                <c:pt idx="29">
                  <c:v>-1.4616396514164702</c:v>
                </c:pt>
                <c:pt idx="30">
                  <c:v>-1.4616396514164702</c:v>
                </c:pt>
                <c:pt idx="31">
                  <c:v>-1.5936822076724197</c:v>
                </c:pt>
                <c:pt idx="32">
                  <c:v>-1.5936822076724197</c:v>
                </c:pt>
                <c:pt idx="33">
                  <c:v>-1.5936822076724197</c:v>
                </c:pt>
                <c:pt idx="34">
                  <c:v>-1.5936822076724197</c:v>
                </c:pt>
                <c:pt idx="35">
                  <c:v>-1.5936822076724197</c:v>
                </c:pt>
                <c:pt idx="36">
                  <c:v>-1.5936822076724197</c:v>
                </c:pt>
                <c:pt idx="37">
                  <c:v>-1.5936822076724197</c:v>
                </c:pt>
                <c:pt idx="38">
                  <c:v>-1.5936822076724197</c:v>
                </c:pt>
                <c:pt idx="39">
                  <c:v>-1.5936822076724197</c:v>
                </c:pt>
                <c:pt idx="40">
                  <c:v>-1.5936822076724197</c:v>
                </c:pt>
                <c:pt idx="41">
                  <c:v>-1.5936822076724197</c:v>
                </c:pt>
                <c:pt idx="42">
                  <c:v>-1.5936822076724197</c:v>
                </c:pt>
                <c:pt idx="43">
                  <c:v>-1.5936822076724197</c:v>
                </c:pt>
                <c:pt idx="44">
                  <c:v>-1.5936822076724197</c:v>
                </c:pt>
                <c:pt idx="45">
                  <c:v>-1.5936822076724197</c:v>
                </c:pt>
                <c:pt idx="46">
                  <c:v>-1.5936822076724197</c:v>
                </c:pt>
                <c:pt idx="47">
                  <c:v>-1.5936822076724197</c:v>
                </c:pt>
                <c:pt idx="48">
                  <c:v>-1.5936822076724197</c:v>
                </c:pt>
                <c:pt idx="49">
                  <c:v>-1.5936822076724197</c:v>
                </c:pt>
                <c:pt idx="50">
                  <c:v>-1.5936822076724197</c:v>
                </c:pt>
                <c:pt idx="51">
                  <c:v>-1.5936822076724197</c:v>
                </c:pt>
                <c:pt idx="52">
                  <c:v>-1.5936822076724197</c:v>
                </c:pt>
                <c:pt idx="53">
                  <c:v>-1.5936822076724197</c:v>
                </c:pt>
                <c:pt idx="54">
                  <c:v>-1.5936822076724197</c:v>
                </c:pt>
                <c:pt idx="55">
                  <c:v>-1.5936822076724197</c:v>
                </c:pt>
                <c:pt idx="56">
                  <c:v>-1.5936822076724197</c:v>
                </c:pt>
                <c:pt idx="57">
                  <c:v>-1.5936822076724197</c:v>
                </c:pt>
                <c:pt idx="58">
                  <c:v>-1.5936822076724197</c:v>
                </c:pt>
                <c:pt idx="59">
                  <c:v>-1.5936822076724197</c:v>
                </c:pt>
                <c:pt idx="60">
                  <c:v>-1.5936822076724197</c:v>
                </c:pt>
                <c:pt idx="61">
                  <c:v>-1.5936822076724197</c:v>
                </c:pt>
                <c:pt idx="62">
                  <c:v>-1.5936822076724197</c:v>
                </c:pt>
                <c:pt idx="63">
                  <c:v>-1.5936822076724197</c:v>
                </c:pt>
                <c:pt idx="64">
                  <c:v>-1.5936822076724197</c:v>
                </c:pt>
                <c:pt idx="65">
                  <c:v>-1.5936822076724197</c:v>
                </c:pt>
                <c:pt idx="66">
                  <c:v>-1.5936822076724197</c:v>
                </c:pt>
                <c:pt idx="67">
                  <c:v>-1.5936822076724197</c:v>
                </c:pt>
                <c:pt idx="68">
                  <c:v>-1.5936822076724197</c:v>
                </c:pt>
                <c:pt idx="69">
                  <c:v>-1.5936822076724197</c:v>
                </c:pt>
                <c:pt idx="70">
                  <c:v>-1.5936822076724197</c:v>
                </c:pt>
                <c:pt idx="71">
                  <c:v>-1.5936822076724197</c:v>
                </c:pt>
                <c:pt idx="72">
                  <c:v>-1.5936822076724197</c:v>
                </c:pt>
                <c:pt idx="73">
                  <c:v>-1.5936822076724197</c:v>
                </c:pt>
                <c:pt idx="74">
                  <c:v>-1.5936822076724197</c:v>
                </c:pt>
                <c:pt idx="75">
                  <c:v>-1.5936822076724197</c:v>
                </c:pt>
                <c:pt idx="76">
                  <c:v>-1.5936822076724197</c:v>
                </c:pt>
                <c:pt idx="77">
                  <c:v>-1.5936822076724197</c:v>
                </c:pt>
                <c:pt idx="78">
                  <c:v>-1.5936822076724197</c:v>
                </c:pt>
                <c:pt idx="79">
                  <c:v>-1.5936822076724197</c:v>
                </c:pt>
                <c:pt idx="80">
                  <c:v>-1.5936822076724197</c:v>
                </c:pt>
                <c:pt idx="81">
                  <c:v>-1.5936822076724197</c:v>
                </c:pt>
                <c:pt idx="82">
                  <c:v>-1.5936822076724197</c:v>
                </c:pt>
                <c:pt idx="83">
                  <c:v>-1.5936822076724197</c:v>
                </c:pt>
                <c:pt idx="84">
                  <c:v>-1.5936822076724197</c:v>
                </c:pt>
                <c:pt idx="85">
                  <c:v>-1.5936822076724197</c:v>
                </c:pt>
                <c:pt idx="86">
                  <c:v>-1.5936822076724197</c:v>
                </c:pt>
                <c:pt idx="87">
                  <c:v>-1.5936822076724197</c:v>
                </c:pt>
                <c:pt idx="88">
                  <c:v>-1.5936822076724197</c:v>
                </c:pt>
                <c:pt idx="89">
                  <c:v>-1.5936822076724197</c:v>
                </c:pt>
                <c:pt idx="90">
                  <c:v>-1.5936822076724197</c:v>
                </c:pt>
                <c:pt idx="91">
                  <c:v>-1.5936822076724197</c:v>
                </c:pt>
                <c:pt idx="92">
                  <c:v>-1.5936822076724197</c:v>
                </c:pt>
                <c:pt idx="93">
                  <c:v>-1.5936822076724197</c:v>
                </c:pt>
                <c:pt idx="94">
                  <c:v>-1.5936822076724197</c:v>
                </c:pt>
                <c:pt idx="95">
                  <c:v>-1.5936822076724197</c:v>
                </c:pt>
                <c:pt idx="96">
                  <c:v>-1.5936822076724197</c:v>
                </c:pt>
                <c:pt idx="97">
                  <c:v>-1.5936822076724197</c:v>
                </c:pt>
                <c:pt idx="98">
                  <c:v>-1.5936822076724197</c:v>
                </c:pt>
                <c:pt idx="99">
                  <c:v>-1.5936822076724197</c:v>
                </c:pt>
                <c:pt idx="100">
                  <c:v>-1.5936822076724197</c:v>
                </c:pt>
                <c:pt idx="101">
                  <c:v>-1.5936822076724197</c:v>
                </c:pt>
                <c:pt idx="102">
                  <c:v>-1.5936822076724197</c:v>
                </c:pt>
                <c:pt idx="103">
                  <c:v>-1.5936822076724197</c:v>
                </c:pt>
                <c:pt idx="104">
                  <c:v>-1.5936822076724197</c:v>
                </c:pt>
                <c:pt idx="105">
                  <c:v>-1.5936822076724197</c:v>
                </c:pt>
                <c:pt idx="106">
                  <c:v>-1.5936822076724197</c:v>
                </c:pt>
                <c:pt idx="107">
                  <c:v>-1.5936822076724197</c:v>
                </c:pt>
                <c:pt idx="108">
                  <c:v>-1.5936822076724197</c:v>
                </c:pt>
                <c:pt idx="109">
                  <c:v>-1.5936822076724197</c:v>
                </c:pt>
                <c:pt idx="110">
                  <c:v>-1.5936822076724197</c:v>
                </c:pt>
                <c:pt idx="111">
                  <c:v>-1.5936822076724197</c:v>
                </c:pt>
                <c:pt idx="112">
                  <c:v>-1.5936822076724197</c:v>
                </c:pt>
                <c:pt idx="113">
                  <c:v>-1.5936822076724197</c:v>
                </c:pt>
                <c:pt idx="114">
                  <c:v>-1.5936822076724197</c:v>
                </c:pt>
                <c:pt idx="115">
                  <c:v>-1.5936822076724197</c:v>
                </c:pt>
                <c:pt idx="116">
                  <c:v>-1.5936822076724197</c:v>
                </c:pt>
                <c:pt idx="117">
                  <c:v>-1.5936822076724197</c:v>
                </c:pt>
                <c:pt idx="118">
                  <c:v>-1.5936822076724197</c:v>
                </c:pt>
                <c:pt idx="119">
                  <c:v>-1.5936822076724197</c:v>
                </c:pt>
                <c:pt idx="120">
                  <c:v>-1.5936822076724197</c:v>
                </c:pt>
                <c:pt idx="121">
                  <c:v>-1.5936822076724197</c:v>
                </c:pt>
                <c:pt idx="122">
                  <c:v>-1.5936822076724197</c:v>
                </c:pt>
                <c:pt idx="123">
                  <c:v>-1.5936822076724197</c:v>
                </c:pt>
                <c:pt idx="124">
                  <c:v>-1.5936822076724197</c:v>
                </c:pt>
                <c:pt idx="125">
                  <c:v>-1.5936822076724197</c:v>
                </c:pt>
                <c:pt idx="126">
                  <c:v>-1.5936822076724197</c:v>
                </c:pt>
                <c:pt idx="127">
                  <c:v>-1.5936822076724197</c:v>
                </c:pt>
                <c:pt idx="128">
                  <c:v>-1.5936822076724197</c:v>
                </c:pt>
                <c:pt idx="129">
                  <c:v>-1.5936822076724197</c:v>
                </c:pt>
                <c:pt idx="130">
                  <c:v>-1.5936822076724197</c:v>
                </c:pt>
                <c:pt idx="131">
                  <c:v>-1.5936822076724197</c:v>
                </c:pt>
                <c:pt idx="132">
                  <c:v>-1.5936822076724197</c:v>
                </c:pt>
                <c:pt idx="133">
                  <c:v>-1.5936822076724197</c:v>
                </c:pt>
                <c:pt idx="134">
                  <c:v>-1.5936822076724197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19.050255145513425</c:v>
                </c:pt>
                <c:pt idx="23">
                  <c:v>19.857238296355156</c:v>
                </c:pt>
                <c:pt idx="24">
                  <c:v>20.721025251922548</c:v>
                </c:pt>
                <c:pt idx="25">
                  <c:v>21.535895764477772</c:v>
                </c:pt>
                <c:pt idx="26">
                  <c:v>22.325164469011675</c:v>
                </c:pt>
                <c:pt idx="27">
                  <c:v>23.13568330186429</c:v>
                </c:pt>
                <c:pt idx="28">
                  <c:v>24.027986510606809</c:v>
                </c:pt>
                <c:pt idx="29">
                  <c:v>24.972478087419802</c:v>
                </c:pt>
                <c:pt idx="30">
                  <c:v>25.891805032697256</c:v>
                </c:pt>
                <c:pt idx="31">
                  <c:v>26.854276347618871</c:v>
                </c:pt>
                <c:pt idx="32">
                  <c:v>27.742321913153166</c:v>
                </c:pt>
                <c:pt idx="33">
                  <c:v>28.598046413820661</c:v>
                </c:pt>
                <c:pt idx="34">
                  <c:v>29.443062622460843</c:v>
                </c:pt>
                <c:pt idx="35">
                  <c:v>30.325764231812322</c:v>
                </c:pt>
                <c:pt idx="36">
                  <c:v>31.320759321712703</c:v>
                </c:pt>
                <c:pt idx="37">
                  <c:v>32.276640520916814</c:v>
                </c:pt>
                <c:pt idx="38">
                  <c:v>33.155237304906009</c:v>
                </c:pt>
                <c:pt idx="39">
                  <c:v>33.980185064911147</c:v>
                </c:pt>
                <c:pt idx="40">
                  <c:v>34.813314069320974</c:v>
                </c:pt>
                <c:pt idx="41">
                  <c:v>35.681130114139172</c:v>
                </c:pt>
                <c:pt idx="42">
                  <c:v>36.575038903291627</c:v>
                </c:pt>
                <c:pt idx="43">
                  <c:v>37.426609823911512</c:v>
                </c:pt>
                <c:pt idx="44">
                  <c:v>38.317332050292897</c:v>
                </c:pt>
                <c:pt idx="45">
                  <c:v>39.151584280376028</c:v>
                </c:pt>
                <c:pt idx="46">
                  <c:v>39.922494186480733</c:v>
                </c:pt>
                <c:pt idx="47">
                  <c:v>40.672405429857434</c:v>
                </c:pt>
                <c:pt idx="48">
                  <c:v>41.468461458195335</c:v>
                </c:pt>
                <c:pt idx="49">
                  <c:v>42.395181908843377</c:v>
                </c:pt>
                <c:pt idx="50">
                  <c:v>43.386274328108385</c:v>
                </c:pt>
                <c:pt idx="51">
                  <c:v>44.389715127144214</c:v>
                </c:pt>
                <c:pt idx="52">
                  <c:v>45.308179924569444</c:v>
                </c:pt>
                <c:pt idx="53">
                  <c:v>46.228827662706813</c:v>
                </c:pt>
                <c:pt idx="54">
                  <c:v>47.128798392379991</c:v>
                </c:pt>
                <c:pt idx="55">
                  <c:v>48.006576741848306</c:v>
                </c:pt>
                <c:pt idx="56">
                  <c:v>48.872566998098677</c:v>
                </c:pt>
                <c:pt idx="57">
                  <c:v>49.721027819386265</c:v>
                </c:pt>
                <c:pt idx="58">
                  <c:v>50.621863837957598</c:v>
                </c:pt>
                <c:pt idx="59">
                  <c:v>51.585927200573622</c:v>
                </c:pt>
                <c:pt idx="60">
                  <c:v>52.549633960605277</c:v>
                </c:pt>
                <c:pt idx="61">
                  <c:v>53.5844052504427</c:v>
                </c:pt>
                <c:pt idx="62">
                  <c:v>54.479153964829614</c:v>
                </c:pt>
                <c:pt idx="63">
                  <c:v>55.489180189428183</c:v>
                </c:pt>
                <c:pt idx="64">
                  <c:v>56.550754085903655</c:v>
                </c:pt>
                <c:pt idx="65">
                  <c:v>57.583051477985023</c:v>
                </c:pt>
                <c:pt idx="66">
                  <c:v>58.590260624570156</c:v>
                </c:pt>
                <c:pt idx="67">
                  <c:v>59.628634305343574</c:v>
                </c:pt>
                <c:pt idx="68">
                  <c:v>60.614336470598808</c:v>
                </c:pt>
                <c:pt idx="69">
                  <c:v>61.598662809885731</c:v>
                </c:pt>
                <c:pt idx="70">
                  <c:v>62.536349773318754</c:v>
                </c:pt>
                <c:pt idx="71">
                  <c:v>63.485129288749967</c:v>
                </c:pt>
                <c:pt idx="72">
                  <c:v>64.451944178107439</c:v>
                </c:pt>
                <c:pt idx="73">
                  <c:v>65.552907092387656</c:v>
                </c:pt>
                <c:pt idx="74">
                  <c:v>66.704003590093009</c:v>
                </c:pt>
                <c:pt idx="75">
                  <c:v>67.78748358029425</c:v>
                </c:pt>
                <c:pt idx="76">
                  <c:v>68.815128423462482</c:v>
                </c:pt>
                <c:pt idx="77">
                  <c:v>69.74884614364359</c:v>
                </c:pt>
                <c:pt idx="78">
                  <c:v>70.663815464744715</c:v>
                </c:pt>
                <c:pt idx="79">
                  <c:v>71.6123411567727</c:v>
                </c:pt>
                <c:pt idx="80">
                  <c:v>72.570070564158868</c:v>
                </c:pt>
                <c:pt idx="81">
                  <c:v>73.518457245872128</c:v>
                </c:pt>
                <c:pt idx="82">
                  <c:v>74.501241367238336</c:v>
                </c:pt>
                <c:pt idx="83">
                  <c:v>75.437125333581619</c:v>
                </c:pt>
                <c:pt idx="84">
                  <c:v>76.334079706285038</c:v>
                </c:pt>
                <c:pt idx="85">
                  <c:v>77.188479168067772</c:v>
                </c:pt>
                <c:pt idx="86">
                  <c:v>78.03769618749449</c:v>
                </c:pt>
                <c:pt idx="87">
                  <c:v>78.900543303469547</c:v>
                </c:pt>
                <c:pt idx="88">
                  <c:v>79.8157609388292</c:v>
                </c:pt>
                <c:pt idx="89">
                  <c:v>80.705553503765685</c:v>
                </c:pt>
                <c:pt idx="90">
                  <c:v>81.520521409739743</c:v>
                </c:pt>
                <c:pt idx="91">
                  <c:v>82.269513497315259</c:v>
                </c:pt>
                <c:pt idx="92">
                  <c:v>83.03343848082838</c:v>
                </c:pt>
                <c:pt idx="93">
                  <c:v>83.800223381912659</c:v>
                </c:pt>
                <c:pt idx="94">
                  <c:v>84.560227718736911</c:v>
                </c:pt>
                <c:pt idx="95">
                  <c:v>85.195983338473425</c:v>
                </c:pt>
                <c:pt idx="96">
                  <c:v>85.949510932228677</c:v>
                </c:pt>
                <c:pt idx="97">
                  <c:v>86.72359115878352</c:v>
                </c:pt>
                <c:pt idx="98">
                  <c:v>87.54773857487308</c:v>
                </c:pt>
                <c:pt idx="99">
                  <c:v>88.256106788000437</c:v>
                </c:pt>
                <c:pt idx="100">
                  <c:v>88.923502938273913</c:v>
                </c:pt>
                <c:pt idx="101">
                  <c:v>89.613127371097548</c:v>
                </c:pt>
                <c:pt idx="102">
                  <c:v>90.263523745481862</c:v>
                </c:pt>
                <c:pt idx="103">
                  <c:v>90.924794118213953</c:v>
                </c:pt>
                <c:pt idx="104">
                  <c:v>91.532115372480305</c:v>
                </c:pt>
                <c:pt idx="105">
                  <c:v>92.144342378796722</c:v>
                </c:pt>
                <c:pt idx="106">
                  <c:v>92.733599451839339</c:v>
                </c:pt>
                <c:pt idx="107">
                  <c:v>93.331300718772638</c:v>
                </c:pt>
                <c:pt idx="108">
                  <c:v>93.923169051646965</c:v>
                </c:pt>
                <c:pt idx="109">
                  <c:v>94.493638115907714</c:v>
                </c:pt>
                <c:pt idx="110">
                  <c:v>95.07634226077613</c:v>
                </c:pt>
                <c:pt idx="111">
                  <c:v>95.657009222340818</c:v>
                </c:pt>
                <c:pt idx="112">
                  <c:v>96.246857973383797</c:v>
                </c:pt>
                <c:pt idx="113">
                  <c:v>96.842649030163827</c:v>
                </c:pt>
                <c:pt idx="114">
                  <c:v>97.462713650392701</c:v>
                </c:pt>
                <c:pt idx="115">
                  <c:v>98.078267446044833</c:v>
                </c:pt>
                <c:pt idx="116">
                  <c:v>98.672372285418888</c:v>
                </c:pt>
                <c:pt idx="117">
                  <c:v>99.2532707535604</c:v>
                </c:pt>
                <c:pt idx="118">
                  <c:v>99.873893019110668</c:v>
                </c:pt>
                <c:pt idx="119">
                  <c:v>100.4885223889699</c:v>
                </c:pt>
                <c:pt idx="120">
                  <c:v>101.08597379920644</c:v>
                </c:pt>
                <c:pt idx="121">
                  <c:v>101.72623438558109</c:v>
                </c:pt>
                <c:pt idx="122">
                  <c:v>102.36860077597198</c:v>
                </c:pt>
                <c:pt idx="123">
                  <c:v>102.98167465998617</c:v>
                </c:pt>
                <c:pt idx="124">
                  <c:v>103.60216061531852</c:v>
                </c:pt>
                <c:pt idx="125">
                  <c:v>104.22041719663355</c:v>
                </c:pt>
                <c:pt idx="126">
                  <c:v>104.80260004317873</c:v>
                </c:pt>
                <c:pt idx="127">
                  <c:v>105.41704556191503</c:v>
                </c:pt>
                <c:pt idx="128">
                  <c:v>106.05639778210309</c:v>
                </c:pt>
                <c:pt idx="129">
                  <c:v>106.68611702924046</c:v>
                </c:pt>
                <c:pt idx="130">
                  <c:v>107.32493263560657</c:v>
                </c:pt>
                <c:pt idx="131">
                  <c:v>107.93621215034275</c:v>
                </c:pt>
                <c:pt idx="132">
                  <c:v>108.49658924645125</c:v>
                </c:pt>
                <c:pt idx="133">
                  <c:v>109.04958762327696</c:v>
                </c:pt>
                <c:pt idx="134">
                  <c:v>109.62520455149017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-0.72843583203867723</c:v>
                </c:pt>
                <c:pt idx="2">
                  <c:v>-1.4391246142295628</c:v>
                </c:pt>
                <c:pt idx="3">
                  <c:v>-2.1107419474434295</c:v>
                </c:pt>
                <c:pt idx="4">
                  <c:v>-2.7144345826120286</c:v>
                </c:pt>
                <c:pt idx="5">
                  <c:v>-3.3060405395498975</c:v>
                </c:pt>
                <c:pt idx="6">
                  <c:v>-3.9068096942316473</c:v>
                </c:pt>
                <c:pt idx="7">
                  <c:v>-4.4410451270156557</c:v>
                </c:pt>
                <c:pt idx="8">
                  <c:v>-4.9487704195708631</c:v>
                </c:pt>
                <c:pt idx="9">
                  <c:v>-5.4305098513617622</c:v>
                </c:pt>
                <c:pt idx="10">
                  <c:v>-5.8990653086194769</c:v>
                </c:pt>
                <c:pt idx="11">
                  <c:v>-6.3371935224896063</c:v>
                </c:pt>
                <c:pt idx="12">
                  <c:v>-6.7448062456596105</c:v>
                </c:pt>
                <c:pt idx="13">
                  <c:v>-7.1276150326724448</c:v>
                </c:pt>
                <c:pt idx="14">
                  <c:v>-7.5218045324518314</c:v>
                </c:pt>
                <c:pt idx="15">
                  <c:v>-7.898144625308646</c:v>
                </c:pt>
                <c:pt idx="16">
                  <c:v>-8.2442160981522505</c:v>
                </c:pt>
                <c:pt idx="17">
                  <c:v>-8.5865832717387107</c:v>
                </c:pt>
                <c:pt idx="18">
                  <c:v>-8.9084251517354112</c:v>
                </c:pt>
                <c:pt idx="19">
                  <c:v>-9.2047572904406501</c:v>
                </c:pt>
                <c:pt idx="20">
                  <c:v>-9.4981636679782255</c:v>
                </c:pt>
                <c:pt idx="21">
                  <c:v>-9.7698370796874663</c:v>
                </c:pt>
                <c:pt idx="22">
                  <c:v>-10.015693277534091</c:v>
                </c:pt>
                <c:pt idx="23">
                  <c:v>-10.255759721898226</c:v>
                </c:pt>
                <c:pt idx="24">
                  <c:v>-10.478649622258938</c:v>
                </c:pt>
                <c:pt idx="25">
                  <c:v>-10.694281051771959</c:v>
                </c:pt>
                <c:pt idx="26">
                  <c:v>-10.886879441369974</c:v>
                </c:pt>
                <c:pt idx="27">
                  <c:v>-11.067968691116469</c:v>
                </c:pt>
                <c:pt idx="28">
                  <c:v>-11.244320747751139</c:v>
                </c:pt>
                <c:pt idx="29">
                  <c:v>-11.41894798254215</c:v>
                </c:pt>
                <c:pt idx="30">
                  <c:v>-11.581965744075163</c:v>
                </c:pt>
                <c:pt idx="31">
                  <c:v>-11.727714432225682</c:v>
                </c:pt>
                <c:pt idx="32">
                  <c:v>-11.866972470226397</c:v>
                </c:pt>
                <c:pt idx="33">
                  <c:v>-11.98714948980885</c:v>
                </c:pt>
                <c:pt idx="34">
                  <c:v>-12.09444794241131</c:v>
                </c:pt>
                <c:pt idx="35">
                  <c:v>-12.192028852594465</c:v>
                </c:pt>
                <c:pt idx="36">
                  <c:v>-12.286382168454708</c:v>
                </c:pt>
                <c:pt idx="37">
                  <c:v>-12.377935450034734</c:v>
                </c:pt>
                <c:pt idx="38">
                  <c:v>-12.457297936253518</c:v>
                </c:pt>
                <c:pt idx="39">
                  <c:v>-12.525461743692027</c:v>
                </c:pt>
                <c:pt idx="40">
                  <c:v>-12.58532171327191</c:v>
                </c:pt>
                <c:pt idx="41">
                  <c:v>-12.639000392538328</c:v>
                </c:pt>
                <c:pt idx="42">
                  <c:v>-12.687016700294699</c:v>
                </c:pt>
                <c:pt idx="43">
                  <c:v>-12.728682813489556</c:v>
                </c:pt>
                <c:pt idx="44">
                  <c:v>-12.762278717179427</c:v>
                </c:pt>
                <c:pt idx="45">
                  <c:v>-12.790031116446443</c:v>
                </c:pt>
                <c:pt idx="46">
                  <c:v>-12.810609671178799</c:v>
                </c:pt>
                <c:pt idx="47">
                  <c:v>-12.825566321898968</c:v>
                </c:pt>
                <c:pt idx="48">
                  <c:v>-12.835956883820145</c:v>
                </c:pt>
                <c:pt idx="49">
                  <c:v>-12.84218779310163</c:v>
                </c:pt>
                <c:pt idx="50">
                  <c:v>-12.843629915472206</c:v>
                </c:pt>
                <c:pt idx="51">
                  <c:v>-12.839680251858425</c:v>
                </c:pt>
                <c:pt idx="52">
                  <c:v>-12.830987681990706</c:v>
                </c:pt>
                <c:pt idx="53">
                  <c:v>-12.818310215612275</c:v>
                </c:pt>
                <c:pt idx="54">
                  <c:v>-12.801426072953127</c:v>
                </c:pt>
                <c:pt idx="55">
                  <c:v>-12.780575709933569</c:v>
                </c:pt>
                <c:pt idx="56">
                  <c:v>-12.755903945546706</c:v>
                </c:pt>
                <c:pt idx="57">
                  <c:v>-12.726523565363397</c:v>
                </c:pt>
                <c:pt idx="58">
                  <c:v>-12.693582466377833</c:v>
                </c:pt>
                <c:pt idx="59">
                  <c:v>-12.654799899928342</c:v>
                </c:pt>
                <c:pt idx="60">
                  <c:v>-12.612078872595525</c:v>
                </c:pt>
                <c:pt idx="61">
                  <c:v>-12.564932453718708</c:v>
                </c:pt>
                <c:pt idx="62">
                  <c:v>-12.515317025762471</c:v>
                </c:pt>
                <c:pt idx="63">
                  <c:v>-12.466551678102231</c:v>
                </c:pt>
                <c:pt idx="64">
                  <c:v>-12.4113617130687</c:v>
                </c:pt>
                <c:pt idx="65">
                  <c:v>-12.354615927017726</c:v>
                </c:pt>
                <c:pt idx="66">
                  <c:v>-12.294564253647287</c:v>
                </c:pt>
                <c:pt idx="67">
                  <c:v>-12.232803472112092</c:v>
                </c:pt>
                <c:pt idx="68">
                  <c:v>-12.166730634997904</c:v>
                </c:pt>
                <c:pt idx="69">
                  <c:v>-12.099519276386012</c:v>
                </c:pt>
                <c:pt idx="70">
                  <c:v>-12.030621925843448</c:v>
                </c:pt>
                <c:pt idx="71">
                  <c:v>-11.963001056283954</c:v>
                </c:pt>
                <c:pt idx="72">
                  <c:v>-11.897074296563193</c:v>
                </c:pt>
                <c:pt idx="73">
                  <c:v>-11.82703153366171</c:v>
                </c:pt>
                <c:pt idx="74">
                  <c:v>-11.751880504554606</c:v>
                </c:pt>
                <c:pt idx="75">
                  <c:v>-11.671351234007094</c:v>
                </c:pt>
                <c:pt idx="76">
                  <c:v>-11.592858415726475</c:v>
                </c:pt>
                <c:pt idx="77">
                  <c:v>-11.514303839166452</c:v>
                </c:pt>
                <c:pt idx="78">
                  <c:v>-11.438867410656925</c:v>
                </c:pt>
                <c:pt idx="79">
                  <c:v>-11.36527703836785</c:v>
                </c:pt>
                <c:pt idx="80">
                  <c:v>-11.285931339856916</c:v>
                </c:pt>
                <c:pt idx="81">
                  <c:v>-11.206303356157985</c:v>
                </c:pt>
                <c:pt idx="82">
                  <c:v>-11.124124091202653</c:v>
                </c:pt>
                <c:pt idx="83">
                  <c:v>-11.044417933560013</c:v>
                </c:pt>
                <c:pt idx="84">
                  <c:v>-10.968830639277733</c:v>
                </c:pt>
                <c:pt idx="85">
                  <c:v>-10.892653776511921</c:v>
                </c:pt>
                <c:pt idx="86">
                  <c:v>-10.816209517861509</c:v>
                </c:pt>
                <c:pt idx="87">
                  <c:v>-10.736304703738909</c:v>
                </c:pt>
                <c:pt idx="88">
                  <c:v>-10.656306478497967</c:v>
                </c:pt>
                <c:pt idx="89">
                  <c:v>-10.573687692647397</c:v>
                </c:pt>
                <c:pt idx="90">
                  <c:v>-10.488439161651854</c:v>
                </c:pt>
                <c:pt idx="91">
                  <c:v>-10.405858893783208</c:v>
                </c:pt>
                <c:pt idx="92">
                  <c:v>-10.326729529045963</c:v>
                </c:pt>
                <c:pt idx="93">
                  <c:v>-10.247617598051178</c:v>
                </c:pt>
                <c:pt idx="94">
                  <c:v>-10.169331576752917</c:v>
                </c:pt>
                <c:pt idx="95">
                  <c:v>-10.09354166537053</c:v>
                </c:pt>
                <c:pt idx="96">
                  <c:v>-10.024370702596286</c:v>
                </c:pt>
                <c:pt idx="97">
                  <c:v>-9.9431880936239239</c:v>
                </c:pt>
                <c:pt idx="98">
                  <c:v>-9.8597216741116895</c:v>
                </c:pt>
                <c:pt idx="99">
                  <c:v>-9.7768893831824712</c:v>
                </c:pt>
                <c:pt idx="100">
                  <c:v>-9.7029550044042878</c:v>
                </c:pt>
                <c:pt idx="101">
                  <c:v>-9.6326419859587915</c:v>
                </c:pt>
                <c:pt idx="102">
                  <c:v>-9.5601510235184577</c:v>
                </c:pt>
                <c:pt idx="103">
                  <c:v>-9.4925995648484118</c:v>
                </c:pt>
                <c:pt idx="104">
                  <c:v>-9.4256043925861803</c:v>
                </c:pt>
                <c:pt idx="105">
                  <c:v>-9.3670013777030015</c:v>
                </c:pt>
                <c:pt idx="106">
                  <c:v>-9.3107873325634642</c:v>
                </c:pt>
                <c:pt idx="107">
                  <c:v>-9.259811345390105</c:v>
                </c:pt>
                <c:pt idx="108">
                  <c:v>-9.2105655333567888</c:v>
                </c:pt>
                <c:pt idx="109">
                  <c:v>-9.1612384880830753</c:v>
                </c:pt>
                <c:pt idx="110">
                  <c:v>-9.11334043540759</c:v>
                </c:pt>
                <c:pt idx="111">
                  <c:v>-9.0647704213952132</c:v>
                </c:pt>
                <c:pt idx="112">
                  <c:v>-9.0195407062372865</c:v>
                </c:pt>
                <c:pt idx="113">
                  <c:v>-8.9746015150049843</c:v>
                </c:pt>
                <c:pt idx="114">
                  <c:v>-8.9271221645566889</c:v>
                </c:pt>
                <c:pt idx="115">
                  <c:v>-8.8781691512358947</c:v>
                </c:pt>
                <c:pt idx="116">
                  <c:v>-8.8289293942998164</c:v>
                </c:pt>
                <c:pt idx="117">
                  <c:v>-8.7818645828985495</c:v>
                </c:pt>
                <c:pt idx="118">
                  <c:v>-8.7360574463192933</c:v>
                </c:pt>
                <c:pt idx="119">
                  <c:v>-8.6847169480865745</c:v>
                </c:pt>
                <c:pt idx="120">
                  <c:v>-8.6358400556870691</c:v>
                </c:pt>
                <c:pt idx="121">
                  <c:v>-8.5910556060209728</c:v>
                </c:pt>
                <c:pt idx="122">
                  <c:v>-8.5445711577001902</c:v>
                </c:pt>
                <c:pt idx="123">
                  <c:v>-8.4964040006143193</c:v>
                </c:pt>
                <c:pt idx="124">
                  <c:v>-8.4525221410629641</c:v>
                </c:pt>
                <c:pt idx="125">
                  <c:v>-8.4111738452154725</c:v>
                </c:pt>
                <c:pt idx="126">
                  <c:v>-8.3713099754886855</c:v>
                </c:pt>
                <c:pt idx="127">
                  <c:v>-8.3366083991699753</c:v>
                </c:pt>
                <c:pt idx="128">
                  <c:v>-8.2964150306974247</c:v>
                </c:pt>
                <c:pt idx="129">
                  <c:v>-8.2519202731454229</c:v>
                </c:pt>
                <c:pt idx="130">
                  <c:v>-8.2107333776509748</c:v>
                </c:pt>
                <c:pt idx="131">
                  <c:v>-8.1669106860155765</c:v>
                </c:pt>
                <c:pt idx="132">
                  <c:v>-8.1258818065844665</c:v>
                </c:pt>
                <c:pt idx="133">
                  <c:v>-8.0906347049118423</c:v>
                </c:pt>
                <c:pt idx="134">
                  <c:v>-8.0554581074974863</c:v>
                </c:pt>
                <c:pt idx="135">
                  <c:v>-8.0190562850589231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1.0405661587901704</c:v>
                </c:pt>
                <c:pt idx="4">
                  <c:v>3.0205661587901744</c:v>
                </c:pt>
                <c:pt idx="5">
                  <c:v>3.8005661587901756</c:v>
                </c:pt>
                <c:pt idx="6">
                  <c:v>3.8005661587901756</c:v>
                </c:pt>
                <c:pt idx="7">
                  <c:v>3.8005661587901756</c:v>
                </c:pt>
                <c:pt idx="8">
                  <c:v>3.8005661587901756</c:v>
                </c:pt>
                <c:pt idx="9">
                  <c:v>3.8005661587901756</c:v>
                </c:pt>
                <c:pt idx="10">
                  <c:v>3.8005661587901756</c:v>
                </c:pt>
                <c:pt idx="11">
                  <c:v>3.8005661587901756</c:v>
                </c:pt>
                <c:pt idx="12">
                  <c:v>8.4516996910313793</c:v>
                </c:pt>
                <c:pt idx="13">
                  <c:v>8.4516996910313793</c:v>
                </c:pt>
                <c:pt idx="14">
                  <c:v>10.679902589582099</c:v>
                </c:pt>
                <c:pt idx="15">
                  <c:v>14.9599025895821</c:v>
                </c:pt>
                <c:pt idx="16">
                  <c:v>18.129902589582102</c:v>
                </c:pt>
                <c:pt idx="17">
                  <c:v>21.929902589582113</c:v>
                </c:pt>
                <c:pt idx="18">
                  <c:v>21.929902589582113</c:v>
                </c:pt>
                <c:pt idx="19">
                  <c:v>21.929902589582113</c:v>
                </c:pt>
                <c:pt idx="20">
                  <c:v>21.929902589582113</c:v>
                </c:pt>
                <c:pt idx="21">
                  <c:v>21.929902589582113</c:v>
                </c:pt>
                <c:pt idx="22">
                  <c:v>25.391040537457854</c:v>
                </c:pt>
                <c:pt idx="23">
                  <c:v>26.461040537457862</c:v>
                </c:pt>
                <c:pt idx="24">
                  <c:v>30.571040537457861</c:v>
                </c:pt>
                <c:pt idx="25">
                  <c:v>31.471040537457867</c:v>
                </c:pt>
                <c:pt idx="26">
                  <c:v>31.471040537457867</c:v>
                </c:pt>
                <c:pt idx="27">
                  <c:v>31.713301407023081</c:v>
                </c:pt>
                <c:pt idx="28">
                  <c:v>34.353301407023082</c:v>
                </c:pt>
                <c:pt idx="29">
                  <c:v>39.29330140702308</c:v>
                </c:pt>
                <c:pt idx="30">
                  <c:v>43.123301407023078</c:v>
                </c:pt>
                <c:pt idx="31">
                  <c:v>46.803301407023085</c:v>
                </c:pt>
                <c:pt idx="32">
                  <c:v>54.413301407023084</c:v>
                </c:pt>
                <c:pt idx="33">
                  <c:v>58.043301407023094</c:v>
                </c:pt>
                <c:pt idx="34">
                  <c:v>60.453301407023091</c:v>
                </c:pt>
                <c:pt idx="35">
                  <c:v>61.743301407023097</c:v>
                </c:pt>
                <c:pt idx="36">
                  <c:v>62.793301407023094</c:v>
                </c:pt>
                <c:pt idx="37">
                  <c:v>62.793301407023094</c:v>
                </c:pt>
                <c:pt idx="38">
                  <c:v>62.797895609921639</c:v>
                </c:pt>
                <c:pt idx="39">
                  <c:v>64.617895609921646</c:v>
                </c:pt>
                <c:pt idx="40">
                  <c:v>66.467895609921641</c:v>
                </c:pt>
                <c:pt idx="41">
                  <c:v>71.127895609921651</c:v>
                </c:pt>
                <c:pt idx="42">
                  <c:v>73.307895609921658</c:v>
                </c:pt>
                <c:pt idx="43">
                  <c:v>78.427895609921663</c:v>
                </c:pt>
                <c:pt idx="44">
                  <c:v>80.137895609921657</c:v>
                </c:pt>
                <c:pt idx="45">
                  <c:v>81.907895609921667</c:v>
                </c:pt>
                <c:pt idx="46">
                  <c:v>84.047895609921682</c:v>
                </c:pt>
                <c:pt idx="47">
                  <c:v>84.907895609921667</c:v>
                </c:pt>
                <c:pt idx="48">
                  <c:v>88.507895609921675</c:v>
                </c:pt>
                <c:pt idx="49">
                  <c:v>89.837895609921688</c:v>
                </c:pt>
                <c:pt idx="50">
                  <c:v>91.587895609921688</c:v>
                </c:pt>
                <c:pt idx="51">
                  <c:v>92.39789560992169</c:v>
                </c:pt>
                <c:pt idx="52">
                  <c:v>93.887895609921699</c:v>
                </c:pt>
                <c:pt idx="53">
                  <c:v>97.177895609921705</c:v>
                </c:pt>
                <c:pt idx="54">
                  <c:v>101.5478956099217</c:v>
                </c:pt>
                <c:pt idx="55">
                  <c:v>102.9978956099217</c:v>
                </c:pt>
                <c:pt idx="56">
                  <c:v>103.6478956099217</c:v>
                </c:pt>
                <c:pt idx="57">
                  <c:v>104.2478956099217</c:v>
                </c:pt>
                <c:pt idx="58">
                  <c:v>108.31789560992171</c:v>
                </c:pt>
                <c:pt idx="59">
                  <c:v>114.69789560992172</c:v>
                </c:pt>
                <c:pt idx="60">
                  <c:v>114.69789560992172</c:v>
                </c:pt>
                <c:pt idx="61">
                  <c:v>119.25790944344489</c:v>
                </c:pt>
                <c:pt idx="62">
                  <c:v>119.36790944344489</c:v>
                </c:pt>
                <c:pt idx="63">
                  <c:v>120.65790944344489</c:v>
                </c:pt>
                <c:pt idx="64">
                  <c:v>122.48790944344491</c:v>
                </c:pt>
                <c:pt idx="65">
                  <c:v>124.09790944344491</c:v>
                </c:pt>
                <c:pt idx="66">
                  <c:v>128.84790944344491</c:v>
                </c:pt>
                <c:pt idx="67">
                  <c:v>140.0079094434449</c:v>
                </c:pt>
                <c:pt idx="68">
                  <c:v>148.1979094434449</c:v>
                </c:pt>
                <c:pt idx="69">
                  <c:v>149.1979094434449</c:v>
                </c:pt>
                <c:pt idx="70">
                  <c:v>150.25790944344487</c:v>
                </c:pt>
                <c:pt idx="71">
                  <c:v>152.44790944344487</c:v>
                </c:pt>
                <c:pt idx="72">
                  <c:v>155.30790944344488</c:v>
                </c:pt>
                <c:pt idx="73">
                  <c:v>157.43790944344488</c:v>
                </c:pt>
                <c:pt idx="74">
                  <c:v>157.68790944344488</c:v>
                </c:pt>
                <c:pt idx="75">
                  <c:v>159.77790944344488</c:v>
                </c:pt>
                <c:pt idx="76">
                  <c:v>159.77790944344488</c:v>
                </c:pt>
                <c:pt idx="77">
                  <c:v>160.58791012800339</c:v>
                </c:pt>
                <c:pt idx="78">
                  <c:v>162.33791012800339</c:v>
                </c:pt>
                <c:pt idx="79">
                  <c:v>163.65791012800338</c:v>
                </c:pt>
                <c:pt idx="80">
                  <c:v>163.65791012800338</c:v>
                </c:pt>
                <c:pt idx="81">
                  <c:v>166.15791130651223</c:v>
                </c:pt>
                <c:pt idx="82">
                  <c:v>166.15791130651223</c:v>
                </c:pt>
                <c:pt idx="83">
                  <c:v>166.15791130651223</c:v>
                </c:pt>
                <c:pt idx="84">
                  <c:v>166.47791482653395</c:v>
                </c:pt>
                <c:pt idx="85">
                  <c:v>170.23791482653394</c:v>
                </c:pt>
                <c:pt idx="86">
                  <c:v>172.92791482653394</c:v>
                </c:pt>
                <c:pt idx="87">
                  <c:v>176.21791482653396</c:v>
                </c:pt>
                <c:pt idx="88">
                  <c:v>177.42791482653394</c:v>
                </c:pt>
                <c:pt idx="89">
                  <c:v>181.04791482653394</c:v>
                </c:pt>
                <c:pt idx="90">
                  <c:v>181.66791482653394</c:v>
                </c:pt>
                <c:pt idx="91">
                  <c:v>185.86791482653393</c:v>
                </c:pt>
                <c:pt idx="92">
                  <c:v>189.23791482653394</c:v>
                </c:pt>
                <c:pt idx="93">
                  <c:v>190.32791482653391</c:v>
                </c:pt>
                <c:pt idx="94">
                  <c:v>195.60791482653391</c:v>
                </c:pt>
                <c:pt idx="95">
                  <c:v>199.26791482653391</c:v>
                </c:pt>
                <c:pt idx="96">
                  <c:v>199.34791482653389</c:v>
                </c:pt>
                <c:pt idx="97">
                  <c:v>199.53791482653389</c:v>
                </c:pt>
                <c:pt idx="98">
                  <c:v>201.3379148265339</c:v>
                </c:pt>
                <c:pt idx="99">
                  <c:v>203.88791482653392</c:v>
                </c:pt>
                <c:pt idx="100">
                  <c:v>207.48791482653394</c:v>
                </c:pt>
                <c:pt idx="101">
                  <c:v>211.87791482653392</c:v>
                </c:pt>
                <c:pt idx="102">
                  <c:v>212.97791482653392</c:v>
                </c:pt>
                <c:pt idx="103">
                  <c:v>212.97791482653392</c:v>
                </c:pt>
                <c:pt idx="104">
                  <c:v>212.97791482653392</c:v>
                </c:pt>
                <c:pt idx="105">
                  <c:v>212.97791482653392</c:v>
                </c:pt>
                <c:pt idx="106">
                  <c:v>212.97791482653392</c:v>
                </c:pt>
                <c:pt idx="107">
                  <c:v>214.48791485156758</c:v>
                </c:pt>
                <c:pt idx="108">
                  <c:v>214.66791485156759</c:v>
                </c:pt>
                <c:pt idx="109">
                  <c:v>216.2179148515676</c:v>
                </c:pt>
                <c:pt idx="110">
                  <c:v>220.54791485156761</c:v>
                </c:pt>
                <c:pt idx="111">
                  <c:v>223.88791485156761</c:v>
                </c:pt>
                <c:pt idx="112">
                  <c:v>224.57791485156761</c:v>
                </c:pt>
                <c:pt idx="113">
                  <c:v>229.52791485156763</c:v>
                </c:pt>
                <c:pt idx="114">
                  <c:v>231.16791485156762</c:v>
                </c:pt>
                <c:pt idx="115">
                  <c:v>234.6179148515676</c:v>
                </c:pt>
                <c:pt idx="116">
                  <c:v>235.71791485156763</c:v>
                </c:pt>
                <c:pt idx="117">
                  <c:v>238.22791485156762</c:v>
                </c:pt>
                <c:pt idx="118">
                  <c:v>240.3079148515676</c:v>
                </c:pt>
                <c:pt idx="119">
                  <c:v>240.39791485156758</c:v>
                </c:pt>
                <c:pt idx="120">
                  <c:v>243.82791485156758</c:v>
                </c:pt>
                <c:pt idx="121">
                  <c:v>247.57791485156758</c:v>
                </c:pt>
                <c:pt idx="122">
                  <c:v>249.4979148515676</c:v>
                </c:pt>
                <c:pt idx="123">
                  <c:v>255.0579148515676</c:v>
                </c:pt>
                <c:pt idx="124">
                  <c:v>257.09791485156762</c:v>
                </c:pt>
                <c:pt idx="125">
                  <c:v>257.39791485156763</c:v>
                </c:pt>
                <c:pt idx="126">
                  <c:v>262.62791485156765</c:v>
                </c:pt>
                <c:pt idx="127">
                  <c:v>264.53791485156762</c:v>
                </c:pt>
                <c:pt idx="128">
                  <c:v>265.10791485156761</c:v>
                </c:pt>
                <c:pt idx="129">
                  <c:v>267.31791485156759</c:v>
                </c:pt>
                <c:pt idx="130">
                  <c:v>267.98791485156761</c:v>
                </c:pt>
                <c:pt idx="131">
                  <c:v>270.77791485156763</c:v>
                </c:pt>
                <c:pt idx="132">
                  <c:v>270.81791485156765</c:v>
                </c:pt>
                <c:pt idx="133">
                  <c:v>270.81791485156765</c:v>
                </c:pt>
                <c:pt idx="134">
                  <c:v>270.81791485156765</c:v>
                </c:pt>
                <c:pt idx="135">
                  <c:v>272.25654048644185</c:v>
                </c:pt>
                <c:pt idx="136">
                  <c:v>272.25654048644185</c:v>
                </c:pt>
                <c:pt idx="137">
                  <c:v>272.25654048644185</c:v>
                </c:pt>
                <c:pt idx="138">
                  <c:v>273.42429712354908</c:v>
                </c:pt>
                <c:pt idx="139">
                  <c:v>273.42429712354908</c:v>
                </c:pt>
                <c:pt idx="140">
                  <c:v>273.42429712354908</c:v>
                </c:pt>
                <c:pt idx="141">
                  <c:v>273.42429712354908</c:v>
                </c:pt>
                <c:pt idx="142">
                  <c:v>273.80201078846801</c:v>
                </c:pt>
                <c:pt idx="143">
                  <c:v>273.80201078846801</c:v>
                </c:pt>
                <c:pt idx="144">
                  <c:v>273.80201078846801</c:v>
                </c:pt>
                <c:pt idx="145">
                  <c:v>275.49001645954553</c:v>
                </c:pt>
                <c:pt idx="146">
                  <c:v>279.95001645954551</c:v>
                </c:pt>
                <c:pt idx="147">
                  <c:v>279.95001645954551</c:v>
                </c:pt>
                <c:pt idx="148">
                  <c:v>279.95001645954551</c:v>
                </c:pt>
                <c:pt idx="149">
                  <c:v>280.9098910741223</c:v>
                </c:pt>
                <c:pt idx="150">
                  <c:v>282.67989107412228</c:v>
                </c:pt>
                <c:pt idx="151">
                  <c:v>287.43989107412227</c:v>
                </c:pt>
                <c:pt idx="152">
                  <c:v>287.53989107412224</c:v>
                </c:pt>
                <c:pt idx="153">
                  <c:v>287.53989107412224</c:v>
                </c:pt>
                <c:pt idx="154">
                  <c:v>287.93897803064397</c:v>
                </c:pt>
                <c:pt idx="155">
                  <c:v>287.93897803064397</c:v>
                </c:pt>
                <c:pt idx="156">
                  <c:v>288.16267368281785</c:v>
                </c:pt>
                <c:pt idx="157">
                  <c:v>290.72267368281786</c:v>
                </c:pt>
                <c:pt idx="158">
                  <c:v>292.64267368281787</c:v>
                </c:pt>
                <c:pt idx="159">
                  <c:v>299.43267368281789</c:v>
                </c:pt>
                <c:pt idx="160">
                  <c:v>301.19267368281788</c:v>
                </c:pt>
                <c:pt idx="161">
                  <c:v>301.19267368281788</c:v>
                </c:pt>
                <c:pt idx="162">
                  <c:v>302.48405629151353</c:v>
                </c:pt>
                <c:pt idx="163">
                  <c:v>302.48405629151353</c:v>
                </c:pt>
                <c:pt idx="164">
                  <c:v>305.99233455238311</c:v>
                </c:pt>
                <c:pt idx="165">
                  <c:v>305.99233455238311</c:v>
                </c:pt>
                <c:pt idx="166">
                  <c:v>305.99233455238311</c:v>
                </c:pt>
                <c:pt idx="167">
                  <c:v>305.99233455238311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0.99999999997015498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9.6360663176434016E-3</c:v>
                </c:pt>
                <c:pt idx="43">
                  <c:v>1.4216832801880543E-2</c:v>
                </c:pt>
                <c:pt idx="44">
                  <c:v>2.0147822467962581E-2</c:v>
                </c:pt>
                <c:pt idx="45">
                  <c:v>2.7975039775895962E-2</c:v>
                </c:pt>
                <c:pt idx="46">
                  <c:v>3.9974507900826017E-2</c:v>
                </c:pt>
                <c:pt idx="47">
                  <c:v>5.305240615613268E-2</c:v>
                </c:pt>
                <c:pt idx="48">
                  <c:v>7.0345885409351855E-2</c:v>
                </c:pt>
                <c:pt idx="49">
                  <c:v>9.4235502619654674E-2</c:v>
                </c:pt>
                <c:pt idx="50">
                  <c:v>0.12514595439148771</c:v>
                </c:pt>
                <c:pt idx="51">
                  <c:v>0.16348290447402231</c:v>
                </c:pt>
                <c:pt idx="52">
                  <c:v>0.22207146195424543</c:v>
                </c:pt>
                <c:pt idx="53">
                  <c:v>0.29084380200534332</c:v>
                </c:pt>
                <c:pt idx="54">
                  <c:v>0.36883404789930535</c:v>
                </c:pt>
                <c:pt idx="55">
                  <c:v>0.45276063747484402</c:v>
                </c:pt>
                <c:pt idx="56">
                  <c:v>0.5256709002336033</c:v>
                </c:pt>
                <c:pt idx="57">
                  <c:v>0.59597031912771059</c:v>
                </c:pt>
                <c:pt idx="58">
                  <c:v>0.68231293152986272</c:v>
                </c:pt>
                <c:pt idx="59">
                  <c:v>0.75770545172396464</c:v>
                </c:pt>
                <c:pt idx="60">
                  <c:v>0.8285975047504982</c:v>
                </c:pt>
                <c:pt idx="61">
                  <c:v>0.87273158679177665</c:v>
                </c:pt>
                <c:pt idx="62">
                  <c:v>0.90482413604051837</c:v>
                </c:pt>
                <c:pt idx="63">
                  <c:v>0.92474595683683669</c:v>
                </c:pt>
                <c:pt idx="64">
                  <c:v>0.94455560573096098</c:v>
                </c:pt>
                <c:pt idx="65">
                  <c:v>0.9596271224272892</c:v>
                </c:pt>
                <c:pt idx="66">
                  <c:v>0.970891105292914</c:v>
                </c:pt>
                <c:pt idx="67">
                  <c:v>0.97953261498127753</c:v>
                </c:pt>
                <c:pt idx="68">
                  <c:v>0.98560154416937262</c:v>
                </c:pt>
                <c:pt idx="69">
                  <c:v>0.98950647171149719</c:v>
                </c:pt>
                <c:pt idx="70">
                  <c:v>0.99183145127661732</c:v>
                </c:pt>
                <c:pt idx="71">
                  <c:v>0.99366468529388408</c:v>
                </c:pt>
                <c:pt idx="72">
                  <c:v>0.99548844446555829</c:v>
                </c:pt>
                <c:pt idx="73">
                  <c:v>0.99661089212712883</c:v>
                </c:pt>
                <c:pt idx="74">
                  <c:v>0.99739261586570338</c:v>
                </c:pt>
                <c:pt idx="75">
                  <c:v>0.99794797721052186</c:v>
                </c:pt>
                <c:pt idx="76">
                  <c:v>0.99839241106282373</c:v>
                </c:pt>
                <c:pt idx="77">
                  <c:v>0.99873025434691354</c:v>
                </c:pt>
                <c:pt idx="78">
                  <c:v>0.99898561993273927</c:v>
                </c:pt>
                <c:pt idx="79">
                  <c:v>0.99920448489079294</c:v>
                </c:pt>
                <c:pt idx="80">
                  <c:v>0.9993522871291447</c:v>
                </c:pt>
                <c:pt idx="81">
                  <c:v>0.99949240254292182</c:v>
                </c:pt>
                <c:pt idx="82">
                  <c:v>0.99959635312235151</c:v>
                </c:pt>
                <c:pt idx="83">
                  <c:v>0.9996949603326688</c:v>
                </c:pt>
                <c:pt idx="84">
                  <c:v>0.99976533811098134</c:v>
                </c:pt>
                <c:pt idx="85">
                  <c:v>0.99982558254247622</c:v>
                </c:pt>
                <c:pt idx="86">
                  <c:v>0.9998606913310405</c:v>
                </c:pt>
                <c:pt idx="87">
                  <c:v>0.99988608131145362</c:v>
                </c:pt>
                <c:pt idx="88">
                  <c:v>0.99990731755227136</c:v>
                </c:pt>
                <c:pt idx="89">
                  <c:v>0.99992358023552363</c:v>
                </c:pt>
                <c:pt idx="90">
                  <c:v>0.9999383390702723</c:v>
                </c:pt>
                <c:pt idx="91">
                  <c:v>0.99994935266417906</c:v>
                </c:pt>
                <c:pt idx="92">
                  <c:v>0.99995794635180979</c:v>
                </c:pt>
                <c:pt idx="93">
                  <c:v>0.99996711074850486</c:v>
                </c:pt>
                <c:pt idx="94">
                  <c:v>0.99997427807693073</c:v>
                </c:pt>
                <c:pt idx="95">
                  <c:v>0.99998079724974953</c:v>
                </c:pt>
                <c:pt idx="96">
                  <c:v>0.999984972451332</c:v>
                </c:pt>
                <c:pt idx="97">
                  <c:v>0.99998834423965943</c:v>
                </c:pt>
                <c:pt idx="98">
                  <c:v>0.99999124838683717</c:v>
                </c:pt>
                <c:pt idx="99">
                  <c:v>0.99999356558967334</c:v>
                </c:pt>
                <c:pt idx="100">
                  <c:v>0.99999532912899036</c:v>
                </c:pt>
                <c:pt idx="101">
                  <c:v>0.99999647726023</c:v>
                </c:pt>
                <c:pt idx="102">
                  <c:v>0.99999733809337121</c:v>
                </c:pt>
                <c:pt idx="103">
                  <c:v>0.99999792745743465</c:v>
                </c:pt>
                <c:pt idx="104">
                  <c:v>0.99999836876841541</c:v>
                </c:pt>
                <c:pt idx="105">
                  <c:v>0.9999987618774846</c:v>
                </c:pt>
                <c:pt idx="106">
                  <c:v>0.99999903968271997</c:v>
                </c:pt>
                <c:pt idx="107">
                  <c:v>0.99999925752297358</c:v>
                </c:pt>
                <c:pt idx="108">
                  <c:v>0.99999939363272139</c:v>
                </c:pt>
                <c:pt idx="109">
                  <c:v>0.99999952244395285</c:v>
                </c:pt>
                <c:pt idx="110">
                  <c:v>0.99999966010929919</c:v>
                </c:pt>
                <c:pt idx="111">
                  <c:v>0.99999976206214614</c:v>
                </c:pt>
                <c:pt idx="112">
                  <c:v>0.98628674405542005</c:v>
                </c:pt>
                <c:pt idx="113">
                  <c:v>0.95176360664237436</c:v>
                </c:pt>
                <c:pt idx="114">
                  <c:v>0.91997299554966638</c:v>
                </c:pt>
                <c:pt idx="115">
                  <c:v>0.88744926763930676</c:v>
                </c:pt>
                <c:pt idx="116">
                  <c:v>0.8541924229112956</c:v>
                </c:pt>
                <c:pt idx="117">
                  <c:v>0.82446786830469654</c:v>
                </c:pt>
                <c:pt idx="118">
                  <c:v>0.80160795299065268</c:v>
                </c:pt>
                <c:pt idx="119">
                  <c:v>0.78268020969855834</c:v>
                </c:pt>
                <c:pt idx="120">
                  <c:v>0.75742100298129122</c:v>
                </c:pt>
                <c:pt idx="121">
                  <c:v>0.72942926994368662</c:v>
                </c:pt>
                <c:pt idx="122">
                  <c:v>0.69943812740339606</c:v>
                </c:pt>
                <c:pt idx="123">
                  <c:v>0.66758086932726524</c:v>
                </c:pt>
                <c:pt idx="124">
                  <c:v>0.63798960868751187</c:v>
                </c:pt>
                <c:pt idx="125">
                  <c:v>0.60666552647876393</c:v>
                </c:pt>
                <c:pt idx="126">
                  <c:v>0.57587462013739876</c:v>
                </c:pt>
                <c:pt idx="127">
                  <c:v>0.55034882548644037</c:v>
                </c:pt>
                <c:pt idx="128">
                  <c:v>0.5204909769129954</c:v>
                </c:pt>
                <c:pt idx="129">
                  <c:v>0.49209936197485371</c:v>
                </c:pt>
                <c:pt idx="130">
                  <c:v>0.46030875088214573</c:v>
                </c:pt>
                <c:pt idx="131">
                  <c:v>0.43018431437500948</c:v>
                </c:pt>
                <c:pt idx="132">
                  <c:v>0.39965999596733592</c:v>
                </c:pt>
                <c:pt idx="133">
                  <c:v>0.36706962107355356</c:v>
                </c:pt>
                <c:pt idx="134">
                  <c:v>0.3356122448979596</c:v>
                </c:pt>
                <c:pt idx="135">
                  <c:v>0.29749017038007886</c:v>
                </c:pt>
                <c:pt idx="136">
                  <c:v>0.25916815491192979</c:v>
                </c:pt>
                <c:pt idx="137">
                  <c:v>0.21864678899082601</c:v>
                </c:pt>
                <c:pt idx="138">
                  <c:v>0.18145777224086579</c:v>
                </c:pt>
                <c:pt idx="139">
                  <c:v>0.14066981838607051</c:v>
                </c:pt>
                <c:pt idx="140">
                  <c:v>0.10288097878530411</c:v>
                </c:pt>
                <c:pt idx="141">
                  <c:v>6.8757723272795612E-2</c:v>
                </c:pt>
                <c:pt idx="142">
                  <c:v>3.7700228997738949E-2</c:v>
                </c:pt>
                <c:pt idx="143">
                  <c:v>6.0429118718765551E-3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9</v>
    <v>1</v>
  </rv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H1" zoomScale="110" zoomScaleNormal="110" workbookViewId="0">
      <selection activeCell="D72" sqref="D72:E72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152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276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94</v>
      </c>
      <c r="D6" s="104" t="s">
        <v>254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Short (Group1)</v>
      </c>
      <c r="E7" s="92" t="s">
        <v>249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GroundStore Potato Short (Group1)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45561</v>
      </c>
      <c r="E10" s="67"/>
      <c r="F10" s="57" t="s">
        <v>146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79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Interface'!P8:Q8),0)&amp;" kg N/ha from all sources"</f>
        <v>requires 336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2" thickBot="1">
      <c r="B15" s="55">
        <f ca="1">SUMIF(B29:B43,1,G29:G43)</f>
        <v>264.53097405895176</v>
      </c>
      <c r="C15" s="105" t="s">
        <v>220</v>
      </c>
      <c r="D15" s="106" t="str">
        <f ca="1">SUMIF(B29:B43,1,G29:G43)&amp;" Kg/ha"</f>
        <v>264.530974058952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27" t="s">
        <v>221</v>
      </c>
      <c r="AA15" s="127"/>
      <c r="AB15" s="127"/>
      <c r="AC15" s="127"/>
      <c r="AD15" s="128" t="s">
        <v>223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166.4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0.94804269898302018</v>
      </c>
      <c r="Y18" s="55">
        <f ca="1">VLOOKUP(S18,ModelOutputs,4,FALSE)</f>
        <v>0</v>
      </c>
      <c r="Z18">
        <f t="shared" ref="Z18:Z81" ca="1" si="3">VLOOKUP(S18,ModelOutputs,10,FALSE)*AWC</f>
        <v>0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0.99999999997015498</v>
      </c>
      <c r="AD18" s="83">
        <f t="array" aca="1" ref="AD18:AD662" ca="1">_xlfn._xlws.FILTER('Model Interface'!X11:X1004,('Model Interface'!X11:X1004&gt;=CurrentHarvestDate+1)*('Model Interface'!X11:X1004&lt;=FollowingHarvestDate),"")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29.623130030991092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-5.925012996822499E-3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-0.72843583203867723</v>
      </c>
    </row>
    <row r="19" spans="1:37" s="55" customFormat="1">
      <c r="C19" s="57" t="s">
        <v>217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120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50.850827748374364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1.8529964954788567</v>
      </c>
      <c r="Y19" s="55">
        <f t="shared" ref="Y19:Y82" ca="1" si="14">VLOOKUP(S19,ModelOutputs,4,FALSE)+Y18</f>
        <v>-5.412604812147534E-2</v>
      </c>
      <c r="Z19">
        <f t="shared" ca="1" si="3"/>
        <v>0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29.770471271023322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-5.925012996822499E-3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-1.4391246142295628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51.801643777927367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2.7627651660884149</v>
      </c>
      <c r="Y20" s="55">
        <f t="shared" ca="1" si="14"/>
        <v>-1.3078689178029901E-2</v>
      </c>
      <c r="Z20">
        <f t="shared" ca="1" si="3"/>
        <v>0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29.45768497093724</v>
      </c>
      <c r="AG20" s="55">
        <f t="shared" ca="1" si="7"/>
        <v>0</v>
      </c>
      <c r="AH20" s="55">
        <f t="shared" ca="1" si="8"/>
        <v>0</v>
      </c>
      <c r="AI20" s="55">
        <f t="shared" ca="1" si="17"/>
        <v>-0.49516116539475974</v>
      </c>
      <c r="AJ20" s="55">
        <f t="shared" ca="1" si="18"/>
        <v>2.5397329992429598</v>
      </c>
      <c r="AK20" s="55">
        <f t="shared" ca="1" si="19"/>
        <v>-2.1107419474434295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52.590048119685456</v>
      </c>
      <c r="U21" s="55">
        <f t="shared" ca="1" si="1"/>
        <v>0</v>
      </c>
      <c r="V21" s="55">
        <f t="shared" ca="1" si="2"/>
        <v>0</v>
      </c>
      <c r="W21" s="55">
        <f t="shared" ca="1" si="12"/>
        <v>-0.30137538054705365</v>
      </c>
      <c r="X21" s="55">
        <f t="shared" ca="1" si="13"/>
        <v>3.7219379622813675</v>
      </c>
      <c r="Y21" s="55">
        <f t="shared" ca="1" si="14"/>
        <v>0.11752823693416292</v>
      </c>
      <c r="Z21">
        <f t="shared" ca="1" si="3"/>
        <v>0</v>
      </c>
      <c r="AA21">
        <f t="shared" ca="1" si="15"/>
        <v>1.0405661587901704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29.637235774292144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-0.49516116539475974</v>
      </c>
      <c r="AJ21" s="55">
        <f t="shared" ca="1" si="18"/>
        <v>3.3229764377664637</v>
      </c>
      <c r="AK21" s="55">
        <f t="shared" ca="1" si="19"/>
        <v>-2.7144345826120286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53.153285739145062</v>
      </c>
      <c r="U22" s="55">
        <f t="shared" ca="1" si="1"/>
        <v>0</v>
      </c>
      <c r="V22" s="55">
        <f t="shared" ca="1" si="2"/>
        <v>0</v>
      </c>
      <c r="W22" s="55">
        <f t="shared" ca="1" si="12"/>
        <v>-0.88097729634608002</v>
      </c>
      <c r="X22" s="55">
        <f t="shared" ca="1" si="13"/>
        <v>4.658214801584367</v>
      </c>
      <c r="Y22" s="55">
        <f t="shared" ca="1" si="14"/>
        <v>0.32409093288979673</v>
      </c>
      <c r="Z22">
        <f t="shared" ca="1" si="3"/>
        <v>0</v>
      </c>
      <c r="AA22">
        <f t="shared" ca="1" si="15"/>
        <v>3.0205661587901744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29.848867951974473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-0.50234264879544954</v>
      </c>
      <c r="AJ22" s="55">
        <f t="shared" ca="1" si="18"/>
        <v>4.1333960557873501</v>
      </c>
      <c r="AK22" s="55">
        <f t="shared" ca="1" si="19"/>
        <v>-3.3060405395498975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54.137560445364052</v>
      </c>
      <c r="U23" s="55">
        <f t="shared" ca="1" si="1"/>
        <v>0</v>
      </c>
      <c r="V23" s="55">
        <f t="shared" ca="1" si="2"/>
        <v>0</v>
      </c>
      <c r="W23" s="55">
        <f t="shared" ca="1" si="12"/>
        <v>-1.1135334255635572</v>
      </c>
      <c r="X23" s="55">
        <f t="shared" ca="1" si="13"/>
        <v>5.5977417580505753</v>
      </c>
      <c r="Y23" s="55">
        <f t="shared" ca="1" si="14"/>
        <v>0.60139481186005783</v>
      </c>
      <c r="Z23">
        <f t="shared" ca="1" si="3"/>
        <v>0</v>
      </c>
      <c r="AA23">
        <f t="shared" ca="1" si="15"/>
        <v>3.8005661587901756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29.858931563851268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-0.7720250567750454</v>
      </c>
      <c r="AJ23" s="55">
        <f t="shared" ca="1" si="18"/>
        <v>5.0139112303254878</v>
      </c>
      <c r="AK23" s="55">
        <f t="shared" ca="1" si="19"/>
        <v>-3.9068096942316473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55.341017743000542</v>
      </c>
      <c r="U24" s="55">
        <f t="shared" ca="1" si="1"/>
        <v>0</v>
      </c>
      <c r="V24" s="55">
        <f t="shared" ca="1" si="2"/>
        <v>0</v>
      </c>
      <c r="W24" s="55">
        <f t="shared" ca="1" si="12"/>
        <v>-1.1135334255635572</v>
      </c>
      <c r="X24" s="55">
        <f t="shared" ca="1" si="13"/>
        <v>6.4790387054548848</v>
      </c>
      <c r="Y24" s="55">
        <f t="shared" ca="1" si="14"/>
        <v>0.92355516209224087</v>
      </c>
      <c r="Z24">
        <f t="shared" ca="1" si="3"/>
        <v>0</v>
      </c>
      <c r="AA24">
        <f t="shared" ca="1" si="15"/>
        <v>3.8005661587901756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30.129929854821746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-0.7720250567750454</v>
      </c>
      <c r="AJ24" s="55">
        <f t="shared" ca="1" si="18"/>
        <v>5.8191449540799729</v>
      </c>
      <c r="AK24" s="55">
        <f t="shared" ca="1" si="19"/>
        <v>-4.4410451270156557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56.743175572154449</v>
      </c>
      <c r="U25" s="55">
        <f t="shared" ca="1" si="1"/>
        <v>0</v>
      </c>
      <c r="V25" s="55">
        <f t="shared" ca="1" si="2"/>
        <v>0</v>
      </c>
      <c r="W25" s="55">
        <f t="shared" ca="1" si="12"/>
        <v>-1.1135334255635572</v>
      </c>
      <c r="X25" s="55">
        <f t="shared" ca="1" si="13"/>
        <v>7.4689872101451735</v>
      </c>
      <c r="Y25" s="55">
        <f t="shared" ca="1" si="14"/>
        <v>1.3357644865558589</v>
      </c>
      <c r="Z25">
        <f t="shared" ca="1" si="3"/>
        <v>0</v>
      </c>
      <c r="AA25">
        <f t="shared" ca="1" si="15"/>
        <v>3.8005661587901756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30.423746790548993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-0.7720250567750454</v>
      </c>
      <c r="AJ25" s="55">
        <f t="shared" ca="1" si="18"/>
        <v>6.6206871823624267</v>
      </c>
      <c r="AK25" s="55">
        <f t="shared" ca="1" si="19"/>
        <v>-4.9487704195708631</v>
      </c>
    </row>
    <row r="26" spans="1:37" s="55" customFormat="1" ht="1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58.198739771768146</v>
      </c>
      <c r="U26" s="55">
        <f t="shared" ca="1" si="1"/>
        <v>0</v>
      </c>
      <c r="V26" s="55">
        <f t="shared" ca="1" si="2"/>
        <v>0</v>
      </c>
      <c r="W26" s="55">
        <f t="shared" ca="1" si="12"/>
        <v>-1.1135334255635572</v>
      </c>
      <c r="X26" s="55">
        <f t="shared" ca="1" si="13"/>
        <v>8.4580961362345057</v>
      </c>
      <c r="Y26" s="55">
        <f t="shared" ca="1" si="14"/>
        <v>1.8022197600802268</v>
      </c>
      <c r="Z26">
        <f t="shared" ca="1" si="3"/>
        <v>0</v>
      </c>
      <c r="AA26">
        <f t="shared" ca="1" si="15"/>
        <v>3.8005661587901756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30.738399279913377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-0.7720250567750454</v>
      </c>
      <c r="AJ26" s="55">
        <f t="shared" ca="1" si="18"/>
        <v>7.4170791035177093</v>
      </c>
      <c r="AK26" s="55">
        <f t="shared" ca="1" si="19"/>
        <v>-5.4305098513617622</v>
      </c>
    </row>
    <row r="27" spans="1:37" s="55" customFormat="1" ht="15" thickBot="1">
      <c r="C27" s="123" t="s">
        <v>137</v>
      </c>
      <c r="D27" s="124"/>
      <c r="E27" s="60"/>
      <c r="F27" s="125" t="s">
        <v>144</v>
      </c>
      <c r="G27" s="126"/>
      <c r="R27" s="83">
        <f ca="1"/>
        <v>45403</v>
      </c>
      <c r="S27" s="55">
        <f t="shared" ca="1" si="11"/>
        <v>45403</v>
      </c>
      <c r="T27" s="55">
        <f t="shared" ca="1" si="0"/>
        <v>59.62160884438245</v>
      </c>
      <c r="U27" s="55">
        <f t="shared" ca="1" si="1"/>
        <v>0</v>
      </c>
      <c r="V27" s="55">
        <f t="shared" ca="1" si="2"/>
        <v>0</v>
      </c>
      <c r="W27" s="55">
        <f t="shared" ca="1" si="12"/>
        <v>-1.1135334255635572</v>
      </c>
      <c r="X27" s="55">
        <f t="shared" ca="1" si="13"/>
        <v>9.391129763057025</v>
      </c>
      <c r="Y27" s="55">
        <f t="shared" ca="1" si="14"/>
        <v>2.2920552058720132</v>
      </c>
      <c r="Z27">
        <f t="shared" ca="1" si="3"/>
        <v>0</v>
      </c>
      <c r="AA27">
        <f t="shared" ca="1" si="15"/>
        <v>3.8005661587901756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31.082008479070481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-0.7720250567750454</v>
      </c>
      <c r="AJ27" s="55">
        <f t="shared" ca="1" si="18"/>
        <v>8.2292437599325297</v>
      </c>
      <c r="AK27" s="55">
        <f t="shared" ca="1" si="19"/>
        <v>-5.8990653086194769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45404</v>
      </c>
      <c r="S28" s="55">
        <f t="shared" ca="1" si="11"/>
        <v>45404</v>
      </c>
      <c r="T28" s="55">
        <f t="shared" ca="1" si="0"/>
        <v>61.12019199490679</v>
      </c>
      <c r="U28" s="55">
        <f t="shared" ca="1" si="1"/>
        <v>0</v>
      </c>
      <c r="V28" s="55">
        <f t="shared" ca="1" si="2"/>
        <v>0</v>
      </c>
      <c r="W28" s="55">
        <f t="shared" ca="1" si="12"/>
        <v>-1.1135334255635572</v>
      </c>
      <c r="X28" s="55">
        <f t="shared" ca="1" si="13"/>
        <v>10.349479011182172</v>
      </c>
      <c r="Y28" s="55">
        <f t="shared" ca="1" si="14"/>
        <v>2.8322891082712083</v>
      </c>
      <c r="Z28">
        <f t="shared" ca="1" si="3"/>
        <v>0</v>
      </c>
      <c r="AA28">
        <f t="shared" ca="1" si="15"/>
        <v>3.8005661587901756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31.443212678917696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-0.7720250567750454</v>
      </c>
      <c r="AJ28" s="55">
        <f t="shared" ca="1" si="18"/>
        <v>9.0285761736498724</v>
      </c>
      <c r="AK28" s="55">
        <f t="shared" ca="1" si="19"/>
        <v>-6.3371935224896063</v>
      </c>
    </row>
    <row r="29" spans="1:37" s="55" customFormat="1">
      <c r="A29" s="83">
        <f t="array" aca="1" ref="A29:A43" ca="1">_xlfn._xlws.FILTER('Model Interface'!X11:X500,'Model Interface'!Y11:Y500&gt;0,"")</f>
        <v>45444</v>
      </c>
      <c r="B29" s="55">
        <f t="shared" ref="B29:B43" ca="1" si="24">IF(AND(NOT(F29=""),F29&gt;=StartSchedullingDate),1,0)</f>
        <v>0</v>
      </c>
      <c r="C29" s="78">
        <v>45444</v>
      </c>
      <c r="D29" s="80">
        <v>100</v>
      </c>
      <c r="F29" s="74">
        <f ca="1">A29</f>
        <v>45444</v>
      </c>
      <c r="G29" s="76">
        <f ca="1">IFERROR(VLOOKUP(F29,'Model Interface'!$J$11:$O$500,6,FALSE),"")</f>
        <v>100</v>
      </c>
      <c r="H29" s="55" t="str">
        <f ca="1">IF(B29=1,"Suggested","Applied or Planned")</f>
        <v>Applied or Planned</v>
      </c>
      <c r="R29" s="83">
        <f ca="1"/>
        <v>45405</v>
      </c>
      <c r="S29" s="55">
        <f t="shared" ca="1" si="11"/>
        <v>45405</v>
      </c>
      <c r="T29" s="55">
        <f t="shared" ca="1" si="0"/>
        <v>62.769193065259138</v>
      </c>
      <c r="U29" s="55">
        <f t="shared" ca="1" si="1"/>
        <v>0</v>
      </c>
      <c r="V29" s="55">
        <f t="shared" ca="1" si="2"/>
        <v>0</v>
      </c>
      <c r="W29" s="55">
        <f t="shared" ca="1" si="12"/>
        <v>-1.1135334255635572</v>
      </c>
      <c r="X29" s="55">
        <f t="shared" ca="1" si="13"/>
        <v>11.384546949228959</v>
      </c>
      <c r="Y29" s="55">
        <f t="shared" ca="1" si="14"/>
        <v>3.4462222405767693</v>
      </c>
      <c r="Z29">
        <f t="shared" ca="1" si="3"/>
        <v>0</v>
      </c>
      <c r="AA29">
        <f t="shared" ca="1" si="15"/>
        <v>3.8005661587901756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31.810153749556335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-0.7720250567750454</v>
      </c>
      <c r="AJ29" s="55">
        <f t="shared" ca="1" si="18"/>
        <v>9.8031299674585188</v>
      </c>
      <c r="AK29" s="55">
        <f t="shared" ca="1" si="19"/>
        <v>-6.7448062456596105</v>
      </c>
    </row>
    <row r="30" spans="1:37" s="55" customFormat="1">
      <c r="A30" s="83">
        <f ca="1"/>
        <v>45462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45462</v>
      </c>
      <c r="G30" s="76">
        <f ca="1">IFERROR(VLOOKUP(F30,'Model Interface'!$J$11:$O$500,6,FALSE),"")</f>
        <v>75.011399614991646</v>
      </c>
      <c r="H30" s="55" t="str">
        <f t="shared" ref="H30:H43" ca="1" si="26">IF(F30="","",IF(F30&lt;=StartSchedullingDate,"Applied or Planned","Suggested"))</f>
        <v>Suggested</v>
      </c>
      <c r="R30" s="83">
        <f ca="1"/>
        <v>45406</v>
      </c>
      <c r="S30" s="55">
        <f t="shared" ca="1" si="11"/>
        <v>45406</v>
      </c>
      <c r="T30" s="55">
        <f t="shared" ca="1" si="0"/>
        <v>62.791709652301442</v>
      </c>
      <c r="U30" s="55">
        <f t="shared" ca="1" si="1"/>
        <v>0</v>
      </c>
      <c r="V30" s="55">
        <f t="shared" ca="1" si="2"/>
        <v>0</v>
      </c>
      <c r="W30" s="55">
        <f t="shared" ca="1" si="12"/>
        <v>-2.7219391936507704</v>
      </c>
      <c r="X30" s="55">
        <f t="shared" ca="1" si="13"/>
        <v>12.385449475192138</v>
      </c>
      <c r="Y30" s="55">
        <f t="shared" ca="1" si="14"/>
        <v>4.0762420697431097</v>
      </c>
      <c r="Z30">
        <f t="shared" ca="1" si="3"/>
        <v>0</v>
      </c>
      <c r="AA30">
        <f t="shared" ca="1" si="15"/>
        <v>8.4516996910313793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32.186837869867006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-0.7720250567750454</v>
      </c>
      <c r="AJ30" s="55">
        <f t="shared" ca="1" si="18"/>
        <v>10.562622874782024</v>
      </c>
      <c r="AK30" s="55">
        <f t="shared" ca="1" si="19"/>
        <v>-7.1276150326724448</v>
      </c>
    </row>
    <row r="31" spans="1:37" s="55" customFormat="1">
      <c r="A31" s="83">
        <f ca="1"/>
        <v>45475</v>
      </c>
      <c r="B31" s="55">
        <f t="shared" ca="1" si="24"/>
        <v>1</v>
      </c>
      <c r="C31" s="78"/>
      <c r="D31" s="81"/>
      <c r="F31" s="74">
        <f t="shared" ca="1" si="25"/>
        <v>45475</v>
      </c>
      <c r="G31" s="76">
        <f ca="1">IFERROR(VLOOKUP(F31,'Model Interface'!$J$11:$O$500,6,FALSE),"")</f>
        <v>81.374280821524877</v>
      </c>
      <c r="H31" s="55" t="str">
        <f t="shared" ca="1" si="26"/>
        <v>Suggested</v>
      </c>
      <c r="R31" s="83">
        <f ca="1"/>
        <v>45407</v>
      </c>
      <c r="S31" s="55">
        <f t="shared" ca="1" si="11"/>
        <v>45407</v>
      </c>
      <c r="T31" s="55">
        <f t="shared" ca="1" si="0"/>
        <v>64.388259526254714</v>
      </c>
      <c r="U31" s="55">
        <f t="shared" ca="1" si="1"/>
        <v>0</v>
      </c>
      <c r="V31" s="55">
        <f t="shared" ca="1" si="2"/>
        <v>0</v>
      </c>
      <c r="W31" s="55">
        <f t="shared" ca="1" si="12"/>
        <v>-2.7219391936507704</v>
      </c>
      <c r="X31" s="55">
        <f t="shared" ca="1" si="13"/>
        <v>13.346270665384157</v>
      </c>
      <c r="Y31" s="55">
        <f t="shared" ca="1" si="14"/>
        <v>4.7119707535043638</v>
      </c>
      <c r="Z31">
        <f t="shared" ca="1" si="3"/>
        <v>0</v>
      </c>
      <c r="AA31">
        <f t="shared" ca="1" si="15"/>
        <v>8.4516996910313793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32.545723056224027</v>
      </c>
      <c r="AG31" s="55">
        <f t="shared" ca="1" si="22"/>
        <v>0</v>
      </c>
      <c r="AH31" s="55">
        <f t="shared" ca="1" si="23"/>
        <v>0</v>
      </c>
      <c r="AI31" s="55">
        <f t="shared" ca="1" si="17"/>
        <v>-0.86320490134715699</v>
      </c>
      <c r="AJ31" s="55">
        <f t="shared" ca="1" si="18"/>
        <v>11.406877405490544</v>
      </c>
      <c r="AK31" s="55">
        <f t="shared" ca="1" si="19"/>
        <v>-7.5218045324518314</v>
      </c>
    </row>
    <row r="32" spans="1:37" s="55" customFormat="1">
      <c r="A32" s="83">
        <f ca="1"/>
        <v>45487</v>
      </c>
      <c r="B32" s="55">
        <f t="shared" ca="1" si="24"/>
        <v>1</v>
      </c>
      <c r="C32" s="78"/>
      <c r="D32" s="81"/>
      <c r="F32" s="74">
        <f t="shared" ca="1" si="25"/>
        <v>45487</v>
      </c>
      <c r="G32" s="76">
        <f ca="1">IFERROR(VLOOKUP(F32,'Model Interface'!$J$11:$O$500,6,FALSE),"")</f>
        <v>108.14529362243525</v>
      </c>
      <c r="H32" s="55" t="str">
        <f t="shared" ca="1" si="26"/>
        <v>Suggested</v>
      </c>
      <c r="R32" s="83">
        <f ca="1"/>
        <v>45408</v>
      </c>
      <c r="S32" s="55">
        <f t="shared" ca="1" si="11"/>
        <v>45408</v>
      </c>
      <c r="T32" s="55">
        <f t="shared" ca="1" si="0"/>
        <v>65.318713437652619</v>
      </c>
      <c r="U32" s="55">
        <f t="shared" ca="1" si="1"/>
        <v>0</v>
      </c>
      <c r="V32" s="55">
        <f t="shared" ca="1" si="2"/>
        <v>0</v>
      </c>
      <c r="W32" s="55">
        <f t="shared" ca="1" si="12"/>
        <v>-3.5234822619453348</v>
      </c>
      <c r="X32" s="55">
        <f t="shared" ca="1" si="13"/>
        <v>14.37961379543423</v>
      </c>
      <c r="Y32" s="55">
        <f t="shared" ca="1" si="14"/>
        <v>5.4106246031467595</v>
      </c>
      <c r="Z32">
        <f t="shared" ca="1" si="3"/>
        <v>0</v>
      </c>
      <c r="AA32">
        <f t="shared" ca="1" si="15"/>
        <v>10.679902589582099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33.021273470218276</v>
      </c>
      <c r="AG32" s="55">
        <f t="shared" ca="1" si="22"/>
        <v>1.5298380824423061</v>
      </c>
      <c r="AH32" s="55">
        <f t="shared" ca="1" si="23"/>
        <v>0</v>
      </c>
      <c r="AI32" s="55">
        <f t="shared" ca="1" si="17"/>
        <v>-0.86320490134715699</v>
      </c>
      <c r="AJ32" s="55">
        <f t="shared" ca="1" si="18"/>
        <v>12.258767912341611</v>
      </c>
      <c r="AK32" s="55">
        <f t="shared" ca="1" si="19"/>
        <v>-7.898144625308646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65.436265591389727</v>
      </c>
      <c r="U33" s="55">
        <f t="shared" ca="1" si="1"/>
        <v>0</v>
      </c>
      <c r="V33" s="55">
        <f t="shared" ca="1" si="2"/>
        <v>0</v>
      </c>
      <c r="W33" s="55">
        <f t="shared" ca="1" si="12"/>
        <v>-5.0658814265516581</v>
      </c>
      <c r="X33" s="55">
        <f t="shared" ca="1" si="13"/>
        <v>15.354516242338722</v>
      </c>
      <c r="Y33" s="55">
        <f t="shared" ca="1" si="14"/>
        <v>6.0956734745856975</v>
      </c>
      <c r="Z33">
        <f t="shared" ca="1" si="3"/>
        <v>0</v>
      </c>
      <c r="AA33">
        <f t="shared" ca="1" si="15"/>
        <v>14.9599025895821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33.436442459188243</v>
      </c>
      <c r="AG33" s="55">
        <f t="shared" ca="1" si="22"/>
        <v>1.5872084993253912</v>
      </c>
      <c r="AH33" s="55">
        <f t="shared" ca="1" si="23"/>
        <v>0</v>
      </c>
      <c r="AI33" s="55">
        <f t="shared" ca="1" si="17"/>
        <v>-0.86320490134715699</v>
      </c>
      <c r="AJ33" s="55">
        <f t="shared" ca="1" si="18"/>
        <v>13.077378791038271</v>
      </c>
      <c r="AK33" s="55">
        <f t="shared" ca="1" si="19"/>
        <v>-8.2442160981522505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65.924998772428864</v>
      </c>
      <c r="U34" s="55">
        <f t="shared" ca="1" si="1"/>
        <v>0</v>
      </c>
      <c r="V34" s="55">
        <f t="shared" ca="1" si="2"/>
        <v>0</v>
      </c>
      <c r="W34" s="55">
        <f t="shared" ca="1" si="12"/>
        <v>-6.2167981442511921</v>
      </c>
      <c r="X34" s="55">
        <f t="shared" ca="1" si="13"/>
        <v>16.307112763916802</v>
      </c>
      <c r="Y34" s="55">
        <f t="shared" ca="1" si="14"/>
        <v>6.7827268517462791</v>
      </c>
      <c r="Z34">
        <f t="shared" ca="1" si="3"/>
        <v>0</v>
      </c>
      <c r="AA34">
        <f t="shared" ca="1" si="15"/>
        <v>18.129902589582102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33.641737208381841</v>
      </c>
      <c r="AG34" s="55">
        <f t="shared" ca="1" si="22"/>
        <v>1.6498644916719156</v>
      </c>
      <c r="AH34" s="55">
        <f t="shared" ca="1" si="23"/>
        <v>0</v>
      </c>
      <c r="AI34" s="55">
        <f t="shared" ca="1" si="17"/>
        <v>-1.119403497532109</v>
      </c>
      <c r="AJ34" s="55">
        <f t="shared" ca="1" si="18"/>
        <v>13.943895302349809</v>
      </c>
      <c r="AK34" s="55">
        <f t="shared" ca="1" si="19"/>
        <v>-8.5865832717387107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66.16683504090372</v>
      </c>
      <c r="U35" s="55">
        <f t="shared" ca="1" si="1"/>
        <v>0</v>
      </c>
      <c r="V35" s="55">
        <f t="shared" ca="1" si="2"/>
        <v>0</v>
      </c>
      <c r="W35" s="55">
        <f t="shared" ca="1" si="12"/>
        <v>-7.6015069819188046</v>
      </c>
      <c r="X35" s="55">
        <f t="shared" ca="1" si="13"/>
        <v>17.244201485098731</v>
      </c>
      <c r="Y35" s="55">
        <f t="shared" ca="1" si="14"/>
        <v>7.4721832367068206</v>
      </c>
      <c r="Z35">
        <f t="shared" ca="1" si="3"/>
        <v>0</v>
      </c>
      <c r="AA35">
        <f t="shared" ca="1" si="15"/>
        <v>21.929902589582113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33.773304659640836</v>
      </c>
      <c r="AG35" s="55">
        <f t="shared" ca="1" si="22"/>
        <v>1.7145583958168287</v>
      </c>
      <c r="AH35" s="55">
        <f t="shared" ca="1" si="23"/>
        <v>0</v>
      </c>
      <c r="AI35" s="55">
        <f t="shared" ca="1" si="17"/>
        <v>-1.4616396514164702</v>
      </c>
      <c r="AJ35" s="55">
        <f t="shared" ca="1" si="18"/>
        <v>14.804234691634775</v>
      </c>
      <c r="AK35" s="55">
        <f t="shared" ca="1" si="19"/>
        <v>-8.9084251517354112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138</v>
      </c>
      <c r="D36" s="124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67.584101911910153</v>
      </c>
      <c r="U36" s="55">
        <f t="shared" ca="1" si="1"/>
        <v>0</v>
      </c>
      <c r="V36" s="55">
        <f t="shared" ca="1" si="2"/>
        <v>0</v>
      </c>
      <c r="W36" s="55">
        <f t="shared" ca="1" si="12"/>
        <v>-7.6015069819188046</v>
      </c>
      <c r="X36" s="55">
        <f t="shared" ca="1" si="13"/>
        <v>18.044270080235183</v>
      </c>
      <c r="Y36" s="55">
        <f t="shared" ca="1" si="14"/>
        <v>8.0893815125767947</v>
      </c>
      <c r="Z36">
        <f t="shared" ca="1" si="3"/>
        <v>0</v>
      </c>
      <c r="AA36">
        <f t="shared" ca="1" si="15"/>
        <v>21.929902589582113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34.243185428394391</v>
      </c>
      <c r="AG36" s="55">
        <f t="shared" ca="1" si="22"/>
        <v>1.7797166965275555</v>
      </c>
      <c r="AH36" s="55">
        <f t="shared" ca="1" si="23"/>
        <v>0</v>
      </c>
      <c r="AI36" s="55">
        <f t="shared" ca="1" si="17"/>
        <v>-1.4616396514164702</v>
      </c>
      <c r="AJ36" s="55">
        <f t="shared" ca="1" si="18"/>
        <v>15.635605899804293</v>
      </c>
      <c r="AK36" s="55">
        <f t="shared" ca="1" si="19"/>
        <v>-9.2047572904406501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69.003043341987421</v>
      </c>
      <c r="U37" s="55">
        <f t="shared" ca="1" si="1"/>
        <v>0</v>
      </c>
      <c r="V37" s="55">
        <f t="shared" ca="1" si="2"/>
        <v>0</v>
      </c>
      <c r="W37" s="55">
        <f t="shared" ca="1" si="12"/>
        <v>-7.6015069819188046</v>
      </c>
      <c r="X37" s="55">
        <f t="shared" ca="1" si="13"/>
        <v>18.84213140115553</v>
      </c>
      <c r="Y37" s="55">
        <f t="shared" ca="1" si="14"/>
        <v>8.7104616217337227</v>
      </c>
      <c r="Z37">
        <f t="shared" ca="1" si="3"/>
        <v>0</v>
      </c>
      <c r="AA37">
        <f t="shared" ca="1" si="15"/>
        <v>21.929902589582113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34.762726305747208</v>
      </c>
      <c r="AG37" s="55">
        <f t="shared" ca="1" si="22"/>
        <v>1.8511977674812321</v>
      </c>
      <c r="AH37" s="55">
        <f t="shared" ca="1" si="23"/>
        <v>0</v>
      </c>
      <c r="AI37" s="55">
        <f t="shared" ca="1" si="17"/>
        <v>-1.4616396514164702</v>
      </c>
      <c r="AJ37" s="55">
        <f t="shared" ca="1" si="18"/>
        <v>16.520034225648367</v>
      </c>
      <c r="AK37" s="55">
        <f t="shared" ca="1" si="19"/>
        <v>-9.4981636679782255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53</v>
      </c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70.576266700642421</v>
      </c>
      <c r="U38" s="55">
        <f t="shared" ca="1" si="1"/>
        <v>0</v>
      </c>
      <c r="V38" s="55">
        <f t="shared" ca="1" si="2"/>
        <v>0</v>
      </c>
      <c r="W38" s="55">
        <f t="shared" ca="1" si="12"/>
        <v>-7.6015069819188046</v>
      </c>
      <c r="X38" s="55">
        <f t="shared" ca="1" si="13"/>
        <v>19.73441819742127</v>
      </c>
      <c r="Y38" s="55">
        <f t="shared" ca="1" si="14"/>
        <v>9.3913981841229877</v>
      </c>
      <c r="Z38">
        <f t="shared" ca="1" si="3"/>
        <v>0</v>
      </c>
      <c r="AA38">
        <f t="shared" ca="1" si="15"/>
        <v>21.929902589582113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35.283153834773017</v>
      </c>
      <c r="AG38" s="55">
        <f t="shared" ca="1" si="22"/>
        <v>1.9240664917319363</v>
      </c>
      <c r="AH38" s="55">
        <f t="shared" ca="1" si="23"/>
        <v>0</v>
      </c>
      <c r="AI38" s="55">
        <f t="shared" ca="1" si="17"/>
        <v>-1.4616396514164702</v>
      </c>
      <c r="AJ38" s="55">
        <f t="shared" ca="1" si="18"/>
        <v>17.385003890634124</v>
      </c>
      <c r="AK38" s="55">
        <f t="shared" ca="1" si="19"/>
        <v>-9.7698370796874663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72.158369381610171</v>
      </c>
      <c r="U39" s="55">
        <f t="shared" ca="1" si="1"/>
        <v>0</v>
      </c>
      <c r="V39" s="55">
        <f t="shared" ca="1" si="2"/>
        <v>0</v>
      </c>
      <c r="W39" s="55">
        <f t="shared" ca="1" si="12"/>
        <v>-7.6015069819188046</v>
      </c>
      <c r="X39" s="55">
        <f t="shared" ca="1" si="13"/>
        <v>20.630650323777331</v>
      </c>
      <c r="Y39" s="55">
        <f t="shared" ca="1" si="14"/>
        <v>10.077268738734688</v>
      </c>
      <c r="Z39">
        <f t="shared" ca="1" si="3"/>
        <v>0</v>
      </c>
      <c r="AA39">
        <f t="shared" ca="1" si="15"/>
        <v>21.929902589582113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35.7852631284658</v>
      </c>
      <c r="AG39" s="55">
        <f t="shared" ca="1" si="22"/>
        <v>1.9962067184221322</v>
      </c>
      <c r="AH39" s="55">
        <f t="shared" ca="1" si="23"/>
        <v>0</v>
      </c>
      <c r="AI39" s="55">
        <f t="shared" ca="1" si="17"/>
        <v>-1.4616396514164702</v>
      </c>
      <c r="AJ39" s="55">
        <f t="shared" ca="1" si="18"/>
        <v>18.205109608863729</v>
      </c>
      <c r="AK39" s="55">
        <f t="shared" ca="1" si="19"/>
        <v>-10.015693277534091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72.418757070282425</v>
      </c>
      <c r="U40" s="55">
        <f t="shared" ca="1" si="1"/>
        <v>0</v>
      </c>
      <c r="V40" s="55">
        <f t="shared" ca="1" si="2"/>
        <v>0</v>
      </c>
      <c r="W40" s="55">
        <f t="shared" ca="1" si="12"/>
        <v>-8.9819054910333076</v>
      </c>
      <c r="X40" s="55">
        <f t="shared" ca="1" si="13"/>
        <v>21.562874226041931</v>
      </c>
      <c r="Y40" s="55">
        <f t="shared" ca="1" si="14"/>
        <v>10.785831034256844</v>
      </c>
      <c r="Z40">
        <f t="shared" ca="1" si="3"/>
        <v>0</v>
      </c>
      <c r="AA40">
        <f t="shared" ca="1" si="15"/>
        <v>25.391040537457854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36.31225948117779</v>
      </c>
      <c r="AG40" s="55">
        <f t="shared" ca="1" si="22"/>
        <v>2.0742894579957016</v>
      </c>
      <c r="AH40" s="55">
        <f t="shared" ca="1" si="23"/>
        <v>0</v>
      </c>
      <c r="AI40" s="55">
        <f t="shared" ca="1" si="17"/>
        <v>-1.4616396514164702</v>
      </c>
      <c r="AJ40" s="55">
        <f t="shared" ca="1" si="18"/>
        <v>19.050255145513425</v>
      </c>
      <c r="AK40" s="55">
        <f t="shared" ca="1" si="19"/>
        <v>-10.255759721898226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73.584090197495243</v>
      </c>
      <c r="U41" s="55">
        <f t="shared" ca="1" si="1"/>
        <v>0</v>
      </c>
      <c r="V41" s="55">
        <f t="shared" ca="1" si="2"/>
        <v>0</v>
      </c>
      <c r="W41" s="55">
        <f t="shared" ca="1" si="12"/>
        <v>-9.4155184051536231</v>
      </c>
      <c r="X41" s="55">
        <f t="shared" ca="1" si="13"/>
        <v>22.46941447387788</v>
      </c>
      <c r="Y41" s="55">
        <f t="shared" ca="1" si="14"/>
        <v>11.478236827754024</v>
      </c>
      <c r="Z41">
        <f t="shared" ca="1" si="3"/>
        <v>0</v>
      </c>
      <c r="AA41">
        <f t="shared" ca="1" si="15"/>
        <v>26.461040537457862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36.816419906483688</v>
      </c>
      <c r="AG41" s="55">
        <f t="shared" ca="1" si="22"/>
        <v>2.1542222831708209</v>
      </c>
      <c r="AH41" s="55">
        <f t="shared" ca="1" si="23"/>
        <v>0</v>
      </c>
      <c r="AI41" s="55">
        <f t="shared" ca="1" si="17"/>
        <v>-1.4616396514164702</v>
      </c>
      <c r="AJ41" s="55">
        <f t="shared" ca="1" si="18"/>
        <v>19.857238296355156</v>
      </c>
      <c r="AK41" s="55">
        <f t="shared" ca="1" si="19"/>
        <v>-10.478649622258938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73.444811225436524</v>
      </c>
      <c r="U42" s="55">
        <f t="shared" ca="1" si="1"/>
        <v>0</v>
      </c>
      <c r="V42" s="55">
        <f t="shared" ca="1" si="2"/>
        <v>0</v>
      </c>
      <c r="W42" s="55">
        <f t="shared" ca="1" si="12"/>
        <v>-11.077925740978069</v>
      </c>
      <c r="X42" s="55">
        <f t="shared" ca="1" si="13"/>
        <v>23.329753863162846</v>
      </c>
      <c r="Y42" s="55">
        <f t="shared" ca="1" si="14"/>
        <v>12.141025802234784</v>
      </c>
      <c r="Z42">
        <f t="shared" ca="1" si="3"/>
        <v>0</v>
      </c>
      <c r="AA42">
        <f t="shared" ca="1" si="15"/>
        <v>30.571040537457861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37.378613740840478</v>
      </c>
      <c r="AG42" s="55">
        <f t="shared" ca="1" si="22"/>
        <v>2.240183974868398</v>
      </c>
      <c r="AH42" s="55">
        <f t="shared" ca="1" si="23"/>
        <v>0</v>
      </c>
      <c r="AI42" s="55">
        <f t="shared" ca="1" si="17"/>
        <v>-1.4616396514164702</v>
      </c>
      <c r="AJ42" s="55">
        <f t="shared" ca="1" si="18"/>
        <v>20.721025251922548</v>
      </c>
      <c r="AK42" s="55">
        <f t="shared" ca="1" si="19"/>
        <v>-10.694281051771959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74.609941468333304</v>
      </c>
      <c r="U43" s="55">
        <f t="shared" ca="1" si="1"/>
        <v>0</v>
      </c>
      <c r="V43" s="55">
        <f t="shared" ca="1" si="2"/>
        <v>0</v>
      </c>
      <c r="W43" s="55">
        <f t="shared" ca="1" si="12"/>
        <v>-11.447731537821115</v>
      </c>
      <c r="X43" s="55">
        <f t="shared" ca="1" si="13"/>
        <v>24.199369200984474</v>
      </c>
      <c r="Y43" s="55">
        <f t="shared" ca="1" si="14"/>
        <v>12.806346504152982</v>
      </c>
      <c r="Z43">
        <f t="shared" ca="1" si="3"/>
        <v>0</v>
      </c>
      <c r="AA43">
        <f t="shared" ca="1" si="15"/>
        <v>31.471040537457867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37.916457172784021</v>
      </c>
      <c r="AG43" s="55">
        <f t="shared" ca="1" si="22"/>
        <v>2.3246126658820678</v>
      </c>
      <c r="AH43" s="55">
        <f t="shared" ca="1" si="23"/>
        <v>0</v>
      </c>
      <c r="AI43" s="55">
        <f t="shared" ca="1" si="17"/>
        <v>-1.4616396514164702</v>
      </c>
      <c r="AJ43" s="55">
        <f t="shared" ca="1" si="18"/>
        <v>21.535895764477772</v>
      </c>
      <c r="AK43" s="55">
        <f t="shared" ca="1" si="19"/>
        <v>-10.886879441369974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45458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76.307395309304425</v>
      </c>
      <c r="U44" s="55">
        <f t="shared" ca="1" si="1"/>
        <v>0</v>
      </c>
      <c r="V44" s="55">
        <f t="shared" ca="1" si="2"/>
        <v>0</v>
      </c>
      <c r="W44" s="55">
        <f t="shared" ca="1" si="12"/>
        <v>-11.447731537821115</v>
      </c>
      <c r="X44" s="55">
        <f t="shared" ca="1" si="13"/>
        <v>25.173439874010349</v>
      </c>
      <c r="Y44" s="55">
        <f t="shared" ca="1" si="14"/>
        <v>13.529729672098224</v>
      </c>
      <c r="Z44">
        <f t="shared" ca="1" si="3"/>
        <v>0</v>
      </c>
      <c r="AA44">
        <f t="shared" ca="1" si="15"/>
        <v>31.471040537457867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38.436769493076326</v>
      </c>
      <c r="AG44" s="55">
        <f t="shared" ca="1" si="22"/>
        <v>2.4124798003771764</v>
      </c>
      <c r="AH44" s="55">
        <f t="shared" ca="1" si="23"/>
        <v>0</v>
      </c>
      <c r="AI44" s="55">
        <f t="shared" ca="1" si="17"/>
        <v>-1.4616396514164702</v>
      </c>
      <c r="AJ44" s="55">
        <f t="shared" ca="1" si="18"/>
        <v>22.325164469011675</v>
      </c>
      <c r="AK44" s="55">
        <f t="shared" ca="1" si="19"/>
        <v>-11.067968691116469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77.847670034828496</v>
      </c>
      <c r="U45" s="55">
        <f t="shared" ca="1" si="1"/>
        <v>0</v>
      </c>
      <c r="V45" s="55">
        <f t="shared" ca="1" si="2"/>
        <v>0</v>
      </c>
      <c r="W45" s="55">
        <f t="shared" ca="1" si="12"/>
        <v>-11.551595143759958</v>
      </c>
      <c r="X45" s="55">
        <f t="shared" ca="1" si="13"/>
        <v>26.117854957957267</v>
      </c>
      <c r="Y45" s="55">
        <f t="shared" ca="1" si="14"/>
        <v>14.229452919614207</v>
      </c>
      <c r="Z45">
        <f t="shared" ca="1" si="3"/>
        <v>0</v>
      </c>
      <c r="AA45">
        <f t="shared" ca="1" si="15"/>
        <v>31.713301407023081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38.975318369427171</v>
      </c>
      <c r="AG45" s="55">
        <f t="shared" ca="1" si="22"/>
        <v>2.5080977002442797</v>
      </c>
      <c r="AH45" s="55">
        <f t="shared" ca="1" si="23"/>
        <v>0</v>
      </c>
      <c r="AI45" s="55">
        <f t="shared" ca="1" si="17"/>
        <v>-1.4616396514164702</v>
      </c>
      <c r="AJ45" s="55">
        <f t="shared" ca="1" si="18"/>
        <v>23.13568330186429</v>
      </c>
      <c r="AK45" s="55">
        <f t="shared" ca="1" si="19"/>
        <v>-11.244320747751139</v>
      </c>
    </row>
    <row r="46" spans="1:37" s="55" customFormat="1" ht="15" thickBot="1">
      <c r="C46" s="120" t="s">
        <v>153</v>
      </c>
      <c r="D46" s="120"/>
      <c r="E46" s="120"/>
      <c r="F46" s="120"/>
      <c r="G46" s="120"/>
      <c r="H46" s="120"/>
      <c r="R46" s="83">
        <f ca="1"/>
        <v>45422</v>
      </c>
      <c r="S46" s="55">
        <f t="shared" ca="1" si="11"/>
        <v>45422</v>
      </c>
      <c r="T46" s="55">
        <f t="shared" ca="1" si="0"/>
        <v>78.265858583008352</v>
      </c>
      <c r="U46" s="55">
        <f t="shared" ca="1" si="1"/>
        <v>0</v>
      </c>
      <c r="V46" s="55">
        <f t="shared" ca="1" si="2"/>
        <v>0</v>
      </c>
      <c r="W46" s="55">
        <f t="shared" ca="1" si="12"/>
        <v>-12.689512670288567</v>
      </c>
      <c r="X46" s="55">
        <f t="shared" ca="1" si="13"/>
        <v>27.010929961527914</v>
      </c>
      <c r="Y46" s="55">
        <f t="shared" ca="1" si="14"/>
        <v>14.892483990752025</v>
      </c>
      <c r="Z46">
        <f t="shared" ca="1" si="3"/>
        <v>0</v>
      </c>
      <c r="AA46">
        <f t="shared" ca="1" si="15"/>
        <v>34.353301407023082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39.586455427606964</v>
      </c>
      <c r="AG46" s="55">
        <f t="shared" ca="1" si="22"/>
        <v>2.6146366160159924</v>
      </c>
      <c r="AH46" s="55">
        <f t="shared" ca="1" si="23"/>
        <v>0</v>
      </c>
      <c r="AI46" s="55">
        <f t="shared" ca="1" si="17"/>
        <v>-1.4616396514164702</v>
      </c>
      <c r="AJ46" s="55">
        <f t="shared" ca="1" si="18"/>
        <v>24.027986510606809</v>
      </c>
      <c r="AK46" s="55">
        <f t="shared" ca="1" si="19"/>
        <v>-11.41894798254215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284</v>
      </c>
      <c r="F47" s="61" t="s">
        <v>133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77.758617133033667</v>
      </c>
      <c r="U47" s="55">
        <f t="shared" ca="1" si="1"/>
        <v>0</v>
      </c>
      <c r="V47" s="55">
        <f t="shared" ca="1" si="2"/>
        <v>0</v>
      </c>
      <c r="W47" s="55">
        <f t="shared" ca="1" si="12"/>
        <v>-14.804997830899158</v>
      </c>
      <c r="X47" s="55">
        <f t="shared" ca="1" si="13"/>
        <v>27.941535708674976</v>
      </c>
      <c r="Y47" s="55">
        <f t="shared" ca="1" si="14"/>
        <v>15.57012195424087</v>
      </c>
      <c r="Z47">
        <f t="shared" ca="1" si="3"/>
        <v>0</v>
      </c>
      <c r="AA47">
        <f t="shared" ca="1" si="15"/>
        <v>39.29330140702308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40.255851604826631</v>
      </c>
      <c r="AG47" s="55">
        <f t="shared" ca="1" si="22"/>
        <v>2.7267142540763079</v>
      </c>
      <c r="AH47" s="55">
        <f t="shared" ca="1" si="23"/>
        <v>0</v>
      </c>
      <c r="AI47" s="55">
        <f t="shared" ca="1" si="17"/>
        <v>-1.4616396514164702</v>
      </c>
      <c r="AJ47" s="55">
        <f t="shared" ca="1" si="18"/>
        <v>24.972478087419802</v>
      </c>
      <c r="AK47" s="55">
        <f t="shared" ca="1" si="19"/>
        <v>-11.581965744075163</v>
      </c>
    </row>
    <row r="48" spans="1:37" s="55" customFormat="1">
      <c r="C48" s="61" t="s">
        <v>94</v>
      </c>
      <c r="D48" s="84" t="str">
        <f>IF(E48="","Barley",E48)</f>
        <v>Turnip</v>
      </c>
      <c r="E48" s="66" t="s">
        <v>37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77.636441513100038</v>
      </c>
      <c r="U48" s="55">
        <f t="shared" ca="1" si="1"/>
        <v>0</v>
      </c>
      <c r="V48" s="55">
        <f t="shared" ca="1" si="2"/>
        <v>0</v>
      </c>
      <c r="W48" s="55">
        <f t="shared" ca="1" si="12"/>
        <v>-16.442564163916053</v>
      </c>
      <c r="X48" s="55">
        <f t="shared" ca="1" si="13"/>
        <v>28.818148447111113</v>
      </c>
      <c r="Y48" s="55">
        <f t="shared" ca="1" si="14"/>
        <v>16.208899928887991</v>
      </c>
      <c r="Z48">
        <f t="shared" ca="1" si="3"/>
        <v>0</v>
      </c>
      <c r="AA48">
        <f t="shared" ca="1" si="15"/>
        <v>43.123301407023078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40.916640315137847</v>
      </c>
      <c r="AG48" s="55">
        <f t="shared" ca="1" si="22"/>
        <v>2.8395038008920275</v>
      </c>
      <c r="AH48" s="55">
        <f t="shared" ca="1" si="23"/>
        <v>0</v>
      </c>
      <c r="AI48" s="55">
        <f t="shared" ca="1" si="17"/>
        <v>-1.4616396514164702</v>
      </c>
      <c r="AJ48" s="55">
        <f t="shared" ca="1" si="18"/>
        <v>25.891805032697256</v>
      </c>
      <c r="AK48" s="55">
        <f t="shared" ca="1" si="19"/>
        <v>-11.727714432225682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77.584758249500197</v>
      </c>
      <c r="U49" s="55">
        <f t="shared" ca="1" si="1"/>
        <v>0</v>
      </c>
      <c r="V49" s="55">
        <f t="shared" ca="1" si="2"/>
        <v>0</v>
      </c>
      <c r="W49" s="55">
        <f t="shared" ca="1" si="12"/>
        <v>-18.014948597772594</v>
      </c>
      <c r="X49" s="55">
        <f t="shared" ca="1" si="13"/>
        <v>29.70336068953117</v>
      </c>
      <c r="Y49" s="55">
        <f t="shared" ca="1" si="14"/>
        <v>16.844388856724642</v>
      </c>
      <c r="Z49">
        <f t="shared" ca="1" si="3"/>
        <v>0</v>
      </c>
      <c r="AA49">
        <f t="shared" ca="1" si="15"/>
        <v>46.803301407023085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41.485689839306666</v>
      </c>
      <c r="AG49" s="55">
        <f t="shared" ca="1" si="22"/>
        <v>2.961624997388157</v>
      </c>
      <c r="AH49" s="55">
        <f t="shared" ca="1" si="23"/>
        <v>0</v>
      </c>
      <c r="AI49" s="55">
        <f t="shared" ca="1" si="17"/>
        <v>-1.5936822076724197</v>
      </c>
      <c r="AJ49" s="55">
        <f t="shared" ca="1" si="18"/>
        <v>26.854276347618871</v>
      </c>
      <c r="AK49" s="55">
        <f t="shared" ca="1" si="19"/>
        <v>-11.866972470226397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150</v>
      </c>
      <c r="D50" s="65" t="str">
        <f>SUBSTITUTE(PriorCropName&amp;" "&amp;PriorCropType&amp;" "&amp;PriorCropVariety,"_"," ")</f>
        <v>Turnip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75.970701523559029</v>
      </c>
      <c r="U50" s="55">
        <f t="shared" ca="1" si="1"/>
        <v>0</v>
      </c>
      <c r="V50" s="55">
        <f t="shared" ca="1" si="2"/>
        <v>0</v>
      </c>
      <c r="W50" s="55">
        <f t="shared" ca="1" si="12"/>
        <v>-21.19889170887155</v>
      </c>
      <c r="X50" s="55">
        <f t="shared" ca="1" si="13"/>
        <v>30.62590153070558</v>
      </c>
      <c r="Y50" s="55">
        <f t="shared" ca="1" si="14"/>
        <v>17.491734400708019</v>
      </c>
      <c r="Z50">
        <f t="shared" ca="1" si="3"/>
        <v>0</v>
      </c>
      <c r="AA50">
        <f t="shared" ca="1" si="15"/>
        <v>54.413301407023084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42.134719724457995</v>
      </c>
      <c r="AG50" s="55">
        <f t="shared" ca="1" si="22"/>
        <v>3.0804636581886742</v>
      </c>
      <c r="AH50" s="55">
        <f t="shared" ca="1" si="23"/>
        <v>0</v>
      </c>
      <c r="AI50" s="55">
        <f t="shared" ca="1" si="17"/>
        <v>-1.5936822076724197</v>
      </c>
      <c r="AJ50" s="55">
        <f t="shared" ca="1" si="18"/>
        <v>27.742321913153166</v>
      </c>
      <c r="AK50" s="55">
        <f t="shared" ca="1" si="19"/>
        <v>-11.98714948980885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75.939358052223241</v>
      </c>
      <c r="U51" s="55">
        <f t="shared" ca="1" si="1"/>
        <v>0</v>
      </c>
      <c r="V51" s="55">
        <f t="shared" ca="1" si="2"/>
        <v>0</v>
      </c>
      <c r="W51" s="55">
        <f t="shared" ca="1" si="12"/>
        <v>-22.717018527672085</v>
      </c>
      <c r="X51" s="55">
        <f t="shared" ca="1" si="13"/>
        <v>31.500956293702647</v>
      </c>
      <c r="Y51" s="55">
        <f t="shared" ca="1" si="14"/>
        <v>18.10346298517571</v>
      </c>
      <c r="Z51">
        <f t="shared" ca="1" si="3"/>
        <v>0</v>
      </c>
      <c r="AA51">
        <f t="shared" ca="1" si="15"/>
        <v>58.043301407023094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42.763756237036219</v>
      </c>
      <c r="AG51" s="55">
        <f t="shared" ca="1" si="22"/>
        <v>3.1998531936754797</v>
      </c>
      <c r="AH51" s="55">
        <f t="shared" ca="1" si="23"/>
        <v>0</v>
      </c>
      <c r="AI51" s="55">
        <f t="shared" ca="1" si="17"/>
        <v>-1.5936822076724197</v>
      </c>
      <c r="AJ51" s="55">
        <f t="shared" ca="1" si="18"/>
        <v>28.598046413820661</v>
      </c>
      <c r="AK51" s="55">
        <f t="shared" ca="1" si="19"/>
        <v>-12.09444794241131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76.329863317163984</v>
      </c>
      <c r="U52" s="55">
        <f t="shared" ca="1" si="1"/>
        <v>0</v>
      </c>
      <c r="V52" s="55">
        <f t="shared" ca="1" si="2"/>
        <v>0</v>
      </c>
      <c r="W52" s="55">
        <f t="shared" ca="1" si="12"/>
        <v>-23.730103872974386</v>
      </c>
      <c r="X52" s="55">
        <f t="shared" ca="1" si="13"/>
        <v>32.327809824626634</v>
      </c>
      <c r="Y52" s="55">
        <f t="shared" ca="1" si="14"/>
        <v>18.680200064494777</v>
      </c>
      <c r="Z52">
        <f t="shared" ca="1" si="3"/>
        <v>0</v>
      </c>
      <c r="AA52">
        <f t="shared" ca="1" si="15"/>
        <v>60.453301407023091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43.388646306391884</v>
      </c>
      <c r="AG52" s="55">
        <f t="shared" ca="1" si="22"/>
        <v>3.3223984227768431</v>
      </c>
      <c r="AH52" s="55">
        <f t="shared" ca="1" si="23"/>
        <v>0</v>
      </c>
      <c r="AI52" s="55">
        <f t="shared" ca="1" si="17"/>
        <v>-1.5936822076724197</v>
      </c>
      <c r="AJ52" s="55">
        <f t="shared" ca="1" si="18"/>
        <v>29.443062622460843</v>
      </c>
      <c r="AK52" s="55">
        <f t="shared" ca="1" si="19"/>
        <v>-12.192028852594465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77.105023566549463</v>
      </c>
      <c r="U53" s="55">
        <f t="shared" ca="1" si="1"/>
        <v>0</v>
      </c>
      <c r="V53" s="55">
        <f t="shared" ca="1" si="2"/>
        <v>0</v>
      </c>
      <c r="W53" s="55">
        <f t="shared" ca="1" si="12"/>
        <v>-24.277884779529789</v>
      </c>
      <c r="X53" s="55">
        <f t="shared" ca="1" si="13"/>
        <v>33.107425195352832</v>
      </c>
      <c r="Y53" s="55">
        <f t="shared" ca="1" si="14"/>
        <v>19.223525849709468</v>
      </c>
      <c r="Z53">
        <f t="shared" ca="1" si="3"/>
        <v>0</v>
      </c>
      <c r="AA53">
        <f t="shared" ca="1" si="15"/>
        <v>61.743301407023097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44.041205834156287</v>
      </c>
      <c r="AG53" s="55">
        <f t="shared" ca="1" si="22"/>
        <v>3.4581871885036732</v>
      </c>
      <c r="AH53" s="55">
        <f t="shared" ca="1" si="23"/>
        <v>0</v>
      </c>
      <c r="AI53" s="55">
        <f t="shared" ca="1" si="17"/>
        <v>-1.5936822076724197</v>
      </c>
      <c r="AJ53" s="55">
        <f t="shared" ca="1" si="18"/>
        <v>30.325764231812322</v>
      </c>
      <c r="AK53" s="55">
        <f t="shared" ca="1" si="19"/>
        <v>-12.286382168454708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8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78.001557379529103</v>
      </c>
      <c r="U54" s="55">
        <f t="shared" ca="1" si="1"/>
        <v>0</v>
      </c>
      <c r="V54" s="55">
        <f t="shared" ca="1" si="2"/>
        <v>0</v>
      </c>
      <c r="W54" s="55">
        <f t="shared" ca="1" si="12"/>
        <v>-24.728937263507063</v>
      </c>
      <c r="X54" s="55">
        <f t="shared" ca="1" si="13"/>
        <v>33.908967423635289</v>
      </c>
      <c r="Y54" s="55">
        <f t="shared" ca="1" si="14"/>
        <v>19.769569918383933</v>
      </c>
      <c r="Z54">
        <f t="shared" ca="1" si="3"/>
        <v>0</v>
      </c>
      <c r="AA54">
        <f t="shared" ca="1" si="15"/>
        <v>62.793301407023094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44.792128742513732</v>
      </c>
      <c r="AG54" s="55">
        <f t="shared" ca="1" si="22"/>
        <v>3.6107060884665851</v>
      </c>
      <c r="AH54" s="55">
        <f t="shared" ca="1" si="23"/>
        <v>0</v>
      </c>
      <c r="AI54" s="55">
        <f t="shared" ca="1" si="17"/>
        <v>-1.5936822076724197</v>
      </c>
      <c r="AJ54" s="55">
        <f t="shared" ca="1" si="18"/>
        <v>31.320759321712703</v>
      </c>
      <c r="AK54" s="55">
        <f t="shared" ca="1" si="19"/>
        <v>-12.377935450034734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79.324729120106781</v>
      </c>
      <c r="U55" s="55">
        <f t="shared" ca="1" si="1"/>
        <v>0</v>
      </c>
      <c r="V55" s="55">
        <f t="shared" ca="1" si="2"/>
        <v>0</v>
      </c>
      <c r="W55" s="55">
        <f t="shared" ca="1" si="12"/>
        <v>-24.728937263507063</v>
      </c>
      <c r="X55" s="55">
        <f t="shared" ca="1" si="13"/>
        <v>34.700229772036884</v>
      </c>
      <c r="Y55" s="55">
        <f t="shared" ca="1" si="14"/>
        <v>20.301479310560023</v>
      </c>
      <c r="Z55">
        <f t="shared" ca="1" si="3"/>
        <v>0</v>
      </c>
      <c r="AA55">
        <f t="shared" ca="1" si="15"/>
        <v>62.793301407023094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45.51483840636304</v>
      </c>
      <c r="AG55" s="55">
        <f t="shared" ca="1" si="22"/>
        <v>3.7645151376026007</v>
      </c>
      <c r="AH55" s="55">
        <f t="shared" ca="1" si="23"/>
        <v>0</v>
      </c>
      <c r="AI55" s="55">
        <f t="shared" ca="1" si="17"/>
        <v>-1.5936822076724197</v>
      </c>
      <c r="AJ55" s="55">
        <f t="shared" ca="1" si="18"/>
        <v>32.276640520916814</v>
      </c>
      <c r="AK55" s="55">
        <f t="shared" ca="1" si="19"/>
        <v>-12.457297936253518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Interface'!M9,0)&amp;" kg N/ha to the current crop"</f>
        <v>Previous crop residues are providing 41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80.620590489551248</v>
      </c>
      <c r="U56" s="55">
        <f t="shared" ca="1" si="1"/>
        <v>0</v>
      </c>
      <c r="V56" s="55">
        <f t="shared" ca="1" si="2"/>
        <v>0</v>
      </c>
      <c r="W56" s="55">
        <f t="shared" ca="1" si="12"/>
        <v>-24.730977077901173</v>
      </c>
      <c r="X56" s="55">
        <f t="shared" ca="1" si="13"/>
        <v>35.480569912311822</v>
      </c>
      <c r="Y56" s="55">
        <f t="shared" ca="1" si="14"/>
        <v>20.819040354123661</v>
      </c>
      <c r="Z56">
        <f t="shared" ca="1" si="3"/>
        <v>0</v>
      </c>
      <c r="AA56">
        <f t="shared" ca="1" si="15"/>
        <v>62.797895609921639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46.171622076323082</v>
      </c>
      <c r="AG56" s="55">
        <f t="shared" ca="1" si="22"/>
        <v>3.9181644441932426</v>
      </c>
      <c r="AH56" s="55">
        <f t="shared" ca="1" si="23"/>
        <v>0</v>
      </c>
      <c r="AI56" s="55">
        <f t="shared" ca="1" si="17"/>
        <v>-1.5936822076724197</v>
      </c>
      <c r="AJ56" s="55">
        <f t="shared" ca="1" si="18"/>
        <v>33.155237304906009</v>
      </c>
      <c r="AK56" s="55">
        <f t="shared" ca="1" si="19"/>
        <v>-12.525461743692027</v>
      </c>
    </row>
    <row r="57" spans="2:37" s="55" customFormat="1" ht="15" thickBot="1">
      <c r="C57" s="120" t="s">
        <v>154</v>
      </c>
      <c r="D57" s="120"/>
      <c r="E57" s="120"/>
      <c r="F57" s="120"/>
      <c r="G57" s="120"/>
      <c r="H57" s="120"/>
      <c r="R57" s="83">
        <f ca="1"/>
        <v>45433</v>
      </c>
      <c r="S57" s="55">
        <f t="shared" ca="1" si="11"/>
        <v>45433</v>
      </c>
      <c r="T57" s="55">
        <f t="shared" ca="1" si="0"/>
        <v>80.950197431170523</v>
      </c>
      <c r="U57" s="55">
        <f t="shared" ca="1" si="1"/>
        <v>0</v>
      </c>
      <c r="V57" s="55">
        <f t="shared" ca="1" si="2"/>
        <v>0</v>
      </c>
      <c r="W57" s="55">
        <f t="shared" ca="1" si="12"/>
        <v>-25.542356158240271</v>
      </c>
      <c r="X57" s="55">
        <f t="shared" ca="1" si="13"/>
        <v>36.160858534562749</v>
      </c>
      <c r="Y57" s="55">
        <f t="shared" ca="1" si="14"/>
        <v>21.279737753831107</v>
      </c>
      <c r="Z57">
        <f t="shared" ca="1" si="3"/>
        <v>0</v>
      </c>
      <c r="AA57">
        <f t="shared" ca="1" si="15"/>
        <v>64.617895609921646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46.778986856376029</v>
      </c>
      <c r="AG57" s="55">
        <f t="shared" ca="1" si="22"/>
        <v>4.0758874545655495</v>
      </c>
      <c r="AH57" s="55">
        <f t="shared" ca="1" si="23"/>
        <v>0</v>
      </c>
      <c r="AI57" s="55">
        <f t="shared" ca="1" si="17"/>
        <v>-1.5936822076724197</v>
      </c>
      <c r="AJ57" s="55">
        <f t="shared" ca="1" si="18"/>
        <v>33.980185064911147</v>
      </c>
      <c r="AK57" s="55">
        <f t="shared" ca="1" si="19"/>
        <v>-12.58532171327191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81.312025928408275</v>
      </c>
      <c r="U58" s="55">
        <f t="shared" ca="1" si="1"/>
        <v>0</v>
      </c>
      <c r="V58" s="55">
        <f t="shared" ca="1" si="2"/>
        <v>0</v>
      </c>
      <c r="W58" s="55">
        <f t="shared" ca="1" si="12"/>
        <v>-26.370796074583325</v>
      </c>
      <c r="X58" s="55">
        <f t="shared" ca="1" si="13"/>
        <v>36.879715952141417</v>
      </c>
      <c r="Y58" s="55">
        <f t="shared" ca="1" si="14"/>
        <v>21.751148749833241</v>
      </c>
      <c r="Z58">
        <f t="shared" ca="1" si="3"/>
        <v>0</v>
      </c>
      <c r="AA58">
        <f t="shared" ca="1" si="15"/>
        <v>66.467895609921641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47.391056622926648</v>
      </c>
      <c r="AG58" s="55">
        <f t="shared" ca="1" si="22"/>
        <v>4.2432680131583425</v>
      </c>
      <c r="AH58" s="55">
        <f t="shared" ca="1" si="23"/>
        <v>0</v>
      </c>
      <c r="AI58" s="55">
        <f t="shared" ca="1" si="17"/>
        <v>-1.5936822076724197</v>
      </c>
      <c r="AJ58" s="55">
        <f t="shared" ca="1" si="18"/>
        <v>34.813314069320974</v>
      </c>
      <c r="AK58" s="55">
        <f t="shared" ca="1" si="19"/>
        <v>-12.639000392538328</v>
      </c>
    </row>
    <row r="59" spans="2:37" s="55" customFormat="1">
      <c r="C59" s="61" t="s">
        <v>94</v>
      </c>
      <c r="D59" s="84" t="str">
        <f>IF(E59="","Oat",E59)</f>
        <v>Oat</v>
      </c>
      <c r="E59" s="66"/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80.45381491883694</v>
      </c>
      <c r="U59" s="55">
        <f t="shared" ca="1" si="1"/>
        <v>0</v>
      </c>
      <c r="V59" s="55">
        <f t="shared" ca="1" si="2"/>
        <v>0</v>
      </c>
      <c r="W59" s="55">
        <f t="shared" ca="1" si="12"/>
        <v>-28.435544124703277</v>
      </c>
      <c r="X59" s="55">
        <f t="shared" ca="1" si="13"/>
        <v>37.615217312928735</v>
      </c>
      <c r="Y59" s="55">
        <f t="shared" ca="1" si="14"/>
        <v>22.222184429594556</v>
      </c>
      <c r="Z59">
        <f t="shared" ca="1" si="3"/>
        <v>0</v>
      </c>
      <c r="AA59">
        <f t="shared" ca="1" si="15"/>
        <v>71.127895609921651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48.030784678938375</v>
      </c>
      <c r="AG59" s="55">
        <f t="shared" ca="1" si="22"/>
        <v>4.4233396942084466</v>
      </c>
      <c r="AH59" s="55">
        <f t="shared" ca="1" si="23"/>
        <v>0</v>
      </c>
      <c r="AI59" s="55">
        <f t="shared" ca="1" si="17"/>
        <v>-1.5936822076724197</v>
      </c>
      <c r="AJ59" s="55">
        <f t="shared" ca="1" si="18"/>
        <v>35.681130114139172</v>
      </c>
      <c r="AK59" s="55">
        <f t="shared" ca="1" si="19"/>
        <v>-12.687016700294699</v>
      </c>
    </row>
    <row r="60" spans="2:37" s="55" customFormat="1">
      <c r="C60" s="61" t="s">
        <v>95</v>
      </c>
      <c r="D60" s="84" t="str">
        <f>IF(E60="","General",E60)</f>
        <v>General</v>
      </c>
      <c r="E60" s="66"/>
      <c r="F60" s="61" t="s">
        <v>134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80.662326477325195</v>
      </c>
      <c r="U60" s="55">
        <f t="shared" ca="1" si="1"/>
        <v>2.53772215382789</v>
      </c>
      <c r="V60" s="55">
        <f t="shared" ca="1" si="2"/>
        <v>0</v>
      </c>
      <c r="W60" s="55">
        <f t="shared" ca="1" si="12"/>
        <v>-29.403959650120907</v>
      </c>
      <c r="X60" s="55">
        <f t="shared" ca="1" si="13"/>
        <v>38.336142076303659</v>
      </c>
      <c r="Y60" s="55">
        <f t="shared" ca="1" si="14"/>
        <v>22.678186750125512</v>
      </c>
      <c r="Z60">
        <f t="shared" ca="1" si="3"/>
        <v>0</v>
      </c>
      <c r="AA60">
        <f t="shared" ca="1" si="15"/>
        <v>73.307895609921658</v>
      </c>
      <c r="AB60">
        <f t="shared" ca="1" si="4"/>
        <v>0</v>
      </c>
      <c r="AC60">
        <f t="shared" ca="1" si="5"/>
        <v>9.6360663176434016E-3</v>
      </c>
      <c r="AD60" s="83">
        <f ca="1"/>
        <v>45604</v>
      </c>
      <c r="AE60" s="55">
        <f t="shared" ca="1" si="20"/>
        <v>45604</v>
      </c>
      <c r="AF60" s="55">
        <f t="shared" ca="1" si="21"/>
        <v>48.691473953655525</v>
      </c>
      <c r="AG60" s="55">
        <f t="shared" ca="1" si="22"/>
        <v>4.6148930954488918</v>
      </c>
      <c r="AH60" s="55">
        <f t="shared" ca="1" si="23"/>
        <v>0</v>
      </c>
      <c r="AI60" s="55">
        <f t="shared" ca="1" si="17"/>
        <v>-1.5936822076724197</v>
      </c>
      <c r="AJ60" s="55">
        <f t="shared" ca="1" si="18"/>
        <v>36.575038903291627</v>
      </c>
      <c r="AK60" s="55">
        <f t="shared" ca="1" si="19"/>
        <v>-12.728682813489556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150</v>
      </c>
      <c r="D61" s="65" t="str">
        <f>SUBSTITUTE(FollowingCropName&amp;" "&amp;FollowingCropType&amp;" "&amp;FollowingCropVariety,"_"," ")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79.284214133109998</v>
      </c>
      <c r="U61" s="55">
        <f t="shared" ca="1" si="1"/>
        <v>2.8903893225774602</v>
      </c>
      <c r="V61" s="55">
        <f t="shared" ca="1" si="2"/>
        <v>0</v>
      </c>
      <c r="W61" s="55">
        <f t="shared" ca="1" si="12"/>
        <v>-31.639544679358284</v>
      </c>
      <c r="X61" s="55">
        <f t="shared" ca="1" si="13"/>
        <v>39.085697400122797</v>
      </c>
      <c r="Y61" s="55">
        <f t="shared" ca="1" si="14"/>
        <v>23.138771280078124</v>
      </c>
      <c r="Z61">
        <f t="shared" ca="1" si="3"/>
        <v>0</v>
      </c>
      <c r="AA61">
        <f t="shared" ca="1" si="15"/>
        <v>78.427895609921663</v>
      </c>
      <c r="AB61">
        <f t="shared" ca="1" si="4"/>
        <v>0</v>
      </c>
      <c r="AC61">
        <f t="shared" ca="1" si="5"/>
        <v>1.4216832801880543E-2</v>
      </c>
      <c r="AD61" s="83">
        <f ca="1"/>
        <v>45605</v>
      </c>
      <c r="AE61" s="55">
        <f t="shared" ca="1" si="20"/>
        <v>45605</v>
      </c>
      <c r="AF61" s="55">
        <f t="shared" ca="1" si="21"/>
        <v>49.316833831664511</v>
      </c>
      <c r="AG61" s="55">
        <f t="shared" ca="1" si="22"/>
        <v>4.8075082343699194</v>
      </c>
      <c r="AH61" s="55">
        <f t="shared" ca="1" si="23"/>
        <v>0</v>
      </c>
      <c r="AI61" s="55">
        <f t="shared" ca="1" si="17"/>
        <v>-1.5936822076724197</v>
      </c>
      <c r="AJ61" s="55">
        <f t="shared" ca="1" si="18"/>
        <v>37.426609823911512</v>
      </c>
      <c r="AK61" s="55">
        <f t="shared" ca="1" si="19"/>
        <v>-12.762278717179427</v>
      </c>
    </row>
    <row r="62" spans="2:37" s="55" customFormat="1">
      <c r="C62" s="61" t="s">
        <v>4</v>
      </c>
      <c r="D62" s="68">
        <f ca="1">IF(E62="",CurrentHarvestDate+15,E62)</f>
        <v>45576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79.318538480775715</v>
      </c>
      <c r="U62" s="55">
        <f t="shared" ca="1" si="1"/>
        <v>3.2496460253822277</v>
      </c>
      <c r="V62" s="55">
        <f t="shared" ca="1" si="2"/>
        <v>0</v>
      </c>
      <c r="W62" s="55">
        <f t="shared" ca="1" si="12"/>
        <v>-32.386518393920717</v>
      </c>
      <c r="X62" s="55">
        <f t="shared" ca="1" si="13"/>
        <v>39.792910665571306</v>
      </c>
      <c r="Y62" s="55">
        <f t="shared" ca="1" si="14"/>
        <v>23.57211277966254</v>
      </c>
      <c r="Z62">
        <f t="shared" ca="1" si="3"/>
        <v>0</v>
      </c>
      <c r="AA62">
        <f t="shared" ca="1" si="15"/>
        <v>80.137895609921657</v>
      </c>
      <c r="AB62">
        <f t="shared" ca="1" si="4"/>
        <v>0</v>
      </c>
      <c r="AC62">
        <f t="shared" ca="1" si="5"/>
        <v>2.0147822467962581E-2</v>
      </c>
      <c r="AD62" s="83">
        <f ca="1"/>
        <v>45606</v>
      </c>
      <c r="AE62" s="55">
        <f t="shared" ca="1" si="20"/>
        <v>45606</v>
      </c>
      <c r="AF62" s="55">
        <f t="shared" ca="1" si="21"/>
        <v>49.975894304431726</v>
      </c>
      <c r="AG62" s="55">
        <f t="shared" ca="1" si="22"/>
        <v>5.0114175887170704</v>
      </c>
      <c r="AH62" s="55">
        <f t="shared" ca="1" si="23"/>
        <v>0</v>
      </c>
      <c r="AI62" s="55">
        <f t="shared" ca="1" si="17"/>
        <v>-1.5936822076724197</v>
      </c>
      <c r="AJ62" s="55">
        <f t="shared" ca="1" si="18"/>
        <v>38.317332050292897</v>
      </c>
      <c r="AK62" s="55">
        <f t="shared" ca="1" si="19"/>
        <v>-12.790031116446443</v>
      </c>
    </row>
    <row r="63" spans="2:37" s="55" customFormat="1">
      <c r="C63" s="61" t="s">
        <v>5</v>
      </c>
      <c r="D63" s="68">
        <f ca="1">IF(E63="",FollowingEstablishDate+120,E63)</f>
        <v>45696</v>
      </c>
      <c r="E63" s="67"/>
      <c r="F63" s="61" t="s">
        <v>146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79.269165401823514</v>
      </c>
      <c r="U63" s="55">
        <f t="shared" ca="1" si="1"/>
        <v>3.6308897482653881</v>
      </c>
      <c r="V63" s="55">
        <f t="shared" ca="1" si="2"/>
        <v>0</v>
      </c>
      <c r="W63" s="55">
        <f t="shared" ca="1" si="12"/>
        <v>-33.159220432315891</v>
      </c>
      <c r="X63" s="55">
        <f t="shared" ca="1" si="13"/>
        <v>40.480537495147104</v>
      </c>
      <c r="Y63" s="55">
        <f t="shared" ca="1" si="14"/>
        <v>23.989058632412856</v>
      </c>
      <c r="Z63">
        <f t="shared" ca="1" si="3"/>
        <v>0</v>
      </c>
      <c r="AA63">
        <f t="shared" ca="1" si="15"/>
        <v>81.907895609921667</v>
      </c>
      <c r="AB63">
        <f t="shared" ca="1" si="4"/>
        <v>0</v>
      </c>
      <c r="AC63">
        <f t="shared" ca="1" si="5"/>
        <v>2.7975039775895962E-2</v>
      </c>
      <c r="AD63" s="83">
        <f ca="1"/>
        <v>45607</v>
      </c>
      <c r="AE63" s="55">
        <f t="shared" ca="1" si="20"/>
        <v>45607</v>
      </c>
      <c r="AF63" s="55">
        <f t="shared" ca="1" si="21"/>
        <v>50.590297937766337</v>
      </c>
      <c r="AG63" s="55">
        <f t="shared" ca="1" si="22"/>
        <v>5.2106876307332302</v>
      </c>
      <c r="AH63" s="55">
        <f t="shared" ca="1" si="23"/>
        <v>0</v>
      </c>
      <c r="AI63" s="55">
        <f t="shared" ca="1" si="17"/>
        <v>-1.5936822076724197</v>
      </c>
      <c r="AJ63" s="55">
        <f t="shared" ca="1" si="18"/>
        <v>39.151584280376028</v>
      </c>
      <c r="AK63" s="55">
        <f t="shared" ca="1" si="19"/>
        <v>-12.810609671178799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79.015161115506444</v>
      </c>
      <c r="U64" s="55">
        <f t="shared" ca="1" si="1"/>
        <v>4.1007868234890879</v>
      </c>
      <c r="V64" s="55">
        <f t="shared" ca="1" si="2"/>
        <v>0</v>
      </c>
      <c r="W64" s="55">
        <f t="shared" ca="1" si="12"/>
        <v>-34.090454186216327</v>
      </c>
      <c r="X64" s="55">
        <f t="shared" ca="1" si="13"/>
        <v>41.203533357284073</v>
      </c>
      <c r="Y64" s="55">
        <f t="shared" ca="1" si="14"/>
        <v>24.413189313082967</v>
      </c>
      <c r="Z64">
        <f t="shared" ca="1" si="3"/>
        <v>0</v>
      </c>
      <c r="AA64">
        <f t="shared" ca="1" si="15"/>
        <v>84.047895609921682</v>
      </c>
      <c r="AB64">
        <f t="shared" ca="1" si="4"/>
        <v>0</v>
      </c>
      <c r="AC64">
        <f t="shared" ca="1" si="5"/>
        <v>3.9974507900826017E-2</v>
      </c>
      <c r="AD64" s="83">
        <f ca="1"/>
        <v>45608</v>
      </c>
      <c r="AE64" s="55">
        <f t="shared" ca="1" si="20"/>
        <v>45608</v>
      </c>
      <c r="AF64" s="55">
        <f t="shared" ca="1" si="21"/>
        <v>51.147488785511342</v>
      </c>
      <c r="AG64" s="55">
        <f t="shared" ca="1" si="22"/>
        <v>5.4094500383727686</v>
      </c>
      <c r="AH64" s="55">
        <f t="shared" ca="1" si="23"/>
        <v>0</v>
      </c>
      <c r="AI64" s="55">
        <f t="shared" ca="1" si="17"/>
        <v>-1.5936822076724197</v>
      </c>
      <c r="AJ64" s="55">
        <f t="shared" ca="1" si="18"/>
        <v>39.922494186480733</v>
      </c>
      <c r="AK64" s="55">
        <f t="shared" ca="1" si="19"/>
        <v>-12.825566321898968</v>
      </c>
    </row>
    <row r="65" spans="2:37" s="55" customFormat="1">
      <c r="C65" s="61" t="s">
        <v>100</v>
      </c>
      <c r="D65" s="70">
        <f>IF(E65="",VLOOKUP(FollowingCropFullName,CropCoefficients,17,FALSE),E65)</f>
        <v>10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79.250663115042173</v>
      </c>
      <c r="U65" s="55">
        <f t="shared" ca="1" si="1"/>
        <v>4.5214279190959328</v>
      </c>
      <c r="V65" s="55">
        <f t="shared" ca="1" si="2"/>
        <v>0</v>
      </c>
      <c r="W65" s="55">
        <f t="shared" ca="1" si="12"/>
        <v>-34.465803703694519</v>
      </c>
      <c r="X65" s="55">
        <f t="shared" ca="1" si="13"/>
        <v>41.850451039766916</v>
      </c>
      <c r="Y65" s="55">
        <f t="shared" ca="1" si="14"/>
        <v>24.797764243220886</v>
      </c>
      <c r="Z65">
        <f t="shared" ca="1" si="3"/>
        <v>0</v>
      </c>
      <c r="AA65">
        <f t="shared" ca="1" si="15"/>
        <v>84.907895609921667</v>
      </c>
      <c r="AB65">
        <f t="shared" ca="1" si="4"/>
        <v>0</v>
      </c>
      <c r="AC65">
        <f t="shared" ca="1" si="5"/>
        <v>5.305240615613268E-2</v>
      </c>
      <c r="AD65" s="83">
        <f ca="1"/>
        <v>45609</v>
      </c>
      <c r="AE65" s="55">
        <f t="shared" ca="1" si="20"/>
        <v>45609</v>
      </c>
      <c r="AF65" s="55">
        <f t="shared" ca="1" si="21"/>
        <v>51.680194327926571</v>
      </c>
      <c r="AG65" s="55">
        <f t="shared" ca="1" si="22"/>
        <v>5.6162651774130641</v>
      </c>
      <c r="AH65" s="55">
        <f t="shared" ca="1" si="23"/>
        <v>0</v>
      </c>
      <c r="AI65" s="55">
        <f t="shared" ca="1" si="17"/>
        <v>-1.5936822076724197</v>
      </c>
      <c r="AJ65" s="55">
        <f t="shared" ca="1" si="18"/>
        <v>40.672405429857434</v>
      </c>
      <c r="AK65" s="55">
        <f t="shared" ca="1" si="19"/>
        <v>-12.835956883820145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78.259585970421881</v>
      </c>
      <c r="U66" s="55">
        <f t="shared" ca="1" si="1"/>
        <v>4.9908261653183521</v>
      </c>
      <c r="V66" s="55">
        <f t="shared" ca="1" si="2"/>
        <v>0</v>
      </c>
      <c r="W66" s="55">
        <f t="shared" ca="1" si="12"/>
        <v>-36.017385060325495</v>
      </c>
      <c r="X66" s="55">
        <f t="shared" ca="1" si="13"/>
        <v>42.501239245467723</v>
      </c>
      <c r="Y66" s="55">
        <f t="shared" ca="1" si="14"/>
        <v>25.176878495753193</v>
      </c>
      <c r="Z66">
        <f t="shared" ca="1" si="3"/>
        <v>0</v>
      </c>
      <c r="AA66">
        <f t="shared" ca="1" si="15"/>
        <v>88.507895609921675</v>
      </c>
      <c r="AB66">
        <f t="shared" ca="1" si="4"/>
        <v>0</v>
      </c>
      <c r="AC66">
        <f t="shared" ca="1" si="5"/>
        <v>7.0345885409351855E-2</v>
      </c>
      <c r="AD66" s="83">
        <f ca="1"/>
        <v>45610</v>
      </c>
      <c r="AE66" s="55">
        <f t="shared" ca="1" si="20"/>
        <v>45610</v>
      </c>
      <c r="AF66" s="55">
        <f t="shared" ca="1" si="21"/>
        <v>52.240398199446524</v>
      </c>
      <c r="AG66" s="55">
        <f t="shared" ca="1" si="22"/>
        <v>5.8458864249495308</v>
      </c>
      <c r="AH66" s="55">
        <f t="shared" ca="1" si="23"/>
        <v>0</v>
      </c>
      <c r="AI66" s="55">
        <f t="shared" ca="1" si="17"/>
        <v>-1.5936822076724197</v>
      </c>
      <c r="AJ66" s="55">
        <f t="shared" ca="1" si="18"/>
        <v>41.468461458195335</v>
      </c>
      <c r="AK66" s="55">
        <f t="shared" ca="1" si="19"/>
        <v>-12.84218779310163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Interface'!L9,0)&amp;" kg N/ha"</f>
        <v>Following crop will take up 152 kg N/ha</v>
      </c>
      <c r="R67" s="83">
        <f ca="1"/>
        <v>45443</v>
      </c>
      <c r="S67" s="55">
        <f t="shared" ca="1" si="11"/>
        <v>45443</v>
      </c>
      <c r="T67" s="55">
        <f t="shared" ca="1" si="0"/>
        <v>78.18562522010636</v>
      </c>
      <c r="U67" s="55">
        <f t="shared" ca="1" si="1"/>
        <v>5.5404390039039546</v>
      </c>
      <c r="V67" s="55">
        <f t="shared" ca="1" si="2"/>
        <v>0</v>
      </c>
      <c r="W67" s="55">
        <f t="shared" ca="1" si="12"/>
        <v>-36.590066436937697</v>
      </c>
      <c r="X67" s="55">
        <f t="shared" ca="1" si="13"/>
        <v>43.170285286284049</v>
      </c>
      <c r="Y67" s="55">
        <f t="shared" ca="1" si="14"/>
        <v>25.556165919819154</v>
      </c>
      <c r="Z67">
        <f t="shared" ca="1" si="3"/>
        <v>0</v>
      </c>
      <c r="AA67">
        <f t="shared" ca="1" si="15"/>
        <v>89.837895609921688</v>
      </c>
      <c r="AB67">
        <f t="shared" ca="1" si="4"/>
        <v>0</v>
      </c>
      <c r="AC67">
        <f t="shared" ca="1" si="5"/>
        <v>9.4235502619654674E-2</v>
      </c>
      <c r="AD67" s="83">
        <f ca="1"/>
        <v>45611</v>
      </c>
      <c r="AE67" s="55">
        <f t="shared" ca="1" si="20"/>
        <v>45611</v>
      </c>
      <c r="AF67" s="55">
        <f t="shared" ca="1" si="21"/>
        <v>52.903561237342998</v>
      </c>
      <c r="AG67" s="55">
        <f t="shared" ca="1" si="22"/>
        <v>6.1080017153305244</v>
      </c>
      <c r="AH67" s="55">
        <f t="shared" ca="1" si="23"/>
        <v>0</v>
      </c>
      <c r="AI67" s="55">
        <f t="shared" ca="1" si="17"/>
        <v>-1.5936822076724197</v>
      </c>
      <c r="AJ67" s="55">
        <f t="shared" ca="1" si="18"/>
        <v>42.395181908843377</v>
      </c>
      <c r="AK67" s="55">
        <f t="shared" ca="1" si="19"/>
        <v>-12.843629915472206</v>
      </c>
    </row>
    <row r="68" spans="2:37" ht="15" thickBot="1">
      <c r="C68" s="122" t="s">
        <v>185</v>
      </c>
      <c r="D68" s="122"/>
      <c r="E68" s="122"/>
      <c r="F68" s="122"/>
      <c r="G68" s="122"/>
      <c r="H68" s="122"/>
      <c r="R68" s="83">
        <f ca="1"/>
        <v>45444</v>
      </c>
      <c r="S68" s="55">
        <f t="shared" ca="1" si="11"/>
        <v>45444</v>
      </c>
      <c r="T68" s="55">
        <f t="shared" ca="1" si="0"/>
        <v>176.91979331892298</v>
      </c>
      <c r="U68" s="55">
        <f t="shared" ca="1" si="1"/>
        <v>6.1494524621996201</v>
      </c>
      <c r="V68" s="55">
        <f t="shared" ca="1" si="2"/>
        <v>100</v>
      </c>
      <c r="W68" s="55">
        <f t="shared" ca="1" si="12"/>
        <v>-38.287930308985388</v>
      </c>
      <c r="X68" s="55">
        <f t="shared" ca="1" si="13"/>
        <v>43.839331327100375</v>
      </c>
      <c r="Y68" s="55">
        <f t="shared" ca="1" si="14"/>
        <v>25.928165308162811</v>
      </c>
      <c r="Z68">
        <f t="shared" ca="1" si="3"/>
        <v>0</v>
      </c>
      <c r="AA68">
        <f t="shared" ca="1" si="15"/>
        <v>91.587895609921688</v>
      </c>
      <c r="AB68">
        <f t="shared" ca="1" si="4"/>
        <v>0</v>
      </c>
      <c r="AC68">
        <f t="shared" ca="1" si="5"/>
        <v>0.12514595439148771</v>
      </c>
      <c r="AD68" s="83">
        <f ca="1"/>
        <v>45612</v>
      </c>
      <c r="AE68" s="55">
        <f t="shared" ca="1" si="20"/>
        <v>45612</v>
      </c>
      <c r="AF68" s="55">
        <f t="shared" ca="1" si="21"/>
        <v>53.621296410362028</v>
      </c>
      <c r="AG68" s="55">
        <f t="shared" ca="1" si="22"/>
        <v>6.3853086251902846</v>
      </c>
      <c r="AH68" s="55">
        <f t="shared" ca="1" si="23"/>
        <v>0</v>
      </c>
      <c r="AI68" s="55">
        <f t="shared" ca="1" si="17"/>
        <v>-1.5936822076724197</v>
      </c>
      <c r="AJ68" s="55">
        <f t="shared" ca="1" si="18"/>
        <v>43.386274328108385</v>
      </c>
      <c r="AK68" s="55">
        <f t="shared" ca="1" si="19"/>
        <v>-12.839680251858425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176.49681796654102</v>
      </c>
      <c r="U69" s="55">
        <f t="shared" ca="1" si="1"/>
        <v>6.8098496178952646</v>
      </c>
      <c r="V69" s="55">
        <f t="shared" ca="1" si="2"/>
        <v>0</v>
      </c>
      <c r="W69" s="55">
        <f t="shared" ca="1" si="12"/>
        <v>-39.075259592610045</v>
      </c>
      <c r="X69" s="55">
        <f t="shared" ca="1" si="13"/>
        <v>44.501819717624265</v>
      </c>
      <c r="Y69" s="55">
        <f t="shared" ca="1" si="14"/>
        <v>26.290428004577286</v>
      </c>
      <c r="Z69">
        <f t="shared" ca="1" si="3"/>
        <v>0</v>
      </c>
      <c r="AA69">
        <f t="shared" ca="1" si="15"/>
        <v>92.39789560992169</v>
      </c>
      <c r="AB69">
        <f t="shared" ca="1" si="4"/>
        <v>0</v>
      </c>
      <c r="AC69">
        <f t="shared" ca="1" si="5"/>
        <v>0.16348290447402231</v>
      </c>
      <c r="AD69" s="83">
        <f ca="1"/>
        <v>45613</v>
      </c>
      <c r="AE69" s="55">
        <f t="shared" ca="1" si="20"/>
        <v>45613</v>
      </c>
      <c r="AF69" s="55">
        <f t="shared" ca="1" si="21"/>
        <v>54.353810622259395</v>
      </c>
      <c r="AG69" s="55">
        <f t="shared" ca="1" si="22"/>
        <v>6.6649277821964681</v>
      </c>
      <c r="AH69" s="55">
        <f t="shared" ca="1" si="23"/>
        <v>0</v>
      </c>
      <c r="AI69" s="55">
        <f t="shared" ca="1" si="17"/>
        <v>-1.5936822076724197</v>
      </c>
      <c r="AJ69" s="55">
        <f t="shared" ca="1" si="18"/>
        <v>44.389715127144214</v>
      </c>
      <c r="AK69" s="55">
        <f t="shared" ca="1" si="19"/>
        <v>-12.830987681990706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175.27790300295217</v>
      </c>
      <c r="U70" s="55">
        <f t="shared" ca="1" si="1"/>
        <v>7.7055766315823746</v>
      </c>
      <c r="V70" s="55">
        <f t="shared" ca="1" si="2"/>
        <v>0</v>
      </c>
      <c r="W70" s="55">
        <f t="shared" ca="1" si="12"/>
        <v>-40.513554501019783</v>
      </c>
      <c r="X70" s="55">
        <f t="shared" ca="1" si="13"/>
        <v>45.235227426740416</v>
      </c>
      <c r="Y70" s="55">
        <f t="shared" ca="1" si="14"/>
        <v>26.672127253969183</v>
      </c>
      <c r="Z70">
        <f t="shared" ca="1" si="3"/>
        <v>0</v>
      </c>
      <c r="AA70">
        <f t="shared" ca="1" si="15"/>
        <v>93.887895609921699</v>
      </c>
      <c r="AB70">
        <f t="shared" ca="1" si="4"/>
        <v>0</v>
      </c>
      <c r="AC70">
        <f t="shared" ca="1" si="5"/>
        <v>0.22207146195424543</v>
      </c>
      <c r="AD70" s="83">
        <f ca="1"/>
        <v>45614</v>
      </c>
      <c r="AE70" s="55">
        <f t="shared" ca="1" si="20"/>
        <v>45614</v>
      </c>
      <c r="AF70" s="55">
        <f t="shared" ca="1" si="21"/>
        <v>55.003981473540293</v>
      </c>
      <c r="AG70" s="55">
        <f t="shared" ca="1" si="22"/>
        <v>6.9458991947192317</v>
      </c>
      <c r="AH70" s="55">
        <f t="shared" ca="1" si="23"/>
        <v>0</v>
      </c>
      <c r="AI70" s="55">
        <f t="shared" ca="1" si="17"/>
        <v>-1.5936822076724197</v>
      </c>
      <c r="AJ70" s="55">
        <f t="shared" ca="1" si="18"/>
        <v>45.308179924569444</v>
      </c>
      <c r="AK70" s="55">
        <f t="shared" ca="1" si="19"/>
        <v>-12.818310215612275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172.27517363356588</v>
      </c>
      <c r="U71" s="55">
        <f t="shared" ca="1" si="1"/>
        <v>8.6692676087113423</v>
      </c>
      <c r="V71" s="55">
        <f t="shared" ca="1" si="2"/>
        <v>0</v>
      </c>
      <c r="W71" s="55">
        <f t="shared" ca="1" si="12"/>
        <v>-43.634980907928252</v>
      </c>
      <c r="X71" s="55">
        <f t="shared" ca="1" si="13"/>
        <v>45.950647603322182</v>
      </c>
      <c r="Y71" s="55">
        <f t="shared" ca="1" si="14"/>
        <v>27.039095092038572</v>
      </c>
      <c r="Z71">
        <f t="shared" ca="1" si="3"/>
        <v>0</v>
      </c>
      <c r="AA71">
        <f t="shared" ca="1" si="15"/>
        <v>97.177895609921705</v>
      </c>
      <c r="AB71">
        <f t="shared" ca="1" si="4"/>
        <v>0</v>
      </c>
      <c r="AC71">
        <f t="shared" ca="1" si="5"/>
        <v>0.29084380200534332</v>
      </c>
      <c r="AD71" s="83">
        <f ca="1"/>
        <v>45615</v>
      </c>
      <c r="AE71" s="55">
        <f t="shared" ca="1" si="20"/>
        <v>45615</v>
      </c>
      <c r="AF71" s="55">
        <f t="shared" ca="1" si="21"/>
        <v>55.6452464546012</v>
      </c>
      <c r="AG71" s="55">
        <f t="shared" ca="1" si="22"/>
        <v>7.2421660944548352</v>
      </c>
      <c r="AH71" s="55">
        <f t="shared" ca="1" si="23"/>
        <v>0</v>
      </c>
      <c r="AI71" s="55">
        <f t="shared" ca="1" si="17"/>
        <v>-1.5936822076724197</v>
      </c>
      <c r="AJ71" s="55">
        <f t="shared" ca="1" si="18"/>
        <v>46.228827662706813</v>
      </c>
      <c r="AK71" s="55">
        <f t="shared" ca="1" si="19"/>
        <v>-12.801426072953127</v>
      </c>
    </row>
    <row r="72" spans="2:37">
      <c r="C72" s="61"/>
      <c r="D72" s="84"/>
      <c r="E72" s="69"/>
      <c r="R72" s="83">
        <f ca="1"/>
        <v>45448</v>
      </c>
      <c r="S72" s="55">
        <f t="shared" ca="1" si="11"/>
        <v>45448</v>
      </c>
      <c r="T72" s="55">
        <f t="shared" ca="1" si="0"/>
        <v>168.234335529003</v>
      </c>
      <c r="U72" s="55">
        <f t="shared" ca="1" si="1"/>
        <v>9.7238098411090022</v>
      </c>
      <c r="V72" s="55">
        <f t="shared" ca="1" si="2"/>
        <v>0</v>
      </c>
      <c r="W72" s="55">
        <f t="shared" ca="1" si="12"/>
        <v>-47.683820582992915</v>
      </c>
      <c r="X72" s="55">
        <f t="shared" ca="1" si="13"/>
        <v>46.657179663277454</v>
      </c>
      <c r="Y72" s="55">
        <f t="shared" ca="1" si="14"/>
        <v>27.395106834982762</v>
      </c>
      <c r="Z72">
        <f t="shared" ca="1" si="3"/>
        <v>0</v>
      </c>
      <c r="AA72">
        <f t="shared" ca="1" si="15"/>
        <v>101.5478956099217</v>
      </c>
      <c r="AB72">
        <f t="shared" ca="1" si="4"/>
        <v>0</v>
      </c>
      <c r="AC72">
        <f t="shared" ca="1" si="5"/>
        <v>0.36883404789930535</v>
      </c>
      <c r="AD72" s="83">
        <f ca="1"/>
        <v>45616</v>
      </c>
      <c r="AE72" s="55">
        <f t="shared" ca="1" si="20"/>
        <v>45616</v>
      </c>
      <c r="AF72" s="55">
        <f t="shared" ca="1" si="21"/>
        <v>56.255828409093013</v>
      </c>
      <c r="AG72" s="55">
        <f t="shared" ca="1" si="22"/>
        <v>7.5524052326557651</v>
      </c>
      <c r="AH72" s="55">
        <f t="shared" ca="1" si="23"/>
        <v>0</v>
      </c>
      <c r="AI72" s="55">
        <f t="shared" ca="1" si="17"/>
        <v>-1.5936822076724197</v>
      </c>
      <c r="AJ72" s="55">
        <f t="shared" ca="1" si="18"/>
        <v>47.128798392379991</v>
      </c>
      <c r="AK72" s="55">
        <f t="shared" ca="1" si="19"/>
        <v>-12.780575709933569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166.79206421670625</v>
      </c>
      <c r="U73" s="55">
        <f t="shared" ca="1" si="1"/>
        <v>10.879983592630319</v>
      </c>
      <c r="V73" s="55">
        <f t="shared" ca="1" si="2"/>
        <v>0</v>
      </c>
      <c r="W73" s="55">
        <f t="shared" ca="1" si="12"/>
        <v>-49.015739820433573</v>
      </c>
      <c r="X73" s="55">
        <f t="shared" ca="1" si="13"/>
        <v>47.356922519284645</v>
      </c>
      <c r="Y73" s="55">
        <f t="shared" ca="1" si="14"/>
        <v>27.741185655640784</v>
      </c>
      <c r="Z73">
        <f t="shared" ca="1" si="3"/>
        <v>0</v>
      </c>
      <c r="AA73">
        <f t="shared" ca="1" si="15"/>
        <v>102.9978956099217</v>
      </c>
      <c r="AB73">
        <f t="shared" ca="1" si="4"/>
        <v>0</v>
      </c>
      <c r="AC73">
        <f t="shared" ca="1" si="5"/>
        <v>0.45276063747484402</v>
      </c>
      <c r="AD73" s="83">
        <f ca="1"/>
        <v>45617</v>
      </c>
      <c r="AE73" s="55">
        <f t="shared" ca="1" si="20"/>
        <v>45617</v>
      </c>
      <c r="AF73" s="55">
        <f t="shared" ca="1" si="21"/>
        <v>56.833152030114363</v>
      </c>
      <c r="AG73" s="55">
        <f t="shared" ca="1" si="22"/>
        <v>7.8775317254896002</v>
      </c>
      <c r="AH73" s="55">
        <f t="shared" ca="1" si="23"/>
        <v>0</v>
      </c>
      <c r="AI73" s="55">
        <f t="shared" ca="1" si="17"/>
        <v>-1.5936822076724197</v>
      </c>
      <c r="AJ73" s="55">
        <f t="shared" ca="1" si="18"/>
        <v>48.006576741848306</v>
      </c>
      <c r="AK73" s="55">
        <f t="shared" ca="1" si="19"/>
        <v>-12.755903945546706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166.08525877133241</v>
      </c>
      <c r="U74" s="55">
        <f t="shared" ca="1" si="1"/>
        <v>11.953764437125127</v>
      </c>
      <c r="V74" s="55">
        <f t="shared" ca="1" si="2"/>
        <v>0</v>
      </c>
      <c r="W74" s="55">
        <f t="shared" ca="1" si="12"/>
        <v>-49.610276906180232</v>
      </c>
      <c r="X74" s="55">
        <f t="shared" ca="1" si="13"/>
        <v>47.999343224412605</v>
      </c>
      <c r="Y74" s="55">
        <f t="shared" ca="1" si="14"/>
        <v>28.060277435380449</v>
      </c>
      <c r="Z74">
        <f t="shared" ca="1" si="3"/>
        <v>0</v>
      </c>
      <c r="AA74">
        <f t="shared" ca="1" si="15"/>
        <v>103.6478956099217</v>
      </c>
      <c r="AB74">
        <f t="shared" ca="1" si="4"/>
        <v>0</v>
      </c>
      <c r="AC74">
        <f t="shared" ca="1" si="5"/>
        <v>0.5256709002336033</v>
      </c>
      <c r="AD74" s="83">
        <f ca="1"/>
        <v>45618</v>
      </c>
      <c r="AE74" s="55">
        <f t="shared" ca="1" si="20"/>
        <v>45618</v>
      </c>
      <c r="AF74" s="55">
        <f t="shared" ca="1" si="21"/>
        <v>57.375907214729096</v>
      </c>
      <c r="AG74" s="55">
        <f t="shared" ca="1" si="22"/>
        <v>8.2301471773085488</v>
      </c>
      <c r="AH74" s="55">
        <f t="shared" ca="1" si="23"/>
        <v>0</v>
      </c>
      <c r="AI74" s="55">
        <f t="shared" ca="1" si="17"/>
        <v>-1.5936822076724197</v>
      </c>
      <c r="AJ74" s="55">
        <f t="shared" ca="1" si="18"/>
        <v>48.872566998098677</v>
      </c>
      <c r="AK74" s="55">
        <f t="shared" ca="1" si="19"/>
        <v>-12.726523565363397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165.3367365132481</v>
      </c>
      <c r="U75" s="55">
        <f t="shared" ca="1" si="1"/>
        <v>13.102483848968401</v>
      </c>
      <c r="V75" s="55">
        <f t="shared" ca="1" si="2"/>
        <v>0</v>
      </c>
      <c r="W75" s="55">
        <f t="shared" ca="1" si="12"/>
        <v>-50.156606992050087</v>
      </c>
      <c r="X75" s="55">
        <f t="shared" ca="1" si="13"/>
        <v>48.635374438123478</v>
      </c>
      <c r="Y75" s="55">
        <f t="shared" ca="1" si="14"/>
        <v>28.370773461298398</v>
      </c>
      <c r="Z75">
        <f t="shared" ca="1" si="3"/>
        <v>0</v>
      </c>
      <c r="AA75">
        <f t="shared" ca="1" si="15"/>
        <v>104.2478956099217</v>
      </c>
      <c r="AB75">
        <f t="shared" ca="1" si="4"/>
        <v>0</v>
      </c>
      <c r="AC75">
        <f t="shared" ca="1" si="5"/>
        <v>0.59597031912771059</v>
      </c>
      <c r="AD75" s="83">
        <f ca="1"/>
        <v>45619</v>
      </c>
      <c r="AE75" s="55">
        <f t="shared" ca="1" si="20"/>
        <v>45619</v>
      </c>
      <c r="AF75" s="55">
        <f t="shared" ca="1" si="21"/>
        <v>57.889297007677996</v>
      </c>
      <c r="AG75" s="55">
        <f t="shared" ca="1" si="22"/>
        <v>8.5981593046327944</v>
      </c>
      <c r="AH75" s="55">
        <f t="shared" ca="1" si="23"/>
        <v>0</v>
      </c>
      <c r="AI75" s="55">
        <f t="shared" ca="1" si="17"/>
        <v>-1.5936822076724197</v>
      </c>
      <c r="AJ75" s="55">
        <f t="shared" ca="1" si="18"/>
        <v>49.721027819386265</v>
      </c>
      <c r="AK75" s="55">
        <f t="shared" ca="1" si="19"/>
        <v>-12.693582466377833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161.11912448450641</v>
      </c>
      <c r="U76" s="55">
        <f t="shared" ca="1" si="1"/>
        <v>14.773697245904973</v>
      </c>
      <c r="V76" s="55">
        <f t="shared" ca="1" si="2"/>
        <v>0</v>
      </c>
      <c r="W76" s="55">
        <f t="shared" ca="1" si="12"/>
        <v>-53.768010440278175</v>
      </c>
      <c r="X76" s="55">
        <f t="shared" ca="1" si="13"/>
        <v>49.365301089116905</v>
      </c>
      <c r="Y76" s="55">
        <f t="shared" ca="1" si="14"/>
        <v>28.705851626727927</v>
      </c>
      <c r="Z76">
        <f t="shared" ca="1" si="3"/>
        <v>0</v>
      </c>
      <c r="AA76">
        <f t="shared" ca="1" si="15"/>
        <v>108.31789560992171</v>
      </c>
      <c r="AB76">
        <f t="shared" ca="1" si="4"/>
        <v>0</v>
      </c>
      <c r="AC76">
        <f t="shared" ca="1" si="5"/>
        <v>0.68231293152986272</v>
      </c>
      <c r="AD76" s="83">
        <f ca="1"/>
        <v>45620</v>
      </c>
      <c r="AE76" s="55">
        <f t="shared" ca="1" si="20"/>
        <v>45620</v>
      </c>
      <c r="AF76" s="55">
        <f t="shared" ca="1" si="21"/>
        <v>58.420622947888695</v>
      </c>
      <c r="AG76" s="55">
        <f t="shared" ca="1" si="22"/>
        <v>9.0064519494429174</v>
      </c>
      <c r="AH76" s="55">
        <f t="shared" ca="1" si="23"/>
        <v>0</v>
      </c>
      <c r="AI76" s="55">
        <f t="shared" ca="1" si="17"/>
        <v>-1.5936822076724197</v>
      </c>
      <c r="AJ76" s="55">
        <f t="shared" ca="1" si="18"/>
        <v>50.621863837957598</v>
      </c>
      <c r="AK76" s="55">
        <f t="shared" ca="1" si="19"/>
        <v>-12.654799899928342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154.86193308630624</v>
      </c>
      <c r="U77" s="55">
        <f t="shared" ca="1" si="1"/>
        <v>16.647074763305987</v>
      </c>
      <c r="V77" s="55">
        <f t="shared" ca="1" si="2"/>
        <v>0</v>
      </c>
      <c r="W77" s="55">
        <f t="shared" ca="1" si="12"/>
        <v>-59.209275231212111</v>
      </c>
      <c r="X77" s="55">
        <f t="shared" ca="1" si="13"/>
        <v>50.095227740110332</v>
      </c>
      <c r="Y77" s="55">
        <f t="shared" ca="1" si="14"/>
        <v>29.033375885869269</v>
      </c>
      <c r="Z77">
        <f t="shared" ca="1" si="3"/>
        <v>0</v>
      </c>
      <c r="AA77">
        <f t="shared" ca="1" si="15"/>
        <v>114.69789560992172</v>
      </c>
      <c r="AB77">
        <f t="shared" ca="1" si="4"/>
        <v>0</v>
      </c>
      <c r="AC77">
        <f t="shared" ca="1" si="5"/>
        <v>0.75770545172396464</v>
      </c>
      <c r="AD77" s="83">
        <f ca="1"/>
        <v>45621</v>
      </c>
      <c r="AE77" s="55">
        <f t="shared" ca="1" si="20"/>
        <v>45621</v>
      </c>
      <c r="AF77" s="55">
        <f t="shared" ca="1" si="21"/>
        <v>58.996727050753321</v>
      </c>
      <c r="AG77" s="55">
        <f t="shared" ca="1" si="22"/>
        <v>9.4371322365271357</v>
      </c>
      <c r="AH77" s="55">
        <f t="shared" ca="1" si="23"/>
        <v>0</v>
      </c>
      <c r="AI77" s="55">
        <f t="shared" ca="1" si="17"/>
        <v>-1.5936822076724197</v>
      </c>
      <c r="AJ77" s="55">
        <f t="shared" ca="1" si="18"/>
        <v>51.585927200573622</v>
      </c>
      <c r="AK77" s="55">
        <f t="shared" ca="1" si="19"/>
        <v>-12.612078872595525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153.54708490642247</v>
      </c>
      <c r="U78" s="55">
        <f t="shared" ca="1" si="1"/>
        <v>19.100409166589902</v>
      </c>
      <c r="V78" s="55">
        <f t="shared" ca="1" si="2"/>
        <v>0</v>
      </c>
      <c r="W78" s="55">
        <f t="shared" ca="1" si="12"/>
        <v>-59.209275231212111</v>
      </c>
      <c r="X78" s="55">
        <f t="shared" ca="1" si="13"/>
        <v>50.892354149545923</v>
      </c>
      <c r="Y78" s="55">
        <f t="shared" ca="1" si="14"/>
        <v>29.374735699833845</v>
      </c>
      <c r="Z78">
        <f t="shared" ca="1" si="3"/>
        <v>0</v>
      </c>
      <c r="AA78">
        <f t="shared" ca="1" si="15"/>
        <v>114.69789560992172</v>
      </c>
      <c r="AB78">
        <f t="shared" ca="1" si="4"/>
        <v>0</v>
      </c>
      <c r="AC78">
        <f t="shared" ca="1" si="5"/>
        <v>0.8285975047504982</v>
      </c>
      <c r="AD78" s="83">
        <f ca="1"/>
        <v>45622</v>
      </c>
      <c r="AE78" s="55">
        <f t="shared" ca="1" si="20"/>
        <v>45622</v>
      </c>
      <c r="AF78" s="55">
        <f t="shared" ca="1" si="21"/>
        <v>59.547740532640631</v>
      </c>
      <c r="AG78" s="55">
        <f t="shared" ca="1" si="22"/>
        <v>9.8969719335483042</v>
      </c>
      <c r="AH78" s="55">
        <f t="shared" ca="1" si="23"/>
        <v>0</v>
      </c>
      <c r="AI78" s="55">
        <f t="shared" ca="1" si="17"/>
        <v>-1.5936822076724197</v>
      </c>
      <c r="AJ78" s="55">
        <f t="shared" ca="1" si="18"/>
        <v>52.549633960605277</v>
      </c>
      <c r="AK78" s="55">
        <f t="shared" ca="1" si="19"/>
        <v>-12.564932453718708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148.60947075225567</v>
      </c>
      <c r="U79" s="55">
        <f t="shared" ca="1" si="1"/>
        <v>21.311346236572895</v>
      </c>
      <c r="V79" s="55">
        <f t="shared" ca="1" si="2"/>
        <v>0</v>
      </c>
      <c r="W79" s="55">
        <f t="shared" ca="1" si="12"/>
        <v>-62.941322653250957</v>
      </c>
      <c r="X79" s="55">
        <f t="shared" ca="1" si="13"/>
        <v>51.594129406084981</v>
      </c>
      <c r="Y79" s="55">
        <f t="shared" ca="1" si="14"/>
        <v>29.678330781149832</v>
      </c>
      <c r="Z79">
        <f t="shared" ca="1" si="3"/>
        <v>0</v>
      </c>
      <c r="AA79">
        <f t="shared" ca="1" si="15"/>
        <v>119.25790944344489</v>
      </c>
      <c r="AB79">
        <f t="shared" ca="1" si="4"/>
        <v>0</v>
      </c>
      <c r="AC79">
        <f t="shared" ca="1" si="5"/>
        <v>0.87273158679177665</v>
      </c>
      <c r="AD79" s="83">
        <f ca="1"/>
        <v>45623</v>
      </c>
      <c r="AE79" s="55">
        <f t="shared" ca="1" si="20"/>
        <v>45623</v>
      </c>
      <c r="AF79" s="55">
        <f t="shared" ca="1" si="21"/>
        <v>60.157331033136302</v>
      </c>
      <c r="AG79" s="55">
        <f t="shared" ca="1" si="22"/>
        <v>10.371768150846295</v>
      </c>
      <c r="AH79" s="55">
        <f t="shared" ca="1" si="23"/>
        <v>0</v>
      </c>
      <c r="AI79" s="55">
        <f t="shared" ca="1" si="17"/>
        <v>-1.5936822076724197</v>
      </c>
      <c r="AJ79" s="55">
        <f t="shared" ca="1" si="18"/>
        <v>53.5844052504427</v>
      </c>
      <c r="AK79" s="55">
        <f t="shared" ca="1" si="19"/>
        <v>-12.515317025762471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147.20796393675514</v>
      </c>
      <c r="U80" s="55">
        <f t="shared" ca="1" si="1"/>
        <v>23.590844359255307</v>
      </c>
      <c r="V80" s="55">
        <f t="shared" ca="1" si="2"/>
        <v>0</v>
      </c>
      <c r="W80" s="55">
        <f t="shared" ca="1" si="12"/>
        <v>-63.030500811114095</v>
      </c>
      <c r="X80" s="55">
        <f t="shared" ca="1" si="13"/>
        <v>52.271761986908693</v>
      </c>
      <c r="Y80" s="55">
        <f t="shared" ca="1" si="14"/>
        <v>29.967867665371131</v>
      </c>
      <c r="Z80">
        <f t="shared" ca="1" si="3"/>
        <v>0</v>
      </c>
      <c r="AA80">
        <f t="shared" ca="1" si="15"/>
        <v>119.36790944344489</v>
      </c>
      <c r="AB80">
        <f t="shared" ca="1" si="4"/>
        <v>0</v>
      </c>
      <c r="AC80">
        <f t="shared" ca="1" si="5"/>
        <v>0.90482413604051837</v>
      </c>
      <c r="AD80" s="83">
        <f ca="1"/>
        <v>45624</v>
      </c>
      <c r="AE80" s="55">
        <f t="shared" ca="1" si="20"/>
        <v>45624</v>
      </c>
      <c r="AF80" s="55">
        <f t="shared" ca="1" si="21"/>
        <v>60.637244892839227</v>
      </c>
      <c r="AG80" s="55">
        <f t="shared" ca="1" si="22"/>
        <v>10.835368353190525</v>
      </c>
      <c r="AH80" s="55">
        <f t="shared" ca="1" si="23"/>
        <v>0</v>
      </c>
      <c r="AI80" s="55">
        <f t="shared" ca="1" si="17"/>
        <v>-1.5936822076724197</v>
      </c>
      <c r="AJ80" s="55">
        <f t="shared" ca="1" si="18"/>
        <v>54.479153964829614</v>
      </c>
      <c r="AK80" s="55">
        <f t="shared" ca="1" si="19"/>
        <v>-12.466551678102231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145.10019495283646</v>
      </c>
      <c r="U81" s="55">
        <f t="shared" ca="1" si="1"/>
        <v>25.537505091099078</v>
      </c>
      <c r="V81" s="55">
        <f t="shared" ca="1" si="2"/>
        <v>0</v>
      </c>
      <c r="W81" s="55">
        <f t="shared" ca="1" si="12"/>
        <v>-64.061343065692071</v>
      </c>
      <c r="X81" s="55">
        <f t="shared" ca="1" si="13"/>
        <v>52.87892629203558</v>
      </c>
      <c r="Y81" s="55">
        <f t="shared" ca="1" si="14"/>
        <v>30.230437362747296</v>
      </c>
      <c r="Z81">
        <f t="shared" ca="1" si="3"/>
        <v>0</v>
      </c>
      <c r="AA81">
        <f t="shared" ca="1" si="15"/>
        <v>120.65790944344489</v>
      </c>
      <c r="AB81">
        <f t="shared" ca="1" si="4"/>
        <v>0</v>
      </c>
      <c r="AC81">
        <f t="shared" ca="1" si="5"/>
        <v>0.92474595683683669</v>
      </c>
      <c r="AD81" s="83">
        <f ca="1"/>
        <v>45625</v>
      </c>
      <c r="AE81" s="55">
        <f t="shared" ca="1" si="20"/>
        <v>45625</v>
      </c>
      <c r="AF81" s="55">
        <f t="shared" ca="1" si="21"/>
        <v>61.183432983219284</v>
      </c>
      <c r="AG81" s="55">
        <f t="shared" ca="1" si="22"/>
        <v>11.354396452442572</v>
      </c>
      <c r="AH81" s="55">
        <f t="shared" ca="1" si="23"/>
        <v>0</v>
      </c>
      <c r="AI81" s="55">
        <f t="shared" ca="1" si="17"/>
        <v>-1.5936822076724197</v>
      </c>
      <c r="AJ81" s="55">
        <f t="shared" ca="1" si="18"/>
        <v>55.489180189428183</v>
      </c>
      <c r="AK81" s="55">
        <f t="shared" ca="1" si="19"/>
        <v>-12.4113617130687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53.901626885964319</v>
      </c>
      <c r="U82" s="55">
        <f t="shared" ref="U82:U145" ca="1" si="28">VLOOKUP(S82,ModelOutputs,7,FALSE)</f>
        <v>28.228459458515058</v>
      </c>
      <c r="V82" s="55">
        <f t="shared" ref="V82:V145" ca="1" si="29">VLOOKUP(S82,ModelOutputs,6,FALSE)</f>
        <v>0</v>
      </c>
      <c r="W82" s="55">
        <f t="shared" ca="1" si="12"/>
        <v>-64.590161323425008</v>
      </c>
      <c r="X82" s="55">
        <f t="shared" ca="1" si="13"/>
        <v>53.556558872859291</v>
      </c>
      <c r="Y82" s="55">
        <f t="shared" ca="1" si="14"/>
        <v>30.507738007313062</v>
      </c>
      <c r="Z82">
        <f t="shared" ref="Z82:Z145" ca="1" si="30">VLOOKUP(S82,ModelOutputs,10,FALSE)*AWC</f>
        <v>0</v>
      </c>
      <c r="AA82">
        <f t="shared" ca="1" si="15"/>
        <v>122.48790944344491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0.94455560573096098</v>
      </c>
      <c r="AD82" s="83">
        <f ca="1"/>
        <v>45626</v>
      </c>
      <c r="AE82" s="55">
        <f t="shared" ca="1" si="20"/>
        <v>45626</v>
      </c>
      <c r="AF82" s="55">
        <f t="shared" ca="1" si="21"/>
        <v>61.767185627228017</v>
      </c>
      <c r="AG82" s="55">
        <f t="shared" ca="1" si="22"/>
        <v>11.88896349096029</v>
      </c>
      <c r="AH82" s="55">
        <f t="shared" ca="1" si="23"/>
        <v>0</v>
      </c>
      <c r="AI82" s="55">
        <f t="shared" ca="1" si="17"/>
        <v>-1.5936822076724197</v>
      </c>
      <c r="AJ82" s="55">
        <f t="shared" ca="1" si="18"/>
        <v>56.550754085903655</v>
      </c>
      <c r="AK82" s="55">
        <f t="shared" ca="1" si="19"/>
        <v>-12.354615927017726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51.397055771381076</v>
      </c>
      <c r="U83" s="55">
        <f t="shared" ca="1" si="28"/>
        <v>31.234553559451044</v>
      </c>
      <c r="V83" s="55">
        <f t="shared" ca="1" si="29"/>
        <v>0</v>
      </c>
      <c r="W83" s="55">
        <f t="shared" ref="W83:W146" ca="1" si="34">-VLOOKUP(S83,ModelOutputs,9,FALSE)+W82</f>
        <v>-65.045881884597918</v>
      </c>
      <c r="X83" s="55">
        <f t="shared" ref="X83:X146" ca="1" si="35">VLOOKUP(S83,ModelOutputs,5,FALSE)+X82</f>
        <v>54.240843951488394</v>
      </c>
      <c r="Y83" s="55">
        <f t="shared" ref="Y83:Y146" ca="1" si="36">VLOOKUP(S83,ModelOutputs,4,FALSE)+Y82</f>
        <v>30.780696476209613</v>
      </c>
      <c r="Z83">
        <f t="shared" ca="1" si="30"/>
        <v>0</v>
      </c>
      <c r="AA83">
        <f t="shared" ref="AA83:AA146" ca="1" si="37">VLOOKUP(S83,ModelOutputs,11,FALSE)+AA82</f>
        <v>124.09790944344491</v>
      </c>
      <c r="AB83">
        <f t="shared" ca="1" si="31"/>
        <v>0</v>
      </c>
      <c r="AC83">
        <f t="shared" ca="1" si="32"/>
        <v>0.9596271224272892</v>
      </c>
      <c r="AD83" s="83">
        <f ca="1"/>
        <v>45627</v>
      </c>
      <c r="AE83" s="55">
        <f t="shared" ca="1" si="20"/>
        <v>45627</v>
      </c>
      <c r="AF83" s="55">
        <f t="shared" ca="1" si="21"/>
        <v>62.291965522947855</v>
      </c>
      <c r="AG83" s="55">
        <f t="shared" ca="1" si="22"/>
        <v>12.456532660692256</v>
      </c>
      <c r="AH83" s="55">
        <f t="shared" ca="1" si="23"/>
        <v>0</v>
      </c>
      <c r="AI83" s="55">
        <f t="shared" ref="AI83:AI146" ca="1" si="38">-VLOOKUP(AE83,ModelOutputs,9,FALSE)+AI82</f>
        <v>-1.5936822076724197</v>
      </c>
      <c r="AJ83" s="55">
        <f t="shared" ref="AJ83:AJ146" ca="1" si="39">VLOOKUP(AE83,ModelOutputs,5,FALSE)+AJ82</f>
        <v>57.583051477985023</v>
      </c>
      <c r="AK83" s="55">
        <f t="shared" ref="AK83:AK146" ca="1" si="40">VLOOKUP(AE83,ModelOutputs,4,FALSE)+AK82</f>
        <v>-12.294564253647287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47.756988093698872</v>
      </c>
      <c r="U84" s="55">
        <f t="shared" ca="1" si="28"/>
        <v>34.584052167856882</v>
      </c>
      <c r="V84" s="55">
        <f t="shared" ca="1" si="29"/>
        <v>0</v>
      </c>
      <c r="W84" s="55">
        <f t="shared" ca="1" si="34"/>
        <v>-66.295177007918596</v>
      </c>
      <c r="X84" s="55">
        <f t="shared" ca="1" si="35"/>
        <v>54.931151630433391</v>
      </c>
      <c r="Y84" s="55">
        <f t="shared" ca="1" si="36"/>
        <v>31.049114851308921</v>
      </c>
      <c r="Z84">
        <f t="shared" ca="1" si="30"/>
        <v>0</v>
      </c>
      <c r="AA84">
        <f t="shared" ca="1" si="37"/>
        <v>128.84790944344491</v>
      </c>
      <c r="AB84">
        <f t="shared" ca="1" si="31"/>
        <v>0</v>
      </c>
      <c r="AC84">
        <f t="shared" ca="1" si="32"/>
        <v>0.970891105292914</v>
      </c>
      <c r="AD84" s="83">
        <f ca="1"/>
        <v>45628</v>
      </c>
      <c r="AE84" s="55">
        <f t="shared" ca="1" si="20"/>
        <v>45628</v>
      </c>
      <c r="AF84" s="55">
        <f t="shared" ca="1" si="21"/>
        <v>62.771346441006024</v>
      </c>
      <c r="AG84" s="55">
        <f t="shared" ca="1" si="22"/>
        <v>13.046121670754419</v>
      </c>
      <c r="AH84" s="55">
        <f t="shared" ca="1" si="23"/>
        <v>0</v>
      </c>
      <c r="AI84" s="55">
        <f t="shared" ca="1" si="38"/>
        <v>-1.5936822076724197</v>
      </c>
      <c r="AJ84" s="55">
        <f t="shared" ca="1" si="39"/>
        <v>58.590260624570156</v>
      </c>
      <c r="AK84" s="55">
        <f t="shared" ca="1" si="40"/>
        <v>-12.232803472112092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42.228188112089555</v>
      </c>
      <c r="U85" s="55">
        <f t="shared" ca="1" si="28"/>
        <v>38.500138770921893</v>
      </c>
      <c r="V85" s="55">
        <f t="shared" ca="1" si="29"/>
        <v>0</v>
      </c>
      <c r="W85" s="55">
        <f t="shared" ca="1" si="34"/>
        <v>-68.890558169451197</v>
      </c>
      <c r="X85" s="55">
        <f t="shared" ca="1" si="35"/>
        <v>55.645199826513959</v>
      </c>
      <c r="Y85" s="55">
        <f t="shared" ca="1" si="36"/>
        <v>31.317734438216643</v>
      </c>
      <c r="Z85">
        <f t="shared" ca="1" si="30"/>
        <v>0</v>
      </c>
      <c r="AA85">
        <f t="shared" ca="1" si="37"/>
        <v>140.0079094434449</v>
      </c>
      <c r="AB85">
        <f t="shared" ca="1" si="31"/>
        <v>0</v>
      </c>
      <c r="AC85">
        <f t="shared" ca="1" si="32"/>
        <v>0.97953261498127753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63.23936140513306</v>
      </c>
      <c r="AG85" s="55">
        <f t="shared" ref="AG85:AG148" ca="1" si="43">VLOOKUP(AE85,ModelOutputs,7,FALSE)</f>
        <v>13.682553224514987</v>
      </c>
      <c r="AH85" s="55">
        <f t="shared" ref="AH85:AH148" ca="1" si="44">VLOOKUP(AE85,ModelOutputs,6,FALSE)</f>
        <v>0</v>
      </c>
      <c r="AI85" s="55">
        <f t="shared" ca="1" si="38"/>
        <v>-1.5936822076724197</v>
      </c>
      <c r="AJ85" s="55">
        <f t="shared" ca="1" si="39"/>
        <v>59.628634305343574</v>
      </c>
      <c r="AK85" s="55">
        <f t="shared" ca="1" si="40"/>
        <v>-12.166730634997904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109.10919922273743</v>
      </c>
      <c r="U86" s="55">
        <f t="shared" ca="1" si="28"/>
        <v>42.757029279683515</v>
      </c>
      <c r="V86" s="55">
        <f t="shared" ca="1" si="29"/>
        <v>75.011399614991646</v>
      </c>
      <c r="W86" s="55">
        <f t="shared" ca="1" si="34"/>
        <v>-73.736050353308926</v>
      </c>
      <c r="X86" s="55">
        <f t="shared" ca="1" si="35"/>
        <v>56.355825356659359</v>
      </c>
      <c r="Y86" s="55">
        <f t="shared" ca="1" si="36"/>
        <v>31.579103096346813</v>
      </c>
      <c r="Z86">
        <f t="shared" ca="1" si="30"/>
        <v>0</v>
      </c>
      <c r="AA86">
        <f t="shared" ca="1" si="37"/>
        <v>148.1979094434449</v>
      </c>
      <c r="AB86">
        <f t="shared" ca="1" si="31"/>
        <v>0</v>
      </c>
      <c r="AC86">
        <f t="shared" ca="1" si="32"/>
        <v>0.98560154416937262</v>
      </c>
      <c r="AD86" s="83">
        <f ca="1"/>
        <v>45630</v>
      </c>
      <c r="AE86" s="55">
        <f t="shared" ca="1" si="41"/>
        <v>45630</v>
      </c>
      <c r="AF86" s="55">
        <f t="shared" ca="1" si="42"/>
        <v>63.633096775499382</v>
      </c>
      <c r="AG86" s="55">
        <f t="shared" ca="1" si="43"/>
        <v>14.341731378015776</v>
      </c>
      <c r="AH86" s="55">
        <f t="shared" ca="1" si="44"/>
        <v>0</v>
      </c>
      <c r="AI86" s="55">
        <f t="shared" ca="1" si="38"/>
        <v>-1.5936822076724197</v>
      </c>
      <c r="AJ86" s="55">
        <f t="shared" ca="1" si="39"/>
        <v>60.614336470598808</v>
      </c>
      <c r="AK86" s="55">
        <f t="shared" ca="1" si="40"/>
        <v>-12.099519276386012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105.30049891047264</v>
      </c>
      <c r="U87" s="55">
        <f t="shared" ca="1" si="28"/>
        <v>46.901899849321772</v>
      </c>
      <c r="V87" s="55">
        <f t="shared" ca="1" si="29"/>
        <v>0</v>
      </c>
      <c r="W87" s="55">
        <f t="shared" ca="1" si="34"/>
        <v>-74.315966144410083</v>
      </c>
      <c r="X87" s="55">
        <f t="shared" ca="1" si="35"/>
        <v>57.026846722170554</v>
      </c>
      <c r="Y87" s="55">
        <f t="shared" ca="1" si="36"/>
        <v>31.824167779310251</v>
      </c>
      <c r="Z87">
        <f t="shared" ca="1" si="30"/>
        <v>0</v>
      </c>
      <c r="AA87">
        <f t="shared" ca="1" si="37"/>
        <v>149.1979094434449</v>
      </c>
      <c r="AB87">
        <f t="shared" ca="1" si="31"/>
        <v>0</v>
      </c>
      <c r="AC87">
        <f t="shared" ca="1" si="32"/>
        <v>0.98950647171149719</v>
      </c>
      <c r="AD87" s="83">
        <f ca="1"/>
        <v>45631</v>
      </c>
      <c r="AE87" s="55">
        <f t="shared" ca="1" si="41"/>
        <v>45631</v>
      </c>
      <c r="AF87" s="55">
        <f t="shared" ca="1" si="42"/>
        <v>63.997270626439267</v>
      </c>
      <c r="AG87" s="55">
        <f t="shared" ca="1" si="43"/>
        <v>15.030781216905373</v>
      </c>
      <c r="AH87" s="55">
        <f t="shared" ca="1" si="44"/>
        <v>0</v>
      </c>
      <c r="AI87" s="55">
        <f t="shared" ca="1" si="38"/>
        <v>-1.5936822076724197</v>
      </c>
      <c r="AJ87" s="55">
        <f t="shared" ca="1" si="39"/>
        <v>61.598662809885731</v>
      </c>
      <c r="AK87" s="55">
        <f t="shared" ca="1" si="40"/>
        <v>-12.030621925843448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102.02633762188589</v>
      </c>
      <c r="U88" s="55">
        <f t="shared" ca="1" si="28"/>
        <v>50.406601297335108</v>
      </c>
      <c r="V88" s="55">
        <f t="shared" ca="1" si="29"/>
        <v>0</v>
      </c>
      <c r="W88" s="55">
        <f t="shared" ca="1" si="34"/>
        <v>-74.911563373310017</v>
      </c>
      <c r="X88" s="55">
        <f t="shared" ca="1" si="35"/>
        <v>57.630309092858191</v>
      </c>
      <c r="Y88" s="55">
        <f t="shared" ca="1" si="36"/>
        <v>32.046842796949129</v>
      </c>
      <c r="Z88">
        <f t="shared" ca="1" si="30"/>
        <v>0</v>
      </c>
      <c r="AA88">
        <f t="shared" ca="1" si="37"/>
        <v>150.25790944344487</v>
      </c>
      <c r="AB88">
        <f t="shared" ca="1" si="31"/>
        <v>0</v>
      </c>
      <c r="AC88">
        <f t="shared" ca="1" si="32"/>
        <v>0.99183145127661732</v>
      </c>
      <c r="AD88" s="83">
        <f ca="1"/>
        <v>45632</v>
      </c>
      <c r="AE88" s="55">
        <f t="shared" ca="1" si="41"/>
        <v>45632</v>
      </c>
      <c r="AF88" s="55">
        <f t="shared" ca="1" si="42"/>
        <v>64.308416860963689</v>
      </c>
      <c r="AG88" s="55">
        <f t="shared" ca="1" si="43"/>
        <v>15.724942815373465</v>
      </c>
      <c r="AH88" s="55">
        <f t="shared" ca="1" si="44"/>
        <v>0</v>
      </c>
      <c r="AI88" s="55">
        <f t="shared" ca="1" si="38"/>
        <v>-1.5936822076724197</v>
      </c>
      <c r="AJ88" s="55">
        <f t="shared" ca="1" si="39"/>
        <v>62.536349773318754</v>
      </c>
      <c r="AK88" s="55">
        <f t="shared" ca="1" si="40"/>
        <v>-11.963001056283954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97.905008616718689</v>
      </c>
      <c r="U89" s="55">
        <f t="shared" ca="1" si="28"/>
        <v>54.172318721494968</v>
      </c>
      <c r="V89" s="55">
        <f t="shared" ca="1" si="29"/>
        <v>0</v>
      </c>
      <c r="W89" s="55">
        <f t="shared" ca="1" si="34"/>
        <v>-76.09238291201774</v>
      </c>
      <c r="X89" s="55">
        <f t="shared" ca="1" si="35"/>
        <v>58.236855397248917</v>
      </c>
      <c r="Y89" s="55">
        <f t="shared" ca="1" si="36"/>
        <v>32.265504450258796</v>
      </c>
      <c r="Z89">
        <f t="shared" ca="1" si="30"/>
        <v>0</v>
      </c>
      <c r="AA89">
        <f t="shared" ca="1" si="37"/>
        <v>152.44790944344487</v>
      </c>
      <c r="AB89">
        <f t="shared" ca="1" si="31"/>
        <v>0</v>
      </c>
      <c r="AC89">
        <f t="shared" ca="1" si="32"/>
        <v>0.99366468529388408</v>
      </c>
      <c r="AD89" s="83">
        <f ca="1"/>
        <v>45633</v>
      </c>
      <c r="AE89" s="55">
        <f t="shared" ca="1" si="41"/>
        <v>45633</v>
      </c>
      <c r="AF89" s="55">
        <f t="shared" ca="1" si="42"/>
        <v>64.628294430998963</v>
      </c>
      <c r="AG89" s="55">
        <f t="shared" ca="1" si="43"/>
        <v>16.419771520490169</v>
      </c>
      <c r="AH89" s="55">
        <f t="shared" ca="1" si="44"/>
        <v>0</v>
      </c>
      <c r="AI89" s="55">
        <f t="shared" ca="1" si="38"/>
        <v>-1.5936822076724197</v>
      </c>
      <c r="AJ89" s="55">
        <f t="shared" ca="1" si="39"/>
        <v>63.485129288749967</v>
      </c>
      <c r="AK89" s="55">
        <f t="shared" ca="1" si="40"/>
        <v>-11.897074296563193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92.013027431042801</v>
      </c>
      <c r="U90" s="55">
        <f t="shared" ca="1" si="28"/>
        <v>59.54254727453413</v>
      </c>
      <c r="V90" s="55">
        <f t="shared" ca="1" si="29"/>
        <v>0</v>
      </c>
      <c r="W90" s="55">
        <f t="shared" ca="1" si="34"/>
        <v>-77.541654770163504</v>
      </c>
      <c r="X90" s="55">
        <f t="shared" ca="1" si="35"/>
        <v>58.929850551158644</v>
      </c>
      <c r="Y90" s="55">
        <f t="shared" ca="1" si="36"/>
        <v>32.500028521858106</v>
      </c>
      <c r="Z90">
        <f t="shared" ca="1" si="30"/>
        <v>0</v>
      </c>
      <c r="AA90">
        <f t="shared" ca="1" si="37"/>
        <v>155.30790944344488</v>
      </c>
      <c r="AB90">
        <f t="shared" ca="1" si="31"/>
        <v>0</v>
      </c>
      <c r="AC90">
        <f t="shared" ca="1" si="32"/>
        <v>0.99548844446555829</v>
      </c>
      <c r="AD90" s="83">
        <f ca="1"/>
        <v>45634</v>
      </c>
      <c r="AE90" s="55">
        <f t="shared" ca="1" si="41"/>
        <v>45634</v>
      </c>
      <c r="AF90" s="55">
        <f t="shared" ca="1" si="42"/>
        <v>64.910765179142061</v>
      </c>
      <c r="AG90" s="55">
        <f t="shared" ca="1" si="43"/>
        <v>17.174158424606031</v>
      </c>
      <c r="AH90" s="55">
        <f t="shared" ca="1" si="44"/>
        <v>0</v>
      </c>
      <c r="AI90" s="55">
        <f t="shared" ca="1" si="38"/>
        <v>-1.5936822076724197</v>
      </c>
      <c r="AJ90" s="55">
        <f t="shared" ca="1" si="39"/>
        <v>64.451944178107439</v>
      </c>
      <c r="AK90" s="55">
        <f t="shared" ca="1" si="40"/>
        <v>-11.82703153366171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87.010643207063879</v>
      </c>
      <c r="U91" s="55">
        <f t="shared" ca="1" si="28"/>
        <v>64.377570018828635</v>
      </c>
      <c r="V91" s="55">
        <f t="shared" ca="1" si="29"/>
        <v>0</v>
      </c>
      <c r="W91" s="55">
        <f t="shared" ca="1" si="34"/>
        <v>-78.562327445696795</v>
      </c>
      <c r="X91" s="55">
        <f t="shared" ca="1" si="35"/>
        <v>59.56715639434784</v>
      </c>
      <c r="Y91" s="55">
        <f t="shared" ca="1" si="36"/>
        <v>32.716033874517784</v>
      </c>
      <c r="Z91">
        <f t="shared" ca="1" si="30"/>
        <v>0</v>
      </c>
      <c r="AA91">
        <f t="shared" ca="1" si="37"/>
        <v>157.43790944344488</v>
      </c>
      <c r="AB91">
        <f t="shared" ca="1" si="31"/>
        <v>0</v>
      </c>
      <c r="AC91">
        <f t="shared" ca="1" si="32"/>
        <v>0.99661089212712883</v>
      </c>
      <c r="AD91" s="83">
        <f ca="1"/>
        <v>45635</v>
      </c>
      <c r="AE91" s="55">
        <f t="shared" ca="1" si="41"/>
        <v>45635</v>
      </c>
      <c r="AF91" s="55">
        <f t="shared" ca="1" si="42"/>
        <v>65.260010064263568</v>
      </c>
      <c r="AG91" s="55">
        <f t="shared" ca="1" si="43"/>
        <v>18.001027482871841</v>
      </c>
      <c r="AH91" s="55">
        <f t="shared" ca="1" si="44"/>
        <v>0</v>
      </c>
      <c r="AI91" s="55">
        <f t="shared" ca="1" si="38"/>
        <v>-1.5936822076724197</v>
      </c>
      <c r="AJ91" s="55">
        <f t="shared" ca="1" si="39"/>
        <v>65.552907092387656</v>
      </c>
      <c r="AK91" s="55">
        <f t="shared" ca="1" si="40"/>
        <v>-11.751880504554606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83.030113612872256</v>
      </c>
      <c r="U92" s="55">
        <f t="shared" ca="1" si="28"/>
        <v>69.062868518947838</v>
      </c>
      <c r="V92" s="55">
        <f t="shared" ca="1" si="29"/>
        <v>0</v>
      </c>
      <c r="W92" s="55">
        <f t="shared" ca="1" si="34"/>
        <v>-78.676644268786987</v>
      </c>
      <c r="X92" s="55">
        <f t="shared" ca="1" si="35"/>
        <v>60.180522986060041</v>
      </c>
      <c r="Y92" s="55">
        <f t="shared" ca="1" si="36"/>
        <v>32.921753011823348</v>
      </c>
      <c r="Z92">
        <f t="shared" ca="1" si="30"/>
        <v>0</v>
      </c>
      <c r="AA92">
        <f t="shared" ca="1" si="37"/>
        <v>157.68790944344488</v>
      </c>
      <c r="AB92">
        <f t="shared" ca="1" si="31"/>
        <v>0</v>
      </c>
      <c r="AC92">
        <f t="shared" ca="1" si="32"/>
        <v>0.99739261586570338</v>
      </c>
      <c r="AD92" s="83">
        <f ca="1"/>
        <v>45636</v>
      </c>
      <c r="AE92" s="55">
        <f t="shared" ca="1" si="41"/>
        <v>45636</v>
      </c>
      <c r="AF92" s="55">
        <f t="shared" ca="1" si="42"/>
        <v>65.585913523868157</v>
      </c>
      <c r="AG92" s="55">
        <f t="shared" ca="1" si="43"/>
        <v>18.906749791520127</v>
      </c>
      <c r="AH92" s="55">
        <f t="shared" ca="1" si="44"/>
        <v>0</v>
      </c>
      <c r="AI92" s="55">
        <f t="shared" ca="1" si="38"/>
        <v>-1.5936822076724197</v>
      </c>
      <c r="AJ92" s="55">
        <f t="shared" ca="1" si="39"/>
        <v>66.704003590093009</v>
      </c>
      <c r="AK92" s="55">
        <f t="shared" ca="1" si="40"/>
        <v>-11.671351234007094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78.421573690457038</v>
      </c>
      <c r="U93" s="55">
        <f t="shared" ca="1" si="28"/>
        <v>73.556281283251124</v>
      </c>
      <c r="V93" s="55">
        <f t="shared" ca="1" si="29"/>
        <v>0</v>
      </c>
      <c r="W93" s="55">
        <f t="shared" ca="1" si="34"/>
        <v>-79.579287947409611</v>
      </c>
      <c r="X93" s="55">
        <f t="shared" ca="1" si="35"/>
        <v>60.771750619341312</v>
      </c>
      <c r="Y93" s="55">
        <f t="shared" ca="1" si="36"/>
        <v>33.118041899052777</v>
      </c>
      <c r="Z93">
        <f t="shared" ca="1" si="30"/>
        <v>0</v>
      </c>
      <c r="AA93">
        <f t="shared" ca="1" si="37"/>
        <v>159.77790944344488</v>
      </c>
      <c r="AB93">
        <f t="shared" ca="1" si="31"/>
        <v>0</v>
      </c>
      <c r="AC93">
        <f t="shared" ca="1" si="32"/>
        <v>0.99794797721052186</v>
      </c>
      <c r="AD93" s="83">
        <f ca="1"/>
        <v>45637</v>
      </c>
      <c r="AE93" s="55">
        <f t="shared" ca="1" si="41"/>
        <v>45637</v>
      </c>
      <c r="AF93" s="55">
        <f t="shared" ca="1" si="42"/>
        <v>65.830313011534813</v>
      </c>
      <c r="AG93" s="55">
        <f t="shared" ca="1" si="43"/>
        <v>19.824323112335335</v>
      </c>
      <c r="AH93" s="55">
        <f t="shared" ca="1" si="44"/>
        <v>0</v>
      </c>
      <c r="AI93" s="55">
        <f t="shared" ca="1" si="38"/>
        <v>-1.5936822076724197</v>
      </c>
      <c r="AJ93" s="55">
        <f t="shared" ca="1" si="39"/>
        <v>67.78748358029425</v>
      </c>
      <c r="AK93" s="55">
        <f t="shared" ca="1" si="40"/>
        <v>-11.592858415726475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74.420856662793952</v>
      </c>
      <c r="U94" s="55">
        <f t="shared" ca="1" si="28"/>
        <v>78.345473953785415</v>
      </c>
      <c r="V94" s="55">
        <f t="shared" ca="1" si="29"/>
        <v>0</v>
      </c>
      <c r="W94" s="55">
        <f t="shared" ca="1" si="34"/>
        <v>-79.579287947409611</v>
      </c>
      <c r="X94" s="55">
        <f t="shared" ca="1" si="35"/>
        <v>61.367242050578191</v>
      </c>
      <c r="Y94" s="55">
        <f t="shared" ca="1" si="36"/>
        <v>33.311026110687102</v>
      </c>
      <c r="Z94">
        <f t="shared" ca="1" si="30"/>
        <v>0</v>
      </c>
      <c r="AA94">
        <f t="shared" ca="1" si="37"/>
        <v>159.77790944344488</v>
      </c>
      <c r="AB94">
        <f t="shared" ca="1" si="31"/>
        <v>0</v>
      </c>
      <c r="AC94">
        <f t="shared" ca="1" si="32"/>
        <v>0.99839241106282373</v>
      </c>
      <c r="AD94" s="83">
        <f ca="1"/>
        <v>45638</v>
      </c>
      <c r="AE94" s="55">
        <f t="shared" ca="1" si="41"/>
        <v>45638</v>
      </c>
      <c r="AF94" s="55">
        <f t="shared" ca="1" si="42"/>
        <v>65.985911248673119</v>
      </c>
      <c r="AG94" s="55">
        <f t="shared" ca="1" si="43"/>
        <v>20.774924294925292</v>
      </c>
      <c r="AH94" s="55">
        <f t="shared" ca="1" si="44"/>
        <v>0</v>
      </c>
      <c r="AI94" s="55">
        <f t="shared" ca="1" si="38"/>
        <v>-1.5936822076724197</v>
      </c>
      <c r="AJ94" s="55">
        <f t="shared" ca="1" si="39"/>
        <v>68.815128423462482</v>
      </c>
      <c r="AK94" s="55">
        <f t="shared" ca="1" si="40"/>
        <v>-11.514303839166452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70.053952440616598</v>
      </c>
      <c r="U95" s="55">
        <f t="shared" ca="1" si="28"/>
        <v>83.174581693086338</v>
      </c>
      <c r="V95" s="55">
        <f t="shared" ca="1" si="29"/>
        <v>0</v>
      </c>
      <c r="W95" s="55">
        <f t="shared" ca="1" si="34"/>
        <v>-79.891789755880822</v>
      </c>
      <c r="X95" s="55">
        <f t="shared" ca="1" si="35"/>
        <v>61.954830710448284</v>
      </c>
      <c r="Y95" s="55">
        <f t="shared" ca="1" si="36"/>
        <v>33.49814277641179</v>
      </c>
      <c r="Z95">
        <f t="shared" ca="1" si="30"/>
        <v>0</v>
      </c>
      <c r="AA95">
        <f t="shared" ca="1" si="37"/>
        <v>160.58791012800339</v>
      </c>
      <c r="AB95">
        <f t="shared" ca="1" si="31"/>
        <v>0</v>
      </c>
      <c r="AC95">
        <f t="shared" ca="1" si="32"/>
        <v>0.99873025434691354</v>
      </c>
      <c r="AD95" s="83">
        <f ca="1"/>
        <v>45639</v>
      </c>
      <c r="AE95" s="55">
        <f t="shared" ca="1" si="41"/>
        <v>45639</v>
      </c>
      <c r="AF95" s="55">
        <f t="shared" ca="1" si="42"/>
        <v>66.045168326074659</v>
      </c>
      <c r="AG95" s="55">
        <f t="shared" ca="1" si="43"/>
        <v>21.724821366214396</v>
      </c>
      <c r="AH95" s="55">
        <f t="shared" ca="1" si="44"/>
        <v>0</v>
      </c>
      <c r="AI95" s="55">
        <f t="shared" ca="1" si="38"/>
        <v>-1.5936822076724197</v>
      </c>
      <c r="AJ95" s="55">
        <f t="shared" ca="1" si="39"/>
        <v>69.74884614364359</v>
      </c>
      <c r="AK95" s="55">
        <f t="shared" ca="1" si="40"/>
        <v>-11.438867410656925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65.404661061551863</v>
      </c>
      <c r="U96" s="55">
        <f t="shared" ca="1" si="28"/>
        <v>87.951110907396767</v>
      </c>
      <c r="V96" s="55">
        <f t="shared" ca="1" si="29"/>
        <v>0</v>
      </c>
      <c r="W96" s="55">
        <f t="shared" ca="1" si="34"/>
        <v>-80.522139025532013</v>
      </c>
      <c r="X96" s="55">
        <f t="shared" ca="1" si="35"/>
        <v>62.531589283882731</v>
      </c>
      <c r="Y96" s="55">
        <f t="shared" ca="1" si="36"/>
        <v>33.678971307874221</v>
      </c>
      <c r="Z96">
        <f t="shared" ca="1" si="30"/>
        <v>0</v>
      </c>
      <c r="AA96">
        <f t="shared" ca="1" si="37"/>
        <v>162.33791012800339</v>
      </c>
      <c r="AB96">
        <f t="shared" ca="1" si="31"/>
        <v>0</v>
      </c>
      <c r="AC96">
        <f t="shared" ca="1" si="32"/>
        <v>0.99898561993273927</v>
      </c>
      <c r="AD96" s="83">
        <f ca="1"/>
        <v>45640</v>
      </c>
      <c r="AE96" s="55">
        <f t="shared" ca="1" si="41"/>
        <v>45640</v>
      </c>
      <c r="AF96" s="55">
        <f t="shared" ca="1" si="42"/>
        <v>66.072729422762947</v>
      </c>
      <c r="AG96" s="55">
        <f t="shared" ca="1" si="43"/>
        <v>22.685819962916309</v>
      </c>
      <c r="AH96" s="55">
        <f t="shared" ca="1" si="44"/>
        <v>0</v>
      </c>
      <c r="AI96" s="55">
        <f t="shared" ca="1" si="38"/>
        <v>-1.5936822076724197</v>
      </c>
      <c r="AJ96" s="55">
        <f t="shared" ca="1" si="39"/>
        <v>70.663815464744715</v>
      </c>
      <c r="AK96" s="55">
        <f t="shared" ca="1" si="40"/>
        <v>-11.36527703836785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60.376375937328405</v>
      </c>
      <c r="U97" s="55">
        <f t="shared" ca="1" si="28"/>
        <v>93.315267863128753</v>
      </c>
      <c r="V97" s="55">
        <f t="shared" ca="1" si="29"/>
        <v>0</v>
      </c>
      <c r="W97" s="55">
        <f t="shared" ca="1" si="34"/>
        <v>-80.961049027998158</v>
      </c>
      <c r="X97" s="55">
        <f t="shared" ca="1" si="35"/>
        <v>63.125860471504495</v>
      </c>
      <c r="Y97" s="55">
        <f t="shared" ca="1" si="36"/>
        <v>33.859481954227135</v>
      </c>
      <c r="Z97">
        <f t="shared" ca="1" si="30"/>
        <v>0</v>
      </c>
      <c r="AA97">
        <f t="shared" ca="1" si="37"/>
        <v>163.65791012800338</v>
      </c>
      <c r="AB97">
        <f t="shared" ca="1" si="31"/>
        <v>0</v>
      </c>
      <c r="AC97">
        <f t="shared" ca="1" si="32"/>
        <v>0.99920448489079294</v>
      </c>
      <c r="AD97" s="83">
        <f ca="1"/>
        <v>45641</v>
      </c>
      <c r="AE97" s="55">
        <f t="shared" ca="1" si="41"/>
        <v>45641</v>
      </c>
      <c r="AF97" s="55">
        <f t="shared" ca="1" si="42"/>
        <v>66.036194943699442</v>
      </c>
      <c r="AG97" s="55">
        <f t="shared" ca="1" si="43"/>
        <v>23.750225832518737</v>
      </c>
      <c r="AH97" s="55">
        <f t="shared" ca="1" si="44"/>
        <v>0</v>
      </c>
      <c r="AI97" s="55">
        <f t="shared" ca="1" si="38"/>
        <v>-1.5936822076724197</v>
      </c>
      <c r="AJ97" s="55">
        <f t="shared" ca="1" si="39"/>
        <v>71.6123411567727</v>
      </c>
      <c r="AK97" s="55">
        <f t="shared" ca="1" si="40"/>
        <v>-11.285931339856916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56.415544843135244</v>
      </c>
      <c r="U98" s="55">
        <f t="shared" ca="1" si="28"/>
        <v>98.004652191625269</v>
      </c>
      <c r="V98" s="55">
        <f t="shared" ca="1" si="29"/>
        <v>0</v>
      </c>
      <c r="W98" s="55">
        <f t="shared" ca="1" si="34"/>
        <v>-80.961049027998158</v>
      </c>
      <c r="X98" s="55">
        <f t="shared" ca="1" si="35"/>
        <v>63.684857293535281</v>
      </c>
      <c r="Y98" s="55">
        <f t="shared" ca="1" si="36"/>
        <v>34.029038366499705</v>
      </c>
      <c r="Z98">
        <f t="shared" ca="1" si="30"/>
        <v>0</v>
      </c>
      <c r="AA98">
        <f t="shared" ca="1" si="37"/>
        <v>163.65791012800338</v>
      </c>
      <c r="AB98">
        <f t="shared" ca="1" si="31"/>
        <v>0</v>
      </c>
      <c r="AC98">
        <f t="shared" ca="1" si="32"/>
        <v>0.9993522871291447</v>
      </c>
      <c r="AD98" s="83">
        <f ca="1"/>
        <v>45642</v>
      </c>
      <c r="AE98" s="55">
        <f t="shared" ca="1" si="41"/>
        <v>45642</v>
      </c>
      <c r="AF98" s="55">
        <f t="shared" ca="1" si="42"/>
        <v>65.96549628579541</v>
      </c>
      <c r="AG98" s="55">
        <f t="shared" ca="1" si="43"/>
        <v>24.85828188150786</v>
      </c>
      <c r="AH98" s="55">
        <f t="shared" ca="1" si="44"/>
        <v>0</v>
      </c>
      <c r="AI98" s="55">
        <f t="shared" ca="1" si="38"/>
        <v>-1.5936822076724197</v>
      </c>
      <c r="AJ98" s="55">
        <f t="shared" ca="1" si="39"/>
        <v>72.570070564158868</v>
      </c>
      <c r="AK98" s="55">
        <f t="shared" ca="1" si="40"/>
        <v>-11.206303356157985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131.02739482527522</v>
      </c>
      <c r="U99" s="55">
        <f t="shared" ca="1" si="28"/>
        <v>103.74053176917297</v>
      </c>
      <c r="V99" s="55">
        <f t="shared" ca="1" si="29"/>
        <v>81.374280821524877</v>
      </c>
      <c r="W99" s="55">
        <f t="shared" ca="1" si="34"/>
        <v>-82.755430242586286</v>
      </c>
      <c r="X99" s="55">
        <f t="shared" ca="1" si="35"/>
        <v>64.279738401322732</v>
      </c>
      <c r="Y99" s="55">
        <f t="shared" ca="1" si="36"/>
        <v>34.201987211463205</v>
      </c>
      <c r="Z99">
        <f t="shared" ca="1" si="30"/>
        <v>0</v>
      </c>
      <c r="AA99">
        <f t="shared" ca="1" si="37"/>
        <v>166.15791130651223</v>
      </c>
      <c r="AB99">
        <f t="shared" ca="1" si="31"/>
        <v>0</v>
      </c>
      <c r="AC99">
        <f t="shared" ca="1" si="32"/>
        <v>0.99949240254292182</v>
      </c>
      <c r="AD99" s="83">
        <f ca="1"/>
        <v>45643</v>
      </c>
      <c r="AE99" s="55">
        <f t="shared" ca="1" si="41"/>
        <v>45643</v>
      </c>
      <c r="AF99" s="55">
        <f t="shared" ca="1" si="42"/>
        <v>65.813701567354428</v>
      </c>
      <c r="AG99" s="55">
        <f t="shared" ca="1" si="43"/>
        <v>26.04064254661743</v>
      </c>
      <c r="AH99" s="55">
        <f t="shared" ca="1" si="44"/>
        <v>0</v>
      </c>
      <c r="AI99" s="55">
        <f t="shared" ca="1" si="38"/>
        <v>-1.5936822076724197</v>
      </c>
      <c r="AJ99" s="55">
        <f t="shared" ca="1" si="39"/>
        <v>73.518457245872128</v>
      </c>
      <c r="AK99" s="55">
        <f t="shared" ca="1" si="40"/>
        <v>-11.124124091202653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126.21830741859343</v>
      </c>
      <c r="U100" s="55">
        <f t="shared" ca="1" si="28"/>
        <v>109.29706339749656</v>
      </c>
      <c r="V100" s="55">
        <f t="shared" ca="1" si="29"/>
        <v>0</v>
      </c>
      <c r="W100" s="55">
        <f t="shared" ca="1" si="34"/>
        <v>-82.755430242586286</v>
      </c>
      <c r="X100" s="55">
        <f t="shared" ca="1" si="35"/>
        <v>64.860693215275532</v>
      </c>
      <c r="Y100" s="55">
        <f t="shared" ca="1" si="36"/>
        <v>34.368476619152197</v>
      </c>
      <c r="Z100">
        <f t="shared" ca="1" si="30"/>
        <v>0</v>
      </c>
      <c r="AA100">
        <f t="shared" ca="1" si="37"/>
        <v>166.15791130651223</v>
      </c>
      <c r="AB100">
        <f t="shared" ca="1" si="31"/>
        <v>0</v>
      </c>
      <c r="AC100">
        <f t="shared" ca="1" si="32"/>
        <v>0.99959635312235151</v>
      </c>
      <c r="AD100" s="83">
        <f ca="1"/>
        <v>45644</v>
      </c>
      <c r="AE100" s="55">
        <f t="shared" ca="1" si="41"/>
        <v>45644</v>
      </c>
      <c r="AF100" s="55">
        <f t="shared" ca="1" si="42"/>
        <v>65.679026723314365</v>
      </c>
      <c r="AG100" s="55">
        <f t="shared" ca="1" si="43"/>
        <v>27.237807669666328</v>
      </c>
      <c r="AH100" s="55">
        <f t="shared" ca="1" si="44"/>
        <v>0</v>
      </c>
      <c r="AI100" s="55">
        <f t="shared" ca="1" si="38"/>
        <v>-1.5936822076724197</v>
      </c>
      <c r="AJ100" s="55">
        <f t="shared" ca="1" si="39"/>
        <v>74.501241367238336</v>
      </c>
      <c r="AK100" s="55">
        <f t="shared" ca="1" si="40"/>
        <v>-11.044417933560013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120.02661231799746</v>
      </c>
      <c r="U101" s="55">
        <f t="shared" ca="1" si="28"/>
        <v>116.29111823242181</v>
      </c>
      <c r="V101" s="55">
        <f t="shared" ca="1" si="29"/>
        <v>0</v>
      </c>
      <c r="W101" s="55">
        <f t="shared" ca="1" si="34"/>
        <v>-82.755430242586286</v>
      </c>
      <c r="X101" s="55">
        <f t="shared" ca="1" si="35"/>
        <v>65.491008799103582</v>
      </c>
      <c r="Y101" s="55">
        <f t="shared" ca="1" si="36"/>
        <v>34.540520769653433</v>
      </c>
      <c r="Z101">
        <f t="shared" ca="1" si="30"/>
        <v>0</v>
      </c>
      <c r="AA101">
        <f t="shared" ca="1" si="37"/>
        <v>166.15791130651223</v>
      </c>
      <c r="AB101">
        <f t="shared" ca="1" si="31"/>
        <v>0</v>
      </c>
      <c r="AC101">
        <f t="shared" ca="1" si="32"/>
        <v>0.9996949603326688</v>
      </c>
      <c r="AD101" s="83">
        <f ca="1"/>
        <v>45645</v>
      </c>
      <c r="AE101" s="55">
        <f t="shared" ca="1" si="41"/>
        <v>45645</v>
      </c>
      <c r="AF101" s="55">
        <f t="shared" ca="1" si="42"/>
        <v>65.504684215170698</v>
      </c>
      <c r="AG101" s="55">
        <f t="shared" ca="1" si="43"/>
        <v>28.423621438435568</v>
      </c>
      <c r="AH101" s="55">
        <f t="shared" ca="1" si="44"/>
        <v>0</v>
      </c>
      <c r="AI101" s="55">
        <f t="shared" ca="1" si="38"/>
        <v>-1.5936822076724197</v>
      </c>
      <c r="AJ101" s="55">
        <f t="shared" ca="1" si="39"/>
        <v>75.437125333581619</v>
      </c>
      <c r="AK101" s="55">
        <f t="shared" ca="1" si="40"/>
        <v>-10.968830639277733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113.86965828039165</v>
      </c>
      <c r="U102" s="55">
        <f t="shared" ca="1" si="28"/>
        <v>123.02502366267508</v>
      </c>
      <c r="V102" s="55">
        <f t="shared" ca="1" si="29"/>
        <v>0</v>
      </c>
      <c r="W102" s="55">
        <f t="shared" ca="1" si="34"/>
        <v>-82.956107094178904</v>
      </c>
      <c r="X102" s="55">
        <f t="shared" ca="1" si="35"/>
        <v>66.103753338158839</v>
      </c>
      <c r="Y102" s="55">
        <f t="shared" ca="1" si="36"/>
        <v>34.705404474838261</v>
      </c>
      <c r="Z102">
        <f t="shared" ca="1" si="30"/>
        <v>0</v>
      </c>
      <c r="AA102">
        <f t="shared" ca="1" si="37"/>
        <v>166.47791482653395</v>
      </c>
      <c r="AB102">
        <f t="shared" ca="1" si="31"/>
        <v>0</v>
      </c>
      <c r="AC102">
        <f t="shared" ca="1" si="32"/>
        <v>0.99976533811098134</v>
      </c>
      <c r="AD102" s="83">
        <f ca="1"/>
        <v>45646</v>
      </c>
      <c r="AE102" s="55">
        <f t="shared" ca="1" si="41"/>
        <v>45646</v>
      </c>
      <c r="AF102" s="55">
        <f t="shared" ca="1" si="42"/>
        <v>65.238905255575716</v>
      </c>
      <c r="AG102" s="55">
        <f t="shared" ca="1" si="43"/>
        <v>29.662531633499771</v>
      </c>
      <c r="AH102" s="55">
        <f t="shared" ca="1" si="44"/>
        <v>0</v>
      </c>
      <c r="AI102" s="55">
        <f t="shared" ca="1" si="38"/>
        <v>-1.5936822076724197</v>
      </c>
      <c r="AJ102" s="55">
        <f t="shared" ca="1" si="39"/>
        <v>76.334079706285038</v>
      </c>
      <c r="AK102" s="55">
        <f t="shared" ca="1" si="40"/>
        <v>-10.892653776511921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104.70843290647132</v>
      </c>
      <c r="U103" s="55">
        <f t="shared" ca="1" si="28"/>
        <v>130.83216094150643</v>
      </c>
      <c r="V103" s="55">
        <f t="shared" ca="1" si="29"/>
        <v>0</v>
      </c>
      <c r="W103" s="55">
        <f t="shared" ca="1" si="34"/>
        <v>-85.124330412103049</v>
      </c>
      <c r="X103" s="55">
        <f t="shared" ca="1" si="35"/>
        <v>66.75067102064169</v>
      </c>
      <c r="Y103" s="55">
        <f t="shared" ca="1" si="36"/>
        <v>34.872622015190565</v>
      </c>
      <c r="Z103">
        <f t="shared" ca="1" si="30"/>
        <v>0</v>
      </c>
      <c r="AA103">
        <f t="shared" ca="1" si="37"/>
        <v>170.23791482653394</v>
      </c>
      <c r="AB103">
        <f t="shared" ca="1" si="31"/>
        <v>0</v>
      </c>
      <c r="AC103">
        <f t="shared" ca="1" si="32"/>
        <v>0.99982558254247622</v>
      </c>
      <c r="AD103" s="83">
        <f ca="1"/>
        <v>45647</v>
      </c>
      <c r="AE103" s="55">
        <f t="shared" ca="1" si="41"/>
        <v>45647</v>
      </c>
      <c r="AF103" s="55">
        <f t="shared" ca="1" si="42"/>
        <v>64.879869545080581</v>
      </c>
      <c r="AG103" s="55">
        <f t="shared" ca="1" si="43"/>
        <v>30.952411064428048</v>
      </c>
      <c r="AH103" s="55">
        <f t="shared" ca="1" si="44"/>
        <v>0</v>
      </c>
      <c r="AI103" s="55">
        <f t="shared" ca="1" si="38"/>
        <v>-1.5936822076724197</v>
      </c>
      <c r="AJ103" s="55">
        <f t="shared" ca="1" si="39"/>
        <v>77.188479168067772</v>
      </c>
      <c r="AK103" s="55">
        <f t="shared" ca="1" si="40"/>
        <v>-10.816209517861509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97.954759637505617</v>
      </c>
      <c r="U104" s="55">
        <f t="shared" ca="1" si="28"/>
        <v>136.86255028392932</v>
      </c>
      <c r="V104" s="55">
        <f t="shared" ca="1" si="29"/>
        <v>0</v>
      </c>
      <c r="W104" s="55">
        <f t="shared" ca="1" si="34"/>
        <v>-86.575480488935781</v>
      </c>
      <c r="X104" s="55">
        <f t="shared" ca="1" si="35"/>
        <v>67.327429594076136</v>
      </c>
      <c r="Y104" s="55">
        <f t="shared" ca="1" si="36"/>
        <v>35.023729592046045</v>
      </c>
      <c r="Z104">
        <f t="shared" ca="1" si="30"/>
        <v>0</v>
      </c>
      <c r="AA104">
        <f t="shared" ca="1" si="37"/>
        <v>172.92791482653394</v>
      </c>
      <c r="AB104">
        <f t="shared" ca="1" si="31"/>
        <v>0</v>
      </c>
      <c r="AC104">
        <f t="shared" ca="1" si="32"/>
        <v>0.9998606913310405</v>
      </c>
      <c r="AD104" s="83">
        <f ca="1"/>
        <v>45648</v>
      </c>
      <c r="AE104" s="55">
        <f t="shared" ca="1" si="41"/>
        <v>45648</v>
      </c>
      <c r="AF104" s="55">
        <f t="shared" ca="1" si="42"/>
        <v>64.416072360717891</v>
      </c>
      <c r="AG104" s="55">
        <f t="shared" ca="1" si="43"/>
        <v>32.345330082340062</v>
      </c>
      <c r="AH104" s="55">
        <f t="shared" ca="1" si="44"/>
        <v>0</v>
      </c>
      <c r="AI104" s="55">
        <f t="shared" ca="1" si="38"/>
        <v>-1.5936822076724197</v>
      </c>
      <c r="AJ104" s="55">
        <f t="shared" ca="1" si="39"/>
        <v>78.03769618749449</v>
      </c>
      <c r="AK104" s="55">
        <f t="shared" ca="1" si="40"/>
        <v>-10.736304703738909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91.525388247320564</v>
      </c>
      <c r="U105" s="55">
        <f t="shared" ca="1" si="28"/>
        <v>142.33259040855839</v>
      </c>
      <c r="V105" s="55">
        <f t="shared" ca="1" si="29"/>
        <v>0</v>
      </c>
      <c r="W105" s="55">
        <f t="shared" ca="1" si="34"/>
        <v>-88.233814407585058</v>
      </c>
      <c r="X105" s="55">
        <f t="shared" ca="1" si="35"/>
        <v>67.8823336819937</v>
      </c>
      <c r="Y105" s="55">
        <f t="shared" ca="1" si="36"/>
        <v>35.16782815722177</v>
      </c>
      <c r="Z105">
        <f t="shared" ca="1" si="30"/>
        <v>0</v>
      </c>
      <c r="AA105">
        <f t="shared" ca="1" si="37"/>
        <v>176.21791482653396</v>
      </c>
      <c r="AB105">
        <f t="shared" ca="1" si="31"/>
        <v>0</v>
      </c>
      <c r="AC105">
        <f t="shared" ca="1" si="32"/>
        <v>0.99988608131145362</v>
      </c>
      <c r="AD105" s="83">
        <f ca="1"/>
        <v>45649</v>
      </c>
      <c r="AE105" s="55">
        <f t="shared" ca="1" si="41"/>
        <v>45649</v>
      </c>
      <c r="AF105" s="55">
        <f t="shared" ca="1" si="42"/>
        <v>63.909271705072953</v>
      </c>
      <c r="AG105" s="55">
        <f t="shared" ca="1" si="43"/>
        <v>33.794976079201</v>
      </c>
      <c r="AH105" s="55">
        <f t="shared" ca="1" si="44"/>
        <v>0</v>
      </c>
      <c r="AI105" s="55">
        <f t="shared" ca="1" si="38"/>
        <v>-1.5936822076724197</v>
      </c>
      <c r="AJ105" s="55">
        <f t="shared" ca="1" si="39"/>
        <v>78.900543303469547</v>
      </c>
      <c r="AK105" s="55">
        <f t="shared" ca="1" si="40"/>
        <v>-10.656306478497967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85.987103692230448</v>
      </c>
      <c r="U106" s="55">
        <f t="shared" ca="1" si="28"/>
        <v>147.9992530644366</v>
      </c>
      <c r="V106" s="55">
        <f t="shared" ca="1" si="29"/>
        <v>0</v>
      </c>
      <c r="W106" s="55">
        <f t="shared" ca="1" si="34"/>
        <v>-88.806812527551543</v>
      </c>
      <c r="X106" s="55">
        <f t="shared" ca="1" si="35"/>
        <v>68.441916773218935</v>
      </c>
      <c r="Y106" s="55">
        <f t="shared" ca="1" si="36"/>
        <v>35.30962128675111</v>
      </c>
      <c r="Z106">
        <f t="shared" ca="1" si="30"/>
        <v>0</v>
      </c>
      <c r="AA106">
        <f t="shared" ca="1" si="37"/>
        <v>177.42791482653394</v>
      </c>
      <c r="AB106">
        <f t="shared" ca="1" si="31"/>
        <v>0</v>
      </c>
      <c r="AC106">
        <f t="shared" ca="1" si="32"/>
        <v>0.99990731755227136</v>
      </c>
      <c r="AD106" s="83">
        <f ca="1"/>
        <v>45650</v>
      </c>
      <c r="AE106" s="55">
        <f t="shared" ca="1" si="41"/>
        <v>45650</v>
      </c>
      <c r="AF106" s="55">
        <f t="shared" ca="1" si="42"/>
        <v>63.357582651969601</v>
      </c>
      <c r="AG106" s="55">
        <f t="shared" ca="1" si="43"/>
        <v>35.344501553514576</v>
      </c>
      <c r="AH106" s="55">
        <f t="shared" ca="1" si="44"/>
        <v>0</v>
      </c>
      <c r="AI106" s="55">
        <f t="shared" ca="1" si="38"/>
        <v>-1.5936822076724197</v>
      </c>
      <c r="AJ106" s="55">
        <f t="shared" ca="1" si="39"/>
        <v>79.8157609388292</v>
      </c>
      <c r="AK106" s="55">
        <f t="shared" ca="1" si="40"/>
        <v>-10.573687692647397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79.739957155826971</v>
      </c>
      <c r="U107" s="55">
        <f t="shared" ca="1" si="28"/>
        <v>153.34079537017371</v>
      </c>
      <c r="V107" s="55">
        <f t="shared" ca="1" si="29"/>
        <v>0</v>
      </c>
      <c r="W107" s="55">
        <f t="shared" ca="1" si="34"/>
        <v>-90.396526803834959</v>
      </c>
      <c r="X107" s="55">
        <f t="shared" ca="1" si="35"/>
        <v>68.989271761167402</v>
      </c>
      <c r="Y107" s="55">
        <f t="shared" ca="1" si="36"/>
        <v>35.446376344419683</v>
      </c>
      <c r="Z107">
        <f t="shared" ca="1" si="30"/>
        <v>0</v>
      </c>
      <c r="AA107">
        <f t="shared" ca="1" si="37"/>
        <v>181.04791482653394</v>
      </c>
      <c r="AB107">
        <f t="shared" ca="1" si="31"/>
        <v>0</v>
      </c>
      <c r="AC107">
        <f t="shared" ca="1" si="32"/>
        <v>0.99992358023552363</v>
      </c>
      <c r="AD107" s="83">
        <f ca="1"/>
        <v>45651</v>
      </c>
      <c r="AE107" s="55">
        <f t="shared" ca="1" si="41"/>
        <v>45651</v>
      </c>
      <c r="AF107" s="55">
        <f t="shared" ca="1" si="42"/>
        <v>62.67725397893394</v>
      </c>
      <c r="AG107" s="55">
        <f t="shared" ca="1" si="43"/>
        <v>36.999871322482257</v>
      </c>
      <c r="AH107" s="55">
        <f t="shared" ca="1" si="44"/>
        <v>0</v>
      </c>
      <c r="AI107" s="55">
        <f t="shared" ca="1" si="38"/>
        <v>-1.5936822076724197</v>
      </c>
      <c r="AJ107" s="55">
        <f t="shared" ca="1" si="39"/>
        <v>80.705553503765685</v>
      </c>
      <c r="AK107" s="55">
        <f t="shared" ca="1" si="40"/>
        <v>-10.488439161651854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74.215321714348747</v>
      </c>
      <c r="U108" s="55">
        <f t="shared" ca="1" si="28"/>
        <v>159.31626621680459</v>
      </c>
      <c r="V108" s="55">
        <f t="shared" ca="1" si="29"/>
        <v>0</v>
      </c>
      <c r="W108" s="55">
        <f t="shared" ca="1" si="34"/>
        <v>-90.649934482036414</v>
      </c>
      <c r="X108" s="55">
        <f t="shared" ca="1" si="35"/>
        <v>69.556512643697673</v>
      </c>
      <c r="Y108" s="55">
        <f t="shared" ca="1" si="36"/>
        <v>35.583378545243527</v>
      </c>
      <c r="Z108">
        <f t="shared" ca="1" si="30"/>
        <v>0</v>
      </c>
      <c r="AA108">
        <f t="shared" ca="1" si="37"/>
        <v>181.66791482653394</v>
      </c>
      <c r="AB108">
        <f t="shared" ca="1" si="31"/>
        <v>0</v>
      </c>
      <c r="AC108">
        <f t="shared" ca="1" si="32"/>
        <v>0.9999383390702723</v>
      </c>
      <c r="AD108" s="83">
        <f ca="1"/>
        <v>45652</v>
      </c>
      <c r="AE108" s="55">
        <f t="shared" ca="1" si="41"/>
        <v>45652</v>
      </c>
      <c r="AF108" s="55">
        <f t="shared" ca="1" si="42"/>
        <v>61.895199851633954</v>
      </c>
      <c r="AG108" s="55">
        <f t="shared" ca="1" si="43"/>
        <v>38.679473623624958</v>
      </c>
      <c r="AH108" s="55">
        <f t="shared" ca="1" si="44"/>
        <v>0</v>
      </c>
      <c r="AI108" s="55">
        <f t="shared" ca="1" si="38"/>
        <v>-1.5936822076724197</v>
      </c>
      <c r="AJ108" s="55">
        <f t="shared" ca="1" si="39"/>
        <v>81.520521409739743</v>
      </c>
      <c r="AK108" s="55">
        <f t="shared" ca="1" si="40"/>
        <v>-10.405858893783208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67.830132155391723</v>
      </c>
      <c r="U109" s="55">
        <f t="shared" ca="1" si="28"/>
        <v>164.81481110526889</v>
      </c>
      <c r="V109" s="55">
        <f t="shared" ca="1" si="29"/>
        <v>0</v>
      </c>
      <c r="W109" s="55">
        <f t="shared" ca="1" si="34"/>
        <v>-92.218874930152438</v>
      </c>
      <c r="X109" s="55">
        <f t="shared" ca="1" si="35"/>
        <v>70.107343489722581</v>
      </c>
      <c r="Y109" s="55">
        <f t="shared" ca="1" si="36"/>
        <v>35.714843476841914</v>
      </c>
      <c r="Z109">
        <f t="shared" ca="1" si="30"/>
        <v>0</v>
      </c>
      <c r="AA109">
        <f t="shared" ca="1" si="37"/>
        <v>185.86791482653393</v>
      </c>
      <c r="AB109">
        <f t="shared" ca="1" si="31"/>
        <v>0</v>
      </c>
      <c r="AC109">
        <f t="shared" ca="1" si="32"/>
        <v>0.99994935266417906</v>
      </c>
      <c r="AD109" s="83">
        <f ca="1"/>
        <v>45653</v>
      </c>
      <c r="AE109" s="55">
        <f t="shared" ca="1" si="41"/>
        <v>45653</v>
      </c>
      <c r="AF109" s="55">
        <f t="shared" ca="1" si="42"/>
        <v>61.037735252271766</v>
      </c>
      <c r="AG109" s="55">
        <f t="shared" ca="1" si="43"/>
        <v>40.365059675299911</v>
      </c>
      <c r="AH109" s="55">
        <f t="shared" ca="1" si="44"/>
        <v>0</v>
      </c>
      <c r="AI109" s="55">
        <f t="shared" ca="1" si="38"/>
        <v>-1.5936822076724197</v>
      </c>
      <c r="AJ109" s="55">
        <f t="shared" ca="1" si="39"/>
        <v>82.269513497315259</v>
      </c>
      <c r="AK109" s="55">
        <f t="shared" ca="1" si="40"/>
        <v>-10.326729529045963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62.142693809062507</v>
      </c>
      <c r="U110" s="55">
        <f t="shared" ca="1" si="28"/>
        <v>170.01709197926925</v>
      </c>
      <c r="V110" s="55">
        <f t="shared" ca="1" si="29"/>
        <v>0</v>
      </c>
      <c r="W110" s="55">
        <f t="shared" ca="1" si="34"/>
        <v>-93.372207302498609</v>
      </c>
      <c r="X110" s="55">
        <f t="shared" ca="1" si="35"/>
        <v>70.648363148479234</v>
      </c>
      <c r="Y110" s="55">
        <f t="shared" ca="1" si="36"/>
        <v>35.841998718102587</v>
      </c>
      <c r="Z110">
        <f t="shared" ca="1" si="30"/>
        <v>0</v>
      </c>
      <c r="AA110">
        <f t="shared" ca="1" si="37"/>
        <v>189.23791482653394</v>
      </c>
      <c r="AB110">
        <f t="shared" ca="1" si="31"/>
        <v>0</v>
      </c>
      <c r="AC110">
        <f t="shared" ca="1" si="32"/>
        <v>0.99995794635180979</v>
      </c>
      <c r="AD110" s="83">
        <f ca="1"/>
        <v>45654</v>
      </c>
      <c r="AE110" s="55">
        <f t="shared" ca="1" si="41"/>
        <v>45654</v>
      </c>
      <c r="AF110" s="55">
        <f t="shared" ca="1" si="42"/>
        <v>60.129419693544094</v>
      </c>
      <c r="AG110" s="55">
        <f t="shared" ca="1" si="43"/>
        <v>42.116412148535488</v>
      </c>
      <c r="AH110" s="55">
        <f t="shared" ca="1" si="44"/>
        <v>0</v>
      </c>
      <c r="AI110" s="55">
        <f t="shared" ca="1" si="38"/>
        <v>-1.5936822076724197</v>
      </c>
      <c r="AJ110" s="55">
        <f t="shared" ca="1" si="39"/>
        <v>83.03343848082838</v>
      </c>
      <c r="AK110" s="55">
        <f t="shared" ca="1" si="40"/>
        <v>-10.247617598051178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163.17090786793406</v>
      </c>
      <c r="U111" s="55">
        <f t="shared" ca="1" si="28"/>
        <v>176.88613183623559</v>
      </c>
      <c r="V111" s="55">
        <f t="shared" ca="1" si="29"/>
        <v>108.14529362243525</v>
      </c>
      <c r="W111" s="55">
        <f t="shared" ca="1" si="34"/>
        <v>-94.349699690540433</v>
      </c>
      <c r="X111" s="55">
        <f t="shared" ca="1" si="35"/>
        <v>71.24507643678173</v>
      </c>
      <c r="Y111" s="55">
        <f t="shared" ca="1" si="36"/>
        <v>35.974738111244591</v>
      </c>
      <c r="Z111">
        <f t="shared" ca="1" si="30"/>
        <v>0</v>
      </c>
      <c r="AA111">
        <f t="shared" ca="1" si="37"/>
        <v>190.32791482653391</v>
      </c>
      <c r="AB111">
        <f t="shared" ca="1" si="31"/>
        <v>0</v>
      </c>
      <c r="AC111">
        <f t="shared" ca="1" si="32"/>
        <v>0.99996711074850486</v>
      </c>
      <c r="AD111" s="83">
        <f ca="1"/>
        <v>45655</v>
      </c>
      <c r="AE111" s="55">
        <f t="shared" ca="1" si="41"/>
        <v>45655</v>
      </c>
      <c r="AF111" s="55">
        <f t="shared" ca="1" si="42"/>
        <v>59.171102274550314</v>
      </c>
      <c r="AG111" s="55">
        <f t="shared" ca="1" si="43"/>
        <v>43.919800489911815</v>
      </c>
      <c r="AH111" s="55">
        <f t="shared" ca="1" si="44"/>
        <v>0</v>
      </c>
      <c r="AI111" s="55">
        <f t="shared" ca="1" si="38"/>
        <v>-1.5936822076724197</v>
      </c>
      <c r="AJ111" s="55">
        <f t="shared" ca="1" si="39"/>
        <v>83.800223381912659</v>
      </c>
      <c r="AK111" s="55">
        <f t="shared" ca="1" si="40"/>
        <v>-10.169331576752917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152.62049568629169</v>
      </c>
      <c r="U112" s="55">
        <f t="shared" ca="1" si="28"/>
        <v>183.72504777909282</v>
      </c>
      <c r="V112" s="55">
        <f t="shared" ca="1" si="29"/>
        <v>0</v>
      </c>
      <c r="W112" s="55">
        <f t="shared" ca="1" si="34"/>
        <v>-98.787638278148776</v>
      </c>
      <c r="X112" s="55">
        <f t="shared" ca="1" si="35"/>
        <v>71.841789725084226</v>
      </c>
      <c r="Y112" s="55">
        <f t="shared" ca="1" si="36"/>
        <v>36.104467171765336</v>
      </c>
      <c r="Z112">
        <f t="shared" ca="1" si="30"/>
        <v>0</v>
      </c>
      <c r="AA112">
        <f t="shared" ca="1" si="37"/>
        <v>195.60791482653391</v>
      </c>
      <c r="AB112">
        <f t="shared" ca="1" si="31"/>
        <v>0</v>
      </c>
      <c r="AC112">
        <f t="shared" ca="1" si="32"/>
        <v>0.99997427807693073</v>
      </c>
      <c r="AD112" s="83">
        <f ca="1"/>
        <v>45656</v>
      </c>
      <c r="AE112" s="55">
        <f t="shared" ca="1" si="41"/>
        <v>45656</v>
      </c>
      <c r="AF112" s="55">
        <f t="shared" ca="1" si="42"/>
        <v>58.186041948575642</v>
      </c>
      <c r="AG112" s="55">
        <f t="shared" ca="1" si="43"/>
        <v>45.740655064093126</v>
      </c>
      <c r="AH112" s="55">
        <f t="shared" ca="1" si="44"/>
        <v>0</v>
      </c>
      <c r="AI112" s="55">
        <f t="shared" ca="1" si="38"/>
        <v>-1.5936822076724197</v>
      </c>
      <c r="AJ112" s="55">
        <f t="shared" ca="1" si="39"/>
        <v>84.560227718736911</v>
      </c>
      <c r="AK112" s="55">
        <f t="shared" ca="1" si="40"/>
        <v>-10.09354166537053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142.46272014065275</v>
      </c>
      <c r="U113" s="55">
        <f t="shared" ca="1" si="28"/>
        <v>191.7869744228787</v>
      </c>
      <c r="V113" s="55">
        <f t="shared" ca="1" si="29"/>
        <v>0</v>
      </c>
      <c r="W113" s="55">
        <f t="shared" ca="1" si="34"/>
        <v>-101.65919119367949</v>
      </c>
      <c r="X113" s="55">
        <f t="shared" ca="1" si="35"/>
        <v>72.484210430212187</v>
      </c>
      <c r="Y113" s="55">
        <f t="shared" ca="1" si="36"/>
        <v>36.237750480315022</v>
      </c>
      <c r="Z113">
        <f t="shared" ca="1" si="30"/>
        <v>0</v>
      </c>
      <c r="AA113">
        <f t="shared" ca="1" si="37"/>
        <v>199.26791482653391</v>
      </c>
      <c r="AB113">
        <f t="shared" ca="1" si="31"/>
        <v>0</v>
      </c>
      <c r="AC113">
        <f t="shared" ca="1" si="32"/>
        <v>0.99998079724974953</v>
      </c>
      <c r="AD113" s="83">
        <f ca="1"/>
        <v>45657</v>
      </c>
      <c r="AE113" s="55">
        <f t="shared" ca="1" si="41"/>
        <v>45657</v>
      </c>
      <c r="AF113" s="55">
        <f t="shared" ca="1" si="42"/>
        <v>57.152890620709684</v>
      </c>
      <c r="AG113" s="55">
        <f t="shared" ca="1" si="43"/>
        <v>47.478732974469843</v>
      </c>
      <c r="AH113" s="55">
        <f t="shared" ca="1" si="44"/>
        <v>0</v>
      </c>
      <c r="AI113" s="55">
        <f t="shared" ca="1" si="38"/>
        <v>-1.5936822076724197</v>
      </c>
      <c r="AJ113" s="55">
        <f t="shared" ca="1" si="39"/>
        <v>85.195983338473425</v>
      </c>
      <c r="AK113" s="55">
        <f t="shared" ca="1" si="40"/>
        <v>-10.024370702596286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136.44434558445298</v>
      </c>
      <c r="U114" s="55">
        <f t="shared" ca="1" si="28"/>
        <v>198.46500202269564</v>
      </c>
      <c r="V114" s="55">
        <f t="shared" ca="1" si="29"/>
        <v>0</v>
      </c>
      <c r="W114" s="55">
        <f t="shared" ca="1" si="34"/>
        <v>-101.719305803908</v>
      </c>
      <c r="X114" s="55">
        <f t="shared" ca="1" si="35"/>
        <v>73.080312588261137</v>
      </c>
      <c r="Y114" s="55">
        <f t="shared" ca="1" si="36"/>
        <v>36.361415976111758</v>
      </c>
      <c r="Z114">
        <f t="shared" ca="1" si="30"/>
        <v>0</v>
      </c>
      <c r="AA114">
        <f t="shared" ca="1" si="37"/>
        <v>199.34791482653389</v>
      </c>
      <c r="AB114">
        <f t="shared" ca="1" si="31"/>
        <v>0</v>
      </c>
      <c r="AC114">
        <f t="shared" ca="1" si="32"/>
        <v>0.999984972451332</v>
      </c>
      <c r="AD114" s="83">
        <f ca="1"/>
        <v>45658</v>
      </c>
      <c r="AE114" s="55">
        <f t="shared" ca="1" si="41"/>
        <v>45658</v>
      </c>
      <c r="AF114" s="55">
        <f t="shared" ca="1" si="42"/>
        <v>55.917576855235126</v>
      </c>
      <c r="AG114" s="55">
        <f t="shared" ca="1" si="43"/>
        <v>49.548756942672007</v>
      </c>
      <c r="AH114" s="55">
        <f t="shared" ca="1" si="44"/>
        <v>0</v>
      </c>
      <c r="AI114" s="55">
        <f t="shared" ca="1" si="38"/>
        <v>-1.5936822076724197</v>
      </c>
      <c r="AJ114" s="55">
        <f t="shared" ca="1" si="39"/>
        <v>85.949510932228677</v>
      </c>
      <c r="AK114" s="55">
        <f t="shared" ca="1" si="40"/>
        <v>-9.9431880936239239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130.2182830114067</v>
      </c>
      <c r="U115" s="55">
        <f t="shared" ca="1" si="28"/>
        <v>205.28151680174156</v>
      </c>
      <c r="V115" s="55">
        <f t="shared" ca="1" si="29"/>
        <v>0</v>
      </c>
      <c r="W115" s="55">
        <f t="shared" ca="1" si="34"/>
        <v>-101.85556319569675</v>
      </c>
      <c r="X115" s="55">
        <f t="shared" ca="1" si="35"/>
        <v>73.685007318744368</v>
      </c>
      <c r="Y115" s="55">
        <f t="shared" ca="1" si="36"/>
        <v>36.483430843416919</v>
      </c>
      <c r="Z115">
        <f t="shared" ca="1" si="30"/>
        <v>0</v>
      </c>
      <c r="AA115">
        <f t="shared" ca="1" si="37"/>
        <v>199.53791482653389</v>
      </c>
      <c r="AB115">
        <f t="shared" ca="1" si="31"/>
        <v>0</v>
      </c>
      <c r="AC115">
        <f t="shared" ca="1" si="32"/>
        <v>0.99998834423965943</v>
      </c>
      <c r="AD115" s="83">
        <f ca="1"/>
        <v>45659</v>
      </c>
      <c r="AE115" s="55">
        <f t="shared" ca="1" si="41"/>
        <v>45659</v>
      </c>
      <c r="AF115" s="55">
        <f t="shared" ca="1" si="42"/>
        <v>54.576584970382413</v>
      </c>
      <c r="AG115" s="55">
        <f t="shared" ca="1" si="43"/>
        <v>51.747295473591805</v>
      </c>
      <c r="AH115" s="55">
        <f t="shared" ca="1" si="44"/>
        <v>0</v>
      </c>
      <c r="AI115" s="55">
        <f t="shared" ca="1" si="38"/>
        <v>-1.5936822076724197</v>
      </c>
      <c r="AJ115" s="55">
        <f t="shared" ca="1" si="39"/>
        <v>86.72359115878352</v>
      </c>
      <c r="AK115" s="55">
        <f t="shared" ca="1" si="40"/>
        <v>-9.8597216741116895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122.23274664944002</v>
      </c>
      <c r="U116" s="55">
        <f t="shared" ca="1" si="28"/>
        <v>212.81546729293251</v>
      </c>
      <c r="V116" s="55">
        <f t="shared" ca="1" si="29"/>
        <v>0</v>
      </c>
      <c r="W116" s="55">
        <f t="shared" ca="1" si="34"/>
        <v>-103.0672617276999</v>
      </c>
      <c r="X116" s="55">
        <f t="shared" ca="1" si="35"/>
        <v>74.32167564300363</v>
      </c>
      <c r="Y116" s="55">
        <f t="shared" ca="1" si="36"/>
        <v>36.606875180385082</v>
      </c>
      <c r="Z116">
        <f t="shared" ca="1" si="30"/>
        <v>0</v>
      </c>
      <c r="AA116">
        <f t="shared" ca="1" si="37"/>
        <v>201.3379148265339</v>
      </c>
      <c r="AB116">
        <f t="shared" ca="1" si="31"/>
        <v>0</v>
      </c>
      <c r="AC116">
        <f t="shared" ca="1" si="32"/>
        <v>0.99999124838683717</v>
      </c>
      <c r="AD116" s="83">
        <f ca="1"/>
        <v>45660</v>
      </c>
      <c r="AE116" s="55">
        <f t="shared" ca="1" si="41"/>
        <v>45660</v>
      </c>
      <c r="AF116" s="55">
        <f t="shared" ca="1" si="42"/>
        <v>53.213400005522494</v>
      </c>
      <c r="AG116" s="55">
        <f t="shared" ca="1" si="43"/>
        <v>54.017460145470494</v>
      </c>
      <c r="AH116" s="55">
        <f t="shared" ca="1" si="44"/>
        <v>0</v>
      </c>
      <c r="AI116" s="55">
        <f t="shared" ca="1" si="38"/>
        <v>-1.5936822076724197</v>
      </c>
      <c r="AJ116" s="55">
        <f t="shared" ca="1" si="39"/>
        <v>87.54773857487308</v>
      </c>
      <c r="AK116" s="55">
        <f t="shared" ca="1" si="40"/>
        <v>-9.7768893831824712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113.54510585926695</v>
      </c>
      <c r="U117" s="55">
        <f t="shared" ca="1" si="28"/>
        <v>220.68971434133272</v>
      </c>
      <c r="V117" s="55">
        <f t="shared" ca="1" si="29"/>
        <v>0</v>
      </c>
      <c r="W117" s="55">
        <f t="shared" ca="1" si="34"/>
        <v>-104.66182995346264</v>
      </c>
      <c r="X117" s="55">
        <f t="shared" ca="1" si="35"/>
        <v>74.979598151359568</v>
      </c>
      <c r="Y117" s="55">
        <f t="shared" ca="1" si="36"/>
        <v>36.730127156019023</v>
      </c>
      <c r="Z117">
        <f t="shared" ca="1" si="30"/>
        <v>0</v>
      </c>
      <c r="AA117">
        <f t="shared" ca="1" si="37"/>
        <v>203.88791482653392</v>
      </c>
      <c r="AB117">
        <f t="shared" ca="1" si="31"/>
        <v>0</v>
      </c>
      <c r="AC117">
        <f t="shared" ca="1" si="32"/>
        <v>0.99999356558967334</v>
      </c>
      <c r="AD117" s="83">
        <f ca="1"/>
        <v>45661</v>
      </c>
      <c r="AE117" s="55">
        <f t="shared" ca="1" si="41"/>
        <v>45661</v>
      </c>
      <c r="AF117" s="55">
        <f t="shared" ca="1" si="42"/>
        <v>51.850008562389078</v>
      </c>
      <c r="AG117" s="55">
        <f t="shared" ca="1" si="43"/>
        <v>56.163154180509444</v>
      </c>
      <c r="AH117" s="55">
        <f t="shared" ca="1" si="44"/>
        <v>0</v>
      </c>
      <c r="AI117" s="55">
        <f t="shared" ca="1" si="38"/>
        <v>-1.5936822076724197</v>
      </c>
      <c r="AJ117" s="55">
        <f t="shared" ca="1" si="39"/>
        <v>88.256106788000437</v>
      </c>
      <c r="AK117" s="55">
        <f t="shared" ca="1" si="40"/>
        <v>-9.7029550044042878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104.33503005489801</v>
      </c>
      <c r="U118" s="55">
        <f t="shared" ca="1" si="28"/>
        <v>228.62415322278679</v>
      </c>
      <c r="V118" s="55">
        <f t="shared" ca="1" si="29"/>
        <v>0</v>
      </c>
      <c r="W118" s="55">
        <f t="shared" ca="1" si="34"/>
        <v>-106.73038533194236</v>
      </c>
      <c r="X118" s="55">
        <f t="shared" ca="1" si="35"/>
        <v>75.650619516870762</v>
      </c>
      <c r="Y118" s="55">
        <f t="shared" ca="1" si="36"/>
        <v>36.852024246072673</v>
      </c>
      <c r="Z118">
        <f t="shared" ca="1" si="30"/>
        <v>0</v>
      </c>
      <c r="AA118">
        <f t="shared" ca="1" si="37"/>
        <v>207.48791482653394</v>
      </c>
      <c r="AB118">
        <f t="shared" ca="1" si="31"/>
        <v>0</v>
      </c>
      <c r="AC118">
        <f t="shared" ca="1" si="32"/>
        <v>0.99999532912899036</v>
      </c>
      <c r="AD118" s="83">
        <f ca="1"/>
        <v>45662</v>
      </c>
      <c r="AE118" s="55">
        <f t="shared" ca="1" si="41"/>
        <v>45662</v>
      </c>
      <c r="AF118" s="55">
        <f t="shared" ca="1" si="42"/>
        <v>50.462751007036658</v>
      </c>
      <c r="AG118" s="55">
        <f t="shared" ca="1" si="43"/>
        <v>58.288120904580836</v>
      </c>
      <c r="AH118" s="55">
        <f t="shared" ca="1" si="44"/>
        <v>0</v>
      </c>
      <c r="AI118" s="55">
        <f t="shared" ca="1" si="38"/>
        <v>-1.5936822076724197</v>
      </c>
      <c r="AJ118" s="55">
        <f t="shared" ca="1" si="39"/>
        <v>88.923502938273913</v>
      </c>
      <c r="AK118" s="55">
        <f t="shared" ca="1" si="40"/>
        <v>-9.6326419859587915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96.019895505289767</v>
      </c>
      <c r="U119" s="55">
        <f t="shared" ca="1" si="28"/>
        <v>235.36413898249353</v>
      </c>
      <c r="V119" s="55">
        <f t="shared" ca="1" si="29"/>
        <v>0</v>
      </c>
      <c r="W119" s="55">
        <f t="shared" ca="1" si="34"/>
        <v>-109.05184025486879</v>
      </c>
      <c r="X119" s="55">
        <f t="shared" ca="1" si="35"/>
        <v>76.28283663919494</v>
      </c>
      <c r="Y119" s="55">
        <f t="shared" ca="1" si="36"/>
        <v>36.966113256773433</v>
      </c>
      <c r="Z119">
        <f t="shared" ca="1" si="30"/>
        <v>0</v>
      </c>
      <c r="AA119">
        <f t="shared" ca="1" si="37"/>
        <v>211.87791482653392</v>
      </c>
      <c r="AB119">
        <f t="shared" ca="1" si="31"/>
        <v>0</v>
      </c>
      <c r="AC119">
        <f t="shared" ca="1" si="32"/>
        <v>0.99999647726023</v>
      </c>
      <c r="AD119" s="83">
        <f ca="1"/>
        <v>45663</v>
      </c>
      <c r="AE119" s="55">
        <f t="shared" ca="1" si="41"/>
        <v>45663</v>
      </c>
      <c r="AF119" s="55">
        <f t="shared" ca="1" si="42"/>
        <v>48.886858722540154</v>
      </c>
      <c r="AG119" s="55">
        <f t="shared" ca="1" si="43"/>
        <v>60.626128584341309</v>
      </c>
      <c r="AH119" s="55">
        <f t="shared" ca="1" si="44"/>
        <v>0</v>
      </c>
      <c r="AI119" s="55">
        <f t="shared" ca="1" si="38"/>
        <v>-1.5936822076724197</v>
      </c>
      <c r="AJ119" s="55">
        <f t="shared" ca="1" si="39"/>
        <v>89.613127371097548</v>
      </c>
      <c r="AK119" s="55">
        <f t="shared" ca="1" si="40"/>
        <v>-9.5601510235184577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89.770505497031209</v>
      </c>
      <c r="U120" s="55">
        <f t="shared" ca="1" si="28"/>
        <v>241.81115887058181</v>
      </c>
      <c r="V120" s="55">
        <f t="shared" ca="1" si="29"/>
        <v>0</v>
      </c>
      <c r="W120" s="55">
        <f t="shared" ca="1" si="34"/>
        <v>-109.59566737512617</v>
      </c>
      <c r="X120" s="55">
        <f t="shared" ca="1" si="35"/>
        <v>76.91315222302299</v>
      </c>
      <c r="Y120" s="55">
        <f t="shared" ca="1" si="36"/>
        <v>37.077254673032478</v>
      </c>
      <c r="Z120">
        <f t="shared" ca="1" si="30"/>
        <v>0</v>
      </c>
      <c r="AA120">
        <f t="shared" ca="1" si="37"/>
        <v>212.97791482653392</v>
      </c>
      <c r="AB120">
        <f t="shared" ca="1" si="31"/>
        <v>0</v>
      </c>
      <c r="AC120">
        <f t="shared" ca="1" si="32"/>
        <v>0.99999733809337121</v>
      </c>
      <c r="AD120" s="83">
        <f ca="1"/>
        <v>45664</v>
      </c>
      <c r="AE120" s="55">
        <f t="shared" ca="1" si="41"/>
        <v>45664</v>
      </c>
      <c r="AF120" s="55">
        <f t="shared" ca="1" si="42"/>
        <v>47.296124744894549</v>
      </c>
      <c r="AG120" s="55">
        <f t="shared" ca="1" si="43"/>
        <v>62.934810395041275</v>
      </c>
      <c r="AH120" s="55">
        <f t="shared" ca="1" si="44"/>
        <v>0</v>
      </c>
      <c r="AI120" s="55">
        <f t="shared" ca="1" si="38"/>
        <v>-1.5936822076724197</v>
      </c>
      <c r="AJ120" s="55">
        <f t="shared" ca="1" si="39"/>
        <v>90.263523745481862</v>
      </c>
      <c r="AK120" s="55">
        <f t="shared" ca="1" si="40"/>
        <v>-9.4925995648484118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84.937420123560287</v>
      </c>
      <c r="U121" s="55">
        <f t="shared" ca="1" si="28"/>
        <v>247.35030515217724</v>
      </c>
      <c r="V121" s="55">
        <f t="shared" ca="1" si="29"/>
        <v>0</v>
      </c>
      <c r="W121" s="55">
        <f t="shared" ca="1" si="34"/>
        <v>-109.59566737512617</v>
      </c>
      <c r="X121" s="55">
        <f t="shared" ca="1" si="35"/>
        <v>77.514154726065058</v>
      </c>
      <c r="Y121" s="55">
        <f t="shared" ca="1" si="36"/>
        <v>37.18231307811493</v>
      </c>
      <c r="Z121">
        <f t="shared" ca="1" si="30"/>
        <v>0</v>
      </c>
      <c r="AA121">
        <f t="shared" ca="1" si="37"/>
        <v>212.97791482653392</v>
      </c>
      <c r="AB121">
        <f t="shared" ca="1" si="31"/>
        <v>0</v>
      </c>
      <c r="AC121">
        <f t="shared" ca="1" si="32"/>
        <v>0.99999792745743465</v>
      </c>
      <c r="AD121" s="83">
        <f ca="1"/>
        <v>45665</v>
      </c>
      <c r="AE121" s="55">
        <f t="shared" ca="1" si="41"/>
        <v>45665</v>
      </c>
      <c r="AF121" s="55">
        <f t="shared" ca="1" si="42"/>
        <v>45.603438151228268</v>
      </c>
      <c r="AG121" s="55">
        <f t="shared" ca="1" si="43"/>
        <v>65.355762533701878</v>
      </c>
      <c r="AH121" s="55">
        <f t="shared" ca="1" si="44"/>
        <v>0</v>
      </c>
      <c r="AI121" s="55">
        <f t="shared" ca="1" si="38"/>
        <v>-1.5936822076724197</v>
      </c>
      <c r="AJ121" s="55">
        <f t="shared" ca="1" si="39"/>
        <v>90.924794118213953</v>
      </c>
      <c r="AK121" s="55">
        <f t="shared" ca="1" si="40"/>
        <v>-9.4256043925861803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80.53055795738463</v>
      </c>
      <c r="U122" s="55">
        <f t="shared" ca="1" si="28"/>
        <v>252.44923357016862</v>
      </c>
      <c r="V122" s="55">
        <f t="shared" ca="1" si="29"/>
        <v>0</v>
      </c>
      <c r="W122" s="55">
        <f t="shared" ca="1" si="34"/>
        <v>-109.59566737512617</v>
      </c>
      <c r="X122" s="55">
        <f t="shared" ca="1" si="35"/>
        <v>78.104774857221017</v>
      </c>
      <c r="Y122" s="55">
        <f t="shared" ca="1" si="36"/>
        <v>37.283759198774689</v>
      </c>
      <c r="Z122">
        <f t="shared" ca="1" si="30"/>
        <v>0</v>
      </c>
      <c r="AA122">
        <f t="shared" ca="1" si="37"/>
        <v>212.97791482653392</v>
      </c>
      <c r="AB122">
        <f t="shared" ca="1" si="31"/>
        <v>0</v>
      </c>
      <c r="AC122">
        <f t="shared" ca="1" si="32"/>
        <v>0.99999836876841541</v>
      </c>
      <c r="AD122" s="83">
        <f ca="1"/>
        <v>45666</v>
      </c>
      <c r="AE122" s="55">
        <f t="shared" ca="1" si="41"/>
        <v>45666</v>
      </c>
      <c r="AF122" s="55">
        <f t="shared" ca="1" si="42"/>
        <v>43.854280987264119</v>
      </c>
      <c r="AG122" s="55">
        <f t="shared" ca="1" si="43"/>
        <v>67.770843966815548</v>
      </c>
      <c r="AH122" s="55">
        <f t="shared" ca="1" si="44"/>
        <v>0</v>
      </c>
      <c r="AI122" s="55">
        <f t="shared" ca="1" si="38"/>
        <v>-1.5936822076724197</v>
      </c>
      <c r="AJ122" s="55">
        <f t="shared" ca="1" si="39"/>
        <v>91.532115372480305</v>
      </c>
      <c r="AK122" s="55">
        <f t="shared" ca="1" si="40"/>
        <v>-9.3670013777030015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75.636697533762998</v>
      </c>
      <c r="U123" s="55">
        <f t="shared" ca="1" si="28"/>
        <v>258.07206513612317</v>
      </c>
      <c r="V123" s="55">
        <f t="shared" ca="1" si="29"/>
        <v>0</v>
      </c>
      <c r="W123" s="55">
        <f t="shared" ca="1" si="34"/>
        <v>-109.59566737512617</v>
      </c>
      <c r="X123" s="55">
        <f t="shared" ca="1" si="35"/>
        <v>78.730667782002513</v>
      </c>
      <c r="Y123" s="55">
        <f t="shared" ca="1" si="36"/>
        <v>37.386837416326124</v>
      </c>
      <c r="Z123">
        <f t="shared" ca="1" si="30"/>
        <v>0</v>
      </c>
      <c r="AA123">
        <f t="shared" ca="1" si="37"/>
        <v>212.97791482653392</v>
      </c>
      <c r="AB123">
        <f t="shared" ca="1" si="31"/>
        <v>0</v>
      </c>
      <c r="AC123">
        <f t="shared" ca="1" si="32"/>
        <v>0.9999987618774846</v>
      </c>
      <c r="AD123" s="83">
        <f ca="1"/>
        <v>45667</v>
      </c>
      <c r="AE123" s="55">
        <f t="shared" ca="1" si="41"/>
        <v>45667</v>
      </c>
      <c r="AF123" s="55">
        <f t="shared" ca="1" si="42"/>
        <v>41.974127272415615</v>
      </c>
      <c r="AG123" s="55">
        <f t="shared" ca="1" si="43"/>
        <v>70.319438733120009</v>
      </c>
      <c r="AH123" s="55">
        <f t="shared" ca="1" si="44"/>
        <v>0</v>
      </c>
      <c r="AI123" s="55">
        <f t="shared" ca="1" si="38"/>
        <v>-1.5936822076724197</v>
      </c>
      <c r="AJ123" s="55">
        <f t="shared" ca="1" si="39"/>
        <v>92.144342378796722</v>
      </c>
      <c r="AK123" s="55">
        <f t="shared" ca="1" si="40"/>
        <v>-9.3107873325634642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71.398065890325256</v>
      </c>
      <c r="U124" s="55">
        <f t="shared" ca="1" si="28"/>
        <v>263.01370554933857</v>
      </c>
      <c r="V124" s="55">
        <f t="shared" ca="1" si="29"/>
        <v>0</v>
      </c>
      <c r="W124" s="55">
        <f t="shared" ca="1" si="34"/>
        <v>-109.59566737512617</v>
      </c>
      <c r="X124" s="55">
        <f t="shared" ca="1" si="35"/>
        <v>79.335362512485744</v>
      </c>
      <c r="Y124" s="55">
        <f t="shared" ca="1" si="36"/>
        <v>37.485151455620553</v>
      </c>
      <c r="Z124">
        <f t="shared" ca="1" si="30"/>
        <v>0</v>
      </c>
      <c r="AA124">
        <f t="shared" ca="1" si="37"/>
        <v>212.97791482653392</v>
      </c>
      <c r="AB124">
        <f t="shared" ca="1" si="31"/>
        <v>0</v>
      </c>
      <c r="AC124">
        <f t="shared" ca="1" si="32"/>
        <v>0.99999903968271997</v>
      </c>
      <c r="AD124" s="83">
        <f ca="1"/>
        <v>45668</v>
      </c>
      <c r="AE124" s="55">
        <f t="shared" ca="1" si="41"/>
        <v>45668</v>
      </c>
      <c r="AF124" s="55">
        <f t="shared" ca="1" si="42"/>
        <v>40.00837463784044</v>
      </c>
      <c r="AG124" s="55">
        <f t="shared" ca="1" si="43"/>
        <v>72.925424427911153</v>
      </c>
      <c r="AH124" s="55">
        <f t="shared" ca="1" si="44"/>
        <v>0</v>
      </c>
      <c r="AI124" s="55">
        <f t="shared" ca="1" si="38"/>
        <v>-1.5936822076724197</v>
      </c>
      <c r="AJ124" s="55">
        <f t="shared" ca="1" si="39"/>
        <v>92.733599451839339</v>
      </c>
      <c r="AK124" s="55">
        <f t="shared" ca="1" si="40"/>
        <v>-9.259811345390105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66.779179001327861</v>
      </c>
      <c r="U125" s="55">
        <f t="shared" ca="1" si="28"/>
        <v>267.78140457409847</v>
      </c>
      <c r="V125" s="55">
        <f t="shared" ca="1" si="29"/>
        <v>0</v>
      </c>
      <c r="W125" s="55">
        <f t="shared" ca="1" si="34"/>
        <v>-110.15099916565107</v>
      </c>
      <c r="X125" s="55">
        <f t="shared" ca="1" si="35"/>
        <v>79.943145223194506</v>
      </c>
      <c r="Y125" s="55">
        <f t="shared" ca="1" si="36"/>
        <v>37.581512671199206</v>
      </c>
      <c r="Z125">
        <f t="shared" ca="1" si="30"/>
        <v>0</v>
      </c>
      <c r="AA125">
        <f t="shared" ca="1" si="37"/>
        <v>214.48791485156758</v>
      </c>
      <c r="AB125">
        <f t="shared" ca="1" si="31"/>
        <v>0</v>
      </c>
      <c r="AC125">
        <f t="shared" ca="1" si="32"/>
        <v>0.99999925752297358</v>
      </c>
      <c r="AD125" s="83">
        <f ca="1"/>
        <v>45669</v>
      </c>
      <c r="AE125" s="55">
        <f t="shared" ca="1" si="41"/>
        <v>45669</v>
      </c>
      <c r="AF125" s="55">
        <f t="shared" ca="1" si="42"/>
        <v>37.921116700179411</v>
      </c>
      <c r="AG125" s="55">
        <f t="shared" ca="1" si="43"/>
        <v>75.659629444538794</v>
      </c>
      <c r="AH125" s="55">
        <f t="shared" ca="1" si="44"/>
        <v>0</v>
      </c>
      <c r="AI125" s="55">
        <f t="shared" ca="1" si="38"/>
        <v>-1.5936822076724197</v>
      </c>
      <c r="AJ125" s="55">
        <f t="shared" ca="1" si="39"/>
        <v>93.331300718772638</v>
      </c>
      <c r="AK125" s="55">
        <f t="shared" ca="1" si="40"/>
        <v>-9.2105655333567888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63.774817049745771</v>
      </c>
      <c r="U126" s="55">
        <f t="shared" ca="1" si="28"/>
        <v>271.36734702767552</v>
      </c>
      <c r="V126" s="55">
        <f t="shared" ca="1" si="29"/>
        <v>0</v>
      </c>
      <c r="W126" s="55">
        <f t="shared" ca="1" si="34"/>
        <v>-110.2142194190743</v>
      </c>
      <c r="X126" s="55">
        <f t="shared" ca="1" si="35"/>
        <v>80.499216673443641</v>
      </c>
      <c r="Y126" s="55">
        <f t="shared" ca="1" si="36"/>
        <v>37.67024197636826</v>
      </c>
      <c r="Z126">
        <f t="shared" ca="1" si="30"/>
        <v>0</v>
      </c>
      <c r="AA126">
        <f t="shared" ca="1" si="37"/>
        <v>214.66791485156759</v>
      </c>
      <c r="AB126">
        <f t="shared" ca="1" si="31"/>
        <v>0</v>
      </c>
      <c r="AC126">
        <f t="shared" ca="1" si="32"/>
        <v>0.99999939363272139</v>
      </c>
      <c r="AD126" s="83">
        <f ca="1"/>
        <v>45670</v>
      </c>
      <c r="AE126" s="55">
        <f t="shared" ca="1" si="41"/>
        <v>45670</v>
      </c>
      <c r="AF126" s="55">
        <f t="shared" ca="1" si="42"/>
        <v>35.826541402204143</v>
      </c>
      <c r="AG126" s="55">
        <f t="shared" ca="1" si="43"/>
        <v>78.395400120662103</v>
      </c>
      <c r="AH126" s="55">
        <f t="shared" ca="1" si="44"/>
        <v>0</v>
      </c>
      <c r="AI126" s="55">
        <f t="shared" ca="1" si="38"/>
        <v>-1.5936822076724197</v>
      </c>
      <c r="AJ126" s="55">
        <f t="shared" ca="1" si="39"/>
        <v>93.923169051646965</v>
      </c>
      <c r="AK126" s="55">
        <f t="shared" ca="1" si="40"/>
        <v>-9.1612384880830753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59.902681301687508</v>
      </c>
      <c r="U127" s="55">
        <f t="shared" ca="1" si="28"/>
        <v>275.40838829815164</v>
      </c>
      <c r="V127" s="55">
        <f t="shared" ca="1" si="29"/>
        <v>0</v>
      </c>
      <c r="W127" s="55">
        <f t="shared" ca="1" si="34"/>
        <v>-110.72556259714233</v>
      </c>
      <c r="X127" s="55">
        <f t="shared" ca="1" si="35"/>
        <v>81.089229705203238</v>
      </c>
      <c r="Y127" s="55">
        <f t="shared" ca="1" si="36"/>
        <v>37.760477645094554</v>
      </c>
      <c r="Z127">
        <f t="shared" ca="1" si="30"/>
        <v>0</v>
      </c>
      <c r="AA127">
        <f t="shared" ca="1" si="37"/>
        <v>216.2179148515676</v>
      </c>
      <c r="AB127">
        <f t="shared" ca="1" si="31"/>
        <v>0</v>
      </c>
      <c r="AC127">
        <f t="shared" ca="1" si="32"/>
        <v>0.99999952244395285</v>
      </c>
      <c r="AD127" s="83">
        <f ca="1"/>
        <v>45671</v>
      </c>
      <c r="AE127" s="55">
        <f t="shared" ca="1" si="41"/>
        <v>45671</v>
      </c>
      <c r="AF127" s="55">
        <f t="shared" ca="1" si="42"/>
        <v>33.759765942847473</v>
      </c>
      <c r="AG127" s="55">
        <f t="shared" ca="1" si="43"/>
        <v>81.080542696955007</v>
      </c>
      <c r="AH127" s="55">
        <f t="shared" ca="1" si="44"/>
        <v>0</v>
      </c>
      <c r="AI127" s="55">
        <f t="shared" ca="1" si="38"/>
        <v>-1.5936822076724197</v>
      </c>
      <c r="AJ127" s="55">
        <f t="shared" ca="1" si="39"/>
        <v>94.493638115907714</v>
      </c>
      <c r="AK127" s="55">
        <f t="shared" ca="1" si="40"/>
        <v>-9.11334043540759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53.996393826960968</v>
      </c>
      <c r="U128" s="55">
        <f t="shared" ca="1" si="28"/>
        <v>280.81702125011259</v>
      </c>
      <c r="V128" s="55">
        <f t="shared" ca="1" si="29"/>
        <v>0</v>
      </c>
      <c r="W128" s="55">
        <f t="shared" ca="1" si="34"/>
        <v>-112.01318095080728</v>
      </c>
      <c r="X128" s="55">
        <f t="shared" ca="1" si="35"/>
        <v>81.780880293166291</v>
      </c>
      <c r="Y128" s="55">
        <f t="shared" ca="1" si="36"/>
        <v>37.858790888030875</v>
      </c>
      <c r="Z128">
        <f t="shared" ca="1" si="30"/>
        <v>0</v>
      </c>
      <c r="AA128">
        <f t="shared" ca="1" si="37"/>
        <v>220.54791485156761</v>
      </c>
      <c r="AB128">
        <f t="shared" ca="1" si="31"/>
        <v>0</v>
      </c>
      <c r="AC128">
        <f t="shared" ca="1" si="32"/>
        <v>0.99999966010929919</v>
      </c>
      <c r="AD128" s="83">
        <f ca="1"/>
        <v>45672</v>
      </c>
      <c r="AE128" s="55">
        <f t="shared" ca="1" si="41"/>
        <v>45672</v>
      </c>
      <c r="AF128" s="55">
        <f t="shared" ca="1" si="42"/>
        <v>31.630283876398281</v>
      </c>
      <c r="AG128" s="55">
        <f t="shared" ca="1" si="43"/>
        <v>83.841298922284992</v>
      </c>
      <c r="AH128" s="55">
        <f t="shared" ca="1" si="44"/>
        <v>0</v>
      </c>
      <c r="AI128" s="55">
        <f t="shared" ca="1" si="38"/>
        <v>-1.5936822076724197</v>
      </c>
      <c r="AJ128" s="55">
        <f t="shared" ca="1" si="39"/>
        <v>95.07634226077613</v>
      </c>
      <c r="AK128" s="55">
        <f t="shared" ca="1" si="40"/>
        <v>-9.0647704213952132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48.6622359788946</v>
      </c>
      <c r="U129" s="55">
        <f t="shared" ca="1" si="28"/>
        <v>286.06286029246644</v>
      </c>
      <c r="V129" s="55">
        <f t="shared" ca="1" si="29"/>
        <v>0</v>
      </c>
      <c r="W129" s="55">
        <f t="shared" ca="1" si="34"/>
        <v>-112.90828399290022</v>
      </c>
      <c r="X129" s="55">
        <f t="shared" ca="1" si="35"/>
        <v>82.490139669730766</v>
      </c>
      <c r="Y129" s="55">
        <f t="shared" ca="1" si="36"/>
        <v>37.956315747846816</v>
      </c>
      <c r="Z129">
        <f t="shared" ca="1" si="30"/>
        <v>0</v>
      </c>
      <c r="AA129">
        <f t="shared" ca="1" si="37"/>
        <v>223.88791485156761</v>
      </c>
      <c r="AB129">
        <f t="shared" ca="1" si="31"/>
        <v>0</v>
      </c>
      <c r="AC129">
        <f t="shared" ca="1" si="32"/>
        <v>0.99999976206214614</v>
      </c>
      <c r="AD129" s="83">
        <f ca="1"/>
        <v>45673</v>
      </c>
      <c r="AE129" s="55">
        <f t="shared" ca="1" si="41"/>
        <v>45673</v>
      </c>
      <c r="AF129" s="55">
        <f t="shared" ca="1" si="42"/>
        <v>29.387783406209024</v>
      </c>
      <c r="AG129" s="55">
        <f t="shared" ca="1" si="43"/>
        <v>86.709696069196866</v>
      </c>
      <c r="AH129" s="55">
        <f t="shared" ca="1" si="44"/>
        <v>0</v>
      </c>
      <c r="AI129" s="55">
        <f t="shared" ca="1" si="38"/>
        <v>-1.5936822076724197</v>
      </c>
      <c r="AJ129" s="55">
        <f t="shared" ca="1" si="39"/>
        <v>95.657009222340818</v>
      </c>
      <c r="AK129" s="55">
        <f t="shared" ca="1" si="40"/>
        <v>-9.0195407062372865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44.848465009342355</v>
      </c>
      <c r="U130" s="55">
        <f t="shared" ca="1" si="28"/>
        <v>290.473648921387</v>
      </c>
      <c r="V130" s="55">
        <f t="shared" ca="1" si="29"/>
        <v>0</v>
      </c>
      <c r="W130" s="55">
        <f t="shared" ca="1" si="34"/>
        <v>-113.07870815993573</v>
      </c>
      <c r="X130" s="55">
        <f t="shared" ca="1" si="35"/>
        <v>83.165784554389802</v>
      </c>
      <c r="Y130" s="55">
        <f t="shared" ca="1" si="36"/>
        <v>38.048112689591598</v>
      </c>
      <c r="Z130">
        <f t="shared" ca="1" si="30"/>
        <v>0</v>
      </c>
      <c r="AA130">
        <f t="shared" ca="1" si="37"/>
        <v>224.57791485156761</v>
      </c>
      <c r="AB130">
        <f t="shared" ca="1" si="31"/>
        <v>0</v>
      </c>
      <c r="AC130">
        <f t="shared" ca="1" si="32"/>
        <v>0.98628674405542005</v>
      </c>
      <c r="AD130" s="83">
        <f ca="1"/>
        <v>45674</v>
      </c>
      <c r="AE130" s="55">
        <f t="shared" ca="1" si="41"/>
        <v>45674</v>
      </c>
      <c r="AF130" s="55">
        <f t="shared" ca="1" si="42"/>
        <v>27.071907138603027</v>
      </c>
      <c r="AG130" s="55">
        <f t="shared" ca="1" si="43"/>
        <v>89.660360279078148</v>
      </c>
      <c r="AH130" s="55">
        <f t="shared" ca="1" si="44"/>
        <v>0</v>
      </c>
      <c r="AI130" s="55">
        <f t="shared" ca="1" si="38"/>
        <v>-1.5936822076724197</v>
      </c>
      <c r="AJ130" s="55">
        <f t="shared" ca="1" si="39"/>
        <v>96.246857973383797</v>
      </c>
      <c r="AK130" s="55">
        <f t="shared" ca="1" si="40"/>
        <v>-8.9746015150049843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40.381571666053205</v>
      </c>
      <c r="U131" s="55">
        <f t="shared" ca="1" si="28"/>
        <v>294.61064275120992</v>
      </c>
      <c r="V131" s="55">
        <f t="shared" ca="1" si="29"/>
        <v>0</v>
      </c>
      <c r="W131" s="55">
        <f t="shared" ca="1" si="34"/>
        <v>-114.17954491796249</v>
      </c>
      <c r="X131" s="55">
        <f t="shared" ca="1" si="35"/>
        <v>83.846738219569545</v>
      </c>
      <c r="Y131" s="55">
        <f t="shared" ca="1" si="36"/>
        <v>38.138096268972383</v>
      </c>
      <c r="Z131">
        <f t="shared" ca="1" si="30"/>
        <v>0</v>
      </c>
      <c r="AA131">
        <f t="shared" ca="1" si="37"/>
        <v>229.52791485156763</v>
      </c>
      <c r="AB131">
        <f t="shared" ca="1" si="31"/>
        <v>0</v>
      </c>
      <c r="AC131">
        <f t="shared" ca="1" si="32"/>
        <v>0.95176360664237436</v>
      </c>
      <c r="AD131" s="83">
        <f ca="1"/>
        <v>45675</v>
      </c>
      <c r="AE131" s="55">
        <f t="shared" ca="1" si="41"/>
        <v>45675</v>
      </c>
      <c r="AF131" s="55">
        <f t="shared" ca="1" si="42"/>
        <v>24.786339293978816</v>
      </c>
      <c r="AG131" s="55">
        <f t="shared" ca="1" si="43"/>
        <v>92.589198530930688</v>
      </c>
      <c r="AH131" s="55">
        <f t="shared" ca="1" si="44"/>
        <v>0</v>
      </c>
      <c r="AI131" s="55">
        <f t="shared" ca="1" si="38"/>
        <v>-1.5936822076724197</v>
      </c>
      <c r="AJ131" s="55">
        <f t="shared" ca="1" si="39"/>
        <v>96.842649030163827</v>
      </c>
      <c r="AK131" s="55">
        <f t="shared" ca="1" si="40"/>
        <v>-8.9271221645566889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37.266476203792102</v>
      </c>
      <c r="U132" s="55">
        <f t="shared" ca="1" si="28"/>
        <v>298.12846117815025</v>
      </c>
      <c r="V132" s="55">
        <f t="shared" ca="1" si="29"/>
        <v>0</v>
      </c>
      <c r="W132" s="55">
        <f t="shared" ca="1" si="34"/>
        <v>-114.51613141028427</v>
      </c>
      <c r="X132" s="55">
        <f t="shared" ca="1" si="35"/>
        <v>84.500763134850033</v>
      </c>
      <c r="Y132" s="55">
        <f t="shared" ca="1" si="36"/>
        <v>38.223380810692902</v>
      </c>
      <c r="Z132">
        <f t="shared" ca="1" si="30"/>
        <v>0</v>
      </c>
      <c r="AA132">
        <f t="shared" ca="1" si="37"/>
        <v>231.16791485156762</v>
      </c>
      <c r="AB132">
        <f t="shared" ca="1" si="31"/>
        <v>0</v>
      </c>
      <c r="AC132">
        <f t="shared" ca="1" si="32"/>
        <v>0.91997299554966638</v>
      </c>
      <c r="AD132" s="83">
        <f ca="1"/>
        <v>45676</v>
      </c>
      <c r="AE132" s="55">
        <f t="shared" ca="1" si="41"/>
        <v>45676</v>
      </c>
      <c r="AF132" s="55">
        <f t="shared" ca="1" si="42"/>
        <v>22.418345952137063</v>
      </c>
      <c r="AG132" s="55">
        <f t="shared" ca="1" si="43"/>
        <v>95.626209506322112</v>
      </c>
      <c r="AH132" s="55">
        <f t="shared" ca="1" si="44"/>
        <v>0</v>
      </c>
      <c r="AI132" s="55">
        <f t="shared" ca="1" si="38"/>
        <v>-1.5936822076724197</v>
      </c>
      <c r="AJ132" s="55">
        <f t="shared" ca="1" si="39"/>
        <v>97.462713650392701</v>
      </c>
      <c r="AK132" s="55">
        <f t="shared" ca="1" si="40"/>
        <v>-8.8781691512358947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34.040611435800891</v>
      </c>
      <c r="U133" s="55">
        <f t="shared" ca="1" si="28"/>
        <v>301.45255566248289</v>
      </c>
      <c r="V133" s="55">
        <f t="shared" ca="1" si="29"/>
        <v>0</v>
      </c>
      <c r="W133" s="55">
        <f t="shared" ca="1" si="34"/>
        <v>-115.1629030275645</v>
      </c>
      <c r="X133" s="55">
        <f t="shared" ca="1" si="35"/>
        <v>85.161944932449856</v>
      </c>
      <c r="Y133" s="55">
        <f t="shared" ca="1" si="36"/>
        <v>38.30720034671473</v>
      </c>
      <c r="Z133">
        <f t="shared" ca="1" si="30"/>
        <v>0</v>
      </c>
      <c r="AA133">
        <f t="shared" ca="1" si="37"/>
        <v>234.6179148515676</v>
      </c>
      <c r="AB133">
        <f t="shared" ca="1" si="31"/>
        <v>0</v>
      </c>
      <c r="AC133">
        <f t="shared" ca="1" si="32"/>
        <v>0.88744926763930676</v>
      </c>
      <c r="AD133" s="83">
        <f ca="1"/>
        <v>45677</v>
      </c>
      <c r="AE133" s="55">
        <f t="shared" ca="1" si="41"/>
        <v>45677</v>
      </c>
      <c r="AF133" s="55">
        <f t="shared" ca="1" si="42"/>
        <v>20.076887343342008</v>
      </c>
      <c r="AG133" s="55">
        <f t="shared" ca="1" si="43"/>
        <v>98.632461667705385</v>
      </c>
      <c r="AH133" s="55">
        <f t="shared" ca="1" si="44"/>
        <v>0</v>
      </c>
      <c r="AI133" s="55">
        <f t="shared" ca="1" si="38"/>
        <v>-1.5936822076724197</v>
      </c>
      <c r="AJ133" s="55">
        <f t="shared" ca="1" si="39"/>
        <v>98.078267446044833</v>
      </c>
      <c r="AK133" s="55">
        <f t="shared" ca="1" si="40"/>
        <v>-8.8289293942998164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31.473425173892874</v>
      </c>
      <c r="U134" s="55">
        <f t="shared" ca="1" si="28"/>
        <v>304.57982921514298</v>
      </c>
      <c r="V134" s="55">
        <f t="shared" ca="1" si="29"/>
        <v>0</v>
      </c>
      <c r="W134" s="55">
        <f t="shared" ca="1" si="34"/>
        <v>-115.35356812499475</v>
      </c>
      <c r="X134" s="55">
        <f t="shared" ca="1" si="35"/>
        <v>85.830333355665502</v>
      </c>
      <c r="Y134" s="55">
        <f t="shared" ca="1" si="36"/>
        <v>38.389564311681404</v>
      </c>
      <c r="Z134">
        <f t="shared" ca="1" si="30"/>
        <v>0</v>
      </c>
      <c r="AA134">
        <f t="shared" ca="1" si="37"/>
        <v>235.71791485156763</v>
      </c>
      <c r="AB134">
        <f t="shared" ca="1" si="31"/>
        <v>0</v>
      </c>
      <c r="AC134">
        <f t="shared" ca="1" si="32"/>
        <v>0.8541924229112956</v>
      </c>
      <c r="AD134" s="83">
        <f ca="1"/>
        <v>45678</v>
      </c>
      <c r="AE134" s="55">
        <f t="shared" ca="1" si="41"/>
        <v>45678</v>
      </c>
      <c r="AF134" s="55">
        <f t="shared" ca="1" si="42"/>
        <v>17.769749171597137</v>
      </c>
      <c r="AG134" s="55">
        <f t="shared" ca="1" si="43"/>
        <v>101.58076949022558</v>
      </c>
      <c r="AH134" s="55">
        <f t="shared" ca="1" si="44"/>
        <v>0</v>
      </c>
      <c r="AI134" s="55">
        <f t="shared" ca="1" si="38"/>
        <v>-1.5936822076724197</v>
      </c>
      <c r="AJ134" s="55">
        <f t="shared" ca="1" si="39"/>
        <v>98.672372285418888</v>
      </c>
      <c r="AK134" s="55">
        <f t="shared" ca="1" si="40"/>
        <v>-8.7818645828985495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29.205319527650964</v>
      </c>
      <c r="U135" s="55">
        <f t="shared" ca="1" si="28"/>
        <v>307.15579615022006</v>
      </c>
      <c r="V135" s="55">
        <f t="shared" ca="1" si="29"/>
        <v>0</v>
      </c>
      <c r="W135" s="55">
        <f t="shared" ca="1" si="34"/>
        <v>-115.75727875927697</v>
      </c>
      <c r="X135" s="55">
        <f t="shared" ca="1" si="35"/>
        <v>86.464455687287398</v>
      </c>
      <c r="Y135" s="55">
        <f t="shared" ca="1" si="36"/>
        <v>38.467013903176898</v>
      </c>
      <c r="Z135">
        <f t="shared" ca="1" si="30"/>
        <v>0</v>
      </c>
      <c r="AA135">
        <f t="shared" ca="1" si="37"/>
        <v>238.22791485156762</v>
      </c>
      <c r="AB135">
        <f t="shared" ca="1" si="31"/>
        <v>0</v>
      </c>
      <c r="AC135">
        <f t="shared" ca="1" si="32"/>
        <v>0.82446786830469654</v>
      </c>
      <c r="AD135" s="83">
        <f ca="1"/>
        <v>45679</v>
      </c>
      <c r="AE135" s="55">
        <f t="shared" ca="1" si="41"/>
        <v>45679</v>
      </c>
      <c r="AF135" s="55">
        <f t="shared" ca="1" si="42"/>
        <v>15.491261575920202</v>
      </c>
      <c r="AG135" s="55">
        <f t="shared" ca="1" si="43"/>
        <v>104.48596269062328</v>
      </c>
      <c r="AH135" s="55">
        <f t="shared" ca="1" si="44"/>
        <v>0</v>
      </c>
      <c r="AI135" s="55">
        <f t="shared" ca="1" si="38"/>
        <v>-1.5936822076724197</v>
      </c>
      <c r="AJ135" s="55">
        <f t="shared" ca="1" si="39"/>
        <v>99.2532707535604</v>
      </c>
      <c r="AK135" s="55">
        <f t="shared" ca="1" si="40"/>
        <v>-8.7360574463192933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27.681353775533857</v>
      </c>
      <c r="U136" s="55">
        <f t="shared" ca="1" si="28"/>
        <v>309.00390679655288</v>
      </c>
      <c r="V136" s="55">
        <f t="shared" ca="1" si="29"/>
        <v>0</v>
      </c>
      <c r="W136" s="55">
        <f t="shared" ca="1" si="34"/>
        <v>-116.07437067267091</v>
      </c>
      <c r="X136" s="55">
        <f t="shared" ca="1" si="35"/>
        <v>87.035253698924677</v>
      </c>
      <c r="Y136" s="55">
        <f t="shared" ca="1" si="36"/>
        <v>38.537452699149277</v>
      </c>
      <c r="Z136">
        <f t="shared" ca="1" si="30"/>
        <v>0</v>
      </c>
      <c r="AA136">
        <f t="shared" ca="1" si="37"/>
        <v>240.3079148515676</v>
      </c>
      <c r="AB136">
        <f t="shared" ca="1" si="31"/>
        <v>0</v>
      </c>
      <c r="AC136">
        <f t="shared" ca="1" si="32"/>
        <v>0.80160795299065268</v>
      </c>
      <c r="AD136" s="83">
        <f ca="1"/>
        <v>45680</v>
      </c>
      <c r="AE136" s="55">
        <f t="shared" ca="1" si="41"/>
        <v>45680</v>
      </c>
      <c r="AF136" s="55">
        <f t="shared" ca="1" si="42"/>
        <v>13.225080499958818</v>
      </c>
      <c r="AG136" s="55">
        <f t="shared" ca="1" si="43"/>
        <v>107.42410653036765</v>
      </c>
      <c r="AH136" s="55">
        <f t="shared" ca="1" si="44"/>
        <v>0</v>
      </c>
      <c r="AI136" s="55">
        <f t="shared" ca="1" si="38"/>
        <v>-1.5936822076724197</v>
      </c>
      <c r="AJ136" s="55">
        <f t="shared" ca="1" si="39"/>
        <v>99.873893019110668</v>
      </c>
      <c r="AK136" s="55">
        <f t="shared" ca="1" si="40"/>
        <v>-8.6847169480865745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26.823677305646509</v>
      </c>
      <c r="U137" s="55">
        <f t="shared" ca="1" si="28"/>
        <v>310.45086256633022</v>
      </c>
      <c r="V137" s="55">
        <f t="shared" ca="1" si="29"/>
        <v>0</v>
      </c>
      <c r="W137" s="55">
        <f t="shared" ca="1" si="34"/>
        <v>-116.0876658866398</v>
      </c>
      <c r="X137" s="55">
        <f t="shared" ca="1" si="35"/>
        <v>87.571695928535405</v>
      </c>
      <c r="Y137" s="55">
        <f t="shared" ca="1" si="36"/>
        <v>38.603584983397418</v>
      </c>
      <c r="Z137">
        <f t="shared" ca="1" si="30"/>
        <v>0</v>
      </c>
      <c r="AA137">
        <f t="shared" ca="1" si="37"/>
        <v>240.39791485156758</v>
      </c>
      <c r="AB137">
        <f t="shared" ca="1" si="31"/>
        <v>0</v>
      </c>
      <c r="AC137">
        <f t="shared" ca="1" si="32"/>
        <v>0.78268020969855834</v>
      </c>
      <c r="AD137" s="83">
        <f ca="1"/>
        <v>45681</v>
      </c>
      <c r="AE137" s="55">
        <f t="shared" ca="1" si="41"/>
        <v>45681</v>
      </c>
      <c r="AF137" s="55">
        <f t="shared" ca="1" si="42"/>
        <v>10.911439958280527</v>
      </c>
      <c r="AG137" s="55">
        <f t="shared" ca="1" si="43"/>
        <v>110.40125333430468</v>
      </c>
      <c r="AH137" s="55">
        <f t="shared" ca="1" si="44"/>
        <v>0</v>
      </c>
      <c r="AI137" s="55">
        <f t="shared" ca="1" si="38"/>
        <v>-1.5936822076724197</v>
      </c>
      <c r="AJ137" s="55">
        <f t="shared" ca="1" si="39"/>
        <v>100.4885223889699</v>
      </c>
      <c r="AK137" s="55">
        <f t="shared" ca="1" si="40"/>
        <v>-8.6358400556870691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25.190341186146853</v>
      </c>
      <c r="U138" s="55">
        <f t="shared" ca="1" si="28"/>
        <v>312.26986496143195</v>
      </c>
      <c r="V138" s="55">
        <f t="shared" ca="1" si="29"/>
        <v>0</v>
      </c>
      <c r="W138" s="55">
        <f t="shared" ca="1" si="34"/>
        <v>-116.56350778087203</v>
      </c>
      <c r="X138" s="55">
        <f t="shared" ca="1" si="35"/>
        <v>88.16413977457205</v>
      </c>
      <c r="Y138" s="55">
        <f t="shared" ca="1" si="36"/>
        <v>38.67264930719508</v>
      </c>
      <c r="Z138">
        <f t="shared" ca="1" si="30"/>
        <v>0</v>
      </c>
      <c r="AA138">
        <f t="shared" ca="1" si="37"/>
        <v>243.82791485156758</v>
      </c>
      <c r="AB138">
        <f t="shared" ca="1" si="31"/>
        <v>0</v>
      </c>
      <c r="AC138">
        <f t="shared" ca="1" si="32"/>
        <v>0.75742100298129122</v>
      </c>
      <c r="AD138" s="83">
        <f ca="1"/>
        <v>45682</v>
      </c>
      <c r="AE138" s="55">
        <f t="shared" ca="1" si="41"/>
        <v>45682</v>
      </c>
      <c r="AF138" s="55">
        <f t="shared" ca="1" si="42"/>
        <v>8.5535859337701687</v>
      </c>
      <c r="AG138" s="55">
        <f t="shared" ca="1" si="43"/>
        <v>113.40134321871768</v>
      </c>
      <c r="AH138" s="55">
        <f t="shared" ca="1" si="44"/>
        <v>0</v>
      </c>
      <c r="AI138" s="55">
        <f t="shared" ca="1" si="38"/>
        <v>-1.5936822076724197</v>
      </c>
      <c r="AJ138" s="55">
        <f t="shared" ca="1" si="39"/>
        <v>101.08597379920644</v>
      </c>
      <c r="AK138" s="55">
        <f t="shared" ca="1" si="40"/>
        <v>-8.5910556060209728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23.517752391608141</v>
      </c>
      <c r="U139" s="55">
        <f t="shared" ca="1" si="28"/>
        <v>314.14389574115876</v>
      </c>
      <c r="V139" s="55">
        <f t="shared" ca="1" si="29"/>
        <v>0</v>
      </c>
      <c r="W139" s="55">
        <f t="shared" ca="1" si="34"/>
        <v>-117.04920049330741</v>
      </c>
      <c r="X139" s="55">
        <f t="shared" ca="1" si="35"/>
        <v>88.781872096339711</v>
      </c>
      <c r="Y139" s="55">
        <f t="shared" ca="1" si="36"/>
        <v>38.742051683050903</v>
      </c>
      <c r="Z139">
        <f t="shared" ca="1" si="30"/>
        <v>0</v>
      </c>
      <c r="AA139">
        <f t="shared" ca="1" si="37"/>
        <v>247.57791485156758</v>
      </c>
      <c r="AB139">
        <f t="shared" ca="1" si="31"/>
        <v>0</v>
      </c>
      <c r="AC139">
        <f t="shared" ca="1" si="32"/>
        <v>0.72942926994368662</v>
      </c>
      <c r="AD139" s="83">
        <f ca="1"/>
        <v>45683</v>
      </c>
      <c r="AE139" s="55">
        <f t="shared" ca="1" si="41"/>
        <v>45683</v>
      </c>
      <c r="AF139" s="55">
        <f t="shared" ca="1" si="42"/>
        <v>6.064328530734139</v>
      </c>
      <c r="AG139" s="55">
        <f t="shared" ca="1" si="43"/>
        <v>116.57734565644915</v>
      </c>
      <c r="AH139" s="55">
        <f t="shared" ca="1" si="44"/>
        <v>0</v>
      </c>
      <c r="AI139" s="55">
        <f t="shared" ca="1" si="38"/>
        <v>-1.5936822076724197</v>
      </c>
      <c r="AJ139" s="55">
        <f t="shared" ca="1" si="39"/>
        <v>101.72623438558109</v>
      </c>
      <c r="AK139" s="55">
        <f t="shared" ca="1" si="40"/>
        <v>-8.5445711577001902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22.136791980822345</v>
      </c>
      <c r="U140" s="55">
        <f t="shared" ca="1" si="28"/>
        <v>315.99662441356935</v>
      </c>
      <c r="V140" s="55">
        <f t="shared" ca="1" si="29"/>
        <v>0</v>
      </c>
      <c r="W140" s="55">
        <f t="shared" ca="1" si="34"/>
        <v>-117.28327300677419</v>
      </c>
      <c r="X140" s="55">
        <f t="shared" ca="1" si="35"/>
        <v>89.418540420598973</v>
      </c>
      <c r="Y140" s="55">
        <f t="shared" ca="1" si="36"/>
        <v>38.811224133883222</v>
      </c>
      <c r="Z140">
        <f t="shared" ca="1" si="30"/>
        <v>0</v>
      </c>
      <c r="AA140">
        <f t="shared" ca="1" si="37"/>
        <v>249.4979148515676</v>
      </c>
      <c r="AB140">
        <f t="shared" ca="1" si="31"/>
        <v>0</v>
      </c>
      <c r="AC140">
        <f t="shared" ca="1" si="32"/>
        <v>0.69943812740339606</v>
      </c>
      <c r="AD140" s="83">
        <f ca="1"/>
        <v>45684</v>
      </c>
      <c r="AE140" s="55">
        <f t="shared" ca="1" si="41"/>
        <v>45684</v>
      </c>
      <c r="AF140" s="55">
        <f t="shared" ca="1" si="42"/>
        <v>3.6565389686927796</v>
      </c>
      <c r="AG140" s="55">
        <f t="shared" ca="1" si="43"/>
        <v>119.67566876596727</v>
      </c>
      <c r="AH140" s="55">
        <f t="shared" ca="1" si="44"/>
        <v>0</v>
      </c>
      <c r="AI140" s="55">
        <f t="shared" ca="1" si="38"/>
        <v>-1.5936822076724197</v>
      </c>
      <c r="AJ140" s="55">
        <f t="shared" ca="1" si="39"/>
        <v>102.36860077597198</v>
      </c>
      <c r="AK140" s="55">
        <f t="shared" ca="1" si="40"/>
        <v>-8.4964040006143193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20.430432342182371</v>
      </c>
      <c r="U141" s="55">
        <f t="shared" ca="1" si="28"/>
        <v>317.80088661278478</v>
      </c>
      <c r="V141" s="55">
        <f t="shared" ca="1" si="29"/>
        <v>0</v>
      </c>
      <c r="W141" s="55">
        <f t="shared" ca="1" si="34"/>
        <v>-117.90885876695627</v>
      </c>
      <c r="X141" s="55">
        <f t="shared" ca="1" si="35"/>
        <v>90.073213908493713</v>
      </c>
      <c r="Y141" s="55">
        <f t="shared" ca="1" si="36"/>
        <v>38.880038966746014</v>
      </c>
      <c r="Z141">
        <f t="shared" ca="1" si="30"/>
        <v>0</v>
      </c>
      <c r="AA141">
        <f t="shared" ca="1" si="37"/>
        <v>255.0579148515676</v>
      </c>
      <c r="AB141">
        <f t="shared" ca="1" si="31"/>
        <v>0</v>
      </c>
      <c r="AC141">
        <f t="shared" ca="1" si="32"/>
        <v>0.66758086932726524</v>
      </c>
      <c r="AD141" s="83">
        <f ca="1"/>
        <v>45685</v>
      </c>
      <c r="AE141" s="55">
        <f t="shared" ca="1" si="41"/>
        <v>45685</v>
      </c>
      <c r="AF141" s="55">
        <f t="shared" ca="1" si="42"/>
        <v>1.2720187975761998</v>
      </c>
      <c r="AG141" s="55">
        <f t="shared" ca="1" si="43"/>
        <v>122.7171446806494</v>
      </c>
      <c r="AH141" s="55">
        <f t="shared" ca="1" si="44"/>
        <v>0</v>
      </c>
      <c r="AI141" s="55">
        <f t="shared" ca="1" si="38"/>
        <v>-1.5936822076724197</v>
      </c>
      <c r="AJ141" s="55">
        <f t="shared" ca="1" si="39"/>
        <v>102.98167465998617</v>
      </c>
      <c r="AK141" s="55">
        <f t="shared" ca="1" si="40"/>
        <v>-8.4525221410629641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19.375521917007994</v>
      </c>
      <c r="U142" s="55">
        <f t="shared" ca="1" si="28"/>
        <v>319.33655238027768</v>
      </c>
      <c r="V142" s="55">
        <f t="shared" ca="1" si="29"/>
        <v>0</v>
      </c>
      <c r="W142" s="55">
        <f t="shared" ca="1" si="34"/>
        <v>-118.12653854362388</v>
      </c>
      <c r="X142" s="55">
        <f t="shared" ca="1" si="35"/>
        <v>90.706065692618566</v>
      </c>
      <c r="Y142" s="55">
        <f t="shared" ca="1" si="36"/>
        <v>38.945622301607294</v>
      </c>
      <c r="Z142">
        <f t="shared" ca="1" si="30"/>
        <v>0</v>
      </c>
      <c r="AA142">
        <f t="shared" ca="1" si="37"/>
        <v>257.09791485156762</v>
      </c>
      <c r="AB142">
        <f t="shared" ca="1" si="31"/>
        <v>0</v>
      </c>
      <c r="AC142">
        <f t="shared" ca="1" si="32"/>
        <v>0.63798960868751187</v>
      </c>
      <c r="AD142" s="83">
        <f ca="1"/>
        <v>45686</v>
      </c>
      <c r="AE142" s="55">
        <f t="shared" ca="1" si="41"/>
        <v>45686</v>
      </c>
      <c r="AF142" s="55">
        <f t="shared" ca="1" si="42"/>
        <v>-1.1983901233986556</v>
      </c>
      <c r="AG142" s="55">
        <f t="shared" ca="1" si="43"/>
        <v>125.8493878528041</v>
      </c>
      <c r="AH142" s="55">
        <f t="shared" ca="1" si="44"/>
        <v>0</v>
      </c>
      <c r="AI142" s="55">
        <f t="shared" ca="1" si="38"/>
        <v>-1.5936822076724197</v>
      </c>
      <c r="AJ142" s="55">
        <f t="shared" ca="1" si="39"/>
        <v>103.60216061531852</v>
      </c>
      <c r="AK142" s="55">
        <f t="shared" ca="1" si="40"/>
        <v>-8.4111738452154725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18.570086531951791</v>
      </c>
      <c r="U143" s="55">
        <f t="shared" ca="1" si="28"/>
        <v>320.82596650991661</v>
      </c>
      <c r="V143" s="55">
        <f t="shared" ca="1" si="29"/>
        <v>0</v>
      </c>
      <c r="W143" s="55">
        <f t="shared" ca="1" si="34"/>
        <v>-118.15721955615493</v>
      </c>
      <c r="X143" s="55">
        <f t="shared" ca="1" si="35"/>
        <v>91.355562084788659</v>
      </c>
      <c r="Y143" s="55">
        <f t="shared" ca="1" si="36"/>
        <v>39.01078566655098</v>
      </c>
      <c r="Z143">
        <f t="shared" ca="1" si="30"/>
        <v>0</v>
      </c>
      <c r="AA143">
        <f t="shared" ca="1" si="37"/>
        <v>257.39791485156763</v>
      </c>
      <c r="AB143">
        <f t="shared" ca="1" si="31"/>
        <v>0</v>
      </c>
      <c r="AC143">
        <f t="shared" ca="1" si="32"/>
        <v>0.60666552647876393</v>
      </c>
      <c r="AD143" s="83">
        <f ca="1"/>
        <v>45687</v>
      </c>
      <c r="AE143" s="55">
        <f t="shared" ca="1" si="41"/>
        <v>45687</v>
      </c>
      <c r="AF143" s="55">
        <f t="shared" ca="1" si="42"/>
        <v>-3.6660822472457864</v>
      </c>
      <c r="AG143" s="55">
        <f t="shared" ca="1" si="43"/>
        <v>128.97520042769304</v>
      </c>
      <c r="AH143" s="55">
        <f t="shared" ca="1" si="44"/>
        <v>0</v>
      </c>
      <c r="AI143" s="55">
        <f t="shared" ca="1" si="38"/>
        <v>-1.5936822076724197</v>
      </c>
      <c r="AJ143" s="55">
        <f t="shared" ca="1" si="39"/>
        <v>104.22041719663355</v>
      </c>
      <c r="AK143" s="55">
        <f t="shared" ca="1" si="40"/>
        <v>-8.3713099754886855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17.43751518861691</v>
      </c>
      <c r="U144" s="55">
        <f t="shared" ca="1" si="28"/>
        <v>322.16386174083942</v>
      </c>
      <c r="V144" s="55">
        <f t="shared" ca="1" si="29"/>
        <v>0</v>
      </c>
      <c r="W144" s="55">
        <f t="shared" ca="1" si="34"/>
        <v>-118.65947053710939</v>
      </c>
      <c r="X144" s="55">
        <f t="shared" ca="1" si="35"/>
        <v>91.999907610257537</v>
      </c>
      <c r="Y144" s="55">
        <f t="shared" ca="1" si="36"/>
        <v>39.074015009624482</v>
      </c>
      <c r="Z144">
        <f t="shared" ca="1" si="30"/>
        <v>0</v>
      </c>
      <c r="AA144">
        <f t="shared" ca="1" si="37"/>
        <v>262.62791485156765</v>
      </c>
      <c r="AB144">
        <f t="shared" ca="1" si="31"/>
        <v>0</v>
      </c>
      <c r="AC144">
        <f t="shared" ca="1" si="32"/>
        <v>0.57587462013739876</v>
      </c>
      <c r="AD144" s="83">
        <f ca="1"/>
        <v>45688</v>
      </c>
      <c r="AE144" s="55">
        <f t="shared" ca="1" si="41"/>
        <v>45688</v>
      </c>
      <c r="AF144" s="55">
        <f t="shared" ca="1" si="42"/>
        <v>-6.0872782868019835</v>
      </c>
      <c r="AG144" s="55">
        <f t="shared" ca="1" si="43"/>
        <v>132.01328089011312</v>
      </c>
      <c r="AH144" s="55">
        <f t="shared" ca="1" si="44"/>
        <v>0</v>
      </c>
      <c r="AI144" s="55">
        <f t="shared" ca="1" si="38"/>
        <v>-1.5936822076724197</v>
      </c>
      <c r="AJ144" s="55">
        <f t="shared" ca="1" si="39"/>
        <v>104.80260004317873</v>
      </c>
      <c r="AK144" s="55">
        <f t="shared" ca="1" si="40"/>
        <v>-8.3366083991699753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16.891854395817536</v>
      </c>
      <c r="U145" s="55">
        <f t="shared" ca="1" si="28"/>
        <v>323.18517031542831</v>
      </c>
      <c r="V145" s="55">
        <f t="shared" ca="1" si="29"/>
        <v>0</v>
      </c>
      <c r="W145" s="55">
        <f t="shared" ca="1" si="34"/>
        <v>-118.83715326059466</v>
      </c>
      <c r="X145" s="55">
        <f t="shared" ca="1" si="35"/>
        <v>92.594788718044995</v>
      </c>
      <c r="Y145" s="55">
        <f t="shared" ca="1" si="36"/>
        <v>39.132464407111819</v>
      </c>
      <c r="Z145">
        <f t="shared" ca="1" si="30"/>
        <v>0</v>
      </c>
      <c r="AA145">
        <f t="shared" ca="1" si="37"/>
        <v>264.53791485156762</v>
      </c>
      <c r="AB145">
        <f t="shared" ca="1" si="31"/>
        <v>0</v>
      </c>
      <c r="AC145">
        <f t="shared" ca="1" si="32"/>
        <v>0.55034882548644037</v>
      </c>
      <c r="AD145" s="83">
        <f ca="1"/>
        <v>45689</v>
      </c>
      <c r="AE145" s="55">
        <f t="shared" ca="1" si="41"/>
        <v>45689</v>
      </c>
      <c r="AF145" s="55">
        <f t="shared" ca="1" si="42"/>
        <v>-8.436156311823888</v>
      </c>
      <c r="AG145" s="55">
        <f t="shared" ca="1" si="43"/>
        <v>135.01679780234389</v>
      </c>
      <c r="AH145" s="55">
        <f t="shared" ca="1" si="44"/>
        <v>0</v>
      </c>
      <c r="AI145" s="55">
        <f t="shared" ca="1" si="38"/>
        <v>-1.5936822076724197</v>
      </c>
      <c r="AJ145" s="55">
        <f t="shared" ca="1" si="39"/>
        <v>105.41704556191503</v>
      </c>
      <c r="AK145" s="55">
        <f t="shared" ca="1" si="40"/>
        <v>-8.2964150306974247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16.434267228603449</v>
      </c>
      <c r="U146" s="55">
        <f t="shared" ref="U146:U209" ca="1" si="46">VLOOKUP(S146,ModelOutputs,7,FALSE)</f>
        <v>324.28627319073075</v>
      </c>
      <c r="V146" s="55">
        <f t="shared" ref="V146:V209" ca="1" si="47">VLOOKUP(S146,ModelOutputs,6,FALSE)</f>
        <v>0</v>
      </c>
      <c r="W146" s="55">
        <f t="shared" ca="1" si="34"/>
        <v>-118.88874256902533</v>
      </c>
      <c r="X146" s="55">
        <f t="shared" ca="1" si="35"/>
        <v>93.23018322951576</v>
      </c>
      <c r="Y146" s="55">
        <f t="shared" ca="1" si="36"/>
        <v>39.192174912160077</v>
      </c>
      <c r="Z146">
        <f t="shared" ref="Z146:Z209" ca="1" si="48">VLOOKUP(S146,ModelOutputs,10,FALSE)*AWC</f>
        <v>0</v>
      </c>
      <c r="AA146">
        <f t="shared" ca="1" si="37"/>
        <v>265.10791485156761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0.5204909769129954</v>
      </c>
      <c r="AD146" s="83">
        <f ca="1"/>
        <v>45690</v>
      </c>
      <c r="AE146" s="55">
        <f t="shared" ca="1" si="41"/>
        <v>45690</v>
      </c>
      <c r="AF146" s="55">
        <f t="shared" ca="1" si="42"/>
        <v>-10.691858163209636</v>
      </c>
      <c r="AG146" s="55">
        <f t="shared" ca="1" si="43"/>
        <v>137.9563466314697</v>
      </c>
      <c r="AH146" s="55">
        <f t="shared" ca="1" si="44"/>
        <v>0</v>
      </c>
      <c r="AI146" s="55">
        <f t="shared" ca="1" si="38"/>
        <v>-1.5936822076724197</v>
      </c>
      <c r="AJ146" s="55">
        <f t="shared" ca="1" si="39"/>
        <v>106.05639778210309</v>
      </c>
      <c r="AK146" s="55">
        <f t="shared" ca="1" si="40"/>
        <v>-8.2519202731454229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15.958608164172588</v>
      </c>
      <c r="U147" s="55">
        <f t="shared" ca="1" si="46"/>
        <v>325.24659989260454</v>
      </c>
      <c r="V147" s="55">
        <f t="shared" ca="1" si="47"/>
        <v>0</v>
      </c>
      <c r="W147" s="55">
        <f t="shared" ref="W147:W210" ca="1" si="52">-VLOOKUP(S147,ModelOutputs,9,FALSE)+W146</f>
        <v>-119.08297502027564</v>
      </c>
      <c r="X147" s="55">
        <f t="shared" ref="X147:X210" ca="1" si="53">VLOOKUP(S147,ModelOutputs,5,FALSE)+X146</f>
        <v>93.851673444331055</v>
      </c>
      <c r="Y147" s="55">
        <f t="shared" ref="Y147:Y210" ca="1" si="54">VLOOKUP(S147,ModelOutputs,4,FALSE)+Y146</f>
        <v>39.249584786038028</v>
      </c>
      <c r="Z147">
        <f t="shared" ca="1" si="48"/>
        <v>0</v>
      </c>
      <c r="AA147">
        <f t="shared" ref="AA147:AA210" ca="1" si="55">VLOOKUP(S147,ModelOutputs,11,FALSE)+AA146</f>
        <v>267.31791485156759</v>
      </c>
      <c r="AB147">
        <f t="shared" ca="1" si="49"/>
        <v>0</v>
      </c>
      <c r="AC147">
        <f t="shared" ca="1" si="50"/>
        <v>0.49209936197485371</v>
      </c>
      <c r="AD147" s="83">
        <f ca="1"/>
        <v>45691</v>
      </c>
      <c r="AE147" s="55">
        <f t="shared" ca="1" si="41"/>
        <v>45691</v>
      </c>
      <c r="AF147" s="55">
        <f t="shared" ca="1" si="42"/>
        <v>-12.961821512935742</v>
      </c>
      <c r="AG147" s="55">
        <f t="shared" ca="1" si="43"/>
        <v>140.89721612382763</v>
      </c>
      <c r="AH147" s="55">
        <f t="shared" ca="1" si="44"/>
        <v>0</v>
      </c>
      <c r="AI147" s="55">
        <f t="shared" ref="AI147:AI210" ca="1" si="56">-VLOOKUP(AE147,ModelOutputs,9,FALSE)+AI146</f>
        <v>-1.5936822076724197</v>
      </c>
      <c r="AJ147" s="55">
        <f t="shared" ref="AJ147:AJ210" ca="1" si="57">VLOOKUP(AE147,ModelOutputs,5,FALSE)+AJ146</f>
        <v>106.68611702924046</v>
      </c>
      <c r="AK147" s="55">
        <f t="shared" ref="AK147:AK210" ca="1" si="58">VLOOKUP(AE147,ModelOutputs,4,FALSE)+AK146</f>
        <v>-8.2107333776509748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15.630047220613463</v>
      </c>
      <c r="U148" s="55">
        <f t="shared" ca="1" si="46"/>
        <v>326.22956298073501</v>
      </c>
      <c r="V148" s="55">
        <f t="shared" ca="1" si="47"/>
        <v>0</v>
      </c>
      <c r="W148" s="55">
        <f t="shared" ca="1" si="52"/>
        <v>-119.14064762929547</v>
      </c>
      <c r="X148" s="55">
        <f t="shared" ca="1" si="53"/>
        <v>94.505698359611543</v>
      </c>
      <c r="Y148" s="55">
        <f t="shared" ca="1" si="54"/>
        <v>39.307634624348722</v>
      </c>
      <c r="Z148">
        <f t="shared" ca="1" si="48"/>
        <v>0</v>
      </c>
      <c r="AA148">
        <f t="shared" ca="1" si="55"/>
        <v>267.98791485156761</v>
      </c>
      <c r="AB148">
        <f t="shared" ca="1" si="49"/>
        <v>0</v>
      </c>
      <c r="AC148">
        <f t="shared" ca="1" si="50"/>
        <v>0.46030875088214573</v>
      </c>
      <c r="AD148" s="83">
        <f ca="1"/>
        <v>45692</v>
      </c>
      <c r="AE148" s="55">
        <f t="shared" ca="1" si="41"/>
        <v>45692</v>
      </c>
      <c r="AF148" s="55">
        <f t="shared" ca="1" si="42"/>
        <v>-15.111973518414043</v>
      </c>
      <c r="AG148" s="55">
        <f t="shared" ca="1" si="43"/>
        <v>143.73000642730744</v>
      </c>
      <c r="AH148" s="55">
        <f t="shared" ca="1" si="44"/>
        <v>0</v>
      </c>
      <c r="AI148" s="55">
        <f t="shared" ca="1" si="56"/>
        <v>-1.5936822076724197</v>
      </c>
      <c r="AJ148" s="55">
        <f t="shared" ca="1" si="57"/>
        <v>107.32493263560657</v>
      </c>
      <c r="AK148" s="55">
        <f t="shared" ca="1" si="58"/>
        <v>-8.1669106860155765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15.2407835487051</v>
      </c>
      <c r="U149" s="55">
        <f t="shared" ca="1" si="46"/>
        <v>327.07826638116978</v>
      </c>
      <c r="V149" s="55">
        <f t="shared" ca="1" si="47"/>
        <v>0</v>
      </c>
      <c r="W149" s="55">
        <f t="shared" ca="1" si="52"/>
        <v>-119.37482558173514</v>
      </c>
      <c r="X149" s="55">
        <f t="shared" ca="1" si="53"/>
        <v>95.143642130185398</v>
      </c>
      <c r="Y149" s="55">
        <f t="shared" ca="1" si="54"/>
        <v>39.363308534740945</v>
      </c>
      <c r="Z149">
        <f t="shared" ca="1" si="48"/>
        <v>0</v>
      </c>
      <c r="AA149">
        <f t="shared" ca="1" si="55"/>
        <v>270.77791485156763</v>
      </c>
      <c r="AB149">
        <f t="shared" ca="1" si="49"/>
        <v>0</v>
      </c>
      <c r="AC149">
        <f t="shared" ca="1" si="50"/>
        <v>0.43018431437500948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-17.175104210814141</v>
      </c>
      <c r="AG149" s="55">
        <f t="shared" ref="AG149:AG212" ca="1" si="61">VLOOKUP(AE149,ModelOutputs,7,FALSE)</f>
        <v>146.44544551387483</v>
      </c>
      <c r="AH149" s="55">
        <f t="shared" ref="AH149:AH212" ca="1" si="62">VLOOKUP(AE149,ModelOutputs,6,FALSE)</f>
        <v>0</v>
      </c>
      <c r="AI149" s="55">
        <f t="shared" ca="1" si="56"/>
        <v>-1.5936822076724197</v>
      </c>
      <c r="AJ149" s="55">
        <f t="shared" ca="1" si="57"/>
        <v>107.93621215034275</v>
      </c>
      <c r="AK149" s="55">
        <f t="shared" ca="1" si="58"/>
        <v>-8.1258818065844665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15.149078194246144</v>
      </c>
      <c r="U150" s="55">
        <f t="shared" ca="1" si="46"/>
        <v>327.8629796171362</v>
      </c>
      <c r="V150" s="55">
        <f t="shared" ca="1" si="47"/>
        <v>0</v>
      </c>
      <c r="W150" s="55">
        <f t="shared" ca="1" si="52"/>
        <v>-119.37816276997503</v>
      </c>
      <c r="X150" s="55">
        <f t="shared" ca="1" si="53"/>
        <v>95.785422046703758</v>
      </c>
      <c r="Y150" s="55">
        <f t="shared" ca="1" si="54"/>
        <v>39.417873687969944</v>
      </c>
      <c r="Z150">
        <f t="shared" ca="1" si="48"/>
        <v>0</v>
      </c>
      <c r="AA150">
        <f t="shared" ca="1" si="55"/>
        <v>270.81791485156765</v>
      </c>
      <c r="AB150">
        <f t="shared" ca="1" si="49"/>
        <v>0</v>
      </c>
      <c r="AC150">
        <f t="shared" ca="1" si="50"/>
        <v>0.39965999596733592</v>
      </c>
      <c r="AD150" s="83">
        <f ca="1"/>
        <v>45694</v>
      </c>
      <c r="AE150" s="55">
        <f t="shared" ca="1" si="59"/>
        <v>45694</v>
      </c>
      <c r="AF150" s="55">
        <f t="shared" ca="1" si="60"/>
        <v>-19.157785816604097</v>
      </c>
      <c r="AG150" s="55">
        <f t="shared" ca="1" si="61"/>
        <v>149.02375131744591</v>
      </c>
      <c r="AH150" s="55">
        <f t="shared" ca="1" si="62"/>
        <v>0</v>
      </c>
      <c r="AI150" s="55">
        <f t="shared" ca="1" si="56"/>
        <v>-1.5936822076724197</v>
      </c>
      <c r="AJ150" s="55">
        <f t="shared" ca="1" si="57"/>
        <v>108.49658924645125</v>
      </c>
      <c r="AK150" s="55">
        <f t="shared" ca="1" si="58"/>
        <v>-8.0906347049118423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15.103976563693545</v>
      </c>
      <c r="U151" s="55">
        <f t="shared" ca="1" si="46"/>
        <v>328.62431373732881</v>
      </c>
      <c r="V151" s="55">
        <f t="shared" ca="1" si="47"/>
        <v>0</v>
      </c>
      <c r="W151" s="55">
        <f t="shared" ca="1" si="52"/>
        <v>-119.37816276997503</v>
      </c>
      <c r="X151" s="55">
        <f t="shared" ca="1" si="53"/>
        <v>96.447256935179411</v>
      </c>
      <c r="Y151" s="55">
        <f t="shared" ca="1" si="54"/>
        <v>39.472271289134298</v>
      </c>
      <c r="Z151">
        <f t="shared" ca="1" si="48"/>
        <v>0</v>
      </c>
      <c r="AA151">
        <f t="shared" ca="1" si="55"/>
        <v>270.81791485156765</v>
      </c>
      <c r="AB151">
        <f t="shared" ca="1" si="49"/>
        <v>0</v>
      </c>
      <c r="AC151">
        <f t="shared" ca="1" si="50"/>
        <v>0.36706962107355356</v>
      </c>
      <c r="AD151" s="83">
        <f ca="1"/>
        <v>45695</v>
      </c>
      <c r="AE151" s="55">
        <f t="shared" ca="1" si="59"/>
        <v>45695</v>
      </c>
      <c r="AF151" s="55">
        <f t="shared" ca="1" si="60"/>
        <v>-21.050782912903632</v>
      </c>
      <c r="AG151" s="55">
        <f t="shared" ca="1" si="61"/>
        <v>151.50492338798551</v>
      </c>
      <c r="AH151" s="55">
        <f t="shared" ca="1" si="62"/>
        <v>0</v>
      </c>
      <c r="AI151" s="55">
        <f t="shared" ca="1" si="56"/>
        <v>-1.5936822076724197</v>
      </c>
      <c r="AJ151" s="55">
        <f t="shared" ca="1" si="57"/>
        <v>109.04958762327696</v>
      </c>
      <c r="AK151" s="55">
        <f t="shared" ca="1" si="58"/>
        <v>-8.0554581074974863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15.140737572114221</v>
      </c>
      <c r="U152" s="55">
        <f t="shared" ca="1" si="46"/>
        <v>329.29079201819212</v>
      </c>
      <c r="V152" s="55">
        <f t="shared" ca="1" si="47"/>
        <v>0</v>
      </c>
      <c r="W152" s="55">
        <f t="shared" ca="1" si="52"/>
        <v>-119.37816276997503</v>
      </c>
      <c r="X152" s="55">
        <f t="shared" ca="1" si="53"/>
        <v>97.098045140880217</v>
      </c>
      <c r="Y152" s="55">
        <f t="shared" ca="1" si="54"/>
        <v>39.524722372717484</v>
      </c>
      <c r="Z152">
        <f t="shared" ca="1" si="48"/>
        <v>0</v>
      </c>
      <c r="AA152">
        <f t="shared" ca="1" si="55"/>
        <v>270.81791485156765</v>
      </c>
      <c r="AB152">
        <f t="shared" ca="1" si="49"/>
        <v>0</v>
      </c>
      <c r="AC152">
        <f t="shared" ca="1" si="50"/>
        <v>0.3356122448979596</v>
      </c>
      <c r="AD152" s="83">
        <f ca="1"/>
        <v>45696</v>
      </c>
      <c r="AE152" s="55">
        <f t="shared" ca="1" si="59"/>
        <v>45696</v>
      </c>
      <c r="AF152" s="55">
        <f t="shared" ca="1" si="60"/>
        <v>-22.93384077426634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-1.5936822076724197</v>
      </c>
      <c r="AJ152" s="55">
        <f t="shared" ca="1" si="57"/>
        <v>109.62520455149017</v>
      </c>
      <c r="AK152" s="55">
        <f t="shared" ca="1" si="58"/>
        <v>-8.0190562850589231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15.067477343832852</v>
      </c>
      <c r="U153" s="55">
        <f t="shared" ca="1" si="46"/>
        <v>330.01696417200992</v>
      </c>
      <c r="V153" s="55">
        <f t="shared" ca="1" si="47"/>
        <v>0</v>
      </c>
      <c r="W153" s="55">
        <f t="shared" ca="1" si="52"/>
        <v>-119.49754037114452</v>
      </c>
      <c r="X153" s="55">
        <f t="shared" ca="1" si="53"/>
        <v>97.815526412074647</v>
      </c>
      <c r="Y153" s="55">
        <f t="shared" ca="1" si="54"/>
        <v>39.57953062822898</v>
      </c>
      <c r="Z153">
        <f t="shared" ca="1" si="48"/>
        <v>0</v>
      </c>
      <c r="AA153">
        <f t="shared" ca="1" si="55"/>
        <v>272.25654048644185</v>
      </c>
      <c r="AB153">
        <f t="shared" ca="1" si="49"/>
        <v>0</v>
      </c>
      <c r="AC153">
        <f t="shared" ca="1" si="50"/>
        <v>0.29749017038007886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15.191509498738643</v>
      </c>
      <c r="U154" s="55">
        <f t="shared" ca="1" si="46"/>
        <v>330.66597858147549</v>
      </c>
      <c r="V154" s="55">
        <f t="shared" ca="1" si="47"/>
        <v>0</v>
      </c>
      <c r="W154" s="55">
        <f t="shared" ca="1" si="52"/>
        <v>-119.49754037114452</v>
      </c>
      <c r="X154" s="55">
        <f t="shared" ca="1" si="53"/>
        <v>98.535072528026731</v>
      </c>
      <c r="Y154" s="55">
        <f t="shared" ca="1" si="54"/>
        <v>39.633031076648251</v>
      </c>
      <c r="Z154">
        <f t="shared" ca="1" si="48"/>
        <v>0</v>
      </c>
      <c r="AA154">
        <f t="shared" ca="1" si="55"/>
        <v>272.25654048644185</v>
      </c>
      <c r="AB154">
        <f t="shared" ca="1" si="49"/>
        <v>0</v>
      </c>
      <c r="AC154">
        <f t="shared" ca="1" si="50"/>
        <v>0.25916815491192979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15.37968676559565</v>
      </c>
      <c r="U155" s="55">
        <f t="shared" ca="1" si="46"/>
        <v>331.27361429885923</v>
      </c>
      <c r="V155" s="55">
        <f t="shared" ca="1" si="47"/>
        <v>0</v>
      </c>
      <c r="W155" s="55">
        <f t="shared" ca="1" si="52"/>
        <v>-119.49754037114452</v>
      </c>
      <c r="X155" s="55">
        <f t="shared" ca="1" si="53"/>
        <v>99.277579925726002</v>
      </c>
      <c r="Y155" s="55">
        <f t="shared" ca="1" si="54"/>
        <v>39.686336663189728</v>
      </c>
      <c r="Z155">
        <f t="shared" ca="1" si="48"/>
        <v>0</v>
      </c>
      <c r="AA155">
        <f t="shared" ca="1" si="55"/>
        <v>272.25654048644185</v>
      </c>
      <c r="AB155">
        <f t="shared" ca="1" si="49"/>
        <v>0</v>
      </c>
      <c r="AC155">
        <f t="shared" ca="1" si="50"/>
        <v>0.21864678899082601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15.543431532398468</v>
      </c>
      <c r="U156" s="55">
        <f t="shared" ca="1" si="46"/>
        <v>331.7679542673751</v>
      </c>
      <c r="V156" s="55">
        <f t="shared" ca="1" si="47"/>
        <v>0</v>
      </c>
      <c r="W156" s="55">
        <f t="shared" ca="1" si="52"/>
        <v>-119.5975020990785</v>
      </c>
      <c r="X156" s="55">
        <f t="shared" ca="1" si="53"/>
        <v>99.985474812397726</v>
      </c>
      <c r="Y156" s="55">
        <f t="shared" ca="1" si="54"/>
        <v>39.736488239770672</v>
      </c>
      <c r="Z156">
        <f t="shared" ca="1" si="48"/>
        <v>0</v>
      </c>
      <c r="AA156">
        <f t="shared" ca="1" si="55"/>
        <v>273.42429712354908</v>
      </c>
      <c r="AB156">
        <f t="shared" ca="1" si="49"/>
        <v>0</v>
      </c>
      <c r="AC156">
        <f t="shared" ca="1" si="50"/>
        <v>0.18145777224086579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15.859133878150111</v>
      </c>
      <c r="U157" s="55">
        <f t="shared" ca="1" si="46"/>
        <v>332.24828501769696</v>
      </c>
      <c r="V157" s="55">
        <f t="shared" ca="1" si="47"/>
        <v>0</v>
      </c>
      <c r="W157" s="55">
        <f t="shared" ca="1" si="52"/>
        <v>-119.5975020990785</v>
      </c>
      <c r="X157" s="55">
        <f t="shared" ca="1" si="53"/>
        <v>100.73079635049118</v>
      </c>
      <c r="Y157" s="55">
        <f t="shared" ca="1" si="54"/>
        <v>39.787199797750716</v>
      </c>
      <c r="Z157">
        <f t="shared" ca="1" si="48"/>
        <v>0</v>
      </c>
      <c r="AA157">
        <f t="shared" ca="1" si="55"/>
        <v>273.42429712354908</v>
      </c>
      <c r="AB157">
        <f t="shared" ca="1" si="49"/>
        <v>0</v>
      </c>
      <c r="AC157">
        <f t="shared" ca="1" si="50"/>
        <v>0.14066981838607051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16.227392308621681</v>
      </c>
      <c r="U158" s="55">
        <f t="shared" ca="1" si="46"/>
        <v>332.64194979153319</v>
      </c>
      <c r="V158" s="55">
        <f t="shared" ca="1" si="47"/>
        <v>0</v>
      </c>
      <c r="W158" s="55">
        <f t="shared" ca="1" si="52"/>
        <v>-119.5975020990785</v>
      </c>
      <c r="X158" s="55">
        <f t="shared" ca="1" si="53"/>
        <v>101.44484454657174</v>
      </c>
      <c r="Y158" s="55">
        <f t="shared" ca="1" si="54"/>
        <v>39.835074805977953</v>
      </c>
      <c r="Z158">
        <f t="shared" ca="1" si="48"/>
        <v>0</v>
      </c>
      <c r="AA158">
        <f t="shared" ca="1" si="55"/>
        <v>273.42429712354908</v>
      </c>
      <c r="AB158">
        <f t="shared" ca="1" si="49"/>
        <v>0</v>
      </c>
      <c r="AC158">
        <f t="shared" ca="1" si="50"/>
        <v>0.10288097878530411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16.631631939009505</v>
      </c>
      <c r="U159" s="55">
        <f t="shared" ca="1" si="46"/>
        <v>332.95960682261949</v>
      </c>
      <c r="V159" s="55">
        <f t="shared" ca="1" si="47"/>
        <v>0</v>
      </c>
      <c r="W159" s="55">
        <f t="shared" ca="1" si="52"/>
        <v>-119.5975020990785</v>
      </c>
      <c r="X159" s="55">
        <f t="shared" ca="1" si="53"/>
        <v>102.12181414927217</v>
      </c>
      <c r="Y159" s="55">
        <f t="shared" ca="1" si="54"/>
        <v>39.880001864751648</v>
      </c>
      <c r="Z159">
        <f t="shared" ca="1" si="48"/>
        <v>0</v>
      </c>
      <c r="AA159">
        <f t="shared" ca="1" si="55"/>
        <v>273.42429712354908</v>
      </c>
      <c r="AB159">
        <f t="shared" ca="1" si="49"/>
        <v>0</v>
      </c>
      <c r="AC159">
        <f t="shared" ca="1" si="50"/>
        <v>6.8757723272795612E-2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17.024555769879097</v>
      </c>
      <c r="U160" s="55">
        <f t="shared" ca="1" si="46"/>
        <v>333.22065022805054</v>
      </c>
      <c r="V160" s="55">
        <f t="shared" ca="1" si="47"/>
        <v>0</v>
      </c>
      <c r="W160" s="55">
        <f t="shared" ca="1" si="52"/>
        <v>-119.63291593667725</v>
      </c>
      <c r="X160" s="55">
        <f t="shared" ca="1" si="53"/>
        <v>102.76873183175502</v>
      </c>
      <c r="Y160" s="55">
        <f t="shared" ca="1" si="54"/>
        <v>39.922465256168195</v>
      </c>
      <c r="Z160">
        <f t="shared" ca="1" si="48"/>
        <v>0</v>
      </c>
      <c r="AA160">
        <f t="shared" ca="1" si="55"/>
        <v>273.80201078846801</v>
      </c>
      <c r="AB160">
        <f t="shared" ca="1" si="49"/>
        <v>0</v>
      </c>
      <c r="AC160">
        <f t="shared" ca="1" si="50"/>
        <v>3.7700228997738949E-2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17.477832915247571</v>
      </c>
      <c r="U161" s="55">
        <f t="shared" ca="1" si="46"/>
        <v>333.46181142975468</v>
      </c>
      <c r="V161" s="55">
        <f t="shared" ca="1" si="47"/>
        <v>0</v>
      </c>
      <c r="W161" s="55">
        <f t="shared" ca="1" si="52"/>
        <v>-119.63291593667725</v>
      </c>
      <c r="X161" s="55">
        <f t="shared" ca="1" si="53"/>
        <v>103.42146083271847</v>
      </c>
      <c r="Y161" s="55">
        <f t="shared" ca="1" si="54"/>
        <v>39.964174602277353</v>
      </c>
      <c r="Z161">
        <f t="shared" ca="1" si="48"/>
        <v>0</v>
      </c>
      <c r="AA161">
        <f t="shared" ca="1" si="55"/>
        <v>273.80201078846801</v>
      </c>
      <c r="AB161">
        <f t="shared" ca="1" si="49"/>
        <v>0</v>
      </c>
      <c r="AC161">
        <f t="shared" ca="1" si="50"/>
        <v>6.0429118718765551E-3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17.960579995103153</v>
      </c>
      <c r="U162" s="55">
        <f t="shared" ca="1" si="46"/>
        <v>333.69365068621357</v>
      </c>
      <c r="V162" s="55">
        <f t="shared" ca="1" si="47"/>
        <v>0</v>
      </c>
      <c r="W162" s="55">
        <f t="shared" ca="1" si="52"/>
        <v>-119.63291593667725</v>
      </c>
      <c r="X162" s="55">
        <f t="shared" ca="1" si="53"/>
        <v>104.09446123220854</v>
      </c>
      <c r="Y162" s="55">
        <f t="shared" ca="1" si="54"/>
        <v>40.00576053910175</v>
      </c>
      <c r="Z162">
        <f t="shared" ca="1" si="48"/>
        <v>0</v>
      </c>
      <c r="AA162">
        <f t="shared" ca="1" si="55"/>
        <v>273.80201078846801</v>
      </c>
      <c r="AB162">
        <f t="shared" ca="1" si="49"/>
        <v>0</v>
      </c>
      <c r="AC162">
        <f t="shared" ca="1" si="50"/>
        <v>0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18.287514945829379</v>
      </c>
      <c r="U163" s="55">
        <f t="shared" ca="1" si="46"/>
        <v>333.89118578008197</v>
      </c>
      <c r="V163" s="55">
        <f t="shared" ca="1" si="47"/>
        <v>0</v>
      </c>
      <c r="W163" s="55">
        <f t="shared" ca="1" si="52"/>
        <v>-119.8029214873529</v>
      </c>
      <c r="X163" s="55">
        <f t="shared" ca="1" si="53"/>
        <v>104.74913472010329</v>
      </c>
      <c r="Y163" s="55">
        <f t="shared" ca="1" si="54"/>
        <v>40.045562646477293</v>
      </c>
      <c r="Z163">
        <f t="shared" ca="1" si="48"/>
        <v>0</v>
      </c>
      <c r="AA163">
        <f t="shared" ca="1" si="55"/>
        <v>275.49001645954553</v>
      </c>
      <c r="AB163">
        <f t="shared" ca="1" si="49"/>
        <v>0</v>
      </c>
      <c r="AC163">
        <f t="shared" ca="1" si="50"/>
        <v>0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18.369530666038408</v>
      </c>
      <c r="U164" s="55">
        <f t="shared" ca="1" si="46"/>
        <v>334.08929400317396</v>
      </c>
      <c r="V164" s="55">
        <f t="shared" ca="1" si="47"/>
        <v>0</v>
      </c>
      <c r="W164" s="55">
        <f t="shared" ca="1" si="52"/>
        <v>-120.25411975652395</v>
      </c>
      <c r="X164" s="55">
        <f t="shared" ca="1" si="53"/>
        <v>105.44011364647429</v>
      </c>
      <c r="Y164" s="55">
        <f t="shared" ca="1" si="54"/>
        <v>40.085905932578356</v>
      </c>
      <c r="Z164">
        <f t="shared" ca="1" si="48"/>
        <v>0</v>
      </c>
      <c r="AA164">
        <f t="shared" ca="1" si="55"/>
        <v>279.95001645954551</v>
      </c>
      <c r="AB164">
        <f t="shared" ca="1" si="49"/>
        <v>0</v>
      </c>
      <c r="AC164">
        <f t="shared" ca="1" si="50"/>
        <v>0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18.940136265076351</v>
      </c>
      <c r="U165" s="55">
        <f t="shared" ca="1" si="46"/>
        <v>334.28016161803799</v>
      </c>
      <c r="V165" s="55">
        <f t="shared" ca="1" si="47"/>
        <v>0</v>
      </c>
      <c r="W165" s="55">
        <f t="shared" ca="1" si="52"/>
        <v>-120.25411975652395</v>
      </c>
      <c r="X165" s="55">
        <f t="shared" ca="1" si="53"/>
        <v>106.16103840984921</v>
      </c>
      <c r="Y165" s="55">
        <f t="shared" ca="1" si="54"/>
        <v>40.126454383105404</v>
      </c>
      <c r="Z165">
        <f t="shared" ca="1" si="48"/>
        <v>0</v>
      </c>
      <c r="AA165">
        <f t="shared" ca="1" si="55"/>
        <v>279.95001645954551</v>
      </c>
      <c r="AB165">
        <f t="shared" ca="1" si="49"/>
        <v>0</v>
      </c>
      <c r="AC165">
        <f t="shared" ca="1" si="50"/>
        <v>0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19.523236617705983</v>
      </c>
      <c r="U166" s="55">
        <f t="shared" ca="1" si="46"/>
        <v>334.44396285723599</v>
      </c>
      <c r="V166" s="55">
        <f t="shared" ca="1" si="47"/>
        <v>0</v>
      </c>
      <c r="W166" s="55">
        <f t="shared" ca="1" si="52"/>
        <v>-120.25411975652395</v>
      </c>
      <c r="X166" s="55">
        <f t="shared" ca="1" si="53"/>
        <v>106.86893329652094</v>
      </c>
      <c r="Y166" s="55">
        <f t="shared" ca="1" si="54"/>
        <v>40.165461088261303</v>
      </c>
      <c r="Z166">
        <f t="shared" ca="1" si="48"/>
        <v>0</v>
      </c>
      <c r="AA166">
        <f t="shared" ca="1" si="55"/>
        <v>279.95001645954551</v>
      </c>
      <c r="AB166">
        <f t="shared" ca="1" si="49"/>
        <v>0</v>
      </c>
      <c r="AC166">
        <f t="shared" ca="1" si="50"/>
        <v>0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19.975394952947678</v>
      </c>
      <c r="U167" s="55">
        <f t="shared" ca="1" si="46"/>
        <v>334.5654986258134</v>
      </c>
      <c r="V167" s="55">
        <f t="shared" ca="1" si="47"/>
        <v>0</v>
      </c>
      <c r="W167" s="55">
        <f t="shared" ca="1" si="52"/>
        <v>-120.35971500756688</v>
      </c>
      <c r="X167" s="55">
        <f t="shared" ca="1" si="53"/>
        <v>107.51263680605179</v>
      </c>
      <c r="Y167" s="55">
        <f t="shared" ca="1" si="54"/>
        <v>40.201046933592494</v>
      </c>
      <c r="Z167">
        <f t="shared" ca="1" si="48"/>
        <v>0</v>
      </c>
      <c r="AA167">
        <f t="shared" ca="1" si="55"/>
        <v>280.9098910741223</v>
      </c>
      <c r="AB167">
        <f t="shared" ca="1" si="49"/>
        <v>0</v>
      </c>
      <c r="AC167">
        <f t="shared" ca="1" si="50"/>
        <v>0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20.366601776613429</v>
      </c>
      <c r="U168" s="55">
        <f t="shared" ca="1" si="46"/>
        <v>334.68665961264719</v>
      </c>
      <c r="V168" s="55">
        <f t="shared" ca="1" si="47"/>
        <v>0</v>
      </c>
      <c r="W168" s="55">
        <f t="shared" ca="1" si="52"/>
        <v>-120.5582450996676</v>
      </c>
      <c r="X168" s="55">
        <f t="shared" ca="1" si="53"/>
        <v>108.18761995065663</v>
      </c>
      <c r="Y168" s="55">
        <f t="shared" ca="1" si="54"/>
        <v>40.236961691587922</v>
      </c>
      <c r="Z168">
        <f t="shared" ca="1" si="48"/>
        <v>0</v>
      </c>
      <c r="AA168">
        <f t="shared" ca="1" si="55"/>
        <v>282.67989107412228</v>
      </c>
      <c r="AB168">
        <f t="shared" ca="1" si="49"/>
        <v>0</v>
      </c>
      <c r="AC168">
        <f t="shared" ca="1" si="50"/>
        <v>0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20.458770016002717</v>
      </c>
      <c r="U169" s="55">
        <f t="shared" ca="1" si="46"/>
        <v>334.80656154833349</v>
      </c>
      <c r="V169" s="55">
        <f t="shared" ca="1" si="47"/>
        <v>0</v>
      </c>
      <c r="W169" s="55">
        <f t="shared" ca="1" si="52"/>
        <v>-121.09456137800015</v>
      </c>
      <c r="X169" s="55">
        <f t="shared" ca="1" si="53"/>
        <v>108.89961329858166</v>
      </c>
      <c r="Y169" s="55">
        <f t="shared" ca="1" si="54"/>
        <v>40.273354797071022</v>
      </c>
      <c r="Z169">
        <f t="shared" ca="1" si="48"/>
        <v>0</v>
      </c>
      <c r="AA169">
        <f t="shared" ca="1" si="55"/>
        <v>287.43989107412227</v>
      </c>
      <c r="AB169">
        <f t="shared" ca="1" si="49"/>
        <v>0</v>
      </c>
      <c r="AC169">
        <f t="shared" ca="1" si="50"/>
        <v>0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21.078191284206575</v>
      </c>
      <c r="U170" s="55">
        <f t="shared" ca="1" si="46"/>
        <v>334.90962327450853</v>
      </c>
      <c r="V170" s="55">
        <f t="shared" ca="1" si="47"/>
        <v>0</v>
      </c>
      <c r="W170" s="55">
        <f t="shared" ca="1" si="52"/>
        <v>-121.10616965725812</v>
      </c>
      <c r="X170" s="55">
        <f t="shared" ca="1" si="53"/>
        <v>109.59867951786998</v>
      </c>
      <c r="Y170" s="55">
        <f t="shared" ca="1" si="54"/>
        <v>40.308379851419559</v>
      </c>
      <c r="Z170">
        <f t="shared" ca="1" si="48"/>
        <v>0</v>
      </c>
      <c r="AA170">
        <f t="shared" ca="1" si="55"/>
        <v>287.53989107412224</v>
      </c>
      <c r="AB170">
        <f t="shared" ca="1" si="49"/>
        <v>0</v>
      </c>
      <c r="AC170">
        <f t="shared" ca="1" si="50"/>
        <v>0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21.762587013049149</v>
      </c>
      <c r="U171" s="55">
        <f t="shared" ca="1" si="46"/>
        <v>335.01362519854268</v>
      </c>
      <c r="V171" s="55">
        <f t="shared" ca="1" si="47"/>
        <v>0</v>
      </c>
      <c r="W171" s="55">
        <f t="shared" ca="1" si="52"/>
        <v>-121.10616965725812</v>
      </c>
      <c r="X171" s="55">
        <f t="shared" ca="1" si="53"/>
        <v>110.35106575446392</v>
      </c>
      <c r="Y171" s="55">
        <f t="shared" ca="1" si="54"/>
        <v>40.344391267702356</v>
      </c>
      <c r="Z171">
        <f t="shared" ca="1" si="48"/>
        <v>0</v>
      </c>
      <c r="AA171">
        <f t="shared" ca="1" si="55"/>
        <v>287.53989107412224</v>
      </c>
      <c r="AB171">
        <f t="shared" ca="1" si="49"/>
        <v>0</v>
      </c>
      <c r="AC171">
        <f t="shared" ca="1" si="50"/>
        <v>0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22.402512410019032</v>
      </c>
      <c r="U172" s="55">
        <f t="shared" ca="1" si="46"/>
        <v>335.10316825031231</v>
      </c>
      <c r="V172" s="55">
        <f t="shared" ca="1" si="47"/>
        <v>0</v>
      </c>
      <c r="W172" s="55">
        <f t="shared" ca="1" si="52"/>
        <v>-121.15540747158477</v>
      </c>
      <c r="X172" s="55">
        <f t="shared" ca="1" si="53"/>
        <v>111.09497938433559</v>
      </c>
      <c r="Y172" s="55">
        <f t="shared" ca="1" si="54"/>
        <v>40.379183900896841</v>
      </c>
      <c r="Z172">
        <f t="shared" ca="1" si="48"/>
        <v>0</v>
      </c>
      <c r="AA172">
        <f t="shared" ca="1" si="55"/>
        <v>287.93897803064397</v>
      </c>
      <c r="AB172">
        <f t="shared" ca="1" si="49"/>
        <v>0</v>
      </c>
      <c r="AC172">
        <f t="shared" ca="1" si="50"/>
        <v>0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23.118146391764419</v>
      </c>
      <c r="U173" s="55">
        <f t="shared" ca="1" si="46"/>
        <v>335.18513014863521</v>
      </c>
      <c r="V173" s="55">
        <f t="shared" ca="1" si="47"/>
        <v>0</v>
      </c>
      <c r="W173" s="55">
        <f t="shared" ca="1" si="52"/>
        <v>-121.15540747158477</v>
      </c>
      <c r="X173" s="55">
        <f t="shared" ca="1" si="53"/>
        <v>111.85804138486198</v>
      </c>
      <c r="Y173" s="55">
        <f t="shared" ca="1" si="54"/>
        <v>40.413717780438738</v>
      </c>
      <c r="Z173">
        <f t="shared" ca="1" si="48"/>
        <v>0</v>
      </c>
      <c r="AA173">
        <f t="shared" ca="1" si="55"/>
        <v>287.93897803064397</v>
      </c>
      <c r="AB173">
        <f t="shared" ca="1" si="49"/>
        <v>0</v>
      </c>
      <c r="AC173">
        <f t="shared" ca="1" si="50"/>
        <v>0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23.808835990818373</v>
      </c>
      <c r="U174" s="55">
        <f t="shared" ca="1" si="46"/>
        <v>335.255917864786</v>
      </c>
      <c r="V174" s="55">
        <f t="shared" ca="1" si="47"/>
        <v>0</v>
      </c>
      <c r="W174" s="55">
        <f t="shared" ca="1" si="52"/>
        <v>-121.18473869732242</v>
      </c>
      <c r="X174" s="55">
        <f t="shared" ca="1" si="53"/>
        <v>112.61539788039745</v>
      </c>
      <c r="Y174" s="55">
        <f t="shared" ca="1" si="54"/>
        <v>40.447169825845648</v>
      </c>
      <c r="Z174">
        <f t="shared" ca="1" si="48"/>
        <v>0</v>
      </c>
      <c r="AA174">
        <f t="shared" ca="1" si="55"/>
        <v>288.16267368281785</v>
      </c>
      <c r="AB174">
        <f t="shared" ca="1" si="49"/>
        <v>0</v>
      </c>
      <c r="AC174">
        <f t="shared" ca="1" si="50"/>
        <v>0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24.25581404307524</v>
      </c>
      <c r="U175" s="55">
        <f t="shared" ca="1" si="46"/>
        <v>335.3262736337428</v>
      </c>
      <c r="V175" s="55">
        <f t="shared" ca="1" si="47"/>
        <v>0</v>
      </c>
      <c r="W175" s="55">
        <f t="shared" ca="1" si="52"/>
        <v>-121.52671052197609</v>
      </c>
      <c r="X175" s="55">
        <f t="shared" ca="1" si="53"/>
        <v>113.43999831469573</v>
      </c>
      <c r="Y175" s="55">
        <f t="shared" ca="1" si="54"/>
        <v>40.481875037414717</v>
      </c>
      <c r="Z175">
        <f t="shared" ca="1" si="48"/>
        <v>0</v>
      </c>
      <c r="AA175">
        <f t="shared" ca="1" si="55"/>
        <v>290.72267368281786</v>
      </c>
      <c r="AB175">
        <f t="shared" ca="1" si="49"/>
        <v>0</v>
      </c>
      <c r="AC175">
        <f t="shared" ca="1" si="50"/>
        <v>0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24.734071686326313</v>
      </c>
      <c r="U176" s="55">
        <f t="shared" ca="1" si="46"/>
        <v>335.3799397676292</v>
      </c>
      <c r="V176" s="55">
        <f t="shared" ca="1" si="47"/>
        <v>0</v>
      </c>
      <c r="W176" s="55">
        <f t="shared" ca="1" si="52"/>
        <v>-121.78824644519845</v>
      </c>
      <c r="X176" s="55">
        <f t="shared" ca="1" si="53"/>
        <v>114.20163141656083</v>
      </c>
      <c r="Y176" s="55">
        <f t="shared" ca="1" si="54"/>
        <v>40.513701635909449</v>
      </c>
      <c r="Z176">
        <f t="shared" ca="1" si="48"/>
        <v>0</v>
      </c>
      <c r="AA176">
        <f t="shared" ca="1" si="55"/>
        <v>292.64267368281787</v>
      </c>
      <c r="AB176">
        <f t="shared" ca="1" si="49"/>
        <v>0</v>
      </c>
      <c r="AC176">
        <f t="shared" ca="1" si="50"/>
        <v>0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24.508317879196685</v>
      </c>
      <c r="U177" s="55">
        <f t="shared" ca="1" si="46"/>
        <v>335.42093264241043</v>
      </c>
      <c r="V177" s="55">
        <f t="shared" ca="1" si="47"/>
        <v>0</v>
      </c>
      <c r="W177" s="55">
        <f t="shared" ca="1" si="52"/>
        <v>-122.70471545667532</v>
      </c>
      <c r="X177" s="55">
        <f t="shared" ca="1" si="53"/>
        <v>114.90408497028544</v>
      </c>
      <c r="Y177" s="55">
        <f t="shared" ca="1" si="54"/>
        <v>40.542956161313306</v>
      </c>
      <c r="Z177">
        <f t="shared" ca="1" si="48"/>
        <v>0</v>
      </c>
      <c r="AA177">
        <f t="shared" ca="1" si="55"/>
        <v>299.43267368281789</v>
      </c>
      <c r="AB177">
        <f t="shared" ca="1" si="49"/>
        <v>0</v>
      </c>
      <c r="AC177">
        <f t="shared" ca="1" si="50"/>
        <v>0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24.953996019782192</v>
      </c>
      <c r="U178" s="55">
        <f t="shared" ca="1" si="46"/>
        <v>335.4567280870923</v>
      </c>
      <c r="V178" s="55">
        <f t="shared" ca="1" si="47"/>
        <v>0</v>
      </c>
      <c r="W178" s="55">
        <f t="shared" ca="1" si="52"/>
        <v>-122.94658839200909</v>
      </c>
      <c r="X178" s="55">
        <f t="shared" ca="1" si="53"/>
        <v>115.5991000810111</v>
      </c>
      <c r="Y178" s="55">
        <f t="shared" ca="1" si="54"/>
        <v>40.57128757118879</v>
      </c>
      <c r="Z178">
        <f t="shared" ca="1" si="48"/>
        <v>0</v>
      </c>
      <c r="AA178">
        <f t="shared" ca="1" si="55"/>
        <v>301.19267368281788</v>
      </c>
      <c r="AB178">
        <f t="shared" ca="1" si="49"/>
        <v>0</v>
      </c>
      <c r="AC178">
        <f t="shared" ca="1" si="50"/>
        <v>0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25.610974086724678</v>
      </c>
      <c r="U179" s="55">
        <f t="shared" ca="1" si="46"/>
        <v>335.48562285224523</v>
      </c>
      <c r="V179" s="55">
        <f t="shared" ca="1" si="47"/>
        <v>0</v>
      </c>
      <c r="W179" s="55">
        <f t="shared" ca="1" si="52"/>
        <v>-122.94658839200909</v>
      </c>
      <c r="X179" s="55">
        <f t="shared" ca="1" si="53"/>
        <v>116.2583250723181</v>
      </c>
      <c r="Y179" s="55">
        <f t="shared" ca="1" si="54"/>
        <v>40.597935411977211</v>
      </c>
      <c r="Z179">
        <f t="shared" ca="1" si="48"/>
        <v>0</v>
      </c>
      <c r="AA179">
        <f t="shared" ca="1" si="55"/>
        <v>301.19267368281788</v>
      </c>
      <c r="AB179">
        <f t="shared" ca="1" si="49"/>
        <v>0</v>
      </c>
      <c r="AC179">
        <f t="shared" ca="1" si="50"/>
        <v>0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26.103891165423263</v>
      </c>
      <c r="U180" s="55">
        <f t="shared" ca="1" si="46"/>
        <v>335.51327224187861</v>
      </c>
      <c r="V180" s="55">
        <f t="shared" ca="1" si="47"/>
        <v>0</v>
      </c>
      <c r="W180" s="55">
        <f t="shared" ca="1" si="52"/>
        <v>-123.13223827906297</v>
      </c>
      <c r="X180" s="55">
        <f t="shared" ca="1" si="53"/>
        <v>116.93794906473663</v>
      </c>
      <c r="Y180" s="55">
        <f t="shared" ca="1" si="54"/>
        <v>40.624527774944539</v>
      </c>
      <c r="Z180">
        <f t="shared" ca="1" si="48"/>
        <v>0</v>
      </c>
      <c r="AA180">
        <f t="shared" ca="1" si="55"/>
        <v>302.48405629151353</v>
      </c>
      <c r="AB180">
        <f t="shared" ca="1" si="49"/>
        <v>0</v>
      </c>
      <c r="AC180">
        <f t="shared" ca="1" si="50"/>
        <v>0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26.837036202689852</v>
      </c>
      <c r="U181" s="55">
        <f t="shared" ca="1" si="46"/>
        <v>335.54166258576294</v>
      </c>
      <c r="V181" s="55">
        <f t="shared" ca="1" si="47"/>
        <v>0</v>
      </c>
      <c r="W181" s="55">
        <f t="shared" ca="1" si="52"/>
        <v>-123.13223827906297</v>
      </c>
      <c r="X181" s="55">
        <f t="shared" ca="1" si="53"/>
        <v>117.67205423955473</v>
      </c>
      <c r="Y181" s="55">
        <f t="shared" ca="1" si="54"/>
        <v>40.651957981277356</v>
      </c>
      <c r="Z181">
        <f t="shared" ca="1" si="48"/>
        <v>0</v>
      </c>
      <c r="AA181">
        <f t="shared" ca="1" si="55"/>
        <v>302.48405629151353</v>
      </c>
      <c r="AB181">
        <f t="shared" ca="1" si="49"/>
        <v>0</v>
      </c>
      <c r="AC181">
        <f t="shared" ca="1" si="50"/>
        <v>0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27.097065806668134</v>
      </c>
      <c r="U182" s="55">
        <f t="shared" ca="1" si="46"/>
        <v>335.56938078864709</v>
      </c>
      <c r="V182" s="55">
        <f t="shared" ca="1" si="47"/>
        <v>0</v>
      </c>
      <c r="W182" s="55">
        <f t="shared" ca="1" si="52"/>
        <v>-123.65577940693395</v>
      </c>
      <c r="X182" s="55">
        <f t="shared" ca="1" si="53"/>
        <v>118.45529767807822</v>
      </c>
      <c r="Y182" s="55">
        <f t="shared" ca="1" si="54"/>
        <v>40.680003477487261</v>
      </c>
      <c r="Z182">
        <f t="shared" ca="1" si="48"/>
        <v>0</v>
      </c>
      <c r="AA182">
        <f t="shared" ca="1" si="55"/>
        <v>305.99233455238311</v>
      </c>
      <c r="AB182">
        <f t="shared" ca="1" si="49"/>
        <v>0</v>
      </c>
      <c r="AC182">
        <f t="shared" ca="1" si="50"/>
        <v>0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27.9167619580302</v>
      </c>
      <c r="U183" s="55">
        <f t="shared" ca="1" si="46"/>
        <v>335.59499661193689</v>
      </c>
      <c r="V183" s="55">
        <f t="shared" ca="1" si="47"/>
        <v>0</v>
      </c>
      <c r="W183" s="55">
        <f t="shared" ca="1" si="52"/>
        <v>-123.65577940693395</v>
      </c>
      <c r="X183" s="55">
        <f t="shared" ca="1" si="53"/>
        <v>119.27241541613938</v>
      </c>
      <c r="Y183" s="55">
        <f t="shared" ca="1" si="54"/>
        <v>40.708197714077968</v>
      </c>
      <c r="Z183">
        <f t="shared" ca="1" si="48"/>
        <v>0</v>
      </c>
      <c r="AA183">
        <f t="shared" ca="1" si="55"/>
        <v>305.99233455238311</v>
      </c>
      <c r="AB183">
        <f t="shared" ca="1" si="49"/>
        <v>0</v>
      </c>
      <c r="AC183">
        <f t="shared" ca="1" si="50"/>
        <v>0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28.708763977592596</v>
      </c>
      <c r="U184" s="55">
        <f t="shared" ca="1" si="46"/>
        <v>335.61581600132621</v>
      </c>
      <c r="V184" s="55">
        <f t="shared" ca="1" si="47"/>
        <v>0</v>
      </c>
      <c r="W184" s="55">
        <f t="shared" ca="1" si="52"/>
        <v>-123.65577940693395</v>
      </c>
      <c r="X184" s="55">
        <f t="shared" ca="1" si="53"/>
        <v>120.05856890764984</v>
      </c>
      <c r="Y184" s="55">
        <f t="shared" ca="1" si="54"/>
        <v>40.734865631519227</v>
      </c>
      <c r="Z184">
        <f t="shared" ca="1" si="48"/>
        <v>0</v>
      </c>
      <c r="AA184">
        <f t="shared" ca="1" si="55"/>
        <v>305.99233455238311</v>
      </c>
      <c r="AB184">
        <f t="shared" ca="1" si="49"/>
        <v>0</v>
      </c>
      <c r="AC184">
        <f t="shared" ca="1" si="50"/>
        <v>0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29.523855084532467</v>
      </c>
      <c r="U185" s="55">
        <f t="shared" ca="1" si="46"/>
        <v>335.63478260869556</v>
      </c>
      <c r="V185" s="55">
        <f t="shared" ca="1" si="47"/>
        <v>0</v>
      </c>
      <c r="W185" s="55">
        <f t="shared" ca="1" si="52"/>
        <v>-123.65577940693395</v>
      </c>
      <c r="X185" s="55">
        <f t="shared" ca="1" si="53"/>
        <v>120.86599704436831</v>
      </c>
      <c r="Y185" s="55">
        <f t="shared" ca="1" si="54"/>
        <v>40.761495209109981</v>
      </c>
      <c r="Z185">
        <f t="shared" ca="1" si="48"/>
        <v>0</v>
      </c>
      <c r="AA185">
        <f t="shared" ca="1" si="55"/>
        <v>305.99233455238311</v>
      </c>
      <c r="AB185">
        <f t="shared" ca="1" si="49"/>
        <v>0</v>
      </c>
      <c r="AC185">
        <f t="shared" ca="1" si="50"/>
        <v>0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5" priority="50" operator="containsText" text="Suggested">
      <formula>NOT(ISERROR(SEARCH("Suggested",H29)))</formula>
    </cfRule>
  </conditionalFormatting>
  <conditionalFormatting sqref="F29:G29">
    <cfRule type="expression" dxfId="24" priority="56">
      <formula>$B$29=1</formula>
    </cfRule>
  </conditionalFormatting>
  <conditionalFormatting sqref="F30:G30">
    <cfRule type="expression" dxfId="23" priority="63">
      <formula>$B$30=1</formula>
    </cfRule>
  </conditionalFormatting>
  <conditionalFormatting sqref="F31:G31">
    <cfRule type="expression" dxfId="22" priority="65">
      <formula>$B$31=1</formula>
    </cfRule>
  </conditionalFormatting>
  <conditionalFormatting sqref="F32:G32">
    <cfRule type="expression" dxfId="21" priority="67">
      <formula>$B$32=1</formula>
    </cfRule>
  </conditionalFormatting>
  <conditionalFormatting sqref="F33:G33">
    <cfRule type="expression" dxfId="20" priority="69">
      <formula>$B$33=1</formula>
    </cfRule>
  </conditionalFormatting>
  <conditionalFormatting sqref="F34:G34">
    <cfRule type="expression" dxfId="19" priority="71">
      <formula>$B$34=1</formula>
    </cfRule>
  </conditionalFormatting>
  <conditionalFormatting sqref="F35:G35">
    <cfRule type="expression" dxfId="18" priority="73">
      <formula>$B$35=1</formula>
    </cfRule>
  </conditionalFormatting>
  <conditionalFormatting sqref="F36">
    <cfRule type="expression" dxfId="17" priority="75">
      <formula>$B$36=1</formula>
    </cfRule>
  </conditionalFormatting>
  <conditionalFormatting sqref="F37:G37">
    <cfRule type="expression" dxfId="16" priority="77">
      <formula>$B$37=1</formula>
    </cfRule>
  </conditionalFormatting>
  <conditionalFormatting sqref="F38:G38">
    <cfRule type="expression" dxfId="15" priority="79">
      <formula>$B$38=1</formula>
    </cfRule>
  </conditionalFormatting>
  <conditionalFormatting sqref="F22:H24 C22:E23 C17:H21 D24 C25:H45">
    <cfRule type="expression" dxfId="14" priority="10">
      <formula>$B$1=1</formula>
    </cfRule>
  </conditionalFormatting>
  <conditionalFormatting sqref="C55:E56 F54:H55 C68:H71 C64:E67 F65:H66 F8:H15 C57:H63 C53:H53 C46:H46 C54 E54 C50:H50 C47:D49 F47:H49 C51:D52 F51:H52">
    <cfRule type="expression" dxfId="13" priority="9">
      <formula>NOT($B$1=3)</formula>
    </cfRule>
  </conditionalFormatting>
  <conditionalFormatting sqref="E15">
    <cfRule type="expression" dxfId="12" priority="7">
      <formula>NOT($B$1=1)</formula>
    </cfRule>
  </conditionalFormatting>
  <conditionalFormatting sqref="D72:E72">
    <cfRule type="expression" dxfId="11" priority="6">
      <formula>NOT($B$1=3)</formula>
    </cfRule>
  </conditionalFormatting>
  <conditionalFormatting sqref="C72">
    <cfRule type="expression" dxfId="10" priority="5">
      <formula>NOT($B$1=3)</formula>
    </cfRule>
  </conditionalFormatting>
  <conditionalFormatting sqref="G36">
    <cfRule type="expression" dxfId="9" priority="88">
      <formula>$B$36</formula>
    </cfRule>
  </conditionalFormatting>
  <conditionalFormatting sqref="F39:G39">
    <cfRule type="expression" dxfId="8" priority="91">
      <formula>$B$39=1</formula>
    </cfRule>
  </conditionalFormatting>
  <conditionalFormatting sqref="F40:G40">
    <cfRule type="expression" dxfId="7" priority="92">
      <formula>$B$40=1</formula>
    </cfRule>
  </conditionalFormatting>
  <conditionalFormatting sqref="F41:G41">
    <cfRule type="expression" dxfId="6" priority="93">
      <formula>$B$41=1</formula>
    </cfRule>
  </conditionalFormatting>
  <conditionalFormatting sqref="F42:G42">
    <cfRule type="expression" dxfId="5" priority="94">
      <formula>$B$42=1</formula>
    </cfRule>
  </conditionalFormatting>
  <conditionalFormatting sqref="F43:G43">
    <cfRule type="expression" dxfId="4" priority="95">
      <formula>$B$43=1</formula>
    </cfRule>
  </conditionalFormatting>
  <conditionalFormatting sqref="C24 E24">
    <cfRule type="expression" dxfId="3" priority="4">
      <formula>$B$1=1</formula>
    </cfRule>
  </conditionalFormatting>
  <conditionalFormatting sqref="D54">
    <cfRule type="expression" dxfId="2" priority="3">
      <formula>NOT($B$1=3)</formula>
    </cfRule>
  </conditionalFormatting>
  <conditionalFormatting sqref="E47:E49">
    <cfRule type="expression" dxfId="1" priority="2">
      <formula>NOT($B$1=3)</formula>
    </cfRule>
  </conditionalFormatting>
  <conditionalFormatting sqref="E51:E52">
    <cfRule type="expression" dxfId="0" priority="1">
      <formula>NOT($B$1=3)</formula>
    </cfRule>
  </conditionalFormatting>
  <dataValidations count="3">
    <dataValidation type="list" allowBlank="1" showInputMessage="1" showErrorMessage="1" sqref="E59:E60 D6 E48:E49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62:E63 E51:E52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279</v>
      </c>
    </row>
    <row r="2" spans="1:43">
      <c r="H2" t="s">
        <v>277</v>
      </c>
      <c r="I2">
        <f ca="1"/>
        <v>50</v>
      </c>
      <c r="J2">
        <f ca="1"/>
        <v>0</v>
      </c>
      <c r="K2">
        <f ca="1"/>
        <v>3</v>
      </c>
      <c r="L2">
        <f ca="1"/>
        <v>120</v>
      </c>
      <c r="M2">
        <f ca="1"/>
        <v>41</v>
      </c>
      <c r="N2">
        <f ca="1"/>
        <v>365</v>
      </c>
      <c r="O2">
        <f ca="1"/>
        <v>0</v>
      </c>
      <c r="P2">
        <f ca="1"/>
        <v>578</v>
      </c>
      <c r="Q2">
        <f ca="1">SUM(I2:O2)</f>
        <v>579</v>
      </c>
      <c r="R2">
        <f ca="1">Q2-P2</f>
        <v>1</v>
      </c>
    </row>
    <row r="3" spans="1:43">
      <c r="H3" t="s">
        <v>278</v>
      </c>
      <c r="I3">
        <f ca="1"/>
        <v>30</v>
      </c>
      <c r="J3">
        <f ca="1"/>
        <v>302</v>
      </c>
      <c r="K3">
        <f ca="1"/>
        <v>33</v>
      </c>
      <c r="L3">
        <f ca="1"/>
        <v>0</v>
      </c>
      <c r="M3">
        <f ca="1"/>
        <v>0</v>
      </c>
      <c r="N3">
        <f ca="1"/>
        <v>0</v>
      </c>
      <c r="O3">
        <f ca="1"/>
        <v>213</v>
      </c>
      <c r="P3">
        <f ca="1"/>
        <v>489</v>
      </c>
      <c r="Q3">
        <f ca="1">SUM(I3:O3)</f>
        <v>578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244</v>
      </c>
      <c r="B6" s="13" t="str">
        <f>Location</f>
        <v>levin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3</v>
      </c>
      <c r="AJ6">
        <f ca="1"/>
        <v>120</v>
      </c>
      <c r="AK6">
        <f ca="1"/>
        <v>41</v>
      </c>
      <c r="AL6">
        <f ca="1"/>
        <v>365</v>
      </c>
      <c r="AM6">
        <f ca="1"/>
        <v>0</v>
      </c>
      <c r="AN6">
        <f ca="1"/>
        <v>578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>B25+1</f>
        <v>45395</v>
      </c>
      <c r="K7" s="3">
        <v>50</v>
      </c>
      <c r="L7" s="3"/>
      <c r="M7" s="3">
        <f ca="1">SUMIF($I$12:$I$1005,TRUE,M12:M1005)</f>
        <v>40.761495209109981</v>
      </c>
      <c r="N7" s="3">
        <f ca="1">SUMIF($I$12:$I$1005,TRUE,N12:N1005)</f>
        <v>119.91795434538528</v>
      </c>
      <c r="O7" s="3">
        <f ca="1">SUMIF($I$12:$I$1005,TRUE,O12:O1005)</f>
        <v>364.53097405895176</v>
      </c>
      <c r="P7" s="3">
        <f ca="1">VLOOKUP(B36,ModelOutputs,P9,FALSE)-Q7</f>
        <v>0.25128695973703774</v>
      </c>
      <c r="Q7">
        <f ca="1">VLOOKUP(B36,ModelOutputs,Q9,FALSE)</f>
        <v>2.2864351940908523</v>
      </c>
      <c r="R7" s="13"/>
      <c r="W7" s="3">
        <f ca="1">MAX(0,X8-X7)</f>
        <v>0</v>
      </c>
      <c r="X7" s="3">
        <f ca="1">SUM(K7:R7)</f>
        <v>577.74814576727488</v>
      </c>
      <c r="AA7" s="3"/>
      <c r="AG7">
        <f ca="1"/>
        <v>30</v>
      </c>
      <c r="AH7">
        <f ca="1"/>
        <v>302</v>
      </c>
      <c r="AI7">
        <f ca="1"/>
        <v>33</v>
      </c>
      <c r="AJ7">
        <f ca="1"/>
        <v>0</v>
      </c>
      <c r="AK7">
        <f ca="1"/>
        <v>0</v>
      </c>
      <c r="AL7">
        <f ca="1"/>
        <v>0</v>
      </c>
      <c r="AM7">
        <f ca="1"/>
        <v>213</v>
      </c>
      <c r="AN7">
        <f ca="1"/>
        <v>489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 ca="1">B38</f>
        <v>45561</v>
      </c>
      <c r="K8" s="24">
        <f ca="1">VLOOKUP(J8,ModelOutputs,2,FALSE)</f>
        <v>29.523855084532467</v>
      </c>
      <c r="L8" s="27"/>
      <c r="M8" s="25"/>
      <c r="N8" s="25"/>
      <c r="O8" s="25"/>
      <c r="P8" s="24">
        <f ca="1">(VLOOKUP($J$8,ModelOutputs,P9,FALSE)-VLOOKUP($J$7+1,ModelOutputs,P9,FALSE))-Q8</f>
        <v>33.234782608695639</v>
      </c>
      <c r="Q8" s="26">
        <f ca="1">VLOOKUP($J$8,ModelOutputs,Q9,FALSE)-VLOOKUP($J$7+1,ModelOutputs,Q9,FALSE)</f>
        <v>302.39999999999992</v>
      </c>
      <c r="R8" s="27">
        <f ca="1">SUMIF($I$12:$I$1005,TRUE,R12:R1005)</f>
        <v>123.65577940693395</v>
      </c>
      <c r="S8" s="3"/>
      <c r="T8" s="3"/>
      <c r="U8" s="3"/>
      <c r="V8" s="3"/>
      <c r="W8" s="3">
        <f ca="1">MAX(0,X7-X8)</f>
        <v>88.933728667112916</v>
      </c>
      <c r="X8" s="3">
        <f ca="1">SUM(K8:R8)</f>
        <v>488.81441710016196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>
        <f>IF(ConceptDemo!C29="","",ConceptDemo!C29)</f>
        <v>45444</v>
      </c>
      <c r="E9" s="38">
        <f>IF(ConceptDemo!D29="","",ConceptDemo!D29)</f>
        <v>100</v>
      </c>
      <c r="L9">
        <f ca="1">SUMIF(H11:H1004,FALSE,L11:L1004)</f>
        <v>152.48912852492705</v>
      </c>
      <c r="M9">
        <f ca="1">SUMIF(H11:H1004,TRUE,M11:M1004)</f>
        <v>40.734865631519227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55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45394</v>
      </c>
      <c r="K11">
        <f ca="1"/>
        <v>0</v>
      </c>
      <c r="L11">
        <f ca="1"/>
        <v>1.9699506326554967</v>
      </c>
      <c r="M11">
        <f ca="1"/>
        <v>0</v>
      </c>
      <c r="N11" s="4">
        <f ca="1"/>
        <v>0.94804269898302018</v>
      </c>
      <c r="O11">
        <f ca="1"/>
        <v>0</v>
      </c>
      <c r="P11">
        <f ca="1"/>
        <v>166.4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0.99999999997015498</v>
      </c>
      <c r="X11" s="2">
        <f t="shared" ref="X11:X74" ca="1" si="1">IFERROR(J11,$X$9)</f>
        <v>45394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45395</v>
      </c>
      <c r="K12">
        <f ca="1"/>
        <v>50.850827748374364</v>
      </c>
      <c r="L12">
        <f ca="1"/>
        <v>0</v>
      </c>
      <c r="M12">
        <f ca="1"/>
        <v>-5.412604812147534E-2</v>
      </c>
      <c r="N12" s="4">
        <f ca="1"/>
        <v>0.9049537964958364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0.94304347826086943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45395</v>
      </c>
      <c r="Y12">
        <f t="shared" ca="1" si="2"/>
        <v>0</v>
      </c>
      <c r="Z12" s="3"/>
      <c r="AA12" s="63">
        <f ca="1">K11+M12+N12+O12</f>
        <v>0.85082774837436104</v>
      </c>
      <c r="AB12" s="63">
        <f ca="1">K12+L12+R12</f>
        <v>50.850827748374364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45396</v>
      </c>
      <c r="K13">
        <f ca="1"/>
        <v>51.801643777927367</v>
      </c>
      <c r="L13">
        <f ca="1"/>
        <v>0</v>
      </c>
      <c r="M13">
        <f ca="1"/>
        <v>4.1047358943445439E-2</v>
      </c>
      <c r="N13" s="4">
        <f ca="1"/>
        <v>0.90976867060955846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0.92793232514177704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45396</v>
      </c>
      <c r="Y13">
        <f t="shared" ca="1" si="2"/>
        <v>0</v>
      </c>
      <c r="AA13" s="63">
        <f t="shared" ref="AA13:AA76" ca="1" si="4">K12+M13+N13+O13</f>
        <v>51.801643777927367</v>
      </c>
      <c r="AB13" s="63">
        <f t="shared" ref="AB13:AB76" ca="1" si="5">K13+L13+R13</f>
        <v>51.801643777927367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45397</v>
      </c>
      <c r="K14">
        <f ca="1"/>
        <v>52.590048119685456</v>
      </c>
      <c r="L14">
        <f ca="1"/>
        <v>0</v>
      </c>
      <c r="M14">
        <f ca="1"/>
        <v>0.13060692611219282</v>
      </c>
      <c r="N14" s="4">
        <f ca="1"/>
        <v>0.95917279619295259</v>
      </c>
      <c r="O14">
        <f ca="1"/>
        <v>0</v>
      </c>
      <c r="P14">
        <f ca="1"/>
        <v>0</v>
      </c>
      <c r="Q14">
        <f ca="1"/>
        <v>0</v>
      </c>
      <c r="R14">
        <f ca="1"/>
        <v>0.30137538054705365</v>
      </c>
      <c r="S14">
        <f ca="1"/>
        <v>1</v>
      </c>
      <c r="T14">
        <f ca="1"/>
        <v>1.0405661587901704</v>
      </c>
      <c r="U14">
        <f ca="1"/>
        <v>0</v>
      </c>
      <c r="V14">
        <f ca="1"/>
        <v>0</v>
      </c>
      <c r="X14" s="2">
        <f t="shared" ca="1" si="1"/>
        <v>45397</v>
      </c>
      <c r="Y14">
        <f t="shared" ca="1" si="2"/>
        <v>0</v>
      </c>
      <c r="AA14" s="63">
        <f t="shared" ca="1" si="4"/>
        <v>52.891423500232513</v>
      </c>
      <c r="AB14" s="63">
        <f t="shared" ca="1" si="5"/>
        <v>52.891423500232513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45398</v>
      </c>
      <c r="K15">
        <f ca="1"/>
        <v>53.153285739145062</v>
      </c>
      <c r="L15">
        <f ca="1"/>
        <v>0</v>
      </c>
      <c r="M15">
        <f ca="1"/>
        <v>0.20656269595563381</v>
      </c>
      <c r="N15" s="4">
        <f ca="1"/>
        <v>0.93627683930299921</v>
      </c>
      <c r="O15">
        <f ca="1"/>
        <v>0</v>
      </c>
      <c r="P15">
        <f ca="1"/>
        <v>0</v>
      </c>
      <c r="Q15">
        <f ca="1"/>
        <v>0</v>
      </c>
      <c r="R15">
        <f ca="1"/>
        <v>0.57960191579902631</v>
      </c>
      <c r="S15">
        <f ca="1"/>
        <v>1</v>
      </c>
      <c r="T15">
        <f ca="1"/>
        <v>1.980000000000004</v>
      </c>
      <c r="U15">
        <f ca="1"/>
        <v>0</v>
      </c>
      <c r="V15">
        <f ca="1"/>
        <v>0</v>
      </c>
      <c r="X15" s="2">
        <f t="shared" ca="1" si="1"/>
        <v>45398</v>
      </c>
      <c r="Y15">
        <f t="shared" ca="1" si="2"/>
        <v>0</v>
      </c>
      <c r="AA15" s="63">
        <f t="shared" ca="1" si="4"/>
        <v>53.732887654944086</v>
      </c>
      <c r="AB15" s="63">
        <f t="shared" ca="1" si="5"/>
        <v>53.732887654944086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Turnip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45399</v>
      </c>
      <c r="K16">
        <f ca="1"/>
        <v>54.137560445364052</v>
      </c>
      <c r="L16">
        <f ca="1"/>
        <v>0</v>
      </c>
      <c r="M16">
        <f ca="1"/>
        <v>0.2773038789702611</v>
      </c>
      <c r="N16" s="4">
        <f ca="1"/>
        <v>0.9395269564662081</v>
      </c>
      <c r="O16">
        <f ca="1"/>
        <v>0</v>
      </c>
      <c r="P16">
        <f ca="1"/>
        <v>0</v>
      </c>
      <c r="Q16">
        <f ca="1"/>
        <v>0</v>
      </c>
      <c r="R16">
        <f ca="1"/>
        <v>0.2325561292174772</v>
      </c>
      <c r="S16">
        <f ca="1"/>
        <v>1</v>
      </c>
      <c r="T16">
        <f ca="1"/>
        <v>0.78000000000000114</v>
      </c>
      <c r="U16">
        <f ca="1"/>
        <v>0</v>
      </c>
      <c r="V16">
        <f ca="1"/>
        <v>0</v>
      </c>
      <c r="X16" s="2">
        <f t="shared" ca="1" si="1"/>
        <v>45399</v>
      </c>
      <c r="Y16">
        <f t="shared" ca="1" si="2"/>
        <v>0</v>
      </c>
      <c r="AA16" s="63">
        <f t="shared" ca="1" si="4"/>
        <v>54.37011657458153</v>
      </c>
      <c r="AB16" s="63">
        <f t="shared" ca="1" si="5"/>
        <v>54.37011657458153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8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45400</v>
      </c>
      <c r="K17">
        <f ca="1"/>
        <v>55.341017743000542</v>
      </c>
      <c r="L17">
        <f ca="1"/>
        <v>0</v>
      </c>
      <c r="M17">
        <f ca="1"/>
        <v>0.32216035023218303</v>
      </c>
      <c r="N17" s="4">
        <f ca="1"/>
        <v>0.88129694740430908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0.99855072463768102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45400</v>
      </c>
      <c r="Y17">
        <f t="shared" ca="1" si="2"/>
        <v>0</v>
      </c>
      <c r="AA17" s="63">
        <f t="shared" ca="1" si="4"/>
        <v>55.341017743000542</v>
      </c>
      <c r="AB17" s="63">
        <f t="shared" ca="1" si="5"/>
        <v>55.341017743000542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>
        <f>IF(ConceptDemo!C38="","",ConceptDemo!C38)</f>
        <v>45458</v>
      </c>
      <c r="E18" s="17">
        <f>IF(ConceptDemo!D38="","",ConceptDemo!D38)</f>
        <v>53</v>
      </c>
      <c r="H18" t="b">
        <f t="shared" ca="1" si="3"/>
        <v>1</v>
      </c>
      <c r="I18" t="b">
        <f t="shared" ca="1" si="0"/>
        <v>1</v>
      </c>
      <c r="J18" s="2">
        <f ca="1"/>
        <v>45401</v>
      </c>
      <c r="K18">
        <f ca="1"/>
        <v>56.743175572154449</v>
      </c>
      <c r="L18">
        <f ca="1"/>
        <v>0</v>
      </c>
      <c r="M18">
        <f ca="1"/>
        <v>0.41220932446361802</v>
      </c>
      <c r="N18" s="4">
        <f ca="1"/>
        <v>0.98994850469028883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0.99076013442554089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45401</v>
      </c>
      <c r="Y18">
        <f t="shared" ca="1" si="2"/>
        <v>0</v>
      </c>
      <c r="AA18" s="63">
        <f t="shared" ca="1" si="4"/>
        <v>56.743175572154449</v>
      </c>
      <c r="AB18" s="63">
        <f t="shared" ca="1" si="5"/>
        <v>56.743175572154449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45402</v>
      </c>
      <c r="K19">
        <f ca="1"/>
        <v>58.198739771768146</v>
      </c>
      <c r="L19">
        <f ca="1"/>
        <v>0</v>
      </c>
      <c r="M19">
        <f ca="1"/>
        <v>0.46645527352436789</v>
      </c>
      <c r="N19" s="4">
        <f ca="1"/>
        <v>0.9891089260893321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0.99907962131935502</v>
      </c>
      <c r="T19">
        <f ca="1"/>
        <v>0</v>
      </c>
      <c r="U19">
        <f ca="1"/>
        <v>0</v>
      </c>
      <c r="V19">
        <f ca="1"/>
        <v>0</v>
      </c>
      <c r="X19" s="2">
        <f t="shared" ca="1" si="1"/>
        <v>45402</v>
      </c>
      <c r="Y19">
        <f t="shared" ca="1" si="2"/>
        <v>0</v>
      </c>
      <c r="AA19" s="63">
        <f t="shared" ca="1" si="4"/>
        <v>58.198739771768146</v>
      </c>
      <c r="AB19" s="63">
        <f t="shared" ca="1" si="5"/>
        <v>58.198739771768146</v>
      </c>
      <c r="AC19" s="3">
        <f t="shared" ca="1" si="6"/>
        <v>0</v>
      </c>
    </row>
    <row r="20" spans="1:29">
      <c r="A20" s="6" t="s">
        <v>112</v>
      </c>
      <c r="B20" s="32">
        <f>PriorFieldLoss</f>
        <v>1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45403</v>
      </c>
      <c r="K20">
        <f ca="1"/>
        <v>59.62160884438245</v>
      </c>
      <c r="L20">
        <f ca="1"/>
        <v>0</v>
      </c>
      <c r="M20">
        <f ca="1"/>
        <v>0.48983544579178639</v>
      </c>
      <c r="N20" s="4">
        <f ca="1"/>
        <v>0.93303362682251911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0.98620321303833858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45403</v>
      </c>
      <c r="Y20">
        <f t="shared" ca="1" si="2"/>
        <v>0</v>
      </c>
      <c r="AA20" s="63">
        <f t="shared" ca="1" si="4"/>
        <v>59.62160884438245</v>
      </c>
      <c r="AB20" s="63">
        <f t="shared" ca="1" si="5"/>
        <v>59.62160884438245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45404</v>
      </c>
      <c r="K21">
        <f ca="1"/>
        <v>61.12019199490679</v>
      </c>
      <c r="L21">
        <f ca="1"/>
        <v>0</v>
      </c>
      <c r="M21">
        <f ca="1"/>
        <v>0.54023390239919511</v>
      </c>
      <c r="N21" s="4">
        <f ca="1"/>
        <v>0.95834924812514766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0.96668206280972946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45404</v>
      </c>
      <c r="Y21">
        <f t="shared" ca="1" si="2"/>
        <v>0</v>
      </c>
      <c r="AA21" s="63">
        <f t="shared" ca="1" si="4"/>
        <v>61.12019199490679</v>
      </c>
      <c r="AB21" s="63">
        <f t="shared" ca="1" si="5"/>
        <v>61.12019199490679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45405</v>
      </c>
      <c r="K22">
        <f ca="1"/>
        <v>62.769193065259138</v>
      </c>
      <c r="L22">
        <f ca="1"/>
        <v>0</v>
      </c>
      <c r="M22">
        <f ca="1"/>
        <v>0.61393313230556101</v>
      </c>
      <c r="N22" s="4">
        <f ca="1"/>
        <v>1.0350679380467873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0.98121311122655019</v>
      </c>
      <c r="T22">
        <f ca="1"/>
        <v>0</v>
      </c>
      <c r="U22">
        <f ca="1"/>
        <v>0</v>
      </c>
      <c r="V22">
        <f ca="1"/>
        <v>0</v>
      </c>
      <c r="X22" s="2">
        <f t="shared" ca="1" si="1"/>
        <v>45405</v>
      </c>
      <c r="Y22">
        <f t="shared" ca="1" si="2"/>
        <v>0</v>
      </c>
      <c r="AA22" s="63">
        <f t="shared" ca="1" si="4"/>
        <v>62.769193065259138</v>
      </c>
      <c r="AB22" s="63">
        <f t="shared" ca="1" si="5"/>
        <v>62.769193065259138</v>
      </c>
      <c r="AC22" s="3">
        <f t="shared" ca="1" si="6"/>
        <v>0</v>
      </c>
    </row>
    <row r="23" spans="1:29" ht="15" thickBot="1">
      <c r="A23" s="6" t="s">
        <v>115</v>
      </c>
      <c r="B23" s="34">
        <f>PriorEstablishDate</f>
        <v>45269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45406</v>
      </c>
      <c r="K23">
        <f ca="1"/>
        <v>62.791709652301442</v>
      </c>
      <c r="L23">
        <f ca="1"/>
        <v>0</v>
      </c>
      <c r="M23">
        <f ca="1"/>
        <v>0.63001982916634036</v>
      </c>
      <c r="N23" s="4">
        <f ca="1"/>
        <v>1.0009025259631787</v>
      </c>
      <c r="O23">
        <f ca="1"/>
        <v>0</v>
      </c>
      <c r="P23">
        <f ca="1"/>
        <v>0</v>
      </c>
      <c r="Q23">
        <f ca="1"/>
        <v>0</v>
      </c>
      <c r="R23">
        <f ca="1"/>
        <v>1.6084057680872133</v>
      </c>
      <c r="S23">
        <f ca="1"/>
        <v>1</v>
      </c>
      <c r="T23">
        <f ca="1"/>
        <v>4.6511335322412037</v>
      </c>
      <c r="U23">
        <f ca="1"/>
        <v>0</v>
      </c>
      <c r="V23">
        <f ca="1"/>
        <v>0</v>
      </c>
      <c r="X23" s="2">
        <f t="shared" ca="1" si="1"/>
        <v>45406</v>
      </c>
      <c r="Y23">
        <f t="shared" ca="1" si="2"/>
        <v>0</v>
      </c>
      <c r="AA23" s="63">
        <f t="shared" ca="1" si="4"/>
        <v>64.400115420388659</v>
      </c>
      <c r="AB23" s="63">
        <f t="shared" ca="1" si="5"/>
        <v>64.400115420388659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45407</v>
      </c>
      <c r="K24">
        <f ca="1"/>
        <v>64.388259526254714</v>
      </c>
      <c r="L24">
        <f ca="1"/>
        <v>0</v>
      </c>
      <c r="M24">
        <f ca="1"/>
        <v>0.63572868376125413</v>
      </c>
      <c r="N24" s="4">
        <f ca="1"/>
        <v>0.96082119019201961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0.98840579710144927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45407</v>
      </c>
      <c r="Y24">
        <f t="shared" ca="1" si="2"/>
        <v>0</v>
      </c>
      <c r="AA24" s="63">
        <f t="shared" ca="1" si="4"/>
        <v>64.388259526254714</v>
      </c>
      <c r="AB24" s="63">
        <f t="shared" ca="1" si="5"/>
        <v>64.388259526254714</v>
      </c>
      <c r="AC24" s="3">
        <f t="shared" ca="1" si="6"/>
        <v>0</v>
      </c>
    </row>
    <row r="25" spans="1:29">
      <c r="A25" s="6" t="s">
        <v>117</v>
      </c>
      <c r="B25" s="34">
        <f>PriorHarvestDate</f>
        <v>45394</v>
      </c>
      <c r="H25" t="b">
        <f t="shared" ca="1" si="3"/>
        <v>1</v>
      </c>
      <c r="I25" t="b">
        <f t="shared" ca="1" si="0"/>
        <v>1</v>
      </c>
      <c r="J25" s="2">
        <f ca="1"/>
        <v>45408</v>
      </c>
      <c r="K25">
        <f ca="1"/>
        <v>65.318713437652619</v>
      </c>
      <c r="L25">
        <f ca="1"/>
        <v>0</v>
      </c>
      <c r="M25">
        <f ca="1"/>
        <v>0.69865384964239574</v>
      </c>
      <c r="N25" s="4">
        <f ca="1"/>
        <v>1.0333431300500728</v>
      </c>
      <c r="O25">
        <f ca="1"/>
        <v>0</v>
      </c>
      <c r="P25">
        <f ca="1"/>
        <v>0</v>
      </c>
      <c r="Q25">
        <f ca="1"/>
        <v>0</v>
      </c>
      <c r="R25">
        <f ca="1"/>
        <v>0.80154306829456434</v>
      </c>
      <c r="S25">
        <f ca="1"/>
        <v>1</v>
      </c>
      <c r="T25">
        <f ca="1"/>
        <v>2.2282028985507196</v>
      </c>
      <c r="U25">
        <f ca="1"/>
        <v>0</v>
      </c>
      <c r="V25">
        <f ca="1"/>
        <v>0</v>
      </c>
      <c r="X25" s="2">
        <f t="shared" ca="1" si="1"/>
        <v>45408</v>
      </c>
      <c r="Y25">
        <f t="shared" ca="1" si="2"/>
        <v>0</v>
      </c>
      <c r="AA25" s="63">
        <f t="shared" ca="1" si="4"/>
        <v>66.120256505947182</v>
      </c>
      <c r="AB25" s="63">
        <f t="shared" ca="1" si="5"/>
        <v>66.120256505947182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45409</v>
      </c>
      <c r="K26">
        <f ca="1"/>
        <v>65.436265591389727</v>
      </c>
      <c r="L26">
        <f ca="1"/>
        <v>0</v>
      </c>
      <c r="M26">
        <f ca="1"/>
        <v>0.685048871438938</v>
      </c>
      <c r="N26" s="4">
        <f ca="1"/>
        <v>0.9749024469044919</v>
      </c>
      <c r="O26">
        <f ca="1"/>
        <v>0</v>
      </c>
      <c r="P26">
        <f ca="1"/>
        <v>0</v>
      </c>
      <c r="Q26">
        <f ca="1"/>
        <v>0</v>
      </c>
      <c r="R26">
        <f ca="1"/>
        <v>1.5423991646063231</v>
      </c>
      <c r="S26">
        <f ca="1"/>
        <v>1</v>
      </c>
      <c r="T26">
        <f ca="1"/>
        <v>4.2800000000000011</v>
      </c>
      <c r="U26">
        <f ca="1"/>
        <v>0</v>
      </c>
      <c r="V26">
        <f ca="1"/>
        <v>0</v>
      </c>
      <c r="X26" s="2">
        <f t="shared" ca="1" si="1"/>
        <v>45409</v>
      </c>
      <c r="Y26">
        <f t="shared" ca="1" si="2"/>
        <v>0</v>
      </c>
      <c r="AA26" s="63">
        <f t="shared" ca="1" si="4"/>
        <v>66.97866475599605</v>
      </c>
      <c r="AB26" s="63">
        <f t="shared" ca="1" si="5"/>
        <v>66.97866475599605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45410</v>
      </c>
      <c r="K27">
        <f ca="1"/>
        <v>65.924998772428864</v>
      </c>
      <c r="L27">
        <f ca="1"/>
        <v>0</v>
      </c>
      <c r="M27">
        <f ca="1"/>
        <v>0.68705337716058157</v>
      </c>
      <c r="N27" s="4">
        <f ca="1"/>
        <v>0.95259652157808161</v>
      </c>
      <c r="O27">
        <f ca="1"/>
        <v>0</v>
      </c>
      <c r="P27">
        <f ca="1"/>
        <v>0</v>
      </c>
      <c r="Q27">
        <f ca="1"/>
        <v>0</v>
      </c>
      <c r="R27">
        <f ca="1"/>
        <v>1.1509167176995339</v>
      </c>
      <c r="S27">
        <f ca="1"/>
        <v>1</v>
      </c>
      <c r="T27">
        <f ca="1"/>
        <v>3.1700000000000017</v>
      </c>
      <c r="U27">
        <f ca="1"/>
        <v>0</v>
      </c>
      <c r="V27">
        <f ca="1"/>
        <v>0</v>
      </c>
      <c r="X27" s="2">
        <f t="shared" ca="1" si="1"/>
        <v>45410</v>
      </c>
      <c r="Y27">
        <f t="shared" ca="1" si="2"/>
        <v>0</v>
      </c>
      <c r="AA27" s="63">
        <f t="shared" ca="1" si="4"/>
        <v>67.075915490128395</v>
      </c>
      <c r="AB27" s="63">
        <f t="shared" ca="1" si="5"/>
        <v>67.075915490128395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45411</v>
      </c>
      <c r="K28">
        <f ca="1"/>
        <v>66.16683504090372</v>
      </c>
      <c r="L28">
        <f ca="1"/>
        <v>0</v>
      </c>
      <c r="M28">
        <f ca="1"/>
        <v>0.68945638496054151</v>
      </c>
      <c r="N28" s="4">
        <f ca="1"/>
        <v>0.93708872118192987</v>
      </c>
      <c r="O28">
        <f ca="1"/>
        <v>0</v>
      </c>
      <c r="P28">
        <f ca="1"/>
        <v>0</v>
      </c>
      <c r="Q28">
        <f ca="1"/>
        <v>0</v>
      </c>
      <c r="R28">
        <f ca="1"/>
        <v>1.3847088376676124</v>
      </c>
      <c r="S28">
        <f ca="1"/>
        <v>1</v>
      </c>
      <c r="T28">
        <f ca="1"/>
        <v>3.8000000000000114</v>
      </c>
      <c r="U28">
        <f ca="1"/>
        <v>0</v>
      </c>
      <c r="V28">
        <f ca="1"/>
        <v>0</v>
      </c>
      <c r="X28" s="2">
        <f t="shared" ca="1" si="1"/>
        <v>45411</v>
      </c>
      <c r="Y28">
        <f t="shared" ca="1" si="2"/>
        <v>0</v>
      </c>
      <c r="AA28" s="63">
        <f t="shared" ca="1" si="4"/>
        <v>67.551543878571337</v>
      </c>
      <c r="AB28" s="63">
        <f t="shared" ca="1" si="5"/>
        <v>67.551543878571337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GroundStore Potato Short (Group1)</v>
      </c>
      <c r="H29" t="b">
        <f t="shared" ca="1" si="3"/>
        <v>1</v>
      </c>
      <c r="I29" t="b">
        <f t="shared" ca="1" si="0"/>
        <v>1</v>
      </c>
      <c r="J29" s="2">
        <f ca="1"/>
        <v>45412</v>
      </c>
      <c r="K29">
        <f ca="1"/>
        <v>67.584101911910153</v>
      </c>
      <c r="L29">
        <f ca="1"/>
        <v>0</v>
      </c>
      <c r="M29">
        <f ca="1"/>
        <v>0.61719827586997411</v>
      </c>
      <c r="N29" s="4">
        <f ca="1"/>
        <v>0.80006859513645323</v>
      </c>
      <c r="O29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0.97927536231884049</v>
      </c>
      <c r="T29">
        <f ca="1"/>
        <v>0</v>
      </c>
      <c r="U29">
        <f ca="1"/>
        <v>0</v>
      </c>
      <c r="V29">
        <f ca="1"/>
        <v>0</v>
      </c>
      <c r="X29" s="2">
        <f t="shared" ca="1" si="1"/>
        <v>45412</v>
      </c>
      <c r="Y29">
        <f t="shared" ca="1" si="2"/>
        <v>0</v>
      </c>
      <c r="AA29" s="63">
        <f t="shared" ca="1" si="4"/>
        <v>67.584101911910153</v>
      </c>
      <c r="AB29" s="63">
        <f t="shared" ca="1" si="5"/>
        <v>67.584101911910153</v>
      </c>
      <c r="AC29" s="3">
        <f t="shared" ca="1" si="6"/>
        <v>0</v>
      </c>
    </row>
    <row r="30" spans="1:29">
      <c r="A30" s="9" t="s">
        <v>236</v>
      </c>
      <c r="B30" s="11">
        <f>CurrentYield</f>
        <v>80</v>
      </c>
      <c r="H30" t="b">
        <f t="shared" ca="1" si="3"/>
        <v>1</v>
      </c>
      <c r="I30" t="b">
        <f t="shared" ca="1" si="0"/>
        <v>1</v>
      </c>
      <c r="J30" s="2">
        <f ca="1"/>
        <v>45413</v>
      </c>
      <c r="K30">
        <f ca="1"/>
        <v>69.003043341987421</v>
      </c>
      <c r="L30">
        <f ca="1"/>
        <v>0</v>
      </c>
      <c r="M30">
        <f ca="1"/>
        <v>0.62108010915692802</v>
      </c>
      <c r="N30" s="4">
        <f ca="1"/>
        <v>0.79786132092034867</v>
      </c>
      <c r="O30">
        <f ca="1"/>
        <v>0</v>
      </c>
      <c r="P30">
        <f ca="1"/>
        <v>0</v>
      </c>
      <c r="Q30">
        <f ca="1"/>
        <v>0</v>
      </c>
      <c r="R30">
        <f ca="1"/>
        <v>0</v>
      </c>
      <c r="S30">
        <f ca="1"/>
        <v>0.96058044528460396</v>
      </c>
      <c r="T30">
        <f ca="1"/>
        <v>0</v>
      </c>
      <c r="U30">
        <f ca="1"/>
        <v>0</v>
      </c>
      <c r="V30">
        <f ca="1"/>
        <v>0</v>
      </c>
      <c r="X30" s="2">
        <f t="shared" ca="1" si="1"/>
        <v>45413</v>
      </c>
      <c r="Y30">
        <f t="shared" ca="1" si="2"/>
        <v>0</v>
      </c>
      <c r="AA30" s="63">
        <f t="shared" ca="1" si="4"/>
        <v>69.003043341987436</v>
      </c>
      <c r="AB30" s="63">
        <f t="shared" ca="1" si="5"/>
        <v>69.003043341987421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45414</v>
      </c>
      <c r="K31">
        <f ca="1"/>
        <v>70.576266700642421</v>
      </c>
      <c r="L31">
        <f ca="1"/>
        <v>0</v>
      </c>
      <c r="M31">
        <f ca="1"/>
        <v>0.68093656238926492</v>
      </c>
      <c r="N31" s="4">
        <f ca="1"/>
        <v>0.8922867962657407</v>
      </c>
      <c r="O31">
        <f ca="1"/>
        <v>0</v>
      </c>
      <c r="P31">
        <f ca="1"/>
        <v>0</v>
      </c>
      <c r="Q31">
        <f ca="1"/>
        <v>0</v>
      </c>
      <c r="R31">
        <f ca="1"/>
        <v>0</v>
      </c>
      <c r="S31">
        <f ca="1"/>
        <v>0.97154232880986513</v>
      </c>
      <c r="T31">
        <f ca="1"/>
        <v>0</v>
      </c>
      <c r="U31">
        <f ca="1"/>
        <v>0</v>
      </c>
      <c r="V31">
        <f ca="1"/>
        <v>0</v>
      </c>
      <c r="X31" s="2">
        <f t="shared" ca="1" si="1"/>
        <v>45414</v>
      </c>
      <c r="Y31">
        <f t="shared" ca="1" si="2"/>
        <v>0</v>
      </c>
      <c r="AA31" s="63">
        <f t="shared" ca="1" si="4"/>
        <v>70.576266700642421</v>
      </c>
      <c r="AB31" s="63">
        <f t="shared" ca="1" si="5"/>
        <v>70.576266700642421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45415</v>
      </c>
      <c r="K32">
        <f ca="1"/>
        <v>72.158369381610171</v>
      </c>
      <c r="L32">
        <f ca="1"/>
        <v>0</v>
      </c>
      <c r="M32">
        <f ca="1"/>
        <v>0.6858705546117001</v>
      </c>
      <c r="N32" s="4">
        <f ca="1"/>
        <v>0.89623212635605998</v>
      </c>
      <c r="O32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0.99868741429653984</v>
      </c>
      <c r="T32">
        <f ca="1"/>
        <v>0</v>
      </c>
      <c r="U32">
        <f ca="1"/>
        <v>0</v>
      </c>
      <c r="V32">
        <f ca="1"/>
        <v>0</v>
      </c>
      <c r="X32" s="2">
        <f t="shared" ca="1" si="1"/>
        <v>45415</v>
      </c>
      <c r="Y32">
        <f t="shared" ca="1" si="2"/>
        <v>0</v>
      </c>
      <c r="AA32" s="63">
        <f t="shared" ca="1" si="4"/>
        <v>72.158369381610171</v>
      </c>
      <c r="AB32" s="63">
        <f t="shared" ca="1" si="5"/>
        <v>72.158369381610171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45416</v>
      </c>
      <c r="K33">
        <f ca="1"/>
        <v>72.418757070282425</v>
      </c>
      <c r="L33">
        <f ca="1"/>
        <v>0</v>
      </c>
      <c r="M33">
        <f ca="1"/>
        <v>0.70856229552215666</v>
      </c>
      <c r="N33" s="4">
        <f ca="1"/>
        <v>0.93222390226459795</v>
      </c>
      <c r="O33">
        <f ca="1"/>
        <v>0</v>
      </c>
      <c r="P33">
        <f ca="1"/>
        <v>0</v>
      </c>
      <c r="Q33">
        <f ca="1"/>
        <v>0</v>
      </c>
      <c r="R33">
        <f ca="1"/>
        <v>1.3803985091145023</v>
      </c>
      <c r="S33">
        <f ca="1"/>
        <v>1</v>
      </c>
      <c r="T33">
        <f ca="1"/>
        <v>3.4611379478757414</v>
      </c>
      <c r="U33">
        <f ca="1"/>
        <v>0</v>
      </c>
      <c r="V33">
        <f ca="1"/>
        <v>0</v>
      </c>
      <c r="X33" s="2">
        <f t="shared" ca="1" si="1"/>
        <v>45416</v>
      </c>
      <c r="Y33">
        <f t="shared" ca="1" si="2"/>
        <v>0</v>
      </c>
      <c r="AA33" s="63">
        <f t="shared" ca="1" si="4"/>
        <v>73.799155579396924</v>
      </c>
      <c r="AB33" s="63">
        <f t="shared" ca="1" si="5"/>
        <v>73.799155579396924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45417</v>
      </c>
      <c r="K34">
        <f ca="1"/>
        <v>73.584090197495243</v>
      </c>
      <c r="L34">
        <f ca="1"/>
        <v>0</v>
      </c>
      <c r="M34">
        <f ca="1"/>
        <v>0.6924057934971799</v>
      </c>
      <c r="N34" s="4">
        <f ca="1"/>
        <v>0.90654024783594822</v>
      </c>
      <c r="O34">
        <f ca="1"/>
        <v>0</v>
      </c>
      <c r="P34">
        <f ca="1"/>
        <v>0</v>
      </c>
      <c r="Q34">
        <f ca="1"/>
        <v>0</v>
      </c>
      <c r="R34">
        <f ca="1"/>
        <v>0.43361291412031544</v>
      </c>
      <c r="S34">
        <f ca="1"/>
        <v>1</v>
      </c>
      <c r="T34">
        <f ca="1"/>
        <v>1.0700000000000074</v>
      </c>
      <c r="U34">
        <f ca="1"/>
        <v>0</v>
      </c>
      <c r="V34">
        <f ca="1"/>
        <v>0</v>
      </c>
      <c r="X34" s="2">
        <f t="shared" ca="1" si="1"/>
        <v>45417</v>
      </c>
      <c r="Y34">
        <f t="shared" ca="1" si="2"/>
        <v>0</v>
      </c>
      <c r="AA34" s="63">
        <f t="shared" ca="1" si="4"/>
        <v>74.01770311161556</v>
      </c>
      <c r="AB34" s="63">
        <f t="shared" ca="1" si="5"/>
        <v>74.01770311161556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79</v>
      </c>
      <c r="H35" t="b">
        <f t="shared" ca="1" si="3"/>
        <v>1</v>
      </c>
      <c r="I35" t="b">
        <f t="shared" ca="1" si="0"/>
        <v>1</v>
      </c>
      <c r="J35" s="2">
        <f ca="1"/>
        <v>45418</v>
      </c>
      <c r="K35">
        <f ca="1"/>
        <v>73.444811225436524</v>
      </c>
      <c r="L35">
        <f ca="1"/>
        <v>0</v>
      </c>
      <c r="M35">
        <f ca="1"/>
        <v>0.66278897448076002</v>
      </c>
      <c r="N35" s="4">
        <f ca="1"/>
        <v>0.86033938928496634</v>
      </c>
      <c r="O35">
        <f ca="1"/>
        <v>0</v>
      </c>
      <c r="P35">
        <f ca="1"/>
        <v>0</v>
      </c>
      <c r="Q35">
        <f ca="1"/>
        <v>0</v>
      </c>
      <c r="R35">
        <f ca="1"/>
        <v>1.6624073358244453</v>
      </c>
      <c r="S35">
        <f ca="1"/>
        <v>1</v>
      </c>
      <c r="T35">
        <f ca="1"/>
        <v>4.1099999999999994</v>
      </c>
      <c r="U35">
        <f ca="1"/>
        <v>0</v>
      </c>
      <c r="V35">
        <f ca="1"/>
        <v>0</v>
      </c>
      <c r="X35" s="2">
        <f t="shared" ca="1" si="1"/>
        <v>45418</v>
      </c>
      <c r="Y35">
        <f t="shared" ca="1" si="2"/>
        <v>0</v>
      </c>
      <c r="AA35" s="63">
        <f t="shared" ca="1" si="4"/>
        <v>75.107218561260964</v>
      </c>
      <c r="AB35" s="63">
        <f t="shared" ca="1" si="5"/>
        <v>75.107218561260964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45419</v>
      </c>
      <c r="K36">
        <f ca="1"/>
        <v>74.609941468333304</v>
      </c>
      <c r="L36">
        <f ca="1"/>
        <v>0</v>
      </c>
      <c r="M36">
        <f ca="1"/>
        <v>0.6653207019181977</v>
      </c>
      <c r="N36" s="4">
        <f ca="1"/>
        <v>0.86961533782162848</v>
      </c>
      <c r="O36">
        <f ca="1"/>
        <v>0</v>
      </c>
      <c r="P36">
        <f ca="1"/>
        <v>0</v>
      </c>
      <c r="Q36">
        <f ca="1"/>
        <v>0</v>
      </c>
      <c r="R36">
        <f ca="1"/>
        <v>0.36980579684304565</v>
      </c>
      <c r="S36">
        <f ca="1"/>
        <v>1</v>
      </c>
      <c r="T36">
        <f ca="1"/>
        <v>0.90000000000000568</v>
      </c>
      <c r="U36">
        <f ca="1"/>
        <v>0</v>
      </c>
      <c r="V36">
        <f ca="1"/>
        <v>0</v>
      </c>
      <c r="X36" s="2">
        <f t="shared" ca="1" si="1"/>
        <v>45419</v>
      </c>
      <c r="Y36">
        <f t="shared" ca="1" si="2"/>
        <v>0</v>
      </c>
      <c r="AA36" s="63">
        <f t="shared" ca="1" si="4"/>
        <v>74.979747265176357</v>
      </c>
      <c r="AB36" s="63">
        <f t="shared" ca="1" si="5"/>
        <v>74.979747265176343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45420</v>
      </c>
      <c r="K37">
        <f ca="1"/>
        <v>76.307395309304425</v>
      </c>
      <c r="L37">
        <f ca="1"/>
        <v>0</v>
      </c>
      <c r="M37">
        <f ca="1"/>
        <v>0.72338316794524182</v>
      </c>
      <c r="N37" s="4">
        <f ca="1"/>
        <v>0.97407067302587558</v>
      </c>
      <c r="O37">
        <f ca="1"/>
        <v>0</v>
      </c>
      <c r="P37">
        <f ca="1"/>
        <v>0</v>
      </c>
      <c r="Q37">
        <f ca="1"/>
        <v>0</v>
      </c>
      <c r="R37">
        <f ca="1"/>
        <v>0</v>
      </c>
      <c r="S37">
        <f ca="1"/>
        <v>0.99811594202898557</v>
      </c>
      <c r="T37">
        <f ca="1"/>
        <v>0</v>
      </c>
      <c r="U37">
        <f ca="1"/>
        <v>0</v>
      </c>
      <c r="V37">
        <f ca="1"/>
        <v>0</v>
      </c>
      <c r="X37" s="2">
        <f t="shared" ca="1" si="1"/>
        <v>45420</v>
      </c>
      <c r="Y37">
        <f t="shared" ca="1" si="2"/>
        <v>0</v>
      </c>
      <c r="AA37" s="63">
        <f t="shared" ca="1" si="4"/>
        <v>76.307395309304425</v>
      </c>
      <c r="AB37" s="63">
        <f t="shared" ca="1" si="5"/>
        <v>76.307395309304425</v>
      </c>
      <c r="AC37" s="3">
        <f t="shared" ca="1" si="6"/>
        <v>0</v>
      </c>
    </row>
    <row r="38" spans="1:29">
      <c r="A38" s="9" t="s">
        <v>124</v>
      </c>
      <c r="B38" s="36">
        <f ca="1">CurrentHarvestDate</f>
        <v>45561</v>
      </c>
      <c r="H38" t="b">
        <f t="shared" ca="1" si="3"/>
        <v>1</v>
      </c>
      <c r="I38" t="b">
        <f t="shared" ca="1" si="0"/>
        <v>1</v>
      </c>
      <c r="J38" s="2">
        <f ca="1"/>
        <v>45421</v>
      </c>
      <c r="K38">
        <f ca="1"/>
        <v>77.847670034828496</v>
      </c>
      <c r="L38">
        <f ca="1"/>
        <v>0</v>
      </c>
      <c r="M38">
        <f ca="1"/>
        <v>0.69972324751598336</v>
      </c>
      <c r="N38" s="4">
        <f ca="1"/>
        <v>0.94441508394691931</v>
      </c>
      <c r="O38">
        <f ca="1"/>
        <v>0</v>
      </c>
      <c r="P38">
        <f ca="1"/>
        <v>0</v>
      </c>
      <c r="Q38">
        <f ca="1"/>
        <v>0</v>
      </c>
      <c r="R38">
        <f ca="1"/>
        <v>0.10386360593884211</v>
      </c>
      <c r="S38">
        <f ca="1"/>
        <v>1</v>
      </c>
      <c r="T38">
        <f ca="1"/>
        <v>0.24226086956521442</v>
      </c>
      <c r="U38">
        <f ca="1"/>
        <v>0</v>
      </c>
      <c r="V38">
        <f ca="1"/>
        <v>0</v>
      </c>
      <c r="X38" s="2">
        <f t="shared" ca="1" si="1"/>
        <v>45421</v>
      </c>
      <c r="Y38">
        <f t="shared" ca="1" si="2"/>
        <v>0</v>
      </c>
      <c r="AA38" s="63">
        <f t="shared" ca="1" si="4"/>
        <v>77.951533640767337</v>
      </c>
      <c r="AB38" s="63">
        <f t="shared" ca="1" si="5"/>
        <v>77.951533640767337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Late</v>
      </c>
      <c r="H39" t="b">
        <f t="shared" ca="1" si="3"/>
        <v>1</v>
      </c>
      <c r="I39" t="b">
        <f t="shared" ca="1" si="0"/>
        <v>1</v>
      </c>
      <c r="J39" s="2">
        <f ca="1"/>
        <v>45422</v>
      </c>
      <c r="K39">
        <f ca="1"/>
        <v>78.265858583008352</v>
      </c>
      <c r="L39">
        <f ca="1"/>
        <v>0</v>
      </c>
      <c r="M39">
        <f ca="1"/>
        <v>0.66303107113781756</v>
      </c>
      <c r="N39" s="4">
        <f ca="1"/>
        <v>0.89307500357064784</v>
      </c>
      <c r="O39">
        <f ca="1"/>
        <v>0</v>
      </c>
      <c r="P39">
        <f ca="1"/>
        <v>0</v>
      </c>
      <c r="Q39">
        <f ca="1"/>
        <v>0</v>
      </c>
      <c r="R39">
        <f ca="1"/>
        <v>1.1379175265286086</v>
      </c>
      <c r="S39">
        <f ca="1"/>
        <v>1</v>
      </c>
      <c r="T39">
        <f ca="1"/>
        <v>2.6400000000000006</v>
      </c>
      <c r="U39">
        <f ca="1"/>
        <v>0</v>
      </c>
      <c r="V39">
        <f ca="1"/>
        <v>0</v>
      </c>
      <c r="X39" s="2">
        <f t="shared" ca="1" si="1"/>
        <v>45422</v>
      </c>
      <c r="Y39">
        <f t="shared" ca="1" si="2"/>
        <v>0</v>
      </c>
      <c r="AA39" s="63">
        <f t="shared" ca="1" si="4"/>
        <v>79.403776109536963</v>
      </c>
      <c r="AB39" s="63">
        <f t="shared" ca="1" si="5"/>
        <v>79.403776109536963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45423</v>
      </c>
      <c r="K40">
        <f ca="1"/>
        <v>77.758617133033667</v>
      </c>
      <c r="L40">
        <f ca="1"/>
        <v>0</v>
      </c>
      <c r="M40">
        <f ca="1"/>
        <v>0.67763796348884497</v>
      </c>
      <c r="N40" s="4">
        <f ca="1"/>
        <v>0.9306057471470609</v>
      </c>
      <c r="O40">
        <f ca="1"/>
        <v>0</v>
      </c>
      <c r="P40">
        <f ca="1"/>
        <v>0</v>
      </c>
      <c r="Q40">
        <f ca="1"/>
        <v>0</v>
      </c>
      <c r="R40">
        <f ca="1"/>
        <v>2.1154851606105907</v>
      </c>
      <c r="S40">
        <f ca="1"/>
        <v>1</v>
      </c>
      <c r="T40">
        <f ca="1"/>
        <v>4.9399999999999977</v>
      </c>
      <c r="U40">
        <f ca="1"/>
        <v>0</v>
      </c>
      <c r="V40">
        <f ca="1"/>
        <v>0</v>
      </c>
      <c r="X40" s="2">
        <f t="shared" ca="1" si="1"/>
        <v>45423</v>
      </c>
      <c r="Y40">
        <f t="shared" ca="1" si="2"/>
        <v>0</v>
      </c>
      <c r="AA40" s="63">
        <f t="shared" ca="1" si="4"/>
        <v>79.874102293644256</v>
      </c>
      <c r="AB40" s="63">
        <f t="shared" ca="1" si="5"/>
        <v>79.874102293644256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45424</v>
      </c>
      <c r="K41">
        <f ca="1"/>
        <v>77.636441513100038</v>
      </c>
      <c r="L41">
        <f ca="1"/>
        <v>0</v>
      </c>
      <c r="M41">
        <f ca="1"/>
        <v>0.63877797464712138</v>
      </c>
      <c r="N41">
        <f ca="1"/>
        <v>0.8766127384361353</v>
      </c>
      <c r="O41">
        <f ca="1"/>
        <v>0</v>
      </c>
      <c r="P41">
        <f ca="1"/>
        <v>0</v>
      </c>
      <c r="Q41">
        <f ca="1"/>
        <v>0</v>
      </c>
      <c r="R41">
        <f ca="1"/>
        <v>1.6375663330168948</v>
      </c>
      <c r="S41">
        <f ca="1"/>
        <v>1</v>
      </c>
      <c r="T41">
        <f ca="1"/>
        <v>3.8299999999999983</v>
      </c>
      <c r="U41">
        <f ca="1"/>
        <v>0</v>
      </c>
      <c r="V41">
        <f ca="1"/>
        <v>0</v>
      </c>
      <c r="X41" s="2">
        <f t="shared" ca="1" si="1"/>
        <v>45424</v>
      </c>
      <c r="Y41">
        <f t="shared" ca="1" si="2"/>
        <v>0</v>
      </c>
      <c r="AA41" s="63">
        <f t="shared" ca="1" si="4"/>
        <v>79.27400784611693</v>
      </c>
      <c r="AB41" s="63">
        <f t="shared" ca="1" si="5"/>
        <v>79.27400784611693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Oat Fodder General</v>
      </c>
      <c r="H42" t="b">
        <f t="shared" ca="1" si="3"/>
        <v>1</v>
      </c>
      <c r="I42" t="b">
        <f t="shared" ca="1" si="0"/>
        <v>1</v>
      </c>
      <c r="J42" s="2">
        <f ca="1"/>
        <v>45425</v>
      </c>
      <c r="K42">
        <f ca="1"/>
        <v>77.584758249500197</v>
      </c>
      <c r="L42">
        <f ca="1"/>
        <v>0</v>
      </c>
      <c r="M42">
        <f ca="1"/>
        <v>0.63548892783665067</v>
      </c>
      <c r="N42">
        <f ca="1"/>
        <v>0.88521224242005803</v>
      </c>
      <c r="O42">
        <f ca="1"/>
        <v>0</v>
      </c>
      <c r="P42">
        <f ca="1"/>
        <v>0</v>
      </c>
      <c r="Q42">
        <f ca="1"/>
        <v>0</v>
      </c>
      <c r="R42">
        <f ca="1"/>
        <v>1.5723844338565403</v>
      </c>
      <c r="S42">
        <f ca="1"/>
        <v>1</v>
      </c>
      <c r="T42">
        <f ca="1"/>
        <v>3.6800000000000068</v>
      </c>
      <c r="U42">
        <f ca="1"/>
        <v>0</v>
      </c>
      <c r="V42">
        <f ca="1"/>
        <v>0</v>
      </c>
      <c r="X42" s="2">
        <f t="shared" ca="1" si="1"/>
        <v>45425</v>
      </c>
      <c r="Y42">
        <f t="shared" ca="1" si="2"/>
        <v>0</v>
      </c>
      <c r="AA42" s="63">
        <f t="shared" ca="1" si="4"/>
        <v>79.157142683356739</v>
      </c>
      <c r="AB42" s="63">
        <f t="shared" ca="1" si="5"/>
        <v>79.157142683356739</v>
      </c>
      <c r="AC42" s="3">
        <f t="shared" ca="1" si="6"/>
        <v>0</v>
      </c>
    </row>
    <row r="43" spans="1:29">
      <c r="A43" s="6" t="s">
        <v>237</v>
      </c>
      <c r="B43" s="32">
        <f>FollowingYIeld</f>
        <v>10</v>
      </c>
      <c r="H43" t="b">
        <f t="shared" ca="1" si="3"/>
        <v>1</v>
      </c>
      <c r="I43" t="b">
        <f t="shared" ca="1" si="0"/>
        <v>1</v>
      </c>
      <c r="J43" s="2">
        <f ca="1"/>
        <v>45426</v>
      </c>
      <c r="K43">
        <f ca="1"/>
        <v>75.970701523559029</v>
      </c>
      <c r="L43">
        <f ca="1"/>
        <v>0</v>
      </c>
      <c r="M43">
        <f ca="1"/>
        <v>0.64734554398337707</v>
      </c>
      <c r="N43">
        <f ca="1"/>
        <v>0.92254084117440827</v>
      </c>
      <c r="O43">
        <f ca="1"/>
        <v>0</v>
      </c>
      <c r="P43">
        <f ca="1"/>
        <v>0</v>
      </c>
      <c r="Q43">
        <f ca="1"/>
        <v>0</v>
      </c>
      <c r="R43">
        <f ca="1"/>
        <v>3.183943111098956</v>
      </c>
      <c r="S43">
        <f ca="1"/>
        <v>1</v>
      </c>
      <c r="T43">
        <f ca="1"/>
        <v>7.6099999999999994</v>
      </c>
      <c r="U43">
        <f ca="1"/>
        <v>0</v>
      </c>
      <c r="V43">
        <f ca="1"/>
        <v>0</v>
      </c>
      <c r="X43" s="2">
        <f t="shared" ca="1" si="1"/>
        <v>45426</v>
      </c>
      <c r="Y43">
        <f t="shared" ca="1" si="2"/>
        <v>0</v>
      </c>
      <c r="AA43" s="63">
        <f t="shared" ca="1" si="4"/>
        <v>79.154644634657984</v>
      </c>
      <c r="AB43" s="63">
        <f t="shared" ca="1" si="5"/>
        <v>79.154644634657984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45427</v>
      </c>
      <c r="K44">
        <f ca="1"/>
        <v>75.939358052223241</v>
      </c>
      <c r="L44">
        <f ca="1"/>
        <v>0</v>
      </c>
      <c r="M44">
        <f ca="1"/>
        <v>0.61172858446769141</v>
      </c>
      <c r="N44">
        <f ca="1"/>
        <v>0.87505476299706531</v>
      </c>
      <c r="O44">
        <f ca="1"/>
        <v>0</v>
      </c>
      <c r="P44">
        <f ca="1"/>
        <v>0</v>
      </c>
      <c r="Q44">
        <f ca="1"/>
        <v>0</v>
      </c>
      <c r="R44">
        <f ca="1"/>
        <v>1.5181268188005366</v>
      </c>
      <c r="S44">
        <f ca="1"/>
        <v>1</v>
      </c>
      <c r="T44">
        <f ca="1"/>
        <v>3.6300000000000097</v>
      </c>
      <c r="U44">
        <f ca="1"/>
        <v>0</v>
      </c>
      <c r="V44">
        <f ca="1"/>
        <v>0</v>
      </c>
      <c r="X44" s="2">
        <f t="shared" ca="1" si="1"/>
        <v>45427</v>
      </c>
      <c r="Y44">
        <f t="shared" ca="1" si="2"/>
        <v>0</v>
      </c>
      <c r="AA44" s="63">
        <f t="shared" ca="1" si="4"/>
        <v>77.457484871023794</v>
      </c>
      <c r="AB44" s="63">
        <f t="shared" ca="1" si="5"/>
        <v>77.45748487102378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45428</v>
      </c>
      <c r="K45">
        <f ca="1"/>
        <v>76.329863317163984</v>
      </c>
      <c r="L45">
        <f ca="1"/>
        <v>0</v>
      </c>
      <c r="M45">
        <f ca="1"/>
        <v>0.57673707931906648</v>
      </c>
      <c r="N45">
        <f ca="1"/>
        <v>0.82685353092399017</v>
      </c>
      <c r="O45">
        <f ca="1"/>
        <v>0</v>
      </c>
      <c r="P45">
        <f ca="1"/>
        <v>0</v>
      </c>
      <c r="Q45">
        <f ca="1"/>
        <v>0</v>
      </c>
      <c r="R45">
        <f ca="1"/>
        <v>1.0130853453022997</v>
      </c>
      <c r="S45">
        <f ca="1"/>
        <v>1</v>
      </c>
      <c r="T45">
        <f ca="1"/>
        <v>2.4099999999999966</v>
      </c>
      <c r="U45">
        <f ca="1"/>
        <v>0</v>
      </c>
      <c r="V45">
        <f ca="1"/>
        <v>0</v>
      </c>
      <c r="X45" s="2">
        <f t="shared" ca="1" si="1"/>
        <v>45428</v>
      </c>
      <c r="Y45">
        <f t="shared" ca="1" si="2"/>
        <v>0</v>
      </c>
      <c r="AA45" s="63">
        <f t="shared" ca="1" si="4"/>
        <v>77.342948662466284</v>
      </c>
      <c r="AB45" s="63">
        <f t="shared" ca="1" si="5"/>
        <v>77.342948662466284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45429</v>
      </c>
      <c r="K46">
        <f ca="1"/>
        <v>77.105023566549463</v>
      </c>
      <c r="L46">
        <f ca="1"/>
        <v>0</v>
      </c>
      <c r="M46">
        <f ca="1"/>
        <v>0.54332578521469088</v>
      </c>
      <c r="N46">
        <f ca="1"/>
        <v>0.77961537072619613</v>
      </c>
      <c r="O46">
        <f ca="1"/>
        <v>0</v>
      </c>
      <c r="P46">
        <f ca="1"/>
        <v>0</v>
      </c>
      <c r="Q46">
        <f ca="1"/>
        <v>0</v>
      </c>
      <c r="R46">
        <f ca="1"/>
        <v>0.5477809065554019</v>
      </c>
      <c r="S46">
        <f ca="1"/>
        <v>1</v>
      </c>
      <c r="T46">
        <f ca="1"/>
        <v>1.2900000000000063</v>
      </c>
      <c r="U46">
        <f ca="1"/>
        <v>0</v>
      </c>
      <c r="V46">
        <f ca="1"/>
        <v>0</v>
      </c>
      <c r="X46" s="2">
        <f t="shared" ca="1" si="1"/>
        <v>45429</v>
      </c>
      <c r="Y46">
        <f t="shared" ca="1" si="2"/>
        <v>0</v>
      </c>
      <c r="AA46" s="63">
        <f t="shared" ca="1" si="4"/>
        <v>77.652804473104865</v>
      </c>
      <c r="AB46" s="63">
        <f t="shared" ca="1" si="5"/>
        <v>77.652804473104865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45430</v>
      </c>
      <c r="K47">
        <f ca="1"/>
        <v>78.001557379529103</v>
      </c>
      <c r="L47">
        <f ca="1"/>
        <v>0</v>
      </c>
      <c r="M47">
        <f ca="1"/>
        <v>0.54604406867446542</v>
      </c>
      <c r="N47">
        <f ca="1"/>
        <v>0.80154222828245403</v>
      </c>
      <c r="O47">
        <f ca="1"/>
        <v>0</v>
      </c>
      <c r="P47">
        <f ca="1"/>
        <v>0</v>
      </c>
      <c r="Q47">
        <f ca="1"/>
        <v>0</v>
      </c>
      <c r="R47">
        <f ca="1"/>
        <v>0.45105248397727582</v>
      </c>
      <c r="S47">
        <f ca="1"/>
        <v>1</v>
      </c>
      <c r="T47">
        <f ca="1"/>
        <v>1.0499999999999972</v>
      </c>
      <c r="U47">
        <f ca="1"/>
        <v>0</v>
      </c>
      <c r="V47">
        <f ca="1"/>
        <v>0</v>
      </c>
      <c r="X47" s="2">
        <f t="shared" ca="1" si="1"/>
        <v>45430</v>
      </c>
      <c r="Y47">
        <f t="shared" ca="1" si="2"/>
        <v>0</v>
      </c>
      <c r="AA47" s="63">
        <f t="shared" ca="1" si="4"/>
        <v>78.452609863506382</v>
      </c>
      <c r="AB47" s="63">
        <f t="shared" ca="1" si="5"/>
        <v>78.452609863506382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0</v>
      </c>
      <c r="H48" t="b">
        <f t="shared" ca="1" si="3"/>
        <v>1</v>
      </c>
      <c r="I48" t="b">
        <f t="shared" ca="1" si="0"/>
        <v>1</v>
      </c>
      <c r="J48" s="2">
        <f ca="1"/>
        <v>45431</v>
      </c>
      <c r="K48">
        <f ca="1"/>
        <v>79.324729120106781</v>
      </c>
      <c r="L48">
        <f ca="1"/>
        <v>0</v>
      </c>
      <c r="M48">
        <f ca="1"/>
        <v>0.53190939217608957</v>
      </c>
      <c r="N48">
        <f ca="1"/>
        <v>0.7912623484015936</v>
      </c>
      <c r="O48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0.98623188405797102</v>
      </c>
      <c r="T48">
        <f ca="1"/>
        <v>0</v>
      </c>
      <c r="U48">
        <f ca="1"/>
        <v>0</v>
      </c>
      <c r="V48">
        <f ca="1"/>
        <v>0</v>
      </c>
      <c r="X48" s="2">
        <f t="shared" ca="1" si="1"/>
        <v>45431</v>
      </c>
      <c r="Y48">
        <f t="shared" ca="1" si="2"/>
        <v>0</v>
      </c>
      <c r="AA48" s="63">
        <f t="shared" ca="1" si="4"/>
        <v>79.324729120106781</v>
      </c>
      <c r="AB48" s="63">
        <f t="shared" ca="1" si="5"/>
        <v>79.324729120106781</v>
      </c>
      <c r="AC48" s="3">
        <f t="shared" ca="1" si="6"/>
        <v>0</v>
      </c>
    </row>
    <row r="49" spans="1:29">
      <c r="A49" s="6" t="s">
        <v>129</v>
      </c>
      <c r="B49" s="34">
        <f ca="1">FollowingEstablishDate</f>
        <v>45576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45432</v>
      </c>
      <c r="K49">
        <f ca="1"/>
        <v>80.620590489551248</v>
      </c>
      <c r="L49">
        <f ca="1"/>
        <v>0</v>
      </c>
      <c r="M49">
        <f ca="1"/>
        <v>0.51756104356363863</v>
      </c>
      <c r="N49">
        <f ca="1"/>
        <v>0.78034014027493936</v>
      </c>
      <c r="O49">
        <f ca="1"/>
        <v>0</v>
      </c>
      <c r="P49">
        <f ca="1"/>
        <v>0</v>
      </c>
      <c r="Q49">
        <f ca="1"/>
        <v>0</v>
      </c>
      <c r="R49">
        <f ca="1"/>
        <v>2.0398143941103499E-3</v>
      </c>
      <c r="S49">
        <f ca="1"/>
        <v>1</v>
      </c>
      <c r="T49">
        <f ca="1"/>
        <v>4.5942028985450634E-3</v>
      </c>
      <c r="U49">
        <f ca="1"/>
        <v>0</v>
      </c>
      <c r="V49">
        <f ca="1"/>
        <v>0</v>
      </c>
      <c r="X49" s="2">
        <f t="shared" ca="1" si="1"/>
        <v>45432</v>
      </c>
      <c r="Y49">
        <f t="shared" ca="1" si="2"/>
        <v>0</v>
      </c>
      <c r="AA49" s="63">
        <f t="shared" ca="1" si="4"/>
        <v>80.622630303945357</v>
      </c>
      <c r="AB49" s="63">
        <f t="shared" ca="1" si="5"/>
        <v>80.622630303945357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45433</v>
      </c>
      <c r="K50">
        <f ca="1"/>
        <v>80.950197431170523</v>
      </c>
      <c r="L50">
        <f ca="1"/>
        <v>0</v>
      </c>
      <c r="M50">
        <f ca="1"/>
        <v>0.4606973997074455</v>
      </c>
      <c r="N50">
        <f ca="1"/>
        <v>0.68028862225092768</v>
      </c>
      <c r="O50">
        <f ca="1"/>
        <v>0</v>
      </c>
      <c r="P50">
        <f ca="1"/>
        <v>0</v>
      </c>
      <c r="Q50">
        <f ca="1"/>
        <v>0</v>
      </c>
      <c r="R50">
        <f ca="1"/>
        <v>0.811379080339098</v>
      </c>
      <c r="S50">
        <f ca="1"/>
        <v>1</v>
      </c>
      <c r="T50">
        <f ca="1"/>
        <v>1.8200000000000074</v>
      </c>
      <c r="U50">
        <f ca="1"/>
        <v>0</v>
      </c>
      <c r="V50">
        <f ca="1"/>
        <v>0</v>
      </c>
      <c r="X50" s="2">
        <f t="shared" ca="1" si="1"/>
        <v>45433</v>
      </c>
      <c r="Y50">
        <f t="shared" ca="1" si="2"/>
        <v>0</v>
      </c>
      <c r="AA50" s="63">
        <f t="shared" ca="1" si="4"/>
        <v>81.761576511509617</v>
      </c>
      <c r="AB50" s="63">
        <f t="shared" ca="1" si="5"/>
        <v>81.761576511509617</v>
      </c>
      <c r="AC50" s="3">
        <f t="shared" ca="1" si="6"/>
        <v>0</v>
      </c>
    </row>
    <row r="51" spans="1:29">
      <c r="A51" s="6" t="s">
        <v>131</v>
      </c>
      <c r="B51" s="34">
        <f ca="1">FollowingHarvestDate</f>
        <v>45696</v>
      </c>
      <c r="H51" t="b">
        <f t="shared" ca="1" si="3"/>
        <v>1</v>
      </c>
      <c r="I51" t="b">
        <f t="shared" ca="1" si="0"/>
        <v>1</v>
      </c>
      <c r="J51" s="2">
        <f ca="1"/>
        <v>45434</v>
      </c>
      <c r="K51">
        <f ca="1"/>
        <v>81.312025928408275</v>
      </c>
      <c r="L51">
        <f ca="1"/>
        <v>0</v>
      </c>
      <c r="M51">
        <f ca="1"/>
        <v>0.47141099600213465</v>
      </c>
      <c r="N51">
        <f ca="1"/>
        <v>0.71885741757866928</v>
      </c>
      <c r="O51">
        <f ca="1"/>
        <v>0</v>
      </c>
      <c r="P51">
        <f ca="1"/>
        <v>0</v>
      </c>
      <c r="Q51">
        <f ca="1"/>
        <v>0</v>
      </c>
      <c r="R51">
        <f ca="1"/>
        <v>0.82843991634305592</v>
      </c>
      <c r="S51">
        <f ca="1"/>
        <v>1</v>
      </c>
      <c r="T51">
        <f ca="1"/>
        <v>1.8499999999999943</v>
      </c>
      <c r="U51">
        <f ca="1"/>
        <v>0</v>
      </c>
      <c r="V51">
        <f ca="1"/>
        <v>0</v>
      </c>
      <c r="X51" s="2">
        <f t="shared" ca="1" si="1"/>
        <v>45434</v>
      </c>
      <c r="Y51">
        <f t="shared" ca="1" si="2"/>
        <v>0</v>
      </c>
      <c r="AA51" s="63">
        <f t="shared" ca="1" si="4"/>
        <v>82.140465844751333</v>
      </c>
      <c r="AB51" s="63">
        <f t="shared" ca="1" si="5"/>
        <v>82.140465844751333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EarlyReproductive</v>
      </c>
      <c r="H52" t="b">
        <f t="shared" ca="1" si="3"/>
        <v>1</v>
      </c>
      <c r="I52" t="b">
        <f t="shared" ca="1" si="0"/>
        <v>1</v>
      </c>
      <c r="J52" s="2">
        <f ca="1"/>
        <v>45435</v>
      </c>
      <c r="K52">
        <f ca="1"/>
        <v>80.45381491883694</v>
      </c>
      <c r="L52">
        <f ca="1"/>
        <v>0</v>
      </c>
      <c r="M52">
        <f ca="1"/>
        <v>0.47103567976131444</v>
      </c>
      <c r="N52">
        <f ca="1"/>
        <v>0.73550136078731698</v>
      </c>
      <c r="O52">
        <f ca="1"/>
        <v>0</v>
      </c>
      <c r="P52">
        <f ca="1"/>
        <v>0</v>
      </c>
      <c r="Q52">
        <f ca="1"/>
        <v>0</v>
      </c>
      <c r="R52">
        <f ca="1"/>
        <v>2.0647480501199538</v>
      </c>
      <c r="S52">
        <f ca="1"/>
        <v>1</v>
      </c>
      <c r="T52">
        <f ca="1"/>
        <v>4.6600000000000108</v>
      </c>
      <c r="U52">
        <f ca="1"/>
        <v>0</v>
      </c>
      <c r="V52">
        <f ca="1"/>
        <v>0</v>
      </c>
      <c r="X52" s="2">
        <f t="shared" ca="1" si="1"/>
        <v>45435</v>
      </c>
      <c r="Y52">
        <f t="shared" ca="1" si="2"/>
        <v>0</v>
      </c>
      <c r="AA52" s="63">
        <f t="shared" ca="1" si="4"/>
        <v>82.5185629689569</v>
      </c>
      <c r="AB52" s="63">
        <f t="shared" ca="1" si="5"/>
        <v>82.5185629689569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45436</v>
      </c>
      <c r="K53">
        <f ca="1"/>
        <v>80.662326477325195</v>
      </c>
      <c r="L53">
        <f ca="1"/>
        <v>0</v>
      </c>
      <c r="M53">
        <f ca="1"/>
        <v>0.45600232053095624</v>
      </c>
      <c r="N53">
        <f ca="1"/>
        <v>0.72092476337492706</v>
      </c>
      <c r="O53">
        <f ca="1"/>
        <v>0</v>
      </c>
      <c r="P53">
        <f ca="1"/>
        <v>2.53772215382789</v>
      </c>
      <c r="Q53">
        <f ca="1"/>
        <v>2.2864351940908523</v>
      </c>
      <c r="R53">
        <f ca="1"/>
        <v>0.9684155254176291</v>
      </c>
      <c r="S53">
        <f ca="1"/>
        <v>1</v>
      </c>
      <c r="T53">
        <f ca="1"/>
        <v>2.1800000000000068</v>
      </c>
      <c r="U53">
        <f ca="1"/>
        <v>0</v>
      </c>
      <c r="V53">
        <f ca="1"/>
        <v>9.6360663176434016E-3</v>
      </c>
      <c r="X53" s="2">
        <f t="shared" ca="1" si="1"/>
        <v>45436</v>
      </c>
      <c r="Y53">
        <f t="shared" ca="1" si="2"/>
        <v>0</v>
      </c>
      <c r="AA53" s="63">
        <f t="shared" ca="1" si="4"/>
        <v>81.630742002742821</v>
      </c>
      <c r="AB53" s="63">
        <f t="shared" ca="1" si="5"/>
        <v>81.630742002742821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45437</v>
      </c>
      <c r="K54">
        <f ca="1"/>
        <v>79.284214133109998</v>
      </c>
      <c r="L54">
        <f ca="1"/>
        <v>0.35266716874957016</v>
      </c>
      <c r="M54">
        <f ca="1"/>
        <v>0.46058452995261234</v>
      </c>
      <c r="N54">
        <f ca="1"/>
        <v>0.7495553238191357</v>
      </c>
      <c r="O54">
        <f ca="1"/>
        <v>0</v>
      </c>
      <c r="P54">
        <f ca="1"/>
        <v>2.8903893225774602</v>
      </c>
      <c r="Q54">
        <f ca="1"/>
        <v>2.6041810218652195</v>
      </c>
      <c r="R54">
        <f ca="1"/>
        <v>2.235585029237376</v>
      </c>
      <c r="S54">
        <f ca="1"/>
        <v>1</v>
      </c>
      <c r="T54">
        <f ca="1"/>
        <v>5.1200000000000045</v>
      </c>
      <c r="U54">
        <f ca="1"/>
        <v>0</v>
      </c>
      <c r="V54">
        <f ca="1"/>
        <v>1.4216832801880543E-2</v>
      </c>
      <c r="X54" s="2">
        <f t="shared" ca="1" si="1"/>
        <v>45437</v>
      </c>
      <c r="Y54">
        <f t="shared" ca="1" si="2"/>
        <v>0</v>
      </c>
      <c r="AA54" s="63">
        <f t="shared" ca="1" si="4"/>
        <v>81.872466331096945</v>
      </c>
      <c r="AB54" s="63">
        <f t="shared" ca="1" si="5"/>
        <v>81.872466331096945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45438</v>
      </c>
      <c r="K55">
        <f ca="1"/>
        <v>79.318538480775715</v>
      </c>
      <c r="L55">
        <f ca="1"/>
        <v>0.35925670280476751</v>
      </c>
      <c r="M55">
        <f ca="1"/>
        <v>0.43334149958441515</v>
      </c>
      <c r="N55">
        <f ca="1"/>
        <v>0.70721326544850838</v>
      </c>
      <c r="O55">
        <f ca="1"/>
        <v>0</v>
      </c>
      <c r="P55">
        <f ca="1"/>
        <v>3.2496460253822277</v>
      </c>
      <c r="Q55">
        <f ca="1"/>
        <v>2.9278638835870345</v>
      </c>
      <c r="R55">
        <f ca="1"/>
        <v>0.74697371456243278</v>
      </c>
      <c r="S55">
        <f ca="1"/>
        <v>1</v>
      </c>
      <c r="T55">
        <f ca="1"/>
        <v>1.7099999999999937</v>
      </c>
      <c r="U55">
        <f ca="1"/>
        <v>0</v>
      </c>
      <c r="V55">
        <f ca="1"/>
        <v>2.0147822467962581E-2</v>
      </c>
      <c r="X55" s="2">
        <f t="shared" ca="1" si="1"/>
        <v>45438</v>
      </c>
      <c r="Y55">
        <f t="shared" ca="1" si="2"/>
        <v>0</v>
      </c>
      <c r="AA55" s="63">
        <f t="shared" ca="1" si="4"/>
        <v>80.424768898142915</v>
      </c>
      <c r="AB55" s="63">
        <f t="shared" ca="1" si="5"/>
        <v>80.424768898142915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45439</v>
      </c>
      <c r="K56">
        <f ca="1"/>
        <v>79.269165401823514</v>
      </c>
      <c r="L56">
        <f ca="1"/>
        <v>0.38124372288316044</v>
      </c>
      <c r="M56">
        <f ca="1"/>
        <v>0.4169458527503167</v>
      </c>
      <c r="N56">
        <f ca="1"/>
        <v>0.68762682957579846</v>
      </c>
      <c r="O56">
        <f ca="1"/>
        <v>0</v>
      </c>
      <c r="P56">
        <f ca="1"/>
        <v>3.6308897482653881</v>
      </c>
      <c r="Q56">
        <f ca="1"/>
        <v>3.2713565958256163</v>
      </c>
      <c r="R56">
        <f ca="1"/>
        <v>0.77270203839517104</v>
      </c>
      <c r="S56">
        <f ca="1"/>
        <v>1</v>
      </c>
      <c r="T56">
        <f ca="1"/>
        <v>1.7700000000000102</v>
      </c>
      <c r="U56">
        <f ca="1"/>
        <v>0</v>
      </c>
      <c r="V56">
        <f ca="1"/>
        <v>2.7975039775895962E-2</v>
      </c>
      <c r="X56" s="2">
        <f t="shared" ca="1" si="1"/>
        <v>45439</v>
      </c>
      <c r="Y56">
        <f t="shared" ca="1" si="2"/>
        <v>0</v>
      </c>
      <c r="AA56" s="63">
        <f t="shared" ca="1" si="4"/>
        <v>80.423111163101836</v>
      </c>
      <c r="AB56" s="63">
        <f t="shared" ca="1" si="5"/>
        <v>80.423111163101836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45440</v>
      </c>
      <c r="K57">
        <f ca="1"/>
        <v>79.015161115506444</v>
      </c>
      <c r="L57">
        <f ca="1"/>
        <v>0.46989707522369972</v>
      </c>
      <c r="M57">
        <f ca="1"/>
        <v>0.42413068067011039</v>
      </c>
      <c r="N57">
        <f ca="1"/>
        <v>0.72299586213697042</v>
      </c>
      <c r="O57">
        <f ca="1"/>
        <v>0</v>
      </c>
      <c r="P57">
        <f ca="1"/>
        <v>4.1007868234890879</v>
      </c>
      <c r="Q57">
        <f ca="1"/>
        <v>3.6947241456463162</v>
      </c>
      <c r="R57">
        <f ca="1"/>
        <v>0.93123375390043894</v>
      </c>
      <c r="S57">
        <f ca="1"/>
        <v>1</v>
      </c>
      <c r="T57">
        <f ca="1"/>
        <v>2.1400000000000148</v>
      </c>
      <c r="U57">
        <f ca="1"/>
        <v>0</v>
      </c>
      <c r="V57">
        <f ca="1"/>
        <v>3.9974507900826017E-2</v>
      </c>
      <c r="X57" s="2">
        <f t="shared" ca="1" si="1"/>
        <v>45440</v>
      </c>
      <c r="Y57">
        <f t="shared" ca="1" si="2"/>
        <v>0</v>
      </c>
      <c r="AA57" s="63">
        <f t="shared" ca="1" si="4"/>
        <v>80.416291944630586</v>
      </c>
      <c r="AB57" s="63">
        <f t="shared" ca="1" si="5"/>
        <v>80.416291944630586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45441</v>
      </c>
      <c r="K58">
        <f ca="1"/>
        <v>79.250663115042173</v>
      </c>
      <c r="L58">
        <f ca="1"/>
        <v>0.42064109560684493</v>
      </c>
      <c r="M58">
        <f ca="1"/>
        <v>0.38457493013791932</v>
      </c>
      <c r="N58">
        <f ca="1"/>
        <v>0.64691768248284565</v>
      </c>
      <c r="O58">
        <f ca="1"/>
        <v>0</v>
      </c>
      <c r="P58">
        <f ca="1"/>
        <v>4.5214279190959328</v>
      </c>
      <c r="Q58">
        <f ca="1"/>
        <v>4.07371307618219</v>
      </c>
      <c r="R58">
        <f ca="1"/>
        <v>0.37534951747819334</v>
      </c>
      <c r="S58">
        <f ca="1"/>
        <v>1</v>
      </c>
      <c r="T58">
        <f ca="1"/>
        <v>0.85999999999998522</v>
      </c>
      <c r="U58">
        <f ca="1"/>
        <v>0</v>
      </c>
      <c r="V58">
        <f ca="1"/>
        <v>5.305240615613268E-2</v>
      </c>
      <c r="X58" s="2">
        <f t="shared" ca="1" si="1"/>
        <v>45441</v>
      </c>
      <c r="Y58">
        <f t="shared" ca="1" si="2"/>
        <v>0</v>
      </c>
      <c r="AA58" s="63">
        <f t="shared" ca="1" si="4"/>
        <v>80.046653728127211</v>
      </c>
      <c r="AB58" s="63">
        <f t="shared" ca="1" si="5"/>
        <v>80.046653728127211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45442</v>
      </c>
      <c r="K59">
        <f ca="1"/>
        <v>78.259585970421881</v>
      </c>
      <c r="L59">
        <f ca="1"/>
        <v>0.46939824622241932</v>
      </c>
      <c r="M59">
        <f ca="1"/>
        <v>0.37911425253230746</v>
      </c>
      <c r="N59">
        <f ca="1"/>
        <v>0.65078820570080542</v>
      </c>
      <c r="O59">
        <f ca="1"/>
        <v>0</v>
      </c>
      <c r="P59">
        <f ca="1"/>
        <v>4.9908261653183521</v>
      </c>
      <c r="Q59">
        <f ca="1"/>
        <v>4.4966311913858483</v>
      </c>
      <c r="R59">
        <f ca="1"/>
        <v>1.5515813566309764</v>
      </c>
      <c r="S59">
        <f ca="1"/>
        <v>1</v>
      </c>
      <c r="T59">
        <f ca="1"/>
        <v>3.6000000000000085</v>
      </c>
      <c r="U59">
        <f ca="1"/>
        <v>0</v>
      </c>
      <c r="V59">
        <f ca="1"/>
        <v>7.0345885409351855E-2</v>
      </c>
      <c r="X59" s="2">
        <f t="shared" ca="1" si="1"/>
        <v>45442</v>
      </c>
      <c r="Y59">
        <f t="shared" ca="1" si="2"/>
        <v>0</v>
      </c>
      <c r="AA59" s="63">
        <f t="shared" ca="1" si="4"/>
        <v>80.280565573275283</v>
      </c>
      <c r="AB59" s="63">
        <f t="shared" ca="1" si="5"/>
        <v>80.280565573275283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45443</v>
      </c>
      <c r="K60">
        <f ca="1"/>
        <v>78.18562522010636</v>
      </c>
      <c r="L60">
        <f ca="1"/>
        <v>0.5496128385856025</v>
      </c>
      <c r="M60">
        <f ca="1"/>
        <v>0.37928742406596072</v>
      </c>
      <c r="N60">
        <f ca="1"/>
        <v>0.66904604081632513</v>
      </c>
      <c r="O60">
        <f ca="1"/>
        <v>0</v>
      </c>
      <c r="P60">
        <f ca="1"/>
        <v>5.5404390039039546</v>
      </c>
      <c r="Q60">
        <f ca="1"/>
        <v>4.9918209959004072</v>
      </c>
      <c r="R60">
        <f ca="1"/>
        <v>0.57268137661220475</v>
      </c>
      <c r="S60">
        <f ca="1"/>
        <v>1</v>
      </c>
      <c r="T60">
        <f ca="1"/>
        <v>1.3300000000000125</v>
      </c>
      <c r="U60">
        <f ca="1"/>
        <v>0</v>
      </c>
      <c r="V60">
        <f ca="1"/>
        <v>9.4235502619654674E-2</v>
      </c>
      <c r="X60" s="2">
        <f t="shared" ca="1" si="1"/>
        <v>45443</v>
      </c>
      <c r="Y60">
        <f t="shared" ca="1" si="2"/>
        <v>0</v>
      </c>
      <c r="AA60" s="63">
        <f t="shared" ca="1" si="4"/>
        <v>79.307919435304171</v>
      </c>
      <c r="AB60" s="63">
        <f t="shared" ca="1" si="5"/>
        <v>79.307919435304171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45444</v>
      </c>
      <c r="K61">
        <f ca="1"/>
        <v>176.91979331892298</v>
      </c>
      <c r="L61">
        <f ca="1"/>
        <v>0.60901345829566544</v>
      </c>
      <c r="M61">
        <f ca="1"/>
        <v>0.37199938834365653</v>
      </c>
      <c r="N61">
        <f ca="1"/>
        <v>0.66904604081632513</v>
      </c>
      <c r="O61">
        <f ca="1"/>
        <v>100</v>
      </c>
      <c r="P61">
        <f ca="1"/>
        <v>6.1494524621996201</v>
      </c>
      <c r="Q61">
        <f ca="1"/>
        <v>5.5405295306869276</v>
      </c>
      <c r="R61">
        <f ca="1"/>
        <v>1.6978638720476908</v>
      </c>
      <c r="S61">
        <f ca="1"/>
        <v>1</v>
      </c>
      <c r="T61">
        <f ca="1"/>
        <v>1.75</v>
      </c>
      <c r="U61">
        <f ca="1"/>
        <v>0</v>
      </c>
      <c r="V61">
        <f ca="1"/>
        <v>0.12514595439148771</v>
      </c>
      <c r="X61" s="2">
        <f t="shared" ca="1" si="1"/>
        <v>45444</v>
      </c>
      <c r="Y61">
        <f t="shared" ca="1" si="2"/>
        <v>100</v>
      </c>
      <c r="AA61" s="63">
        <f t="shared" ca="1" si="4"/>
        <v>179.22667064926634</v>
      </c>
      <c r="AB61" s="63">
        <f t="shared" ca="1" si="5"/>
        <v>179.22667064926634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45445</v>
      </c>
      <c r="K62">
        <f ca="1"/>
        <v>176.49681796654102</v>
      </c>
      <c r="L62">
        <f ca="1"/>
        <v>0.6603971556956445</v>
      </c>
      <c r="M62">
        <f ca="1"/>
        <v>0.36226269641447573</v>
      </c>
      <c r="N62">
        <f ca="1"/>
        <v>0.6624883905238893</v>
      </c>
      <c r="O62">
        <f ca="1"/>
        <v>0</v>
      </c>
      <c r="P62">
        <f ca="1"/>
        <v>6.8098496178952646</v>
      </c>
      <c r="Q62">
        <f ca="1"/>
        <v>6.1355337144910553</v>
      </c>
      <c r="R62">
        <f ca="1"/>
        <v>0.78732928362465915</v>
      </c>
      <c r="S62">
        <f ca="1"/>
        <v>1</v>
      </c>
      <c r="T62">
        <f ca="1"/>
        <v>0.81000000000000227</v>
      </c>
      <c r="U62">
        <f ca="1"/>
        <v>0</v>
      </c>
      <c r="V62">
        <f ca="1"/>
        <v>0.16348290447402231</v>
      </c>
      <c r="X62" s="2">
        <f t="shared" ca="1" si="1"/>
        <v>45445</v>
      </c>
      <c r="Y62">
        <f t="shared" ca="1" si="2"/>
        <v>0</v>
      </c>
      <c r="AA62" s="63">
        <f t="shared" ca="1" si="4"/>
        <v>177.94454440586134</v>
      </c>
      <c r="AB62" s="63">
        <f t="shared" ca="1" si="5"/>
        <v>177.94454440586134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45446</v>
      </c>
      <c r="K63">
        <f ca="1"/>
        <v>175.27790300295217</v>
      </c>
      <c r="L63">
        <f ca="1"/>
        <v>0.89572701368711005</v>
      </c>
      <c r="M63">
        <f ca="1"/>
        <v>0.3816992493918967</v>
      </c>
      <c r="N63">
        <f ca="1"/>
        <v>0.73340770911614794</v>
      </c>
      <c r="O63">
        <f ca="1"/>
        <v>0</v>
      </c>
      <c r="P63">
        <f ca="1"/>
        <v>7.7055766315823746</v>
      </c>
      <c r="Q63">
        <f ca="1"/>
        <v>6.9425652349839018</v>
      </c>
      <c r="R63">
        <f ca="1"/>
        <v>1.4382949084097409</v>
      </c>
      <c r="S63">
        <f ca="1"/>
        <v>1</v>
      </c>
      <c r="T63">
        <f ca="1"/>
        <v>1.4900000000000091</v>
      </c>
      <c r="U63">
        <f ca="1"/>
        <v>0</v>
      </c>
      <c r="V63">
        <f ca="1"/>
        <v>0.22207146195424543</v>
      </c>
      <c r="X63" s="2">
        <f t="shared" ca="1" si="1"/>
        <v>45446</v>
      </c>
      <c r="Y63">
        <f t="shared" ca="1" si="2"/>
        <v>0</v>
      </c>
      <c r="AA63" s="63">
        <f t="shared" ca="1" si="4"/>
        <v>177.61192492504904</v>
      </c>
      <c r="AB63" s="63">
        <f t="shared" ca="1" si="5"/>
        <v>177.61192492504904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45447</v>
      </c>
      <c r="K64">
        <f ca="1"/>
        <v>172.27517363356588</v>
      </c>
      <c r="L64">
        <f ca="1"/>
        <v>0.96369097712896767</v>
      </c>
      <c r="M64">
        <f ca="1"/>
        <v>0.36696783806938882</v>
      </c>
      <c r="N64">
        <f ca="1"/>
        <v>0.7154201765817686</v>
      </c>
      <c r="O64">
        <f ca="1"/>
        <v>0</v>
      </c>
      <c r="P64">
        <f ca="1"/>
        <v>8.6692676087113423</v>
      </c>
      <c r="Q64">
        <f ca="1"/>
        <v>7.8108308814069556</v>
      </c>
      <c r="R64">
        <f ca="1"/>
        <v>3.121426406908471</v>
      </c>
      <c r="S64">
        <f ca="1"/>
        <v>1</v>
      </c>
      <c r="T64">
        <f ca="1"/>
        <v>3.2900000000000063</v>
      </c>
      <c r="U64">
        <f ca="1"/>
        <v>0</v>
      </c>
      <c r="V64">
        <f ca="1"/>
        <v>0.29084380200534332</v>
      </c>
      <c r="X64" s="2">
        <f t="shared" ca="1" si="1"/>
        <v>45447</v>
      </c>
      <c r="Y64">
        <f t="shared" ca="1" si="2"/>
        <v>0</v>
      </c>
      <c r="AA64" s="63">
        <f t="shared" ca="1" si="4"/>
        <v>176.36029101760334</v>
      </c>
      <c r="AB64" s="63">
        <f t="shared" ca="1" si="5"/>
        <v>176.36029101760334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45448</v>
      </c>
      <c r="K65">
        <f ca="1"/>
        <v>168.234335529003</v>
      </c>
      <c r="L65">
        <f ca="1"/>
        <v>1.0545422323976599</v>
      </c>
      <c r="M65">
        <f ca="1"/>
        <v>0.35601174294419025</v>
      </c>
      <c r="N65">
        <f ca="1"/>
        <v>0.70653205995527057</v>
      </c>
      <c r="O65">
        <f ca="1"/>
        <v>0</v>
      </c>
      <c r="P65">
        <f ca="1"/>
        <v>9.7238098411090022</v>
      </c>
      <c r="Q65">
        <f ca="1"/>
        <v>8.7609516305095259</v>
      </c>
      <c r="R65">
        <f ca="1"/>
        <v>4.0488396750646638</v>
      </c>
      <c r="S65">
        <f ca="1"/>
        <v>1</v>
      </c>
      <c r="T65">
        <f ca="1"/>
        <v>4.3699999999999903</v>
      </c>
      <c r="U65">
        <f ca="1"/>
        <v>0</v>
      </c>
      <c r="V65">
        <f ca="1"/>
        <v>0.36883404789930535</v>
      </c>
      <c r="X65" s="2">
        <f t="shared" ca="1" si="1"/>
        <v>45448</v>
      </c>
      <c r="Y65">
        <f t="shared" ca="1" si="2"/>
        <v>0</v>
      </c>
      <c r="AA65" s="63">
        <f t="shared" ca="1" si="4"/>
        <v>173.33771743646534</v>
      </c>
      <c r="AB65" s="63">
        <f t="shared" ca="1" si="5"/>
        <v>173.33771743646534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45449</v>
      </c>
      <c r="K66">
        <f ca="1"/>
        <v>166.79206421670625</v>
      </c>
      <c r="L66">
        <f ca="1"/>
        <v>1.1561737515213171</v>
      </c>
      <c r="M66">
        <f ca="1"/>
        <v>0.34607882065802187</v>
      </c>
      <c r="N66">
        <f ca="1"/>
        <v>0.69974285600719321</v>
      </c>
      <c r="O66">
        <f ca="1"/>
        <v>0</v>
      </c>
      <c r="P66">
        <f ca="1"/>
        <v>10.879983592630319</v>
      </c>
      <c r="Q66">
        <f ca="1"/>
        <v>9.8026402771467964</v>
      </c>
      <c r="R66">
        <f ca="1"/>
        <v>1.3319192374406565</v>
      </c>
      <c r="S66">
        <f ca="1"/>
        <v>1</v>
      </c>
      <c r="T66">
        <f ca="1"/>
        <v>1.4500000000000028</v>
      </c>
      <c r="U66">
        <f ca="1"/>
        <v>0</v>
      </c>
      <c r="V66">
        <f ca="1"/>
        <v>0.45276063747484402</v>
      </c>
      <c r="X66" s="2">
        <f t="shared" ca="1" si="1"/>
        <v>45449</v>
      </c>
      <c r="Y66">
        <f t="shared" ca="1" si="2"/>
        <v>0</v>
      </c>
      <c r="AA66" s="63">
        <f t="shared" ca="1" si="4"/>
        <v>169.28015720566822</v>
      </c>
      <c r="AB66" s="63">
        <f t="shared" ca="1" si="5"/>
        <v>169.28015720566822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45450</v>
      </c>
      <c r="K67">
        <f ca="1"/>
        <v>166.08525877133241</v>
      </c>
      <c r="L67">
        <f ca="1"/>
        <v>1.0737808444948076</v>
      </c>
      <c r="M67">
        <f ca="1"/>
        <v>0.31909177973966507</v>
      </c>
      <c r="N67">
        <f ca="1"/>
        <v>0.64242070512796057</v>
      </c>
      <c r="O67">
        <f ca="1"/>
        <v>0</v>
      </c>
      <c r="P67">
        <f ca="1"/>
        <v>11.953764437125127</v>
      </c>
      <c r="Q67">
        <f ca="1"/>
        <v>10.770094617997392</v>
      </c>
      <c r="R67">
        <f ca="1"/>
        <v>0.59453708574665887</v>
      </c>
      <c r="S67">
        <f ca="1"/>
        <v>1</v>
      </c>
      <c r="T67">
        <f ca="1"/>
        <v>0.65000000000000568</v>
      </c>
      <c r="U67">
        <f ca="1"/>
        <v>0</v>
      </c>
      <c r="V67">
        <f ca="1"/>
        <v>0.5256709002336033</v>
      </c>
      <c r="X67" s="2">
        <f t="shared" ca="1" si="1"/>
        <v>45450</v>
      </c>
      <c r="Y67">
        <f t="shared" ca="1" si="2"/>
        <v>0</v>
      </c>
      <c r="AA67" s="63">
        <f t="shared" ca="1" si="4"/>
        <v>167.75357670157388</v>
      </c>
      <c r="AB67" s="63">
        <f t="shared" ca="1" si="5"/>
        <v>167.75357670157388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45451</v>
      </c>
      <c r="K68">
        <f ca="1"/>
        <v>165.3367365132481</v>
      </c>
      <c r="L68">
        <f ca="1"/>
        <v>1.148719411843274</v>
      </c>
      <c r="M68">
        <f ca="1"/>
        <v>0.31049602591794923</v>
      </c>
      <c r="N68">
        <f ca="1"/>
        <v>0.63603121371087012</v>
      </c>
      <c r="O68">
        <f ca="1"/>
        <v>0</v>
      </c>
      <c r="P68">
        <f ca="1"/>
        <v>13.102483848968401</v>
      </c>
      <c r="Q68">
        <f ca="1"/>
        <v>11.805067058700583</v>
      </c>
      <c r="R68">
        <f ca="1"/>
        <v>0.54633008586985798</v>
      </c>
      <c r="S68">
        <f ca="1"/>
        <v>1</v>
      </c>
      <c r="T68">
        <f ca="1"/>
        <v>0.59999999999999432</v>
      </c>
      <c r="U68">
        <f ca="1"/>
        <v>0</v>
      </c>
      <c r="V68">
        <f ca="1"/>
        <v>0.59597031912771059</v>
      </c>
      <c r="X68" s="2">
        <f t="shared" ca="1" si="1"/>
        <v>45451</v>
      </c>
      <c r="Y68">
        <f t="shared" ca="1" si="2"/>
        <v>0</v>
      </c>
      <c r="AA68" s="63">
        <f t="shared" ca="1" si="4"/>
        <v>167.03178601096124</v>
      </c>
      <c r="AB68" s="63">
        <f t="shared" ca="1" si="5"/>
        <v>167.03178601096124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45452</v>
      </c>
      <c r="K69">
        <f ca="1"/>
        <v>161.11912448450641</v>
      </c>
      <c r="L69">
        <f ca="1"/>
        <v>1.6712133969365723</v>
      </c>
      <c r="M69">
        <f ca="1"/>
        <v>0.33507816542952895</v>
      </c>
      <c r="N69">
        <f ca="1"/>
        <v>0.72992665099342668</v>
      </c>
      <c r="O69">
        <f ca="1"/>
        <v>0</v>
      </c>
      <c r="P69">
        <f ca="1"/>
        <v>14.773697245904973</v>
      </c>
      <c r="Q69">
        <f ca="1"/>
        <v>13.310795777594469</v>
      </c>
      <c r="R69">
        <f ca="1"/>
        <v>3.6114034482280886</v>
      </c>
      <c r="S69">
        <f ca="1"/>
        <v>1</v>
      </c>
      <c r="T69">
        <f ca="1"/>
        <v>4.0700000000000074</v>
      </c>
      <c r="U69">
        <f ca="1"/>
        <v>0</v>
      </c>
      <c r="V69">
        <f ca="1"/>
        <v>0.68231293152986272</v>
      </c>
      <c r="X69" s="2">
        <f t="shared" ca="1" si="1"/>
        <v>45452</v>
      </c>
      <c r="Y69">
        <f t="shared" ca="1" si="2"/>
        <v>0</v>
      </c>
      <c r="AA69" s="63">
        <f t="shared" ca="1" si="4"/>
        <v>166.40174132967107</v>
      </c>
      <c r="AB69" s="63">
        <f t="shared" ca="1" si="5"/>
        <v>166.40174132967107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45453</v>
      </c>
      <c r="K70">
        <f ca="1"/>
        <v>154.86193308630624</v>
      </c>
      <c r="L70">
        <f ca="1"/>
        <v>1.8733775174010141</v>
      </c>
      <c r="M70">
        <f ca="1"/>
        <v>0.32752425914134164</v>
      </c>
      <c r="N70">
        <f ca="1"/>
        <v>0.72992665099342668</v>
      </c>
      <c r="O70">
        <f ca="1"/>
        <v>0</v>
      </c>
      <c r="P70">
        <f ca="1"/>
        <v>16.647074763305987</v>
      </c>
      <c r="Q70">
        <f ca="1"/>
        <v>14.998670189355122</v>
      </c>
      <c r="R70">
        <f ca="1"/>
        <v>5.4412647909339329</v>
      </c>
      <c r="S70">
        <f ca="1"/>
        <v>1</v>
      </c>
      <c r="T70">
        <f ca="1"/>
        <v>6.3800000000000097</v>
      </c>
      <c r="U70">
        <f ca="1"/>
        <v>0</v>
      </c>
      <c r="V70">
        <f ca="1"/>
        <v>0.75770545172396464</v>
      </c>
      <c r="X70" s="2">
        <f t="shared" ca="1" si="1"/>
        <v>45453</v>
      </c>
      <c r="Y70">
        <f t="shared" ca="1" si="2"/>
        <v>0</v>
      </c>
      <c r="AA70" s="63">
        <f t="shared" ca="1" si="4"/>
        <v>162.17657539464119</v>
      </c>
      <c r="AB70" s="63">
        <f t="shared" ca="1" si="5"/>
        <v>162.17657539464119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45454</v>
      </c>
      <c r="K71">
        <f ca="1"/>
        <v>153.54708490642247</v>
      </c>
      <c r="L71">
        <f ca="1"/>
        <v>2.4533344032839146</v>
      </c>
      <c r="M71">
        <f ca="1"/>
        <v>0.34135981396457638</v>
      </c>
      <c r="N71">
        <f ca="1"/>
        <v>0.79712640943559065</v>
      </c>
      <c r="O71">
        <f ca="1"/>
        <v>0</v>
      </c>
      <c r="P71">
        <f ca="1"/>
        <v>19.100409166589902</v>
      </c>
      <c r="Q71">
        <f ca="1"/>
        <v>17.209073764892754</v>
      </c>
      <c r="R71">
        <f ca="1"/>
        <v>0</v>
      </c>
      <c r="S71">
        <f ca="1"/>
        <v>0.99985507246376804</v>
      </c>
      <c r="T71">
        <f ca="1"/>
        <v>0</v>
      </c>
      <c r="U71">
        <f ca="1"/>
        <v>0</v>
      </c>
      <c r="V71">
        <f ca="1"/>
        <v>0.8285975047504982</v>
      </c>
      <c r="X71" s="2">
        <f t="shared" ca="1" si="1"/>
        <v>45454</v>
      </c>
      <c r="Y71">
        <f t="shared" ca="1" si="2"/>
        <v>0</v>
      </c>
      <c r="AA71" s="63">
        <f t="shared" ca="1" si="4"/>
        <v>156.00041930970639</v>
      </c>
      <c r="AB71" s="63">
        <f t="shared" ca="1" si="5"/>
        <v>156.00041930970639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45455</v>
      </c>
      <c r="K72">
        <f ca="1"/>
        <v>148.60947075225567</v>
      </c>
      <c r="L72">
        <f ca="1"/>
        <v>2.2109370699829931</v>
      </c>
      <c r="M72">
        <f ca="1"/>
        <v>0.30359508131598645</v>
      </c>
      <c r="N72">
        <f ca="1"/>
        <v>0.70177525653905748</v>
      </c>
      <c r="O72">
        <f ca="1"/>
        <v>0</v>
      </c>
      <c r="P72">
        <f ca="1"/>
        <v>21.311346236572895</v>
      </c>
      <c r="Q72">
        <f ca="1"/>
        <v>19.20108235460539</v>
      </c>
      <c r="R72">
        <f ca="1"/>
        <v>3.7320474220388458</v>
      </c>
      <c r="S72">
        <f ca="1"/>
        <v>1</v>
      </c>
      <c r="T72">
        <f ca="1"/>
        <v>4.5600138335231719</v>
      </c>
      <c r="U72">
        <f ca="1"/>
        <v>0</v>
      </c>
      <c r="V72">
        <f ca="1"/>
        <v>0.87273158679177665</v>
      </c>
      <c r="X72" s="2">
        <f t="shared" ca="1" si="1"/>
        <v>45455</v>
      </c>
      <c r="Y72">
        <f t="shared" ca="1" si="2"/>
        <v>0</v>
      </c>
      <c r="AA72" s="63">
        <f t="shared" ca="1" si="4"/>
        <v>154.55245524427752</v>
      </c>
      <c r="AB72" s="63">
        <f t="shared" ca="1" si="5"/>
        <v>154.55245524427752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45456</v>
      </c>
      <c r="K73">
        <f ca="1"/>
        <v>147.20796393675514</v>
      </c>
      <c r="L73">
        <f ca="1"/>
        <v>2.279498122682412</v>
      </c>
      <c r="M73">
        <f ca="1"/>
        <v>0.28953688422129886</v>
      </c>
      <c r="N73">
        <f ca="1"/>
        <v>0.67763258082370947</v>
      </c>
      <c r="O73">
        <f ca="1"/>
        <v>0</v>
      </c>
      <c r="P73">
        <f ca="1"/>
        <v>23.590844359255307</v>
      </c>
      <c r="Q73">
        <f ca="1"/>
        <v>21.254863035324696</v>
      </c>
      <c r="R73">
        <f ca="1"/>
        <v>8.9178157863135252E-2</v>
      </c>
      <c r="S73">
        <f ca="1"/>
        <v>1</v>
      </c>
      <c r="T73">
        <f ca="1"/>
        <v>0.10999999999999943</v>
      </c>
      <c r="U73">
        <f ca="1"/>
        <v>0</v>
      </c>
      <c r="V73">
        <f ca="1"/>
        <v>0.90482413604051837</v>
      </c>
      <c r="X73" s="2">
        <f t="shared" ca="1" si="1"/>
        <v>45456</v>
      </c>
      <c r="Y73">
        <f t="shared" ca="1" si="2"/>
        <v>0</v>
      </c>
      <c r="AA73" s="63">
        <f t="shared" ca="1" si="4"/>
        <v>149.57664021730068</v>
      </c>
      <c r="AB73" s="63">
        <f t="shared" ca="1" si="5"/>
        <v>149.57664021730068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45457</v>
      </c>
      <c r="K74">
        <f ca="1"/>
        <v>145.10019495283646</v>
      </c>
      <c r="L74">
        <f ca="1"/>
        <v>1.946660731843771</v>
      </c>
      <c r="M74">
        <f ca="1"/>
        <v>0.26256969737616487</v>
      </c>
      <c r="N74">
        <f ca="1"/>
        <v>0.60716430512688691</v>
      </c>
      <c r="O74">
        <f ca="1"/>
        <v>0</v>
      </c>
      <c r="P74">
        <f ca="1"/>
        <v>25.537505091099078</v>
      </c>
      <c r="Q74">
        <f ca="1"/>
        <v>23.008764108193731</v>
      </c>
      <c r="R74">
        <f ca="1"/>
        <v>1.0308422545779823</v>
      </c>
      <c r="S74">
        <f ca="1"/>
        <v>1</v>
      </c>
      <c r="T74">
        <f ca="1"/>
        <v>1.2900000000000063</v>
      </c>
      <c r="U74">
        <f ca="1"/>
        <v>0</v>
      </c>
      <c r="V74">
        <f ca="1"/>
        <v>0.92474595683683669</v>
      </c>
      <c r="X74" s="2">
        <f t="shared" ca="1" si="1"/>
        <v>45457</v>
      </c>
      <c r="Y74">
        <f t="shared" ca="1" si="2"/>
        <v>0</v>
      </c>
      <c r="AA74" s="63">
        <f t="shared" ca="1" si="4"/>
        <v>148.0776979392582</v>
      </c>
      <c r="AB74" s="63">
        <f t="shared" ca="1" si="5"/>
        <v>148.0776979392582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45458</v>
      </c>
      <c r="K75">
        <f ca="1"/>
        <v>53.901626885964319</v>
      </c>
      <c r="L75">
        <f ca="1"/>
        <v>2.6909543674159799</v>
      </c>
      <c r="M75">
        <f ca="1"/>
        <v>0.27730064456576642</v>
      </c>
      <c r="N75">
        <f ca="1"/>
        <v>0.67763258082370947</v>
      </c>
      <c r="O75">
        <f ca="1"/>
        <v>0</v>
      </c>
      <c r="P75">
        <f ca="1"/>
        <v>28.228459458515058</v>
      </c>
      <c r="Q75">
        <f ca="1"/>
        <v>25.433258358705622</v>
      </c>
      <c r="R75">
        <f ca="1"/>
        <v>0.52881825773293867</v>
      </c>
      <c r="S75">
        <f ca="1"/>
        <v>1</v>
      </c>
      <c r="T75">
        <f ca="1"/>
        <v>1.8300000000000125</v>
      </c>
      <c r="U75">
        <f ca="1"/>
        <v>0</v>
      </c>
      <c r="V75">
        <f ca="1"/>
        <v>0.94455560573096098</v>
      </c>
      <c r="X75" s="2">
        <f t="shared" ref="X75:X138" ca="1" si="8">IFERROR(J75,$X$9)</f>
        <v>45458</v>
      </c>
      <c r="Y75">
        <f t="shared" ref="Y75:Y138" ca="1" si="9">IFERROR(O75,0)</f>
        <v>0</v>
      </c>
      <c r="AA75" s="63">
        <f t="shared" ca="1" si="4"/>
        <v>146.05512817822594</v>
      </c>
      <c r="AB75" s="63">
        <f t="shared" ca="1" si="5"/>
        <v>57.121399511113239</v>
      </c>
      <c r="AC75" s="3">
        <f t="shared" ca="1" si="6"/>
        <v>-88.933728667112703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45459</v>
      </c>
      <c r="K76">
        <f ca="1"/>
        <v>51.397055771381076</v>
      </c>
      <c r="L76">
        <f ca="1"/>
        <v>3.0060941009359858</v>
      </c>
      <c r="M76">
        <f ca="1"/>
        <v>0.27295846889655095</v>
      </c>
      <c r="N76">
        <f ca="1"/>
        <v>0.68428507862910293</v>
      </c>
      <c r="O76">
        <f ca="1"/>
        <v>0</v>
      </c>
      <c r="P76">
        <f ca="1"/>
        <v>31.234553559451044</v>
      </c>
      <c r="Q76">
        <f ca="1"/>
        <v>28.141686993716501</v>
      </c>
      <c r="R76">
        <f ca="1"/>
        <v>0.45572056117291204</v>
      </c>
      <c r="S76">
        <f ca="1"/>
        <v>1</v>
      </c>
      <c r="T76">
        <f ca="1"/>
        <v>1.6099999999999994</v>
      </c>
      <c r="U76">
        <f ca="1"/>
        <v>0</v>
      </c>
      <c r="V76">
        <f ca="1"/>
        <v>0.9596271224272892</v>
      </c>
      <c r="X76" s="2">
        <f t="shared" ca="1" si="8"/>
        <v>45459</v>
      </c>
      <c r="Y76">
        <f t="shared" ca="1" si="9"/>
        <v>0</v>
      </c>
      <c r="AA76" s="63">
        <f t="shared" ca="1" si="4"/>
        <v>54.858870433489969</v>
      </c>
      <c r="AB76" s="63">
        <f t="shared" ca="1" si="5"/>
        <v>54.858870433489969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45460</v>
      </c>
      <c r="K77">
        <f ca="1"/>
        <v>47.756988093698872</v>
      </c>
      <c r="L77">
        <f ca="1"/>
        <v>3.3494986084058382</v>
      </c>
      <c r="M77">
        <f ca="1"/>
        <v>0.26841837509930855</v>
      </c>
      <c r="N77">
        <f ca="1"/>
        <v>0.69030767894500022</v>
      </c>
      <c r="O77">
        <f ca="1"/>
        <v>0</v>
      </c>
      <c r="P77">
        <f ca="1"/>
        <v>34.584052167856882</v>
      </c>
      <c r="Q77">
        <f ca="1"/>
        <v>31.159515990190968</v>
      </c>
      <c r="R77">
        <f ca="1"/>
        <v>1.2492951233206733</v>
      </c>
      <c r="S77">
        <f ca="1"/>
        <v>1</v>
      </c>
      <c r="T77">
        <f ca="1"/>
        <v>4.75</v>
      </c>
      <c r="U77">
        <f ca="1"/>
        <v>0</v>
      </c>
      <c r="V77">
        <f ca="1"/>
        <v>0.970891105292914</v>
      </c>
      <c r="X77" s="2">
        <f t="shared" ca="1" si="8"/>
        <v>45460</v>
      </c>
      <c r="Y77">
        <f t="shared" ca="1" si="9"/>
        <v>0</v>
      </c>
      <c r="AA77" s="63">
        <f t="shared" ref="AA77:AA140" ca="1" si="11">K76+M77+N77+O77</f>
        <v>52.355781825425382</v>
      </c>
      <c r="AB77" s="63">
        <f t="shared" ref="AB77:AB140" ca="1" si="12">K77+L77+R77</f>
        <v>52.355781825425382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45461</v>
      </c>
      <c r="K78">
        <f ca="1"/>
        <v>42.228188112089555</v>
      </c>
      <c r="L78">
        <f ca="1"/>
        <v>3.9160866030650112</v>
      </c>
      <c r="M78">
        <f ca="1"/>
        <v>0.2686195869077217</v>
      </c>
      <c r="N78">
        <f ca="1"/>
        <v>0.71404819608056869</v>
      </c>
      <c r="O78">
        <f ca="1"/>
        <v>0</v>
      </c>
      <c r="P78">
        <f ca="1"/>
        <v>38.500138770921893</v>
      </c>
      <c r="Q78">
        <f ca="1"/>
        <v>34.687829055846933</v>
      </c>
      <c r="R78">
        <f ca="1"/>
        <v>2.5953811615325986</v>
      </c>
      <c r="S78">
        <f ca="1"/>
        <v>1</v>
      </c>
      <c r="T78">
        <f ca="1"/>
        <v>11.159999999999997</v>
      </c>
      <c r="U78">
        <f ca="1"/>
        <v>0</v>
      </c>
      <c r="V78">
        <f ca="1"/>
        <v>0.97953261498127753</v>
      </c>
      <c r="X78" s="2">
        <f t="shared" ca="1" si="8"/>
        <v>45461</v>
      </c>
      <c r="Y78">
        <f t="shared" ca="1" si="9"/>
        <v>0</v>
      </c>
      <c r="AA78" s="63">
        <f t="shared" ca="1" si="11"/>
        <v>48.739655876687166</v>
      </c>
      <c r="AB78" s="63">
        <f t="shared" ca="1" si="12"/>
        <v>48.739655876687166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45462</v>
      </c>
      <c r="K79">
        <f ca="1"/>
        <v>109.10919922273743</v>
      </c>
      <c r="L79">
        <f ca="1"/>
        <v>4.2568905087616216</v>
      </c>
      <c r="M79">
        <f ca="1"/>
        <v>0.26136865813016996</v>
      </c>
      <c r="N79">
        <f ca="1"/>
        <v>0.71062553014540031</v>
      </c>
      <c r="O79">
        <f ca="1"/>
        <v>75.011399614991646</v>
      </c>
      <c r="P79">
        <f ca="1"/>
        <v>42.757029279683515</v>
      </c>
      <c r="Q79">
        <f ca="1"/>
        <v>38.523199394535318</v>
      </c>
      <c r="R79">
        <f ca="1"/>
        <v>4.8454921838577283</v>
      </c>
      <c r="S79">
        <f ca="1"/>
        <v>1</v>
      </c>
      <c r="T79">
        <f ca="1"/>
        <v>8.1899999999999977</v>
      </c>
      <c r="U79">
        <f ca="1"/>
        <v>0</v>
      </c>
      <c r="V79">
        <f ca="1"/>
        <v>0.98560154416937262</v>
      </c>
      <c r="X79" s="2">
        <f t="shared" ca="1" si="8"/>
        <v>45462</v>
      </c>
      <c r="Y79">
        <f t="shared" ca="1" si="9"/>
        <v>75.011399614991646</v>
      </c>
      <c r="AA79" s="63">
        <f t="shared" ca="1" si="11"/>
        <v>118.21158191535676</v>
      </c>
      <c r="AB79" s="63">
        <f t="shared" ca="1" si="12"/>
        <v>118.21158191535677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45463</v>
      </c>
      <c r="K80">
        <f ca="1"/>
        <v>105.30049891047264</v>
      </c>
      <c r="L80">
        <f ca="1"/>
        <v>4.1448705696382575</v>
      </c>
      <c r="M80">
        <f ca="1"/>
        <v>0.24506468296343797</v>
      </c>
      <c r="N80">
        <f ca="1"/>
        <v>0.67102136551119118</v>
      </c>
      <c r="O80">
        <f ca="1"/>
        <v>0</v>
      </c>
      <c r="P80">
        <f ca="1"/>
        <v>46.901899849321772</v>
      </c>
      <c r="Q80">
        <f ca="1"/>
        <v>42.257642084046168</v>
      </c>
      <c r="R80">
        <f ca="1"/>
        <v>0.57991579110115377</v>
      </c>
      <c r="S80">
        <f ca="1"/>
        <v>1</v>
      </c>
      <c r="T80">
        <f ca="1"/>
        <v>1</v>
      </c>
      <c r="U80">
        <f ca="1"/>
        <v>0</v>
      </c>
      <c r="V80">
        <f ca="1"/>
        <v>0.98950647171149719</v>
      </c>
      <c r="X80" s="2">
        <f t="shared" ca="1" si="8"/>
        <v>45463</v>
      </c>
      <c r="Y80">
        <f t="shared" ca="1" si="9"/>
        <v>0</v>
      </c>
      <c r="AA80" s="63">
        <f t="shared" ca="1" si="11"/>
        <v>110.02528527121206</v>
      </c>
      <c r="AB80" s="63">
        <f t="shared" ca="1" si="12"/>
        <v>110.02528527121206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45464</v>
      </c>
      <c r="K81">
        <f ca="1"/>
        <v>102.02633762188589</v>
      </c>
      <c r="L81">
        <f ca="1"/>
        <v>3.5047014480133356</v>
      </c>
      <c r="M81">
        <f ca="1"/>
        <v>0.22267501763887765</v>
      </c>
      <c r="N81">
        <f ca="1"/>
        <v>0.60346237068763786</v>
      </c>
      <c r="O81">
        <f ca="1"/>
        <v>0</v>
      </c>
      <c r="P81">
        <f ca="1"/>
        <v>50.406601297335108</v>
      </c>
      <c r="Q81">
        <f ca="1"/>
        <v>45.415305630243161</v>
      </c>
      <c r="R81">
        <f ca="1"/>
        <v>0.59559722889992994</v>
      </c>
      <c r="S81">
        <f ca="1"/>
        <v>1</v>
      </c>
      <c r="T81">
        <f ca="1"/>
        <v>1.0599999999999881</v>
      </c>
      <c r="U81">
        <f ca="1"/>
        <v>0</v>
      </c>
      <c r="V81">
        <f ca="1"/>
        <v>0.99183145127661732</v>
      </c>
      <c r="X81" s="2">
        <f t="shared" ca="1" si="8"/>
        <v>45464</v>
      </c>
      <c r="Y81">
        <f t="shared" ca="1" si="9"/>
        <v>0</v>
      </c>
      <c r="AA81" s="63">
        <f t="shared" ca="1" si="11"/>
        <v>106.12663629879916</v>
      </c>
      <c r="AB81" s="63">
        <f t="shared" ca="1" si="12"/>
        <v>106.12663629879916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45465</v>
      </c>
      <c r="K82">
        <f ca="1"/>
        <v>97.905008616718689</v>
      </c>
      <c r="L82">
        <f ca="1"/>
        <v>3.7657174241598597</v>
      </c>
      <c r="M82">
        <f ca="1"/>
        <v>0.2186616533096668</v>
      </c>
      <c r="N82">
        <f ca="1"/>
        <v>0.60654630439072499</v>
      </c>
      <c r="O82">
        <f ca="1"/>
        <v>0</v>
      </c>
      <c r="P82">
        <f ca="1"/>
        <v>54.172318721494968</v>
      </c>
      <c r="Q82">
        <f ca="1"/>
        <v>48.808139174535192</v>
      </c>
      <c r="R82">
        <f ca="1"/>
        <v>1.1808195387077276</v>
      </c>
      <c r="S82">
        <f ca="1"/>
        <v>1</v>
      </c>
      <c r="T82">
        <f ca="1"/>
        <v>2.1899999999999977</v>
      </c>
      <c r="U82">
        <f ca="1"/>
        <v>0</v>
      </c>
      <c r="V82">
        <f ca="1"/>
        <v>0.99366468529388408</v>
      </c>
      <c r="X82" s="2">
        <f t="shared" ca="1" si="8"/>
        <v>45465</v>
      </c>
      <c r="Y82">
        <f t="shared" ca="1" si="9"/>
        <v>0</v>
      </c>
      <c r="AA82" s="63">
        <f t="shared" ca="1" si="11"/>
        <v>102.85154557958627</v>
      </c>
      <c r="AB82" s="63">
        <f t="shared" ca="1" si="12"/>
        <v>102.85154557958627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45466</v>
      </c>
      <c r="K83">
        <f ca="1"/>
        <v>92.013027431042801</v>
      </c>
      <c r="L83">
        <f ca="1"/>
        <v>5.370228553039162</v>
      </c>
      <c r="M83">
        <f ca="1"/>
        <v>0.23452407159930999</v>
      </c>
      <c r="N83">
        <f ca="1"/>
        <v>0.69299515390972399</v>
      </c>
      <c r="O83">
        <f ca="1"/>
        <v>0</v>
      </c>
      <c r="P83">
        <f ca="1"/>
        <v>59.54254727453413</v>
      </c>
      <c r="Q83">
        <f ca="1"/>
        <v>53.646604073247296</v>
      </c>
      <c r="R83">
        <f ca="1"/>
        <v>1.4492718581457582</v>
      </c>
      <c r="S83">
        <f ca="1"/>
        <v>1</v>
      </c>
      <c r="T83">
        <f ca="1"/>
        <v>2.8599999999999994</v>
      </c>
      <c r="U83">
        <f ca="1"/>
        <v>0</v>
      </c>
      <c r="V83">
        <f ca="1"/>
        <v>0.99548844446555829</v>
      </c>
      <c r="X83" s="2">
        <f t="shared" ca="1" si="8"/>
        <v>45466</v>
      </c>
      <c r="Y83">
        <f t="shared" ca="1" si="9"/>
        <v>0</v>
      </c>
      <c r="AA83" s="63">
        <f t="shared" ca="1" si="11"/>
        <v>98.832527842227719</v>
      </c>
      <c r="AB83" s="63">
        <f t="shared" ca="1" si="12"/>
        <v>98.832527842227719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45467</v>
      </c>
      <c r="K84">
        <f ca="1"/>
        <v>87.010643207063879</v>
      </c>
      <c r="L84">
        <f ca="1"/>
        <v>4.8350227442945055</v>
      </c>
      <c r="M84">
        <f ca="1"/>
        <v>0.21600535265967835</v>
      </c>
      <c r="N84">
        <f ca="1"/>
        <v>0.63730584318919359</v>
      </c>
      <c r="O84">
        <f ca="1"/>
        <v>0</v>
      </c>
      <c r="P84">
        <f ca="1"/>
        <v>64.377570018828635</v>
      </c>
      <c r="Q84">
        <f ca="1"/>
        <v>58.002859603471279</v>
      </c>
      <c r="R84">
        <f ca="1"/>
        <v>1.0206726755332949</v>
      </c>
      <c r="S84">
        <f ca="1"/>
        <v>1</v>
      </c>
      <c r="T84">
        <f ca="1"/>
        <v>2.1299999999999955</v>
      </c>
      <c r="U84">
        <f ca="1"/>
        <v>0</v>
      </c>
      <c r="V84">
        <f ca="1"/>
        <v>0.99661089212712883</v>
      </c>
      <c r="X84" s="2">
        <f t="shared" ca="1" si="8"/>
        <v>45467</v>
      </c>
      <c r="Y84">
        <f t="shared" ca="1" si="9"/>
        <v>0</v>
      </c>
      <c r="AA84" s="63">
        <f t="shared" ca="1" si="11"/>
        <v>92.866338626891675</v>
      </c>
      <c r="AB84" s="63">
        <f t="shared" ca="1" si="12"/>
        <v>92.866338626891675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45468</v>
      </c>
      <c r="K85">
        <f ca="1"/>
        <v>83.030113612872256</v>
      </c>
      <c r="L85">
        <f ca="1"/>
        <v>4.6852985001192025</v>
      </c>
      <c r="M85">
        <f ca="1"/>
        <v>0.20571913730556446</v>
      </c>
      <c r="N85">
        <f ca="1"/>
        <v>0.6133665917122002</v>
      </c>
      <c r="O85">
        <f ca="1"/>
        <v>0</v>
      </c>
      <c r="P85">
        <f ca="1"/>
        <v>69.062868518947838</v>
      </c>
      <c r="Q85">
        <f ca="1"/>
        <v>62.224216685189127</v>
      </c>
      <c r="R85">
        <f ca="1"/>
        <v>0.11431682309018644</v>
      </c>
      <c r="S85">
        <f ca="1"/>
        <v>1</v>
      </c>
      <c r="T85">
        <f ca="1"/>
        <v>0.25</v>
      </c>
      <c r="U85">
        <f ca="1"/>
        <v>0</v>
      </c>
      <c r="V85">
        <f ca="1"/>
        <v>0.99739261586570338</v>
      </c>
      <c r="X85" s="2">
        <f t="shared" ca="1" si="8"/>
        <v>45468</v>
      </c>
      <c r="Y85">
        <f t="shared" ca="1" si="9"/>
        <v>0</v>
      </c>
      <c r="AA85" s="63">
        <f t="shared" ca="1" si="11"/>
        <v>87.829728936081636</v>
      </c>
      <c r="AB85" s="63">
        <f t="shared" ca="1" si="12"/>
        <v>87.829728936081651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45469</v>
      </c>
      <c r="K86">
        <f ca="1"/>
        <v>78.421573690457038</v>
      </c>
      <c r="L86">
        <f ca="1"/>
        <v>4.4934127643032866</v>
      </c>
      <c r="M86">
        <f ca="1"/>
        <v>0.19628888722942861</v>
      </c>
      <c r="N86">
        <f ca="1"/>
        <v>0.59122763328126904</v>
      </c>
      <c r="O86">
        <f ca="1"/>
        <v>0</v>
      </c>
      <c r="P86">
        <f ca="1"/>
        <v>73.556281283251124</v>
      </c>
      <c r="Q86">
        <f ca="1"/>
        <v>66.272688686106576</v>
      </c>
      <c r="R86">
        <f ca="1"/>
        <v>0.9026436786226244</v>
      </c>
      <c r="S86">
        <f ca="1"/>
        <v>1</v>
      </c>
      <c r="T86">
        <f ca="1"/>
        <v>2.0900000000000034</v>
      </c>
      <c r="U86">
        <f ca="1"/>
        <v>0</v>
      </c>
      <c r="V86">
        <f ca="1"/>
        <v>0.99794797721052186</v>
      </c>
      <c r="X86" s="2">
        <f t="shared" ca="1" si="8"/>
        <v>45469</v>
      </c>
      <c r="Y86">
        <f t="shared" ca="1" si="9"/>
        <v>0</v>
      </c>
      <c r="AA86" s="63">
        <f t="shared" ca="1" si="11"/>
        <v>83.817630133382949</v>
      </c>
      <c r="AB86" s="63">
        <f t="shared" ca="1" si="12"/>
        <v>83.817630133382949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45470</v>
      </c>
      <c r="K87">
        <f ca="1"/>
        <v>74.420856662793952</v>
      </c>
      <c r="L87">
        <f ca="1"/>
        <v>4.7891926705342911</v>
      </c>
      <c r="M87">
        <f ca="1"/>
        <v>0.19298421163432522</v>
      </c>
      <c r="N87">
        <f ca="1"/>
        <v>0.59549143123687776</v>
      </c>
      <c r="O87">
        <f ca="1"/>
        <v>0</v>
      </c>
      <c r="P87">
        <f ca="1"/>
        <v>78.345473953785415</v>
      </c>
      <c r="Q87">
        <f ca="1"/>
        <v>70.587652267393167</v>
      </c>
      <c r="R87">
        <f ca="1"/>
        <v>0</v>
      </c>
      <c r="S87">
        <f ca="1"/>
        <v>0.99942028985507236</v>
      </c>
      <c r="T87">
        <f ca="1"/>
        <v>0</v>
      </c>
      <c r="U87">
        <f ca="1"/>
        <v>0</v>
      </c>
      <c r="V87">
        <f ca="1"/>
        <v>0.99839241106282373</v>
      </c>
      <c r="X87" s="2">
        <f t="shared" ca="1" si="8"/>
        <v>45470</v>
      </c>
      <c r="Y87">
        <f t="shared" ca="1" si="9"/>
        <v>0</v>
      </c>
      <c r="AA87" s="63">
        <f t="shared" ca="1" si="11"/>
        <v>79.210049333328243</v>
      </c>
      <c r="AB87" s="63">
        <f t="shared" ca="1" si="12"/>
        <v>79.210049333328243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45471</v>
      </c>
      <c r="K88">
        <f ca="1"/>
        <v>70.053952440616598</v>
      </c>
      <c r="L88">
        <f ca="1"/>
        <v>4.8291077393009232</v>
      </c>
      <c r="M88">
        <f ca="1"/>
        <v>0.18711666572468744</v>
      </c>
      <c r="N88">
        <f ca="1"/>
        <v>0.58758865987009357</v>
      </c>
      <c r="O88">
        <f ca="1"/>
        <v>0</v>
      </c>
      <c r="P88">
        <f ca="1"/>
        <v>83.174581693086338</v>
      </c>
      <c r="Q88">
        <f ca="1"/>
        <v>74.938578500408582</v>
      </c>
      <c r="R88">
        <f ca="1"/>
        <v>0.31250180847120457</v>
      </c>
      <c r="S88">
        <f ca="1"/>
        <v>1</v>
      </c>
      <c r="T88">
        <f ca="1"/>
        <v>0.81000068455851704</v>
      </c>
      <c r="U88">
        <f ca="1"/>
        <v>0</v>
      </c>
      <c r="V88">
        <f ca="1"/>
        <v>0.99873025434691354</v>
      </c>
      <c r="X88" s="2">
        <f t="shared" ca="1" si="8"/>
        <v>45471</v>
      </c>
      <c r="Y88">
        <f t="shared" ca="1" si="9"/>
        <v>0</v>
      </c>
      <c r="AA88" s="63">
        <f t="shared" ca="1" si="11"/>
        <v>75.195561988388732</v>
      </c>
      <c r="AB88" s="63">
        <f t="shared" ca="1" si="12"/>
        <v>75.195561988388732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45472</v>
      </c>
      <c r="K89">
        <f ca="1"/>
        <v>65.404661061551863</v>
      </c>
      <c r="L89">
        <f ca="1"/>
        <v>4.776529214310429</v>
      </c>
      <c r="M89">
        <f ca="1"/>
        <v>0.18082853146243139</v>
      </c>
      <c r="N89">
        <f ca="1"/>
        <v>0.57675857343444648</v>
      </c>
      <c r="O89">
        <f ca="1"/>
        <v>0</v>
      </c>
      <c r="P89">
        <f ca="1"/>
        <v>87.951110907396767</v>
      </c>
      <c r="Q89">
        <f ca="1"/>
        <v>79.242132569449979</v>
      </c>
      <c r="R89">
        <f ca="1"/>
        <v>0.63034926965118832</v>
      </c>
      <c r="S89">
        <f ca="1"/>
        <v>1</v>
      </c>
      <c r="T89">
        <f ca="1"/>
        <v>1.75</v>
      </c>
      <c r="U89">
        <f ca="1"/>
        <v>0</v>
      </c>
      <c r="V89">
        <f ca="1"/>
        <v>0.99898561993273927</v>
      </c>
      <c r="X89" s="2">
        <f t="shared" ca="1" si="8"/>
        <v>45472</v>
      </c>
      <c r="Y89">
        <f t="shared" ca="1" si="9"/>
        <v>0</v>
      </c>
      <c r="AA89" s="63">
        <f t="shared" ca="1" si="11"/>
        <v>70.811539545513469</v>
      </c>
      <c r="AB89" s="63">
        <f t="shared" ca="1" si="12"/>
        <v>70.811539545513483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45473</v>
      </c>
      <c r="K90">
        <f ca="1"/>
        <v>60.376375937328405</v>
      </c>
      <c r="L90">
        <f ca="1"/>
        <v>5.3641569557319855</v>
      </c>
      <c r="M90">
        <f ca="1"/>
        <v>0.18051064635291425</v>
      </c>
      <c r="N90">
        <f ca="1"/>
        <v>0.59427118762176234</v>
      </c>
      <c r="O90">
        <f ca="1"/>
        <v>0</v>
      </c>
      <c r="P90">
        <f ca="1"/>
        <v>93.315267863128753</v>
      </c>
      <c r="Q90">
        <f ca="1"/>
        <v>84.075127084516438</v>
      </c>
      <c r="R90">
        <f ca="1"/>
        <v>0.43891000246614637</v>
      </c>
      <c r="S90">
        <f ca="1"/>
        <v>1</v>
      </c>
      <c r="T90">
        <f ca="1"/>
        <v>1.3200000000000074</v>
      </c>
      <c r="U90">
        <f ca="1"/>
        <v>0</v>
      </c>
      <c r="V90">
        <f ca="1"/>
        <v>0.99920448489079294</v>
      </c>
      <c r="X90" s="2">
        <f t="shared" ca="1" si="8"/>
        <v>45473</v>
      </c>
      <c r="Y90">
        <f t="shared" ca="1" si="9"/>
        <v>0</v>
      </c>
      <c r="AA90" s="63">
        <f t="shared" ca="1" si="11"/>
        <v>66.179442895526535</v>
      </c>
      <c r="AB90" s="63">
        <f t="shared" ca="1" si="12"/>
        <v>66.179442895526535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45474</v>
      </c>
      <c r="K91">
        <f ca="1"/>
        <v>56.415544843135244</v>
      </c>
      <c r="L91">
        <f ca="1"/>
        <v>4.6893843284965158</v>
      </c>
      <c r="M91">
        <f ca="1"/>
        <v>0.1695564122725699</v>
      </c>
      <c r="N91">
        <f ca="1"/>
        <v>0.55899682203078382</v>
      </c>
      <c r="O91">
        <f ca="1"/>
        <v>0</v>
      </c>
      <c r="P91">
        <f ca="1"/>
        <v>98.004652191625269</v>
      </c>
      <c r="Q91">
        <f ca="1"/>
        <v>88.300165413129193</v>
      </c>
      <c r="R91">
        <f ca="1"/>
        <v>0</v>
      </c>
      <c r="S91">
        <f ca="1"/>
        <v>0.99739130434782597</v>
      </c>
      <c r="T91">
        <f ca="1"/>
        <v>0</v>
      </c>
      <c r="U91">
        <f ca="1"/>
        <v>0</v>
      </c>
      <c r="V91">
        <f ca="1"/>
        <v>0.9993522871291447</v>
      </c>
      <c r="X91" s="2">
        <f t="shared" ca="1" si="8"/>
        <v>45474</v>
      </c>
      <c r="Y91">
        <f t="shared" ca="1" si="9"/>
        <v>0</v>
      </c>
      <c r="AA91" s="63">
        <f t="shared" ca="1" si="11"/>
        <v>61.10492917163176</v>
      </c>
      <c r="AB91" s="63">
        <f t="shared" ca="1" si="12"/>
        <v>61.10492917163176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45475</v>
      </c>
      <c r="K92">
        <f ca="1"/>
        <v>131.02739482527522</v>
      </c>
      <c r="L92">
        <f ca="1"/>
        <v>5.7358795775477063</v>
      </c>
      <c r="M92">
        <f ca="1"/>
        <v>0.17294884496349994</v>
      </c>
      <c r="N92">
        <f ca="1"/>
        <v>0.59488110778745396</v>
      </c>
      <c r="O92">
        <f ca="1"/>
        <v>81.374280821524877</v>
      </c>
      <c r="P92">
        <f ca="1"/>
        <v>103.74053176917297</v>
      </c>
      <c r="Q92">
        <f ca="1"/>
        <v>93.468074325217884</v>
      </c>
      <c r="R92">
        <f ca="1"/>
        <v>1.794381214588131</v>
      </c>
      <c r="S92">
        <f ca="1"/>
        <v>1</v>
      </c>
      <c r="T92">
        <f ca="1"/>
        <v>2.5000011785088674</v>
      </c>
      <c r="U92">
        <f ca="1"/>
        <v>0</v>
      </c>
      <c r="V92">
        <f ca="1"/>
        <v>0.99949240254292182</v>
      </c>
      <c r="X92" s="2">
        <f t="shared" ca="1" si="8"/>
        <v>45475</v>
      </c>
      <c r="Y92">
        <f t="shared" ca="1" si="9"/>
        <v>81.374280821524877</v>
      </c>
      <c r="AA92" s="63">
        <f t="shared" ca="1" si="11"/>
        <v>138.55765561741106</v>
      </c>
      <c r="AB92" s="63">
        <f t="shared" ca="1" si="12"/>
        <v>138.55765561741106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45476</v>
      </c>
      <c r="K93">
        <f ca="1"/>
        <v>126.21830741859343</v>
      </c>
      <c r="L93">
        <f ca="1"/>
        <v>5.556531628323583</v>
      </c>
      <c r="M93">
        <f ca="1"/>
        <v>0.16648940768899223</v>
      </c>
      <c r="N93">
        <f ca="1"/>
        <v>0.58095481395279547</v>
      </c>
      <c r="O93">
        <f ca="1"/>
        <v>0</v>
      </c>
      <c r="P93">
        <f ca="1"/>
        <v>109.29706339749656</v>
      </c>
      <c r="Q93">
        <f ca="1"/>
        <v>98.47439444301105</v>
      </c>
      <c r="R93">
        <f ca="1"/>
        <v>0</v>
      </c>
      <c r="S93">
        <f ca="1"/>
        <v>0.99797101449275361</v>
      </c>
      <c r="T93">
        <f ca="1"/>
        <v>0</v>
      </c>
      <c r="U93">
        <f ca="1"/>
        <v>0</v>
      </c>
      <c r="V93">
        <f ca="1"/>
        <v>0.99959635312235151</v>
      </c>
      <c r="X93" s="2">
        <f t="shared" ca="1" si="8"/>
        <v>45476</v>
      </c>
      <c r="Y93">
        <f t="shared" ca="1" si="9"/>
        <v>0</v>
      </c>
      <c r="AA93" s="63">
        <f t="shared" ca="1" si="11"/>
        <v>131.77483904691701</v>
      </c>
      <c r="AB93" s="63">
        <f t="shared" ca="1" si="12"/>
        <v>131.77483904691701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45477</v>
      </c>
      <c r="K94">
        <f ca="1"/>
        <v>120.02661231799746</v>
      </c>
      <c r="L94">
        <f ca="1"/>
        <v>6.9940548349252509</v>
      </c>
      <c r="M94">
        <f ca="1"/>
        <v>0.172044150501236</v>
      </c>
      <c r="N94">
        <f ca="1"/>
        <v>0.63031558382804642</v>
      </c>
      <c r="O94">
        <f ca="1"/>
        <v>0</v>
      </c>
      <c r="P94">
        <f ca="1"/>
        <v>116.29111823242181</v>
      </c>
      <c r="Q94">
        <f ca="1"/>
        <v>104.7758932496684</v>
      </c>
      <c r="R94">
        <f ca="1"/>
        <v>0</v>
      </c>
      <c r="S94">
        <f ca="1"/>
        <v>0.985362327541354</v>
      </c>
      <c r="T94">
        <f ca="1"/>
        <v>0</v>
      </c>
      <c r="U94">
        <f ca="1"/>
        <v>0</v>
      </c>
      <c r="V94">
        <f ca="1"/>
        <v>0.9996949603326688</v>
      </c>
      <c r="X94" s="2">
        <f t="shared" ca="1" si="8"/>
        <v>45477</v>
      </c>
      <c r="Y94">
        <f t="shared" ca="1" si="9"/>
        <v>0</v>
      </c>
      <c r="AA94" s="63">
        <f t="shared" ca="1" si="11"/>
        <v>127.02066715292271</v>
      </c>
      <c r="AB94" s="63">
        <f t="shared" ca="1" si="12"/>
        <v>127.02066715292271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45478</v>
      </c>
      <c r="K95">
        <f ca="1"/>
        <v>113.86965828039165</v>
      </c>
      <c r="L95">
        <f ca="1"/>
        <v>6.733905430253273</v>
      </c>
      <c r="M95">
        <f ca="1"/>
        <v>0.16488370518482753</v>
      </c>
      <c r="N95">
        <f ca="1"/>
        <v>0.61274453905525339</v>
      </c>
      <c r="O95">
        <f ca="1"/>
        <v>0</v>
      </c>
      <c r="P95">
        <f ca="1"/>
        <v>123.02502366267508</v>
      </c>
      <c r="Q95">
        <f ca="1"/>
        <v>110.84300282121325</v>
      </c>
      <c r="R95">
        <f ca="1"/>
        <v>0.20067685159261953</v>
      </c>
      <c r="S95">
        <f ca="1"/>
        <v>1</v>
      </c>
      <c r="T95">
        <f ca="1"/>
        <v>0.3200035200217286</v>
      </c>
      <c r="U95">
        <f ca="1"/>
        <v>0</v>
      </c>
      <c r="V95">
        <f ca="1"/>
        <v>0.99976533811098134</v>
      </c>
      <c r="X95" s="2">
        <f t="shared" ca="1" si="8"/>
        <v>45478</v>
      </c>
      <c r="Y95">
        <f t="shared" ca="1" si="9"/>
        <v>0</v>
      </c>
      <c r="AA95" s="63">
        <f t="shared" ca="1" si="11"/>
        <v>120.80424056223754</v>
      </c>
      <c r="AB95" s="63">
        <f t="shared" ca="1" si="12"/>
        <v>120.80424056223754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45479</v>
      </c>
      <c r="K96">
        <f ca="1"/>
        <v>104.70843290647132</v>
      </c>
      <c r="L96">
        <f ca="1"/>
        <v>7.8071372788313482</v>
      </c>
      <c r="M96">
        <f ca="1"/>
        <v>0.16721754035230418</v>
      </c>
      <c r="N96">
        <f ca="1"/>
        <v>0.64691768248284565</v>
      </c>
      <c r="O96">
        <f ca="1"/>
        <v>0</v>
      </c>
      <c r="P96">
        <f ca="1"/>
        <v>130.83216094150643</v>
      </c>
      <c r="Q96">
        <f ca="1"/>
        <v>117.87707209963801</v>
      </c>
      <c r="R96">
        <f ca="1"/>
        <v>2.1682233179241508</v>
      </c>
      <c r="S96">
        <f ca="1"/>
        <v>1</v>
      </c>
      <c r="T96">
        <f ca="1"/>
        <v>3.7600000000000051</v>
      </c>
      <c r="U96">
        <f ca="1"/>
        <v>0</v>
      </c>
      <c r="V96">
        <f ca="1"/>
        <v>0.99982558254247622</v>
      </c>
      <c r="X96" s="2">
        <f t="shared" ca="1" si="8"/>
        <v>45479</v>
      </c>
      <c r="Y96">
        <f t="shared" ca="1" si="9"/>
        <v>0</v>
      </c>
      <c r="AA96" s="63">
        <f t="shared" ca="1" si="11"/>
        <v>114.68379350322679</v>
      </c>
      <c r="AB96" s="63">
        <f t="shared" ca="1" si="12"/>
        <v>114.68379350322681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45480</v>
      </c>
      <c r="K97">
        <f ca="1"/>
        <v>97.954759637505617</v>
      </c>
      <c r="L97">
        <f ca="1"/>
        <v>6.0303893424228932</v>
      </c>
      <c r="M97">
        <f ca="1"/>
        <v>0.15110757685548037</v>
      </c>
      <c r="N97">
        <f ca="1"/>
        <v>0.57675857343444648</v>
      </c>
      <c r="O97">
        <f ca="1"/>
        <v>0</v>
      </c>
      <c r="P97">
        <f ca="1"/>
        <v>136.86255028392932</v>
      </c>
      <c r="Q97">
        <f ca="1"/>
        <v>123.31032822099399</v>
      </c>
      <c r="R97">
        <f ca="1"/>
        <v>1.451150076832727</v>
      </c>
      <c r="S97">
        <f ca="1"/>
        <v>1</v>
      </c>
      <c r="T97">
        <f ca="1"/>
        <v>2.6899999999999977</v>
      </c>
      <c r="U97">
        <f ca="1"/>
        <v>0</v>
      </c>
      <c r="V97">
        <f ca="1"/>
        <v>0.9998606913310405</v>
      </c>
      <c r="X97" s="2">
        <f t="shared" ca="1" si="8"/>
        <v>45480</v>
      </c>
      <c r="Y97">
        <f t="shared" ca="1" si="9"/>
        <v>0</v>
      </c>
      <c r="AA97" s="63">
        <f t="shared" ca="1" si="11"/>
        <v>105.43629905676124</v>
      </c>
      <c r="AB97" s="63">
        <f t="shared" ca="1" si="12"/>
        <v>105.43629905676124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45481</v>
      </c>
      <c r="K98">
        <f ca="1"/>
        <v>91.525388247320564</v>
      </c>
      <c r="L98">
        <f ca="1"/>
        <v>5.4700401246290653</v>
      </c>
      <c r="M98">
        <f ca="1"/>
        <v>0.1440985651757245</v>
      </c>
      <c r="N98">
        <f ca="1"/>
        <v>0.55490408791756807</v>
      </c>
      <c r="O98">
        <f ca="1"/>
        <v>0</v>
      </c>
      <c r="P98">
        <f ca="1"/>
        <v>142.33259040855839</v>
      </c>
      <c r="Q98">
        <f ca="1"/>
        <v>128.23872128213969</v>
      </c>
      <c r="R98">
        <f ca="1"/>
        <v>1.6583339186492809</v>
      </c>
      <c r="S98">
        <f ca="1"/>
        <v>1</v>
      </c>
      <c r="T98">
        <f ca="1"/>
        <v>3.2900000000000063</v>
      </c>
      <c r="U98">
        <f ca="1"/>
        <v>0</v>
      </c>
      <c r="V98">
        <f ca="1"/>
        <v>0.99988608131145362</v>
      </c>
      <c r="X98" s="2">
        <f t="shared" ca="1" si="8"/>
        <v>45481</v>
      </c>
      <c r="Y98">
        <f t="shared" ca="1" si="9"/>
        <v>0</v>
      </c>
      <c r="AA98" s="63">
        <f t="shared" ca="1" si="11"/>
        <v>98.653762290598905</v>
      </c>
      <c r="AB98" s="63">
        <f t="shared" ca="1" si="12"/>
        <v>98.653762290598905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45482</v>
      </c>
      <c r="K99">
        <f ca="1"/>
        <v>85.987103692230448</v>
      </c>
      <c r="L99">
        <f ca="1"/>
        <v>5.6666626558782127</v>
      </c>
      <c r="M99">
        <f ca="1"/>
        <v>0.14179312952933998</v>
      </c>
      <c r="N99">
        <f ca="1"/>
        <v>0.55958309122524053</v>
      </c>
      <c r="O99">
        <f ca="1"/>
        <v>0</v>
      </c>
      <c r="P99">
        <f ca="1"/>
        <v>147.9992530644366</v>
      </c>
      <c r="Q99">
        <f ca="1"/>
        <v>133.34426717883952</v>
      </c>
      <c r="R99">
        <f ca="1"/>
        <v>0.57299811996648342</v>
      </c>
      <c r="S99">
        <f ca="1"/>
        <v>1</v>
      </c>
      <c r="T99">
        <f ca="1"/>
        <v>1.2099999999999937</v>
      </c>
      <c r="U99">
        <f ca="1"/>
        <v>0</v>
      </c>
      <c r="V99">
        <f ca="1"/>
        <v>0.99990731755227136</v>
      </c>
      <c r="X99" s="2">
        <f t="shared" ca="1" si="8"/>
        <v>45482</v>
      </c>
      <c r="Y99">
        <f t="shared" ca="1" si="9"/>
        <v>0</v>
      </c>
      <c r="AA99" s="63">
        <f t="shared" ca="1" si="11"/>
        <v>92.226764468075132</v>
      </c>
      <c r="AB99" s="63">
        <f t="shared" ca="1" si="12"/>
        <v>92.226764468075146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45483</v>
      </c>
      <c r="K100">
        <f ca="1"/>
        <v>79.739957155826971</v>
      </c>
      <c r="L100">
        <f ca="1"/>
        <v>5.3415423057371072</v>
      </c>
      <c r="M100">
        <f ca="1"/>
        <v>0.13675505766857299</v>
      </c>
      <c r="N100">
        <f ca="1"/>
        <v>0.54735498794846438</v>
      </c>
      <c r="O100">
        <f ca="1"/>
        <v>0</v>
      </c>
      <c r="P100">
        <f ca="1"/>
        <v>153.34079537017371</v>
      </c>
      <c r="Q100">
        <f ca="1"/>
        <v>138.15688636181045</v>
      </c>
      <c r="R100">
        <f ca="1"/>
        <v>1.5897142762834162</v>
      </c>
      <c r="S100">
        <f ca="1"/>
        <v>1</v>
      </c>
      <c r="T100">
        <f ca="1"/>
        <v>3.6200000000000045</v>
      </c>
      <c r="U100">
        <f ca="1"/>
        <v>0</v>
      </c>
      <c r="V100">
        <f ca="1"/>
        <v>0.99992358023552363</v>
      </c>
      <c r="X100" s="2">
        <f t="shared" ca="1" si="8"/>
        <v>45483</v>
      </c>
      <c r="Y100">
        <f t="shared" ca="1" si="9"/>
        <v>0</v>
      </c>
      <c r="AA100" s="63">
        <f t="shared" ca="1" si="11"/>
        <v>86.671213737847495</v>
      </c>
      <c r="AB100" s="63">
        <f t="shared" ca="1" si="12"/>
        <v>86.671213737847495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45484</v>
      </c>
      <c r="K101">
        <f ca="1"/>
        <v>74.215321714348747</v>
      </c>
      <c r="L101">
        <f ca="1"/>
        <v>5.9754708466308841</v>
      </c>
      <c r="M101">
        <f ca="1"/>
        <v>0.13700220082384362</v>
      </c>
      <c r="N101">
        <f ca="1"/>
        <v>0.56724088253026428</v>
      </c>
      <c r="O101">
        <f ca="1"/>
        <v>0</v>
      </c>
      <c r="P101">
        <f ca="1"/>
        <v>159.31626621680459</v>
      </c>
      <c r="Q101">
        <f ca="1"/>
        <v>143.54066205387835</v>
      </c>
      <c r="R101">
        <f ca="1"/>
        <v>0.25340767820145926</v>
      </c>
      <c r="S101">
        <f ca="1"/>
        <v>1</v>
      </c>
      <c r="T101">
        <f ca="1"/>
        <v>0.62000000000000455</v>
      </c>
      <c r="U101">
        <f ca="1"/>
        <v>0</v>
      </c>
      <c r="V101">
        <f ca="1"/>
        <v>0.9999383390702723</v>
      </c>
      <c r="X101" s="2">
        <f t="shared" ca="1" si="8"/>
        <v>45484</v>
      </c>
      <c r="Y101">
        <f t="shared" ca="1" si="9"/>
        <v>0</v>
      </c>
      <c r="AA101" s="63">
        <f t="shared" ca="1" si="11"/>
        <v>80.444200239181086</v>
      </c>
      <c r="AB101" s="63">
        <f t="shared" ca="1" si="12"/>
        <v>80.444200239181086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45485</v>
      </c>
      <c r="K102">
        <f ca="1"/>
        <v>67.830132155391723</v>
      </c>
      <c r="L102">
        <f ca="1"/>
        <v>5.4985448884642949</v>
      </c>
      <c r="M102">
        <f ca="1"/>
        <v>0.13146493159838712</v>
      </c>
      <c r="N102">
        <f ca="1"/>
        <v>0.55083084602490195</v>
      </c>
      <c r="O102">
        <f ca="1"/>
        <v>0</v>
      </c>
      <c r="P102">
        <f ca="1"/>
        <v>164.81481110526889</v>
      </c>
      <c r="Q102">
        <f ca="1"/>
        <v>148.49473731791363</v>
      </c>
      <c r="R102">
        <f ca="1"/>
        <v>1.5689404481160185</v>
      </c>
      <c r="S102">
        <f ca="1"/>
        <v>1</v>
      </c>
      <c r="T102">
        <f ca="1"/>
        <v>4.2000000000000028</v>
      </c>
      <c r="U102">
        <f ca="1"/>
        <v>0</v>
      </c>
      <c r="V102">
        <f ca="1"/>
        <v>0.99994935266417906</v>
      </c>
      <c r="X102" s="2">
        <f t="shared" ca="1" si="8"/>
        <v>45485</v>
      </c>
      <c r="Y102">
        <f t="shared" ca="1" si="9"/>
        <v>0</v>
      </c>
      <c r="AA102" s="63">
        <f t="shared" ca="1" si="11"/>
        <v>74.897617491972042</v>
      </c>
      <c r="AB102" s="63">
        <f t="shared" ca="1" si="12"/>
        <v>74.897617491972042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45486</v>
      </c>
      <c r="K103">
        <f ca="1"/>
        <v>62.142693809062507</v>
      </c>
      <c r="L103">
        <f ca="1"/>
        <v>5.2022808740003654</v>
      </c>
      <c r="M103">
        <f ca="1"/>
        <v>0.12715524126067379</v>
      </c>
      <c r="N103">
        <f ca="1"/>
        <v>0.54101965875664937</v>
      </c>
      <c r="O103">
        <f ca="1"/>
        <v>0</v>
      </c>
      <c r="P103">
        <f ca="1"/>
        <v>170.01709197926925</v>
      </c>
      <c r="Q103">
        <f ca="1"/>
        <v>153.18188483007069</v>
      </c>
      <c r="R103">
        <f ca="1"/>
        <v>1.1533323723461675</v>
      </c>
      <c r="S103">
        <f ca="1"/>
        <v>1</v>
      </c>
      <c r="T103">
        <f ca="1"/>
        <v>3.3700000000000045</v>
      </c>
      <c r="U103">
        <f ca="1"/>
        <v>0</v>
      </c>
      <c r="V103">
        <f ca="1"/>
        <v>0.99995794635180979</v>
      </c>
      <c r="X103" s="2">
        <f t="shared" ca="1" si="8"/>
        <v>45486</v>
      </c>
      <c r="Y103">
        <f t="shared" ca="1" si="9"/>
        <v>0</v>
      </c>
      <c r="AA103" s="63">
        <f t="shared" ca="1" si="11"/>
        <v>68.498307055409043</v>
      </c>
      <c r="AB103" s="63">
        <f t="shared" ca="1" si="12"/>
        <v>68.498307055409043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45487</v>
      </c>
      <c r="K104">
        <f ca="1"/>
        <v>163.17090786793406</v>
      </c>
      <c r="L104">
        <f ca="1"/>
        <v>6.8690398569663387</v>
      </c>
      <c r="M104">
        <f ca="1"/>
        <v>0.13273939314200334</v>
      </c>
      <c r="N104">
        <f ca="1"/>
        <v>0.59671328830249049</v>
      </c>
      <c r="O104">
        <f ca="1"/>
        <v>108.14529362243525</v>
      </c>
      <c r="P104">
        <f ca="1"/>
        <v>176.88613183623559</v>
      </c>
      <c r="Q104">
        <f ca="1"/>
        <v>159.37074772622751</v>
      </c>
      <c r="R104">
        <f ca="1"/>
        <v>0.97749238804182825</v>
      </c>
      <c r="S104">
        <f ca="1"/>
        <v>1</v>
      </c>
      <c r="T104">
        <f ca="1"/>
        <v>1.0899999999999892</v>
      </c>
      <c r="U104">
        <f ca="1"/>
        <v>0</v>
      </c>
      <c r="V104">
        <f ca="1"/>
        <v>0.99996711074850486</v>
      </c>
      <c r="X104" s="2">
        <f t="shared" ca="1" si="8"/>
        <v>45487</v>
      </c>
      <c r="Y104">
        <f t="shared" ca="1" si="9"/>
        <v>108.14529362243525</v>
      </c>
      <c r="AA104" s="63">
        <f t="shared" ca="1" si="11"/>
        <v>171.01744011294224</v>
      </c>
      <c r="AB104" s="63">
        <f t="shared" ca="1" si="12"/>
        <v>171.01744011294224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45488</v>
      </c>
      <c r="K105">
        <f ca="1"/>
        <v>152.62049568629169</v>
      </c>
      <c r="L105">
        <f ca="1"/>
        <v>6.838915942857227</v>
      </c>
      <c r="M105">
        <f ca="1"/>
        <v>0.12972906052074507</v>
      </c>
      <c r="N105">
        <f ca="1"/>
        <v>0.59671328830249049</v>
      </c>
      <c r="O105">
        <f ca="1"/>
        <v>0</v>
      </c>
      <c r="P105">
        <f ca="1"/>
        <v>183.72504777909282</v>
      </c>
      <c r="Q105">
        <f ca="1"/>
        <v>165.5324695985733</v>
      </c>
      <c r="R105">
        <f ca="1"/>
        <v>4.4379385876083433</v>
      </c>
      <c r="S105">
        <f ca="1"/>
        <v>1</v>
      </c>
      <c r="T105">
        <f ca="1"/>
        <v>5.2800000000000011</v>
      </c>
      <c r="U105">
        <f ca="1"/>
        <v>0</v>
      </c>
      <c r="V105">
        <f ca="1"/>
        <v>0.99997427807693073</v>
      </c>
      <c r="X105" s="2">
        <f t="shared" ca="1" si="8"/>
        <v>45488</v>
      </c>
      <c r="Y105">
        <f t="shared" ca="1" si="9"/>
        <v>0</v>
      </c>
      <c r="AA105" s="63">
        <f t="shared" ca="1" si="11"/>
        <v>163.8973502167573</v>
      </c>
      <c r="AB105" s="63">
        <f t="shared" ca="1" si="12"/>
        <v>163.89735021675727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45489</v>
      </c>
      <c r="K106">
        <f ca="1"/>
        <v>142.46272014065275</v>
      </c>
      <c r="L106">
        <f ca="1"/>
        <v>8.0619266437858812</v>
      </c>
      <c r="M106">
        <f ca="1"/>
        <v>0.13328330854968584</v>
      </c>
      <c r="N106">
        <f ca="1"/>
        <v>0.64242070512796057</v>
      </c>
      <c r="O106">
        <f ca="1"/>
        <v>0</v>
      </c>
      <c r="P106">
        <f ca="1"/>
        <v>191.7869744228787</v>
      </c>
      <c r="Q106">
        <f ca="1"/>
        <v>172.79609882714209</v>
      </c>
      <c r="R106">
        <f ca="1"/>
        <v>2.8715529155307196</v>
      </c>
      <c r="S106">
        <f ca="1"/>
        <v>1</v>
      </c>
      <c r="T106">
        <f ca="1"/>
        <v>3.6599999999999966</v>
      </c>
      <c r="U106">
        <f ca="1"/>
        <v>0</v>
      </c>
      <c r="V106">
        <f ca="1"/>
        <v>0.99998079724974953</v>
      </c>
      <c r="X106" s="2">
        <f t="shared" ca="1" si="8"/>
        <v>45489</v>
      </c>
      <c r="Y106">
        <f t="shared" ca="1" si="9"/>
        <v>0</v>
      </c>
      <c r="AA106" s="63">
        <f t="shared" ca="1" si="11"/>
        <v>153.39619969996934</v>
      </c>
      <c r="AB106" s="63">
        <f t="shared" ca="1" si="12"/>
        <v>153.39619969996934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45490</v>
      </c>
      <c r="K107">
        <f ca="1"/>
        <v>136.44434558445298</v>
      </c>
      <c r="L107">
        <f ca="1"/>
        <v>6.6780275998169429</v>
      </c>
      <c r="M107">
        <f ca="1"/>
        <v>0.12366549579673602</v>
      </c>
      <c r="N107">
        <f ca="1"/>
        <v>0.59610215804894884</v>
      </c>
      <c r="O107">
        <f ca="1"/>
        <v>0</v>
      </c>
      <c r="P107">
        <f ca="1"/>
        <v>198.46500202269564</v>
      </c>
      <c r="Q107">
        <f ca="1"/>
        <v>178.81286362871816</v>
      </c>
      <c r="R107">
        <f ca="1"/>
        <v>6.0114610228511334E-2</v>
      </c>
      <c r="S107">
        <f ca="1"/>
        <v>1</v>
      </c>
      <c r="T107">
        <f ca="1"/>
        <v>7.9999999999998295E-2</v>
      </c>
      <c r="U107">
        <f ca="1"/>
        <v>0</v>
      </c>
      <c r="V107">
        <f ca="1"/>
        <v>0.999984972451332</v>
      </c>
      <c r="X107" s="2">
        <f t="shared" ca="1" si="8"/>
        <v>45490</v>
      </c>
      <c r="Y107">
        <f t="shared" ca="1" si="9"/>
        <v>0</v>
      </c>
      <c r="AA107" s="63">
        <f t="shared" ca="1" si="11"/>
        <v>143.18248779449843</v>
      </c>
      <c r="AB107" s="63">
        <f t="shared" ca="1" si="12"/>
        <v>143.18248779449843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45491</v>
      </c>
      <c r="K108">
        <f ca="1"/>
        <v>130.2182830114067</v>
      </c>
      <c r="L108">
        <f ca="1"/>
        <v>6.8165147790459173</v>
      </c>
      <c r="M108">
        <f ca="1"/>
        <v>0.12201486730516109</v>
      </c>
      <c r="N108">
        <f ca="1"/>
        <v>0.60469473048323752</v>
      </c>
      <c r="O108">
        <f ca="1"/>
        <v>0</v>
      </c>
      <c r="P108">
        <f ca="1"/>
        <v>205.28151680174156</v>
      </c>
      <c r="Q108">
        <f ca="1"/>
        <v>184.95440251560612</v>
      </c>
      <c r="R108">
        <f ca="1"/>
        <v>0.13625739178874569</v>
      </c>
      <c r="S108">
        <f ca="1"/>
        <v>1</v>
      </c>
      <c r="T108">
        <f ca="1"/>
        <v>0.18999999999999773</v>
      </c>
      <c r="U108">
        <f ca="1"/>
        <v>0</v>
      </c>
      <c r="V108">
        <f ca="1"/>
        <v>0.99998834423965943</v>
      </c>
      <c r="X108" s="2">
        <f t="shared" ca="1" si="8"/>
        <v>45491</v>
      </c>
      <c r="Y108">
        <f t="shared" ca="1" si="9"/>
        <v>0</v>
      </c>
      <c r="AA108" s="63">
        <f t="shared" ca="1" si="11"/>
        <v>137.17105518224136</v>
      </c>
      <c r="AB108" s="63">
        <f t="shared" ca="1" si="12"/>
        <v>137.17105518224136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45492</v>
      </c>
      <c r="K109">
        <f ca="1"/>
        <v>122.23274664944002</v>
      </c>
      <c r="L109">
        <f ca="1"/>
        <v>7.5339504911909501</v>
      </c>
      <c r="M109">
        <f ca="1"/>
        <v>0.12344433696816282</v>
      </c>
      <c r="N109">
        <f ca="1"/>
        <v>0.6366683242592589</v>
      </c>
      <c r="O109">
        <f ca="1"/>
        <v>0</v>
      </c>
      <c r="P109">
        <f ca="1"/>
        <v>212.81546729293251</v>
      </c>
      <c r="Q109">
        <f ca="1"/>
        <v>191.7423361464071</v>
      </c>
      <c r="R109">
        <f ca="1"/>
        <v>1.2116985320031524</v>
      </c>
      <c r="S109">
        <f ca="1"/>
        <v>1</v>
      </c>
      <c r="T109">
        <f ca="1"/>
        <v>1.8000000000000114</v>
      </c>
      <c r="U109">
        <f ca="1"/>
        <v>0</v>
      </c>
      <c r="V109">
        <f ca="1"/>
        <v>0.99999124838683717</v>
      </c>
      <c r="X109" s="2">
        <f t="shared" ca="1" si="8"/>
        <v>45492</v>
      </c>
      <c r="Y109">
        <f t="shared" ca="1" si="9"/>
        <v>0</v>
      </c>
      <c r="AA109" s="63">
        <f t="shared" ca="1" si="11"/>
        <v>130.97839567263412</v>
      </c>
      <c r="AB109" s="63">
        <f t="shared" ca="1" si="12"/>
        <v>130.97839567263412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45493</v>
      </c>
      <c r="K110">
        <f ca="1"/>
        <v>113.54510585926695</v>
      </c>
      <c r="L110">
        <f ca="1"/>
        <v>7.8742470484002069</v>
      </c>
      <c r="M110">
        <f ca="1"/>
        <v>0.12325197563394141</v>
      </c>
      <c r="N110">
        <f ca="1"/>
        <v>0.65792250835594379</v>
      </c>
      <c r="O110">
        <f ca="1"/>
        <v>0</v>
      </c>
      <c r="P110">
        <f ca="1"/>
        <v>220.68971434133272</v>
      </c>
      <c r="Q110">
        <f ca="1"/>
        <v>198.83686993974263</v>
      </c>
      <c r="R110">
        <f ca="1"/>
        <v>1.5945682257627469</v>
      </c>
      <c r="S110">
        <f ca="1"/>
        <v>1</v>
      </c>
      <c r="T110">
        <f ca="1"/>
        <v>2.5499999999999972</v>
      </c>
      <c r="U110">
        <f ca="1"/>
        <v>0</v>
      </c>
      <c r="V110">
        <f ca="1"/>
        <v>0.99999356558967334</v>
      </c>
      <c r="X110" s="2">
        <f t="shared" ca="1" si="8"/>
        <v>45493</v>
      </c>
      <c r="Y110">
        <f t="shared" ca="1" si="9"/>
        <v>0</v>
      </c>
      <c r="AA110" s="63">
        <f t="shared" ca="1" si="11"/>
        <v>123.0139211334299</v>
      </c>
      <c r="AB110" s="63">
        <f t="shared" ca="1" si="12"/>
        <v>123.0139211334299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45494</v>
      </c>
      <c r="K111">
        <f ca="1"/>
        <v>104.33503005489801</v>
      </c>
      <c r="L111">
        <f ca="1"/>
        <v>7.9344388814540707</v>
      </c>
      <c r="M111">
        <f ca="1"/>
        <v>0.12189709005365046</v>
      </c>
      <c r="N111">
        <f ca="1"/>
        <v>0.67102136551119118</v>
      </c>
      <c r="O111">
        <f ca="1"/>
        <v>0</v>
      </c>
      <c r="P111">
        <f ca="1"/>
        <v>228.62415322278679</v>
      </c>
      <c r="Q111">
        <f ca="1"/>
        <v>205.98563533021488</v>
      </c>
      <c r="R111">
        <f ca="1"/>
        <v>2.0685553784797217</v>
      </c>
      <c r="S111">
        <f ca="1"/>
        <v>1</v>
      </c>
      <c r="T111">
        <f ca="1"/>
        <v>3.6000000000000085</v>
      </c>
      <c r="U111">
        <f ca="1"/>
        <v>0</v>
      </c>
      <c r="V111">
        <f ca="1"/>
        <v>0.99999532912899036</v>
      </c>
      <c r="X111" s="2">
        <f t="shared" ca="1" si="8"/>
        <v>45494</v>
      </c>
      <c r="Y111">
        <f t="shared" ca="1" si="9"/>
        <v>0</v>
      </c>
      <c r="AA111" s="63">
        <f t="shared" ca="1" si="11"/>
        <v>114.3380243148318</v>
      </c>
      <c r="AB111" s="63">
        <f t="shared" ca="1" si="12"/>
        <v>114.3380243148318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45495</v>
      </c>
      <c r="K112">
        <f ca="1"/>
        <v>96.019895505289767</v>
      </c>
      <c r="L112">
        <f ca="1"/>
        <v>6.739985759706741</v>
      </c>
      <c r="M112">
        <f ca="1"/>
        <v>0.11408901070075927</v>
      </c>
      <c r="N112">
        <f ca="1"/>
        <v>0.63221712232418492</v>
      </c>
      <c r="O112">
        <f ca="1"/>
        <v>0</v>
      </c>
      <c r="P112">
        <f ca="1"/>
        <v>235.36413898249353</v>
      </c>
      <c r="Q112">
        <f ca="1"/>
        <v>212.05822315288862</v>
      </c>
      <c r="R112">
        <f ca="1"/>
        <v>2.3214549229264407</v>
      </c>
      <c r="S112">
        <f ca="1"/>
        <v>1</v>
      </c>
      <c r="T112">
        <f ca="1"/>
        <v>4.3900000000000006</v>
      </c>
      <c r="U112">
        <f ca="1"/>
        <v>0</v>
      </c>
      <c r="V112">
        <f ca="1"/>
        <v>0.99999647726023</v>
      </c>
      <c r="X112" s="2">
        <f t="shared" ca="1" si="8"/>
        <v>45495</v>
      </c>
      <c r="Y112">
        <f t="shared" ca="1" si="9"/>
        <v>0</v>
      </c>
      <c r="AA112" s="63">
        <f t="shared" ca="1" si="11"/>
        <v>105.08133618792296</v>
      </c>
      <c r="AB112" s="63">
        <f t="shared" ca="1" si="12"/>
        <v>105.08133618792294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45496</v>
      </c>
      <c r="K113">
        <f ca="1"/>
        <v>89.770505497031209</v>
      </c>
      <c r="L113">
        <f ca="1"/>
        <v>6.4470198880882776</v>
      </c>
      <c r="M113">
        <f ca="1"/>
        <v>0.11114141625904495</v>
      </c>
      <c r="N113">
        <f ca="1"/>
        <v>0.63031558382804642</v>
      </c>
      <c r="O113">
        <f ca="1"/>
        <v>0</v>
      </c>
      <c r="P113">
        <f ca="1"/>
        <v>241.81115887058181</v>
      </c>
      <c r="Q113">
        <f ca="1"/>
        <v>217.86685478219997</v>
      </c>
      <c r="R113">
        <f ca="1"/>
        <v>0.54382712025737456</v>
      </c>
      <c r="S113">
        <f ca="1"/>
        <v>1</v>
      </c>
      <c r="T113">
        <f ca="1"/>
        <v>1.0999999999999943</v>
      </c>
      <c r="U113">
        <f ca="1"/>
        <v>0</v>
      </c>
      <c r="V113">
        <f ca="1"/>
        <v>0.99999733809337121</v>
      </c>
      <c r="X113" s="2">
        <f t="shared" ca="1" si="8"/>
        <v>45496</v>
      </c>
      <c r="Y113">
        <f t="shared" ca="1" si="9"/>
        <v>0</v>
      </c>
      <c r="AA113" s="63">
        <f t="shared" ca="1" si="11"/>
        <v>96.761352505376863</v>
      </c>
      <c r="AB113" s="63">
        <f t="shared" ca="1" si="12"/>
        <v>96.761352505376863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45497</v>
      </c>
      <c r="K114">
        <f ca="1"/>
        <v>84.937420123560287</v>
      </c>
      <c r="L114">
        <f ca="1"/>
        <v>5.5391462815954355</v>
      </c>
      <c r="M114">
        <f ca="1"/>
        <v>0.10505840508245257</v>
      </c>
      <c r="N114">
        <f ca="1"/>
        <v>0.60100250304207381</v>
      </c>
      <c r="O114">
        <f ca="1"/>
        <v>0</v>
      </c>
      <c r="P114">
        <f ca="1"/>
        <v>247.35030515217724</v>
      </c>
      <c r="Q114">
        <f ca="1"/>
        <v>222.85751106202693</v>
      </c>
      <c r="R114">
        <f ca="1"/>
        <v>0</v>
      </c>
      <c r="S114">
        <f ca="1"/>
        <v>0.99855072463768124</v>
      </c>
      <c r="T114">
        <f ca="1"/>
        <v>0</v>
      </c>
      <c r="U114">
        <f ca="1"/>
        <v>0</v>
      </c>
      <c r="V114">
        <f ca="1"/>
        <v>0.99999792745743465</v>
      </c>
      <c r="X114" s="2">
        <f t="shared" ca="1" si="8"/>
        <v>45497</v>
      </c>
      <c r="Y114">
        <f t="shared" ca="1" si="9"/>
        <v>0</v>
      </c>
      <c r="AA114" s="63">
        <f t="shared" ca="1" si="11"/>
        <v>90.476566405155737</v>
      </c>
      <c r="AB114" s="63">
        <f t="shared" ca="1" si="12"/>
        <v>90.476566405155722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45498</v>
      </c>
      <c r="K115">
        <f ca="1"/>
        <v>80.53055795738463</v>
      </c>
      <c r="L115">
        <f ca="1"/>
        <v>5.0989284179913739</v>
      </c>
      <c r="M115">
        <f ca="1"/>
        <v>0.10144612065975878</v>
      </c>
      <c r="N115">
        <f ca="1"/>
        <v>0.59062013115596423</v>
      </c>
      <c r="O115">
        <f ca="1"/>
        <v>0</v>
      </c>
      <c r="P115">
        <f ca="1"/>
        <v>252.44923357016862</v>
      </c>
      <c r="Q115">
        <f ca="1"/>
        <v>227.45154014809535</v>
      </c>
      <c r="R115">
        <f ca="1"/>
        <v>0</v>
      </c>
      <c r="S115">
        <f ca="1"/>
        <v>0.98594202903073358</v>
      </c>
      <c r="T115">
        <f ca="1"/>
        <v>0</v>
      </c>
      <c r="U115">
        <f ca="1"/>
        <v>0</v>
      </c>
      <c r="V115">
        <f ca="1"/>
        <v>0.99999836876841541</v>
      </c>
      <c r="X115" s="2">
        <f t="shared" ca="1" si="8"/>
        <v>45498</v>
      </c>
      <c r="Y115">
        <f t="shared" ca="1" si="9"/>
        <v>0</v>
      </c>
      <c r="AA115" s="63">
        <f t="shared" ca="1" si="11"/>
        <v>85.629486375376004</v>
      </c>
      <c r="AB115" s="63">
        <f t="shared" ca="1" si="12"/>
        <v>85.629486375376004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45499</v>
      </c>
      <c r="K116">
        <f ca="1"/>
        <v>75.636697533762998</v>
      </c>
      <c r="L116">
        <f ca="1"/>
        <v>5.6228315659545558</v>
      </c>
      <c r="M116">
        <f ca="1"/>
        <v>0.10307821755143465</v>
      </c>
      <c r="N116">
        <f ca="1"/>
        <v>0.62589292478149161</v>
      </c>
      <c r="O116">
        <f ca="1"/>
        <v>0</v>
      </c>
      <c r="P116">
        <f ca="1"/>
        <v>258.07206513612317</v>
      </c>
      <c r="Q116">
        <f ca="1"/>
        <v>232.51759513896624</v>
      </c>
      <c r="R116">
        <f ca="1"/>
        <v>0</v>
      </c>
      <c r="S116">
        <f ca="1"/>
        <v>0.99898550757412696</v>
      </c>
      <c r="T116">
        <f ca="1"/>
        <v>0</v>
      </c>
      <c r="U116">
        <f ca="1"/>
        <v>0</v>
      </c>
      <c r="V116">
        <f ca="1"/>
        <v>0.9999987618774846</v>
      </c>
      <c r="X116" s="2">
        <f t="shared" ca="1" si="8"/>
        <v>45499</v>
      </c>
      <c r="Y116">
        <f t="shared" ca="1" si="9"/>
        <v>0</v>
      </c>
      <c r="AA116" s="63">
        <f t="shared" ca="1" si="11"/>
        <v>81.259529099717568</v>
      </c>
      <c r="AB116" s="63">
        <f t="shared" ca="1" si="12"/>
        <v>81.259529099717554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45500</v>
      </c>
      <c r="K117">
        <f ca="1"/>
        <v>71.398065890325256</v>
      </c>
      <c r="L117">
        <f ca="1"/>
        <v>4.9416404132153957</v>
      </c>
      <c r="M117">
        <f ca="1"/>
        <v>9.8314039294429278E-2</v>
      </c>
      <c r="N117">
        <f ca="1"/>
        <v>0.60469473048323752</v>
      </c>
      <c r="O117">
        <f ca="1"/>
        <v>0</v>
      </c>
      <c r="P117">
        <f ca="1"/>
        <v>263.01370554933857</v>
      </c>
      <c r="Q117">
        <f ca="1"/>
        <v>236.96991098460532</v>
      </c>
      <c r="R117">
        <f ca="1"/>
        <v>0</v>
      </c>
      <c r="S117">
        <f ca="1"/>
        <v>0.99869565251987724</v>
      </c>
      <c r="T117">
        <f ca="1"/>
        <v>0</v>
      </c>
      <c r="U117">
        <f ca="1"/>
        <v>0</v>
      </c>
      <c r="V117">
        <f ca="1"/>
        <v>0.99999903968271997</v>
      </c>
      <c r="X117" s="2">
        <f t="shared" ca="1" si="8"/>
        <v>45500</v>
      </c>
      <c r="Y117">
        <f t="shared" ca="1" si="9"/>
        <v>0</v>
      </c>
      <c r="AA117" s="63">
        <f t="shared" ca="1" si="11"/>
        <v>76.339706303540652</v>
      </c>
      <c r="AB117" s="63">
        <f t="shared" ca="1" si="12"/>
        <v>76.339706303540652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45501</v>
      </c>
      <c r="K118">
        <f ca="1"/>
        <v>66.779179001327861</v>
      </c>
      <c r="L118">
        <f ca="1"/>
        <v>4.7676990247599065</v>
      </c>
      <c r="M118">
        <f ca="1"/>
        <v>9.6361215578653514E-2</v>
      </c>
      <c r="N118">
        <f ca="1"/>
        <v>0.60778271070876377</v>
      </c>
      <c r="O118">
        <f ca="1"/>
        <v>0</v>
      </c>
      <c r="P118">
        <f ca="1"/>
        <v>267.78140457409847</v>
      </c>
      <c r="Q118">
        <f ca="1"/>
        <v>241.2655092354228</v>
      </c>
      <c r="R118">
        <f ca="1"/>
        <v>0.55533179052490345</v>
      </c>
      <c r="S118">
        <f ca="1"/>
        <v>1</v>
      </c>
      <c r="T118">
        <f ca="1"/>
        <v>1.510000025033662</v>
      </c>
      <c r="U118">
        <f ca="1"/>
        <v>0</v>
      </c>
      <c r="V118">
        <f ca="1"/>
        <v>0.99999925752297358</v>
      </c>
      <c r="X118" s="2">
        <f t="shared" ca="1" si="8"/>
        <v>45501</v>
      </c>
      <c r="Y118">
        <f t="shared" ca="1" si="9"/>
        <v>0</v>
      </c>
      <c r="AA118" s="63">
        <f t="shared" ca="1" si="11"/>
        <v>72.102209816612671</v>
      </c>
      <c r="AB118" s="63">
        <f t="shared" ca="1" si="12"/>
        <v>72.102209816612671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45502</v>
      </c>
      <c r="K119">
        <f ca="1"/>
        <v>63.774817049745771</v>
      </c>
      <c r="L119">
        <f ca="1"/>
        <v>3.5859424535770472</v>
      </c>
      <c r="M119">
        <f ca="1"/>
        <v>8.8729305169053418E-2</v>
      </c>
      <c r="N119">
        <f ca="1"/>
        <v>0.55607145024914084</v>
      </c>
      <c r="O119">
        <f ca="1"/>
        <v>0</v>
      </c>
      <c r="P119">
        <f ca="1"/>
        <v>271.36734702767552</v>
      </c>
      <c r="Q119">
        <f ca="1"/>
        <v>244.49636924800365</v>
      </c>
      <c r="R119">
        <f ca="1"/>
        <v>6.3220253423228637E-2</v>
      </c>
      <c r="S119">
        <f ca="1"/>
        <v>1</v>
      </c>
      <c r="T119">
        <f ca="1"/>
        <v>0.18000000000000682</v>
      </c>
      <c r="U119">
        <f ca="1"/>
        <v>0</v>
      </c>
      <c r="V119">
        <f ca="1"/>
        <v>0.99999939363272139</v>
      </c>
      <c r="X119" s="2">
        <f t="shared" ca="1" si="8"/>
        <v>45502</v>
      </c>
      <c r="Y119">
        <f t="shared" ca="1" si="9"/>
        <v>0</v>
      </c>
      <c r="AA119" s="63">
        <f t="shared" ca="1" si="11"/>
        <v>67.42397975674605</v>
      </c>
      <c r="AB119" s="63">
        <f t="shared" ca="1" si="12"/>
        <v>67.423979756746036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45503</v>
      </c>
      <c r="K120">
        <f ca="1"/>
        <v>59.902681301687508</v>
      </c>
      <c r="L120">
        <f ca="1"/>
        <v>4.0410412704761143</v>
      </c>
      <c r="M120">
        <f ca="1"/>
        <v>9.0235668726293738E-2</v>
      </c>
      <c r="N120">
        <f ca="1"/>
        <v>0.59001303175959041</v>
      </c>
      <c r="O120">
        <f ca="1"/>
        <v>0</v>
      </c>
      <c r="P120">
        <f ca="1"/>
        <v>275.40838829815164</v>
      </c>
      <c r="Q120">
        <f ca="1"/>
        <v>248.13726388560343</v>
      </c>
      <c r="R120">
        <f ca="1"/>
        <v>0.51134317806803198</v>
      </c>
      <c r="S120">
        <f ca="1"/>
        <v>1</v>
      </c>
      <c r="T120">
        <f ca="1"/>
        <v>1.5500000000000114</v>
      </c>
      <c r="U120">
        <f ca="1"/>
        <v>0</v>
      </c>
      <c r="V120">
        <f ca="1"/>
        <v>0.99999952244395285</v>
      </c>
      <c r="X120" s="2">
        <f t="shared" ca="1" si="8"/>
        <v>45503</v>
      </c>
      <c r="Y120">
        <f t="shared" ca="1" si="9"/>
        <v>0</v>
      </c>
      <c r="AA120" s="63">
        <f t="shared" ca="1" si="11"/>
        <v>64.455065750231654</v>
      </c>
      <c r="AB120" s="63">
        <f t="shared" ca="1" si="12"/>
        <v>64.455065750231654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45504</v>
      </c>
      <c r="K121">
        <f ca="1"/>
        <v>53.996393826960968</v>
      </c>
      <c r="L121">
        <f ca="1"/>
        <v>5.4086329519609535</v>
      </c>
      <c r="M121">
        <f ca="1"/>
        <v>9.8313242936320933E-2</v>
      </c>
      <c r="N121">
        <f ca="1"/>
        <v>0.69165058796304768</v>
      </c>
      <c r="O121">
        <f ca="1"/>
        <v>0</v>
      </c>
      <c r="P121">
        <f ca="1"/>
        <v>280.81702125011259</v>
      </c>
      <c r="Q121">
        <f ca="1"/>
        <v>253.01033035374672</v>
      </c>
      <c r="R121">
        <f ca="1"/>
        <v>1.2876183536649499</v>
      </c>
      <c r="S121">
        <f ca="1"/>
        <v>1</v>
      </c>
      <c r="T121">
        <f ca="1"/>
        <v>4.3299999999999983</v>
      </c>
      <c r="U121">
        <f ca="1"/>
        <v>0</v>
      </c>
      <c r="V121">
        <f ca="1"/>
        <v>0.99999966010929919</v>
      </c>
      <c r="X121" s="2">
        <f t="shared" ca="1" si="8"/>
        <v>45504</v>
      </c>
      <c r="Y121">
        <f t="shared" ca="1" si="9"/>
        <v>0</v>
      </c>
      <c r="AA121" s="63">
        <f t="shared" ca="1" si="11"/>
        <v>60.692645132586875</v>
      </c>
      <c r="AB121" s="63">
        <f t="shared" ca="1" si="12"/>
        <v>60.692645132586875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45505</v>
      </c>
      <c r="K122">
        <f ca="1"/>
        <v>48.6622359788946</v>
      </c>
      <c r="L122">
        <f ca="1"/>
        <v>5.2458390423538503</v>
      </c>
      <c r="M122">
        <f ca="1"/>
        <v>9.7524859815941056E-2</v>
      </c>
      <c r="N122">
        <f ca="1"/>
        <v>0.70925937656447946</v>
      </c>
      <c r="O122">
        <f ca="1"/>
        <v>0</v>
      </c>
      <c r="P122">
        <f ca="1"/>
        <v>286.06286029246644</v>
      </c>
      <c r="Q122">
        <f ca="1"/>
        <v>257.73672287504047</v>
      </c>
      <c r="R122">
        <f ca="1"/>
        <v>0.89510304209294334</v>
      </c>
      <c r="S122">
        <f ca="1"/>
        <v>1</v>
      </c>
      <c r="T122">
        <f ca="1"/>
        <v>3.3400000000000034</v>
      </c>
      <c r="U122">
        <f ca="1"/>
        <v>0</v>
      </c>
      <c r="V122">
        <f ca="1"/>
        <v>0.99999976206214614</v>
      </c>
      <c r="X122" s="2">
        <f t="shared" ca="1" si="8"/>
        <v>45505</v>
      </c>
      <c r="Y122">
        <f t="shared" ca="1" si="9"/>
        <v>0</v>
      </c>
      <c r="AA122" s="63">
        <f t="shared" ca="1" si="11"/>
        <v>54.803178063341392</v>
      </c>
      <c r="AB122" s="63">
        <f t="shared" ca="1" si="12"/>
        <v>54.803178063341392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45506</v>
      </c>
      <c r="K123">
        <f ca="1"/>
        <v>44.848465009342355</v>
      </c>
      <c r="L123">
        <f ca="1"/>
        <v>4.4107886289205567</v>
      </c>
      <c r="M123">
        <f ca="1"/>
        <v>9.1796941744782146E-2</v>
      </c>
      <c r="N123">
        <f ca="1"/>
        <v>0.67564488465902905</v>
      </c>
      <c r="O123">
        <f ca="1"/>
        <v>0</v>
      </c>
      <c r="P123">
        <f ca="1"/>
        <v>290.473648921387</v>
      </c>
      <c r="Q123">
        <f ca="1"/>
        <v>261.71075223820293</v>
      </c>
      <c r="R123">
        <f ca="1"/>
        <v>0.17042416703550037</v>
      </c>
      <c r="S123">
        <f ca="1"/>
        <v>1</v>
      </c>
      <c r="T123">
        <f ca="1"/>
        <v>0.68999999999999773</v>
      </c>
      <c r="U123">
        <f ca="1"/>
        <v>0</v>
      </c>
      <c r="V123">
        <f ca="1"/>
        <v>0.98628674405542005</v>
      </c>
      <c r="X123" s="2">
        <f t="shared" ca="1" si="8"/>
        <v>45506</v>
      </c>
      <c r="Y123">
        <f t="shared" ca="1" si="9"/>
        <v>0</v>
      </c>
      <c r="AA123" s="63">
        <f t="shared" ca="1" si="11"/>
        <v>49.429677805298411</v>
      </c>
      <c r="AB123" s="63">
        <f t="shared" ca="1" si="12"/>
        <v>49.429677805298411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45507</v>
      </c>
      <c r="K124">
        <f ca="1"/>
        <v>40.381571666053205</v>
      </c>
      <c r="L124">
        <f ca="1"/>
        <v>4.1369938298229272</v>
      </c>
      <c r="M124">
        <f ca="1"/>
        <v>8.9983579380785272E-2</v>
      </c>
      <c r="N124">
        <f ca="1"/>
        <v>0.68095366517974043</v>
      </c>
      <c r="O124">
        <f ca="1"/>
        <v>0</v>
      </c>
      <c r="P124">
        <f ca="1"/>
        <v>294.61064275120992</v>
      </c>
      <c r="Q124">
        <f ca="1"/>
        <v>265.43809814798891</v>
      </c>
      <c r="R124">
        <f ca="1"/>
        <v>1.1008367580267553</v>
      </c>
      <c r="S124">
        <f ca="1"/>
        <v>1</v>
      </c>
      <c r="T124">
        <f ca="1"/>
        <v>4.9500000000000028</v>
      </c>
      <c r="U124">
        <f ca="1"/>
        <v>0</v>
      </c>
      <c r="V124">
        <f ca="1"/>
        <v>0.95176360664237436</v>
      </c>
      <c r="X124" s="2">
        <f t="shared" ca="1" si="8"/>
        <v>45507</v>
      </c>
      <c r="Y124">
        <f t="shared" ca="1" si="9"/>
        <v>0</v>
      </c>
      <c r="AA124" s="63">
        <f t="shared" ca="1" si="11"/>
        <v>45.619402253902884</v>
      </c>
      <c r="AB124" s="63">
        <f t="shared" ca="1" si="12"/>
        <v>45.619402253902891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45508</v>
      </c>
      <c r="K125">
        <f ca="1"/>
        <v>37.266476203792102</v>
      </c>
      <c r="L125">
        <f ca="1"/>
        <v>3.5178184269403232</v>
      </c>
      <c r="M125">
        <f ca="1"/>
        <v>8.5284541720518803E-2</v>
      </c>
      <c r="N125">
        <f ca="1"/>
        <v>0.65402491528048512</v>
      </c>
      <c r="O125">
        <f ca="1"/>
        <v>0</v>
      </c>
      <c r="P125">
        <f ca="1"/>
        <v>298.12846117815025</v>
      </c>
      <c r="Q125">
        <f ca="1"/>
        <v>268.60757982101023</v>
      </c>
      <c r="R125">
        <f ca="1"/>
        <v>0.33658649232178617</v>
      </c>
      <c r="S125">
        <f ca="1"/>
        <v>1</v>
      </c>
      <c r="T125">
        <f ca="1"/>
        <v>1.6400000000000006</v>
      </c>
      <c r="U125">
        <f ca="1"/>
        <v>0</v>
      </c>
      <c r="V125">
        <f ca="1"/>
        <v>0.91997299554966638</v>
      </c>
      <c r="X125" s="2">
        <f t="shared" ca="1" si="8"/>
        <v>45508</v>
      </c>
      <c r="Y125">
        <f t="shared" ca="1" si="9"/>
        <v>0</v>
      </c>
      <c r="AA125" s="63">
        <f t="shared" ca="1" si="11"/>
        <v>41.120881123054211</v>
      </c>
      <c r="AB125" s="63">
        <f t="shared" ca="1" si="12"/>
        <v>41.120881123054211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45509</v>
      </c>
      <c r="K126">
        <f ca="1"/>
        <v>34.040611435800891</v>
      </c>
      <c r="L126">
        <f ca="1"/>
        <v>3.3240944843326474</v>
      </c>
      <c r="M126">
        <f ca="1"/>
        <v>8.3819536021827901E-2</v>
      </c>
      <c r="N126">
        <f ca="1"/>
        <v>0.66118179759982521</v>
      </c>
      <c r="O126">
        <f ca="1"/>
        <v>0</v>
      </c>
      <c r="P126">
        <f ca="1"/>
        <v>301.45255566248289</v>
      </c>
      <c r="Q126">
        <f ca="1"/>
        <v>271.60252022691606</v>
      </c>
      <c r="R126">
        <f ca="1"/>
        <v>0.64677161728021748</v>
      </c>
      <c r="S126">
        <f ca="1"/>
        <v>1</v>
      </c>
      <c r="T126">
        <f ca="1"/>
        <v>3.4500000000000028</v>
      </c>
      <c r="U126">
        <f ca="1"/>
        <v>0</v>
      </c>
      <c r="V126">
        <f ca="1"/>
        <v>0.88744926763930676</v>
      </c>
      <c r="X126" s="2">
        <f t="shared" ca="1" si="8"/>
        <v>45509</v>
      </c>
      <c r="Y126">
        <f t="shared" ca="1" si="9"/>
        <v>0</v>
      </c>
      <c r="AA126" s="63">
        <f t="shared" ca="1" si="11"/>
        <v>38.011477537413754</v>
      </c>
      <c r="AB126" s="63">
        <f t="shared" ca="1" si="12"/>
        <v>38.011477537413754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45510</v>
      </c>
      <c r="K127">
        <f ca="1"/>
        <v>31.473425173892874</v>
      </c>
      <c r="L127">
        <f ca="1"/>
        <v>3.1272735526600854</v>
      </c>
      <c r="M127">
        <f ca="1"/>
        <v>8.236396496667453E-2</v>
      </c>
      <c r="N127">
        <f ca="1"/>
        <v>0.66838842321564695</v>
      </c>
      <c r="O127">
        <f ca="1"/>
        <v>0</v>
      </c>
      <c r="P127">
        <f ca="1"/>
        <v>304.57982921514298</v>
      </c>
      <c r="Q127">
        <f ca="1"/>
        <v>274.42012904258803</v>
      </c>
      <c r="R127">
        <f ca="1"/>
        <v>0.19066509743025106</v>
      </c>
      <c r="S127">
        <f ca="1"/>
        <v>1</v>
      </c>
      <c r="T127">
        <f ca="1"/>
        <v>1.1000000000000085</v>
      </c>
      <c r="U127">
        <f ca="1"/>
        <v>0</v>
      </c>
      <c r="V127">
        <f ca="1"/>
        <v>0.8541924229112956</v>
      </c>
      <c r="X127" s="2">
        <f t="shared" ca="1" si="8"/>
        <v>45510</v>
      </c>
      <c r="Y127">
        <f t="shared" ca="1" si="9"/>
        <v>0</v>
      </c>
      <c r="AA127" s="63">
        <f t="shared" ca="1" si="11"/>
        <v>34.791363823983211</v>
      </c>
      <c r="AB127" s="63">
        <f t="shared" ca="1" si="12"/>
        <v>34.791363823983211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45511</v>
      </c>
      <c r="K128">
        <f ca="1"/>
        <v>29.205319527650964</v>
      </c>
      <c r="L128">
        <f ca="1"/>
        <v>2.5759669350770764</v>
      </c>
      <c r="M128">
        <f ca="1"/>
        <v>7.7449591495494019E-2</v>
      </c>
      <c r="N128">
        <f ca="1"/>
        <v>0.63412233162189835</v>
      </c>
      <c r="O128">
        <f ca="1"/>
        <v>0</v>
      </c>
      <c r="P128">
        <f ca="1"/>
        <v>307.15579615022006</v>
      </c>
      <c r="Q128">
        <f ca="1"/>
        <v>276.7410219938871</v>
      </c>
      <c r="R128">
        <f ca="1"/>
        <v>0.40371063428222537</v>
      </c>
      <c r="S128">
        <f ca="1"/>
        <v>1</v>
      </c>
      <c r="T128">
        <f ca="1"/>
        <v>2.5100000000000051</v>
      </c>
      <c r="U128">
        <f ca="1"/>
        <v>0</v>
      </c>
      <c r="V128">
        <f ca="1"/>
        <v>0.82446786830469654</v>
      </c>
      <c r="X128" s="2">
        <f t="shared" ca="1" si="8"/>
        <v>45511</v>
      </c>
      <c r="Y128">
        <f t="shared" ca="1" si="9"/>
        <v>0</v>
      </c>
      <c r="AA128" s="63">
        <f t="shared" ca="1" si="11"/>
        <v>32.184997097010267</v>
      </c>
      <c r="AB128" s="63">
        <f t="shared" ca="1" si="12"/>
        <v>32.184997097010267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45512</v>
      </c>
      <c r="K129">
        <f ca="1"/>
        <v>27.681353775533857</v>
      </c>
      <c r="L129">
        <f ca="1"/>
        <v>1.8481106463328274</v>
      </c>
      <c r="M129">
        <f ca="1"/>
        <v>7.0438795972378898E-2</v>
      </c>
      <c r="N129">
        <f ca="1"/>
        <v>0.57079801163728261</v>
      </c>
      <c r="O129">
        <f ca="1"/>
        <v>0</v>
      </c>
      <c r="P129">
        <f ca="1"/>
        <v>309.00390679655288</v>
      </c>
      <c r="Q129">
        <f ca="1"/>
        <v>278.40613147719887</v>
      </c>
      <c r="R129">
        <f ca="1"/>
        <v>0.31709191339394122</v>
      </c>
      <c r="S129">
        <f ca="1"/>
        <v>1</v>
      </c>
      <c r="T129">
        <f ca="1"/>
        <v>2.0799999999999983</v>
      </c>
      <c r="U129">
        <f ca="1"/>
        <v>0</v>
      </c>
      <c r="V129">
        <f ca="1"/>
        <v>0.80160795299065268</v>
      </c>
      <c r="X129" s="2">
        <f t="shared" ca="1" si="8"/>
        <v>45512</v>
      </c>
      <c r="Y129">
        <f t="shared" ca="1" si="9"/>
        <v>0</v>
      </c>
      <c r="AA129" s="63">
        <f t="shared" ca="1" si="11"/>
        <v>29.846556335260626</v>
      </c>
      <c r="AB129" s="63">
        <f t="shared" ca="1" si="12"/>
        <v>29.846556335260626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45513</v>
      </c>
      <c r="K130">
        <f ca="1"/>
        <v>26.823677305646509</v>
      </c>
      <c r="L130">
        <f ca="1"/>
        <v>1.4469557697773325</v>
      </c>
      <c r="M130">
        <f ca="1"/>
        <v>6.6132284248141104E-2</v>
      </c>
      <c r="N130">
        <f ca="1"/>
        <v>0.53644222961072929</v>
      </c>
      <c r="O130">
        <f ca="1"/>
        <v>0</v>
      </c>
      <c r="P130">
        <f ca="1"/>
        <v>310.45086256633022</v>
      </c>
      <c r="Q130">
        <f ca="1"/>
        <v>279.70980871046947</v>
      </c>
      <c r="R130">
        <f ca="1"/>
        <v>1.3295213968884067E-2</v>
      </c>
      <c r="S130">
        <f ca="1"/>
        <v>1</v>
      </c>
      <c r="T130">
        <f ca="1"/>
        <v>8.99999999999892E-2</v>
      </c>
      <c r="U130">
        <f ca="1"/>
        <v>0</v>
      </c>
      <c r="V130">
        <f ca="1"/>
        <v>0.78268020969855834</v>
      </c>
      <c r="X130" s="2">
        <f t="shared" ca="1" si="8"/>
        <v>45513</v>
      </c>
      <c r="Y130">
        <f t="shared" ca="1" si="9"/>
        <v>0</v>
      </c>
      <c r="AA130" s="63">
        <f t="shared" ca="1" si="11"/>
        <v>28.283928289392726</v>
      </c>
      <c r="AB130" s="63">
        <f t="shared" ca="1" si="12"/>
        <v>28.283928289392726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45514</v>
      </c>
      <c r="K131">
        <f ca="1"/>
        <v>25.190341186146853</v>
      </c>
      <c r="L131">
        <f ca="1"/>
        <v>1.8190023951017338</v>
      </c>
      <c r="M131">
        <f ca="1"/>
        <v>6.9064323797661586E-2</v>
      </c>
      <c r="N131">
        <f ca="1"/>
        <v>0.59244384603664579</v>
      </c>
      <c r="O131">
        <f ca="1"/>
        <v>0</v>
      </c>
      <c r="P131">
        <f ca="1"/>
        <v>312.26986496143195</v>
      </c>
      <c r="Q131">
        <f ca="1"/>
        <v>281.34869226122487</v>
      </c>
      <c r="R131">
        <f ca="1"/>
        <v>0.47584189423222994</v>
      </c>
      <c r="S131">
        <f ca="1"/>
        <v>1</v>
      </c>
      <c r="T131">
        <f ca="1"/>
        <v>3.4300000000000068</v>
      </c>
      <c r="U131">
        <f ca="1"/>
        <v>0</v>
      </c>
      <c r="V131">
        <f ca="1"/>
        <v>0.75742100298129122</v>
      </c>
      <c r="X131" s="2">
        <f t="shared" ca="1" si="8"/>
        <v>45514</v>
      </c>
      <c r="Y131">
        <f t="shared" ca="1" si="9"/>
        <v>0</v>
      </c>
      <c r="AA131" s="63">
        <f t="shared" ca="1" si="11"/>
        <v>27.485185475480815</v>
      </c>
      <c r="AB131" s="63">
        <f t="shared" ca="1" si="12"/>
        <v>27.485185475480815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45515</v>
      </c>
      <c r="K132">
        <f ca="1"/>
        <v>23.517752391608141</v>
      </c>
      <c r="L132">
        <f ca="1"/>
        <v>1.8740307797268088</v>
      </c>
      <c r="M132">
        <f ca="1"/>
        <v>6.9402375855823095E-2</v>
      </c>
      <c r="N132">
        <f ca="1"/>
        <v>0.61773232176766324</v>
      </c>
      <c r="O132">
        <f ca="1"/>
        <v>0</v>
      </c>
      <c r="P132">
        <f ca="1"/>
        <v>314.14389574115876</v>
      </c>
      <c r="Q132">
        <f ca="1"/>
        <v>283.03715524883506</v>
      </c>
      <c r="R132">
        <f ca="1"/>
        <v>0.48569271243538559</v>
      </c>
      <c r="S132">
        <f ca="1"/>
        <v>1</v>
      </c>
      <c r="T132">
        <f ca="1"/>
        <v>3.75</v>
      </c>
      <c r="U132">
        <f ca="1"/>
        <v>0</v>
      </c>
      <c r="V132">
        <f ca="1"/>
        <v>0.72942926994368662</v>
      </c>
      <c r="X132" s="2">
        <f t="shared" ca="1" si="8"/>
        <v>45515</v>
      </c>
      <c r="Y132">
        <f t="shared" ca="1" si="9"/>
        <v>0</v>
      </c>
      <c r="AA132" s="63">
        <f t="shared" ca="1" si="11"/>
        <v>25.877475883770337</v>
      </c>
      <c r="AB132" s="63">
        <f t="shared" ca="1" si="12"/>
        <v>25.877475883770337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45516</v>
      </c>
      <c r="K133">
        <f ca="1"/>
        <v>22.136791980822345</v>
      </c>
      <c r="L133">
        <f ca="1"/>
        <v>1.852728672410592</v>
      </c>
      <c r="M133">
        <f ca="1"/>
        <v>6.9172450832319043E-2</v>
      </c>
      <c r="N133">
        <f ca="1"/>
        <v>0.6366683242592589</v>
      </c>
      <c r="O133">
        <f ca="1"/>
        <v>0</v>
      </c>
      <c r="P133">
        <f ca="1"/>
        <v>315.99662441356935</v>
      </c>
      <c r="Q133">
        <f ca="1"/>
        <v>284.70642547816692</v>
      </c>
      <c r="R133">
        <f ca="1"/>
        <v>0.23407251346678254</v>
      </c>
      <c r="S133">
        <f ca="1"/>
        <v>1</v>
      </c>
      <c r="T133">
        <f ca="1"/>
        <v>1.9200000000000017</v>
      </c>
      <c r="U133">
        <f ca="1"/>
        <v>0</v>
      </c>
      <c r="V133">
        <f ca="1"/>
        <v>0.69943812740339606</v>
      </c>
      <c r="X133" s="2">
        <f t="shared" ca="1" si="8"/>
        <v>45516</v>
      </c>
      <c r="Y133">
        <f t="shared" ca="1" si="9"/>
        <v>0</v>
      </c>
      <c r="AA133" s="63">
        <f t="shared" ca="1" si="11"/>
        <v>24.223593166699718</v>
      </c>
      <c r="AB133" s="63">
        <f t="shared" ca="1" si="12"/>
        <v>24.223593166699718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45517</v>
      </c>
      <c r="K134">
        <f ca="1"/>
        <v>20.430432342182371</v>
      </c>
      <c r="L134">
        <f ca="1"/>
        <v>1.8042621992154295</v>
      </c>
      <c r="M134">
        <f ca="1"/>
        <v>6.8814832862791775E-2</v>
      </c>
      <c r="N134">
        <f ca="1"/>
        <v>0.65467348789473667</v>
      </c>
      <c r="O134">
        <f ca="1"/>
        <v>0</v>
      </c>
      <c r="P134">
        <f ca="1"/>
        <v>317.80088661278478</v>
      </c>
      <c r="Q134">
        <f ca="1"/>
        <v>286.33202841717713</v>
      </c>
      <c r="R134">
        <f ca="1"/>
        <v>0.62558576018207146</v>
      </c>
      <c r="S134">
        <f ca="1"/>
        <v>1</v>
      </c>
      <c r="T134">
        <f ca="1"/>
        <v>5.5600000000000023</v>
      </c>
      <c r="U134">
        <f ca="1"/>
        <v>0</v>
      </c>
      <c r="V134">
        <f ca="1"/>
        <v>0.66758086932726524</v>
      </c>
      <c r="X134" s="2">
        <f t="shared" ca="1" si="8"/>
        <v>45517</v>
      </c>
      <c r="Y134">
        <f t="shared" ca="1" si="9"/>
        <v>0</v>
      </c>
      <c r="AA134" s="63">
        <f t="shared" ca="1" si="11"/>
        <v>22.860280301579873</v>
      </c>
      <c r="AB134" s="63">
        <f t="shared" ca="1" si="12"/>
        <v>22.860280301579873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45518</v>
      </c>
      <c r="K135">
        <f ca="1"/>
        <v>19.375521917007994</v>
      </c>
      <c r="L135">
        <f ca="1"/>
        <v>1.5356657674929011</v>
      </c>
      <c r="M135">
        <f ca="1"/>
        <v>6.5583334861280207E-2</v>
      </c>
      <c r="N135">
        <f ca="1"/>
        <v>0.63285178412484966</v>
      </c>
      <c r="O135">
        <f ca="1"/>
        <v>0</v>
      </c>
      <c r="P135">
        <f ca="1"/>
        <v>319.33655238027768</v>
      </c>
      <c r="Q135">
        <f ca="1"/>
        <v>287.71563152434163</v>
      </c>
      <c r="R135">
        <f ca="1"/>
        <v>0.21767977666760355</v>
      </c>
      <c r="S135">
        <f ca="1"/>
        <v>1</v>
      </c>
      <c r="T135">
        <f ca="1"/>
        <v>2.0400000000000063</v>
      </c>
      <c r="U135">
        <f ca="1"/>
        <v>0</v>
      </c>
      <c r="V135">
        <f ca="1"/>
        <v>0.63798960868751187</v>
      </c>
      <c r="X135" s="2">
        <f t="shared" ca="1" si="8"/>
        <v>45518</v>
      </c>
      <c r="Y135">
        <f t="shared" ca="1" si="9"/>
        <v>0</v>
      </c>
      <c r="AA135" s="63">
        <f t="shared" ca="1" si="11"/>
        <v>21.1288674611685</v>
      </c>
      <c r="AB135" s="63">
        <f t="shared" ca="1" si="12"/>
        <v>21.1288674611685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45519</v>
      </c>
      <c r="K136">
        <f ca="1"/>
        <v>18.570086531951791</v>
      </c>
      <c r="L136">
        <f ca="1"/>
        <v>1.4894141296389307</v>
      </c>
      <c r="M136">
        <f ca="1"/>
        <v>6.516336494368602E-2</v>
      </c>
      <c r="N136">
        <f ca="1"/>
        <v>0.64949639217008948</v>
      </c>
      <c r="O136">
        <f ca="1"/>
        <v>0</v>
      </c>
      <c r="P136">
        <f ca="1"/>
        <v>320.82596650991661</v>
      </c>
      <c r="Q136">
        <f ca="1"/>
        <v>289.05756286203587</v>
      </c>
      <c r="R136">
        <f ca="1"/>
        <v>3.0681012531049042E-2</v>
      </c>
      <c r="S136">
        <f ca="1"/>
        <v>1</v>
      </c>
      <c r="T136">
        <f ca="1"/>
        <v>0.29999999999998295</v>
      </c>
      <c r="U136">
        <f ca="1"/>
        <v>0</v>
      </c>
      <c r="V136">
        <f ca="1"/>
        <v>0.60666552647876393</v>
      </c>
      <c r="X136" s="2">
        <f t="shared" ca="1" si="8"/>
        <v>45519</v>
      </c>
      <c r="Y136">
        <f t="shared" ca="1" si="9"/>
        <v>0</v>
      </c>
      <c r="AA136" s="63">
        <f t="shared" ca="1" si="11"/>
        <v>20.090181674121769</v>
      </c>
      <c r="AB136" s="63">
        <f t="shared" ca="1" si="12"/>
        <v>20.090181674121769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45520</v>
      </c>
      <c r="K137">
        <f ca="1"/>
        <v>17.43751518861691</v>
      </c>
      <c r="L137">
        <f ca="1"/>
        <v>1.3378952309228112</v>
      </c>
      <c r="M137">
        <f ca="1"/>
        <v>6.3229343073501809E-2</v>
      </c>
      <c r="N137">
        <f ca="1"/>
        <v>0.64434552546887836</v>
      </c>
      <c r="O137">
        <f ca="1"/>
        <v>0</v>
      </c>
      <c r="P137">
        <f ca="1"/>
        <v>322.16386174083942</v>
      </c>
      <c r="Q137">
        <f ca="1"/>
        <v>290.26297880458657</v>
      </c>
      <c r="R137">
        <f ca="1"/>
        <v>0.50225098095445186</v>
      </c>
      <c r="S137">
        <f ca="1"/>
        <v>1</v>
      </c>
      <c r="T137">
        <f ca="1"/>
        <v>5.2299999999999898</v>
      </c>
      <c r="U137">
        <f ca="1"/>
        <v>0</v>
      </c>
      <c r="V137">
        <f ca="1"/>
        <v>0.57587462013739876</v>
      </c>
      <c r="X137" s="2">
        <f t="shared" ca="1" si="8"/>
        <v>45520</v>
      </c>
      <c r="Y137">
        <f t="shared" ca="1" si="9"/>
        <v>0</v>
      </c>
      <c r="AA137" s="63">
        <f t="shared" ca="1" si="11"/>
        <v>19.277661400494171</v>
      </c>
      <c r="AB137" s="63">
        <f t="shared" ca="1" si="12"/>
        <v>19.277661400494171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45521</v>
      </c>
      <c r="K138">
        <f ca="1"/>
        <v>16.891854395817536</v>
      </c>
      <c r="L138">
        <f ca="1"/>
        <v>1.0213085745888861</v>
      </c>
      <c r="M138">
        <f ca="1"/>
        <v>5.8449397487336796E-2</v>
      </c>
      <c r="N138">
        <f ca="1"/>
        <v>0.59488110778745396</v>
      </c>
      <c r="O138">
        <f ca="1"/>
        <v>0</v>
      </c>
      <c r="P138">
        <f ca="1"/>
        <v>323.18517031542831</v>
      </c>
      <c r="Q138">
        <f ca="1"/>
        <v>291.18315671509748</v>
      </c>
      <c r="R138">
        <f ca="1"/>
        <v>0.17768272348528036</v>
      </c>
      <c r="S138">
        <f ca="1"/>
        <v>1</v>
      </c>
      <c r="T138">
        <f ca="1"/>
        <v>1.9099999999999966</v>
      </c>
      <c r="U138">
        <f ca="1"/>
        <v>0</v>
      </c>
      <c r="V138">
        <f ca="1"/>
        <v>0.55034882548644037</v>
      </c>
      <c r="X138" s="2">
        <f t="shared" ca="1" si="8"/>
        <v>45521</v>
      </c>
      <c r="Y138">
        <f t="shared" ca="1" si="9"/>
        <v>0</v>
      </c>
      <c r="AA138" s="63">
        <f t="shared" ca="1" si="11"/>
        <v>18.090845693891701</v>
      </c>
      <c r="AB138" s="63">
        <f t="shared" ca="1" si="12"/>
        <v>18.090845693891701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45522</v>
      </c>
      <c r="K139">
        <f ca="1"/>
        <v>16.434267228603449</v>
      </c>
      <c r="L139">
        <f ca="1"/>
        <v>1.1011028753024448</v>
      </c>
      <c r="M139">
        <f ca="1"/>
        <v>5.9710505048258256E-2</v>
      </c>
      <c r="N139">
        <f ca="1"/>
        <v>0.63539451147076209</v>
      </c>
      <c r="O139">
        <f ca="1"/>
        <v>0</v>
      </c>
      <c r="P139">
        <f ca="1"/>
        <v>324.28627319073075</v>
      </c>
      <c r="Q139">
        <f ca="1"/>
        <v>292.17522764083247</v>
      </c>
      <c r="R139">
        <f ca="1"/>
        <v>5.1589308430658905E-2</v>
      </c>
      <c r="S139">
        <f ca="1"/>
        <v>1</v>
      </c>
      <c r="T139">
        <f ca="1"/>
        <v>0.56999999999999318</v>
      </c>
      <c r="U139">
        <f ca="1"/>
        <v>0</v>
      </c>
      <c r="V139">
        <f ca="1"/>
        <v>0.5204909769129954</v>
      </c>
      <c r="X139" s="2">
        <f t="shared" ref="X139:X202" ca="1" si="15">IFERROR(J139,$X$9)</f>
        <v>45522</v>
      </c>
      <c r="Y139">
        <f t="shared" ref="Y139:Y202" ca="1" si="16">IFERROR(O139,0)</f>
        <v>0</v>
      </c>
      <c r="AA139" s="63">
        <f t="shared" ca="1" si="11"/>
        <v>17.586959412336554</v>
      </c>
      <c r="AB139" s="63">
        <f t="shared" ca="1" si="12"/>
        <v>17.586959412336554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45523</v>
      </c>
      <c r="K140">
        <f ca="1"/>
        <v>15.958608164172588</v>
      </c>
      <c r="L140">
        <f ca="1"/>
        <v>0.96032670187378244</v>
      </c>
      <c r="M140">
        <f ca="1"/>
        <v>5.7409873877951156E-2</v>
      </c>
      <c r="N140">
        <f ca="1"/>
        <v>0.62149021481529321</v>
      </c>
      <c r="O140">
        <f ca="1"/>
        <v>0</v>
      </c>
      <c r="P140">
        <f ca="1"/>
        <v>325.24659989260454</v>
      </c>
      <c r="Q140">
        <f ca="1"/>
        <v>293.04046214480587</v>
      </c>
      <c r="R140">
        <f ca="1"/>
        <v>0.19423245125032157</v>
      </c>
      <c r="S140">
        <f ca="1"/>
        <v>1</v>
      </c>
      <c r="T140">
        <f ca="1"/>
        <v>2.210000000000008</v>
      </c>
      <c r="U140">
        <f ca="1"/>
        <v>0</v>
      </c>
      <c r="V140">
        <f ca="1"/>
        <v>0.49209936197485371</v>
      </c>
      <c r="X140" s="2">
        <f t="shared" ca="1" si="15"/>
        <v>45523</v>
      </c>
      <c r="Y140">
        <f t="shared" ca="1" si="16"/>
        <v>0</v>
      </c>
      <c r="AA140" s="63">
        <f t="shared" ca="1" si="11"/>
        <v>17.113167317296693</v>
      </c>
      <c r="AB140" s="63">
        <f t="shared" ca="1" si="12"/>
        <v>17.113167317296693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45524</v>
      </c>
      <c r="K141">
        <f ca="1"/>
        <v>15.630047220613463</v>
      </c>
      <c r="L141">
        <f ca="1"/>
        <v>0.98296308813047517</v>
      </c>
      <c r="M141">
        <f ca="1"/>
        <v>5.8049838310694213E-2</v>
      </c>
      <c r="N141">
        <f ca="1"/>
        <v>0.65402491528048512</v>
      </c>
      <c r="O141">
        <f ca="1"/>
        <v>0</v>
      </c>
      <c r="P141">
        <f ca="1"/>
        <v>326.22956298073501</v>
      </c>
      <c r="Q141">
        <f ca="1"/>
        <v>293.92609156479716</v>
      </c>
      <c r="R141">
        <f ca="1"/>
        <v>5.7672609019828958E-2</v>
      </c>
      <c r="S141">
        <f ca="1"/>
        <v>1</v>
      </c>
      <c r="T141">
        <f ca="1"/>
        <v>0.67000000000000171</v>
      </c>
      <c r="U141">
        <f ca="1"/>
        <v>0</v>
      </c>
      <c r="V141">
        <f ca="1"/>
        <v>0.46030875088214573</v>
      </c>
      <c r="X141" s="2">
        <f t="shared" ca="1" si="15"/>
        <v>45524</v>
      </c>
      <c r="Y141">
        <f t="shared" ca="1" si="16"/>
        <v>0</v>
      </c>
      <c r="AA141" s="63">
        <f t="shared" ref="AA141:AA204" ca="1" si="18">K140+M141+N141+O141</f>
        <v>16.670682917763767</v>
      </c>
      <c r="AB141" s="63">
        <f t="shared" ref="AB141:AB204" ca="1" si="19">K141+L141+R141</f>
        <v>16.670682917763767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45525</v>
      </c>
      <c r="K142">
        <f ca="1"/>
        <v>15.2407835487051</v>
      </c>
      <c r="L142">
        <f ca="1"/>
        <v>0.84870340043477199</v>
      </c>
      <c r="M142">
        <f ca="1"/>
        <v>5.5673910392222581E-2</v>
      </c>
      <c r="N142">
        <f ca="1"/>
        <v>0.63794377057385421</v>
      </c>
      <c r="O142">
        <f ca="1"/>
        <v>0</v>
      </c>
      <c r="P142">
        <f ca="1"/>
        <v>327.07826638116978</v>
      </c>
      <c r="Q142">
        <f ca="1"/>
        <v>294.69075578194622</v>
      </c>
      <c r="R142">
        <f ca="1"/>
        <v>0.2341779524396693</v>
      </c>
      <c r="S142">
        <f ca="1"/>
        <v>1</v>
      </c>
      <c r="T142">
        <f ca="1"/>
        <v>2.7900000000000063</v>
      </c>
      <c r="U142">
        <f ca="1"/>
        <v>0</v>
      </c>
      <c r="V142">
        <f ca="1"/>
        <v>0.43018431437500948</v>
      </c>
      <c r="X142" s="2">
        <f t="shared" ca="1" si="15"/>
        <v>45525</v>
      </c>
      <c r="Y142">
        <f t="shared" ca="1" si="16"/>
        <v>0</v>
      </c>
      <c r="AA142" s="63">
        <f t="shared" ca="1" si="18"/>
        <v>16.323664901579541</v>
      </c>
      <c r="AB142" s="63">
        <f t="shared" ca="1" si="19"/>
        <v>16.323664901579541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45526</v>
      </c>
      <c r="K143">
        <f ca="1"/>
        <v>15.149078194246144</v>
      </c>
      <c r="L143">
        <f ca="1"/>
        <v>0.78471323596642151</v>
      </c>
      <c r="M143">
        <f ca="1"/>
        <v>5.4565153228999463E-2</v>
      </c>
      <c r="N143">
        <f ca="1"/>
        <v>0.64177991651835986</v>
      </c>
      <c r="O143">
        <f ca="1"/>
        <v>0</v>
      </c>
      <c r="P143">
        <f ca="1"/>
        <v>327.8629796171362</v>
      </c>
      <c r="Q143">
        <f ca="1"/>
        <v>295.39776618388328</v>
      </c>
      <c r="R143">
        <f ca="1"/>
        <v>3.3371882398924263E-3</v>
      </c>
      <c r="S143">
        <f ca="1"/>
        <v>1</v>
      </c>
      <c r="T143">
        <f ca="1"/>
        <v>4.0000000000006253E-2</v>
      </c>
      <c r="U143">
        <f ca="1"/>
        <v>0</v>
      </c>
      <c r="V143">
        <f ca="1"/>
        <v>0.39965999596733592</v>
      </c>
      <c r="X143" s="2">
        <f t="shared" ca="1" si="15"/>
        <v>45526</v>
      </c>
      <c r="Y143">
        <f t="shared" ca="1" si="16"/>
        <v>0</v>
      </c>
      <c r="AA143" s="63">
        <f t="shared" ca="1" si="18"/>
        <v>15.937128618452459</v>
      </c>
      <c r="AB143" s="63">
        <f t="shared" ca="1" si="19"/>
        <v>15.937128618452459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45527</v>
      </c>
      <c r="K144">
        <f ca="1"/>
        <v>15.103976563693545</v>
      </c>
      <c r="L144">
        <f ca="1"/>
        <v>0.76133412019260049</v>
      </c>
      <c r="M144">
        <f ca="1"/>
        <v>5.4397601164353659E-2</v>
      </c>
      <c r="N144">
        <f ca="1"/>
        <v>0.6618348884756482</v>
      </c>
      <c r="O144">
        <f ca="1"/>
        <v>0</v>
      </c>
      <c r="P144">
        <f ca="1"/>
        <v>328.62431373732881</v>
      </c>
      <c r="Q144">
        <f ca="1"/>
        <v>296.08371248586315</v>
      </c>
      <c r="R144">
        <f ca="1"/>
        <v>0</v>
      </c>
      <c r="S144">
        <f ca="1"/>
        <v>0.98304347826086935</v>
      </c>
      <c r="T144">
        <f ca="1"/>
        <v>0</v>
      </c>
      <c r="U144">
        <f ca="1"/>
        <v>0</v>
      </c>
      <c r="V144">
        <f ca="1"/>
        <v>0.36706962107355356</v>
      </c>
      <c r="X144" s="2">
        <f t="shared" ca="1" si="15"/>
        <v>45527</v>
      </c>
      <c r="Y144">
        <f t="shared" ca="1" si="16"/>
        <v>0</v>
      </c>
      <c r="AA144" s="63">
        <f t="shared" ca="1" si="18"/>
        <v>15.865310683886145</v>
      </c>
      <c r="AB144" s="63">
        <f t="shared" ca="1" si="19"/>
        <v>15.865310683886145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45528</v>
      </c>
      <c r="K145">
        <f ca="1"/>
        <v>15.140737572114221</v>
      </c>
      <c r="L145">
        <f ca="1"/>
        <v>0.66647828086331629</v>
      </c>
      <c r="M145">
        <f ca="1"/>
        <v>5.2451083583186175E-2</v>
      </c>
      <c r="N145">
        <f ca="1"/>
        <v>0.65078820570080542</v>
      </c>
      <c r="O145">
        <f ca="1"/>
        <v>0</v>
      </c>
      <c r="P145">
        <f ca="1"/>
        <v>329.29079201819212</v>
      </c>
      <c r="Q145">
        <f ca="1"/>
        <v>296.68419563771823</v>
      </c>
      <c r="R145">
        <f ca="1"/>
        <v>0</v>
      </c>
      <c r="S145">
        <f ca="1"/>
        <v>0.99791953521597665</v>
      </c>
      <c r="T145">
        <f ca="1"/>
        <v>0</v>
      </c>
      <c r="U145">
        <f ca="1"/>
        <v>0</v>
      </c>
      <c r="V145">
        <f ca="1"/>
        <v>0.3356122448979596</v>
      </c>
      <c r="X145" s="2">
        <f t="shared" ca="1" si="15"/>
        <v>45528</v>
      </c>
      <c r="Y145">
        <f t="shared" ca="1" si="16"/>
        <v>0</v>
      </c>
      <c r="AA145" s="63">
        <f t="shared" ca="1" si="18"/>
        <v>15.807215852977537</v>
      </c>
      <c r="AB145" s="63">
        <f t="shared" ca="1" si="19"/>
        <v>15.807215852977537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45529</v>
      </c>
      <c r="K146">
        <f ca="1"/>
        <v>15.067477343832852</v>
      </c>
      <c r="L146">
        <f ca="1"/>
        <v>0.72617215381779943</v>
      </c>
      <c r="M146">
        <f ca="1"/>
        <v>5.4808255511495929E-2</v>
      </c>
      <c r="N146">
        <f ca="1"/>
        <v>0.71748127119442984</v>
      </c>
      <c r="O146">
        <f ca="1"/>
        <v>0</v>
      </c>
      <c r="P146">
        <f ca="1"/>
        <v>330.01696417200992</v>
      </c>
      <c r="Q146">
        <f ca="1"/>
        <v>297.33846173495562</v>
      </c>
      <c r="R146">
        <f ca="1"/>
        <v>0.11937760116949533</v>
      </c>
      <c r="S146">
        <f ca="1"/>
        <v>1</v>
      </c>
      <c r="T146">
        <f ca="1"/>
        <v>1.4386256348741995</v>
      </c>
      <c r="U146">
        <f ca="1"/>
        <v>0</v>
      </c>
      <c r="V146">
        <f ca="1"/>
        <v>0.29749017038007886</v>
      </c>
      <c r="X146" s="2">
        <f t="shared" ca="1" si="15"/>
        <v>45529</v>
      </c>
      <c r="Y146">
        <f t="shared" ca="1" si="16"/>
        <v>0</v>
      </c>
      <c r="AA146" s="63">
        <f t="shared" ca="1" si="18"/>
        <v>15.913027098820146</v>
      </c>
      <c r="AB146" s="63">
        <f t="shared" ca="1" si="19"/>
        <v>15.913027098820146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45530</v>
      </c>
      <c r="K147">
        <f ca="1"/>
        <v>15.191509498738643</v>
      </c>
      <c r="L147">
        <f ca="1"/>
        <v>0.64901440946556477</v>
      </c>
      <c r="M147">
        <f ca="1"/>
        <v>5.3500448419271152E-2</v>
      </c>
      <c r="N147">
        <f ca="1"/>
        <v>0.71954611595208495</v>
      </c>
      <c r="O147">
        <f ca="1"/>
        <v>0</v>
      </c>
      <c r="P147">
        <f ca="1"/>
        <v>330.66597858147549</v>
      </c>
      <c r="Q147">
        <f ca="1"/>
        <v>297.92321029974067</v>
      </c>
      <c r="R147">
        <f ca="1"/>
        <v>0</v>
      </c>
      <c r="S147">
        <f ca="1"/>
        <v>0.9910144927536233</v>
      </c>
      <c r="T147">
        <f ca="1"/>
        <v>0</v>
      </c>
      <c r="U147">
        <f ca="1"/>
        <v>0</v>
      </c>
      <c r="V147">
        <f ca="1"/>
        <v>0.25916815491192979</v>
      </c>
      <c r="X147" s="2">
        <f t="shared" ca="1" si="15"/>
        <v>45530</v>
      </c>
      <c r="Y147">
        <f t="shared" ca="1" si="16"/>
        <v>0</v>
      </c>
      <c r="AA147" s="63">
        <f t="shared" ca="1" si="18"/>
        <v>15.840523908204208</v>
      </c>
      <c r="AB147" s="63">
        <f t="shared" ca="1" si="19"/>
        <v>15.840523908204208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45531</v>
      </c>
      <c r="K148">
        <f ca="1"/>
        <v>15.37968676559565</v>
      </c>
      <c r="L148">
        <f ca="1"/>
        <v>0.60763571738374367</v>
      </c>
      <c r="M148">
        <f ca="1"/>
        <v>5.3305586541476657E-2</v>
      </c>
      <c r="N148">
        <f ca="1"/>
        <v>0.74250739769927476</v>
      </c>
      <c r="O148">
        <f ca="1"/>
        <v>0</v>
      </c>
      <c r="P148">
        <f ca="1"/>
        <v>331.27361429885923</v>
      </c>
      <c r="Q148">
        <f ca="1"/>
        <v>298.47067751844986</v>
      </c>
      <c r="R148">
        <f ca="1"/>
        <v>0</v>
      </c>
      <c r="S148">
        <f ca="1"/>
        <v>0.9949494811898667</v>
      </c>
      <c r="T148">
        <f ca="1"/>
        <v>0</v>
      </c>
      <c r="U148">
        <f ca="1"/>
        <v>0</v>
      </c>
      <c r="V148">
        <f ca="1"/>
        <v>0.21864678899082601</v>
      </c>
      <c r="X148" s="2">
        <f t="shared" ca="1" si="15"/>
        <v>45531</v>
      </c>
      <c r="Y148">
        <f t="shared" ca="1" si="16"/>
        <v>0</v>
      </c>
      <c r="AA148" s="63">
        <f t="shared" ca="1" si="18"/>
        <v>15.987322482979394</v>
      </c>
      <c r="AB148" s="63">
        <f t="shared" ca="1" si="19"/>
        <v>15.987322482979394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45532</v>
      </c>
      <c r="K149">
        <f ca="1"/>
        <v>15.543431532398468</v>
      </c>
      <c r="L149">
        <f ca="1"/>
        <v>0.49433996851587381</v>
      </c>
      <c r="M149">
        <f ca="1"/>
        <v>5.0151576580944379E-2</v>
      </c>
      <c r="N149">
        <f ca="1"/>
        <v>0.70789488667172806</v>
      </c>
      <c r="O149">
        <f ca="1"/>
        <v>0</v>
      </c>
      <c r="P149">
        <f ca="1"/>
        <v>331.7679542673751</v>
      </c>
      <c r="Q149">
        <f ca="1"/>
        <v>298.91606760977874</v>
      </c>
      <c r="R149">
        <f ca="1"/>
        <v>9.9961727933980019E-2</v>
      </c>
      <c r="S149">
        <f ca="1"/>
        <v>1</v>
      </c>
      <c r="T149">
        <f ca="1"/>
        <v>1.1677566371072601</v>
      </c>
      <c r="U149">
        <f ca="1"/>
        <v>0</v>
      </c>
      <c r="V149">
        <f ca="1"/>
        <v>0.18145777224086579</v>
      </c>
      <c r="X149" s="2">
        <f t="shared" ca="1" si="15"/>
        <v>45532</v>
      </c>
      <c r="Y149">
        <f t="shared" ca="1" si="16"/>
        <v>0</v>
      </c>
      <c r="AA149" s="63">
        <f t="shared" ca="1" si="18"/>
        <v>16.137733228848322</v>
      </c>
      <c r="AB149" s="63">
        <f t="shared" ca="1" si="19"/>
        <v>16.137733228848322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45533</v>
      </c>
      <c r="K150">
        <f ca="1"/>
        <v>15.859133878150111</v>
      </c>
      <c r="L150">
        <f ca="1"/>
        <v>0.48033075032185479</v>
      </c>
      <c r="M150">
        <f ca="1"/>
        <v>5.071155798004412E-2</v>
      </c>
      <c r="N150">
        <f ca="1"/>
        <v>0.74532153809345358</v>
      </c>
      <c r="O150">
        <f ca="1"/>
        <v>0</v>
      </c>
      <c r="P150">
        <f ca="1"/>
        <v>332.24828501769696</v>
      </c>
      <c r="Q150">
        <f ca="1"/>
        <v>299.34883568515028</v>
      </c>
      <c r="R150">
        <f ca="1"/>
        <v>0</v>
      </c>
      <c r="S150">
        <f ca="1"/>
        <v>0.9969565217391303</v>
      </c>
      <c r="T150">
        <f ca="1"/>
        <v>0</v>
      </c>
      <c r="U150">
        <f ca="1"/>
        <v>0</v>
      </c>
      <c r="V150">
        <f ca="1"/>
        <v>0.14066981838607051</v>
      </c>
      <c r="X150" s="2">
        <f t="shared" ca="1" si="15"/>
        <v>45533</v>
      </c>
      <c r="Y150">
        <f t="shared" ca="1" si="16"/>
        <v>0</v>
      </c>
      <c r="AA150" s="63">
        <f t="shared" ca="1" si="18"/>
        <v>16.339464628471966</v>
      </c>
      <c r="AB150" s="63">
        <f t="shared" ca="1" si="19"/>
        <v>16.339464628471966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45534</v>
      </c>
      <c r="K151">
        <f ca="1"/>
        <v>16.227392308621681</v>
      </c>
      <c r="L151">
        <f ca="1"/>
        <v>0.39366477383623533</v>
      </c>
      <c r="M151">
        <f ca="1"/>
        <v>4.7875008227237004E-2</v>
      </c>
      <c r="N151">
        <f ca="1"/>
        <v>0.71404819608056869</v>
      </c>
      <c r="O151">
        <f ca="1"/>
        <v>0</v>
      </c>
      <c r="P151">
        <f ca="1"/>
        <v>332.64194979153319</v>
      </c>
      <c r="Q151">
        <f ca="1"/>
        <v>299.70351950749671</v>
      </c>
      <c r="R151">
        <f ca="1"/>
        <v>0</v>
      </c>
      <c r="S151">
        <f ca="1"/>
        <v>0.99586872399495152</v>
      </c>
      <c r="T151">
        <f ca="1"/>
        <v>0</v>
      </c>
      <c r="U151">
        <f ca="1"/>
        <v>0</v>
      </c>
      <c r="V151">
        <f ca="1"/>
        <v>0.10288097878530411</v>
      </c>
      <c r="X151" s="2">
        <f t="shared" ca="1" si="15"/>
        <v>45534</v>
      </c>
      <c r="Y151">
        <f t="shared" ca="1" si="16"/>
        <v>0</v>
      </c>
      <c r="AA151" s="63">
        <f t="shared" ca="1" si="18"/>
        <v>16.621057082457916</v>
      </c>
      <c r="AB151" s="63">
        <f t="shared" ca="1" si="19"/>
        <v>16.621057082457916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45535</v>
      </c>
      <c r="K152">
        <f ca="1"/>
        <v>16.631631939009505</v>
      </c>
      <c r="L152">
        <f ca="1"/>
        <v>0.3176570310862985</v>
      </c>
      <c r="M152">
        <f ca="1"/>
        <v>4.4927058773694739E-2</v>
      </c>
      <c r="N152">
        <f ca="1"/>
        <v>0.67696960270042861</v>
      </c>
      <c r="O152">
        <f ca="1"/>
        <v>0</v>
      </c>
      <c r="P152">
        <f ca="1"/>
        <v>332.95960682261949</v>
      </c>
      <c r="Q152">
        <f ca="1"/>
        <v>299.98972192505869</v>
      </c>
      <c r="R152">
        <f ca="1"/>
        <v>0</v>
      </c>
      <c r="S152">
        <f ca="1"/>
        <v>0.98147633260322542</v>
      </c>
      <c r="T152">
        <f ca="1"/>
        <v>0</v>
      </c>
      <c r="U152">
        <f ca="1"/>
        <v>0</v>
      </c>
      <c r="V152">
        <f ca="1"/>
        <v>6.8757723272795612E-2</v>
      </c>
      <c r="X152" s="2">
        <f t="shared" ca="1" si="15"/>
        <v>45535</v>
      </c>
      <c r="Y152">
        <f t="shared" ca="1" si="16"/>
        <v>0</v>
      </c>
      <c r="AA152" s="63">
        <f t="shared" ca="1" si="18"/>
        <v>16.949288970095804</v>
      </c>
      <c r="AB152" s="63">
        <f t="shared" ca="1" si="19"/>
        <v>16.949288970095804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45536</v>
      </c>
      <c r="K153">
        <f ca="1"/>
        <v>17.024555769879097</v>
      </c>
      <c r="L153">
        <f ca="1"/>
        <v>0.26104340543105309</v>
      </c>
      <c r="M153">
        <f ca="1"/>
        <v>4.246339141654687E-2</v>
      </c>
      <c r="N153">
        <f ca="1"/>
        <v>0.64691768248284565</v>
      </c>
      <c r="O153">
        <f ca="1"/>
        <v>0</v>
      </c>
      <c r="P153">
        <f ca="1"/>
        <v>333.22065022805054</v>
      </c>
      <c r="Q153">
        <f ca="1"/>
        <v>300.22491663637197</v>
      </c>
      <c r="R153">
        <f ca="1"/>
        <v>3.5413837598750046E-2</v>
      </c>
      <c r="S153">
        <f ca="1"/>
        <v>1</v>
      </c>
      <c r="T153">
        <f ca="1"/>
        <v>0.37771366491890035</v>
      </c>
      <c r="U153">
        <f ca="1"/>
        <v>0</v>
      </c>
      <c r="V153">
        <f ca="1"/>
        <v>3.7700228997738949E-2</v>
      </c>
      <c r="X153" s="2">
        <f t="shared" ca="1" si="15"/>
        <v>45536</v>
      </c>
      <c r="Y153">
        <f t="shared" ca="1" si="16"/>
        <v>0</v>
      </c>
      <c r="AA153" s="63">
        <f t="shared" ca="1" si="18"/>
        <v>17.321013012908899</v>
      </c>
      <c r="AB153" s="63">
        <f t="shared" ca="1" si="19"/>
        <v>17.321013012908899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45537</v>
      </c>
      <c r="K154">
        <f ca="1"/>
        <v>17.477832915247571</v>
      </c>
      <c r="L154">
        <f ca="1"/>
        <v>0.24116120170413069</v>
      </c>
      <c r="M154">
        <f ca="1"/>
        <v>4.1709346109158218E-2</v>
      </c>
      <c r="N154">
        <f ca="1"/>
        <v>0.65272900096344622</v>
      </c>
      <c r="O154">
        <f ca="1"/>
        <v>0</v>
      </c>
      <c r="P154">
        <f ca="1"/>
        <v>333.46181142975468</v>
      </c>
      <c r="Q154">
        <f ca="1"/>
        <v>300.44219789318487</v>
      </c>
      <c r="R154">
        <f ca="1"/>
        <v>0</v>
      </c>
      <c r="S154">
        <f ca="1"/>
        <v>0.99014492753623196</v>
      </c>
      <c r="T154">
        <f ca="1"/>
        <v>0</v>
      </c>
      <c r="U154">
        <f ca="1"/>
        <v>0</v>
      </c>
      <c r="V154">
        <f ca="1"/>
        <v>6.0429118718765551E-3</v>
      </c>
      <c r="X154" s="2">
        <f t="shared" ca="1" si="15"/>
        <v>45537</v>
      </c>
      <c r="Y154">
        <f t="shared" ca="1" si="16"/>
        <v>0</v>
      </c>
      <c r="AA154" s="63">
        <f t="shared" ca="1" si="18"/>
        <v>17.718994116951702</v>
      </c>
      <c r="AB154" s="63">
        <f t="shared" ca="1" si="19"/>
        <v>17.718994116951702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45538</v>
      </c>
      <c r="K155">
        <f ca="1"/>
        <v>17.960579995103153</v>
      </c>
      <c r="L155">
        <f ca="1"/>
        <v>0.23183925645889758</v>
      </c>
      <c r="M155">
        <f ca="1"/>
        <v>4.1585936824397152E-2</v>
      </c>
      <c r="N155">
        <f ca="1"/>
        <v>0.67300039949008261</v>
      </c>
      <c r="O155">
        <f ca="1"/>
        <v>0</v>
      </c>
      <c r="P155">
        <f ca="1"/>
        <v>333.69365068621357</v>
      </c>
      <c r="Q155">
        <f ca="1"/>
        <v>300.65108027005971</v>
      </c>
      <c r="R155">
        <f ca="1"/>
        <v>0</v>
      </c>
      <c r="S155">
        <f ca="1"/>
        <v>0.99982230623818535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45538</v>
      </c>
      <c r="Y155">
        <f t="shared" ca="1" si="16"/>
        <v>0</v>
      </c>
      <c r="AA155" s="63">
        <f t="shared" ca="1" si="18"/>
        <v>18.19241925156205</v>
      </c>
      <c r="AB155" s="63">
        <f t="shared" ca="1" si="19"/>
        <v>18.19241925156205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45539</v>
      </c>
      <c r="K156">
        <f ca="1"/>
        <v>18.287514945829379</v>
      </c>
      <c r="L156">
        <f ca="1"/>
        <v>0.19753509386839596</v>
      </c>
      <c r="M156">
        <f ca="1"/>
        <v>3.9802107375543017E-2</v>
      </c>
      <c r="N156">
        <f ca="1"/>
        <v>0.65467348789473667</v>
      </c>
      <c r="O156">
        <f ca="1"/>
        <v>0</v>
      </c>
      <c r="P156">
        <f ca="1"/>
        <v>333.89118578008197</v>
      </c>
      <c r="Q156">
        <f ca="1"/>
        <v>300.82905530566688</v>
      </c>
      <c r="R156">
        <f ca="1"/>
        <v>0.17000555067565876</v>
      </c>
      <c r="S156">
        <f ca="1"/>
        <v>1</v>
      </c>
      <c r="T156">
        <f ca="1"/>
        <v>1.6880056710775193</v>
      </c>
      <c r="U156">
        <f ca="1"/>
        <v>0</v>
      </c>
      <c r="V156">
        <f ca="1"/>
        <v>0</v>
      </c>
      <c r="X156" s="2">
        <f t="shared" ca="1" si="15"/>
        <v>45539</v>
      </c>
      <c r="Y156">
        <f t="shared" ca="1" si="16"/>
        <v>0</v>
      </c>
      <c r="AA156" s="63">
        <f t="shared" ca="1" si="18"/>
        <v>18.655055590373433</v>
      </c>
      <c r="AB156" s="63">
        <f t="shared" ca="1" si="19"/>
        <v>18.655055590373433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45540</v>
      </c>
      <c r="K157">
        <f ca="1"/>
        <v>18.369530666038408</v>
      </c>
      <c r="L157">
        <f ca="1"/>
        <v>0.19810822309199239</v>
      </c>
      <c r="M157">
        <f ca="1"/>
        <v>4.0343286101062859E-2</v>
      </c>
      <c r="N157">
        <f ca="1"/>
        <v>0.690978926371002</v>
      </c>
      <c r="O157">
        <f ca="1"/>
        <v>0</v>
      </c>
      <c r="P157">
        <f ca="1"/>
        <v>334.08929400317396</v>
      </c>
      <c r="Q157">
        <f ca="1"/>
        <v>301.00754671885534</v>
      </c>
      <c r="R157">
        <f ca="1"/>
        <v>0.45119826917104283</v>
      </c>
      <c r="S157">
        <f ca="1"/>
        <v>1</v>
      </c>
      <c r="T157">
        <f ca="1"/>
        <v>4.460000000000008</v>
      </c>
      <c r="U157">
        <f ca="1"/>
        <v>0</v>
      </c>
      <c r="V157">
        <f ca="1"/>
        <v>0</v>
      </c>
      <c r="X157" s="2">
        <f t="shared" ca="1" si="15"/>
        <v>45540</v>
      </c>
      <c r="Y157">
        <f t="shared" ca="1" si="16"/>
        <v>0</v>
      </c>
      <c r="AA157" s="63">
        <f t="shared" ca="1" si="18"/>
        <v>19.018837158301444</v>
      </c>
      <c r="AB157" s="63">
        <f t="shared" ca="1" si="19"/>
        <v>19.018837158301444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45541</v>
      </c>
      <c r="K158">
        <f ca="1"/>
        <v>18.940136265076351</v>
      </c>
      <c r="L158">
        <f ca="1"/>
        <v>0.19086761486403248</v>
      </c>
      <c r="M158">
        <f ca="1"/>
        <v>4.0548450527047919E-2</v>
      </c>
      <c r="N158">
        <f ca="1"/>
        <v>0.72092476337492706</v>
      </c>
      <c r="O158">
        <f ca="1"/>
        <v>0</v>
      </c>
      <c r="P158">
        <f ca="1"/>
        <v>334.28016161803799</v>
      </c>
      <c r="Q158">
        <f ca="1"/>
        <v>301.17951449372731</v>
      </c>
      <c r="R158">
        <f ca="1"/>
        <v>0</v>
      </c>
      <c r="S158">
        <f ca="1"/>
        <v>0.9910144927536233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45541</v>
      </c>
      <c r="Y158">
        <f t="shared" ca="1" si="16"/>
        <v>0</v>
      </c>
      <c r="AA158" s="63">
        <f t="shared" ca="1" si="18"/>
        <v>19.131003879940383</v>
      </c>
      <c r="AB158" s="63">
        <f t="shared" ca="1" si="19"/>
        <v>19.131003879940383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45542</v>
      </c>
      <c r="K159">
        <f ca="1"/>
        <v>19.523236617705983</v>
      </c>
      <c r="L159">
        <f ca="1"/>
        <v>0.16380123919799416</v>
      </c>
      <c r="M159">
        <f ca="1"/>
        <v>3.9006705155898658E-2</v>
      </c>
      <c r="N159">
        <f ca="1"/>
        <v>0.70789488667172806</v>
      </c>
      <c r="O159">
        <f ca="1"/>
        <v>0</v>
      </c>
      <c r="P159">
        <f ca="1"/>
        <v>334.44396285723599</v>
      </c>
      <c r="Q159">
        <f ca="1"/>
        <v>301.32709602371204</v>
      </c>
      <c r="R159">
        <f ca="1"/>
        <v>0</v>
      </c>
      <c r="S159">
        <f ca="1"/>
        <v>0.97676656164671294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45542</v>
      </c>
      <c r="Y159">
        <f t="shared" ca="1" si="16"/>
        <v>0</v>
      </c>
      <c r="AA159" s="63">
        <f t="shared" ca="1" si="18"/>
        <v>19.687037856903977</v>
      </c>
      <c r="AB159" s="63">
        <f t="shared" ca="1" si="19"/>
        <v>19.687037856903977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45543</v>
      </c>
      <c r="K160">
        <f ca="1"/>
        <v>19.975394952947678</v>
      </c>
      <c r="L160">
        <f ca="1"/>
        <v>0.12153576857741655</v>
      </c>
      <c r="M160">
        <f ca="1"/>
        <v>3.5585845331191024E-2</v>
      </c>
      <c r="N160">
        <f ca="1"/>
        <v>0.64370350953085254</v>
      </c>
      <c r="O160">
        <f ca="1"/>
        <v>0</v>
      </c>
      <c r="P160">
        <f ca="1"/>
        <v>334.5654986258134</v>
      </c>
      <c r="Q160">
        <f ca="1"/>
        <v>301.43659723849134</v>
      </c>
      <c r="R160">
        <f ca="1"/>
        <v>0.10559525104293077</v>
      </c>
      <c r="S160">
        <f ca="1"/>
        <v>1</v>
      </c>
      <c r="T160">
        <f ca="1"/>
        <v>0.95987461457677625</v>
      </c>
      <c r="U160">
        <f ca="1"/>
        <v>0</v>
      </c>
      <c r="V160">
        <f ca="1"/>
        <v>0</v>
      </c>
      <c r="X160" s="2">
        <f t="shared" ca="1" si="15"/>
        <v>45543</v>
      </c>
      <c r="Y160">
        <f t="shared" ca="1" si="16"/>
        <v>0</v>
      </c>
      <c r="AA160" s="63">
        <f t="shared" ca="1" si="18"/>
        <v>20.202525972568026</v>
      </c>
      <c r="AB160" s="63">
        <f t="shared" ca="1" si="19"/>
        <v>20.202525972568026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45544</v>
      </c>
      <c r="K161">
        <f ca="1"/>
        <v>20.366601776613429</v>
      </c>
      <c r="L161">
        <f ca="1"/>
        <v>0.12116098683378596</v>
      </c>
      <c r="M161">
        <f ca="1"/>
        <v>3.5914757995428204E-2</v>
      </c>
      <c r="N161">
        <f ca="1"/>
        <v>0.67498314460483333</v>
      </c>
      <c r="O161">
        <f ca="1"/>
        <v>0</v>
      </c>
      <c r="P161">
        <f ca="1"/>
        <v>334.68665961264719</v>
      </c>
      <c r="Q161">
        <f ca="1"/>
        <v>301.54576078266797</v>
      </c>
      <c r="R161">
        <f ca="1"/>
        <v>0.19853009210072692</v>
      </c>
      <c r="S161">
        <f ca="1"/>
        <v>1</v>
      </c>
      <c r="T161">
        <f ca="1"/>
        <v>1.769999999999996</v>
      </c>
      <c r="U161">
        <f ca="1"/>
        <v>0</v>
      </c>
      <c r="V161">
        <f ca="1"/>
        <v>0</v>
      </c>
      <c r="X161" s="2">
        <f t="shared" ca="1" si="15"/>
        <v>45544</v>
      </c>
      <c r="Y161">
        <f t="shared" ca="1" si="16"/>
        <v>0</v>
      </c>
      <c r="AA161" s="63">
        <f t="shared" ca="1" si="18"/>
        <v>20.68629285554794</v>
      </c>
      <c r="AB161" s="63">
        <f t="shared" ca="1" si="19"/>
        <v>20.68629285554794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45545</v>
      </c>
      <c r="K162">
        <f ca="1"/>
        <v>20.458770016002717</v>
      </c>
      <c r="L162">
        <f ca="1"/>
        <v>0.11990193568630048</v>
      </c>
      <c r="M162">
        <f ca="1"/>
        <v>3.639310548309993E-2</v>
      </c>
      <c r="N162">
        <f ca="1"/>
        <v>0.71199334792503333</v>
      </c>
      <c r="O162">
        <f ca="1"/>
        <v>0</v>
      </c>
      <c r="P162">
        <f ca="1"/>
        <v>334.80656154833349</v>
      </c>
      <c r="Q162">
        <f ca="1"/>
        <v>301.65378994779127</v>
      </c>
      <c r="R162">
        <f ca="1"/>
        <v>0.53631627833254714</v>
      </c>
      <c r="S162">
        <f ca="1"/>
        <v>1</v>
      </c>
      <c r="T162">
        <f ca="1"/>
        <v>4.7600000000000051</v>
      </c>
      <c r="U162">
        <f ca="1"/>
        <v>0</v>
      </c>
      <c r="V162">
        <f ca="1"/>
        <v>0</v>
      </c>
      <c r="X162" s="2">
        <f t="shared" ca="1" si="15"/>
        <v>45545</v>
      </c>
      <c r="Y162">
        <f t="shared" ca="1" si="16"/>
        <v>0</v>
      </c>
      <c r="AA162" s="63">
        <f t="shared" ca="1" si="18"/>
        <v>21.114988230021563</v>
      </c>
      <c r="AB162" s="63">
        <f t="shared" ca="1" si="19"/>
        <v>21.114988230021563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45546</v>
      </c>
      <c r="K163">
        <f ca="1"/>
        <v>21.078191284206575</v>
      </c>
      <c r="L163">
        <f ca="1"/>
        <v>0.10306172617504217</v>
      </c>
      <c r="M163">
        <f ca="1"/>
        <v>3.502505434853731E-2</v>
      </c>
      <c r="N163">
        <f ca="1"/>
        <v>0.69906621928832946</v>
      </c>
      <c r="O163">
        <f ca="1"/>
        <v>0</v>
      </c>
      <c r="P163">
        <f ca="1"/>
        <v>334.90962327450853</v>
      </c>
      <c r="Q163">
        <f ca="1"/>
        <v>301.74664643231023</v>
      </c>
      <c r="R163">
        <f ca="1"/>
        <v>1.1608279257968179E-2</v>
      </c>
      <c r="S163">
        <f ca="1"/>
        <v>1</v>
      </c>
      <c r="T163">
        <f ca="1"/>
        <v>9.9999999999994316E-2</v>
      </c>
      <c r="U163">
        <f ca="1"/>
        <v>0</v>
      </c>
      <c r="V163">
        <f ca="1"/>
        <v>0</v>
      </c>
      <c r="X163" s="2">
        <f t="shared" ca="1" si="15"/>
        <v>45546</v>
      </c>
      <c r="Y163">
        <f t="shared" ca="1" si="16"/>
        <v>0</v>
      </c>
      <c r="AA163" s="63">
        <f t="shared" ca="1" si="18"/>
        <v>21.192861289639584</v>
      </c>
      <c r="AB163" s="63">
        <f t="shared" ca="1" si="19"/>
        <v>21.192861289639584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45547</v>
      </c>
      <c r="K164">
        <f ca="1"/>
        <v>21.762587013049149</v>
      </c>
      <c r="L164">
        <f ca="1"/>
        <v>0.10400192403415076</v>
      </c>
      <c r="M164">
        <f ca="1"/>
        <v>3.6011416282796915E-2</v>
      </c>
      <c r="N164">
        <f ca="1"/>
        <v>0.75238623659392923</v>
      </c>
      <c r="O164">
        <f ca="1"/>
        <v>0</v>
      </c>
      <c r="P164">
        <f ca="1"/>
        <v>335.01362519854268</v>
      </c>
      <c r="Q164">
        <f ca="1"/>
        <v>301.84035001566201</v>
      </c>
      <c r="R164">
        <f ca="1"/>
        <v>0</v>
      </c>
      <c r="S164">
        <f ca="1"/>
        <v>0.99449275362318845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45547</v>
      </c>
      <c r="Y164">
        <f t="shared" ca="1" si="16"/>
        <v>0</v>
      </c>
      <c r="AA164" s="63">
        <f t="shared" ca="1" si="18"/>
        <v>21.8665889370833</v>
      </c>
      <c r="AB164" s="63">
        <f t="shared" ca="1" si="19"/>
        <v>21.8665889370833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45548</v>
      </c>
      <c r="K165">
        <f ca="1"/>
        <v>22.402512410019032</v>
      </c>
      <c r="L165">
        <f ca="1"/>
        <v>8.9543051769624071E-2</v>
      </c>
      <c r="M165">
        <f ca="1"/>
        <v>3.4792633194484779E-2</v>
      </c>
      <c r="N165">
        <f ca="1"/>
        <v>0.74391362987167331</v>
      </c>
      <c r="O165">
        <f ca="1"/>
        <v>0</v>
      </c>
      <c r="P165">
        <f ca="1"/>
        <v>335.10316825031231</v>
      </c>
      <c r="Q165">
        <f ca="1"/>
        <v>301.92102645403543</v>
      </c>
      <c r="R165">
        <f ca="1"/>
        <v>4.9237814326651051E-2</v>
      </c>
      <c r="S165">
        <f ca="1"/>
        <v>1</v>
      </c>
      <c r="T165">
        <f ca="1"/>
        <v>0.39908695652174231</v>
      </c>
      <c r="U165">
        <f ca="1"/>
        <v>0</v>
      </c>
      <c r="V165">
        <f ca="1"/>
        <v>0</v>
      </c>
      <c r="X165" s="2">
        <f t="shared" ca="1" si="15"/>
        <v>45548</v>
      </c>
      <c r="Y165">
        <f t="shared" ca="1" si="16"/>
        <v>0</v>
      </c>
      <c r="AA165" s="63">
        <f t="shared" ca="1" si="18"/>
        <v>22.541293276115308</v>
      </c>
      <c r="AB165" s="63">
        <f t="shared" ca="1" si="19"/>
        <v>22.541293276115308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45549</v>
      </c>
      <c r="K166">
        <f ca="1"/>
        <v>23.118146391764419</v>
      </c>
      <c r="L166">
        <f ca="1"/>
        <v>8.1961898322902016E-2</v>
      </c>
      <c r="M166">
        <f ca="1"/>
        <v>3.4533879541896795E-2</v>
      </c>
      <c r="N166">
        <f ca="1"/>
        <v>0.76306200052639228</v>
      </c>
      <c r="O166">
        <f ca="1"/>
        <v>0</v>
      </c>
      <c r="P166">
        <f ca="1"/>
        <v>335.18513014863521</v>
      </c>
      <c r="Q166">
        <f ca="1"/>
        <v>301.99487242989119</v>
      </c>
      <c r="R166">
        <f ca="1"/>
        <v>0</v>
      </c>
      <c r="S166">
        <f ca="1"/>
        <v>0.99275362318840576</v>
      </c>
      <c r="T166">
        <f ca="1"/>
        <v>0</v>
      </c>
      <c r="U166">
        <f ca="1"/>
        <v>0</v>
      </c>
      <c r="V166">
        <f ca="1"/>
        <v>0</v>
      </c>
      <c r="X166" s="2">
        <f t="shared" ca="1" si="15"/>
        <v>45549</v>
      </c>
      <c r="Y166">
        <f t="shared" ca="1" si="16"/>
        <v>0</v>
      </c>
      <c r="AA166" s="63">
        <f t="shared" ca="1" si="18"/>
        <v>23.200108290087321</v>
      </c>
      <c r="AB166" s="63">
        <f t="shared" ca="1" si="19"/>
        <v>23.200108290087321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45550</v>
      </c>
      <c r="K167">
        <f ca="1"/>
        <v>23.808835990818373</v>
      </c>
      <c r="L167">
        <f ca="1"/>
        <v>7.0787716150789493E-2</v>
      </c>
      <c r="M167">
        <f ca="1"/>
        <v>3.3452045406910713E-2</v>
      </c>
      <c r="N167">
        <f ca="1"/>
        <v>0.75735649553547946</v>
      </c>
      <c r="O167">
        <f ca="1"/>
        <v>0</v>
      </c>
      <c r="P167">
        <f ca="1"/>
        <v>335.255917864786</v>
      </c>
      <c r="Q167">
        <f ca="1"/>
        <v>302.05865069863199</v>
      </c>
      <c r="R167">
        <f ca="1"/>
        <v>2.9331225737647543E-2</v>
      </c>
      <c r="S167">
        <f ca="1"/>
        <v>1</v>
      </c>
      <c r="T167">
        <f ca="1"/>
        <v>0.22369565217390175</v>
      </c>
      <c r="U167">
        <f ca="1"/>
        <v>0</v>
      </c>
      <c r="V167">
        <f ca="1"/>
        <v>0</v>
      </c>
      <c r="X167" s="2">
        <f t="shared" ca="1" si="15"/>
        <v>45550</v>
      </c>
      <c r="Y167">
        <f t="shared" ca="1" si="16"/>
        <v>0</v>
      </c>
      <c r="AA167" s="63">
        <f t="shared" ca="1" si="18"/>
        <v>23.908954932706809</v>
      </c>
      <c r="AB167" s="63">
        <f t="shared" ca="1" si="19"/>
        <v>23.908954932706809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45551</v>
      </c>
      <c r="K168">
        <f ca="1"/>
        <v>24.25581404307524</v>
      </c>
      <c r="L168">
        <f ca="1"/>
        <v>7.0355768956801512E-2</v>
      </c>
      <c r="M168">
        <f ca="1"/>
        <v>3.4705211569068695E-2</v>
      </c>
      <c r="N168">
        <f ca="1"/>
        <v>0.8246004342982739</v>
      </c>
      <c r="O168">
        <f ca="1"/>
        <v>0</v>
      </c>
      <c r="P168">
        <f ca="1"/>
        <v>335.3262736337428</v>
      </c>
      <c r="Q168">
        <f ca="1"/>
        <v>302.12203979188143</v>
      </c>
      <c r="R168">
        <f ca="1"/>
        <v>0.34197182465367365</v>
      </c>
      <c r="S168">
        <f ca="1"/>
        <v>1</v>
      </c>
      <c r="T168">
        <f ca="1"/>
        <v>2.5599999999999881</v>
      </c>
      <c r="U168">
        <f ca="1"/>
        <v>0</v>
      </c>
      <c r="V168">
        <f ca="1"/>
        <v>0</v>
      </c>
      <c r="X168" s="2">
        <f t="shared" ca="1" si="15"/>
        <v>45551</v>
      </c>
      <c r="Y168">
        <f t="shared" ca="1" si="16"/>
        <v>0</v>
      </c>
      <c r="AA168" s="63">
        <f t="shared" ca="1" si="18"/>
        <v>24.668141636685714</v>
      </c>
      <c r="AB168" s="63">
        <f t="shared" ca="1" si="19"/>
        <v>24.668141636685714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45552</v>
      </c>
      <c r="K169">
        <f ca="1"/>
        <v>24.734071686326313</v>
      </c>
      <c r="L169">
        <f ca="1"/>
        <v>5.3666133886395073E-2</v>
      </c>
      <c r="M169">
        <f ca="1"/>
        <v>3.1826598494731684E-2</v>
      </c>
      <c r="N169">
        <f ca="1"/>
        <v>0.76163310186510647</v>
      </c>
      <c r="O169">
        <f ca="1"/>
        <v>0</v>
      </c>
      <c r="P169">
        <f ca="1"/>
        <v>335.3799397676292</v>
      </c>
      <c r="Q169">
        <f ca="1"/>
        <v>302.17039186898467</v>
      </c>
      <c r="R169">
        <f ca="1"/>
        <v>0.26153592322237235</v>
      </c>
      <c r="S169">
        <f ca="1"/>
        <v>1</v>
      </c>
      <c r="T169">
        <f ca="1"/>
        <v>1.9200000000000017</v>
      </c>
      <c r="U169">
        <f ca="1"/>
        <v>0</v>
      </c>
      <c r="V169">
        <f ca="1"/>
        <v>0</v>
      </c>
      <c r="X169" s="2">
        <f t="shared" ca="1" si="15"/>
        <v>45552</v>
      </c>
      <c r="Y169">
        <f t="shared" ca="1" si="16"/>
        <v>0</v>
      </c>
      <c r="AA169" s="63">
        <f t="shared" ca="1" si="18"/>
        <v>25.04927374343508</v>
      </c>
      <c r="AB169" s="63">
        <f t="shared" ca="1" si="19"/>
        <v>25.04927374343508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45553</v>
      </c>
      <c r="K170">
        <f ca="1"/>
        <v>24.508317879196685</v>
      </c>
      <c r="L170">
        <f ca="1"/>
        <v>4.0992874781238697E-2</v>
      </c>
      <c r="M170">
        <f ca="1"/>
        <v>2.9254525403857201E-2</v>
      </c>
      <c r="N170">
        <f ca="1"/>
        <v>0.70245355372461293</v>
      </c>
      <c r="O170">
        <f ca="1"/>
        <v>0</v>
      </c>
      <c r="P170">
        <f ca="1"/>
        <v>335.42093264241043</v>
      </c>
      <c r="Q170">
        <f ca="1"/>
        <v>302.20732560164942</v>
      </c>
      <c r="R170">
        <f ca="1"/>
        <v>0.91646901147686011</v>
      </c>
      <c r="S170">
        <f ca="1"/>
        <v>1</v>
      </c>
      <c r="T170">
        <f ca="1"/>
        <v>6.7900000000000063</v>
      </c>
      <c r="U170">
        <f ca="1"/>
        <v>0</v>
      </c>
      <c r="V170">
        <f ca="1"/>
        <v>0</v>
      </c>
      <c r="X170" s="2">
        <f t="shared" ca="1" si="15"/>
        <v>45553</v>
      </c>
      <c r="Y170">
        <f t="shared" ca="1" si="16"/>
        <v>0</v>
      </c>
      <c r="AA170" s="63">
        <f t="shared" ca="1" si="18"/>
        <v>25.465779765454784</v>
      </c>
      <c r="AB170" s="63">
        <f t="shared" ca="1" si="19"/>
        <v>25.465779765454784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45554</v>
      </c>
      <c r="K171">
        <f ca="1"/>
        <v>24.953996019782192</v>
      </c>
      <c r="L171">
        <f ca="1"/>
        <v>3.5795444681866684E-2</v>
      </c>
      <c r="M171">
        <f ca="1"/>
        <v>2.8331409875484326E-2</v>
      </c>
      <c r="N171">
        <f ca="1"/>
        <v>0.69501511072565969</v>
      </c>
      <c r="O171">
        <f ca="1"/>
        <v>0</v>
      </c>
      <c r="P171">
        <f ca="1"/>
        <v>335.4567280870923</v>
      </c>
      <c r="Q171">
        <f ca="1"/>
        <v>302.23957655724962</v>
      </c>
      <c r="R171">
        <f ca="1"/>
        <v>0.2418729353337716</v>
      </c>
      <c r="S171">
        <f ca="1"/>
        <v>1</v>
      </c>
      <c r="T171">
        <f ca="1"/>
        <v>1.7599999999999909</v>
      </c>
      <c r="U171">
        <f ca="1"/>
        <v>0</v>
      </c>
      <c r="V171">
        <f ca="1"/>
        <v>0</v>
      </c>
      <c r="X171" s="2">
        <f t="shared" ca="1" si="15"/>
        <v>45554</v>
      </c>
      <c r="Y171">
        <f t="shared" ca="1" si="16"/>
        <v>0</v>
      </c>
      <c r="AA171" s="63">
        <f t="shared" ca="1" si="18"/>
        <v>25.231664399797829</v>
      </c>
      <c r="AB171" s="63">
        <f t="shared" ca="1" si="19"/>
        <v>25.231664399797829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45555</v>
      </c>
      <c r="K172">
        <f ca="1"/>
        <v>25.610974086724678</v>
      </c>
      <c r="L172">
        <f ca="1"/>
        <v>2.8894765152926993E-2</v>
      </c>
      <c r="M172">
        <f ca="1"/>
        <v>2.6647840788420751E-2</v>
      </c>
      <c r="N172">
        <f ca="1"/>
        <v>0.65922499130699241</v>
      </c>
      <c r="O172">
        <f ca="1"/>
        <v>0</v>
      </c>
      <c r="P172">
        <f ca="1"/>
        <v>335.48562285224523</v>
      </c>
      <c r="Q172">
        <f ca="1"/>
        <v>302.26561014326342</v>
      </c>
      <c r="R172">
        <f ca="1"/>
        <v>0</v>
      </c>
      <c r="S172">
        <f ca="1"/>
        <v>0.99507246376811587</v>
      </c>
      <c r="T172">
        <f ca="1"/>
        <v>0</v>
      </c>
      <c r="U172">
        <f ca="1"/>
        <v>0</v>
      </c>
      <c r="V172">
        <f ca="1"/>
        <v>0</v>
      </c>
      <c r="X172" s="2">
        <f t="shared" ca="1" si="15"/>
        <v>45555</v>
      </c>
      <c r="Y172">
        <f t="shared" ca="1" si="16"/>
        <v>0</v>
      </c>
      <c r="AA172" s="63">
        <f t="shared" ca="1" si="18"/>
        <v>25.639868851877605</v>
      </c>
      <c r="AB172" s="63">
        <f t="shared" ca="1" si="19"/>
        <v>25.639868851877605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45556</v>
      </c>
      <c r="K173">
        <f ca="1"/>
        <v>26.103891165423263</v>
      </c>
      <c r="L173">
        <f ca="1"/>
        <v>2.7649389633381816E-2</v>
      </c>
      <c r="M173">
        <f ca="1"/>
        <v>2.6592362967328143E-2</v>
      </c>
      <c r="N173">
        <f ca="1"/>
        <v>0.67962399241853055</v>
      </c>
      <c r="O173">
        <f ca="1"/>
        <v>0</v>
      </c>
      <c r="P173">
        <f ca="1"/>
        <v>335.51327224187861</v>
      </c>
      <c r="Q173">
        <f ca="1"/>
        <v>302.29052167168169</v>
      </c>
      <c r="R173">
        <f ca="1"/>
        <v>0.18564988705389099</v>
      </c>
      <c r="S173">
        <f ca="1"/>
        <v>1</v>
      </c>
      <c r="T173">
        <f ca="1"/>
        <v>1.2913826086956561</v>
      </c>
      <c r="U173">
        <f ca="1"/>
        <v>0</v>
      </c>
      <c r="V173">
        <f ca="1"/>
        <v>0</v>
      </c>
      <c r="X173" s="2">
        <f t="shared" ca="1" si="15"/>
        <v>45556</v>
      </c>
      <c r="Y173">
        <f t="shared" ca="1" si="16"/>
        <v>0</v>
      </c>
      <c r="AA173" s="63">
        <f t="shared" ca="1" si="18"/>
        <v>26.317190442110537</v>
      </c>
      <c r="AB173" s="63">
        <f t="shared" ca="1" si="19"/>
        <v>26.317190442110537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45557</v>
      </c>
      <c r="K174">
        <f ca="1"/>
        <v>26.837036202689852</v>
      </c>
      <c r="L174">
        <f ca="1"/>
        <v>2.8390343884325375E-2</v>
      </c>
      <c r="M174">
        <f ca="1"/>
        <v>2.7430206332816454E-2</v>
      </c>
      <c r="N174">
        <f ca="1"/>
        <v>0.73410517481809712</v>
      </c>
      <c r="O174">
        <f ca="1"/>
        <v>0</v>
      </c>
      <c r="P174">
        <f ca="1"/>
        <v>335.54166258576294</v>
      </c>
      <c r="Q174">
        <f ca="1"/>
        <v>302.31610078456117</v>
      </c>
      <c r="R174">
        <f ca="1"/>
        <v>0</v>
      </c>
      <c r="S174">
        <f ca="1"/>
        <v>0.99507246376811609</v>
      </c>
      <c r="T174">
        <f ca="1"/>
        <v>0</v>
      </c>
      <c r="U174">
        <f ca="1"/>
        <v>0</v>
      </c>
      <c r="V174">
        <f ca="1"/>
        <v>0</v>
      </c>
      <c r="X174" s="2">
        <f t="shared" ca="1" si="15"/>
        <v>45557</v>
      </c>
      <c r="Y174">
        <f t="shared" ca="1" si="16"/>
        <v>0</v>
      </c>
      <c r="AA174" s="63">
        <f t="shared" ca="1" si="18"/>
        <v>26.865426546574177</v>
      </c>
      <c r="AB174" s="63">
        <f t="shared" ca="1" si="19"/>
        <v>26.865426546574177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45558</v>
      </c>
      <c r="K175">
        <f ca="1"/>
        <v>27.097065806668134</v>
      </c>
      <c r="L175">
        <f ca="1"/>
        <v>2.7718202884159382E-2</v>
      </c>
      <c r="M175">
        <f ca="1"/>
        <v>2.8045496209905707E-2</v>
      </c>
      <c r="N175">
        <f ca="1"/>
        <v>0.78324343852350387</v>
      </c>
      <c r="O175">
        <f ca="1"/>
        <v>0</v>
      </c>
      <c r="P175">
        <f ca="1"/>
        <v>335.56938078864709</v>
      </c>
      <c r="Q175">
        <f ca="1"/>
        <v>302.34107431229575</v>
      </c>
      <c r="R175">
        <f ca="1"/>
        <v>0.52354112787096685</v>
      </c>
      <c r="S175">
        <f ca="1"/>
        <v>1</v>
      </c>
      <c r="T175">
        <f ca="1"/>
        <v>3.5082782608695737</v>
      </c>
      <c r="U175">
        <f ca="1"/>
        <v>0</v>
      </c>
      <c r="V175">
        <f ca="1"/>
        <v>0</v>
      </c>
      <c r="X175" s="2">
        <f t="shared" ca="1" si="15"/>
        <v>45558</v>
      </c>
      <c r="Y175">
        <f t="shared" ca="1" si="16"/>
        <v>0</v>
      </c>
      <c r="AA175" s="63">
        <f t="shared" ca="1" si="18"/>
        <v>27.64832513742326</v>
      </c>
      <c r="AB175" s="63">
        <f t="shared" ca="1" si="19"/>
        <v>27.64832513742326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45559</v>
      </c>
      <c r="K176">
        <f ca="1"/>
        <v>27.9167619580302</v>
      </c>
      <c r="L176">
        <f ca="1"/>
        <v>2.561582328979739E-2</v>
      </c>
      <c r="M176">
        <f ca="1"/>
        <v>2.8194236590707078E-2</v>
      </c>
      <c r="N176">
        <f ca="1"/>
        <v>0.81711773806115839</v>
      </c>
      <c r="O176">
        <f ca="1"/>
        <v>0</v>
      </c>
      <c r="P176">
        <f ca="1"/>
        <v>335.59499661193689</v>
      </c>
      <c r="Q176">
        <f ca="1"/>
        <v>302.36415363948174</v>
      </c>
      <c r="R176">
        <f ca="1"/>
        <v>0</v>
      </c>
      <c r="S176">
        <f ca="1"/>
        <v>0.99130434782608678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45559</v>
      </c>
      <c r="Y176">
        <f t="shared" ca="1" si="16"/>
        <v>0</v>
      </c>
      <c r="AA176" s="63">
        <f t="shared" ca="1" si="18"/>
        <v>27.942377781319998</v>
      </c>
      <c r="AB176" s="63">
        <f t="shared" ca="1" si="19"/>
        <v>27.942377781319998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45560</v>
      </c>
      <c r="K177">
        <f ca="1"/>
        <v>28.708763977592596</v>
      </c>
      <c r="L177">
        <f ca="1"/>
        <v>2.0819389389316711E-2</v>
      </c>
      <c r="M177">
        <f ca="1"/>
        <v>2.6667917441258737E-2</v>
      </c>
      <c r="N177">
        <f ca="1"/>
        <v>0.78615349151045522</v>
      </c>
      <c r="O177">
        <f ca="1"/>
        <v>0</v>
      </c>
      <c r="P177">
        <f ca="1"/>
        <v>335.61581600132621</v>
      </c>
      <c r="Q177">
        <f ca="1"/>
        <v>302.38291147888805</v>
      </c>
      <c r="R177">
        <f ca="1"/>
        <v>0</v>
      </c>
      <c r="S177">
        <f ca="1"/>
        <v>0.97477504725897912</v>
      </c>
      <c r="T177">
        <f ca="1"/>
        <v>0</v>
      </c>
      <c r="U177">
        <f ca="1"/>
        <v>0</v>
      </c>
      <c r="V177">
        <f ca="1"/>
        <v>0</v>
      </c>
      <c r="X177" s="2">
        <f t="shared" ca="1" si="15"/>
        <v>45560</v>
      </c>
      <c r="Y177">
        <f t="shared" ca="1" si="16"/>
        <v>0</v>
      </c>
      <c r="AA177" s="63">
        <f t="shared" ca="1" si="18"/>
        <v>28.729583366981913</v>
      </c>
      <c r="AB177" s="63">
        <f t="shared" ca="1" si="19"/>
        <v>28.729583366981913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1</v>
      </c>
      <c r="J178" s="2">
        <f ca="1"/>
        <v>45561</v>
      </c>
      <c r="K178">
        <f ca="1"/>
        <v>29.523855084532467</v>
      </c>
      <c r="L178">
        <f ca="1"/>
        <v>1.8966607369350186E-2</v>
      </c>
      <c r="M178">
        <f ca="1"/>
        <v>2.6629577590753684E-2</v>
      </c>
      <c r="N178">
        <f ca="1"/>
        <v>0.80742813671846669</v>
      </c>
      <c r="O178">
        <f ca="1"/>
        <v>0</v>
      </c>
      <c r="P178">
        <f ca="1"/>
        <v>335.63478260869556</v>
      </c>
      <c r="Q178">
        <f ca="1"/>
        <v>302.39999999999992</v>
      </c>
      <c r="R178">
        <f ca="1"/>
        <v>0</v>
      </c>
      <c r="S178">
        <f ca="1"/>
        <v>0.95538086079833406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45561</v>
      </c>
      <c r="Y178">
        <f t="shared" ca="1" si="16"/>
        <v>0</v>
      </c>
      <c r="AA178" s="63">
        <f t="shared" ca="1" si="18"/>
        <v>29.542821691901818</v>
      </c>
      <c r="AB178" s="63">
        <f t="shared" ca="1" si="19"/>
        <v>29.542821691901818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45562</v>
      </c>
      <c r="K179">
        <f ca="1"/>
        <v>29.623130030991092</v>
      </c>
      <c r="L179">
        <f ca="1"/>
        <v>0</v>
      </c>
      <c r="M179">
        <f ca="1"/>
        <v>-0.72843583203867723</v>
      </c>
      <c r="N179">
        <f ca="1"/>
        <v>0.83363579149412448</v>
      </c>
      <c r="O179">
        <f ca="1"/>
        <v>0</v>
      </c>
      <c r="P179">
        <f ca="1"/>
        <v>0</v>
      </c>
      <c r="Q179">
        <f ca="1"/>
        <v>0</v>
      </c>
      <c r="R179">
        <f ca="1"/>
        <v>5.925012996822499E-3</v>
      </c>
      <c r="S179">
        <f ca="1"/>
        <v>1</v>
      </c>
      <c r="T179">
        <f ca="1"/>
        <v>3.6318161584603104E-2</v>
      </c>
      <c r="U179">
        <f ca="1"/>
        <v>0</v>
      </c>
      <c r="V179">
        <f ca="1"/>
        <v>0</v>
      </c>
      <c r="X179" s="2">
        <f t="shared" ca="1" si="15"/>
        <v>45562</v>
      </c>
      <c r="Y179">
        <f t="shared" ca="1" si="16"/>
        <v>0</v>
      </c>
      <c r="AA179" s="63">
        <f t="shared" ca="1" si="18"/>
        <v>29.629055043987915</v>
      </c>
      <c r="AB179" s="63">
        <f t="shared" ca="1" si="19"/>
        <v>29.629055043987915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45563</v>
      </c>
      <c r="K180">
        <f ca="1"/>
        <v>29.770471271023322</v>
      </c>
      <c r="L180">
        <f ca="1"/>
        <v>0</v>
      </c>
      <c r="M180">
        <f ca="1"/>
        <v>-0.7106887821908856</v>
      </c>
      <c r="N180">
        <f ca="1"/>
        <v>0.85803002222311442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0.9976811594202899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45563</v>
      </c>
      <c r="Y180">
        <f t="shared" ca="1" si="16"/>
        <v>0</v>
      </c>
      <c r="AA180" s="63">
        <f t="shared" ca="1" si="18"/>
        <v>29.770471271023322</v>
      </c>
      <c r="AB180" s="63">
        <f t="shared" ca="1" si="19"/>
        <v>29.770471271023322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45564</v>
      </c>
      <c r="K181">
        <f ca="1"/>
        <v>29.45768497093724</v>
      </c>
      <c r="L181">
        <f ca="1"/>
        <v>0</v>
      </c>
      <c r="M181">
        <f ca="1"/>
        <v>-0.67161733321386663</v>
      </c>
      <c r="N181">
        <f ca="1"/>
        <v>0.84806718552572091</v>
      </c>
      <c r="O181">
        <f ca="1"/>
        <v>0</v>
      </c>
      <c r="P181">
        <f ca="1"/>
        <v>0</v>
      </c>
      <c r="Q181">
        <f ca="1"/>
        <v>0</v>
      </c>
      <c r="R181">
        <f ca="1"/>
        <v>0.48923615239793722</v>
      </c>
      <c r="S181">
        <f ca="1"/>
        <v>1</v>
      </c>
      <c r="T181">
        <f ca="1"/>
        <v>3.0156811594202964</v>
      </c>
      <c r="U181">
        <f ca="1"/>
        <v>0</v>
      </c>
      <c r="V181">
        <f ca="1"/>
        <v>0</v>
      </c>
      <c r="X181" s="2">
        <f t="shared" ca="1" si="15"/>
        <v>45564</v>
      </c>
      <c r="Y181">
        <f t="shared" ca="1" si="16"/>
        <v>0</v>
      </c>
      <c r="AA181" s="63">
        <f t="shared" ca="1" si="18"/>
        <v>29.946921123335176</v>
      </c>
      <c r="AB181" s="63">
        <f t="shared" ca="1" si="19"/>
        <v>29.946921123335176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45565</v>
      </c>
      <c r="K182">
        <f ca="1"/>
        <v>29.637235774292144</v>
      </c>
      <c r="L182">
        <f ca="1"/>
        <v>0</v>
      </c>
      <c r="M182">
        <f ca="1"/>
        <v>-0.60369263516859917</v>
      </c>
      <c r="N182">
        <f ca="1"/>
        <v>0.78324343852350387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0.99826086956521731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45565</v>
      </c>
      <c r="Y182">
        <f t="shared" ca="1" si="16"/>
        <v>0</v>
      </c>
      <c r="AA182" s="63">
        <f t="shared" ca="1" si="18"/>
        <v>29.637235774292144</v>
      </c>
      <c r="AB182" s="63">
        <f t="shared" ca="1" si="19"/>
        <v>29.637235774292144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45566</v>
      </c>
      <c r="K183">
        <f ca="1"/>
        <v>29.848867951974473</v>
      </c>
      <c r="L183">
        <f ca="1"/>
        <v>0</v>
      </c>
      <c r="M183">
        <f ca="1"/>
        <v>-0.59160595693786888</v>
      </c>
      <c r="N183">
        <f ca="1"/>
        <v>0.81041961802088636</v>
      </c>
      <c r="O183">
        <f ca="1"/>
        <v>0</v>
      </c>
      <c r="P183">
        <f ca="1"/>
        <v>0</v>
      </c>
      <c r="Q183">
        <f ca="1"/>
        <v>0</v>
      </c>
      <c r="R183">
        <f ca="1"/>
        <v>7.1814834006898145E-3</v>
      </c>
      <c r="S183">
        <f ca="1"/>
        <v>1</v>
      </c>
      <c r="T183">
        <f ca="1"/>
        <v>4.3686956521739262E-2</v>
      </c>
      <c r="U183">
        <f ca="1"/>
        <v>0</v>
      </c>
      <c r="V183">
        <f ca="1"/>
        <v>0</v>
      </c>
      <c r="X183" s="2">
        <f t="shared" ca="1" si="15"/>
        <v>45566</v>
      </c>
      <c r="Y183">
        <f t="shared" ca="1" si="16"/>
        <v>0</v>
      </c>
      <c r="AA183" s="63">
        <f t="shared" ca="1" si="18"/>
        <v>29.856049435375162</v>
      </c>
      <c r="AB183" s="63">
        <f t="shared" ca="1" si="19"/>
        <v>29.856049435375162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45567</v>
      </c>
      <c r="K184">
        <f ca="1"/>
        <v>29.858931563851268</v>
      </c>
      <c r="L184">
        <f ca="1"/>
        <v>0</v>
      </c>
      <c r="M184">
        <f ca="1"/>
        <v>-0.60076915468174974</v>
      </c>
      <c r="N184">
        <f ca="1"/>
        <v>0.88051517453813799</v>
      </c>
      <c r="O184">
        <f ca="1"/>
        <v>0</v>
      </c>
      <c r="P184">
        <f ca="1"/>
        <v>0</v>
      </c>
      <c r="Q184">
        <f ca="1"/>
        <v>0</v>
      </c>
      <c r="R184">
        <f ca="1"/>
        <v>0.26968240797959586</v>
      </c>
      <c r="S184">
        <f ca="1"/>
        <v>1</v>
      </c>
      <c r="T184">
        <f ca="1"/>
        <v>1.6400000000000006</v>
      </c>
      <c r="U184">
        <f ca="1"/>
        <v>0</v>
      </c>
      <c r="V184">
        <f ca="1"/>
        <v>0</v>
      </c>
      <c r="X184" s="2">
        <f t="shared" ca="1" si="15"/>
        <v>45567</v>
      </c>
      <c r="Y184">
        <f t="shared" ca="1" si="16"/>
        <v>0</v>
      </c>
      <c r="AA184" s="63">
        <f t="shared" ca="1" si="18"/>
        <v>30.128613971830863</v>
      </c>
      <c r="AB184" s="63">
        <f t="shared" ca="1" si="19"/>
        <v>30.128613971830863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45568</v>
      </c>
      <c r="K185">
        <f ca="1"/>
        <v>30.129929854821746</v>
      </c>
      <c r="L185">
        <f ca="1"/>
        <v>0</v>
      </c>
      <c r="M185">
        <f ca="1"/>
        <v>-0.53423543278400842</v>
      </c>
      <c r="N185">
        <f ca="1"/>
        <v>0.8052337237544851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0.98405797101449266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45568</v>
      </c>
      <c r="Y185">
        <f t="shared" ca="1" si="16"/>
        <v>0</v>
      </c>
      <c r="AA185" s="63">
        <f t="shared" ca="1" si="18"/>
        <v>30.129929854821746</v>
      </c>
      <c r="AB185" s="63">
        <f t="shared" ca="1" si="19"/>
        <v>30.129929854821746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45569</v>
      </c>
      <c r="K186">
        <f ca="1"/>
        <v>30.423746790548993</v>
      </c>
      <c r="L186">
        <f ca="1"/>
        <v>0</v>
      </c>
      <c r="M186">
        <f ca="1"/>
        <v>-0.50772529255520737</v>
      </c>
      <c r="N186">
        <f ca="1"/>
        <v>0.80154222828245403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0.98253959252257905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45569</v>
      </c>
      <c r="Y186">
        <f t="shared" ca="1" si="16"/>
        <v>0</v>
      </c>
      <c r="AA186" s="63">
        <f t="shared" ca="1" si="18"/>
        <v>30.423746790548993</v>
      </c>
      <c r="AB186" s="63">
        <f t="shared" ca="1" si="19"/>
        <v>30.423746790548993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45570</v>
      </c>
      <c r="K187">
        <f ca="1"/>
        <v>30.738399279913377</v>
      </c>
      <c r="L187">
        <f ca="1"/>
        <v>0</v>
      </c>
      <c r="M187">
        <f ca="1"/>
        <v>-0.48173943179089918</v>
      </c>
      <c r="N187">
        <f ca="1"/>
        <v>0.79639192115528268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0.9673801755203052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45570</v>
      </c>
      <c r="Y187">
        <f t="shared" ca="1" si="16"/>
        <v>0</v>
      </c>
      <c r="AA187" s="63">
        <f t="shared" ca="1" si="18"/>
        <v>30.738399279913377</v>
      </c>
      <c r="AB187" s="63">
        <f t="shared" ca="1" si="19"/>
        <v>30.738399279913377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45571</v>
      </c>
      <c r="K188">
        <f ca="1"/>
        <v>31.082008479070481</v>
      </c>
      <c r="L188">
        <f ca="1"/>
        <v>0</v>
      </c>
      <c r="M188">
        <f ca="1"/>
        <v>-0.46855545725771464</v>
      </c>
      <c r="N188">
        <f ca="1"/>
        <v>0.81216465641481972</v>
      </c>
      <c r="O188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0.95420949962109414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45571</v>
      </c>
      <c r="Y188">
        <f t="shared" ca="1" si="16"/>
        <v>0</v>
      </c>
      <c r="AA188" s="63">
        <f t="shared" ca="1" si="18"/>
        <v>31.082008479070481</v>
      </c>
      <c r="AB188" s="63">
        <f t="shared" ca="1" si="19"/>
        <v>31.082008479070481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45572</v>
      </c>
      <c r="K189">
        <f ca="1"/>
        <v>31.443212678917696</v>
      </c>
      <c r="L189">
        <f ca="1"/>
        <v>0</v>
      </c>
      <c r="M189">
        <f ca="1"/>
        <v>-0.43812821387012946</v>
      </c>
      <c r="N189">
        <f ca="1"/>
        <v>0.79933241371734298</v>
      </c>
      <c r="O189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0.98588634231373051</v>
      </c>
      <c r="T189">
        <f ca="1"/>
        <v>0</v>
      </c>
      <c r="U189">
        <f ca="1"/>
        <v>0</v>
      </c>
      <c r="V189">
        <f ca="1"/>
        <v>0</v>
      </c>
      <c r="X189" s="2">
        <f t="shared" ca="1" si="15"/>
        <v>45572</v>
      </c>
      <c r="Y189">
        <f t="shared" ca="1" si="16"/>
        <v>0</v>
      </c>
      <c r="AA189" s="63">
        <f t="shared" ca="1" si="18"/>
        <v>31.443212678917696</v>
      </c>
      <c r="AB189" s="63">
        <f t="shared" ca="1" si="19"/>
        <v>31.443212678917696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45573</v>
      </c>
      <c r="K190">
        <f ca="1"/>
        <v>31.810153749556335</v>
      </c>
      <c r="L190">
        <f ca="1"/>
        <v>0</v>
      </c>
      <c r="M190">
        <f ca="1"/>
        <v>-0.40761272317000419</v>
      </c>
      <c r="N190">
        <f ca="1"/>
        <v>0.77455379380864642</v>
      </c>
      <c r="O190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0.9849116131228921</v>
      </c>
      <c r="T190">
        <f ca="1"/>
        <v>0</v>
      </c>
      <c r="U190">
        <f ca="1"/>
        <v>0</v>
      </c>
      <c r="V190">
        <f ca="1"/>
        <v>0</v>
      </c>
      <c r="X190" s="2">
        <f t="shared" ca="1" si="15"/>
        <v>45573</v>
      </c>
      <c r="Y190">
        <f t="shared" ca="1" si="16"/>
        <v>0</v>
      </c>
      <c r="AA190" s="63">
        <f t="shared" ca="1" si="18"/>
        <v>31.810153749556338</v>
      </c>
      <c r="AB190" s="63">
        <f t="shared" ca="1" si="19"/>
        <v>31.810153749556335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45574</v>
      </c>
      <c r="K191">
        <f ca="1"/>
        <v>32.186837869867006</v>
      </c>
      <c r="L191">
        <f ca="1"/>
        <v>0</v>
      </c>
      <c r="M191">
        <f ca="1"/>
        <v>-0.38280878701283427</v>
      </c>
      <c r="N191">
        <f ca="1"/>
        <v>0.7594929073235045</v>
      </c>
      <c r="O191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0.99141562985150322</v>
      </c>
      <c r="T191">
        <f ca="1"/>
        <v>0</v>
      </c>
      <c r="U191">
        <f ca="1"/>
        <v>0</v>
      </c>
      <c r="V191">
        <f ca="1"/>
        <v>0</v>
      </c>
      <c r="X191" s="2">
        <f t="shared" ca="1" si="15"/>
        <v>45574</v>
      </c>
      <c r="Y191">
        <f t="shared" ca="1" si="16"/>
        <v>0</v>
      </c>
      <c r="AA191" s="63">
        <f t="shared" ca="1" si="18"/>
        <v>32.186837869867006</v>
      </c>
      <c r="AB191" s="63">
        <f t="shared" ca="1" si="19"/>
        <v>32.186837869867006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45575</v>
      </c>
      <c r="K192">
        <f ca="1"/>
        <v>32.545723056224027</v>
      </c>
      <c r="L192">
        <f ca="1"/>
        <v>0</v>
      </c>
      <c r="M192">
        <f ca="1"/>
        <v>-0.39418949977938667</v>
      </c>
      <c r="N192">
        <f ca="1"/>
        <v>0.84425453070851975</v>
      </c>
      <c r="O192">
        <f ca="1"/>
        <v>0</v>
      </c>
      <c r="P192">
        <f ca="1"/>
        <v>0</v>
      </c>
      <c r="Q192">
        <f ca="1"/>
        <v>0</v>
      </c>
      <c r="R192">
        <f ca="1"/>
        <v>9.1179844572111618E-2</v>
      </c>
      <c r="S192">
        <f ca="1"/>
        <v>1</v>
      </c>
      <c r="T192">
        <f ca="1"/>
        <v>0.50871016661754709</v>
      </c>
      <c r="U192">
        <f ca="1"/>
        <v>0</v>
      </c>
      <c r="V192">
        <f ca="1"/>
        <v>0</v>
      </c>
      <c r="X192" s="2">
        <f t="shared" ca="1" si="15"/>
        <v>45575</v>
      </c>
      <c r="Y192">
        <f t="shared" ca="1" si="16"/>
        <v>0</v>
      </c>
      <c r="AA192" s="63">
        <f t="shared" ca="1" si="18"/>
        <v>32.636902900796137</v>
      </c>
      <c r="AB192" s="63">
        <f t="shared" ca="1" si="19"/>
        <v>32.636902900796137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45576</v>
      </c>
      <c r="K193">
        <f ca="1"/>
        <v>33.021273470218276</v>
      </c>
      <c r="L193">
        <f ca="1"/>
        <v>0</v>
      </c>
      <c r="M193">
        <f ca="1"/>
        <v>-0.37634009285681458</v>
      </c>
      <c r="N193">
        <f ca="1"/>
        <v>0.85189050685106671</v>
      </c>
      <c r="O193">
        <f ca="1"/>
        <v>0</v>
      </c>
      <c r="P193">
        <f ca="1"/>
        <v>1.5298380824423061</v>
      </c>
      <c r="Q193">
        <f ca="1"/>
        <v>1.4155969269352506</v>
      </c>
      <c r="R193">
        <f ca="1"/>
        <v>0</v>
      </c>
      <c r="S193">
        <f ca="1"/>
        <v>0.98855072463768123</v>
      </c>
      <c r="T193">
        <f ca="1"/>
        <v>0</v>
      </c>
      <c r="U193">
        <f ca="1"/>
        <v>0</v>
      </c>
      <c r="V193">
        <f ca="1"/>
        <v>7.3626618597610795E-3</v>
      </c>
      <c r="X193" s="2">
        <f t="shared" ca="1" si="15"/>
        <v>45576</v>
      </c>
      <c r="Y193">
        <f t="shared" ca="1" si="16"/>
        <v>0</v>
      </c>
      <c r="AA193" s="63">
        <f t="shared" ca="1" si="18"/>
        <v>33.021273470218276</v>
      </c>
      <c r="AB193" s="63">
        <f t="shared" ca="1" si="19"/>
        <v>33.021273470218276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45577</v>
      </c>
      <c r="K194">
        <f ca="1"/>
        <v>33.436442459188243</v>
      </c>
      <c r="L194">
        <f ca="1"/>
        <v>5.7370416883085085E-2</v>
      </c>
      <c r="M194">
        <f ca="1"/>
        <v>-0.34607147284360451</v>
      </c>
      <c r="N194">
        <f ca="1"/>
        <v>0.81861087869665961</v>
      </c>
      <c r="O194">
        <f ca="1"/>
        <v>0</v>
      </c>
      <c r="P194">
        <f ca="1"/>
        <v>1.5872084993253912</v>
      </c>
      <c r="Q194">
        <f ca="1"/>
        <v>1.4686831893108325</v>
      </c>
      <c r="R194">
        <f ca="1"/>
        <v>0</v>
      </c>
      <c r="S194">
        <f ca="1"/>
        <v>0.99959302512735682</v>
      </c>
      <c r="T194">
        <f ca="1"/>
        <v>0</v>
      </c>
      <c r="U194">
        <f ca="1"/>
        <v>0</v>
      </c>
      <c r="V194">
        <f ca="1"/>
        <v>8.0719936085081722E-3</v>
      </c>
      <c r="X194" s="2">
        <f t="shared" ca="1" si="15"/>
        <v>45577</v>
      </c>
      <c r="Y194">
        <f t="shared" ca="1" si="16"/>
        <v>0</v>
      </c>
      <c r="AA194" s="63">
        <f t="shared" ca="1" si="18"/>
        <v>33.493812876071331</v>
      </c>
      <c r="AB194" s="63">
        <f t="shared" ca="1" si="19"/>
        <v>33.493812876071331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45578</v>
      </c>
      <c r="K195">
        <f ca="1"/>
        <v>33.641737208381841</v>
      </c>
      <c r="L195">
        <f ca="1"/>
        <v>6.2655992346524414E-2</v>
      </c>
      <c r="M195">
        <f ca="1"/>
        <v>-0.34236717358646018</v>
      </c>
      <c r="N195">
        <f ca="1"/>
        <v>0.86651651131153773</v>
      </c>
      <c r="O195">
        <f ca="1"/>
        <v>0</v>
      </c>
      <c r="P195">
        <f ca="1"/>
        <v>1.6498644916719156</v>
      </c>
      <c r="Q195">
        <f ca="1"/>
        <v>1.526660325086026</v>
      </c>
      <c r="R195">
        <f ca="1"/>
        <v>0.25619859618495189</v>
      </c>
      <c r="S195">
        <f ca="1"/>
        <v>1</v>
      </c>
      <c r="T195">
        <f ca="1"/>
        <v>1.382814184784138</v>
      </c>
      <c r="U195">
        <f ca="1"/>
        <v>0</v>
      </c>
      <c r="V195">
        <f ca="1"/>
        <v>8.8913791576256743E-3</v>
      </c>
      <c r="X195" s="2">
        <f t="shared" ca="1" si="15"/>
        <v>45578</v>
      </c>
      <c r="Y195">
        <f t="shared" ca="1" si="16"/>
        <v>0</v>
      </c>
      <c r="AA195" s="63">
        <f t="shared" ca="1" si="18"/>
        <v>33.96059179691332</v>
      </c>
      <c r="AB195" s="63">
        <f t="shared" ca="1" si="19"/>
        <v>33.960591796913313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45579</v>
      </c>
      <c r="K196">
        <f ca="1"/>
        <v>33.773304659640836</v>
      </c>
      <c r="L196">
        <f ca="1"/>
        <v>6.469390414491305E-2</v>
      </c>
      <c r="M196">
        <f ca="1"/>
        <v>-0.32184187999670044</v>
      </c>
      <c r="N196">
        <f ca="1"/>
        <v>0.86033938928496634</v>
      </c>
      <c r="O196">
        <f ca="1"/>
        <v>0</v>
      </c>
      <c r="P196">
        <f ca="1"/>
        <v>1.7145583958168287</v>
      </c>
      <c r="Q196">
        <f ca="1"/>
        <v>1.5865231909344033</v>
      </c>
      <c r="R196">
        <f ca="1"/>
        <v>0.34223615388436118</v>
      </c>
      <c r="S196">
        <f ca="1"/>
        <v>1</v>
      </c>
      <c r="T196">
        <f ca="1"/>
        <v>1.8400000000000034</v>
      </c>
      <c r="U196">
        <f ca="1"/>
        <v>0</v>
      </c>
      <c r="V196">
        <f ca="1"/>
        <v>9.7871926221974256E-3</v>
      </c>
      <c r="X196" s="2">
        <f t="shared" ca="1" si="15"/>
        <v>45579</v>
      </c>
      <c r="Y196">
        <f t="shared" ca="1" si="16"/>
        <v>0</v>
      </c>
      <c r="AA196" s="63">
        <f t="shared" ca="1" si="18"/>
        <v>34.18023471767011</v>
      </c>
      <c r="AB196" s="63">
        <f t="shared" ca="1" si="19"/>
        <v>34.18023471767011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45580</v>
      </c>
      <c r="K197">
        <f ca="1"/>
        <v>34.243185428394391</v>
      </c>
      <c r="L197">
        <f ca="1"/>
        <v>6.5158300710726813E-2</v>
      </c>
      <c r="M197">
        <f ca="1"/>
        <v>-0.29633213870523889</v>
      </c>
      <c r="N197">
        <f ca="1"/>
        <v>0.83137120816951871</v>
      </c>
      <c r="O197">
        <f ca="1"/>
        <v>0</v>
      </c>
      <c r="P197">
        <f ca="1"/>
        <v>1.7797166965275555</v>
      </c>
      <c r="Q197">
        <f ca="1"/>
        <v>1.6468157743842642</v>
      </c>
      <c r="R197">
        <f ca="1"/>
        <v>0</v>
      </c>
      <c r="S197">
        <f ca="1"/>
        <v>0.98101449275362318</v>
      </c>
      <c r="T197">
        <f ca="1"/>
        <v>0</v>
      </c>
      <c r="U197">
        <f ca="1"/>
        <v>0</v>
      </c>
      <c r="V197">
        <f ca="1"/>
        <v>1.0741378890819093E-2</v>
      </c>
      <c r="X197" s="2">
        <f t="shared" ca="1" si="15"/>
        <v>45580</v>
      </c>
      <c r="Y197">
        <f t="shared" ca="1" si="16"/>
        <v>0</v>
      </c>
      <c r="AA197" s="63">
        <f t="shared" ca="1" si="18"/>
        <v>34.308343729105118</v>
      </c>
      <c r="AB197" s="63">
        <f t="shared" ca="1" si="19"/>
        <v>34.308343729105118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45581</v>
      </c>
      <c r="K198">
        <f ca="1"/>
        <v>34.762726305747208</v>
      </c>
      <c r="L198">
        <f ca="1"/>
        <v>7.1481070953676618E-2</v>
      </c>
      <c r="M198">
        <f ca="1"/>
        <v>-0.29340637753757548</v>
      </c>
      <c r="N198">
        <f ca="1"/>
        <v>0.88442832584407161</v>
      </c>
      <c r="O198">
        <f ca="1"/>
        <v>0</v>
      </c>
      <c r="P198">
        <f ca="1"/>
        <v>1.8511977674812321</v>
      </c>
      <c r="Q198">
        <f ca="1"/>
        <v>1.7129589731563351</v>
      </c>
      <c r="R198">
        <f ca="1"/>
        <v>0</v>
      </c>
      <c r="S198">
        <f ca="1"/>
        <v>0.98318428186884621</v>
      </c>
      <c r="T198">
        <f ca="1"/>
        <v>0</v>
      </c>
      <c r="U198">
        <f ca="1"/>
        <v>0</v>
      </c>
      <c r="V198">
        <f ca="1"/>
        <v>1.1849063063227677E-2</v>
      </c>
      <c r="X198" s="2">
        <f t="shared" ca="1" si="15"/>
        <v>45581</v>
      </c>
      <c r="Y198">
        <f t="shared" ca="1" si="16"/>
        <v>0</v>
      </c>
      <c r="AA198" s="63">
        <f t="shared" ca="1" si="18"/>
        <v>34.834207376700888</v>
      </c>
      <c r="AB198" s="63">
        <f t="shared" ca="1" si="19"/>
        <v>34.834207376700881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45582</v>
      </c>
      <c r="K199">
        <f ca="1"/>
        <v>35.283153834773017</v>
      </c>
      <c r="L199">
        <f ca="1"/>
        <v>7.2868724250704231E-2</v>
      </c>
      <c r="M199">
        <f ca="1"/>
        <v>-0.27167341170924075</v>
      </c>
      <c r="N199">
        <f ca="1"/>
        <v>0.86496966498575589</v>
      </c>
      <c r="O199">
        <f ca="1"/>
        <v>0</v>
      </c>
      <c r="P199">
        <f ca="1"/>
        <v>1.9240664917319363</v>
      </c>
      <c r="Q199">
        <f ca="1"/>
        <v>1.780386201764941</v>
      </c>
      <c r="R199">
        <f ca="1"/>
        <v>0</v>
      </c>
      <c r="S199">
        <f ca="1"/>
        <v>0.99589457001444093</v>
      </c>
      <c r="T199">
        <f ca="1"/>
        <v>0</v>
      </c>
      <c r="U199">
        <f ca="1"/>
        <v>0</v>
      </c>
      <c r="V199">
        <f ca="1"/>
        <v>1.3044846942835499E-2</v>
      </c>
      <c r="X199" s="2">
        <f t="shared" ca="1" si="15"/>
        <v>45582</v>
      </c>
      <c r="Y199">
        <f t="shared" ca="1" si="16"/>
        <v>0</v>
      </c>
      <c r="AA199" s="63">
        <f t="shared" ca="1" si="18"/>
        <v>35.356022559023721</v>
      </c>
      <c r="AB199" s="63">
        <f t="shared" ca="1" si="19"/>
        <v>35.356022559023721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45583</v>
      </c>
      <c r="K200">
        <f ca="1"/>
        <v>35.7852631284658</v>
      </c>
      <c r="L200">
        <f ca="1"/>
        <v>7.2140226690195819E-2</v>
      </c>
      <c r="M200">
        <f ca="1"/>
        <v>-0.24585619784662427</v>
      </c>
      <c r="N200">
        <f ca="1"/>
        <v>0.82010571822960532</v>
      </c>
      <c r="O200">
        <f ca="1"/>
        <v>0</v>
      </c>
      <c r="P200">
        <f ca="1"/>
        <v>1.9962067184221322</v>
      </c>
      <c r="Q200">
        <f ca="1"/>
        <v>1.8471393336048949</v>
      </c>
      <c r="R200">
        <f ca="1"/>
        <v>0</v>
      </c>
      <c r="S200">
        <f ca="1"/>
        <v>0.96867862436732199</v>
      </c>
      <c r="T200">
        <f ca="1"/>
        <v>0</v>
      </c>
      <c r="U200">
        <f ca="1"/>
        <v>0</v>
      </c>
      <c r="V200">
        <f ca="1"/>
        <v>1.4295880985520293E-2</v>
      </c>
      <c r="X200" s="2">
        <f t="shared" ca="1" si="15"/>
        <v>45583</v>
      </c>
      <c r="Y200">
        <f t="shared" ca="1" si="16"/>
        <v>0</v>
      </c>
      <c r="AA200" s="63">
        <f t="shared" ca="1" si="18"/>
        <v>35.857403355156002</v>
      </c>
      <c r="AB200" s="63">
        <f t="shared" ca="1" si="19"/>
        <v>35.857403355155995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45584</v>
      </c>
      <c r="K201">
        <f ca="1"/>
        <v>36.31225948117779</v>
      </c>
      <c r="L201">
        <f ca="1"/>
        <v>7.8082739573569482E-2</v>
      </c>
      <c r="M201">
        <f ca="1"/>
        <v>-0.24006644436413538</v>
      </c>
      <c r="N201">
        <f ca="1"/>
        <v>0.84514553664969538</v>
      </c>
      <c r="O201">
        <f ca="1"/>
        <v>0</v>
      </c>
      <c r="P201">
        <f ca="1"/>
        <v>2.0742894579957016</v>
      </c>
      <c r="Q201">
        <f ca="1"/>
        <v>1.9193912192492697</v>
      </c>
      <c r="R201">
        <f ca="1"/>
        <v>0</v>
      </c>
      <c r="S201">
        <f ca="1"/>
        <v>0.94699088608242321</v>
      </c>
      <c r="T201">
        <f ca="1"/>
        <v>0</v>
      </c>
      <c r="U201">
        <f ca="1"/>
        <v>0</v>
      </c>
      <c r="V201">
        <f ca="1"/>
        <v>1.5726378758705216E-2</v>
      </c>
      <c r="X201" s="2">
        <f t="shared" ca="1" si="15"/>
        <v>45584</v>
      </c>
      <c r="Y201">
        <f t="shared" ca="1" si="16"/>
        <v>0</v>
      </c>
      <c r="AA201" s="63">
        <f t="shared" ca="1" si="18"/>
        <v>36.390342220751364</v>
      </c>
      <c r="AB201" s="63">
        <f t="shared" ca="1" si="19"/>
        <v>36.390342220751357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45585</v>
      </c>
      <c r="K202">
        <f ca="1"/>
        <v>36.816419906483688</v>
      </c>
      <c r="L202">
        <f ca="1"/>
        <v>7.9932825175119238E-2</v>
      </c>
      <c r="M202">
        <f ca="1"/>
        <v>-0.22288990036071255</v>
      </c>
      <c r="N202">
        <f ca="1"/>
        <v>0.80698315084173056</v>
      </c>
      <c r="O202">
        <f ca="1"/>
        <v>0</v>
      </c>
      <c r="P202">
        <f ca="1"/>
        <v>2.1542222831708209</v>
      </c>
      <c r="Q202">
        <f ca="1"/>
        <v>1.9933550347522206</v>
      </c>
      <c r="R202">
        <f ca="1"/>
        <v>0</v>
      </c>
      <c r="S202">
        <f ca="1"/>
        <v>0.92306760996661685</v>
      </c>
      <c r="T202">
        <f ca="1"/>
        <v>0</v>
      </c>
      <c r="U202">
        <f ca="1"/>
        <v>0</v>
      </c>
      <c r="V202">
        <f ca="1"/>
        <v>1.7274139701258927E-2</v>
      </c>
      <c r="X202" s="2">
        <f t="shared" ca="1" si="15"/>
        <v>45585</v>
      </c>
      <c r="Y202">
        <f t="shared" ca="1" si="16"/>
        <v>0</v>
      </c>
      <c r="AA202" s="63">
        <f t="shared" ca="1" si="18"/>
        <v>36.896352731658808</v>
      </c>
      <c r="AB202" s="63">
        <f t="shared" ca="1" si="19"/>
        <v>36.896352731658808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45586</v>
      </c>
      <c r="K203">
        <f ca="1"/>
        <v>37.378613740840478</v>
      </c>
      <c r="L203">
        <f ca="1"/>
        <v>8.5961691697577169E-2</v>
      </c>
      <c r="M203">
        <f ca="1"/>
        <v>-0.21563142951302083</v>
      </c>
      <c r="N203">
        <f ca="1"/>
        <v>0.86378695556739193</v>
      </c>
      <c r="O203">
        <f ca="1"/>
        <v>0</v>
      </c>
      <c r="P203">
        <f ca="1"/>
        <v>2.240183974868398</v>
      </c>
      <c r="Q203">
        <f ca="1"/>
        <v>2.0728975092126412</v>
      </c>
      <c r="R203">
        <f ca="1"/>
        <v>0</v>
      </c>
      <c r="S203">
        <f ca="1"/>
        <v>0.94589494187622458</v>
      </c>
      <c r="T203">
        <f ca="1"/>
        <v>0</v>
      </c>
      <c r="U203">
        <f ca="1"/>
        <v>0</v>
      </c>
      <c r="V203">
        <f ca="1"/>
        <v>1.9033971621452327E-2</v>
      </c>
      <c r="X203" s="2">
        <f t="shared" ref="X203:X266" ca="1" si="22">IFERROR(J203,$X$9)</f>
        <v>45586</v>
      </c>
      <c r="Y203">
        <f t="shared" ref="Y203:Y266" ca="1" si="23">IFERROR(O203,0)</f>
        <v>0</v>
      </c>
      <c r="AA203" s="63">
        <f t="shared" ca="1" si="18"/>
        <v>37.464575432538055</v>
      </c>
      <c r="AB203" s="63">
        <f t="shared" ca="1" si="19"/>
        <v>37.464575432538055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45587</v>
      </c>
      <c r="K204">
        <f ca="1"/>
        <v>37.916457172784021</v>
      </c>
      <c r="L204">
        <f ca="1"/>
        <v>8.4428691013669788E-2</v>
      </c>
      <c r="M204">
        <f ca="1"/>
        <v>-0.19259838959801456</v>
      </c>
      <c r="N204">
        <f ca="1"/>
        <v>0.81487051255522258</v>
      </c>
      <c r="O204">
        <f ca="1"/>
        <v>0</v>
      </c>
      <c r="P204">
        <f ca="1"/>
        <v>2.3246126658820678</v>
      </c>
      <c r="Q204">
        <f ca="1"/>
        <v>2.1510214603129523</v>
      </c>
      <c r="R204">
        <f ca="1"/>
        <v>0</v>
      </c>
      <c r="S204">
        <f ca="1"/>
        <v>0.94957749144685111</v>
      </c>
      <c r="T204">
        <f ca="1"/>
        <v>0</v>
      </c>
      <c r="U204">
        <f ca="1"/>
        <v>0</v>
      </c>
      <c r="V204">
        <f ca="1"/>
        <v>2.0859728262507954E-2</v>
      </c>
      <c r="X204" s="2">
        <f t="shared" ca="1" si="22"/>
        <v>45587</v>
      </c>
      <c r="Y204">
        <f t="shared" ca="1" si="23"/>
        <v>0</v>
      </c>
      <c r="AA204" s="63">
        <f t="shared" ca="1" si="18"/>
        <v>38.000885863797684</v>
      </c>
      <c r="AB204" s="63">
        <f t="shared" ca="1" si="19"/>
        <v>38.000885863797691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45588</v>
      </c>
      <c r="K205">
        <f ca="1"/>
        <v>38.436769493076326</v>
      </c>
      <c r="L205">
        <f ca="1"/>
        <v>8.7867134495108523E-2</v>
      </c>
      <c r="M205">
        <f ca="1"/>
        <v>-0.18108924974649554</v>
      </c>
      <c r="N205">
        <f ca="1"/>
        <v>0.78926870453390474</v>
      </c>
      <c r="O205">
        <f ca="1"/>
        <v>0</v>
      </c>
      <c r="P205">
        <f ca="1"/>
        <v>2.4124798003771764</v>
      </c>
      <c r="Q205">
        <f ca="1"/>
        <v>2.2323270880113482</v>
      </c>
      <c r="R205">
        <f ca="1"/>
        <v>0</v>
      </c>
      <c r="S205">
        <f ca="1"/>
        <v>0.92124916619546537</v>
      </c>
      <c r="T205">
        <f ca="1"/>
        <v>0</v>
      </c>
      <c r="U205">
        <f ca="1"/>
        <v>0</v>
      </c>
      <c r="V205">
        <f ca="1"/>
        <v>2.2863360539078888E-2</v>
      </c>
      <c r="X205" s="2">
        <f t="shared" ca="1" si="22"/>
        <v>45588</v>
      </c>
      <c r="Y205">
        <f t="shared" ca="1" si="23"/>
        <v>0</v>
      </c>
      <c r="AA205" s="63">
        <f ca="1">K204+M205+N205+O205</f>
        <v>38.524636627571432</v>
      </c>
      <c r="AB205" s="63">
        <f ca="1">K205+L205+R205</f>
        <v>38.524636627571432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45589</v>
      </c>
      <c r="K206">
        <f ca="1"/>
        <v>38.975318369427171</v>
      </c>
      <c r="L206">
        <f ca="1"/>
        <v>9.561789986710334E-2</v>
      </c>
      <c r="M206">
        <f ca="1"/>
        <v>-0.17635205663466991</v>
      </c>
      <c r="N206">
        <f ca="1"/>
        <v>0.81051883285261606</v>
      </c>
      <c r="O206">
        <f ca="1"/>
        <v>0</v>
      </c>
      <c r="P206">
        <f ca="1"/>
        <v>2.5080977002442797</v>
      </c>
      <c r="Q206">
        <f ca="1"/>
        <v>2.3208046901611032</v>
      </c>
      <c r="R206">
        <f ca="1"/>
        <v>0</v>
      </c>
      <c r="S206">
        <f ca="1"/>
        <v>0.90031787820241216</v>
      </c>
      <c r="T206">
        <f ca="1"/>
        <v>0</v>
      </c>
      <c r="U206">
        <f ca="1"/>
        <v>0</v>
      </c>
      <c r="V206">
        <f ca="1"/>
        <v>2.5164889284332553E-2</v>
      </c>
      <c r="X206" s="2">
        <f t="shared" ca="1" si="22"/>
        <v>45589</v>
      </c>
      <c r="Y206">
        <f t="shared" ca="1" si="23"/>
        <v>0</v>
      </c>
      <c r="AA206" s="63">
        <f ca="1">K205+M206+N206+O206</f>
        <v>39.070936269294272</v>
      </c>
      <c r="AB206" s="63">
        <f ca="1">K206+L206+R206</f>
        <v>39.070936269294272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45590</v>
      </c>
      <c r="K207">
        <f ca="1"/>
        <v>39.586455427606964</v>
      </c>
      <c r="L207">
        <f ca="1"/>
        <v>0.10653891577171271</v>
      </c>
      <c r="M207">
        <f ca="1"/>
        <v>-0.17462723479101072</v>
      </c>
      <c r="N207">
        <f ca="1"/>
        <v>0.89230320874251756</v>
      </c>
      <c r="O207">
        <f ca="1"/>
        <v>0</v>
      </c>
      <c r="P207">
        <f ca="1"/>
        <v>2.6146366160159924</v>
      </c>
      <c r="Q207">
        <f ca="1"/>
        <v>2.4193877778070059</v>
      </c>
      <c r="R207">
        <f ca="1"/>
        <v>0</v>
      </c>
      <c r="S207">
        <f ca="1"/>
        <v>0.9132452385343981</v>
      </c>
      <c r="T207">
        <f ca="1"/>
        <v>0</v>
      </c>
      <c r="U207">
        <f ca="1"/>
        <v>0</v>
      </c>
      <c r="V207">
        <f ca="1"/>
        <v>2.7879383734529601E-2</v>
      </c>
      <c r="X207" s="2">
        <f t="shared" ca="1" si="22"/>
        <v>45590</v>
      </c>
      <c r="Y207">
        <f t="shared" ca="1" si="23"/>
        <v>0</v>
      </c>
      <c r="AA207" s="63">
        <f ca="1">K206+M207+N207+O207</f>
        <v>39.692994343378679</v>
      </c>
      <c r="AB207" s="63">
        <f ca="1">K207+L207+R207</f>
        <v>39.692994343378679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45591</v>
      </c>
      <c r="K208">
        <f ca="1"/>
        <v>40.255851604826631</v>
      </c>
      <c r="L208">
        <f ca="1"/>
        <v>0.11207763806031545</v>
      </c>
      <c r="M208">
        <f ca="1"/>
        <v>-0.16301776153301262</v>
      </c>
      <c r="N208">
        <f ca="1"/>
        <v>0.94449157681299178</v>
      </c>
      <c r="O208">
        <f ca="1"/>
        <v>0</v>
      </c>
      <c r="P208">
        <f ca="1"/>
        <v>2.7267142540763079</v>
      </c>
      <c r="Q208">
        <f ca="1"/>
        <v>2.5230959818563239</v>
      </c>
      <c r="R208">
        <f ca="1"/>
        <v>0</v>
      </c>
      <c r="S208">
        <f ca="1"/>
        <v>0.94956378746334225</v>
      </c>
      <c r="T208">
        <f ca="1"/>
        <v>0</v>
      </c>
      <c r="U208">
        <f ca="1"/>
        <v>0</v>
      </c>
      <c r="V208">
        <f ca="1"/>
        <v>3.0907152589005712E-2</v>
      </c>
      <c r="X208" s="2">
        <f t="shared" ca="1" si="22"/>
        <v>45591</v>
      </c>
      <c r="Y208">
        <f t="shared" ca="1" si="23"/>
        <v>0</v>
      </c>
      <c r="AA208" s="63">
        <f t="shared" ref="AA208:AA271" ca="1" si="25">K207+M208+N208+O208</f>
        <v>40.367929242886945</v>
      </c>
      <c r="AB208" s="63">
        <f t="shared" ref="AB208:AB271" ca="1" si="26">K208+L208+R208</f>
        <v>40.367929242886945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45592</v>
      </c>
      <c r="K209">
        <f ca="1"/>
        <v>40.916640315137847</v>
      </c>
      <c r="L209">
        <f ca="1"/>
        <v>0.11278954681571962</v>
      </c>
      <c r="M209">
        <f ca="1"/>
        <v>-0.145748688150519</v>
      </c>
      <c r="N209">
        <f ca="1"/>
        <v>0.91932694527745284</v>
      </c>
      <c r="O209">
        <f ca="1"/>
        <v>0</v>
      </c>
      <c r="P209">
        <f ca="1"/>
        <v>2.8395038008920275</v>
      </c>
      <c r="Q209">
        <f ca="1"/>
        <v>2.6274629326435965</v>
      </c>
      <c r="R209">
        <f ca="1"/>
        <v>0</v>
      </c>
      <c r="S209">
        <f ca="1"/>
        <v>0.99558819015062017</v>
      </c>
      <c r="T209">
        <f ca="1"/>
        <v>0</v>
      </c>
      <c r="U209">
        <f ca="1"/>
        <v>0</v>
      </c>
      <c r="V209">
        <f ca="1"/>
        <v>3.413355082785028E-2</v>
      </c>
      <c r="X209" s="2">
        <f t="shared" ca="1" si="22"/>
        <v>45592</v>
      </c>
      <c r="Y209">
        <f t="shared" ca="1" si="23"/>
        <v>0</v>
      </c>
      <c r="AA209" s="63">
        <f t="shared" ca="1" si="25"/>
        <v>41.029429861953567</v>
      </c>
      <c r="AB209" s="63">
        <f t="shared" ca="1" si="26"/>
        <v>41.029429861953567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45593</v>
      </c>
      <c r="K210">
        <f ca="1"/>
        <v>41.485689839306666</v>
      </c>
      <c r="L210">
        <f ca="1"/>
        <v>0.12212119649612951</v>
      </c>
      <c r="M210">
        <f ca="1"/>
        <v>-0.13925803800071535</v>
      </c>
      <c r="N210">
        <f ca="1"/>
        <v>0.96247131492161553</v>
      </c>
      <c r="O210">
        <f ca="1"/>
        <v>0</v>
      </c>
      <c r="P210">
        <f ca="1"/>
        <v>2.961624997388157</v>
      </c>
      <c r="Q210">
        <f ca="1"/>
        <v>2.7404646891416391</v>
      </c>
      <c r="R210">
        <f ca="1"/>
        <v>0.13204255625594952</v>
      </c>
      <c r="S210">
        <f ca="1"/>
        <v>1</v>
      </c>
      <c r="T210">
        <f ca="1"/>
        <v>0.57793780133972916</v>
      </c>
      <c r="U210">
        <f ca="1"/>
        <v>0</v>
      </c>
      <c r="V210">
        <f ca="1"/>
        <v>3.7830802590024429E-2</v>
      </c>
      <c r="X210" s="2">
        <f t="shared" ca="1" si="22"/>
        <v>45593</v>
      </c>
      <c r="Y210">
        <f t="shared" ca="1" si="23"/>
        <v>0</v>
      </c>
      <c r="AA210" s="63">
        <f t="shared" ca="1" si="25"/>
        <v>41.739853592058751</v>
      </c>
      <c r="AB210" s="63">
        <f t="shared" ca="1" si="26"/>
        <v>41.739853592058743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45594</v>
      </c>
      <c r="K211">
        <f ca="1"/>
        <v>42.134719724457995</v>
      </c>
      <c r="L211">
        <f ca="1"/>
        <v>0.11883866080051719</v>
      </c>
      <c r="M211">
        <f ca="1"/>
        <v>-0.12017701958245297</v>
      </c>
      <c r="N211">
        <f ca="1"/>
        <v>0.88804556553429637</v>
      </c>
      <c r="O211">
        <f ca="1"/>
        <v>0</v>
      </c>
      <c r="P211">
        <f ca="1"/>
        <v>3.0804636581886742</v>
      </c>
      <c r="Q211">
        <f ca="1"/>
        <v>2.8504290343628966</v>
      </c>
      <c r="R211">
        <f ca="1"/>
        <v>0</v>
      </c>
      <c r="S211">
        <f ca="1"/>
        <v>0.95956521739130451</v>
      </c>
      <c r="T211">
        <f ca="1"/>
        <v>0</v>
      </c>
      <c r="U211">
        <f ca="1"/>
        <v>0</v>
      </c>
      <c r="V211">
        <f ca="1"/>
        <v>4.1632807682356159E-2</v>
      </c>
      <c r="X211" s="2">
        <f t="shared" ca="1" si="22"/>
        <v>45594</v>
      </c>
      <c r="Y211">
        <f t="shared" ca="1" si="23"/>
        <v>0</v>
      </c>
      <c r="AA211" s="63">
        <f t="shared" ca="1" si="25"/>
        <v>42.253558385258515</v>
      </c>
      <c r="AB211" s="63">
        <f t="shared" ca="1" si="26"/>
        <v>42.253558385258515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45595</v>
      </c>
      <c r="K212">
        <f ca="1"/>
        <v>42.763756237036219</v>
      </c>
      <c r="L212">
        <f ca="1"/>
        <v>0.11938953548680553</v>
      </c>
      <c r="M212">
        <f ca="1"/>
        <v>-0.10729845260246051</v>
      </c>
      <c r="N212">
        <f ca="1"/>
        <v>0.85572450066749473</v>
      </c>
      <c r="O212">
        <f ca="1"/>
        <v>0</v>
      </c>
      <c r="P212">
        <f ca="1"/>
        <v>3.1998531936754797</v>
      </c>
      <c r="Q212">
        <f ca="1"/>
        <v>2.9609031175243881</v>
      </c>
      <c r="R212">
        <f ca="1"/>
        <v>0</v>
      </c>
      <c r="S212">
        <f ca="1"/>
        <v>0.96554655254597344</v>
      </c>
      <c r="T212">
        <f ca="1"/>
        <v>0</v>
      </c>
      <c r="U212">
        <f ca="1"/>
        <v>0</v>
      </c>
      <c r="V212">
        <f ca="1"/>
        <v>4.5655342375189631E-2</v>
      </c>
      <c r="X212" s="2">
        <f t="shared" ca="1" si="22"/>
        <v>45595</v>
      </c>
      <c r="Y212">
        <f t="shared" ca="1" si="23"/>
        <v>0</v>
      </c>
      <c r="AA212" s="63">
        <f t="shared" ca="1" si="25"/>
        <v>42.883145772523022</v>
      </c>
      <c r="AB212" s="63">
        <f t="shared" ca="1" si="26"/>
        <v>42.883145772523022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45596</v>
      </c>
      <c r="K213">
        <f ca="1"/>
        <v>43.388646306391884</v>
      </c>
      <c r="L213">
        <f ca="1"/>
        <v>0.12254522910136334</v>
      </c>
      <c r="M213">
        <f ca="1"/>
        <v>-9.7580910183154401E-2</v>
      </c>
      <c r="N213">
        <f ca="1"/>
        <v>0.84501620864018312</v>
      </c>
      <c r="O213">
        <f ca="1"/>
        <v>0</v>
      </c>
      <c r="P213">
        <f ca="1"/>
        <v>3.3223984227768431</v>
      </c>
      <c r="Q213">
        <f ca="1"/>
        <v>3.0742972418551955</v>
      </c>
      <c r="R213">
        <f ca="1"/>
        <v>0</v>
      </c>
      <c r="S213">
        <f ca="1"/>
        <v>0.96093011622993174</v>
      </c>
      <c r="T213">
        <f ca="1"/>
        <v>0</v>
      </c>
      <c r="U213">
        <f ca="1"/>
        <v>0</v>
      </c>
      <c r="V213">
        <f ca="1"/>
        <v>4.9995398737433541E-2</v>
      </c>
      <c r="X213" s="2">
        <f t="shared" ca="1" si="22"/>
        <v>45596</v>
      </c>
      <c r="Y213">
        <f t="shared" ca="1" si="23"/>
        <v>0</v>
      </c>
      <c r="AA213" s="63">
        <f t="shared" ca="1" si="25"/>
        <v>43.511191535493246</v>
      </c>
      <c r="AB213" s="63">
        <f t="shared" ca="1" si="26"/>
        <v>43.511191535493246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45597</v>
      </c>
      <c r="K214">
        <f ca="1"/>
        <v>44.041205834156287</v>
      </c>
      <c r="L214">
        <f ca="1"/>
        <v>0.13578876572683019</v>
      </c>
      <c r="M214">
        <f ca="1"/>
        <v>-9.4353315860242759E-2</v>
      </c>
      <c r="N214">
        <f ca="1"/>
        <v>0.88270160935147723</v>
      </c>
      <c r="O214">
        <f ca="1"/>
        <v>0</v>
      </c>
      <c r="P214">
        <f ca="1"/>
        <v>3.4581871885036732</v>
      </c>
      <c r="Q214">
        <f ca="1"/>
        <v>3.1999459374141126</v>
      </c>
      <c r="R214">
        <f ca="1"/>
        <v>0</v>
      </c>
      <c r="S214">
        <f ca="1"/>
        <v>0.93642600519712782</v>
      </c>
      <c r="T214">
        <f ca="1"/>
        <v>0</v>
      </c>
      <c r="U214">
        <f ca="1"/>
        <v>0</v>
      </c>
      <c r="V214">
        <f ca="1"/>
        <v>5.5053397599177011E-2</v>
      </c>
      <c r="X214" s="2">
        <f t="shared" ca="1" si="22"/>
        <v>45597</v>
      </c>
      <c r="Y214">
        <f t="shared" ca="1" si="23"/>
        <v>0</v>
      </c>
      <c r="AA214" s="63">
        <f t="shared" ca="1" si="25"/>
        <v>44.176994599883123</v>
      </c>
      <c r="AB214" s="63">
        <f t="shared" ca="1" si="26"/>
        <v>44.176994599883116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45598</v>
      </c>
      <c r="K215">
        <f ca="1"/>
        <v>44.792128742513732</v>
      </c>
      <c r="L215">
        <f ca="1"/>
        <v>0.1525188999629119</v>
      </c>
      <c r="M215">
        <f ca="1"/>
        <v>-9.155328158002618E-2</v>
      </c>
      <c r="N215">
        <f ca="1"/>
        <v>0.99499508990038266</v>
      </c>
      <c r="O215">
        <f ca="1"/>
        <v>0</v>
      </c>
      <c r="P215">
        <f ca="1"/>
        <v>3.6107060884665851</v>
      </c>
      <c r="Q215">
        <f ca="1"/>
        <v>3.3410754390031716</v>
      </c>
      <c r="R215">
        <f ca="1"/>
        <v>0</v>
      </c>
      <c r="S215">
        <f ca="1"/>
        <v>0.97506942653901751</v>
      </c>
      <c r="T215">
        <f ca="1"/>
        <v>0</v>
      </c>
      <c r="U215">
        <f ca="1"/>
        <v>0</v>
      </c>
      <c r="V215">
        <f ca="1"/>
        <v>6.1044415057669929E-2</v>
      </c>
      <c r="X215" s="2">
        <f t="shared" ca="1" si="22"/>
        <v>45598</v>
      </c>
      <c r="Y215">
        <f t="shared" ca="1" si="23"/>
        <v>0</v>
      </c>
      <c r="AA215" s="63">
        <f t="shared" ca="1" si="25"/>
        <v>44.944647642476646</v>
      </c>
      <c r="AB215" s="63">
        <f t="shared" ca="1" si="26"/>
        <v>44.944647642476646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45599</v>
      </c>
      <c r="K216">
        <f ca="1"/>
        <v>45.51483840636304</v>
      </c>
      <c r="L216">
        <f ca="1"/>
        <v>0.15380904913601556</v>
      </c>
      <c r="M216">
        <f ca="1"/>
        <v>-7.9362486218784056E-2</v>
      </c>
      <c r="N216">
        <f ca="1"/>
        <v>0.95588119920410863</v>
      </c>
      <c r="O216">
        <f ca="1"/>
        <v>0</v>
      </c>
      <c r="P216">
        <f ca="1"/>
        <v>3.7645151376026007</v>
      </c>
      <c r="Q216">
        <f ca="1"/>
        <v>3.4833987474569517</v>
      </c>
      <c r="R216">
        <f ca="1"/>
        <v>0</v>
      </c>
      <c r="S216">
        <f ca="1"/>
        <v>0.96338398737678188</v>
      </c>
      <c r="T216">
        <f ca="1"/>
        <v>0</v>
      </c>
      <c r="U216">
        <f ca="1"/>
        <v>0</v>
      </c>
      <c r="V216">
        <f ca="1"/>
        <v>6.7414564429891341E-2</v>
      </c>
      <c r="X216" s="2">
        <f t="shared" ca="1" si="22"/>
        <v>45599</v>
      </c>
      <c r="Y216">
        <f t="shared" ca="1" si="23"/>
        <v>0</v>
      </c>
      <c r="AA216" s="63">
        <f t="shared" ca="1" si="25"/>
        <v>45.668647455499055</v>
      </c>
      <c r="AB216" s="63">
        <f t="shared" ca="1" si="26"/>
        <v>45.668647455499055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45600</v>
      </c>
      <c r="K217">
        <f ca="1"/>
        <v>46.171622076323082</v>
      </c>
      <c r="L217">
        <f ca="1"/>
        <v>0.15364930659064191</v>
      </c>
      <c r="M217">
        <f ca="1"/>
        <v>-6.8163807438509139E-2</v>
      </c>
      <c r="N217">
        <f ca="1"/>
        <v>0.87859678398919394</v>
      </c>
      <c r="O217">
        <f ca="1"/>
        <v>0</v>
      </c>
      <c r="P217">
        <f ca="1"/>
        <v>3.9181644441932426</v>
      </c>
      <c r="Q217">
        <f ca="1"/>
        <v>3.6255742421917994</v>
      </c>
      <c r="R217">
        <f ca="1"/>
        <v>0</v>
      </c>
      <c r="S217">
        <f ca="1"/>
        <v>0.93201598886906023</v>
      </c>
      <c r="T217">
        <f ca="1"/>
        <v>0</v>
      </c>
      <c r="U217">
        <f ca="1"/>
        <v>0</v>
      </c>
      <c r="V217">
        <f ca="1"/>
        <v>7.4102638080543681E-2</v>
      </c>
      <c r="X217" s="2">
        <f t="shared" ca="1" si="22"/>
        <v>45600</v>
      </c>
      <c r="Y217">
        <f t="shared" ca="1" si="23"/>
        <v>0</v>
      </c>
      <c r="AA217" s="63">
        <f t="shared" ca="1" si="25"/>
        <v>46.325271382913726</v>
      </c>
      <c r="AB217" s="63">
        <f t="shared" ca="1" si="26"/>
        <v>46.325271382913726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45601</v>
      </c>
      <c r="K218">
        <f ca="1"/>
        <v>46.778986856376029</v>
      </c>
      <c r="L218">
        <f ca="1"/>
        <v>0.15772301037230685</v>
      </c>
      <c r="M218">
        <f ca="1"/>
        <v>-5.9859969579882488E-2</v>
      </c>
      <c r="N218">
        <f ca="1"/>
        <v>0.8249477600051357</v>
      </c>
      <c r="O218">
        <f ca="1"/>
        <v>0</v>
      </c>
      <c r="P218">
        <f ca="1"/>
        <v>4.0758874545655495</v>
      </c>
      <c r="Q218">
        <f ca="1"/>
        <v>3.7715192355557847</v>
      </c>
      <c r="R218">
        <f ca="1"/>
        <v>0</v>
      </c>
      <c r="S218">
        <f ca="1"/>
        <v>0.89398856827569295</v>
      </c>
      <c r="T218">
        <f ca="1"/>
        <v>0</v>
      </c>
      <c r="U218">
        <f ca="1"/>
        <v>0</v>
      </c>
      <c r="V218">
        <f ca="1"/>
        <v>8.1299230336511125E-2</v>
      </c>
      <c r="X218" s="2">
        <f t="shared" ca="1" si="22"/>
        <v>45601</v>
      </c>
      <c r="Y218">
        <f t="shared" ca="1" si="23"/>
        <v>0</v>
      </c>
      <c r="AA218" s="63">
        <f t="shared" ca="1" si="25"/>
        <v>46.936709866748338</v>
      </c>
      <c r="AB218" s="63">
        <f t="shared" ca="1" si="26"/>
        <v>46.936709866748338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45602</v>
      </c>
      <c r="K219">
        <f ca="1"/>
        <v>47.391056622926648</v>
      </c>
      <c r="L219">
        <f ca="1"/>
        <v>0.16738055859279299</v>
      </c>
      <c r="M219">
        <f ca="1"/>
        <v>-5.3678679266418783E-2</v>
      </c>
      <c r="N219">
        <f ca="1"/>
        <v>0.83312900440982951</v>
      </c>
      <c r="O219">
        <f ca="1"/>
        <v>0</v>
      </c>
      <c r="P219">
        <f ca="1"/>
        <v>4.2432680131583425</v>
      </c>
      <c r="Q219">
        <f ca="1"/>
        <v>3.926400596591324</v>
      </c>
      <c r="R219">
        <f ca="1"/>
        <v>0</v>
      </c>
      <c r="S219">
        <f ca="1"/>
        <v>0.88313566679076405</v>
      </c>
      <c r="T219">
        <f ca="1"/>
        <v>0</v>
      </c>
      <c r="U219">
        <f ca="1"/>
        <v>0</v>
      </c>
      <c r="V219">
        <f ca="1"/>
        <v>8.9295098577831536E-2</v>
      </c>
      <c r="X219" s="2">
        <f t="shared" ca="1" si="22"/>
        <v>45602</v>
      </c>
      <c r="Y219">
        <f t="shared" ca="1" si="23"/>
        <v>0</v>
      </c>
      <c r="AA219" s="63">
        <f t="shared" ca="1" si="25"/>
        <v>47.558437181519437</v>
      </c>
      <c r="AB219" s="63">
        <f t="shared" ca="1" si="26"/>
        <v>47.558437181519437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45603</v>
      </c>
      <c r="K220">
        <f ca="1"/>
        <v>48.030784678938375</v>
      </c>
      <c r="L220">
        <f ca="1"/>
        <v>0.18007168105010418</v>
      </c>
      <c r="M220">
        <f ca="1"/>
        <v>-4.8016307756370225E-2</v>
      </c>
      <c r="N220">
        <f ca="1"/>
        <v>0.86781604481819841</v>
      </c>
      <c r="O220">
        <f ca="1"/>
        <v>0</v>
      </c>
      <c r="P220">
        <f ca="1"/>
        <v>4.4233396942084466</v>
      </c>
      <c r="Q220">
        <f ca="1"/>
        <v>4.0930253663941798</v>
      </c>
      <c r="R220">
        <f ca="1"/>
        <v>0</v>
      </c>
      <c r="S220">
        <f ca="1"/>
        <v>0.88453665431154194</v>
      </c>
      <c r="T220">
        <f ca="1"/>
        <v>0</v>
      </c>
      <c r="U220">
        <f ca="1"/>
        <v>0</v>
      </c>
      <c r="V220">
        <f ca="1"/>
        <v>9.8297862854417759E-2</v>
      </c>
      <c r="X220" s="2">
        <f t="shared" ca="1" si="22"/>
        <v>45603</v>
      </c>
      <c r="Y220">
        <f t="shared" ca="1" si="23"/>
        <v>0</v>
      </c>
      <c r="AA220" s="63">
        <f t="shared" ca="1" si="25"/>
        <v>48.210856359988476</v>
      </c>
      <c r="AB220" s="63">
        <f t="shared" ca="1" si="26"/>
        <v>48.210856359988476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45604</v>
      </c>
      <c r="K221">
        <f ca="1"/>
        <v>48.691473953655525</v>
      </c>
      <c r="L221">
        <f ca="1"/>
        <v>0.19155340124044518</v>
      </c>
      <c r="M221">
        <f ca="1"/>
        <v>-4.1666113194857246E-2</v>
      </c>
      <c r="N221">
        <f ca="1"/>
        <v>0.89390878915245442</v>
      </c>
      <c r="O221">
        <f ca="1"/>
        <v>0</v>
      </c>
      <c r="P221">
        <f ca="1"/>
        <v>4.6148930954488918</v>
      </c>
      <c r="Q221">
        <f ca="1"/>
        <v>4.2702744552043317</v>
      </c>
      <c r="R221">
        <f ca="1"/>
        <v>0</v>
      </c>
      <c r="S221">
        <f ca="1"/>
        <v>0.88830126458700598</v>
      </c>
      <c r="T221">
        <f ca="1"/>
        <v>0</v>
      </c>
      <c r="U221">
        <f ca="1"/>
        <v>0</v>
      </c>
      <c r="V221">
        <f ca="1"/>
        <v>0.10831439955675171</v>
      </c>
      <c r="X221" s="2">
        <f t="shared" ca="1" si="22"/>
        <v>45604</v>
      </c>
      <c r="Y221">
        <f t="shared" ca="1" si="23"/>
        <v>0</v>
      </c>
      <c r="AA221" s="63">
        <f t="shared" ca="1" si="25"/>
        <v>48.883027354895972</v>
      </c>
      <c r="AB221" s="63">
        <f t="shared" ca="1" si="26"/>
        <v>48.883027354895972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45605</v>
      </c>
      <c r="K222">
        <f ca="1"/>
        <v>49.316833831664511</v>
      </c>
      <c r="L222">
        <f ca="1"/>
        <v>0.19261513892102755</v>
      </c>
      <c r="M222">
        <f ca="1"/>
        <v>-3.359590368987142E-2</v>
      </c>
      <c r="N222">
        <f ca="1"/>
        <v>0.85157092061988415</v>
      </c>
      <c r="O222">
        <f ca="1"/>
        <v>0</v>
      </c>
      <c r="P222">
        <f ca="1"/>
        <v>4.8075082343699194</v>
      </c>
      <c r="Q222">
        <f ca="1"/>
        <v>4.4485059960890494</v>
      </c>
      <c r="R222">
        <f ca="1"/>
        <v>0</v>
      </c>
      <c r="S222">
        <f ca="1"/>
        <v>0.88325508771677474</v>
      </c>
      <c r="T222">
        <f ca="1"/>
        <v>0</v>
      </c>
      <c r="U222">
        <f ca="1"/>
        <v>0</v>
      </c>
      <c r="V222">
        <f ca="1"/>
        <v>0.11882405188789698</v>
      </c>
      <c r="X222" s="2">
        <f t="shared" ca="1" si="22"/>
        <v>45605</v>
      </c>
      <c r="Y222">
        <f t="shared" ca="1" si="23"/>
        <v>0</v>
      </c>
      <c r="AA222" s="63">
        <f t="shared" ca="1" si="25"/>
        <v>49.509448970585538</v>
      </c>
      <c r="AB222" s="63">
        <f t="shared" ca="1" si="26"/>
        <v>49.509448970585538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45606</v>
      </c>
      <c r="K223">
        <f ca="1"/>
        <v>49.975894304431726</v>
      </c>
      <c r="L223">
        <f ca="1"/>
        <v>0.20390935434715107</v>
      </c>
      <c r="M223">
        <f ca="1"/>
        <v>-2.7752399267015448E-2</v>
      </c>
      <c r="N223">
        <f ca="1"/>
        <v>0.89072222638138632</v>
      </c>
      <c r="O223">
        <f ca="1"/>
        <v>0</v>
      </c>
      <c r="P223">
        <f ca="1"/>
        <v>5.0114175887170704</v>
      </c>
      <c r="Q223">
        <f ca="1"/>
        <v>4.6371883531959899</v>
      </c>
      <c r="R223">
        <f ca="1"/>
        <v>0</v>
      </c>
      <c r="S223">
        <f ca="1"/>
        <v>0.90299972989977784</v>
      </c>
      <c r="T223">
        <f ca="1"/>
        <v>0</v>
      </c>
      <c r="U223">
        <f ca="1"/>
        <v>0</v>
      </c>
      <c r="V223">
        <f ca="1"/>
        <v>0.13040372205931719</v>
      </c>
      <c r="X223" s="2">
        <f t="shared" ca="1" si="22"/>
        <v>45606</v>
      </c>
      <c r="Y223">
        <f t="shared" ca="1" si="23"/>
        <v>0</v>
      </c>
      <c r="AA223" s="63">
        <f t="shared" ca="1" si="25"/>
        <v>50.17980365877888</v>
      </c>
      <c r="AB223" s="63">
        <f t="shared" ca="1" si="26"/>
        <v>50.17980365877888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45607</v>
      </c>
      <c r="K224">
        <f ca="1"/>
        <v>50.590297937766337</v>
      </c>
      <c r="L224">
        <f ca="1"/>
        <v>0.19927004201615972</v>
      </c>
      <c r="M224">
        <f ca="1"/>
        <v>-2.057855473235648E-2</v>
      </c>
      <c r="N224">
        <f ca="1"/>
        <v>0.83425223008313254</v>
      </c>
      <c r="O224">
        <f ca="1"/>
        <v>0</v>
      </c>
      <c r="P224">
        <f ca="1"/>
        <v>5.2106876307332302</v>
      </c>
      <c r="Q224">
        <f ca="1"/>
        <v>4.821577840126527</v>
      </c>
      <c r="R224">
        <f ca="1"/>
        <v>0</v>
      </c>
      <c r="S224">
        <f ca="1"/>
        <v>0.909093691665536</v>
      </c>
      <c r="T224">
        <f ca="1"/>
        <v>0</v>
      </c>
      <c r="U224">
        <f ca="1"/>
        <v>0</v>
      </c>
      <c r="V224">
        <f ca="1"/>
        <v>0.14214428636235765</v>
      </c>
      <c r="X224" s="2">
        <f t="shared" ca="1" si="22"/>
        <v>45607</v>
      </c>
      <c r="Y224">
        <f t="shared" ca="1" si="23"/>
        <v>0</v>
      </c>
      <c r="AA224" s="63">
        <f t="shared" ca="1" si="25"/>
        <v>50.789567979782497</v>
      </c>
      <c r="AB224" s="63">
        <f t="shared" ca="1" si="26"/>
        <v>50.789567979782497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45608</v>
      </c>
      <c r="K225">
        <f ca="1"/>
        <v>51.147488785511342</v>
      </c>
      <c r="L225">
        <f ca="1"/>
        <v>0.19876240763953845</v>
      </c>
      <c r="M225">
        <f ca="1"/>
        <v>-1.4956650720169051E-2</v>
      </c>
      <c r="N225">
        <f ca="1"/>
        <v>0.77090990610470533</v>
      </c>
      <c r="O225">
        <f ca="1"/>
        <v>0</v>
      </c>
      <c r="P225">
        <f ca="1"/>
        <v>5.4094500383727686</v>
      </c>
      <c r="Q225">
        <f ca="1"/>
        <v>5.005497600442335</v>
      </c>
      <c r="R225">
        <f ca="1"/>
        <v>0</v>
      </c>
      <c r="S225">
        <f ca="1"/>
        <v>0.88273734813290361</v>
      </c>
      <c r="T225">
        <f ca="1"/>
        <v>0</v>
      </c>
      <c r="U225">
        <f ca="1"/>
        <v>0</v>
      </c>
      <c r="V225">
        <f ca="1"/>
        <v>0.15424467592855451</v>
      </c>
      <c r="X225" s="2">
        <f t="shared" ca="1" si="22"/>
        <v>45608</v>
      </c>
      <c r="Y225">
        <f t="shared" ca="1" si="23"/>
        <v>0</v>
      </c>
      <c r="AA225" s="63">
        <f t="shared" ca="1" si="25"/>
        <v>51.346251193150877</v>
      </c>
      <c r="AB225" s="63">
        <f t="shared" ca="1" si="26"/>
        <v>51.346251193150877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45609</v>
      </c>
      <c r="K226">
        <f ca="1"/>
        <v>51.680194327926571</v>
      </c>
      <c r="L226">
        <f ca="1"/>
        <v>0.20681513904029547</v>
      </c>
      <c r="M226">
        <f ca="1"/>
        <v>-1.0390561921177266E-2</v>
      </c>
      <c r="N226">
        <f ca="1"/>
        <v>0.74991124337670034</v>
      </c>
      <c r="O226">
        <f ca="1"/>
        <v>0</v>
      </c>
      <c r="P226">
        <f ca="1"/>
        <v>5.6162651774130641</v>
      </c>
      <c r="Q226">
        <f ca="1"/>
        <v>5.1968687518270231</v>
      </c>
      <c r="R226">
        <f ca="1"/>
        <v>0</v>
      </c>
      <c r="S226">
        <f ca="1"/>
        <v>0.85835150215059752</v>
      </c>
      <c r="T226">
        <f ca="1"/>
        <v>0</v>
      </c>
      <c r="U226">
        <f ca="1"/>
        <v>0</v>
      </c>
      <c r="V226">
        <f ca="1"/>
        <v>0.16721696736081573</v>
      </c>
      <c r="X226" s="2">
        <f t="shared" ca="1" si="22"/>
        <v>45609</v>
      </c>
      <c r="Y226">
        <f t="shared" ca="1" si="23"/>
        <v>0</v>
      </c>
      <c r="AA226" s="63">
        <f t="shared" ca="1" si="25"/>
        <v>51.887009466966866</v>
      </c>
      <c r="AB226" s="63">
        <f t="shared" ca="1" si="26"/>
        <v>51.887009466966866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45610</v>
      </c>
      <c r="K227">
        <f ca="1"/>
        <v>52.240398199446524</v>
      </c>
      <c r="L227">
        <f ca="1"/>
        <v>0.22962124753646673</v>
      </c>
      <c r="M227">
        <f ca="1"/>
        <v>-6.230909281484287E-3</v>
      </c>
      <c r="N227">
        <f ca="1"/>
        <v>0.79605602833790345</v>
      </c>
      <c r="O227">
        <f ca="1"/>
        <v>0</v>
      </c>
      <c r="P227">
        <f ca="1"/>
        <v>5.8458864249495308</v>
      </c>
      <c r="Q227">
        <f ca="1"/>
        <v>5.4093429581513517</v>
      </c>
      <c r="R227">
        <f ca="1"/>
        <v>0</v>
      </c>
      <c r="S227">
        <f ca="1"/>
        <v>0.84491349540727034</v>
      </c>
      <c r="T227">
        <f ca="1"/>
        <v>0</v>
      </c>
      <c r="U227">
        <f ca="1"/>
        <v>0</v>
      </c>
      <c r="V227">
        <f ca="1"/>
        <v>0.18203453393638491</v>
      </c>
      <c r="X227" s="2">
        <f t="shared" ca="1" si="22"/>
        <v>45610</v>
      </c>
      <c r="Y227">
        <f t="shared" ca="1" si="23"/>
        <v>0</v>
      </c>
      <c r="AA227" s="63">
        <f t="shared" ca="1" si="25"/>
        <v>52.470019446982988</v>
      </c>
      <c r="AB227" s="63">
        <f t="shared" ca="1" si="26"/>
        <v>52.470019446982988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45611</v>
      </c>
      <c r="K228">
        <f ca="1"/>
        <v>52.903561237342998</v>
      </c>
      <c r="L228">
        <f ca="1"/>
        <v>0.26211529038099357</v>
      </c>
      <c r="M228">
        <f ca="1"/>
        <v>-1.4421223705767261E-3</v>
      </c>
      <c r="N228">
        <f ca="1"/>
        <v>0.92672045064803943</v>
      </c>
      <c r="O228">
        <f ca="1"/>
        <v>0</v>
      </c>
      <c r="P228">
        <f ca="1"/>
        <v>6.1080017153305244</v>
      </c>
      <c r="Q228">
        <f ca="1"/>
        <v>5.6518847041207776</v>
      </c>
      <c r="R228">
        <f ca="1"/>
        <v>0</v>
      </c>
      <c r="S228">
        <f ca="1"/>
        <v>0.87753520990661438</v>
      </c>
      <c r="T228">
        <f ca="1"/>
        <v>0</v>
      </c>
      <c r="U228">
        <f ca="1"/>
        <v>0</v>
      </c>
      <c r="V228">
        <f ca="1"/>
        <v>0.1994223416108086</v>
      </c>
      <c r="X228" s="2">
        <f t="shared" ca="1" si="22"/>
        <v>45611</v>
      </c>
      <c r="Y228">
        <f t="shared" ca="1" si="23"/>
        <v>0</v>
      </c>
      <c r="AA228" s="63">
        <f t="shared" ca="1" si="25"/>
        <v>53.165676527723988</v>
      </c>
      <c r="AB228" s="63">
        <f t="shared" ca="1" si="26"/>
        <v>53.165676527723988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45612</v>
      </c>
      <c r="K229">
        <f ca="1"/>
        <v>53.621296410362028</v>
      </c>
      <c r="L229">
        <f ca="1"/>
        <v>0.27730690985976025</v>
      </c>
      <c r="M229">
        <f ca="1"/>
        <v>3.9496636137812402E-3</v>
      </c>
      <c r="N229">
        <f ca="1"/>
        <v>0.99109241926500846</v>
      </c>
      <c r="O229">
        <f ca="1"/>
        <v>0</v>
      </c>
      <c r="P229">
        <f ca="1"/>
        <v>6.3853086251902846</v>
      </c>
      <c r="Q229">
        <f ca="1"/>
        <v>5.9084836304520492</v>
      </c>
      <c r="R229">
        <f ca="1"/>
        <v>0</v>
      </c>
      <c r="S229">
        <f ca="1"/>
        <v>0.91730033644403541</v>
      </c>
      <c r="T229">
        <f ca="1"/>
        <v>0</v>
      </c>
      <c r="U229">
        <f ca="1"/>
        <v>0</v>
      </c>
      <c r="V229">
        <f ca="1"/>
        <v>0.21828899774449181</v>
      </c>
      <c r="X229" s="2">
        <f t="shared" ca="1" si="22"/>
        <v>45612</v>
      </c>
      <c r="Y229">
        <f t="shared" ca="1" si="23"/>
        <v>0</v>
      </c>
      <c r="AA229" s="63">
        <f t="shared" ca="1" si="25"/>
        <v>53.898603320221788</v>
      </c>
      <c r="AB229" s="63">
        <f t="shared" ca="1" si="26"/>
        <v>53.898603320221788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45613</v>
      </c>
      <c r="K230">
        <f ca="1"/>
        <v>54.353810622259395</v>
      </c>
      <c r="L230">
        <f ca="1"/>
        <v>0.27961915700618345</v>
      </c>
      <c r="M230">
        <f ca="1"/>
        <v>8.6925698677191576E-3</v>
      </c>
      <c r="N230">
        <f ca="1"/>
        <v>1.0034407990358307</v>
      </c>
      <c r="O230">
        <f ca="1"/>
        <v>0</v>
      </c>
      <c r="P230">
        <f ca="1"/>
        <v>6.6649277821964681</v>
      </c>
      <c r="Q230">
        <f ca="1"/>
        <v>6.1672221361233559</v>
      </c>
      <c r="R230">
        <f ca="1"/>
        <v>0</v>
      </c>
      <c r="S230">
        <f ca="1"/>
        <v>0.96101255196112312</v>
      </c>
      <c r="T230">
        <f ca="1"/>
        <v>0</v>
      </c>
      <c r="U230">
        <f ca="1"/>
        <v>0</v>
      </c>
      <c r="V230">
        <f ca="1"/>
        <v>0.23771596492017491</v>
      </c>
      <c r="X230" s="2">
        <f t="shared" ca="1" si="22"/>
        <v>45613</v>
      </c>
      <c r="Y230">
        <f t="shared" ca="1" si="23"/>
        <v>0</v>
      </c>
      <c r="AA230" s="63">
        <f t="shared" ca="1" si="25"/>
        <v>54.633429779265576</v>
      </c>
      <c r="AB230" s="63">
        <f t="shared" ca="1" si="26"/>
        <v>54.633429779265576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45614</v>
      </c>
      <c r="K231">
        <f ca="1"/>
        <v>55.003981473540293</v>
      </c>
      <c r="L231">
        <f ca="1"/>
        <v>0.28097141252276359</v>
      </c>
      <c r="M231">
        <f ca="1"/>
        <v>1.2677466378431035E-2</v>
      </c>
      <c r="N231">
        <f ca="1"/>
        <v>0.9184647974252268</v>
      </c>
      <c r="O231">
        <f ca="1"/>
        <v>0</v>
      </c>
      <c r="P231">
        <f ca="1"/>
        <v>6.9458991947192317</v>
      </c>
      <c r="Q231">
        <f ca="1"/>
        <v>6.4272119171914976</v>
      </c>
      <c r="R231">
        <f ca="1"/>
        <v>0</v>
      </c>
      <c r="S231">
        <f ca="1"/>
        <v>0.92455176617055601</v>
      </c>
      <c r="T231">
        <f ca="1"/>
        <v>0</v>
      </c>
      <c r="U231">
        <f ca="1"/>
        <v>0</v>
      </c>
      <c r="V231">
        <f ca="1"/>
        <v>0.25755463408691304</v>
      </c>
      <c r="X231" s="2">
        <f t="shared" ca="1" si="22"/>
        <v>45614</v>
      </c>
      <c r="Y231">
        <f t="shared" ca="1" si="23"/>
        <v>0</v>
      </c>
      <c r="AA231" s="63">
        <f t="shared" ca="1" si="25"/>
        <v>55.284952886063053</v>
      </c>
      <c r="AB231" s="63">
        <f t="shared" ca="1" si="26"/>
        <v>55.284952886063053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45615</v>
      </c>
      <c r="K232">
        <f ca="1"/>
        <v>55.6452464546012</v>
      </c>
      <c r="L232">
        <f ca="1"/>
        <v>0.2962668997356035</v>
      </c>
      <c r="M232">
        <f ca="1"/>
        <v>1.6884142659147727E-2</v>
      </c>
      <c r="N232">
        <f ca="1"/>
        <v>0.92064773813736733</v>
      </c>
      <c r="O232">
        <f ca="1"/>
        <v>0</v>
      </c>
      <c r="P232">
        <f ca="1"/>
        <v>7.2421660944548352</v>
      </c>
      <c r="Q232">
        <f ca="1"/>
        <v>6.7013549899987916</v>
      </c>
      <c r="R232">
        <f ca="1"/>
        <v>0</v>
      </c>
      <c r="S232">
        <f ca="1"/>
        <v>0.91422432808627363</v>
      </c>
      <c r="T232">
        <f ca="1"/>
        <v>0</v>
      </c>
      <c r="U232">
        <f ca="1"/>
        <v>0</v>
      </c>
      <c r="V232">
        <f ca="1"/>
        <v>0.27872062062656366</v>
      </c>
      <c r="X232" s="2">
        <f t="shared" ca="1" si="22"/>
        <v>45615</v>
      </c>
      <c r="Y232">
        <f t="shared" ca="1" si="23"/>
        <v>0</v>
      </c>
      <c r="AA232" s="63">
        <f t="shared" ca="1" si="25"/>
        <v>55.941513354336813</v>
      </c>
      <c r="AB232" s="63">
        <f t="shared" ca="1" si="26"/>
        <v>55.941513354336806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45616</v>
      </c>
      <c r="K233">
        <f ca="1"/>
        <v>56.255828409093013</v>
      </c>
      <c r="L233">
        <f ca="1"/>
        <v>0.31023913820092996</v>
      </c>
      <c r="M233">
        <f ca="1"/>
        <v>2.0850363019558671E-2</v>
      </c>
      <c r="N233">
        <f ca="1"/>
        <v>0.89997072967317659</v>
      </c>
      <c r="O233">
        <f ca="1"/>
        <v>0</v>
      </c>
      <c r="P233">
        <f ca="1"/>
        <v>7.5524052326557651</v>
      </c>
      <c r="Q233">
        <f ca="1"/>
        <v>6.9884269198275755</v>
      </c>
      <c r="R233">
        <f ca="1"/>
        <v>0</v>
      </c>
      <c r="S233">
        <f ca="1"/>
        <v>0.89093517523931209</v>
      </c>
      <c r="T233">
        <f ca="1"/>
        <v>0</v>
      </c>
      <c r="U233">
        <f ca="1"/>
        <v>0</v>
      </c>
      <c r="V233">
        <f ca="1"/>
        <v>0.30104965020391394</v>
      </c>
      <c r="X233" s="2">
        <f t="shared" ca="1" si="22"/>
        <v>45616</v>
      </c>
      <c r="Y233">
        <f t="shared" ca="1" si="23"/>
        <v>0</v>
      </c>
      <c r="AA233" s="63">
        <f t="shared" ca="1" si="25"/>
        <v>56.566067547293933</v>
      </c>
      <c r="AB233" s="63">
        <f t="shared" ca="1" si="26"/>
        <v>56.56606754729394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45617</v>
      </c>
      <c r="K234">
        <f ca="1"/>
        <v>56.833152030114363</v>
      </c>
      <c r="L234">
        <f ca="1"/>
        <v>0.3251264928338351</v>
      </c>
      <c r="M234">
        <f ca="1"/>
        <v>2.4671764386862804E-2</v>
      </c>
      <c r="N234">
        <f ca="1"/>
        <v>0.87777834946831668</v>
      </c>
      <c r="O234">
        <f ca="1"/>
        <v>0</v>
      </c>
      <c r="P234">
        <f ca="1"/>
        <v>7.8775317254896002</v>
      </c>
      <c r="Q234">
        <f ca="1"/>
        <v>7.2892744862484937</v>
      </c>
      <c r="R234">
        <f ca="1"/>
        <v>0</v>
      </c>
      <c r="S234">
        <f ca="1"/>
        <v>0.86539836161272232</v>
      </c>
      <c r="T234">
        <f ca="1"/>
        <v>0</v>
      </c>
      <c r="U234">
        <f ca="1"/>
        <v>0</v>
      </c>
      <c r="V234">
        <f ca="1"/>
        <v>0.32451380753853321</v>
      </c>
      <c r="X234" s="2">
        <f t="shared" ca="1" si="22"/>
        <v>45617</v>
      </c>
      <c r="Y234">
        <f t="shared" ca="1" si="23"/>
        <v>0</v>
      </c>
      <c r="AA234" s="63">
        <f t="shared" ca="1" si="25"/>
        <v>57.158278522948194</v>
      </c>
      <c r="AB234" s="63">
        <f t="shared" ca="1" si="26"/>
        <v>57.158278522948194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45618</v>
      </c>
      <c r="K235">
        <f ca="1"/>
        <v>57.375907214729096</v>
      </c>
      <c r="L235">
        <f ca="1"/>
        <v>0.3526154518189486</v>
      </c>
      <c r="M235">
        <f ca="1"/>
        <v>2.9380380183308574E-2</v>
      </c>
      <c r="N235">
        <f ca="1"/>
        <v>0.86599025625036763</v>
      </c>
      <c r="O235">
        <f ca="1"/>
        <v>0</v>
      </c>
      <c r="P235">
        <f ca="1"/>
        <v>8.2301471773085488</v>
      </c>
      <c r="Q235">
        <f ca="1"/>
        <v>7.6155582647173263</v>
      </c>
      <c r="R235">
        <f ca="1"/>
        <v>0</v>
      </c>
      <c r="S235">
        <f ca="1"/>
        <v>0.81714317119137347</v>
      </c>
      <c r="T235">
        <f ca="1"/>
        <v>0</v>
      </c>
      <c r="U235">
        <f ca="1"/>
        <v>0</v>
      </c>
      <c r="V235">
        <f ca="1"/>
        <v>0.34990141667704688</v>
      </c>
      <c r="X235" s="2">
        <f t="shared" ca="1" si="22"/>
        <v>45618</v>
      </c>
      <c r="Y235">
        <f t="shared" ca="1" si="23"/>
        <v>0</v>
      </c>
      <c r="AA235" s="63">
        <f t="shared" ca="1" si="25"/>
        <v>57.728522666548045</v>
      </c>
      <c r="AB235" s="63">
        <f t="shared" ca="1" si="26"/>
        <v>57.728522666548045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45619</v>
      </c>
      <c r="K236">
        <f ca="1"/>
        <v>57.889297007677996</v>
      </c>
      <c r="L236">
        <f ca="1"/>
        <v>0.3680121273242456</v>
      </c>
      <c r="M236">
        <f ca="1"/>
        <v>3.2941098985563855E-2</v>
      </c>
      <c r="N236">
        <f ca="1"/>
        <v>0.84846082128758915</v>
      </c>
      <c r="O236">
        <f ca="1"/>
        <v>0</v>
      </c>
      <c r="P236">
        <f ca="1"/>
        <v>8.5981593046327944</v>
      </c>
      <c r="Q236">
        <f ca="1"/>
        <v>7.9560889669491761</v>
      </c>
      <c r="R236">
        <f ca="1"/>
        <v>0</v>
      </c>
      <c r="S236">
        <f ca="1"/>
        <v>0.80078068788771473</v>
      </c>
      <c r="T236">
        <f ca="1"/>
        <v>0</v>
      </c>
      <c r="U236">
        <f ca="1"/>
        <v>0</v>
      </c>
      <c r="V236">
        <f ca="1"/>
        <v>0.37618704513216999</v>
      </c>
      <c r="X236" s="2">
        <f t="shared" ca="1" si="22"/>
        <v>45619</v>
      </c>
      <c r="Y236">
        <f t="shared" ca="1" si="23"/>
        <v>0</v>
      </c>
      <c r="AA236" s="63">
        <f t="shared" ca="1" si="25"/>
        <v>58.257309135002245</v>
      </c>
      <c r="AB236" s="63">
        <f t="shared" ca="1" si="26"/>
        <v>58.257309135002245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45620</v>
      </c>
      <c r="K237">
        <f ca="1"/>
        <v>58.420622947888695</v>
      </c>
      <c r="L237">
        <f ca="1"/>
        <v>0.40829264481012295</v>
      </c>
      <c r="M237">
        <f ca="1"/>
        <v>3.8782566449491185E-2</v>
      </c>
      <c r="N237">
        <f ca="1"/>
        <v>0.90083601857133599</v>
      </c>
      <c r="O237">
        <f ca="1"/>
        <v>0</v>
      </c>
      <c r="P237">
        <f ca="1"/>
        <v>9.0064519494429174</v>
      </c>
      <c r="Q237">
        <f ca="1"/>
        <v>8.3338922259455561</v>
      </c>
      <c r="R237">
        <f ca="1"/>
        <v>0</v>
      </c>
      <c r="S237">
        <f ca="1"/>
        <v>0.78828292186378313</v>
      </c>
      <c r="T237">
        <f ca="1"/>
        <v>0</v>
      </c>
      <c r="U237">
        <f ca="1"/>
        <v>0</v>
      </c>
      <c r="V237">
        <f ca="1"/>
        <v>0.40493385535970033</v>
      </c>
      <c r="X237" s="2">
        <f t="shared" ca="1" si="22"/>
        <v>45620</v>
      </c>
      <c r="Y237">
        <f t="shared" ca="1" si="23"/>
        <v>0</v>
      </c>
      <c r="AA237" s="63">
        <f t="shared" ca="1" si="25"/>
        <v>58.82891559269882</v>
      </c>
      <c r="AB237" s="63">
        <f t="shared" ca="1" si="26"/>
        <v>58.82891559269882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45621</v>
      </c>
      <c r="K238">
        <f ca="1"/>
        <v>58.996727050753321</v>
      </c>
      <c r="L238">
        <f ca="1"/>
        <v>0.43068028708421835</v>
      </c>
      <c r="M238">
        <f ca="1"/>
        <v>4.272102733281713E-2</v>
      </c>
      <c r="N238">
        <f ca="1"/>
        <v>0.96406336261602266</v>
      </c>
      <c r="O238">
        <f ca="1"/>
        <v>0</v>
      </c>
      <c r="P238">
        <f ca="1"/>
        <v>9.4371322365271357</v>
      </c>
      <c r="Q238">
        <f ca="1"/>
        <v>8.7324113227605</v>
      </c>
      <c r="R238">
        <f ca="1"/>
        <v>0</v>
      </c>
      <c r="S238">
        <f ca="1"/>
        <v>0.83178186953952538</v>
      </c>
      <c r="T238">
        <f ca="1"/>
        <v>0</v>
      </c>
      <c r="U238">
        <f ca="1"/>
        <v>0</v>
      </c>
      <c r="V238">
        <f ca="1"/>
        <v>0.43461072347734298</v>
      </c>
      <c r="X238" s="2">
        <f t="shared" ca="1" si="22"/>
        <v>45621</v>
      </c>
      <c r="Y238">
        <f t="shared" ca="1" si="23"/>
        <v>0</v>
      </c>
      <c r="AA238" s="63">
        <f t="shared" ca="1" si="25"/>
        <v>59.427407337837536</v>
      </c>
      <c r="AB238" s="63">
        <f t="shared" ca="1" si="26"/>
        <v>59.427407337837536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45622</v>
      </c>
      <c r="K239">
        <f ca="1"/>
        <v>59.547740532640631</v>
      </c>
      <c r="L239">
        <f ca="1"/>
        <v>0.45983969702116845</v>
      </c>
      <c r="M239">
        <f ca="1"/>
        <v>4.7146418876817364E-2</v>
      </c>
      <c r="N239">
        <f ca="1"/>
        <v>0.96370676003165379</v>
      </c>
      <c r="O239">
        <f ca="1"/>
        <v>0</v>
      </c>
      <c r="P239">
        <f ca="1"/>
        <v>9.8969719335483042</v>
      </c>
      <c r="Q239">
        <f ca="1"/>
        <v>9.157912341108009</v>
      </c>
      <c r="R239">
        <f ca="1"/>
        <v>0</v>
      </c>
      <c r="S239">
        <f ca="1"/>
        <v>0.81115693537475397</v>
      </c>
      <c r="T239">
        <f ca="1"/>
        <v>0</v>
      </c>
      <c r="U239">
        <f ca="1"/>
        <v>0</v>
      </c>
      <c r="V239">
        <f ca="1"/>
        <v>0.46539121044411585</v>
      </c>
      <c r="X239" s="2">
        <f t="shared" ca="1" si="22"/>
        <v>45622</v>
      </c>
      <c r="Y239">
        <f t="shared" ca="1" si="23"/>
        <v>0</v>
      </c>
      <c r="AA239" s="63">
        <f t="shared" ca="1" si="25"/>
        <v>60.007580229661798</v>
      </c>
      <c r="AB239" s="63">
        <f t="shared" ca="1" si="26"/>
        <v>60.007580229661798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45623</v>
      </c>
      <c r="K240">
        <f ca="1"/>
        <v>60.157331033136302</v>
      </c>
      <c r="L240">
        <f ca="1"/>
        <v>0.47479621729799071</v>
      </c>
      <c r="M240">
        <f ca="1"/>
        <v>4.9615427956236857E-2</v>
      </c>
      <c r="N240">
        <f ca="1"/>
        <v>1.0347712898374242</v>
      </c>
      <c r="O240">
        <f ca="1"/>
        <v>0</v>
      </c>
      <c r="P240">
        <f ca="1"/>
        <v>10.371768150846295</v>
      </c>
      <c r="Q240">
        <f ca="1"/>
        <v>9.5972529967246558</v>
      </c>
      <c r="R240">
        <f ca="1"/>
        <v>0</v>
      </c>
      <c r="S240">
        <f ca="1"/>
        <v>0.87936652666752979</v>
      </c>
      <c r="T240">
        <f ca="1"/>
        <v>0</v>
      </c>
      <c r="U240">
        <f ca="1"/>
        <v>0</v>
      </c>
      <c r="V240">
        <f ca="1"/>
        <v>0.49603638795959154</v>
      </c>
      <c r="X240" s="2">
        <f t="shared" ca="1" si="22"/>
        <v>45623</v>
      </c>
      <c r="Y240">
        <f t="shared" ca="1" si="23"/>
        <v>0</v>
      </c>
      <c r="AA240" s="63">
        <f t="shared" ca="1" si="25"/>
        <v>60.632127250434294</v>
      </c>
      <c r="AB240" s="63">
        <f t="shared" ca="1" si="26"/>
        <v>60.632127250434294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45624</v>
      </c>
      <c r="K241">
        <f ca="1"/>
        <v>60.637244892839227</v>
      </c>
      <c r="L241">
        <f ca="1"/>
        <v>0.46360020234422983</v>
      </c>
      <c r="M241">
        <f ca="1"/>
        <v>4.8765347660239655E-2</v>
      </c>
      <c r="N241">
        <f ca="1"/>
        <v>0.89474871438691683</v>
      </c>
      <c r="O241">
        <f ca="1"/>
        <v>0</v>
      </c>
      <c r="P241">
        <f ca="1"/>
        <v>10.835368353190525</v>
      </c>
      <c r="Q241">
        <f ca="1"/>
        <v>10.026233703439285</v>
      </c>
      <c r="R241">
        <f ca="1"/>
        <v>0</v>
      </c>
      <c r="S241">
        <f ca="1"/>
        <v>0.83210682634014987</v>
      </c>
      <c r="T241">
        <f ca="1"/>
        <v>0</v>
      </c>
      <c r="U241">
        <f ca="1"/>
        <v>0</v>
      </c>
      <c r="V241">
        <f ca="1"/>
        <v>0.52472979349644455</v>
      </c>
      <c r="X241" s="2">
        <f t="shared" ca="1" si="22"/>
        <v>45624</v>
      </c>
      <c r="Y241">
        <f t="shared" ca="1" si="23"/>
        <v>0</v>
      </c>
      <c r="AA241" s="63">
        <f t="shared" ca="1" si="25"/>
        <v>61.100845095183452</v>
      </c>
      <c r="AB241" s="63">
        <f t="shared" ca="1" si="26"/>
        <v>61.100845095183459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45625</v>
      </c>
      <c r="K242">
        <f ca="1"/>
        <v>61.183432983219284</v>
      </c>
      <c r="L242">
        <f ca="1"/>
        <v>0.51902809925204707</v>
      </c>
      <c r="M242">
        <f ca="1"/>
        <v>5.5189965033530797E-2</v>
      </c>
      <c r="N242">
        <f ca="1"/>
        <v>1.0100262245985654</v>
      </c>
      <c r="O242">
        <f ca="1"/>
        <v>0</v>
      </c>
      <c r="P242">
        <f ca="1"/>
        <v>11.354396452442572</v>
      </c>
      <c r="Q242">
        <f ca="1"/>
        <v>10.506503210864068</v>
      </c>
      <c r="R242">
        <f ca="1"/>
        <v>0</v>
      </c>
      <c r="S242">
        <f ca="1"/>
        <v>0.85734543924577455</v>
      </c>
      <c r="T242">
        <f ca="1"/>
        <v>0</v>
      </c>
      <c r="U242">
        <f ca="1"/>
        <v>0</v>
      </c>
      <c r="V242">
        <f ca="1"/>
        <v>0.55531865074246456</v>
      </c>
      <c r="X242" s="2">
        <f t="shared" ca="1" si="22"/>
        <v>45625</v>
      </c>
      <c r="Y242">
        <f t="shared" ca="1" si="23"/>
        <v>0</v>
      </c>
      <c r="AA242" s="63">
        <f t="shared" ca="1" si="25"/>
        <v>61.702461082471316</v>
      </c>
      <c r="AB242" s="63">
        <f t="shared" ca="1" si="26"/>
        <v>61.702461082471331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45626</v>
      </c>
      <c r="K243">
        <f ca="1"/>
        <v>61.767185627228017</v>
      </c>
      <c r="L243">
        <f ca="1"/>
        <v>0.53456703851771792</v>
      </c>
      <c r="M243">
        <f ca="1"/>
        <v>5.67457860509748E-2</v>
      </c>
      <c r="N243">
        <f ca="1"/>
        <v>1.0615738964754708</v>
      </c>
      <c r="O243">
        <f ca="1"/>
        <v>0</v>
      </c>
      <c r="P243">
        <f ca="1"/>
        <v>11.88896349096029</v>
      </c>
      <c r="Q243">
        <f ca="1"/>
        <v>11.001151282219748</v>
      </c>
      <c r="R243">
        <f ca="1"/>
        <v>0</v>
      </c>
      <c r="S243">
        <f ca="1"/>
        <v>0.91085810758829744</v>
      </c>
      <c r="T243">
        <f ca="1"/>
        <v>0</v>
      </c>
      <c r="U243">
        <f ca="1"/>
        <v>0</v>
      </c>
      <c r="V243">
        <f ca="1"/>
        <v>0.58506734543386152</v>
      </c>
      <c r="X243" s="2">
        <f t="shared" ca="1" si="22"/>
        <v>45626</v>
      </c>
      <c r="Y243">
        <f t="shared" ca="1" si="23"/>
        <v>0</v>
      </c>
      <c r="AA243" s="63">
        <f t="shared" ca="1" si="25"/>
        <v>62.301752665745731</v>
      </c>
      <c r="AB243" s="63">
        <f t="shared" ca="1" si="26"/>
        <v>62.301752665745738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45627</v>
      </c>
      <c r="K244">
        <f ca="1"/>
        <v>62.291965522947855</v>
      </c>
      <c r="L244">
        <f ca="1"/>
        <v>0.56756916973196603</v>
      </c>
      <c r="M244">
        <f ca="1"/>
        <v>6.0051673370438152E-2</v>
      </c>
      <c r="N244">
        <f ca="1"/>
        <v>1.0322973920813654</v>
      </c>
      <c r="O244">
        <f ca="1"/>
        <v>0</v>
      </c>
      <c r="P244">
        <f ca="1"/>
        <v>12.456532660692256</v>
      </c>
      <c r="Q244">
        <f ca="1"/>
        <v>11.526337039926275</v>
      </c>
      <c r="R244">
        <f ca="1"/>
        <v>0</v>
      </c>
      <c r="S244">
        <f ca="1"/>
        <v>0.87248976205341044</v>
      </c>
      <c r="T244">
        <f ca="1"/>
        <v>0</v>
      </c>
      <c r="U244">
        <f ca="1"/>
        <v>0</v>
      </c>
      <c r="V244">
        <f ca="1"/>
        <v>0.61467917545947859</v>
      </c>
      <c r="X244" s="2">
        <f t="shared" ca="1" si="22"/>
        <v>45627</v>
      </c>
      <c r="Y244">
        <f t="shared" ca="1" si="23"/>
        <v>0</v>
      </c>
      <c r="AA244" s="63">
        <f t="shared" ca="1" si="25"/>
        <v>62.859534692679823</v>
      </c>
      <c r="AB244" s="63">
        <f t="shared" ca="1" si="26"/>
        <v>62.859534692679823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45628</v>
      </c>
      <c r="K245">
        <f ca="1"/>
        <v>62.771346441006024</v>
      </c>
      <c r="L245">
        <f ca="1"/>
        <v>0.5895890100621628</v>
      </c>
      <c r="M245">
        <f ca="1"/>
        <v>6.1760781535195264E-2</v>
      </c>
      <c r="N245">
        <f ca="1"/>
        <v>1.0072091465851318</v>
      </c>
      <c r="O245">
        <f ca="1"/>
        <v>0</v>
      </c>
      <c r="P245">
        <f ca="1"/>
        <v>13.046121670754419</v>
      </c>
      <c r="Q245">
        <f ca="1"/>
        <v>12.071898299237043</v>
      </c>
      <c r="R245">
        <f ca="1"/>
        <v>0</v>
      </c>
      <c r="S245">
        <f ca="1"/>
        <v>0.85890743206587195</v>
      </c>
      <c r="T245">
        <f ca="1"/>
        <v>0</v>
      </c>
      <c r="U245">
        <f ca="1"/>
        <v>0</v>
      </c>
      <c r="V245">
        <f ca="1"/>
        <v>0.64330774784192846</v>
      </c>
      <c r="X245" s="2">
        <f t="shared" ca="1" si="22"/>
        <v>45628</v>
      </c>
      <c r="Y245">
        <f t="shared" ca="1" si="23"/>
        <v>0</v>
      </c>
      <c r="AA245" s="63">
        <f t="shared" ca="1" si="25"/>
        <v>63.36093545106818</v>
      </c>
      <c r="AB245" s="63">
        <f t="shared" ca="1" si="26"/>
        <v>63.360935451068187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45629</v>
      </c>
      <c r="K246">
        <f ca="1"/>
        <v>63.23936140513306</v>
      </c>
      <c r="L246">
        <f ca="1"/>
        <v>0.63643155376056804</v>
      </c>
      <c r="M246">
        <f ca="1"/>
        <v>6.6072837114187877E-2</v>
      </c>
      <c r="N246">
        <f ca="1"/>
        <v>1.0383736807734147</v>
      </c>
      <c r="O246">
        <f ca="1"/>
        <v>0</v>
      </c>
      <c r="P246">
        <f ca="1"/>
        <v>13.682553224514987</v>
      </c>
      <c r="Q246">
        <f ca="1"/>
        <v>12.660804120086919</v>
      </c>
      <c r="R246">
        <f ca="1"/>
        <v>0</v>
      </c>
      <c r="S246">
        <f ca="1"/>
        <v>0.84988325510112828</v>
      </c>
      <c r="T246">
        <f ca="1"/>
        <v>0</v>
      </c>
      <c r="U246">
        <f ca="1"/>
        <v>0</v>
      </c>
      <c r="V246">
        <f ca="1"/>
        <v>0.67184147975092379</v>
      </c>
      <c r="X246" s="2">
        <f t="shared" ca="1" si="22"/>
        <v>45629</v>
      </c>
      <c r="Y246">
        <f t="shared" ca="1" si="23"/>
        <v>0</v>
      </c>
      <c r="AA246" s="63">
        <f t="shared" ca="1" si="25"/>
        <v>63.875792958893626</v>
      </c>
      <c r="AB246" s="63">
        <f t="shared" ca="1" si="26"/>
        <v>63.875792958893626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45630</v>
      </c>
      <c r="K247">
        <f ca="1"/>
        <v>63.633096775499382</v>
      </c>
      <c r="L247">
        <f ca="1"/>
        <v>0.65917815350078968</v>
      </c>
      <c r="M247">
        <f ca="1"/>
        <v>6.7211358611892535E-2</v>
      </c>
      <c r="N247">
        <f ca="1"/>
        <v>0.98570216525523302</v>
      </c>
      <c r="O247">
        <f ca="1"/>
        <v>0</v>
      </c>
      <c r="P247">
        <f ca="1"/>
        <v>14.341731378015776</v>
      </c>
      <c r="Q247">
        <f ca="1"/>
        <v>13.270757930956155</v>
      </c>
      <c r="R247">
        <f ca="1"/>
        <v>0</v>
      </c>
      <c r="S247">
        <f ca="1"/>
        <v>0.81876393497727307</v>
      </c>
      <c r="T247">
        <f ca="1"/>
        <v>0</v>
      </c>
      <c r="U247">
        <f ca="1"/>
        <v>0</v>
      </c>
      <c r="V247">
        <f ca="1"/>
        <v>0.69891892399139444</v>
      </c>
      <c r="X247" s="2">
        <f t="shared" ca="1" si="22"/>
        <v>45630</v>
      </c>
      <c r="Y247">
        <f t="shared" ca="1" si="23"/>
        <v>0</v>
      </c>
      <c r="AA247" s="63">
        <f t="shared" ca="1" si="25"/>
        <v>64.292274929000186</v>
      </c>
      <c r="AB247" s="63">
        <f t="shared" ca="1" si="26"/>
        <v>64.292274929000172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45631</v>
      </c>
      <c r="K248">
        <f ca="1"/>
        <v>63.997270626439267</v>
      </c>
      <c r="L248">
        <f ca="1"/>
        <v>0.6890498388895967</v>
      </c>
      <c r="M248">
        <f ca="1"/>
        <v>6.8897350542563629E-2</v>
      </c>
      <c r="N248">
        <f ca="1"/>
        <v>0.98432633928692215</v>
      </c>
      <c r="O248">
        <f ca="1"/>
        <v>0</v>
      </c>
      <c r="P248">
        <f ca="1"/>
        <v>15.030781216905373</v>
      </c>
      <c r="Q248">
        <f ca="1"/>
        <v>13.908352749409193</v>
      </c>
      <c r="R248">
        <f ca="1"/>
        <v>0</v>
      </c>
      <c r="S248">
        <f ca="1"/>
        <v>0.81707841646794965</v>
      </c>
      <c r="T248">
        <f ca="1"/>
        <v>0</v>
      </c>
      <c r="U248">
        <f ca="1"/>
        <v>0</v>
      </c>
      <c r="V248">
        <f ca="1"/>
        <v>0.72469296612874146</v>
      </c>
      <c r="X248" s="2">
        <f t="shared" ca="1" si="22"/>
        <v>45631</v>
      </c>
      <c r="Y248">
        <f t="shared" ca="1" si="23"/>
        <v>0</v>
      </c>
      <c r="AA248" s="63">
        <f t="shared" ca="1" si="25"/>
        <v>64.686320465328862</v>
      </c>
      <c r="AB248" s="63">
        <f t="shared" ca="1" si="26"/>
        <v>64.686320465328862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45632</v>
      </c>
      <c r="K249">
        <f ca="1"/>
        <v>64.308416860963689</v>
      </c>
      <c r="L249">
        <f ca="1"/>
        <v>0.69416159846809222</v>
      </c>
      <c r="M249">
        <f ca="1"/>
        <v>6.7620869559494423E-2</v>
      </c>
      <c r="N249">
        <f ca="1"/>
        <v>0.93768696343302271</v>
      </c>
      <c r="O249">
        <f ca="1"/>
        <v>0</v>
      </c>
      <c r="P249">
        <f ca="1"/>
        <v>15.724942815373465</v>
      </c>
      <c r="Q249">
        <f ca="1"/>
        <v>14.550677605134538</v>
      </c>
      <c r="R249">
        <f ca="1"/>
        <v>0</v>
      </c>
      <c r="S249">
        <f ca="1"/>
        <v>0.81472339134854765</v>
      </c>
      <c r="T249">
        <f ca="1"/>
        <v>0</v>
      </c>
      <c r="U249">
        <f ca="1"/>
        <v>0</v>
      </c>
      <c r="V249">
        <f ca="1"/>
        <v>0.74823317247179388</v>
      </c>
      <c r="X249" s="2">
        <f t="shared" ca="1" si="22"/>
        <v>45632</v>
      </c>
      <c r="Y249">
        <f t="shared" ca="1" si="23"/>
        <v>0</v>
      </c>
      <c r="AA249" s="63">
        <f t="shared" ca="1" si="25"/>
        <v>65.002578459431788</v>
      </c>
      <c r="AB249" s="63">
        <f t="shared" ca="1" si="26"/>
        <v>65.002578459431788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45633</v>
      </c>
      <c r="K250">
        <f ca="1"/>
        <v>64.628294430998963</v>
      </c>
      <c r="L250">
        <f ca="1"/>
        <v>0.69482870511670392</v>
      </c>
      <c r="M250">
        <f ca="1"/>
        <v>6.5926759720760231E-2</v>
      </c>
      <c r="N250">
        <f ca="1"/>
        <v>0.94877951543121486</v>
      </c>
      <c r="O250">
        <f ca="1"/>
        <v>0</v>
      </c>
      <c r="P250">
        <f ca="1"/>
        <v>16.419771520490169</v>
      </c>
      <c r="Q250">
        <f ca="1"/>
        <v>15.193619751102917</v>
      </c>
      <c r="R250">
        <f ca="1"/>
        <v>0</v>
      </c>
      <c r="S250">
        <f ca="1"/>
        <v>0.86290083077132884</v>
      </c>
      <c r="T250">
        <f ca="1"/>
        <v>0</v>
      </c>
      <c r="U250">
        <f ca="1"/>
        <v>0</v>
      </c>
      <c r="V250">
        <f ca="1"/>
        <v>0.76955915083449511</v>
      </c>
      <c r="X250" s="2">
        <f t="shared" ca="1" si="22"/>
        <v>45633</v>
      </c>
      <c r="Y250">
        <f t="shared" ca="1" si="23"/>
        <v>0</v>
      </c>
      <c r="AA250" s="63">
        <f t="shared" ca="1" si="25"/>
        <v>65.323123136115655</v>
      </c>
      <c r="AB250" s="63">
        <f t="shared" ca="1" si="26"/>
        <v>65.323123136115669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45634</v>
      </c>
      <c r="K251">
        <f ca="1"/>
        <v>64.910765179142061</v>
      </c>
      <c r="L251">
        <f ca="1"/>
        <v>0.75438690411586151</v>
      </c>
      <c r="M251">
        <f ca="1"/>
        <v>7.0042762901483258E-2</v>
      </c>
      <c r="N251">
        <f ca="1"/>
        <v>0.96681488935747328</v>
      </c>
      <c r="O251">
        <f ca="1"/>
        <v>0</v>
      </c>
      <c r="P251">
        <f ca="1"/>
        <v>17.174158424606031</v>
      </c>
      <c r="Q251">
        <f ca="1"/>
        <v>15.891672568223111</v>
      </c>
      <c r="R251">
        <f ca="1"/>
        <v>0</v>
      </c>
      <c r="S251">
        <f ca="1"/>
        <v>0.83647481691069747</v>
      </c>
      <c r="T251">
        <f ca="1"/>
        <v>0</v>
      </c>
      <c r="U251">
        <f ca="1"/>
        <v>0</v>
      </c>
      <c r="V251">
        <f ca="1"/>
        <v>0.79041074234204922</v>
      </c>
      <c r="X251" s="2">
        <f t="shared" ca="1" si="22"/>
        <v>45634</v>
      </c>
      <c r="Y251">
        <f t="shared" ca="1" si="23"/>
        <v>0</v>
      </c>
      <c r="AA251" s="63">
        <f t="shared" ca="1" si="25"/>
        <v>65.665152083257922</v>
      </c>
      <c r="AB251" s="63">
        <f t="shared" ca="1" si="26"/>
        <v>65.665152083257922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45635</v>
      </c>
      <c r="K252">
        <f ca="1"/>
        <v>65.260010064263568</v>
      </c>
      <c r="L252">
        <f ca="1"/>
        <v>0.82686905826581025</v>
      </c>
      <c r="M252">
        <f ca="1"/>
        <v>7.515102910710425E-2</v>
      </c>
      <c r="N252">
        <f ca="1"/>
        <v>1.100962914280214</v>
      </c>
      <c r="O252">
        <f ca="1"/>
        <v>0</v>
      </c>
      <c r="P252">
        <f ca="1"/>
        <v>18.001027482871841</v>
      </c>
      <c r="Q252">
        <f ca="1"/>
        <v>16.656794911098945</v>
      </c>
      <c r="R252">
        <f ca="1"/>
        <v>0</v>
      </c>
      <c r="S252">
        <f ca="1"/>
        <v>0.88761538009197505</v>
      </c>
      <c r="T252">
        <f ca="1"/>
        <v>0</v>
      </c>
      <c r="U252">
        <f ca="1"/>
        <v>0</v>
      </c>
      <c r="V252">
        <f ca="1"/>
        <v>0.81079317102113335</v>
      </c>
      <c r="X252" s="2">
        <f t="shared" ca="1" si="22"/>
        <v>45635</v>
      </c>
      <c r="Y252">
        <f t="shared" ca="1" si="23"/>
        <v>0</v>
      </c>
      <c r="AA252" s="63">
        <f t="shared" ca="1" si="25"/>
        <v>66.086879122529382</v>
      </c>
      <c r="AB252" s="63">
        <f t="shared" ca="1" si="26"/>
        <v>66.086879122529382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45636</v>
      </c>
      <c r="K253">
        <f ca="1"/>
        <v>65.585913523868157</v>
      </c>
      <c r="L253">
        <f ca="1"/>
        <v>0.9057223086482864</v>
      </c>
      <c r="M253">
        <f ca="1"/>
        <v>8.05292705475118E-2</v>
      </c>
      <c r="N253">
        <f ca="1"/>
        <v>1.1510964977053604</v>
      </c>
      <c r="O253">
        <f ca="1"/>
        <v>0</v>
      </c>
      <c r="P253">
        <f ca="1"/>
        <v>18.906749791520127</v>
      </c>
      <c r="Q253">
        <f ca="1"/>
        <v>17.494882112283236</v>
      </c>
      <c r="R253">
        <f ca="1"/>
        <v>0</v>
      </c>
      <c r="S253">
        <f ca="1"/>
        <v>0.87339049819475167</v>
      </c>
      <c r="T253">
        <f ca="1"/>
        <v>0</v>
      </c>
      <c r="U253">
        <f ca="1"/>
        <v>0</v>
      </c>
      <c r="V253">
        <f ca="1"/>
        <v>0.83049383702881019</v>
      </c>
      <c r="X253" s="2">
        <f t="shared" ca="1" si="22"/>
        <v>45636</v>
      </c>
      <c r="Y253">
        <f t="shared" ca="1" si="23"/>
        <v>0</v>
      </c>
      <c r="AA253" s="63">
        <f t="shared" ca="1" si="25"/>
        <v>66.491635832516437</v>
      </c>
      <c r="AB253" s="63">
        <f t="shared" ca="1" si="26"/>
        <v>66.491635832516437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45637</v>
      </c>
      <c r="K254">
        <f ca="1"/>
        <v>65.830313011534813</v>
      </c>
      <c r="L254">
        <f ca="1"/>
        <v>0.91757332081520815</v>
      </c>
      <c r="M254">
        <f ca="1"/>
        <v>7.8492818280619048E-2</v>
      </c>
      <c r="N254">
        <f ca="1"/>
        <v>1.0834799902012358</v>
      </c>
      <c r="O254">
        <f ca="1"/>
        <v>0</v>
      </c>
      <c r="P254">
        <f ca="1"/>
        <v>19.824323112335335</v>
      </c>
      <c r="Q254">
        <f ca="1"/>
        <v>18.343935347453151</v>
      </c>
      <c r="R254">
        <f ca="1"/>
        <v>0</v>
      </c>
      <c r="S254">
        <f ca="1"/>
        <v>0.85801772095075279</v>
      </c>
      <c r="T254">
        <f ca="1"/>
        <v>0</v>
      </c>
      <c r="U254">
        <f ca="1"/>
        <v>0</v>
      </c>
      <c r="V254">
        <f ca="1"/>
        <v>0.84800515413253874</v>
      </c>
      <c r="X254" s="2">
        <f t="shared" ca="1" si="22"/>
        <v>45637</v>
      </c>
      <c r="Y254">
        <f t="shared" ca="1" si="23"/>
        <v>0</v>
      </c>
      <c r="AA254" s="63">
        <f t="shared" ca="1" si="25"/>
        <v>66.747886332350021</v>
      </c>
      <c r="AB254" s="63">
        <f t="shared" ca="1" si="26"/>
        <v>66.747886332350021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45638</v>
      </c>
      <c r="K255">
        <f ca="1"/>
        <v>65.985911248673119</v>
      </c>
      <c r="L255">
        <f ca="1"/>
        <v>0.9506011825899563</v>
      </c>
      <c r="M255">
        <f ca="1"/>
        <v>7.8554576560023293E-2</v>
      </c>
      <c r="N255">
        <f ca="1"/>
        <v>1.0276448431682261</v>
      </c>
      <c r="O255">
        <f ca="1"/>
        <v>0</v>
      </c>
      <c r="P255">
        <f ca="1"/>
        <v>20.774924294925292</v>
      </c>
      <c r="Q255">
        <f ca="1"/>
        <v>19.223550078096451</v>
      </c>
      <c r="R255">
        <f ca="1"/>
        <v>0</v>
      </c>
      <c r="S255">
        <f ca="1"/>
        <v>0.8242496472006885</v>
      </c>
      <c r="T255">
        <f ca="1"/>
        <v>0</v>
      </c>
      <c r="U255">
        <f ca="1"/>
        <v>0</v>
      </c>
      <c r="V255">
        <f ca="1"/>
        <v>0.86389586907324745</v>
      </c>
      <c r="X255" s="2">
        <f t="shared" ca="1" si="22"/>
        <v>45638</v>
      </c>
      <c r="Y255">
        <f t="shared" ca="1" si="23"/>
        <v>0</v>
      </c>
      <c r="AA255" s="63">
        <f t="shared" ca="1" si="25"/>
        <v>66.936512431263068</v>
      </c>
      <c r="AB255" s="63">
        <f t="shared" ca="1" si="26"/>
        <v>66.936512431263083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45639</v>
      </c>
      <c r="K256">
        <f ca="1"/>
        <v>66.045168326074659</v>
      </c>
      <c r="L256">
        <f ca="1"/>
        <v>0.94989707128910439</v>
      </c>
      <c r="M256">
        <f ca="1"/>
        <v>7.5436428509526365E-2</v>
      </c>
      <c r="N256">
        <f ca="1"/>
        <v>0.93371772018110932</v>
      </c>
      <c r="O256">
        <f ca="1"/>
        <v>0</v>
      </c>
      <c r="P256">
        <f ca="1"/>
        <v>21.724821366214396</v>
      </c>
      <c r="Q256">
        <f ca="1"/>
        <v>20.102513277178904</v>
      </c>
      <c r="R256">
        <f ca="1"/>
        <v>0</v>
      </c>
      <c r="S256">
        <f ca="1"/>
        <v>0.79239206491004599</v>
      </c>
      <c r="T256">
        <f ca="1"/>
        <v>0</v>
      </c>
      <c r="U256">
        <f ca="1"/>
        <v>0</v>
      </c>
      <c r="V256">
        <f ca="1"/>
        <v>0.87779907231115917</v>
      </c>
      <c r="X256" s="2">
        <f t="shared" ca="1" si="22"/>
        <v>45639</v>
      </c>
      <c r="Y256">
        <f t="shared" ca="1" si="23"/>
        <v>0</v>
      </c>
      <c r="AA256" s="63">
        <f t="shared" ca="1" si="25"/>
        <v>66.99506539736376</v>
      </c>
      <c r="AB256" s="63">
        <f t="shared" ca="1" si="26"/>
        <v>66.99506539736376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45640</v>
      </c>
      <c r="K257">
        <f ca="1"/>
        <v>66.072729422762947</v>
      </c>
      <c r="L257">
        <f ca="1"/>
        <v>0.96099859670191279</v>
      </c>
      <c r="M257">
        <f ca="1"/>
        <v>7.359037228907539E-2</v>
      </c>
      <c r="N257">
        <f ca="1"/>
        <v>0.91496932110112239</v>
      </c>
      <c r="O257">
        <f ca="1"/>
        <v>0</v>
      </c>
      <c r="P257">
        <f ca="1"/>
        <v>22.685819962916309</v>
      </c>
      <c r="Q257">
        <f ca="1"/>
        <v>20.991748991659573</v>
      </c>
      <c r="R257">
        <f ca="1"/>
        <v>0</v>
      </c>
      <c r="S257">
        <f ca="1"/>
        <v>0.80393198432336233</v>
      </c>
      <c r="T257">
        <f ca="1"/>
        <v>0</v>
      </c>
      <c r="U257">
        <f ca="1"/>
        <v>0</v>
      </c>
      <c r="V257">
        <f ca="1"/>
        <v>0.89013373269748042</v>
      </c>
      <c r="X257" s="2">
        <f t="shared" ca="1" si="22"/>
        <v>45640</v>
      </c>
      <c r="Y257">
        <f t="shared" ca="1" si="23"/>
        <v>0</v>
      </c>
      <c r="AA257" s="63">
        <f t="shared" ca="1" si="25"/>
        <v>67.03372801946486</v>
      </c>
      <c r="AB257" s="63">
        <f t="shared" ca="1" si="26"/>
        <v>67.03372801946486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45641</v>
      </c>
      <c r="K258">
        <f ca="1"/>
        <v>66.036194943699442</v>
      </c>
      <c r="L258">
        <f ca="1"/>
        <v>1.0644058696024281</v>
      </c>
      <c r="M258">
        <f ca="1"/>
        <v>7.9345698510934426E-2</v>
      </c>
      <c r="N258">
        <f ca="1"/>
        <v>0.94852569202797876</v>
      </c>
      <c r="O258">
        <f ca="1"/>
        <v>0</v>
      </c>
      <c r="P258">
        <f ca="1"/>
        <v>23.750225832518737</v>
      </c>
      <c r="Q258">
        <f ca="1"/>
        <v>21.976670007363118</v>
      </c>
      <c r="R258">
        <f ca="1"/>
        <v>0</v>
      </c>
      <c r="S258">
        <f ca="1"/>
        <v>0.76940978841550356</v>
      </c>
      <c r="T258">
        <f ca="1"/>
        <v>0</v>
      </c>
      <c r="U258">
        <f ca="1"/>
        <v>0</v>
      </c>
      <c r="V258">
        <f ca="1"/>
        <v>0.90205409266905201</v>
      </c>
      <c r="X258" s="2">
        <f t="shared" ca="1" si="22"/>
        <v>45641</v>
      </c>
      <c r="Y258">
        <f t="shared" ca="1" si="23"/>
        <v>0</v>
      </c>
      <c r="AA258" s="63">
        <f t="shared" ca="1" si="25"/>
        <v>67.100600813301867</v>
      </c>
      <c r="AB258" s="63">
        <f t="shared" ca="1" si="26"/>
        <v>67.100600813301867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45642</v>
      </c>
      <c r="K259">
        <f ca="1"/>
        <v>65.96549628579541</v>
      </c>
      <c r="L259">
        <f ca="1"/>
        <v>1.1080560489891234</v>
      </c>
      <c r="M259">
        <f ca="1"/>
        <v>7.9627983698930649E-2</v>
      </c>
      <c r="N259">
        <f ca="1"/>
        <v>0.95772940738616674</v>
      </c>
      <c r="O259">
        <f ca="1"/>
        <v>0</v>
      </c>
      <c r="P259">
        <f ca="1"/>
        <v>24.85828188150786</v>
      </c>
      <c r="Q259">
        <f ca="1"/>
        <v>23.001981611135516</v>
      </c>
      <c r="R259">
        <f ca="1"/>
        <v>0</v>
      </c>
      <c r="S259">
        <f ca="1"/>
        <v>0.77677516597275775</v>
      </c>
      <c r="T259">
        <f ca="1"/>
        <v>0</v>
      </c>
      <c r="U259">
        <f ca="1"/>
        <v>0</v>
      </c>
      <c r="V259">
        <f ca="1"/>
        <v>0.91280779606733664</v>
      </c>
      <c r="X259" s="2">
        <f t="shared" ca="1" si="22"/>
        <v>45642</v>
      </c>
      <c r="Y259">
        <f t="shared" ca="1" si="23"/>
        <v>0</v>
      </c>
      <c r="AA259" s="63">
        <f t="shared" ca="1" si="25"/>
        <v>67.073552334784537</v>
      </c>
      <c r="AB259" s="63">
        <f t="shared" ca="1" si="26"/>
        <v>67.073552334784537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45643</v>
      </c>
      <c r="K260">
        <f ca="1"/>
        <v>65.813701567354428</v>
      </c>
      <c r="L260">
        <f ca="1"/>
        <v>1.1823606651095702</v>
      </c>
      <c r="M260">
        <f ca="1"/>
        <v>8.2179264955332343E-2</v>
      </c>
      <c r="N260">
        <f ca="1"/>
        <v>0.94838668171326623</v>
      </c>
      <c r="O260">
        <f ca="1"/>
        <v>0</v>
      </c>
      <c r="P260">
        <f ca="1"/>
        <v>26.04064254661743</v>
      </c>
      <c r="Q260">
        <f ca="1"/>
        <v>24.0960491096947</v>
      </c>
      <c r="R260">
        <f ca="1"/>
        <v>0</v>
      </c>
      <c r="S260">
        <f ca="1"/>
        <v>0.74447189952672022</v>
      </c>
      <c r="T260">
        <f ca="1"/>
        <v>0</v>
      </c>
      <c r="U260">
        <f ca="1"/>
        <v>0</v>
      </c>
      <c r="V260">
        <f ca="1"/>
        <v>0.92271148396194336</v>
      </c>
      <c r="X260" s="2">
        <f t="shared" ca="1" si="22"/>
        <v>45643</v>
      </c>
      <c r="Y260">
        <f t="shared" ca="1" si="23"/>
        <v>0</v>
      </c>
      <c r="AA260" s="63">
        <f t="shared" ca="1" si="25"/>
        <v>66.996062232463998</v>
      </c>
      <c r="AB260" s="63">
        <f t="shared" ca="1" si="26"/>
        <v>66.996062232463998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45644</v>
      </c>
      <c r="K261">
        <f ca="1"/>
        <v>65.679026723314365</v>
      </c>
      <c r="L261">
        <f ca="1"/>
        <v>1.1971651230488973</v>
      </c>
      <c r="M261">
        <f ca="1"/>
        <v>7.9706157642640107E-2</v>
      </c>
      <c r="N261">
        <f ca="1"/>
        <v>0.98278412136621163</v>
      </c>
      <c r="O261">
        <f ca="1"/>
        <v>0</v>
      </c>
      <c r="P261">
        <f ca="1"/>
        <v>27.237807669666328</v>
      </c>
      <c r="Q261">
        <f ca="1"/>
        <v>25.203815538489948</v>
      </c>
      <c r="R261">
        <f ca="1"/>
        <v>0</v>
      </c>
      <c r="S261">
        <f ca="1"/>
        <v>0.79893152453454686</v>
      </c>
      <c r="T261">
        <f ca="1"/>
        <v>0</v>
      </c>
      <c r="U261">
        <f ca="1"/>
        <v>0</v>
      </c>
      <c r="V261">
        <f ca="1"/>
        <v>0.93135018071734943</v>
      </c>
      <c r="X261" s="2">
        <f t="shared" ca="1" si="22"/>
        <v>45644</v>
      </c>
      <c r="Y261">
        <f t="shared" ca="1" si="23"/>
        <v>0</v>
      </c>
      <c r="AA261" s="63">
        <f t="shared" ca="1" si="25"/>
        <v>66.876191846363284</v>
      </c>
      <c r="AB261" s="63">
        <f t="shared" ca="1" si="26"/>
        <v>66.87619184636327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45645</v>
      </c>
      <c r="K262">
        <f ca="1"/>
        <v>65.504684215170698</v>
      </c>
      <c r="L262">
        <f ca="1"/>
        <v>1.1858137687692398</v>
      </c>
      <c r="M262">
        <f ca="1"/>
        <v>7.5587294282279061E-2</v>
      </c>
      <c r="N262">
        <f ca="1"/>
        <v>0.93588396634328441</v>
      </c>
      <c r="O262">
        <f ca="1"/>
        <v>0</v>
      </c>
      <c r="P262">
        <f ca="1"/>
        <v>28.423621438435568</v>
      </c>
      <c r="Q262">
        <f ca="1"/>
        <v>26.301078279071877</v>
      </c>
      <c r="R262">
        <f ca="1"/>
        <v>0</v>
      </c>
      <c r="S262">
        <f ca="1"/>
        <v>0.80829292900452043</v>
      </c>
      <c r="T262">
        <f ca="1"/>
        <v>0</v>
      </c>
      <c r="U262">
        <f ca="1"/>
        <v>0</v>
      </c>
      <c r="V262">
        <f ca="1"/>
        <v>0.93874959752263698</v>
      </c>
      <c r="X262" s="2">
        <f t="shared" ca="1" si="22"/>
        <v>45645</v>
      </c>
      <c r="Y262">
        <f t="shared" ca="1" si="23"/>
        <v>0</v>
      </c>
      <c r="AA262" s="63">
        <f t="shared" ca="1" si="25"/>
        <v>66.690497983939935</v>
      </c>
      <c r="AB262" s="63">
        <f t="shared" ca="1" si="26"/>
        <v>66.690497983939935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45646</v>
      </c>
      <c r="K263">
        <f ca="1"/>
        <v>65.238905255575716</v>
      </c>
      <c r="L263">
        <f ca="1"/>
        <v>1.2389101950642036</v>
      </c>
      <c r="M263">
        <f ca="1"/>
        <v>7.6176862765812814E-2</v>
      </c>
      <c r="N263">
        <f ca="1"/>
        <v>0.89695437270341738</v>
      </c>
      <c r="O263">
        <f ca="1"/>
        <v>0</v>
      </c>
      <c r="P263">
        <f ca="1"/>
        <v>29.662531633499771</v>
      </c>
      <c r="Q263">
        <f ca="1"/>
        <v>27.447472453076088</v>
      </c>
      <c r="R263">
        <f ca="1"/>
        <v>0</v>
      </c>
      <c r="S263">
        <f ca="1"/>
        <v>0.76841744746185914</v>
      </c>
      <c r="T263">
        <f ca="1"/>
        <v>0</v>
      </c>
      <c r="U263">
        <f ca="1"/>
        <v>0</v>
      </c>
      <c r="V263">
        <f ca="1"/>
        <v>0.94544554270105396</v>
      </c>
      <c r="X263" s="2">
        <f t="shared" ca="1" si="22"/>
        <v>45646</v>
      </c>
      <c r="Y263">
        <f t="shared" ca="1" si="23"/>
        <v>0</v>
      </c>
      <c r="AA263" s="63">
        <f t="shared" ca="1" si="25"/>
        <v>66.477815450639923</v>
      </c>
      <c r="AB263" s="63">
        <f t="shared" ca="1" si="26"/>
        <v>66.477815450639923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45647</v>
      </c>
      <c r="K264">
        <f ca="1"/>
        <v>64.879869545080581</v>
      </c>
      <c r="L264">
        <f ca="1"/>
        <v>1.2898794309282771</v>
      </c>
      <c r="M264">
        <f ca="1"/>
        <v>7.6444258650411712E-2</v>
      </c>
      <c r="N264">
        <f ca="1"/>
        <v>0.8543994617827384</v>
      </c>
      <c r="O264">
        <f ca="1"/>
        <v>0</v>
      </c>
      <c r="P264">
        <f ca="1"/>
        <v>30.952411064428048</v>
      </c>
      <c r="Q264">
        <f ca="1"/>
        <v>28.64102971870777</v>
      </c>
      <c r="R264">
        <f ca="1"/>
        <v>0</v>
      </c>
      <c r="S264">
        <f ca="1"/>
        <v>0.72727443169952288</v>
      </c>
      <c r="T264">
        <f ca="1"/>
        <v>0</v>
      </c>
      <c r="U264">
        <f ca="1"/>
        <v>0</v>
      </c>
      <c r="V264">
        <f ca="1"/>
        <v>0.95147204610970793</v>
      </c>
      <c r="X264" s="2">
        <f t="shared" ca="1" si="22"/>
        <v>45647</v>
      </c>
      <c r="Y264">
        <f t="shared" ca="1" si="23"/>
        <v>0</v>
      </c>
      <c r="AA264" s="63">
        <f t="shared" ca="1" si="25"/>
        <v>66.169748976008862</v>
      </c>
      <c r="AB264" s="63">
        <f t="shared" ca="1" si="26"/>
        <v>66.169748976008862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45648</v>
      </c>
      <c r="K265">
        <f ca="1"/>
        <v>64.416072360717891</v>
      </c>
      <c r="L265">
        <f ca="1"/>
        <v>1.3929190179120141</v>
      </c>
      <c r="M265">
        <f ca="1"/>
        <v>7.9904814122599532E-2</v>
      </c>
      <c r="N265">
        <f ca="1"/>
        <v>0.84921701942671246</v>
      </c>
      <c r="O265">
        <f ca="1"/>
        <v>0</v>
      </c>
      <c r="P265">
        <f ca="1"/>
        <v>32.345330082340062</v>
      </c>
      <c r="Q265">
        <f ca="1"/>
        <v>29.929932056710769</v>
      </c>
      <c r="R265">
        <f ca="1"/>
        <v>0</v>
      </c>
      <c r="S265">
        <f ca="1"/>
        <v>0.68278491103142613</v>
      </c>
      <c r="T265">
        <f ca="1"/>
        <v>0</v>
      </c>
      <c r="U265">
        <f ca="1"/>
        <v>0</v>
      </c>
      <c r="V265">
        <f ca="1"/>
        <v>0.95707402754218551</v>
      </c>
      <c r="X265" s="2">
        <f t="shared" ca="1" si="22"/>
        <v>45648</v>
      </c>
      <c r="Y265">
        <f t="shared" ca="1" si="23"/>
        <v>0</v>
      </c>
      <c r="AA265" s="63">
        <f t="shared" ca="1" si="25"/>
        <v>65.808991378629898</v>
      </c>
      <c r="AB265" s="63">
        <f t="shared" ca="1" si="26"/>
        <v>65.808991378629912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45649</v>
      </c>
      <c r="K266">
        <f ca="1"/>
        <v>63.909271705072953</v>
      </c>
      <c r="L266">
        <f ca="1"/>
        <v>1.4496459968609372</v>
      </c>
      <c r="M266">
        <f ca="1"/>
        <v>7.9998225240942133E-2</v>
      </c>
      <c r="N266">
        <f ca="1"/>
        <v>0.86284711597505692</v>
      </c>
      <c r="O266">
        <f ca="1"/>
        <v>0</v>
      </c>
      <c r="P266">
        <f ca="1"/>
        <v>33.794976079201</v>
      </c>
      <c r="Q266">
        <f ca="1"/>
        <v>31.271325268091836</v>
      </c>
      <c r="R266">
        <f ca="1"/>
        <v>0</v>
      </c>
      <c r="S266">
        <f ca="1"/>
        <v>0.69124046591656629</v>
      </c>
      <c r="T266">
        <f ca="1"/>
        <v>0</v>
      </c>
      <c r="U266">
        <f ca="1"/>
        <v>0</v>
      </c>
      <c r="V266">
        <f ca="1"/>
        <v>0.96207185004897777</v>
      </c>
      <c r="X266" s="2">
        <f t="shared" ca="1" si="22"/>
        <v>45649</v>
      </c>
      <c r="Y266">
        <f t="shared" ca="1" si="23"/>
        <v>0</v>
      </c>
      <c r="AA266" s="63">
        <f t="shared" ca="1" si="25"/>
        <v>65.35891770193389</v>
      </c>
      <c r="AB266" s="63">
        <f t="shared" ca="1" si="26"/>
        <v>65.35891770193389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45650</v>
      </c>
      <c r="K267">
        <f ca="1"/>
        <v>63.357582651969601</v>
      </c>
      <c r="L267">
        <f ca="1"/>
        <v>1.549525474313576</v>
      </c>
      <c r="M267">
        <f ca="1"/>
        <v>8.2618785850570475E-2</v>
      </c>
      <c r="N267">
        <f ca="1"/>
        <v>0.91521763535965717</v>
      </c>
      <c r="O267">
        <f ca="1"/>
        <v>0</v>
      </c>
      <c r="P267">
        <f ca="1"/>
        <v>35.344501553514576</v>
      </c>
      <c r="Q267">
        <f ca="1"/>
        <v>32.705139424518357</v>
      </c>
      <c r="R267">
        <f ca="1"/>
        <v>0</v>
      </c>
      <c r="S267">
        <f ca="1"/>
        <v>0.7053293393597424</v>
      </c>
      <c r="T267">
        <f ca="1"/>
        <v>0</v>
      </c>
      <c r="U267">
        <f ca="1"/>
        <v>0</v>
      </c>
      <c r="V267">
        <f ca="1"/>
        <v>0.96663653497455859</v>
      </c>
      <c r="X267" s="2">
        <f t="shared" ref="X267:X330" ca="1" si="29">IFERROR(J267,$X$9)</f>
        <v>45650</v>
      </c>
      <c r="Y267">
        <f t="shared" ref="Y267:Y330" ca="1" si="30">IFERROR(O267,0)</f>
        <v>0</v>
      </c>
      <c r="AA267" s="63">
        <f t="shared" ca="1" si="25"/>
        <v>64.907108126283177</v>
      </c>
      <c r="AB267" s="63">
        <f t="shared" ca="1" si="26"/>
        <v>64.907108126283177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45651</v>
      </c>
      <c r="K268">
        <f ca="1"/>
        <v>62.67725397893394</v>
      </c>
      <c r="L268">
        <f ca="1"/>
        <v>1.655369768967681</v>
      </c>
      <c r="M268">
        <f ca="1"/>
        <v>8.5248530995542637E-2</v>
      </c>
      <c r="N268">
        <f ca="1"/>
        <v>0.88979256493648295</v>
      </c>
      <c r="O268">
        <f ca="1"/>
        <v>0</v>
      </c>
      <c r="P268">
        <f ca="1"/>
        <v>36.999871322482257</v>
      </c>
      <c r="Q268">
        <f ca="1"/>
        <v>34.236893918530662</v>
      </c>
      <c r="R268">
        <f ca="1"/>
        <v>0</v>
      </c>
      <c r="S268">
        <f ca="1"/>
        <v>0.65439415796986244</v>
      </c>
      <c r="T268">
        <f ca="1"/>
        <v>0</v>
      </c>
      <c r="U268">
        <f ca="1"/>
        <v>0</v>
      </c>
      <c r="V268">
        <f ca="1"/>
        <v>0.97078152871161361</v>
      </c>
      <c r="X268" s="2">
        <f t="shared" ca="1" si="29"/>
        <v>45651</v>
      </c>
      <c r="Y268">
        <f t="shared" ca="1" si="30"/>
        <v>0</v>
      </c>
      <c r="AA268" s="63">
        <f t="shared" ca="1" si="25"/>
        <v>64.332623747901621</v>
      </c>
      <c r="AB268" s="63">
        <f t="shared" ca="1" si="26"/>
        <v>64.332623747901621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45652</v>
      </c>
      <c r="K269">
        <f ca="1"/>
        <v>61.895199851633954</v>
      </c>
      <c r="L269">
        <f ca="1"/>
        <v>1.679602301142701</v>
      </c>
      <c r="M269">
        <f ca="1"/>
        <v>8.2580267868646473E-2</v>
      </c>
      <c r="N269">
        <f ca="1"/>
        <v>0.81496790597406199</v>
      </c>
      <c r="O269">
        <f ca="1"/>
        <v>0</v>
      </c>
      <c r="P269">
        <f ca="1"/>
        <v>38.679473623624958</v>
      </c>
      <c r="Q269">
        <f ca="1"/>
        <v>35.791071372510103</v>
      </c>
      <c r="R269">
        <f ca="1"/>
        <v>0</v>
      </c>
      <c r="S269">
        <f ca="1"/>
        <v>0.61017292647969013</v>
      </c>
      <c r="T269">
        <f ca="1"/>
        <v>0</v>
      </c>
      <c r="U269">
        <f ca="1"/>
        <v>0</v>
      </c>
      <c r="V269">
        <f ca="1"/>
        <v>0.97435271764860254</v>
      </c>
      <c r="X269" s="2">
        <f t="shared" ca="1" si="29"/>
        <v>45652</v>
      </c>
      <c r="Y269">
        <f t="shared" ca="1" si="30"/>
        <v>0</v>
      </c>
      <c r="AA269" s="63">
        <f t="shared" ca="1" si="25"/>
        <v>63.574802152776648</v>
      </c>
      <c r="AB269" s="63">
        <f t="shared" ca="1" si="26"/>
        <v>63.574802152776655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45653</v>
      </c>
      <c r="K270">
        <f ca="1"/>
        <v>61.037735252271766</v>
      </c>
      <c r="L270">
        <f ca="1"/>
        <v>1.685586051674953</v>
      </c>
      <c r="M270">
        <f ca="1"/>
        <v>7.9129364737244856E-2</v>
      </c>
      <c r="N270">
        <f ca="1"/>
        <v>0.74899208757551372</v>
      </c>
      <c r="O270">
        <f ca="1"/>
        <v>0</v>
      </c>
      <c r="P270">
        <f ca="1"/>
        <v>40.365059675299911</v>
      </c>
      <c r="Q270">
        <f ca="1"/>
        <v>37.35078573850803</v>
      </c>
      <c r="R270">
        <f ca="1"/>
        <v>0</v>
      </c>
      <c r="S270">
        <f ca="1"/>
        <v>0.57747847085494597</v>
      </c>
      <c r="T270">
        <f ca="1"/>
        <v>0</v>
      </c>
      <c r="U270">
        <f ca="1"/>
        <v>0</v>
      </c>
      <c r="V270">
        <f ca="1"/>
        <v>0.97740828142431657</v>
      </c>
      <c r="X270" s="2">
        <f t="shared" ca="1" si="29"/>
        <v>45653</v>
      </c>
      <c r="Y270">
        <f t="shared" ca="1" si="30"/>
        <v>0</v>
      </c>
      <c r="AA270" s="63">
        <f t="shared" ca="1" si="25"/>
        <v>62.723321303946719</v>
      </c>
      <c r="AB270" s="63">
        <f t="shared" ca="1" si="26"/>
        <v>62.723321303946719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45654</v>
      </c>
      <c r="K271">
        <f ca="1"/>
        <v>60.129419693544094</v>
      </c>
      <c r="L271">
        <f ca="1"/>
        <v>1.7513524732355776</v>
      </c>
      <c r="M271">
        <f ca="1"/>
        <v>7.911193099478453E-2</v>
      </c>
      <c r="N271">
        <f ca="1"/>
        <v>0.76392498351312432</v>
      </c>
      <c r="O271">
        <f ca="1"/>
        <v>0</v>
      </c>
      <c r="P271">
        <f ca="1"/>
        <v>42.116412148535488</v>
      </c>
      <c r="Q271">
        <f ca="1"/>
        <v>38.971355397183814</v>
      </c>
      <c r="R271">
        <f ca="1"/>
        <v>0</v>
      </c>
      <c r="S271">
        <f ca="1"/>
        <v>0.58705322457713671</v>
      </c>
      <c r="T271">
        <f ca="1"/>
        <v>0</v>
      </c>
      <c r="U271">
        <f ca="1"/>
        <v>0</v>
      </c>
      <c r="V271">
        <f ca="1"/>
        <v>0.9801206486605768</v>
      </c>
      <c r="X271" s="2">
        <f t="shared" ca="1" si="29"/>
        <v>45654</v>
      </c>
      <c r="Y271">
        <f t="shared" ca="1" si="30"/>
        <v>0</v>
      </c>
      <c r="AA271" s="63">
        <f t="shared" ca="1" si="25"/>
        <v>61.880772166779671</v>
      </c>
      <c r="AB271" s="63">
        <f t="shared" ca="1" si="26"/>
        <v>61.880772166779671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45655</v>
      </c>
      <c r="K272">
        <f ca="1"/>
        <v>59.171102274550314</v>
      </c>
      <c r="L272">
        <f ca="1"/>
        <v>1.8033883413763263</v>
      </c>
      <c r="M272">
        <f ca="1"/>
        <v>7.8286021298261232E-2</v>
      </c>
      <c r="N272">
        <f ca="1"/>
        <v>0.76678490108428354</v>
      </c>
      <c r="O272">
        <f ca="1"/>
        <v>0</v>
      </c>
      <c r="P272">
        <f ca="1"/>
        <v>43.919800489911815</v>
      </c>
      <c r="Q272">
        <f ca="1"/>
        <v>40.640075128652164</v>
      </c>
      <c r="R272">
        <f ca="1"/>
        <v>0</v>
      </c>
      <c r="S272">
        <f ca="1"/>
        <v>0.59276207793097224</v>
      </c>
      <c r="T272">
        <f ca="1"/>
        <v>0</v>
      </c>
      <c r="U272">
        <f ca="1"/>
        <v>0</v>
      </c>
      <c r="V272">
        <f ca="1"/>
        <v>0.98250662876420602</v>
      </c>
      <c r="X272" s="2">
        <f t="shared" ca="1" si="29"/>
        <v>45655</v>
      </c>
      <c r="Y272">
        <f t="shared" ca="1" si="30"/>
        <v>0</v>
      </c>
      <c r="AA272" s="63">
        <f t="shared" ref="AA272:AA335" ca="1" si="32">K271+M272+N272+O272</f>
        <v>60.974490615926641</v>
      </c>
      <c r="AB272" s="63">
        <f t="shared" ref="AB272:AB335" ca="1" si="33">K272+L272+R272</f>
        <v>60.974490615926641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45656</v>
      </c>
      <c r="K273">
        <f ca="1"/>
        <v>58.186041948575642</v>
      </c>
      <c r="L273">
        <f ca="1"/>
        <v>1.8208545741813111</v>
      </c>
      <c r="M273">
        <f ca="1"/>
        <v>7.5789911382386776E-2</v>
      </c>
      <c r="N273">
        <f ca="1"/>
        <v>0.76000433682425583</v>
      </c>
      <c r="O273">
        <f ca="1"/>
        <v>0</v>
      </c>
      <c r="P273">
        <f ca="1"/>
        <v>45.740655064093126</v>
      </c>
      <c r="Q273">
        <f ca="1"/>
        <v>42.324956796319938</v>
      </c>
      <c r="R273">
        <f ca="1"/>
        <v>0</v>
      </c>
      <c r="S273">
        <f ca="1"/>
        <v>0.60715793270006901</v>
      </c>
      <c r="T273">
        <f ca="1"/>
        <v>0</v>
      </c>
      <c r="U273">
        <f ca="1"/>
        <v>0</v>
      </c>
      <c r="V273">
        <f ca="1"/>
        <v>0.98456899259042963</v>
      </c>
      <c r="X273" s="2">
        <f t="shared" ca="1" si="29"/>
        <v>45656</v>
      </c>
      <c r="Y273">
        <f t="shared" ca="1" si="30"/>
        <v>0</v>
      </c>
      <c r="AA273" s="63">
        <f t="shared" ca="1" si="32"/>
        <v>60.006896522756954</v>
      </c>
      <c r="AB273" s="63">
        <f t="shared" ca="1" si="33"/>
        <v>60.006896522756954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45657</v>
      </c>
      <c r="K274">
        <f ca="1"/>
        <v>57.152890620709684</v>
      </c>
      <c r="L274">
        <f ca="1"/>
        <v>1.7380779103767168</v>
      </c>
      <c r="M274">
        <f ca="1"/>
        <v>6.917096277424406E-2</v>
      </c>
      <c r="N274">
        <f ca="1"/>
        <v>0.63575561973651507</v>
      </c>
      <c r="O274">
        <f ca="1"/>
        <v>0</v>
      </c>
      <c r="P274">
        <f ca="1"/>
        <v>47.478732974469843</v>
      </c>
      <c r="Q274">
        <f ca="1"/>
        <v>43.933243174428263</v>
      </c>
      <c r="R274">
        <f ca="1"/>
        <v>0</v>
      </c>
      <c r="S274">
        <f ca="1"/>
        <v>0.54581013132923228</v>
      </c>
      <c r="T274">
        <f ca="1"/>
        <v>0</v>
      </c>
      <c r="U274">
        <f ca="1"/>
        <v>0</v>
      </c>
      <c r="V274">
        <f ca="1"/>
        <v>0.98626690661636351</v>
      </c>
      <c r="X274" s="2">
        <f t="shared" ca="1" si="29"/>
        <v>45657</v>
      </c>
      <c r="Y274">
        <f t="shared" ca="1" si="30"/>
        <v>0</v>
      </c>
      <c r="AA274" s="63">
        <f t="shared" ca="1" si="32"/>
        <v>58.890968531086401</v>
      </c>
      <c r="AB274" s="63">
        <f t="shared" ca="1" si="33"/>
        <v>58.890968531086401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45658</v>
      </c>
      <c r="K275">
        <f ca="1"/>
        <v>55.917576855235126</v>
      </c>
      <c r="L275">
        <f ca="1"/>
        <v>2.0700239682021646</v>
      </c>
      <c r="M275">
        <f ca="1"/>
        <v>8.1182608972362402E-2</v>
      </c>
      <c r="N275">
        <f ca="1"/>
        <v>0.75352759375524681</v>
      </c>
      <c r="O275">
        <f ca="1"/>
        <v>0</v>
      </c>
      <c r="P275">
        <f ca="1"/>
        <v>49.548756942672007</v>
      </c>
      <c r="Q275">
        <f ca="1"/>
        <v>45.848687430719231</v>
      </c>
      <c r="R275">
        <f ca="1"/>
        <v>0</v>
      </c>
      <c r="S275">
        <f ca="1"/>
        <v>0.5301563557000597</v>
      </c>
      <c r="T275">
        <f ca="1"/>
        <v>0</v>
      </c>
      <c r="U275">
        <f ca="1"/>
        <v>0</v>
      </c>
      <c r="V275">
        <f ca="1"/>
        <v>0.98800243375417574</v>
      </c>
      <c r="X275" s="2">
        <f t="shared" ca="1" si="29"/>
        <v>45658</v>
      </c>
      <c r="Y275">
        <f t="shared" ca="1" si="30"/>
        <v>0</v>
      </c>
      <c r="AA275" s="63">
        <f t="shared" ca="1" si="32"/>
        <v>57.98760082343729</v>
      </c>
      <c r="AB275" s="63">
        <f t="shared" ca="1" si="33"/>
        <v>57.98760082343729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45659</v>
      </c>
      <c r="K276">
        <f ca="1"/>
        <v>54.576584970382413</v>
      </c>
      <c r="L276">
        <f ca="1"/>
        <v>2.198538530919798</v>
      </c>
      <c r="M276">
        <f ca="1"/>
        <v>8.3466419512234324E-2</v>
      </c>
      <c r="N276">
        <f ca="1"/>
        <v>0.77408022655485087</v>
      </c>
      <c r="O276">
        <f ca="1"/>
        <v>0</v>
      </c>
      <c r="P276">
        <f ca="1"/>
        <v>51.747295473591805</v>
      </c>
      <c r="Q276">
        <f ca="1"/>
        <v>47.883049383031377</v>
      </c>
      <c r="R276">
        <f ca="1"/>
        <v>0</v>
      </c>
      <c r="S276">
        <f ca="1"/>
        <v>0.51993760894753327</v>
      </c>
      <c r="T276">
        <f ca="1"/>
        <v>0</v>
      </c>
      <c r="U276">
        <f ca="1"/>
        <v>0</v>
      </c>
      <c r="V276">
        <f ca="1"/>
        <v>0.9895636655318879</v>
      </c>
      <c r="X276" s="2">
        <f t="shared" ca="1" si="29"/>
        <v>45659</v>
      </c>
      <c r="Y276">
        <f t="shared" ca="1" si="30"/>
        <v>0</v>
      </c>
      <c r="AA276" s="63">
        <f t="shared" ca="1" si="32"/>
        <v>56.775123501302211</v>
      </c>
      <c r="AB276" s="63">
        <f t="shared" ca="1" si="33"/>
        <v>56.775123501302211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45660</v>
      </c>
      <c r="K277">
        <f ca="1"/>
        <v>53.213400005522494</v>
      </c>
      <c r="L277">
        <f ca="1"/>
        <v>2.270164671878689</v>
      </c>
      <c r="M277">
        <f ca="1"/>
        <v>8.2832290929218289E-2</v>
      </c>
      <c r="N277">
        <f ca="1"/>
        <v>0.82414741608955266</v>
      </c>
      <c r="O277">
        <f ca="1"/>
        <v>0</v>
      </c>
      <c r="P277">
        <f ca="1"/>
        <v>54.017460145470494</v>
      </c>
      <c r="Q277">
        <f ca="1"/>
        <v>49.983688770971078</v>
      </c>
      <c r="R277">
        <f ca="1"/>
        <v>0</v>
      </c>
      <c r="S277">
        <f ca="1"/>
        <v>0.56494369516018617</v>
      </c>
      <c r="T277">
        <f ca="1"/>
        <v>0</v>
      </c>
      <c r="U277">
        <f ca="1"/>
        <v>0</v>
      </c>
      <c r="V277">
        <f ca="1"/>
        <v>0.99092635085473013</v>
      </c>
      <c r="X277" s="2">
        <f t="shared" ca="1" si="29"/>
        <v>45660</v>
      </c>
      <c r="Y277">
        <f t="shared" ca="1" si="30"/>
        <v>0</v>
      </c>
      <c r="AA277" s="63">
        <f t="shared" ca="1" si="32"/>
        <v>55.483564677401183</v>
      </c>
      <c r="AB277" s="63">
        <f t="shared" ca="1" si="33"/>
        <v>55.483564677401183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45661</v>
      </c>
      <c r="K278">
        <f ca="1"/>
        <v>51.850008562389078</v>
      </c>
      <c r="L278">
        <f ca="1"/>
        <v>2.1456940350389502</v>
      </c>
      <c r="M278">
        <f ca="1"/>
        <v>7.3934378778183429E-2</v>
      </c>
      <c r="N278">
        <f ca="1"/>
        <v>0.70836821312735265</v>
      </c>
      <c r="O278">
        <f ca="1"/>
        <v>0</v>
      </c>
      <c r="P278">
        <f ca="1"/>
        <v>56.163154180509444</v>
      </c>
      <c r="Q278">
        <f ca="1"/>
        <v>51.969152407289577</v>
      </c>
      <c r="R278">
        <f ca="1"/>
        <v>0</v>
      </c>
      <c r="S278">
        <f ca="1"/>
        <v>0.53611402213363146</v>
      </c>
      <c r="T278">
        <f ca="1"/>
        <v>0</v>
      </c>
      <c r="U278">
        <f ca="1"/>
        <v>0</v>
      </c>
      <c r="V278">
        <f ca="1"/>
        <v>0.99202292630509703</v>
      </c>
      <c r="X278" s="2">
        <f t="shared" ca="1" si="29"/>
        <v>45661</v>
      </c>
      <c r="Y278">
        <f t="shared" ca="1" si="30"/>
        <v>0</v>
      </c>
      <c r="AA278" s="63">
        <f t="shared" ca="1" si="32"/>
        <v>53.995702597428028</v>
      </c>
      <c r="AB278" s="63">
        <f t="shared" ca="1" si="33"/>
        <v>53.995702597428028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45662</v>
      </c>
      <c r="K279">
        <f ca="1"/>
        <v>50.462751007036658</v>
      </c>
      <c r="L279">
        <f ca="1"/>
        <v>2.1249667240713919</v>
      </c>
      <c r="M279">
        <f ca="1"/>
        <v>7.0313018445496311E-2</v>
      </c>
      <c r="N279">
        <f ca="1"/>
        <v>0.66739615027347721</v>
      </c>
      <c r="O279">
        <f ca="1"/>
        <v>0</v>
      </c>
      <c r="P279">
        <f ca="1"/>
        <v>58.288120904580836</v>
      </c>
      <c r="Q279">
        <f ca="1"/>
        <v>53.935436551316677</v>
      </c>
      <c r="R279">
        <f ca="1"/>
        <v>0</v>
      </c>
      <c r="S279">
        <f ca="1"/>
        <v>0.52546666313629364</v>
      </c>
      <c r="T279">
        <f ca="1"/>
        <v>0</v>
      </c>
      <c r="U279">
        <f ca="1"/>
        <v>0</v>
      </c>
      <c r="V279">
        <f ca="1"/>
        <v>0.99295698691718537</v>
      </c>
      <c r="X279" s="2">
        <f t="shared" ca="1" si="29"/>
        <v>45662</v>
      </c>
      <c r="Y279">
        <f t="shared" ca="1" si="30"/>
        <v>0</v>
      </c>
      <c r="AA279" s="63">
        <f t="shared" ca="1" si="32"/>
        <v>52.58771773110805</v>
      </c>
      <c r="AB279" s="63">
        <f t="shared" ca="1" si="33"/>
        <v>52.58771773110805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45663</v>
      </c>
      <c r="K280">
        <f ca="1"/>
        <v>48.886858722540154</v>
      </c>
      <c r="L280">
        <f ca="1"/>
        <v>2.338007679760473</v>
      </c>
      <c r="M280">
        <f ca="1"/>
        <v>7.2490962440333817E-2</v>
      </c>
      <c r="N280">
        <f ca="1"/>
        <v>0.68962443282363606</v>
      </c>
      <c r="O280">
        <f ca="1"/>
        <v>0</v>
      </c>
      <c r="P280">
        <f ca="1"/>
        <v>60.626128584341309</v>
      </c>
      <c r="Q280">
        <f ca="1"/>
        <v>56.098852748497642</v>
      </c>
      <c r="R280">
        <f ca="1"/>
        <v>0</v>
      </c>
      <c r="S280">
        <f ca="1"/>
        <v>0.47896045929164355</v>
      </c>
      <c r="T280">
        <f ca="1"/>
        <v>0</v>
      </c>
      <c r="U280">
        <f ca="1"/>
        <v>0</v>
      </c>
      <c r="V280">
        <f ca="1"/>
        <v>0.99383923453234435</v>
      </c>
      <c r="X280" s="2">
        <f t="shared" ca="1" si="29"/>
        <v>45663</v>
      </c>
      <c r="Y280">
        <f t="shared" ca="1" si="30"/>
        <v>0</v>
      </c>
      <c r="AA280" s="63">
        <f t="shared" ca="1" si="32"/>
        <v>51.224866402300627</v>
      </c>
      <c r="AB280" s="63">
        <f t="shared" ca="1" si="33"/>
        <v>51.224866402300627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45664</v>
      </c>
      <c r="K281">
        <f ca="1"/>
        <v>47.296124744894549</v>
      </c>
      <c r="L281">
        <f ca="1"/>
        <v>2.3086818106999658</v>
      </c>
      <c r="M281">
        <f ca="1"/>
        <v>6.7551458670045861E-2</v>
      </c>
      <c r="N281">
        <f ca="1"/>
        <v>0.65039637438431119</v>
      </c>
      <c r="O281">
        <f ca="1"/>
        <v>0</v>
      </c>
      <c r="P281">
        <f ca="1"/>
        <v>62.934810395041275</v>
      </c>
      <c r="Q281">
        <f ca="1"/>
        <v>58.235132995411561</v>
      </c>
      <c r="R281">
        <f ca="1"/>
        <v>0</v>
      </c>
      <c r="S281">
        <f ca="1"/>
        <v>0.47121934510214697</v>
      </c>
      <c r="T281">
        <f ca="1"/>
        <v>0</v>
      </c>
      <c r="U281">
        <f ca="1"/>
        <v>0</v>
      </c>
      <c r="V281">
        <f ca="1"/>
        <v>0.99458570342780594</v>
      </c>
      <c r="X281" s="2">
        <f t="shared" ca="1" si="29"/>
        <v>45664</v>
      </c>
      <c r="Y281">
        <f t="shared" ca="1" si="30"/>
        <v>0</v>
      </c>
      <c r="AA281" s="63">
        <f t="shared" ca="1" si="32"/>
        <v>49.604806555594514</v>
      </c>
      <c r="AB281" s="63">
        <f t="shared" ca="1" si="33"/>
        <v>49.604806555594514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45665</v>
      </c>
      <c r="K282">
        <f ca="1"/>
        <v>45.603438151228268</v>
      </c>
      <c r="L282">
        <f ca="1"/>
        <v>2.4209521386606028</v>
      </c>
      <c r="M282">
        <f ca="1"/>
        <v>6.6995172262231506E-2</v>
      </c>
      <c r="N282">
        <f ca="1"/>
        <v>0.66127037273208733</v>
      </c>
      <c r="O282">
        <f ca="1"/>
        <v>0</v>
      </c>
      <c r="P282">
        <f ca="1"/>
        <v>65.355762533701878</v>
      </c>
      <c r="Q282">
        <f ca="1"/>
        <v>60.475299747094269</v>
      </c>
      <c r="R282">
        <f ca="1"/>
        <v>0</v>
      </c>
      <c r="S282">
        <f ca="1"/>
        <v>0.45845219785054414</v>
      </c>
      <c r="T282">
        <f ca="1"/>
        <v>0</v>
      </c>
      <c r="U282">
        <f ca="1"/>
        <v>0</v>
      </c>
      <c r="V282">
        <f ca="1"/>
        <v>0.99525769370098893</v>
      </c>
      <c r="X282" s="2">
        <f t="shared" ca="1" si="29"/>
        <v>45665</v>
      </c>
      <c r="Y282">
        <f t="shared" ca="1" si="30"/>
        <v>0</v>
      </c>
      <c r="AA282" s="63">
        <f t="shared" ca="1" si="32"/>
        <v>48.024390289888871</v>
      </c>
      <c r="AB282" s="63">
        <f t="shared" ca="1" si="33"/>
        <v>48.024390289888871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45666</v>
      </c>
      <c r="K283">
        <f ca="1"/>
        <v>43.854280987264119</v>
      </c>
      <c r="L283">
        <f ca="1"/>
        <v>2.4150814331136701</v>
      </c>
      <c r="M283">
        <f ca="1"/>
        <v>5.8603014883178872E-2</v>
      </c>
      <c r="N283">
        <f ca="1"/>
        <v>0.60732125426634809</v>
      </c>
      <c r="O283">
        <f ca="1"/>
        <v>0</v>
      </c>
      <c r="P283">
        <f ca="1"/>
        <v>67.770843966815548</v>
      </c>
      <c r="Q283">
        <f ca="1"/>
        <v>62.710034190072825</v>
      </c>
      <c r="R283">
        <f ca="1"/>
        <v>0</v>
      </c>
      <c r="S283">
        <f ca="1"/>
        <v>0.41683992298635109</v>
      </c>
      <c r="T283">
        <f ca="1"/>
        <v>0</v>
      </c>
      <c r="U283">
        <f ca="1"/>
        <v>0</v>
      </c>
      <c r="V283">
        <f ca="1"/>
        <v>0.99583364981323674</v>
      </c>
      <c r="X283" s="2">
        <f t="shared" ca="1" si="29"/>
        <v>45666</v>
      </c>
      <c r="Y283">
        <f t="shared" ca="1" si="30"/>
        <v>0</v>
      </c>
      <c r="AA283" s="63">
        <f t="shared" ca="1" si="32"/>
        <v>46.269362420377796</v>
      </c>
      <c r="AB283" s="63">
        <f t="shared" ca="1" si="33"/>
        <v>46.269362420377789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45667</v>
      </c>
      <c r="K284">
        <f ca="1"/>
        <v>41.974127272415615</v>
      </c>
      <c r="L284">
        <f ca="1"/>
        <v>2.5485947663044612</v>
      </c>
      <c r="M284">
        <f ca="1"/>
        <v>5.6214045139537205E-2</v>
      </c>
      <c r="N284">
        <f ca="1"/>
        <v>0.61222700631641835</v>
      </c>
      <c r="O284">
        <f ca="1"/>
        <v>0</v>
      </c>
      <c r="P284">
        <f ca="1"/>
        <v>70.319438733120009</v>
      </c>
      <c r="Q284">
        <f ca="1"/>
        <v>65.068311814737669</v>
      </c>
      <c r="R284">
        <f ca="1"/>
        <v>0</v>
      </c>
      <c r="S284">
        <f ca="1"/>
        <v>0.38783294606867852</v>
      </c>
      <c r="T284">
        <f ca="1"/>
        <v>0</v>
      </c>
      <c r="U284">
        <f ca="1"/>
        <v>0</v>
      </c>
      <c r="V284">
        <f ca="1"/>
        <v>0.99635604023885094</v>
      </c>
      <c r="X284" s="2">
        <f t="shared" ca="1" si="29"/>
        <v>45667</v>
      </c>
      <c r="Y284">
        <f t="shared" ca="1" si="30"/>
        <v>0</v>
      </c>
      <c r="AA284" s="63">
        <f t="shared" ca="1" si="32"/>
        <v>44.522722038720076</v>
      </c>
      <c r="AB284" s="63">
        <f t="shared" ca="1" si="33"/>
        <v>44.522722038720076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45668</v>
      </c>
      <c r="K285">
        <f ca="1"/>
        <v>40.00837463784044</v>
      </c>
      <c r="L285">
        <f ca="1"/>
        <v>2.6059856947911442</v>
      </c>
      <c r="M285">
        <f ca="1"/>
        <v>5.0975987173359272E-2</v>
      </c>
      <c r="N285">
        <f ca="1"/>
        <v>0.58925707304261266</v>
      </c>
      <c r="O285">
        <f ca="1"/>
        <v>0</v>
      </c>
      <c r="P285">
        <f ca="1"/>
        <v>72.925424427911153</v>
      </c>
      <c r="Q285">
        <f ca="1"/>
        <v>67.479694681671035</v>
      </c>
      <c r="R285">
        <f ca="1"/>
        <v>0</v>
      </c>
      <c r="S285">
        <f ca="1"/>
        <v>0.35375884649889278</v>
      </c>
      <c r="T285">
        <f ca="1"/>
        <v>0</v>
      </c>
      <c r="U285">
        <f ca="1"/>
        <v>0</v>
      </c>
      <c r="V285">
        <f ca="1"/>
        <v>0.99681435481707736</v>
      </c>
      <c r="X285" s="2">
        <f t="shared" ca="1" si="29"/>
        <v>45668</v>
      </c>
      <c r="Y285">
        <f t="shared" ca="1" si="30"/>
        <v>0</v>
      </c>
      <c r="AA285" s="63">
        <f t="shared" ca="1" si="32"/>
        <v>42.614360332631584</v>
      </c>
      <c r="AB285" s="63">
        <f t="shared" ca="1" si="33"/>
        <v>42.614360332631584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45669</v>
      </c>
      <c r="K286">
        <f ca="1"/>
        <v>37.921116700179411</v>
      </c>
      <c r="L286">
        <f ca="1"/>
        <v>2.7342050166276408</v>
      </c>
      <c r="M286">
        <f ca="1"/>
        <v>4.9245812033316128E-2</v>
      </c>
      <c r="N286">
        <f ca="1"/>
        <v>0.59770126693329428</v>
      </c>
      <c r="O286">
        <f ca="1"/>
        <v>0</v>
      </c>
      <c r="P286">
        <f ca="1"/>
        <v>75.659629444538794</v>
      </c>
      <c r="Q286">
        <f ca="1"/>
        <v>70.009722050953116</v>
      </c>
      <c r="R286">
        <f ca="1"/>
        <v>0</v>
      </c>
      <c r="S286">
        <f ca="1"/>
        <v>0.3323870389789591</v>
      </c>
      <c r="T286">
        <f ca="1"/>
        <v>0</v>
      </c>
      <c r="U286">
        <f ca="1"/>
        <v>0</v>
      </c>
      <c r="V286">
        <f ca="1"/>
        <v>0.99722641130030387</v>
      </c>
      <c r="X286" s="2">
        <f t="shared" ca="1" si="29"/>
        <v>45669</v>
      </c>
      <c r="Y286">
        <f t="shared" ca="1" si="30"/>
        <v>0</v>
      </c>
      <c r="AA286" s="63">
        <f t="shared" ca="1" si="32"/>
        <v>40.655321716807045</v>
      </c>
      <c r="AB286" s="63">
        <f t="shared" ca="1" si="33"/>
        <v>40.655321716807052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45670</v>
      </c>
      <c r="K287">
        <f ca="1"/>
        <v>35.826541402204143</v>
      </c>
      <c r="L287">
        <f ca="1"/>
        <v>2.7357706761233089</v>
      </c>
      <c r="M287">
        <f ca="1"/>
        <v>4.9327045273713566E-2</v>
      </c>
      <c r="N287">
        <f ca="1"/>
        <v>0.59186833287432461</v>
      </c>
      <c r="O287">
        <f ca="1"/>
        <v>0</v>
      </c>
      <c r="P287">
        <f ca="1"/>
        <v>78.395400120662103</v>
      </c>
      <c r="Q287">
        <f ca="1"/>
        <v>72.541198163599674</v>
      </c>
      <c r="R287">
        <f ca="1"/>
        <v>0</v>
      </c>
      <c r="S287">
        <f ca="1"/>
        <v>0.34301486017757571</v>
      </c>
      <c r="T287">
        <f ca="1"/>
        <v>0</v>
      </c>
      <c r="U287">
        <f ca="1"/>
        <v>0</v>
      </c>
      <c r="V287">
        <f ca="1"/>
        <v>0.99757976959427619</v>
      </c>
      <c r="X287" s="2">
        <f t="shared" ca="1" si="29"/>
        <v>45670</v>
      </c>
      <c r="Y287">
        <f t="shared" ca="1" si="30"/>
        <v>0</v>
      </c>
      <c r="AA287" s="63">
        <f t="shared" ca="1" si="32"/>
        <v>38.562312078327452</v>
      </c>
      <c r="AB287" s="63">
        <f t="shared" ca="1" si="33"/>
        <v>38.562312078327452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45671</v>
      </c>
      <c r="K288">
        <f ca="1"/>
        <v>33.759765942847473</v>
      </c>
      <c r="L288">
        <f ca="1"/>
        <v>2.685142576292904</v>
      </c>
      <c r="M288">
        <f ca="1"/>
        <v>4.7898052675485303E-2</v>
      </c>
      <c r="N288">
        <f ca="1"/>
        <v>0.57046906426075239</v>
      </c>
      <c r="O288">
        <f ca="1"/>
        <v>0</v>
      </c>
      <c r="P288">
        <f ca="1"/>
        <v>81.080542696955007</v>
      </c>
      <c r="Q288">
        <f ca="1"/>
        <v>75.025826846208375</v>
      </c>
      <c r="R288">
        <f ca="1"/>
        <v>0</v>
      </c>
      <c r="S288">
        <f ca="1"/>
        <v>0.35040620606914447</v>
      </c>
      <c r="T288">
        <f ca="1"/>
        <v>0</v>
      </c>
      <c r="U288">
        <f ca="1"/>
        <v>0</v>
      </c>
      <c r="V288">
        <f ca="1"/>
        <v>0.99787852071745597</v>
      </c>
      <c r="X288" s="2">
        <f t="shared" ca="1" si="29"/>
        <v>45671</v>
      </c>
      <c r="Y288">
        <f t="shared" ca="1" si="30"/>
        <v>0</v>
      </c>
      <c r="AA288" s="63">
        <f t="shared" ca="1" si="32"/>
        <v>36.444908519140384</v>
      </c>
      <c r="AB288" s="63">
        <f t="shared" ca="1" si="33"/>
        <v>36.444908519140377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45672</v>
      </c>
      <c r="K289">
        <f ca="1"/>
        <v>31.630283876398281</v>
      </c>
      <c r="L289">
        <f ca="1"/>
        <v>2.7607562253299847</v>
      </c>
      <c r="M289">
        <f ca="1"/>
        <v>4.8570014012376816E-2</v>
      </c>
      <c r="N289">
        <f ca="1"/>
        <v>0.58270414486841815</v>
      </c>
      <c r="O289">
        <f ca="1"/>
        <v>0</v>
      </c>
      <c r="P289">
        <f ca="1"/>
        <v>83.841298922284992</v>
      </c>
      <c r="Q289">
        <f ca="1"/>
        <v>77.580422704062414</v>
      </c>
      <c r="R289">
        <f ca="1"/>
        <v>0</v>
      </c>
      <c r="S289">
        <f ca="1"/>
        <v>0.35271720588710381</v>
      </c>
      <c r="T289">
        <f ca="1"/>
        <v>0</v>
      </c>
      <c r="U289">
        <f ca="1"/>
        <v>0</v>
      </c>
      <c r="V289">
        <f ca="1"/>
        <v>0.99814386396041543</v>
      </c>
      <c r="X289" s="2">
        <f t="shared" ca="1" si="29"/>
        <v>45672</v>
      </c>
      <c r="Y289">
        <f t="shared" ca="1" si="30"/>
        <v>0</v>
      </c>
      <c r="AA289" s="63">
        <f t="shared" ca="1" si="32"/>
        <v>34.391040101728265</v>
      </c>
      <c r="AB289" s="63">
        <f t="shared" ca="1" si="33"/>
        <v>34.391040101728265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45673</v>
      </c>
      <c r="K290">
        <f ca="1"/>
        <v>29.387783406209024</v>
      </c>
      <c r="L290">
        <f ca="1"/>
        <v>2.8683971469118745</v>
      </c>
      <c r="M290">
        <f ca="1"/>
        <v>4.522971515792662E-2</v>
      </c>
      <c r="N290">
        <f ca="1"/>
        <v>0.58066696156469144</v>
      </c>
      <c r="O290">
        <f ca="1"/>
        <v>0</v>
      </c>
      <c r="P290">
        <f ca="1"/>
        <v>86.709696069196866</v>
      </c>
      <c r="Q290">
        <f ca="1"/>
        <v>80.234621362730863</v>
      </c>
      <c r="R290">
        <f ca="1"/>
        <v>0</v>
      </c>
      <c r="S290">
        <f ca="1"/>
        <v>0.32132518936331367</v>
      </c>
      <c r="T290">
        <f ca="1"/>
        <v>0</v>
      </c>
      <c r="U290">
        <f ca="1"/>
        <v>0</v>
      </c>
      <c r="V290">
        <f ca="1"/>
        <v>0.99838163919187728</v>
      </c>
      <c r="X290" s="2">
        <f t="shared" ca="1" si="29"/>
        <v>45673</v>
      </c>
      <c r="Y290">
        <f t="shared" ca="1" si="30"/>
        <v>0</v>
      </c>
      <c r="AA290" s="63">
        <f t="shared" ca="1" si="32"/>
        <v>32.256180553120899</v>
      </c>
      <c r="AB290" s="63">
        <f t="shared" ca="1" si="33"/>
        <v>32.256180553120899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45674</v>
      </c>
      <c r="K291">
        <f ca="1"/>
        <v>27.071907138603027</v>
      </c>
      <c r="L291">
        <f ca="1"/>
        <v>2.9506642098812819</v>
      </c>
      <c r="M291">
        <f ca="1"/>
        <v>4.4939191232302278E-2</v>
      </c>
      <c r="N291">
        <f ca="1"/>
        <v>0.58984875104298262</v>
      </c>
      <c r="O291">
        <f ca="1"/>
        <v>0</v>
      </c>
      <c r="P291">
        <f ca="1"/>
        <v>89.660360279078148</v>
      </c>
      <c r="Q291">
        <f ca="1"/>
        <v>82.964943764731402</v>
      </c>
      <c r="R291">
        <f ca="1"/>
        <v>0</v>
      </c>
      <c r="S291">
        <f ca="1"/>
        <v>0.31554122630110187</v>
      </c>
      <c r="T291">
        <f ca="1"/>
        <v>0</v>
      </c>
      <c r="U291">
        <f ca="1"/>
        <v>0</v>
      </c>
      <c r="V291">
        <f ca="1"/>
        <v>0.99859222441822504</v>
      </c>
      <c r="X291" s="2">
        <f t="shared" ca="1" si="29"/>
        <v>45674</v>
      </c>
      <c r="Y291">
        <f t="shared" ca="1" si="30"/>
        <v>0</v>
      </c>
      <c r="AA291" s="63">
        <f t="shared" ca="1" si="32"/>
        <v>30.022571348484309</v>
      </c>
      <c r="AB291" s="63">
        <f t="shared" ca="1" si="33"/>
        <v>30.022571348484309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45675</v>
      </c>
      <c r="K292">
        <f ca="1"/>
        <v>24.786339293978816</v>
      </c>
      <c r="L292">
        <f ca="1"/>
        <v>2.9288382518525395</v>
      </c>
      <c r="M292">
        <f ca="1"/>
        <v>4.7479350448295321E-2</v>
      </c>
      <c r="N292">
        <f ca="1"/>
        <v>0.59579105678003219</v>
      </c>
      <c r="O292">
        <f ca="1"/>
        <v>0</v>
      </c>
      <c r="P292">
        <f ca="1"/>
        <v>92.589198530930688</v>
      </c>
      <c r="Q292">
        <f ca="1"/>
        <v>85.675070069205333</v>
      </c>
      <c r="R292">
        <f ca="1"/>
        <v>0</v>
      </c>
      <c r="S292">
        <f ca="1"/>
        <v>0.34411013787303985</v>
      </c>
      <c r="T292">
        <f ca="1"/>
        <v>0</v>
      </c>
      <c r="U292">
        <f ca="1"/>
        <v>0</v>
      </c>
      <c r="V292">
        <f ca="1"/>
        <v>0.99877244691817479</v>
      </c>
      <c r="X292" s="2">
        <f t="shared" ca="1" si="29"/>
        <v>45675</v>
      </c>
      <c r="Y292">
        <f t="shared" ca="1" si="30"/>
        <v>0</v>
      </c>
      <c r="AA292" s="63">
        <f t="shared" ca="1" si="32"/>
        <v>27.715177545831356</v>
      </c>
      <c r="AB292" s="63">
        <f t="shared" ca="1" si="33"/>
        <v>27.715177545831356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45676</v>
      </c>
      <c r="K293">
        <f ca="1"/>
        <v>22.418345952137063</v>
      </c>
      <c r="L293">
        <f ca="1"/>
        <v>3.0370109753914249</v>
      </c>
      <c r="M293">
        <f ca="1"/>
        <v>4.895301332079427E-2</v>
      </c>
      <c r="N293">
        <f ca="1"/>
        <v>0.62006462022887832</v>
      </c>
      <c r="O293">
        <f ca="1"/>
        <v>0</v>
      </c>
      <c r="P293">
        <f ca="1"/>
        <v>95.626209506322112</v>
      </c>
      <c r="Q293">
        <f ca="1"/>
        <v>88.485291263966886</v>
      </c>
      <c r="R293">
        <f ca="1"/>
        <v>0</v>
      </c>
      <c r="S293">
        <f ca="1"/>
        <v>0.3461991136207011</v>
      </c>
      <c r="T293">
        <f ca="1"/>
        <v>0</v>
      </c>
      <c r="U293">
        <f ca="1"/>
        <v>0</v>
      </c>
      <c r="V293">
        <f ca="1"/>
        <v>0.99893369977991953</v>
      </c>
      <c r="X293" s="2">
        <f t="shared" ca="1" si="29"/>
        <v>45676</v>
      </c>
      <c r="Y293">
        <f t="shared" ca="1" si="30"/>
        <v>0</v>
      </c>
      <c r="AA293" s="63">
        <f t="shared" ca="1" si="32"/>
        <v>25.455356927528488</v>
      </c>
      <c r="AB293" s="63">
        <f t="shared" ca="1" si="33"/>
        <v>25.455356927528488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45677</v>
      </c>
      <c r="K294">
        <f ca="1"/>
        <v>20.076887343342008</v>
      </c>
      <c r="L294">
        <f ca="1"/>
        <v>3.0062521613832729</v>
      </c>
      <c r="M294">
        <f ca="1"/>
        <v>4.9239756936078294E-2</v>
      </c>
      <c r="N294">
        <f ca="1"/>
        <v>0.61555379565213875</v>
      </c>
      <c r="O294">
        <f ca="1"/>
        <v>0</v>
      </c>
      <c r="P294">
        <f ca="1"/>
        <v>98.632461667705385</v>
      </c>
      <c r="Q294">
        <f ca="1"/>
        <v>91.267050569142967</v>
      </c>
      <c r="R294">
        <f ca="1"/>
        <v>0</v>
      </c>
      <c r="S294">
        <f ca="1"/>
        <v>0.35981929485253633</v>
      </c>
      <c r="T294">
        <f ca="1"/>
        <v>0</v>
      </c>
      <c r="U294">
        <f ca="1"/>
        <v>0</v>
      </c>
      <c r="V294">
        <f ca="1"/>
        <v>0.99907152434566149</v>
      </c>
      <c r="X294" s="2">
        <f t="shared" ca="1" si="29"/>
        <v>45677</v>
      </c>
      <c r="Y294">
        <f t="shared" ca="1" si="30"/>
        <v>0</v>
      </c>
      <c r="AA294" s="63">
        <f t="shared" ca="1" si="32"/>
        <v>23.083139504725281</v>
      </c>
      <c r="AB294" s="63">
        <f t="shared" ca="1" si="33"/>
        <v>23.083139504725281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45678</v>
      </c>
      <c r="K295">
        <f ca="1"/>
        <v>17.769749171597137</v>
      </c>
      <c r="L295">
        <f ca="1"/>
        <v>2.9483078225201922</v>
      </c>
      <c r="M295">
        <f ca="1"/>
        <v>4.7064811401266837E-2</v>
      </c>
      <c r="N295">
        <f ca="1"/>
        <v>0.59410483937405267</v>
      </c>
      <c r="O295">
        <f ca="1"/>
        <v>0</v>
      </c>
      <c r="P295">
        <f ca="1"/>
        <v>101.58076949022558</v>
      </c>
      <c r="Q295">
        <f ca="1"/>
        <v>93.995192547773669</v>
      </c>
      <c r="R295">
        <f ca="1"/>
        <v>0</v>
      </c>
      <c r="S295">
        <f ca="1"/>
        <v>0.35860347550490229</v>
      </c>
      <c r="T295">
        <f ca="1"/>
        <v>0</v>
      </c>
      <c r="U295">
        <f ca="1"/>
        <v>0</v>
      </c>
      <c r="V295">
        <f ca="1"/>
        <v>0.99918876622413444</v>
      </c>
      <c r="X295" s="2">
        <f t="shared" ca="1" si="29"/>
        <v>45678</v>
      </c>
      <c r="Y295">
        <f t="shared" ca="1" si="30"/>
        <v>0</v>
      </c>
      <c r="AA295" s="63">
        <f t="shared" ca="1" si="32"/>
        <v>20.718056994117326</v>
      </c>
      <c r="AB295" s="63">
        <f t="shared" ca="1" si="33"/>
        <v>20.71805699411733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45679</v>
      </c>
      <c r="K296">
        <f ca="1"/>
        <v>15.491261575920202</v>
      </c>
      <c r="L296">
        <f ca="1"/>
        <v>2.9051932003977043</v>
      </c>
      <c r="M296">
        <f ca="1"/>
        <v>4.580713657925628E-2</v>
      </c>
      <c r="N296">
        <f ca="1"/>
        <v>0.5808984681415128</v>
      </c>
      <c r="O296">
        <f ca="1"/>
        <v>0</v>
      </c>
      <c r="P296">
        <f ca="1"/>
        <v>104.48596269062328</v>
      </c>
      <c r="Q296">
        <f ca="1"/>
        <v>96.683439502687136</v>
      </c>
      <c r="R296">
        <f ca="1"/>
        <v>0</v>
      </c>
      <c r="S296">
        <f ca="1"/>
        <v>0.36084688320692249</v>
      </c>
      <c r="T296">
        <f ca="1"/>
        <v>0</v>
      </c>
      <c r="U296">
        <f ca="1"/>
        <v>0</v>
      </c>
      <c r="V296">
        <f ca="1"/>
        <v>0.99928942568990609</v>
      </c>
      <c r="X296" s="2">
        <f t="shared" ca="1" si="29"/>
        <v>45679</v>
      </c>
      <c r="Y296">
        <f t="shared" ca="1" si="30"/>
        <v>0</v>
      </c>
      <c r="AA296" s="63">
        <f t="shared" ca="1" si="32"/>
        <v>18.396454776317906</v>
      </c>
      <c r="AB296" s="63">
        <f t="shared" ca="1" si="33"/>
        <v>18.396454776317906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45680</v>
      </c>
      <c r="K297">
        <f ca="1"/>
        <v>13.225080499958818</v>
      </c>
      <c r="L297">
        <f ca="1"/>
        <v>2.9381438397443702</v>
      </c>
      <c r="M297">
        <f ca="1"/>
        <v>5.1340498232718801E-2</v>
      </c>
      <c r="N297">
        <f ca="1"/>
        <v>0.62062226555026834</v>
      </c>
      <c r="O297">
        <f ca="1"/>
        <v>0</v>
      </c>
      <c r="P297">
        <f ca="1"/>
        <v>107.42410653036765</v>
      </c>
      <c r="Q297">
        <f ca="1"/>
        <v>99.40217649725578</v>
      </c>
      <c r="R297">
        <f ca="1"/>
        <v>0</v>
      </c>
      <c r="S297">
        <f ca="1"/>
        <v>0.40475091321625278</v>
      </c>
      <c r="T297">
        <f ca="1"/>
        <v>0</v>
      </c>
      <c r="U297">
        <f ca="1"/>
        <v>0</v>
      </c>
      <c r="V297">
        <f ca="1"/>
        <v>0.99937831548698464</v>
      </c>
      <c r="X297" s="2">
        <f t="shared" ca="1" si="29"/>
        <v>45680</v>
      </c>
      <c r="Y297">
        <f t="shared" ca="1" si="30"/>
        <v>0</v>
      </c>
      <c r="AA297" s="63">
        <f t="shared" ca="1" si="32"/>
        <v>16.163224339703188</v>
      </c>
      <c r="AB297" s="63">
        <f t="shared" ca="1" si="33"/>
        <v>16.163224339703188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45681</v>
      </c>
      <c r="K298">
        <f ca="1"/>
        <v>10.911439958280527</v>
      </c>
      <c r="L298">
        <f ca="1"/>
        <v>2.9771468039370319</v>
      </c>
      <c r="M298">
        <f ca="1"/>
        <v>4.8876892399505323E-2</v>
      </c>
      <c r="N298">
        <f ca="1"/>
        <v>0.61462936985923511</v>
      </c>
      <c r="O298">
        <f ca="1"/>
        <v>0</v>
      </c>
      <c r="P298">
        <f ca="1"/>
        <v>110.40125333430468</v>
      </c>
      <c r="Q298">
        <f ca="1"/>
        <v>102.15700389700271</v>
      </c>
      <c r="R298">
        <f ca="1"/>
        <v>0</v>
      </c>
      <c r="S298">
        <f ca="1"/>
        <v>0.38426301646941735</v>
      </c>
      <c r="T298">
        <f ca="1"/>
        <v>0</v>
      </c>
      <c r="U298">
        <f ca="1"/>
        <v>0</v>
      </c>
      <c r="V298">
        <f ca="1"/>
        <v>0.99945696327138789</v>
      </c>
      <c r="X298" s="2">
        <f t="shared" ca="1" si="29"/>
        <v>45681</v>
      </c>
      <c r="Y298">
        <f t="shared" ca="1" si="30"/>
        <v>0</v>
      </c>
      <c r="AA298" s="63">
        <f t="shared" ca="1" si="32"/>
        <v>13.888586762217559</v>
      </c>
      <c r="AB298" s="63">
        <f t="shared" ca="1" si="33"/>
        <v>13.888586762217559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45682</v>
      </c>
      <c r="K299">
        <f ca="1"/>
        <v>8.5535859337701687</v>
      </c>
      <c r="L299">
        <f ca="1"/>
        <v>3.0000898844130006</v>
      </c>
      <c r="M299">
        <f ca="1"/>
        <v>4.4784449666096293E-2</v>
      </c>
      <c r="N299">
        <f ca="1"/>
        <v>0.5974514102365468</v>
      </c>
      <c r="O299">
        <f ca="1"/>
        <v>0</v>
      </c>
      <c r="P299">
        <f ca="1"/>
        <v>113.40134321871768</v>
      </c>
      <c r="Q299">
        <f ca="1"/>
        <v>104.93306109524201</v>
      </c>
      <c r="R299">
        <f ca="1"/>
        <v>0</v>
      </c>
      <c r="S299">
        <f ca="1"/>
        <v>0.35263735819062059</v>
      </c>
      <c r="T299">
        <f ca="1"/>
        <v>0</v>
      </c>
      <c r="U299">
        <f ca="1"/>
        <v>0</v>
      </c>
      <c r="V299">
        <f ca="1"/>
        <v>0.99952617318816794</v>
      </c>
      <c r="X299" s="2">
        <f t="shared" ca="1" si="29"/>
        <v>45682</v>
      </c>
      <c r="Y299">
        <f t="shared" ca="1" si="30"/>
        <v>0</v>
      </c>
      <c r="AA299" s="63">
        <f t="shared" ca="1" si="32"/>
        <v>11.553675818183169</v>
      </c>
      <c r="AB299" s="63">
        <f t="shared" ca="1" si="33"/>
        <v>11.553675818183169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45683</v>
      </c>
      <c r="K300">
        <f ca="1"/>
        <v>6.064328530734139</v>
      </c>
      <c r="L300">
        <f ca="1"/>
        <v>3.1760024377314693</v>
      </c>
      <c r="M300">
        <f ca="1"/>
        <v>4.648444832078269E-2</v>
      </c>
      <c r="N300">
        <f ca="1"/>
        <v>0.64026058637465655</v>
      </c>
      <c r="O300">
        <f ca="1"/>
        <v>0</v>
      </c>
      <c r="P300">
        <f ca="1"/>
        <v>116.57734565644915</v>
      </c>
      <c r="Q300">
        <f ca="1"/>
        <v>107.87189451976626</v>
      </c>
      <c r="R300">
        <f ca="1"/>
        <v>0</v>
      </c>
      <c r="S300">
        <f ca="1"/>
        <v>0.34345198704618746</v>
      </c>
      <c r="T300">
        <f ca="1"/>
        <v>0</v>
      </c>
      <c r="U300">
        <f ca="1"/>
        <v>0</v>
      </c>
      <c r="V300">
        <f ca="1"/>
        <v>0.99958996261516631</v>
      </c>
      <c r="X300" s="2">
        <f t="shared" ca="1" si="29"/>
        <v>45683</v>
      </c>
      <c r="Y300">
        <f t="shared" ca="1" si="30"/>
        <v>0</v>
      </c>
      <c r="AA300" s="63">
        <f t="shared" ca="1" si="32"/>
        <v>9.2403309684656083</v>
      </c>
      <c r="AB300" s="63">
        <f t="shared" ca="1" si="33"/>
        <v>9.2403309684656083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45684</v>
      </c>
      <c r="K301">
        <f ca="1"/>
        <v>3.6565389686927796</v>
      </c>
      <c r="L301">
        <f ca="1"/>
        <v>3.0983231095181196</v>
      </c>
      <c r="M301">
        <f ca="1"/>
        <v>4.8167157085870826E-2</v>
      </c>
      <c r="N301">
        <f ca="1"/>
        <v>0.64236639039088961</v>
      </c>
      <c r="O301">
        <f ca="1"/>
        <v>0</v>
      </c>
      <c r="P301">
        <f ca="1"/>
        <v>119.67566876596727</v>
      </c>
      <c r="Q301">
        <f ca="1"/>
        <v>110.73884934513205</v>
      </c>
      <c r="R301">
        <f ca="1"/>
        <v>0</v>
      </c>
      <c r="S301">
        <f ca="1"/>
        <v>0.37026038004266326</v>
      </c>
      <c r="T301">
        <f ca="1"/>
        <v>0</v>
      </c>
      <c r="U301">
        <f ca="1"/>
        <v>0</v>
      </c>
      <c r="V301">
        <f ca="1"/>
        <v>0.99964408149055894</v>
      </c>
      <c r="X301" s="2">
        <f t="shared" ca="1" si="29"/>
        <v>45684</v>
      </c>
      <c r="Y301">
        <f t="shared" ca="1" si="30"/>
        <v>0</v>
      </c>
      <c r="AA301" s="63">
        <f t="shared" ca="1" si="32"/>
        <v>6.7548620782108992</v>
      </c>
      <c r="AB301" s="63">
        <f t="shared" ca="1" si="33"/>
        <v>6.7548620782108992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45685</v>
      </c>
      <c r="K302">
        <f ca="1"/>
        <v>1.2720187975761998</v>
      </c>
      <c r="L302">
        <f ca="1"/>
        <v>3.041475914682124</v>
      </c>
      <c r="M302">
        <f ca="1"/>
        <v>4.3881859551355262E-2</v>
      </c>
      <c r="N302">
        <f ca="1"/>
        <v>0.61307388401418927</v>
      </c>
      <c r="O302">
        <f ca="1"/>
        <v>0</v>
      </c>
      <c r="P302">
        <f ca="1"/>
        <v>122.7171446806494</v>
      </c>
      <c r="Q302">
        <f ca="1"/>
        <v>113.55320205839311</v>
      </c>
      <c r="R302">
        <f ca="1"/>
        <v>0</v>
      </c>
      <c r="S302">
        <f ca="1"/>
        <v>0.34728606780017768</v>
      </c>
      <c r="T302">
        <f ca="1"/>
        <v>0</v>
      </c>
      <c r="U302">
        <f ca="1"/>
        <v>0</v>
      </c>
      <c r="V302">
        <f ca="1"/>
        <v>0.99969046909329773</v>
      </c>
      <c r="X302" s="2">
        <f t="shared" ca="1" si="29"/>
        <v>45685</v>
      </c>
      <c r="Y302">
        <f t="shared" ca="1" si="30"/>
        <v>0</v>
      </c>
      <c r="AA302" s="63">
        <f t="shared" ca="1" si="32"/>
        <v>4.3134947122583238</v>
      </c>
      <c r="AB302" s="63">
        <f t="shared" ca="1" si="33"/>
        <v>4.3134947122583238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45686</v>
      </c>
      <c r="K303">
        <f ca="1"/>
        <v>-1.1983901233986556</v>
      </c>
      <c r="L303">
        <f ca="1"/>
        <v>3.1322431721547019</v>
      </c>
      <c r="M303">
        <f ca="1"/>
        <v>4.1348295847491556E-2</v>
      </c>
      <c r="N303">
        <f ca="1"/>
        <v>0.62048595533235495</v>
      </c>
      <c r="O303">
        <f ca="1"/>
        <v>0</v>
      </c>
      <c r="P303">
        <f ca="1"/>
        <v>125.8493878528041</v>
      </c>
      <c r="Q303">
        <f ca="1"/>
        <v>116.45154395470509</v>
      </c>
      <c r="R303">
        <f ca="1"/>
        <v>0</v>
      </c>
      <c r="S303">
        <f ca="1"/>
        <v>0.31588475558807255</v>
      </c>
      <c r="T303">
        <f ca="1"/>
        <v>0</v>
      </c>
      <c r="U303">
        <f ca="1"/>
        <v>0</v>
      </c>
      <c r="V303">
        <f ca="1"/>
        <v>0.99973218686376342</v>
      </c>
      <c r="X303" s="2">
        <f t="shared" ca="1" si="29"/>
        <v>45686</v>
      </c>
      <c r="Y303">
        <f t="shared" ca="1" si="30"/>
        <v>0</v>
      </c>
      <c r="AA303" s="63">
        <f t="shared" ca="1" si="32"/>
        <v>1.9338530487560464</v>
      </c>
      <c r="AB303" s="63">
        <f t="shared" ca="1" si="33"/>
        <v>1.9338530487560464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45687</v>
      </c>
      <c r="K304">
        <f ca="1"/>
        <v>-3.6660822472457864</v>
      </c>
      <c r="L304">
        <f ca="1"/>
        <v>3.1258125748889398</v>
      </c>
      <c r="M304">
        <f ca="1"/>
        <v>3.9863869726787016E-2</v>
      </c>
      <c r="N304">
        <f ca="1"/>
        <v>0.61825658131502192</v>
      </c>
      <c r="O304">
        <f ca="1"/>
        <v>0</v>
      </c>
      <c r="P304">
        <f ca="1"/>
        <v>128.97520042769304</v>
      </c>
      <c r="Q304">
        <f ca="1"/>
        <v>119.34393546068998</v>
      </c>
      <c r="R304">
        <f ca="1"/>
        <v>0</v>
      </c>
      <c r="S304">
        <f ca="1"/>
        <v>0.30530637446308079</v>
      </c>
      <c r="T304">
        <f ca="1"/>
        <v>0</v>
      </c>
      <c r="U304">
        <f ca="1"/>
        <v>0</v>
      </c>
      <c r="V304">
        <f ca="1"/>
        <v>0.99976849566341808</v>
      </c>
      <c r="X304" s="2">
        <f t="shared" ca="1" si="29"/>
        <v>45687</v>
      </c>
      <c r="Y304">
        <f t="shared" ca="1" si="30"/>
        <v>0</v>
      </c>
      <c r="AA304" s="63">
        <f t="shared" ca="1" si="32"/>
        <v>-0.54026967235684664</v>
      </c>
      <c r="AB304" s="63">
        <f t="shared" ca="1" si="33"/>
        <v>-0.54026967235684653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45688</v>
      </c>
      <c r="K305">
        <f ca="1"/>
        <v>-6.0872782868019835</v>
      </c>
      <c r="L305">
        <f ca="1"/>
        <v>3.0380804624200834</v>
      </c>
      <c r="M305">
        <f ca="1"/>
        <v>3.4701576318710181E-2</v>
      </c>
      <c r="N305">
        <f ca="1"/>
        <v>0.58218284654517638</v>
      </c>
      <c r="O305">
        <f ca="1"/>
        <v>0</v>
      </c>
      <c r="P305">
        <f ca="1"/>
        <v>132.01328089011312</v>
      </c>
      <c r="Q305">
        <f ca="1"/>
        <v>122.15514627818909</v>
      </c>
      <c r="R305">
        <f ca="1"/>
        <v>0</v>
      </c>
      <c r="S305">
        <f ca="1"/>
        <v>0.27506212953196979</v>
      </c>
      <c r="T305">
        <f ca="1"/>
        <v>0</v>
      </c>
      <c r="U305">
        <f ca="1"/>
        <v>0</v>
      </c>
      <c r="V305">
        <f ca="1"/>
        <v>0.99979934703731044</v>
      </c>
      <c r="X305" s="2">
        <f t="shared" ca="1" si="29"/>
        <v>45688</v>
      </c>
      <c r="Y305">
        <f t="shared" ca="1" si="30"/>
        <v>0</v>
      </c>
      <c r="AA305" s="63">
        <f t="shared" ca="1" si="32"/>
        <v>-3.0491978243819</v>
      </c>
      <c r="AB305" s="63">
        <f t="shared" ca="1" si="33"/>
        <v>-3.0491978243819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45689</v>
      </c>
      <c r="K306">
        <f ca="1"/>
        <v>-8.436156311823888</v>
      </c>
      <c r="L306">
        <f ca="1"/>
        <v>3.003516912230765</v>
      </c>
      <c r="M306">
        <f ca="1"/>
        <v>4.0193368472550617E-2</v>
      </c>
      <c r="N306">
        <f ca="1"/>
        <v>0.61444551873630937</v>
      </c>
      <c r="O306">
        <f ca="1"/>
        <v>0</v>
      </c>
      <c r="P306">
        <f ca="1"/>
        <v>135.01679780234389</v>
      </c>
      <c r="Q306">
        <f ca="1"/>
        <v>124.93437458983121</v>
      </c>
      <c r="R306">
        <f ca="1"/>
        <v>0</v>
      </c>
      <c r="S306">
        <f ca="1"/>
        <v>0.32190142709306757</v>
      </c>
      <c r="T306">
        <f ca="1"/>
        <v>0</v>
      </c>
      <c r="U306">
        <f ca="1"/>
        <v>0</v>
      </c>
      <c r="V306">
        <f ca="1"/>
        <v>0.99982608772491566</v>
      </c>
      <c r="X306" s="2">
        <f t="shared" ca="1" si="29"/>
        <v>45689</v>
      </c>
      <c r="Y306">
        <f t="shared" ca="1" si="30"/>
        <v>0</v>
      </c>
      <c r="AA306" s="63">
        <f t="shared" ca="1" si="32"/>
        <v>-5.432639399593123</v>
      </c>
      <c r="AB306" s="63">
        <f t="shared" ca="1" si="33"/>
        <v>-5.432639399593123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45690</v>
      </c>
      <c r="K307">
        <f ca="1"/>
        <v>-10.691858163209636</v>
      </c>
      <c r="L307">
        <f ca="1"/>
        <v>2.9395488291258118</v>
      </c>
      <c r="M307">
        <f ca="1"/>
        <v>4.4494757552001829E-2</v>
      </c>
      <c r="N307">
        <f ca="1"/>
        <v>0.63935222018806181</v>
      </c>
      <c r="O307">
        <f ca="1"/>
        <v>0</v>
      </c>
      <c r="P307">
        <f ca="1"/>
        <v>137.9563466314697</v>
      </c>
      <c r="Q307">
        <f ca="1"/>
        <v>127.65441165574309</v>
      </c>
      <c r="R307">
        <f ca="1"/>
        <v>0</v>
      </c>
      <c r="S307">
        <f ca="1"/>
        <v>0.36463644788750937</v>
      </c>
      <c r="T307">
        <f ca="1"/>
        <v>0</v>
      </c>
      <c r="U307">
        <f ca="1"/>
        <v>0</v>
      </c>
      <c r="V307">
        <f ca="1"/>
        <v>0.99984908087870827</v>
      </c>
      <c r="X307" s="2">
        <f t="shared" ca="1" si="29"/>
        <v>45690</v>
      </c>
      <c r="Y307">
        <f t="shared" ca="1" si="30"/>
        <v>0</v>
      </c>
      <c r="AA307" s="63">
        <f t="shared" ca="1" si="32"/>
        <v>-7.7523093340838241</v>
      </c>
      <c r="AB307" s="63">
        <f t="shared" ca="1" si="33"/>
        <v>-7.7523093340838241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45691</v>
      </c>
      <c r="K308">
        <f ca="1"/>
        <v>-12.961821512935742</v>
      </c>
      <c r="L308">
        <f ca="1"/>
        <v>2.9408694923579333</v>
      </c>
      <c r="M308">
        <f ca="1"/>
        <v>4.1186895494448095E-2</v>
      </c>
      <c r="N308">
        <f ca="1"/>
        <v>0.62971924713737826</v>
      </c>
      <c r="O308">
        <f ca="1"/>
        <v>0</v>
      </c>
      <c r="P308">
        <f ca="1"/>
        <v>140.89721612382763</v>
      </c>
      <c r="Q308">
        <f ca="1"/>
        <v>130.3756707639314</v>
      </c>
      <c r="R308">
        <f ca="1"/>
        <v>0</v>
      </c>
      <c r="S308">
        <f ca="1"/>
        <v>0.33512618942535288</v>
      </c>
      <c r="T308">
        <f ca="1"/>
        <v>0</v>
      </c>
      <c r="U308">
        <f ca="1"/>
        <v>0</v>
      </c>
      <c r="V308">
        <f ca="1"/>
        <v>0.99986931436539916</v>
      </c>
      <c r="X308" s="2">
        <f t="shared" ca="1" si="29"/>
        <v>45691</v>
      </c>
      <c r="Y308">
        <f t="shared" ca="1" si="30"/>
        <v>0</v>
      </c>
      <c r="AA308" s="63">
        <f t="shared" ca="1" si="32"/>
        <v>-10.020952020577809</v>
      </c>
      <c r="AB308" s="63">
        <f t="shared" ca="1" si="33"/>
        <v>-10.020952020577809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45692</v>
      </c>
      <c r="K309">
        <f ca="1"/>
        <v>-15.111973518414043</v>
      </c>
      <c r="L309">
        <f ca="1"/>
        <v>2.8327903034798112</v>
      </c>
      <c r="M309">
        <f ca="1"/>
        <v>4.3822691635398314E-2</v>
      </c>
      <c r="N309">
        <f ca="1"/>
        <v>0.63881560636611256</v>
      </c>
      <c r="O309">
        <f ca="1"/>
        <v>0</v>
      </c>
      <c r="P309">
        <f ca="1"/>
        <v>143.73000642730744</v>
      </c>
      <c r="Q309">
        <f ca="1"/>
        <v>132.99692153176176</v>
      </c>
      <c r="R309">
        <f ca="1"/>
        <v>0</v>
      </c>
      <c r="S309">
        <f ca="1"/>
        <v>0.37117685277151174</v>
      </c>
      <c r="T309">
        <f ca="1"/>
        <v>0</v>
      </c>
      <c r="U309">
        <f ca="1"/>
        <v>0</v>
      </c>
      <c r="V309">
        <f ca="1"/>
        <v>0.99988648909018985</v>
      </c>
      <c r="X309" s="2">
        <f t="shared" ca="1" si="29"/>
        <v>45692</v>
      </c>
      <c r="Y309">
        <f t="shared" ca="1" si="30"/>
        <v>0</v>
      </c>
      <c r="AA309" s="63">
        <f t="shared" ca="1" si="32"/>
        <v>-12.279183214934232</v>
      </c>
      <c r="AB309" s="63">
        <f t="shared" ca="1" si="33"/>
        <v>-12.279183214934232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45693</v>
      </c>
      <c r="K310">
        <f ca="1"/>
        <v>-17.175104210814141</v>
      </c>
      <c r="L310">
        <f ca="1"/>
        <v>2.7154390865673861</v>
      </c>
      <c r="M310">
        <f ca="1"/>
        <v>4.1028879431109999E-2</v>
      </c>
      <c r="N310">
        <f ca="1"/>
        <v>0.61127951473617959</v>
      </c>
      <c r="O310">
        <f ca="1"/>
        <v>0</v>
      </c>
      <c r="P310">
        <f ca="1"/>
        <v>146.44544551387483</v>
      </c>
      <c r="Q310">
        <f ca="1"/>
        <v>135.50958432290366</v>
      </c>
      <c r="R310">
        <f ca="1"/>
        <v>0</v>
      </c>
      <c r="S310">
        <f ca="1"/>
        <v>0.36333251263690935</v>
      </c>
      <c r="T310">
        <f ca="1"/>
        <v>0</v>
      </c>
      <c r="U310">
        <f ca="1"/>
        <v>0</v>
      </c>
      <c r="V310">
        <f ca="1"/>
        <v>0.99990105978473787</v>
      </c>
      <c r="X310" s="2">
        <f t="shared" ca="1" si="29"/>
        <v>45693</v>
      </c>
      <c r="Y310">
        <f t="shared" ca="1" si="30"/>
        <v>0</v>
      </c>
      <c r="AA310" s="63">
        <f t="shared" ca="1" si="32"/>
        <v>-14.459665124246754</v>
      </c>
      <c r="AB310" s="63">
        <f t="shared" ca="1" si="33"/>
        <v>-14.459665124246754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45694</v>
      </c>
      <c r="K311">
        <f ca="1"/>
        <v>-19.157785816604097</v>
      </c>
      <c r="L311">
        <f ca="1"/>
        <v>2.5783058035710837</v>
      </c>
      <c r="M311">
        <f ca="1"/>
        <v>3.5247101672624126E-2</v>
      </c>
      <c r="N311">
        <f ca="1"/>
        <v>0.56037709610850162</v>
      </c>
      <c r="O311">
        <f ca="1"/>
        <v>0</v>
      </c>
      <c r="P311">
        <f ca="1"/>
        <v>149.02375131744591</v>
      </c>
      <c r="Q311">
        <f ca="1"/>
        <v>137.89535430348081</v>
      </c>
      <c r="R311">
        <f ca="1"/>
        <v>0</v>
      </c>
      <c r="S311">
        <f ca="1"/>
        <v>0.32917150016943603</v>
      </c>
      <c r="T311">
        <f ca="1"/>
        <v>0</v>
      </c>
      <c r="U311">
        <f ca="1"/>
        <v>0</v>
      </c>
      <c r="V311">
        <f ca="1"/>
        <v>0.99991336400625319</v>
      </c>
      <c r="X311" s="2">
        <f t="shared" ca="1" si="29"/>
        <v>45694</v>
      </c>
      <c r="Y311">
        <f t="shared" ca="1" si="30"/>
        <v>0</v>
      </c>
      <c r="AA311" s="63">
        <f t="shared" ca="1" si="32"/>
        <v>-16.579480013033013</v>
      </c>
      <c r="AB311" s="63">
        <f t="shared" ca="1" si="33"/>
        <v>-16.579480013033013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45695</v>
      </c>
      <c r="K312">
        <f ca="1"/>
        <v>-21.050782912903632</v>
      </c>
      <c r="L312">
        <f ca="1"/>
        <v>2.4811720705395999</v>
      </c>
      <c r="M312">
        <f ca="1"/>
        <v>3.5176597414356081E-2</v>
      </c>
      <c r="N312">
        <f ca="1"/>
        <v>0.55299837682570996</v>
      </c>
      <c r="O312">
        <f ca="1"/>
        <v>0</v>
      </c>
      <c r="P312">
        <f ca="1"/>
        <v>151.50492338798551</v>
      </c>
      <c r="Q312">
        <f ca="1"/>
        <v>140.19124404407751</v>
      </c>
      <c r="R312">
        <f ca="1"/>
        <v>0</v>
      </c>
      <c r="S312">
        <f ca="1"/>
        <v>0.34002105824461237</v>
      </c>
      <c r="T312">
        <f ca="1"/>
        <v>0</v>
      </c>
      <c r="U312">
        <f ca="1"/>
        <v>0</v>
      </c>
      <c r="V312">
        <f ca="1"/>
        <v>0.99992394084511738</v>
      </c>
      <c r="X312" s="2">
        <f t="shared" ca="1" si="29"/>
        <v>45695</v>
      </c>
      <c r="Y312">
        <f t="shared" ca="1" si="30"/>
        <v>0</v>
      </c>
      <c r="AA312" s="63">
        <f t="shared" ca="1" si="32"/>
        <v>-18.569610842364032</v>
      </c>
      <c r="AB312" s="63">
        <f t="shared" ca="1" si="33"/>
        <v>-18.569610842364032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45696</v>
      </c>
      <c r="K313">
        <f ca="1"/>
        <v>-22.93384077426634</v>
      </c>
      <c r="L313">
        <f ca="1"/>
        <v>2.4950766120144863</v>
      </c>
      <c r="M313">
        <f ca="1"/>
        <v>3.6401822438563158E-2</v>
      </c>
      <c r="N313">
        <f ca="1"/>
        <v>0.5756169282132142</v>
      </c>
      <c r="O313">
        <f ca="1"/>
        <v>0</v>
      </c>
      <c r="P313">
        <f ca="1"/>
        <v>154</v>
      </c>
      <c r="Q313">
        <f ca="1"/>
        <v>142.50000000000003</v>
      </c>
      <c r="R313">
        <f ca="1"/>
        <v>0</v>
      </c>
      <c r="S313">
        <f ca="1"/>
        <v>0.34514814101282892</v>
      </c>
      <c r="T313">
        <f ca="1"/>
        <v>0</v>
      </c>
      <c r="U313">
        <f ca="1"/>
        <v>0</v>
      </c>
      <c r="V313">
        <f ca="1"/>
        <v>0.99993345063478134</v>
      </c>
      <c r="X313" s="2">
        <f t="shared" ca="1" si="29"/>
        <v>45696</v>
      </c>
      <c r="Y313">
        <f t="shared" ca="1" si="30"/>
        <v>0</v>
      </c>
      <c r="AA313" s="63">
        <f t="shared" ca="1" si="32"/>
        <v>-20.438764162251854</v>
      </c>
      <c r="AB313" s="63">
        <f t="shared" ca="1" si="33"/>
        <v>-20.438764162251854</v>
      </c>
      <c r="AC313" s="3">
        <f t="shared" ca="1" si="34"/>
        <v>0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Y4" workbookViewId="0">
      <selection activeCell="AM11" sqref="AM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  <col min="39" max="39" width="15.88671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93" activePane="bottomRight" state="frozen"/>
      <selection pane="topRight" activeCell="G1" sqref="G1"/>
      <selection pane="bottomLeft" activeCell="A2" sqref="A2"/>
      <selection pane="bottomRight" activeCell="E35" sqref="E35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2024-06-22T06:22:45Z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