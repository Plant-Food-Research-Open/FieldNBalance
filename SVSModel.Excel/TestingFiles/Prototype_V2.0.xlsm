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SVS\modelCsharp\"/>
    </mc:Choice>
  </mc:AlternateContent>
  <xr:revisionPtr revIDLastSave="0" documentId="13_ncr:1_{DBF5BBFD-7FD9-445E-9B7D-CDD5EC7574C7}" xr6:coauthVersionLast="47" xr6:coauthVersionMax="47" xr10:uidLastSave="{00000000-0000-0000-0000-000000000000}"/>
  <bookViews>
    <workbookView xWindow="-120" yWindow="-120" windowWidth="29040" windowHeight="15225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nnual_ryegrass">ListMembers!$A$2:$A$4</definedName>
    <definedName name="AWC">ConceptDemo!$D$72</definedName>
    <definedName name="Barley">ListMembers!$B$2:$B$4</definedName>
    <definedName name="Bean">ListMembers!$C$2:$C$4</definedName>
    <definedName name="Broad_bean">ListMembers!$D$2:$D$4</definedName>
    <definedName name="Broccoli">ListMembers!$E$2:$E$4</definedName>
    <definedName name="Brussel_sprout">ListMembers!$F$2:$F$4</definedName>
    <definedName name="Bulb">ListMembers!$A$8:$A$38</definedName>
    <definedName name="BulkDensity">ConceptDemo!$D$23</definedName>
    <definedName name="Cabbage">ListMembers!$G$2:$G$4</definedName>
    <definedName name="Canola">ListMembers!$H$2:$H$4</definedName>
    <definedName name="Carrot">ListMembers!$I$2:$I$4</definedName>
    <definedName name="Cauliflower">ListMembers!$J$2:$J$4</definedName>
    <definedName name="Celery">ListMembers!$K$2:$K$4</definedName>
    <definedName name="Chickpea">ListMembers!$L$2:$L$4</definedName>
    <definedName name="Choy_sum">ListMembers!$M$2:$M$4</definedName>
    <definedName name="Cocksfoot">ListMembers!$N$2:$N$4</definedName>
    <definedName name="Coriander">ListMembers!$O$2:$O$4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fficiency">ConceptDemo!$D$71</definedName>
    <definedName name="Fibre">ListMembers!$B$8:$B$38</definedName>
    <definedName name="Fodder">ListMembers!$C$8:$C$38</definedName>
    <definedName name="Fodder_beet">ListMembers!$P$2:$P$4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ListMembers!$Q$2:$Q$4</definedName>
    <definedName name="Grain">ListMembers!$D$8:$D$38</definedName>
    <definedName name="Green_manure">ListMembers!$E$8:$E$38</definedName>
    <definedName name="Hemp">ListMembers!$R$2:$R$4</definedName>
    <definedName name="HWEON">ConceptDemo!$D$19</definedName>
    <definedName name="InCropRain">ConceptDemo!$G$5</definedName>
    <definedName name="InitialDate">ConceptDemo!$B$39</definedName>
    <definedName name="InitialN">ConceptDemo!$D$69</definedName>
    <definedName name="Irrigation">ConceptDemo!$G$6</definedName>
    <definedName name="Kale">ListMembers!$S$2:$S$4</definedName>
    <definedName name="Kumara">ListMembers!$T$2:$T$4</definedName>
    <definedName name="Leek">ListMembers!$U$2:$U$4</definedName>
    <definedName name="Lentil">ListMembers!$V$2:$V$4</definedName>
    <definedName name="Lettuce">ListMembers!$W$2:$W$4</definedName>
    <definedName name="Linseed">ListMembers!$X$2:$X$4</definedName>
    <definedName name="Location">ConceptDemo!$D$4</definedName>
    <definedName name="Lupin">ListMembers!$Y$2:$Y$4</definedName>
    <definedName name="Maize">ListMembers!$Z$2:$Z$4</definedName>
    <definedName name="ModelOutputs">'Model Interface'!$P$6:$AB$495</definedName>
    <definedName name="Mustard">ListMembers!$AA$2:$AA$4</definedName>
    <definedName name="Oat">ListMembers!$AB$2:$AB$4</definedName>
    <definedName name="Onion">ListMembers!$AC$2:$AC$4</definedName>
    <definedName name="Pak_choi">ListMembers!$AD$2:$AD$4</definedName>
    <definedName name="Parsnip">ListMembers!$AE$2:$AE$4</definedName>
    <definedName name="Pea">ListMembers!$AF$2:$AF$4</definedName>
    <definedName name="Phacelia">ListMembers!$AG$2:$AG$4</definedName>
    <definedName name="PMN">ConceptDemo!$D$19</definedName>
    <definedName name="PMNtype">ConceptDemo!$D$20</definedName>
    <definedName name="PMNtypes">ListMembers!$AC$7:$AC$8</definedName>
    <definedName name="Potato">ListMembers!$AH$2:$AH$4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ListMembers!$AI$2:$AI$4</definedName>
    <definedName name="Radish">ListMembers!$AJ$2:$AJ$4</definedName>
    <definedName name="Rape">ListMembers!$AK$2:$AK$4</definedName>
    <definedName name="Red_beet">ListMembers!$AL$2:$AL$4</definedName>
    <definedName name="Rock_melon">ListMembers!$AM$2:$AM$4</definedName>
    <definedName name="Rye_corn">ListMembers!$AN$2:$AN$4</definedName>
    <definedName name="Ryegrass">ListMembers!$AO$2:$AO$4</definedName>
    <definedName name="SampleDepth">ConceptDemo!$D$21</definedName>
    <definedName name="Seed">ListMembers!$F$8:$F$38</definedName>
    <definedName name="Silver_beet">ListMembers!$AP$2:$AP$4</definedName>
    <definedName name="SoilOrder">ConceptDemo!$D$22</definedName>
    <definedName name="SoilOrders">ListMembers!$AH$7:$AJ$12</definedName>
    <definedName name="Spinach">ListMembers!$AQ$2:$AQ$4</definedName>
    <definedName name="Splits">ConceptDemo!$D$25</definedName>
    <definedName name="Spring_onion">ListMembers!$AR$2:$AR$4</definedName>
    <definedName name="Squash">ListMembers!$AS$2:$AS$4</definedName>
    <definedName name="StartGraphDate">ConceptDemo!$R$14</definedName>
    <definedName name="StartSchedullingDate">ConceptDemo!$D$44</definedName>
    <definedName name="Sunflower">ListMembers!$AT$2:$AT$4</definedName>
    <definedName name="Swede">ListMembers!$AU$2:$AU$4</definedName>
    <definedName name="Sweetcorn">ListMembers!$AV$2:$AV$4</definedName>
    <definedName name="Teir">ConceptDemo!#REF!</definedName>
    <definedName name="Tomato">ListMembers!$AW$2:$AW$4</definedName>
    <definedName name="Trigger">ConceptDemo!$D$70</definedName>
    <definedName name="Triticale">ListMembers!$AX$2:$AX$4</definedName>
    <definedName name="Tulip">ListMembers!$AY$2:$AY$4</definedName>
    <definedName name="Turnip">ListMembers!$AZ$2:$AZ$4</definedName>
    <definedName name="Vegetable">ListMembers!$G$8:$G$38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9" i="1" l="1"/>
  <c r="D21" i="1"/>
  <c r="B4" i="3" s="1"/>
  <c r="D20" i="1"/>
  <c r="B6" i="3" s="1"/>
  <c r="D22" i="1"/>
  <c r="B3" i="3" s="1"/>
  <c r="D9" i="1"/>
  <c r="D10" i="1" s="1"/>
  <c r="D25" i="1"/>
  <c r="B10" i="3" s="1"/>
  <c r="D72" i="1"/>
  <c r="B11" i="3" s="1"/>
  <c r="G4" i="1"/>
  <c r="B12" i="3" s="1"/>
  <c r="G5" i="1"/>
  <c r="B13" i="3" s="1"/>
  <c r="G6" i="1"/>
  <c r="B14" i="3" s="1"/>
  <c r="C25" i="1"/>
  <c r="B1" i="1"/>
  <c r="G55" i="1"/>
  <c r="B25" i="3" s="1"/>
  <c r="G66" i="1"/>
  <c r="B47" i="3" s="1"/>
  <c r="G15" i="1"/>
  <c r="B36" i="3" s="1"/>
  <c r="G65" i="1"/>
  <c r="B46" i="3" s="1"/>
  <c r="G54" i="1"/>
  <c r="B24" i="3" s="1"/>
  <c r="G14" i="1"/>
  <c r="B35" i="3" s="1"/>
  <c r="B7" i="3"/>
  <c r="D7" i="1"/>
  <c r="D8" i="1" s="1"/>
  <c r="D71" i="1"/>
  <c r="B9" i="3" s="1"/>
  <c r="D70" i="1"/>
  <c r="B8" i="3" s="1"/>
  <c r="B2" i="3"/>
  <c r="D47" i="1"/>
  <c r="D48" i="1"/>
  <c r="D49" i="1"/>
  <c r="D59" i="1"/>
  <c r="D58" i="1"/>
  <c r="D60" i="1"/>
  <c r="D9" i="3"/>
  <c r="E9" i="3"/>
  <c r="E8" i="3"/>
  <c r="D8" i="3"/>
  <c r="E7" i="3"/>
  <c r="D7" i="3"/>
  <c r="E6" i="3"/>
  <c r="D6" i="3"/>
  <c r="E5" i="3"/>
  <c r="D5" i="3"/>
  <c r="E4" i="3"/>
  <c r="E3" i="3"/>
  <c r="D3" i="3"/>
  <c r="D2" i="3"/>
  <c r="E13" i="3"/>
  <c r="D15" i="3"/>
  <c r="E15" i="3"/>
  <c r="D16" i="3"/>
  <c r="E16" i="3"/>
  <c r="D17" i="3"/>
  <c r="E17" i="3"/>
  <c r="D18" i="3"/>
  <c r="E18" i="3"/>
  <c r="E14" i="3"/>
  <c r="D14" i="3"/>
  <c r="D11" i="3"/>
  <c r="D12" i="3"/>
  <c r="E12" i="3"/>
  <c r="A1" i="4" a="1"/>
  <c r="B21" i="1" l="1"/>
  <c r="D23" i="1" s="1"/>
  <c r="B5" i="3" s="1"/>
  <c r="J4" i="3"/>
  <c r="J3" i="3"/>
  <c r="B39" i="1"/>
  <c r="H1" i="4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O10" i="4"/>
  <c r="W10" i="4"/>
  <c r="AE10" i="4"/>
  <c r="F11" i="4"/>
  <c r="N11" i="4"/>
  <c r="V11" i="4"/>
  <c r="AD11" i="4"/>
  <c r="E12" i="4"/>
  <c r="M12" i="4"/>
  <c r="U12" i="4"/>
  <c r="AC12" i="4"/>
  <c r="D13" i="4"/>
  <c r="L13" i="4"/>
  <c r="T13" i="4"/>
  <c r="AB13" i="4"/>
  <c r="C14" i="4"/>
  <c r="K14" i="4"/>
  <c r="S14" i="4"/>
  <c r="AA14" i="4"/>
  <c r="B15" i="4"/>
  <c r="J15" i="4"/>
  <c r="R15" i="4"/>
  <c r="Z15" i="4"/>
  <c r="A16" i="4"/>
  <c r="I16" i="4"/>
  <c r="Q16" i="4"/>
  <c r="Y16" i="4"/>
  <c r="AG16" i="4"/>
  <c r="H17" i="4"/>
  <c r="P17" i="4"/>
  <c r="X17" i="4"/>
  <c r="AF17" i="4"/>
  <c r="G18" i="4"/>
  <c r="O18" i="4"/>
  <c r="W18" i="4"/>
  <c r="AE18" i="4"/>
  <c r="F19" i="4"/>
  <c r="N19" i="4"/>
  <c r="V19" i="4"/>
  <c r="AD19" i="4"/>
  <c r="E20" i="4"/>
  <c r="M20" i="4"/>
  <c r="U20" i="4"/>
  <c r="AC20" i="4"/>
  <c r="D21" i="4"/>
  <c r="L21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AA19" i="4"/>
  <c r="B20" i="4"/>
  <c r="J20" i="4"/>
  <c r="R20" i="4"/>
  <c r="Z20" i="4"/>
  <c r="A21" i="4"/>
  <c r="I21" i="4"/>
  <c r="Q21" i="4"/>
  <c r="F1" i="4"/>
  <c r="N1" i="4"/>
  <c r="V1" i="4"/>
  <c r="AD1" i="4"/>
  <c r="E2" i="4"/>
  <c r="M2" i="4"/>
  <c r="U2" i="4"/>
  <c r="AC2" i="4"/>
  <c r="D3" i="4"/>
  <c r="L3" i="4"/>
  <c r="T3" i="4"/>
  <c r="AB3" i="4"/>
  <c r="C4" i="4"/>
  <c r="K4" i="4"/>
  <c r="S4" i="4"/>
  <c r="AA4" i="4"/>
  <c r="B5" i="4"/>
  <c r="J5" i="4"/>
  <c r="R5" i="4"/>
  <c r="Z5" i="4"/>
  <c r="A6" i="4"/>
  <c r="I6" i="4"/>
  <c r="Q6" i="4"/>
  <c r="Y6" i="4"/>
  <c r="AG6" i="4"/>
  <c r="H7" i="4"/>
  <c r="P7" i="4"/>
  <c r="X7" i="4"/>
  <c r="AF7" i="4"/>
  <c r="G8" i="4"/>
  <c r="O8" i="4"/>
  <c r="W8" i="4"/>
  <c r="AE8" i="4"/>
  <c r="G1" i="4"/>
  <c r="O1" i="4"/>
  <c r="W1" i="4"/>
  <c r="AE1" i="4"/>
  <c r="F2" i="4"/>
  <c r="N2" i="4"/>
  <c r="V2" i="4"/>
  <c r="AD2" i="4"/>
  <c r="E3" i="4"/>
  <c r="M3" i="4"/>
  <c r="U3" i="4"/>
  <c r="AC3" i="4"/>
  <c r="D4" i="4"/>
  <c r="L4" i="4"/>
  <c r="T4" i="4"/>
  <c r="AB4" i="4"/>
  <c r="C5" i="4"/>
  <c r="K5" i="4"/>
  <c r="S5" i="4"/>
  <c r="AA5" i="4"/>
  <c r="B6" i="4"/>
  <c r="J6" i="4"/>
  <c r="R6" i="4"/>
  <c r="Z6" i="4"/>
  <c r="A7" i="4"/>
  <c r="I7" i="4"/>
  <c r="Q7" i="4"/>
  <c r="Y7" i="4"/>
  <c r="AG7" i="4"/>
  <c r="H8" i="4"/>
  <c r="P8" i="4"/>
  <c r="X8" i="4"/>
  <c r="AF8" i="4"/>
  <c r="G9" i="4"/>
  <c r="O9" i="4"/>
  <c r="W9" i="4"/>
  <c r="AE9" i="4"/>
  <c r="F10" i="4"/>
  <c r="N10" i="4"/>
  <c r="V10" i="4"/>
  <c r="AD10" i="4"/>
  <c r="E11" i="4"/>
  <c r="M11" i="4"/>
  <c r="U11" i="4"/>
  <c r="AC11" i="4"/>
  <c r="D12" i="4"/>
  <c r="L12" i="4"/>
  <c r="T12" i="4"/>
  <c r="AB12" i="4"/>
  <c r="C13" i="4"/>
  <c r="K13" i="4"/>
  <c r="S13" i="4"/>
  <c r="AA13" i="4"/>
  <c r="B14" i="4"/>
  <c r="J14" i="4"/>
  <c r="R14" i="4"/>
  <c r="Z14" i="4"/>
  <c r="A15" i="4"/>
  <c r="I15" i="4"/>
  <c r="Q15" i="4"/>
  <c r="Y15" i="4"/>
  <c r="AG15" i="4"/>
  <c r="H16" i="4"/>
  <c r="P16" i="4"/>
  <c r="X16" i="4"/>
  <c r="AF16" i="4"/>
  <c r="G17" i="4"/>
  <c r="B1" i="4"/>
  <c r="A2" i="4"/>
  <c r="AG2" i="4"/>
  <c r="AF3" i="4"/>
  <c r="AE4" i="4"/>
  <c r="AD5" i="4"/>
  <c r="AC6" i="4"/>
  <c r="AB7" i="4"/>
  <c r="AA8" i="4"/>
  <c r="R9" i="4"/>
  <c r="E10" i="4"/>
  <c r="Z10" i="4"/>
  <c r="P11" i="4"/>
  <c r="C12" i="4"/>
  <c r="X12" i="4"/>
  <c r="N13" i="4"/>
  <c r="A14" i="4"/>
  <c r="V14" i="4"/>
  <c r="L15" i="4"/>
  <c r="AF15" i="4"/>
  <c r="S16" i="4"/>
  <c r="B17" i="4"/>
  <c r="O17" i="4"/>
  <c r="Z17" i="4"/>
  <c r="C18" i="4"/>
  <c r="N18" i="4"/>
  <c r="Y18" i="4"/>
  <c r="B19" i="4"/>
  <c r="M19" i="4"/>
  <c r="X19" i="4"/>
  <c r="A20" i="4"/>
  <c r="L20" i="4"/>
  <c r="W20" i="4"/>
  <c r="AG20" i="4"/>
  <c r="K21" i="4"/>
  <c r="U21" i="4"/>
  <c r="AC21" i="4"/>
  <c r="D22" i="4"/>
  <c r="L22" i="4"/>
  <c r="T22" i="4"/>
  <c r="AB22" i="4"/>
  <c r="C23" i="4"/>
  <c r="K23" i="4"/>
  <c r="S23" i="4"/>
  <c r="AA23" i="4"/>
  <c r="B24" i="4"/>
  <c r="J24" i="4"/>
  <c r="R24" i="4"/>
  <c r="Z24" i="4"/>
  <c r="A25" i="4"/>
  <c r="I25" i="4"/>
  <c r="Q25" i="4"/>
  <c r="Y25" i="4"/>
  <c r="AG25" i="4"/>
  <c r="H26" i="4"/>
  <c r="P26" i="4"/>
  <c r="X26" i="4"/>
  <c r="AF26" i="4"/>
  <c r="G27" i="4"/>
  <c r="O27" i="4"/>
  <c r="W27" i="4"/>
  <c r="AE27" i="4"/>
  <c r="F28" i="4"/>
  <c r="N28" i="4"/>
  <c r="V28" i="4"/>
  <c r="AD28" i="4"/>
  <c r="E29" i="4"/>
  <c r="M29" i="4"/>
  <c r="U29" i="4"/>
  <c r="AC29" i="4"/>
  <c r="D30" i="4"/>
  <c r="L30" i="4"/>
  <c r="T30" i="4"/>
  <c r="AB30" i="4"/>
  <c r="C31" i="4"/>
  <c r="K31" i="4"/>
  <c r="S31" i="4"/>
  <c r="AA31" i="4"/>
  <c r="B32" i="4"/>
  <c r="J32" i="4"/>
  <c r="R32" i="4"/>
  <c r="Z32" i="4"/>
  <c r="A33" i="4"/>
  <c r="I33" i="4"/>
  <c r="Q33" i="4"/>
  <c r="Y33" i="4"/>
  <c r="AG33" i="4"/>
  <c r="H34" i="4"/>
  <c r="P34" i="4"/>
  <c r="X34" i="4"/>
  <c r="AF34" i="4"/>
  <c r="G35" i="4"/>
  <c r="O35" i="4"/>
  <c r="W35" i="4"/>
  <c r="AE35" i="4"/>
  <c r="F36" i="4"/>
  <c r="N36" i="4"/>
  <c r="V36" i="4"/>
  <c r="AD36" i="4"/>
  <c r="E37" i="4"/>
  <c r="M37" i="4"/>
  <c r="U37" i="4"/>
  <c r="AC37" i="4"/>
  <c r="D38" i="4"/>
  <c r="L38" i="4"/>
  <c r="T38" i="4"/>
  <c r="AB38" i="4"/>
  <c r="C39" i="4"/>
  <c r="K39" i="4"/>
  <c r="S39" i="4"/>
  <c r="AA39" i="4"/>
  <c r="B40" i="4"/>
  <c r="J40" i="4"/>
  <c r="R40" i="4"/>
  <c r="Z40" i="4"/>
  <c r="A41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C1" i="4"/>
  <c r="B2" i="4"/>
  <c r="A3" i="4"/>
  <c r="G9" i="1" s="1"/>
  <c r="AG3" i="4"/>
  <c r="AF4" i="4"/>
  <c r="AE5" i="4"/>
  <c r="AD6" i="4"/>
  <c r="AC7" i="4"/>
  <c r="AB8" i="4"/>
  <c r="S9" i="4"/>
  <c r="I10" i="4"/>
  <c r="AC10" i="4"/>
  <c r="Q11" i="4"/>
  <c r="G12" i="4"/>
  <c r="AA12" i="4"/>
  <c r="O13" i="4"/>
  <c r="E14" i="4"/>
  <c r="Y14" i="4"/>
  <c r="M15" i="4"/>
  <c r="C16" i="4"/>
  <c r="T16" i="4"/>
  <c r="C17" i="4"/>
  <c r="R1" i="4"/>
  <c r="Q2" i="4"/>
  <c r="P3" i="4"/>
  <c r="O4" i="4"/>
  <c r="N5" i="4"/>
  <c r="M6" i="4"/>
  <c r="L7" i="4"/>
  <c r="K8" i="4"/>
  <c r="F9" i="4"/>
  <c r="AA9" i="4"/>
  <c r="Q10" i="4"/>
  <c r="D11" i="4"/>
  <c r="Y11" i="4"/>
  <c r="O12" i="4"/>
  <c r="B13" i="4"/>
  <c r="W13" i="4"/>
  <c r="M14" i="4"/>
  <c r="AG14" i="4"/>
  <c r="U15" i="4"/>
  <c r="K16" i="4"/>
  <c r="AA16" i="4"/>
  <c r="J17" i="4"/>
  <c r="T17" i="4"/>
  <c r="AE17" i="4"/>
  <c r="I18" i="4"/>
  <c r="S18" i="4"/>
  <c r="AD18" i="4"/>
  <c r="H19" i="4"/>
  <c r="R19" i="4"/>
  <c r="AC19" i="4"/>
  <c r="G20" i="4"/>
  <c r="Q20" i="4"/>
  <c r="AB20" i="4"/>
  <c r="F21" i="4"/>
  <c r="P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E25" i="4"/>
  <c r="M25" i="4"/>
  <c r="U25" i="4"/>
  <c r="AC25" i="4"/>
  <c r="D26" i="4"/>
  <c r="L26" i="4"/>
  <c r="T26" i="4"/>
  <c r="AB26" i="4"/>
  <c r="C27" i="4"/>
  <c r="K27" i="4"/>
  <c r="S27" i="4"/>
  <c r="AA27" i="4"/>
  <c r="B28" i="4"/>
  <c r="J28" i="4"/>
  <c r="R28" i="4"/>
  <c r="Z28" i="4"/>
  <c r="A29" i="4"/>
  <c r="I29" i="4"/>
  <c r="Q29" i="4"/>
  <c r="Y29" i="4"/>
  <c r="AG29" i="4"/>
  <c r="H30" i="4"/>
  <c r="P30" i="4"/>
  <c r="X30" i="4"/>
  <c r="AF30" i="4"/>
  <c r="S1" i="4"/>
  <c r="R2" i="4"/>
  <c r="Q3" i="4"/>
  <c r="P4" i="4"/>
  <c r="O5" i="4"/>
  <c r="N6" i="4"/>
  <c r="M7" i="4"/>
  <c r="L8" i="4"/>
  <c r="J9" i="4"/>
  <c r="AD9" i="4"/>
  <c r="R10" i="4"/>
  <c r="H11" i="4"/>
  <c r="AB11" i="4"/>
  <c r="P12" i="4"/>
  <c r="F13" i="4"/>
  <c r="Z13" i="4"/>
  <c r="N14" i="4"/>
  <c r="D15" i="4"/>
  <c r="X15" i="4"/>
  <c r="L16" i="4"/>
  <c r="AB16" i="4"/>
  <c r="K17" i="4"/>
  <c r="V17" i="4"/>
  <c r="AG17" i="4"/>
  <c r="J18" i="4"/>
  <c r="U18" i="4"/>
  <c r="AF18" i="4"/>
  <c r="I19" i="4"/>
  <c r="T19" i="4"/>
  <c r="AE19" i="4"/>
  <c r="H20" i="4"/>
  <c r="S20" i="4"/>
  <c r="AD20" i="4"/>
  <c r="G21" i="4"/>
  <c r="R21" i="4"/>
  <c r="Z21" i="4"/>
  <c r="A22" i="4"/>
  <c r="I22" i="4"/>
  <c r="Q22" i="4"/>
  <c r="Y22" i="4"/>
  <c r="AG22" i="4"/>
  <c r="H23" i="4"/>
  <c r="P23" i="4"/>
  <c r="X23" i="4"/>
  <c r="AF23" i="4"/>
  <c r="G24" i="4"/>
  <c r="O24" i="4"/>
  <c r="W24" i="4"/>
  <c r="AE24" i="4"/>
  <c r="F25" i="4"/>
  <c r="N25" i="4"/>
  <c r="V25" i="4"/>
  <c r="AD25" i="4"/>
  <c r="E26" i="4"/>
  <c r="M26" i="4"/>
  <c r="U26" i="4"/>
  <c r="AC26" i="4"/>
  <c r="D27" i="4"/>
  <c r="L27" i="4"/>
  <c r="T27" i="4"/>
  <c r="AB27" i="4"/>
  <c r="C28" i="4"/>
  <c r="K28" i="4"/>
  <c r="S28" i="4"/>
  <c r="AA28" i="4"/>
  <c r="B29" i="4"/>
  <c r="J29" i="4"/>
  <c r="R29" i="4"/>
  <c r="Z29" i="4"/>
  <c r="A30" i="4"/>
  <c r="I30" i="4"/>
  <c r="Q30" i="4"/>
  <c r="Y30" i="4"/>
  <c r="AG30" i="4"/>
  <c r="H31" i="4"/>
  <c r="P31" i="4"/>
  <c r="X31" i="4"/>
  <c r="AF31" i="4"/>
  <c r="G32" i="4"/>
  <c r="O32" i="4"/>
  <c r="W32" i="4"/>
  <c r="AE32" i="4"/>
  <c r="F33" i="4"/>
  <c r="N33" i="4"/>
  <c r="V33" i="4"/>
  <c r="Z1" i="4"/>
  <c r="Y2" i="4"/>
  <c r="X3" i="4"/>
  <c r="W4" i="4"/>
  <c r="V5" i="4"/>
  <c r="U6" i="4"/>
  <c r="T7" i="4"/>
  <c r="S8" i="4"/>
  <c r="K9" i="4"/>
  <c r="A10" i="4"/>
  <c r="U10" i="4"/>
  <c r="I11" i="4"/>
  <c r="AF11" i="4"/>
  <c r="S12" i="4"/>
  <c r="G13" i="4"/>
  <c r="AD13" i="4"/>
  <c r="Q14" i="4"/>
  <c r="E15" i="4"/>
  <c r="AB15" i="4"/>
  <c r="O16" i="4"/>
  <c r="AE16" i="4"/>
  <c r="L17" i="4"/>
  <c r="AA1" i="4"/>
  <c r="Z2" i="4"/>
  <c r="Y3" i="4"/>
  <c r="X4" i="4"/>
  <c r="W5" i="4"/>
  <c r="V6" i="4"/>
  <c r="U7" i="4"/>
  <c r="T8" i="4"/>
  <c r="N9" i="4"/>
  <c r="B10" i="4"/>
  <c r="Y10" i="4"/>
  <c r="L11" i="4"/>
  <c r="AG11" i="4"/>
  <c r="W12" i="4"/>
  <c r="J13" i="4"/>
  <c r="AE13" i="4"/>
  <c r="U14" i="4"/>
  <c r="H15" i="4"/>
  <c r="AC15" i="4"/>
  <c r="R16" i="4"/>
  <c r="A17" i="4"/>
  <c r="N17" i="4"/>
  <c r="Y17" i="4"/>
  <c r="B18" i="4"/>
  <c r="M18" i="4"/>
  <c r="X18" i="4"/>
  <c r="A19" i="4"/>
  <c r="L19" i="4"/>
  <c r="W19" i="4"/>
  <c r="AG19" i="4"/>
  <c r="K20" i="4"/>
  <c r="V20" i="4"/>
  <c r="AF20" i="4"/>
  <c r="J21" i="4"/>
  <c r="T21" i="4"/>
  <c r="AB21" i="4"/>
  <c r="C22" i="4"/>
  <c r="K22" i="4"/>
  <c r="S22" i="4"/>
  <c r="AA22" i="4"/>
  <c r="B23" i="4"/>
  <c r="J23" i="4"/>
  <c r="R23" i="4"/>
  <c r="Z23" i="4"/>
  <c r="A24" i="4"/>
  <c r="I24" i="4"/>
  <c r="Q24" i="4"/>
  <c r="Y24" i="4"/>
  <c r="AG24" i="4"/>
  <c r="H25" i="4"/>
  <c r="P25" i="4"/>
  <c r="X25" i="4"/>
  <c r="AF25" i="4"/>
  <c r="G26" i="4"/>
  <c r="O26" i="4"/>
  <c r="W26" i="4"/>
  <c r="AE26" i="4"/>
  <c r="F27" i="4"/>
  <c r="N27" i="4"/>
  <c r="V27" i="4"/>
  <c r="AD27" i="4"/>
  <c r="E28" i="4"/>
  <c r="M28" i="4"/>
  <c r="U28" i="4"/>
  <c r="AC28" i="4"/>
  <c r="D29" i="4"/>
  <c r="L29" i="4"/>
  <c r="T29" i="4"/>
  <c r="AB29" i="4"/>
  <c r="C30" i="4"/>
  <c r="K30" i="4"/>
  <c r="S30" i="4"/>
  <c r="AA30" i="4"/>
  <c r="B31" i="4"/>
  <c r="J1" i="4"/>
  <c r="F5" i="4"/>
  <c r="B9" i="4"/>
  <c r="T11" i="4"/>
  <c r="F14" i="4"/>
  <c r="W16" i="4"/>
  <c r="AA17" i="4"/>
  <c r="P18" i="4"/>
  <c r="D19" i="4"/>
  <c r="Y19" i="4"/>
  <c r="N20" i="4"/>
  <c r="B21" i="4"/>
  <c r="V21" i="4"/>
  <c r="E22" i="4"/>
  <c r="U22" i="4"/>
  <c r="D23" i="4"/>
  <c r="T23" i="4"/>
  <c r="C24" i="4"/>
  <c r="S24" i="4"/>
  <c r="B25" i="4"/>
  <c r="R25" i="4"/>
  <c r="A26" i="4"/>
  <c r="Q26" i="4"/>
  <c r="AG26" i="4"/>
  <c r="P27" i="4"/>
  <c r="AF27" i="4"/>
  <c r="O28" i="4"/>
  <c r="AE28" i="4"/>
  <c r="N29" i="4"/>
  <c r="AD29" i="4"/>
  <c r="M30" i="4"/>
  <c r="AC30" i="4"/>
  <c r="I31" i="4"/>
  <c r="T31" i="4"/>
  <c r="AD31" i="4"/>
  <c r="H32" i="4"/>
  <c r="S32" i="4"/>
  <c r="AC32" i="4"/>
  <c r="G33" i="4"/>
  <c r="R33" i="4"/>
  <c r="AB33" i="4"/>
  <c r="D34" i="4"/>
  <c r="M34" i="4"/>
  <c r="V34" i="4"/>
  <c r="AE34" i="4"/>
  <c r="H35" i="4"/>
  <c r="Q35" i="4"/>
  <c r="Z35" i="4"/>
  <c r="B36" i="4"/>
  <c r="K36" i="4"/>
  <c r="T36" i="4"/>
  <c r="AC36" i="4"/>
  <c r="F37" i="4"/>
  <c r="O37" i="4"/>
  <c r="X37" i="4"/>
  <c r="AG37" i="4"/>
  <c r="I38" i="4"/>
  <c r="R38" i="4"/>
  <c r="AA38" i="4"/>
  <c r="D39" i="4"/>
  <c r="M39" i="4"/>
  <c r="V39" i="4"/>
  <c r="AE39" i="4"/>
  <c r="G40" i="4"/>
  <c r="P40" i="4"/>
  <c r="Y40" i="4"/>
  <c r="B41" i="4"/>
  <c r="K41" i="4"/>
  <c r="T41" i="4"/>
  <c r="AC41" i="4"/>
  <c r="E42" i="4"/>
  <c r="N42" i="4"/>
  <c r="W42" i="4"/>
  <c r="AG42" i="4"/>
  <c r="I43" i="4"/>
  <c r="R43" i="4"/>
  <c r="AA43" i="4"/>
  <c r="C44" i="4"/>
  <c r="L44" i="4"/>
  <c r="U44" i="4"/>
  <c r="AE44" i="4"/>
  <c r="F45" i="4"/>
  <c r="N45" i="4"/>
  <c r="V45" i="4"/>
  <c r="AD45" i="4"/>
  <c r="E46" i="4"/>
  <c r="M46" i="4"/>
  <c r="U46" i="4"/>
  <c r="AC46" i="4"/>
  <c r="D47" i="4"/>
  <c r="L47" i="4"/>
  <c r="T47" i="4"/>
  <c r="AB47" i="4"/>
  <c r="C48" i="4"/>
  <c r="K48" i="4"/>
  <c r="S48" i="4"/>
  <c r="AA48" i="4"/>
  <c r="B49" i="4"/>
  <c r="J49" i="4"/>
  <c r="R49" i="4"/>
  <c r="Z49" i="4"/>
  <c r="A50" i="4"/>
  <c r="I50" i="4"/>
  <c r="Q50" i="4"/>
  <c r="Y50" i="4"/>
  <c r="AG50" i="4"/>
  <c r="H51" i="4"/>
  <c r="P51" i="4"/>
  <c r="X51" i="4"/>
  <c r="AF51" i="4"/>
  <c r="G52" i="4"/>
  <c r="O52" i="4"/>
  <c r="W52" i="4"/>
  <c r="AE52" i="4"/>
  <c r="F53" i="4"/>
  <c r="N53" i="4"/>
  <c r="V53" i="4"/>
  <c r="AD53" i="4"/>
  <c r="E54" i="4"/>
  <c r="M54" i="4"/>
  <c r="U54" i="4"/>
  <c r="AC54" i="4"/>
  <c r="D55" i="4"/>
  <c r="L55" i="4"/>
  <c r="T55" i="4"/>
  <c r="AB55" i="4"/>
  <c r="C56" i="4"/>
  <c r="K56" i="4"/>
  <c r="S56" i="4"/>
  <c r="AA56" i="4"/>
  <c r="B57" i="4"/>
  <c r="J57" i="4"/>
  <c r="R57" i="4"/>
  <c r="Z57" i="4"/>
  <c r="A58" i="4"/>
  <c r="I58" i="4"/>
  <c r="Q58" i="4"/>
  <c r="Y58" i="4"/>
  <c r="AG58" i="4"/>
  <c r="H59" i="4"/>
  <c r="P59" i="4"/>
  <c r="X59" i="4"/>
  <c r="AF59" i="4"/>
  <c r="G60" i="4"/>
  <c r="O60" i="4"/>
  <c r="I2" i="4"/>
  <c r="E6" i="4"/>
  <c r="V9" i="4"/>
  <c r="H12" i="4"/>
  <c r="AC14" i="4"/>
  <c r="F17" i="4"/>
  <c r="AD17" i="4"/>
  <c r="R18" i="4"/>
  <c r="J2" i="4"/>
  <c r="F6" i="4"/>
  <c r="Z9" i="4"/>
  <c r="K12" i="4"/>
  <c r="AD14" i="4"/>
  <c r="I17" i="4"/>
  <c r="A18" i="4"/>
  <c r="V18" i="4"/>
  <c r="H3" i="4"/>
  <c r="D7" i="4"/>
  <c r="J10" i="4"/>
  <c r="AE12" i="4"/>
  <c r="P15" i="4"/>
  <c r="Q17" i="4"/>
  <c r="E18" i="4"/>
  <c r="Z18" i="4"/>
  <c r="O19" i="4"/>
  <c r="C20" i="4"/>
  <c r="X20" i="4"/>
  <c r="M21" i="4"/>
  <c r="AD21" i="4"/>
  <c r="M22" i="4"/>
  <c r="AC22" i="4"/>
  <c r="L23" i="4"/>
  <c r="AB23" i="4"/>
  <c r="K24" i="4"/>
  <c r="AA24" i="4"/>
  <c r="J25" i="4"/>
  <c r="Z25" i="4"/>
  <c r="I26" i="4"/>
  <c r="Y26" i="4"/>
  <c r="H27" i="4"/>
  <c r="X27" i="4"/>
  <c r="G28" i="4"/>
  <c r="W28" i="4"/>
  <c r="F29" i="4"/>
  <c r="V29" i="4"/>
  <c r="E30" i="4"/>
  <c r="U30" i="4"/>
  <c r="D31" i="4"/>
  <c r="N31" i="4"/>
  <c r="Y31" i="4"/>
  <c r="C32" i="4"/>
  <c r="M32" i="4"/>
  <c r="X32" i="4"/>
  <c r="B33" i="4"/>
  <c r="L33" i="4"/>
  <c r="W33" i="4"/>
  <c r="AF33" i="4"/>
  <c r="I34" i="4"/>
  <c r="R34" i="4"/>
  <c r="AA34" i="4"/>
  <c r="C35" i="4"/>
  <c r="L35" i="4"/>
  <c r="U35" i="4"/>
  <c r="AD35" i="4"/>
  <c r="G36" i="4"/>
  <c r="P36" i="4"/>
  <c r="Y36" i="4"/>
  <c r="A37" i="4"/>
  <c r="J37" i="4"/>
  <c r="S37" i="4"/>
  <c r="AB37" i="4"/>
  <c r="E38" i="4"/>
  <c r="N38" i="4"/>
  <c r="W38" i="4"/>
  <c r="AF38" i="4"/>
  <c r="H39" i="4"/>
  <c r="Q39" i="4"/>
  <c r="Z39" i="4"/>
  <c r="C40" i="4"/>
  <c r="L40" i="4"/>
  <c r="U40" i="4"/>
  <c r="AD40" i="4"/>
  <c r="F41" i="4"/>
  <c r="O41" i="4"/>
  <c r="X41" i="4"/>
  <c r="A42" i="4"/>
  <c r="J42" i="4"/>
  <c r="S42" i="4"/>
  <c r="AB42" i="4"/>
  <c r="D43" i="4"/>
  <c r="M43" i="4"/>
  <c r="V43" i="4"/>
  <c r="AF43" i="4"/>
  <c r="H44" i="4"/>
  <c r="Q44" i="4"/>
  <c r="Z44" i="4"/>
  <c r="B45" i="4"/>
  <c r="J45" i="4"/>
  <c r="R45" i="4"/>
  <c r="Z45" i="4"/>
  <c r="A46" i="4"/>
  <c r="I3" i="4"/>
  <c r="E7" i="4"/>
  <c r="M10" i="4"/>
  <c r="AF12" i="4"/>
  <c r="T15" i="4"/>
  <c r="R17" i="4"/>
  <c r="F18" i="4"/>
  <c r="AA18" i="4"/>
  <c r="P19" i="4"/>
  <c r="D20" i="4"/>
  <c r="Y20" i="4"/>
  <c r="N21" i="4"/>
  <c r="AE21" i="4"/>
  <c r="N22" i="4"/>
  <c r="AD22" i="4"/>
  <c r="M23" i="4"/>
  <c r="AC23" i="4"/>
  <c r="L24" i="4"/>
  <c r="AB24" i="4"/>
  <c r="K25" i="4"/>
  <c r="AA25" i="4"/>
  <c r="J26" i="4"/>
  <c r="Z26" i="4"/>
  <c r="I27" i="4"/>
  <c r="Y27" i="4"/>
  <c r="H28" i="4"/>
  <c r="X28" i="4"/>
  <c r="G29" i="4"/>
  <c r="W29" i="4"/>
  <c r="F30" i="4"/>
  <c r="V30" i="4"/>
  <c r="E31" i="4"/>
  <c r="O31" i="4"/>
  <c r="Z31" i="4"/>
  <c r="D32" i="4"/>
  <c r="N32" i="4"/>
  <c r="Y32" i="4"/>
  <c r="C33" i="4"/>
  <c r="M33" i="4"/>
  <c r="X33" i="4"/>
  <c r="A34" i="4"/>
  <c r="J34" i="4"/>
  <c r="S34" i="4"/>
  <c r="AB34" i="4"/>
  <c r="D35" i="4"/>
  <c r="M35" i="4"/>
  <c r="V35" i="4"/>
  <c r="AF35" i="4"/>
  <c r="H36" i="4"/>
  <c r="Q36" i="4"/>
  <c r="Z36" i="4"/>
  <c r="B37" i="4"/>
  <c r="K37" i="4"/>
  <c r="T37" i="4"/>
  <c r="AD37" i="4"/>
  <c r="F38" i="4"/>
  <c r="O38" i="4"/>
  <c r="X38" i="4"/>
  <c r="AG38" i="4"/>
  <c r="I39" i="4"/>
  <c r="R39" i="4"/>
  <c r="AB39" i="4"/>
  <c r="D40" i="4"/>
  <c r="M40" i="4"/>
  <c r="V40" i="4"/>
  <c r="AE40" i="4"/>
  <c r="G41" i="4"/>
  <c r="G4" i="4"/>
  <c r="C8" i="4"/>
  <c r="AG10" i="4"/>
  <c r="R13" i="4"/>
  <c r="D16" i="4"/>
  <c r="S17" i="4"/>
  <c r="H18" i="4"/>
  <c r="AC18" i="4"/>
  <c r="Q19" i="4"/>
  <c r="F20" i="4"/>
  <c r="AA20" i="4"/>
  <c r="O21" i="4"/>
  <c r="AF21" i="4"/>
  <c r="O22" i="4"/>
  <c r="AE22" i="4"/>
  <c r="N23" i="4"/>
  <c r="AD23" i="4"/>
  <c r="M24" i="4"/>
  <c r="AC24" i="4"/>
  <c r="L25" i="4"/>
  <c r="AB25" i="4"/>
  <c r="K26" i="4"/>
  <c r="AA26" i="4"/>
  <c r="J27" i="4"/>
  <c r="Z27" i="4"/>
  <c r="I28" i="4"/>
  <c r="Y28" i="4"/>
  <c r="H29" i="4"/>
  <c r="X29" i="4"/>
  <c r="G30" i="4"/>
  <c r="W30" i="4"/>
  <c r="F31" i="4"/>
  <c r="Q31" i="4"/>
  <c r="AB31" i="4"/>
  <c r="E32" i="4"/>
  <c r="P32" i="4"/>
  <c r="AA32" i="4"/>
  <c r="D33" i="4"/>
  <c r="O33" i="4"/>
  <c r="Z33" i="4"/>
  <c r="B34" i="4"/>
  <c r="K34" i="4"/>
  <c r="T34" i="4"/>
  <c r="AC34" i="4"/>
  <c r="E35" i="4"/>
  <c r="N35" i="4"/>
  <c r="X35" i="4"/>
  <c r="AG35" i="4"/>
  <c r="I36" i="4"/>
  <c r="R36" i="4"/>
  <c r="AA36" i="4"/>
  <c r="C37" i="4"/>
  <c r="L37" i="4"/>
  <c r="V37" i="4"/>
  <c r="AE37" i="4"/>
  <c r="G38" i="4"/>
  <c r="P38" i="4"/>
  <c r="Y38" i="4"/>
  <c r="A39" i="4"/>
  <c r="J39" i="4"/>
  <c r="T39" i="4"/>
  <c r="AC39" i="4"/>
  <c r="E40" i="4"/>
  <c r="N40" i="4"/>
  <c r="W40" i="4"/>
  <c r="AF40" i="4"/>
  <c r="H41" i="4"/>
  <c r="K1" i="4"/>
  <c r="I14" i="4"/>
  <c r="E19" i="4"/>
  <c r="O20" i="4"/>
  <c r="W21" i="4"/>
  <c r="V22" i="4"/>
  <c r="U23" i="4"/>
  <c r="T24" i="4"/>
  <c r="S25" i="4"/>
  <c r="R26" i="4"/>
  <c r="Q27" i="4"/>
  <c r="P28" i="4"/>
  <c r="O29" i="4"/>
  <c r="N30" i="4"/>
  <c r="J31" i="4"/>
  <c r="AE31" i="4"/>
  <c r="T32" i="4"/>
  <c r="H33" i="4"/>
  <c r="AC33" i="4"/>
  <c r="N34" i="4"/>
  <c r="AG34" i="4"/>
  <c r="R35" i="4"/>
  <c r="C36" i="4"/>
  <c r="U36" i="4"/>
  <c r="G37" i="4"/>
  <c r="Y37" i="4"/>
  <c r="J38" i="4"/>
  <c r="AC38" i="4"/>
  <c r="N39" i="4"/>
  <c r="AF39" i="4"/>
  <c r="Q40" i="4"/>
  <c r="C41" i="4"/>
  <c r="R41" i="4"/>
  <c r="AD41" i="4"/>
  <c r="I42" i="4"/>
  <c r="U42" i="4"/>
  <c r="A43" i="4"/>
  <c r="L43" i="4"/>
  <c r="Y43" i="4"/>
  <c r="D44" i="4"/>
  <c r="P44" i="4"/>
  <c r="AB44" i="4"/>
  <c r="G45" i="4"/>
  <c r="Q45" i="4"/>
  <c r="AB45" i="4"/>
  <c r="F46" i="4"/>
  <c r="O46" i="4"/>
  <c r="X46" i="4"/>
  <c r="AG46" i="4"/>
  <c r="I47" i="4"/>
  <c r="R47" i="4"/>
  <c r="AA47" i="4"/>
  <c r="D48" i="4"/>
  <c r="M48" i="4"/>
  <c r="V48" i="4"/>
  <c r="AE48" i="4"/>
  <c r="G49" i="4"/>
  <c r="P49" i="4"/>
  <c r="Y49" i="4"/>
  <c r="B50" i="4"/>
  <c r="K50" i="4"/>
  <c r="T50" i="4"/>
  <c r="AC50" i="4"/>
  <c r="E51" i="4"/>
  <c r="N51" i="4"/>
  <c r="W51" i="4"/>
  <c r="AG51" i="4"/>
  <c r="I52" i="4"/>
  <c r="R52" i="4"/>
  <c r="AA52" i="4"/>
  <c r="C53" i="4"/>
  <c r="L53" i="4"/>
  <c r="U53" i="4"/>
  <c r="AE53" i="4"/>
  <c r="G54" i="4"/>
  <c r="P54" i="4"/>
  <c r="Y54" i="4"/>
  <c r="A55" i="4"/>
  <c r="J55" i="4"/>
  <c r="S55" i="4"/>
  <c r="AC55" i="4"/>
  <c r="E56" i="4"/>
  <c r="N56" i="4"/>
  <c r="W56" i="4"/>
  <c r="AF56" i="4"/>
  <c r="H57" i="4"/>
  <c r="Q57" i="4"/>
  <c r="AA57" i="4"/>
  <c r="C58" i="4"/>
  <c r="L58" i="4"/>
  <c r="U58" i="4"/>
  <c r="AD58" i="4"/>
  <c r="F59" i="4"/>
  <c r="O59" i="4"/>
  <c r="Y59" i="4"/>
  <c r="A60" i="4"/>
  <c r="J60" i="4"/>
  <c r="S60" i="4"/>
  <c r="AA60" i="4"/>
  <c r="B61" i="4"/>
  <c r="J61" i="4"/>
  <c r="R61" i="4"/>
  <c r="Z61" i="4"/>
  <c r="A62" i="4"/>
  <c r="I62" i="4"/>
  <c r="Q62" i="4"/>
  <c r="Y62" i="4"/>
  <c r="AG62" i="4"/>
  <c r="H63" i="4"/>
  <c r="P63" i="4"/>
  <c r="X63" i="4"/>
  <c r="AF63" i="4"/>
  <c r="G64" i="4"/>
  <c r="O64" i="4"/>
  <c r="W64" i="4"/>
  <c r="AE64" i="4"/>
  <c r="F65" i="4"/>
  <c r="N65" i="4"/>
  <c r="V65" i="4"/>
  <c r="AD65" i="4"/>
  <c r="E66" i="4"/>
  <c r="M66" i="4"/>
  <c r="U66" i="4"/>
  <c r="AC66" i="4"/>
  <c r="D67" i="4"/>
  <c r="L67" i="4"/>
  <c r="T67" i="4"/>
  <c r="AB67" i="4"/>
  <c r="C68" i="4"/>
  <c r="K68" i="4"/>
  <c r="S68" i="4"/>
  <c r="C9" i="4"/>
  <c r="AB17" i="4"/>
  <c r="Z19" i="4"/>
  <c r="C21" i="4"/>
  <c r="F22" i="4"/>
  <c r="E23" i="4"/>
  <c r="D24" i="4"/>
  <c r="C25" i="4"/>
  <c r="B26" i="4"/>
  <c r="A27" i="4"/>
  <c r="AG27" i="4"/>
  <c r="AF28" i="4"/>
  <c r="AE29" i="4"/>
  <c r="AD30" i="4"/>
  <c r="U31" i="4"/>
  <c r="I32" i="4"/>
  <c r="AD32" i="4"/>
  <c r="S33" i="4"/>
  <c r="E34" i="4"/>
  <c r="W34" i="4"/>
  <c r="I35" i="4"/>
  <c r="AA35" i="4"/>
  <c r="L36" i="4"/>
  <c r="AE36" i="4"/>
  <c r="P37" i="4"/>
  <c r="A38" i="4"/>
  <c r="S38" i="4"/>
  <c r="E39" i="4"/>
  <c r="W39" i="4"/>
  <c r="H40" i="4"/>
  <c r="AA40" i="4"/>
  <c r="L41" i="4"/>
  <c r="W41" i="4"/>
  <c r="C42" i="4"/>
  <c r="O42" i="4"/>
  <c r="AA42" i="4"/>
  <c r="F43" i="4"/>
  <c r="S43" i="4"/>
  <c r="AD43" i="4"/>
  <c r="J44" i="4"/>
  <c r="W44" i="4"/>
  <c r="A45" i="4"/>
  <c r="L45" i="4"/>
  <c r="W45" i="4"/>
  <c r="AG45" i="4"/>
  <c r="J46" i="4"/>
  <c r="S46" i="4"/>
  <c r="AB46" i="4"/>
  <c r="E47" i="4"/>
  <c r="N47" i="4"/>
  <c r="W47" i="4"/>
  <c r="AF47" i="4"/>
  <c r="H48" i="4"/>
  <c r="Q48" i="4"/>
  <c r="Z48" i="4"/>
  <c r="C49" i="4"/>
  <c r="L49" i="4"/>
  <c r="U49" i="4"/>
  <c r="AD49" i="4"/>
  <c r="F50" i="4"/>
  <c r="O50" i="4"/>
  <c r="X50" i="4"/>
  <c r="A51" i="4"/>
  <c r="J51" i="4"/>
  <c r="S51" i="4"/>
  <c r="AB51" i="4"/>
  <c r="D52" i="4"/>
  <c r="M52" i="4"/>
  <c r="V52" i="4"/>
  <c r="AF52" i="4"/>
  <c r="H53" i="4"/>
  <c r="Q53" i="4"/>
  <c r="Z53" i="4"/>
  <c r="B54" i="4"/>
  <c r="K54" i="4"/>
  <c r="T54" i="4"/>
  <c r="AD54" i="4"/>
  <c r="F55" i="4"/>
  <c r="O55" i="4"/>
  <c r="X55" i="4"/>
  <c r="AG55" i="4"/>
  <c r="I56" i="4"/>
  <c r="R56" i="4"/>
  <c r="AB56" i="4"/>
  <c r="D57" i="4"/>
  <c r="M57" i="4"/>
  <c r="A11" i="4"/>
  <c r="K18" i="4"/>
  <c r="AB19" i="4"/>
  <c r="E21" i="4"/>
  <c r="G22" i="4"/>
  <c r="F23" i="4"/>
  <c r="E24" i="4"/>
  <c r="D25" i="4"/>
  <c r="C26" i="4"/>
  <c r="B27" i="4"/>
  <c r="A28" i="4"/>
  <c r="AG28" i="4"/>
  <c r="AF29" i="4"/>
  <c r="AE30" i="4"/>
  <c r="V31" i="4"/>
  <c r="K32" i="4"/>
  <c r="AF32" i="4"/>
  <c r="T33" i="4"/>
  <c r="F34" i="4"/>
  <c r="Y34" i="4"/>
  <c r="J35" i="4"/>
  <c r="AB35" i="4"/>
  <c r="M36" i="4"/>
  <c r="AF36" i="4"/>
  <c r="Q37" i="4"/>
  <c r="B38" i="4"/>
  <c r="U38" i="4"/>
  <c r="F39" i="4"/>
  <c r="X39" i="4"/>
  <c r="I40" i="4"/>
  <c r="AB40" i="4"/>
  <c r="M41" i="4"/>
  <c r="Z41" i="4"/>
  <c r="D42" i="4"/>
  <c r="Q42" i="4"/>
  <c r="AC42" i="4"/>
  <c r="H43" i="4"/>
  <c r="T43" i="4"/>
  <c r="AG43" i="4"/>
  <c r="K44" i="4"/>
  <c r="X44" i="4"/>
  <c r="C45" i="4"/>
  <c r="M45" i="4"/>
  <c r="X45" i="4"/>
  <c r="B46" i="4"/>
  <c r="K46" i="4"/>
  <c r="T46" i="4"/>
  <c r="AD46" i="4"/>
  <c r="F47" i="4"/>
  <c r="O47" i="4"/>
  <c r="X47" i="4"/>
  <c r="AG47" i="4"/>
  <c r="I48" i="4"/>
  <c r="R48" i="4"/>
  <c r="AB48" i="4"/>
  <c r="D49" i="4"/>
  <c r="M49" i="4"/>
  <c r="V49" i="4"/>
  <c r="AE49" i="4"/>
  <c r="G50" i="4"/>
  <c r="P50" i="4"/>
  <c r="Z50" i="4"/>
  <c r="B51" i="4"/>
  <c r="K51" i="4"/>
  <c r="T51" i="4"/>
  <c r="AC51" i="4"/>
  <c r="E52" i="4"/>
  <c r="N52" i="4"/>
  <c r="X52" i="4"/>
  <c r="AG52" i="4"/>
  <c r="I53" i="4"/>
  <c r="R53" i="4"/>
  <c r="AA53" i="4"/>
  <c r="C54" i="4"/>
  <c r="L54" i="4"/>
  <c r="V54" i="4"/>
  <c r="AE54" i="4"/>
  <c r="G55" i="4"/>
  <c r="P55" i="4"/>
  <c r="Y55" i="4"/>
  <c r="A56" i="4"/>
  <c r="J56" i="4"/>
  <c r="T56" i="4"/>
  <c r="AC56" i="4"/>
  <c r="E57" i="4"/>
  <c r="N57" i="4"/>
  <c r="W57" i="4"/>
  <c r="AF57" i="4"/>
  <c r="H58" i="4"/>
  <c r="R58" i="4"/>
  <c r="AA58" i="4"/>
  <c r="C59" i="4"/>
  <c r="L59" i="4"/>
  <c r="U59" i="4"/>
  <c r="AD59" i="4"/>
  <c r="F60" i="4"/>
  <c r="P60" i="4"/>
  <c r="X60" i="4"/>
  <c r="AF60" i="4"/>
  <c r="G61" i="4"/>
  <c r="O61" i="4"/>
  <c r="W61" i="4"/>
  <c r="AE61" i="4"/>
  <c r="F62" i="4"/>
  <c r="N62" i="4"/>
  <c r="V62" i="4"/>
  <c r="AD62" i="4"/>
  <c r="V13" i="4"/>
  <c r="AG18" i="4"/>
  <c r="I20" i="4"/>
  <c r="S21" i="4"/>
  <c r="R22" i="4"/>
  <c r="Q23" i="4"/>
  <c r="P24" i="4"/>
  <c r="O25" i="4"/>
  <c r="N26" i="4"/>
  <c r="M27" i="4"/>
  <c r="L28" i="4"/>
  <c r="K29" i="4"/>
  <c r="J30" i="4"/>
  <c r="G31" i="4"/>
  <c r="AC31" i="4"/>
  <c r="Q32" i="4"/>
  <c r="E33" i="4"/>
  <c r="AA33" i="4"/>
  <c r="L34" i="4"/>
  <c r="AD34" i="4"/>
  <c r="P35" i="4"/>
  <c r="A36" i="4"/>
  <c r="S36" i="4"/>
  <c r="D37" i="4"/>
  <c r="W37" i="4"/>
  <c r="H38" i="4"/>
  <c r="Z38" i="4"/>
  <c r="L39" i="4"/>
  <c r="AD39" i="4"/>
  <c r="O40" i="4"/>
  <c r="AG40" i="4"/>
  <c r="P41" i="4"/>
  <c r="AB41" i="4"/>
  <c r="G42" i="4"/>
  <c r="T42" i="4"/>
  <c r="AE42" i="4"/>
  <c r="K43" i="4"/>
  <c r="X43" i="4"/>
  <c r="B44" i="4"/>
  <c r="O44" i="4"/>
  <c r="AA44" i="4"/>
  <c r="E45" i="4"/>
  <c r="P45" i="4"/>
  <c r="AA45" i="4"/>
  <c r="D46" i="4"/>
  <c r="N46" i="4"/>
  <c r="W46" i="4"/>
  <c r="AF46" i="4"/>
  <c r="H47" i="4"/>
  <c r="Q47" i="4"/>
  <c r="Z47" i="4"/>
  <c r="B48" i="4"/>
  <c r="L48" i="4"/>
  <c r="U48" i="4"/>
  <c r="AD48" i="4"/>
  <c r="F49" i="4"/>
  <c r="O49" i="4"/>
  <c r="X49" i="4"/>
  <c r="AG49" i="4"/>
  <c r="J50" i="4"/>
  <c r="S50" i="4"/>
  <c r="AB50" i="4"/>
  <c r="D51" i="4"/>
  <c r="M51" i="4"/>
  <c r="V51" i="4"/>
  <c r="AE51" i="4"/>
  <c r="H52" i="4"/>
  <c r="Q52" i="4"/>
  <c r="Z52" i="4"/>
  <c r="B53" i="4"/>
  <c r="K53" i="4"/>
  <c r="T53" i="4"/>
  <c r="AC53" i="4"/>
  <c r="F54" i="4"/>
  <c r="O54" i="4"/>
  <c r="X54" i="4"/>
  <c r="AG54" i="4"/>
  <c r="I55" i="4"/>
  <c r="R55" i="4"/>
  <c r="AA55" i="4"/>
  <c r="D56" i="4"/>
  <c r="M56" i="4"/>
  <c r="V56" i="4"/>
  <c r="AE56" i="4"/>
  <c r="G57" i="4"/>
  <c r="H4" i="4"/>
  <c r="G19" i="4"/>
  <c r="X21" i="4"/>
  <c r="V23" i="4"/>
  <c r="T25" i="4"/>
  <c r="R27" i="4"/>
  <c r="P29" i="4"/>
  <c r="L31" i="4"/>
  <c r="U32" i="4"/>
  <c r="AD33" i="4"/>
  <c r="A35" i="4"/>
  <c r="D36" i="4"/>
  <c r="H37" i="4"/>
  <c r="K38" i="4"/>
  <c r="O39" i="4"/>
  <c r="S40" i="4"/>
  <c r="S41" i="4"/>
  <c r="K42" i="4"/>
  <c r="B43" i="4"/>
  <c r="Z43" i="4"/>
  <c r="R44" i="4"/>
  <c r="H45" i="4"/>
  <c r="AC45" i="4"/>
  <c r="P46" i="4"/>
  <c r="A47" i="4"/>
  <c r="S47" i="4"/>
  <c r="E48" i="4"/>
  <c r="W48" i="4"/>
  <c r="H49" i="4"/>
  <c r="AA49" i="4"/>
  <c r="L50" i="4"/>
  <c r="AD50" i="4"/>
  <c r="O51" i="4"/>
  <c r="A52" i="4"/>
  <c r="S52" i="4"/>
  <c r="D53" i="4"/>
  <c r="W53" i="4"/>
  <c r="H54" i="4"/>
  <c r="Z54" i="4"/>
  <c r="K55" i="4"/>
  <c r="AD55" i="4"/>
  <c r="O56" i="4"/>
  <c r="AG56" i="4"/>
  <c r="P57" i="4"/>
  <c r="AC57" i="4"/>
  <c r="G58" i="4"/>
  <c r="T58" i="4"/>
  <c r="AF58" i="4"/>
  <c r="K59" i="4"/>
  <c r="W59" i="4"/>
  <c r="C60" i="4"/>
  <c r="N60" i="4"/>
  <c r="Z60" i="4"/>
  <c r="D61" i="4"/>
  <c r="N61" i="4"/>
  <c r="Y61" i="4"/>
  <c r="C62" i="4"/>
  <c r="M62" i="4"/>
  <c r="X62" i="4"/>
  <c r="B63" i="4"/>
  <c r="K63" i="4"/>
  <c r="T63" i="4"/>
  <c r="AC63" i="4"/>
  <c r="E64" i="4"/>
  <c r="N64" i="4"/>
  <c r="X64" i="4"/>
  <c r="AG64" i="4"/>
  <c r="I65" i="4"/>
  <c r="R65" i="4"/>
  <c r="AA65" i="4"/>
  <c r="C66" i="4"/>
  <c r="L66" i="4"/>
  <c r="V66" i="4"/>
  <c r="AE66" i="4"/>
  <c r="G67" i="4"/>
  <c r="P67" i="4"/>
  <c r="Y67" i="4"/>
  <c r="A68" i="4"/>
  <c r="J68" i="4"/>
  <c r="T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H72" i="4"/>
  <c r="P72" i="4"/>
  <c r="X72" i="4"/>
  <c r="AF72" i="4"/>
  <c r="G73" i="4"/>
  <c r="O73" i="4"/>
  <c r="W73" i="4"/>
  <c r="AE73" i="4"/>
  <c r="F74" i="4"/>
  <c r="N74" i="4"/>
  <c r="V74" i="4"/>
  <c r="AD74" i="4"/>
  <c r="E75" i="4"/>
  <c r="M75" i="4"/>
  <c r="U75" i="4"/>
  <c r="AC75" i="4"/>
  <c r="D76" i="4"/>
  <c r="L76" i="4"/>
  <c r="T76" i="4"/>
  <c r="AB76" i="4"/>
  <c r="C77" i="4"/>
  <c r="K77" i="4"/>
  <c r="S77" i="4"/>
  <c r="AA77" i="4"/>
  <c r="B78" i="4"/>
  <c r="J78" i="4"/>
  <c r="R78" i="4"/>
  <c r="Z78" i="4"/>
  <c r="A79" i="4"/>
  <c r="I79" i="4"/>
  <c r="Q79" i="4"/>
  <c r="Y79" i="4"/>
  <c r="AG79" i="4"/>
  <c r="H80" i="4"/>
  <c r="P80" i="4"/>
  <c r="X80" i="4"/>
  <c r="AF80" i="4"/>
  <c r="G81" i="4"/>
  <c r="O81" i="4"/>
  <c r="W81" i="4"/>
  <c r="AE81" i="4"/>
  <c r="F82" i="4"/>
  <c r="N82" i="4"/>
  <c r="V82" i="4"/>
  <c r="AD82" i="4"/>
  <c r="E83" i="4"/>
  <c r="M83" i="4"/>
  <c r="U83" i="4"/>
  <c r="AC83" i="4"/>
  <c r="D84" i="4"/>
  <c r="L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G5" i="4"/>
  <c r="J19" i="4"/>
  <c r="AA21" i="4"/>
  <c r="Y23" i="4"/>
  <c r="W25" i="4"/>
  <c r="U27" i="4"/>
  <c r="S29" i="4"/>
  <c r="M31" i="4"/>
  <c r="V32" i="4"/>
  <c r="AE33" i="4"/>
  <c r="B35" i="4"/>
  <c r="E36" i="4"/>
  <c r="I37" i="4"/>
  <c r="M38" i="4"/>
  <c r="P39" i="4"/>
  <c r="T40" i="4"/>
  <c r="U41" i="4"/>
  <c r="L42" i="4"/>
  <c r="C43" i="4"/>
  <c r="AB43" i="4"/>
  <c r="S44" i="4"/>
  <c r="I45" i="4"/>
  <c r="AE45" i="4"/>
  <c r="Q46" i="4"/>
  <c r="B47" i="4"/>
  <c r="U47" i="4"/>
  <c r="F48" i="4"/>
  <c r="X48" i="4"/>
  <c r="I49" i="4"/>
  <c r="AB49" i="4"/>
  <c r="M50" i="4"/>
  <c r="AE50" i="4"/>
  <c r="Q51" i="4"/>
  <c r="B52" i="4"/>
  <c r="T52" i="4"/>
  <c r="E53" i="4"/>
  <c r="X53" i="4"/>
  <c r="I54" i="4"/>
  <c r="AA54" i="4"/>
  <c r="M55" i="4"/>
  <c r="AE55" i="4"/>
  <c r="P56" i="4"/>
  <c r="A57" i="4"/>
  <c r="S57" i="4"/>
  <c r="AD57" i="4"/>
  <c r="J58" i="4"/>
  <c r="V58" i="4"/>
  <c r="A59" i="4"/>
  <c r="M59" i="4"/>
  <c r="Z59" i="4"/>
  <c r="D60" i="4"/>
  <c r="Q60" i="4"/>
  <c r="AB60" i="4"/>
  <c r="E61" i="4"/>
  <c r="P61" i="4"/>
  <c r="AA61" i="4"/>
  <c r="D62" i="4"/>
  <c r="O62" i="4"/>
  <c r="Z62" i="4"/>
  <c r="C63" i="4"/>
  <c r="L63" i="4"/>
  <c r="U63" i="4"/>
  <c r="AD63" i="4"/>
  <c r="F64" i="4"/>
  <c r="P64" i="4"/>
  <c r="Y64" i="4"/>
  <c r="A65" i="4"/>
  <c r="J65" i="4"/>
  <c r="S65" i="4"/>
  <c r="AB65" i="4"/>
  <c r="D66" i="4"/>
  <c r="N66" i="4"/>
  <c r="W66" i="4"/>
  <c r="AF66" i="4"/>
  <c r="H67" i="4"/>
  <c r="Q67" i="4"/>
  <c r="Z67" i="4"/>
  <c r="B68" i="4"/>
  <c r="G16" i="4"/>
  <c r="P20" i="4"/>
  <c r="W22" i="4"/>
  <c r="U24" i="4"/>
  <c r="S26" i="4"/>
  <c r="Q28" i="4"/>
  <c r="O30" i="4"/>
  <c r="AG31" i="4"/>
  <c r="J33" i="4"/>
  <c r="O34" i="4"/>
  <c r="S35" i="4"/>
  <c r="W36" i="4"/>
  <c r="Z37" i="4"/>
  <c r="AD38" i="4"/>
  <c r="AG39" i="4"/>
  <c r="D41" i="4"/>
  <c r="AE41" i="4"/>
  <c r="V42" i="4"/>
  <c r="N43" i="4"/>
  <c r="E44" i="4"/>
  <c r="AC44" i="4"/>
  <c r="S45" i="4"/>
  <c r="G46" i="4"/>
  <c r="Y46" i="4"/>
  <c r="J47" i="4"/>
  <c r="AC47" i="4"/>
  <c r="N48" i="4"/>
  <c r="AF48" i="4"/>
  <c r="Q49" i="4"/>
  <c r="C50" i="4"/>
  <c r="U50" i="4"/>
  <c r="F51" i="4"/>
  <c r="Y51" i="4"/>
  <c r="J52" i="4"/>
  <c r="AB52" i="4"/>
  <c r="M53" i="4"/>
  <c r="AF53" i="4"/>
  <c r="Q54" i="4"/>
  <c r="B55" i="4"/>
  <c r="U55" i="4"/>
  <c r="F56" i="4"/>
  <c r="X56" i="4"/>
  <c r="I57" i="4"/>
  <c r="V57" i="4"/>
  <c r="B58" i="4"/>
  <c r="N58" i="4"/>
  <c r="Z58" i="4"/>
  <c r="E59" i="4"/>
  <c r="R59" i="4"/>
  <c r="AC59" i="4"/>
  <c r="I60" i="4"/>
  <c r="U60" i="4"/>
  <c r="AE60" i="4"/>
  <c r="I61" i="4"/>
  <c r="T61" i="4"/>
  <c r="AD61" i="4"/>
  <c r="H62" i="4"/>
  <c r="S62" i="4"/>
  <c r="AC62" i="4"/>
  <c r="F63" i="4"/>
  <c r="O63" i="4"/>
  <c r="Y63" i="4"/>
  <c r="A64" i="4"/>
  <c r="J64" i="4"/>
  <c r="S64" i="4"/>
  <c r="AB64" i="4"/>
  <c r="D65" i="4"/>
  <c r="M65" i="4"/>
  <c r="W65" i="4"/>
  <c r="AF65" i="4"/>
  <c r="H66" i="4"/>
  <c r="Q66" i="4"/>
  <c r="Z66" i="4"/>
  <c r="B67" i="4"/>
  <c r="K67" i="4"/>
  <c r="U67" i="4"/>
  <c r="AD67" i="4"/>
  <c r="F68" i="4"/>
  <c r="O68" i="4"/>
  <c r="X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L72" i="4"/>
  <c r="T72" i="4"/>
  <c r="AB72" i="4"/>
  <c r="C73" i="4"/>
  <c r="K73" i="4"/>
  <c r="S73" i="4"/>
  <c r="AA73" i="4"/>
  <c r="B74" i="4"/>
  <c r="J74" i="4"/>
  <c r="R74" i="4"/>
  <c r="Z74" i="4"/>
  <c r="A75" i="4"/>
  <c r="I75" i="4"/>
  <c r="Q75" i="4"/>
  <c r="Y75" i="4"/>
  <c r="AG75" i="4"/>
  <c r="H76" i="4"/>
  <c r="P76" i="4"/>
  <c r="X76" i="4"/>
  <c r="AF76" i="4"/>
  <c r="G77" i="4"/>
  <c r="O77" i="4"/>
  <c r="W77" i="4"/>
  <c r="AE77" i="4"/>
  <c r="F78" i="4"/>
  <c r="N78" i="4"/>
  <c r="V78" i="4"/>
  <c r="AD78" i="4"/>
  <c r="E79" i="4"/>
  <c r="M79" i="4"/>
  <c r="U79" i="4"/>
  <c r="AC79" i="4"/>
  <c r="D80" i="4"/>
  <c r="L80" i="4"/>
  <c r="Z16" i="4"/>
  <c r="T20" i="4"/>
  <c r="Z22" i="4"/>
  <c r="X24" i="4"/>
  <c r="V26" i="4"/>
  <c r="T28" i="4"/>
  <c r="R30" i="4"/>
  <c r="A32" i="4"/>
  <c r="K33" i="4"/>
  <c r="Q34" i="4"/>
  <c r="T35" i="4"/>
  <c r="X36" i="4"/>
  <c r="AA37" i="4"/>
  <c r="AE38" i="4"/>
  <c r="A40" i="4"/>
  <c r="E41" i="4"/>
  <c r="AF41" i="4"/>
  <c r="Y42" i="4"/>
  <c r="P43" i="4"/>
  <c r="G44" i="4"/>
  <c r="AF44" i="4"/>
  <c r="T45" i="4"/>
  <c r="H46" i="4"/>
  <c r="Z46" i="4"/>
  <c r="K47" i="4"/>
  <c r="AD47" i="4"/>
  <c r="O48" i="4"/>
  <c r="AG48" i="4"/>
  <c r="S49" i="4"/>
  <c r="D50" i="4"/>
  <c r="V50" i="4"/>
  <c r="G51" i="4"/>
  <c r="Z51" i="4"/>
  <c r="K52" i="4"/>
  <c r="AC52" i="4"/>
  <c r="O53" i="4"/>
  <c r="AG53" i="4"/>
  <c r="R54" i="4"/>
  <c r="C55" i="4"/>
  <c r="V55" i="4"/>
  <c r="G56" i="4"/>
  <c r="Y56" i="4"/>
  <c r="K57" i="4"/>
  <c r="X57" i="4"/>
  <c r="D58" i="4"/>
  <c r="O58" i="4"/>
  <c r="AB58" i="4"/>
  <c r="G59" i="4"/>
  <c r="S59" i="4"/>
  <c r="AE59" i="4"/>
  <c r="K60" i="4"/>
  <c r="V60" i="4"/>
  <c r="AG60" i="4"/>
  <c r="K61" i="4"/>
  <c r="U61" i="4"/>
  <c r="AF61" i="4"/>
  <c r="J62" i="4"/>
  <c r="T62" i="4"/>
  <c r="AE62" i="4"/>
  <c r="G63" i="4"/>
  <c r="Q63" i="4"/>
  <c r="Z63" i="4"/>
  <c r="B64" i="4"/>
  <c r="K64" i="4"/>
  <c r="T64" i="4"/>
  <c r="AC64" i="4"/>
  <c r="E65" i="4"/>
  <c r="O65" i="4"/>
  <c r="X65" i="4"/>
  <c r="AG65" i="4"/>
  <c r="I66" i="4"/>
  <c r="R66" i="4"/>
  <c r="AA66" i="4"/>
  <c r="C67" i="4"/>
  <c r="M67" i="4"/>
  <c r="V67" i="4"/>
  <c r="AE67" i="4"/>
  <c r="G68" i="4"/>
  <c r="P68" i="4"/>
  <c r="Y68" i="4"/>
  <c r="AG68" i="4"/>
  <c r="H69" i="4"/>
  <c r="P69" i="4"/>
  <c r="X69" i="4"/>
  <c r="AF69" i="4"/>
  <c r="G70" i="4"/>
  <c r="O70" i="4"/>
  <c r="W70" i="4"/>
  <c r="AE70" i="4"/>
  <c r="F71" i="4"/>
  <c r="N71" i="4"/>
  <c r="V71" i="4"/>
  <c r="AD71" i="4"/>
  <c r="E72" i="4"/>
  <c r="M72" i="4"/>
  <c r="U72" i="4"/>
  <c r="AC72" i="4"/>
  <c r="D73" i="4"/>
  <c r="L73" i="4"/>
  <c r="T73" i="4"/>
  <c r="AB73" i="4"/>
  <c r="C74" i="4"/>
  <c r="K74" i="4"/>
  <c r="S74" i="4"/>
  <c r="AA74" i="4"/>
  <c r="B75" i="4"/>
  <c r="J75" i="4"/>
  <c r="R75" i="4"/>
  <c r="Z75" i="4"/>
  <c r="A76" i="4"/>
  <c r="I76" i="4"/>
  <c r="Q76" i="4"/>
  <c r="Y76" i="4"/>
  <c r="AG76" i="4"/>
  <c r="H77" i="4"/>
  <c r="P77" i="4"/>
  <c r="X77" i="4"/>
  <c r="AF77" i="4"/>
  <c r="G78" i="4"/>
  <c r="O78" i="4"/>
  <c r="W78" i="4"/>
  <c r="AE78" i="4"/>
  <c r="F79" i="4"/>
  <c r="N79" i="4"/>
  <c r="V79" i="4"/>
  <c r="AD79" i="4"/>
  <c r="E80" i="4"/>
  <c r="M80" i="4"/>
  <c r="U80" i="4"/>
  <c r="AC80" i="4"/>
  <c r="D81" i="4"/>
  <c r="L81" i="4"/>
  <c r="T81" i="4"/>
  <c r="AB81" i="4"/>
  <c r="C82" i="4"/>
  <c r="K82" i="4"/>
  <c r="S82" i="4"/>
  <c r="AA82" i="4"/>
  <c r="B83" i="4"/>
  <c r="J83" i="4"/>
  <c r="R83" i="4"/>
  <c r="Z83" i="4"/>
  <c r="A84" i="4"/>
  <c r="W17" i="4"/>
  <c r="AE20" i="4"/>
  <c r="A23" i="4"/>
  <c r="AF24" i="4"/>
  <c r="AD26" i="4"/>
  <c r="AB28" i="4"/>
  <c r="Z30" i="4"/>
  <c r="F32" i="4"/>
  <c r="P33" i="4"/>
  <c r="U34" i="4"/>
  <c r="Y35" i="4"/>
  <c r="AB36" i="4"/>
  <c r="AF37" i="4"/>
  <c r="B39" i="4"/>
  <c r="F40" i="4"/>
  <c r="J41" i="4"/>
  <c r="B42" i="4"/>
  <c r="Z42" i="4"/>
  <c r="Q43" i="4"/>
  <c r="I44" i="4"/>
  <c r="AG44" i="4"/>
  <c r="U45" i="4"/>
  <c r="I46" i="4"/>
  <c r="AA46" i="4"/>
  <c r="M47" i="4"/>
  <c r="AE47" i="4"/>
  <c r="P48" i="4"/>
  <c r="A49" i="4"/>
  <c r="T49" i="4"/>
  <c r="E50" i="4"/>
  <c r="W50" i="4"/>
  <c r="I51" i="4"/>
  <c r="AA51" i="4"/>
  <c r="L52" i="4"/>
  <c r="AD52" i="4"/>
  <c r="P53" i="4"/>
  <c r="A54" i="4"/>
  <c r="S54" i="4"/>
  <c r="E55" i="4"/>
  <c r="W55" i="4"/>
  <c r="H56" i="4"/>
  <c r="Z56" i="4"/>
  <c r="L57" i="4"/>
  <c r="Y57" i="4"/>
  <c r="E58" i="4"/>
  <c r="P58" i="4"/>
  <c r="AC58" i="4"/>
  <c r="I59" i="4"/>
  <c r="T59" i="4"/>
  <c r="AG59" i="4"/>
  <c r="L60" i="4"/>
  <c r="W60" i="4"/>
  <c r="A61" i="4"/>
  <c r="L61" i="4"/>
  <c r="V61" i="4"/>
  <c r="AG61" i="4"/>
  <c r="K62" i="4"/>
  <c r="U62" i="4"/>
  <c r="AF62" i="4"/>
  <c r="I63" i="4"/>
  <c r="R63" i="4"/>
  <c r="AA63" i="4"/>
  <c r="C64" i="4"/>
  <c r="L64" i="4"/>
  <c r="U64" i="4"/>
  <c r="AD64" i="4"/>
  <c r="G65" i="4"/>
  <c r="P65" i="4"/>
  <c r="Y65" i="4"/>
  <c r="A66" i="4"/>
  <c r="J66" i="4"/>
  <c r="S66" i="4"/>
  <c r="AB66" i="4"/>
  <c r="E67" i="4"/>
  <c r="N67" i="4"/>
  <c r="W67" i="4"/>
  <c r="AF67" i="4"/>
  <c r="H68" i="4"/>
  <c r="Q18" i="4"/>
  <c r="H21" i="4"/>
  <c r="I23" i="4"/>
  <c r="G25" i="4"/>
  <c r="E27" i="4"/>
  <c r="C29" i="4"/>
  <c r="A31" i="4"/>
  <c r="L32" i="4"/>
  <c r="U33" i="4"/>
  <c r="Z34" i="4"/>
  <c r="AC35" i="4"/>
  <c r="AG36" i="4"/>
  <c r="C38" i="4"/>
  <c r="G39" i="4"/>
  <c r="K40" i="4"/>
  <c r="N41" i="4"/>
  <c r="F42" i="4"/>
  <c r="AD42" i="4"/>
  <c r="U43" i="4"/>
  <c r="M44" i="4"/>
  <c r="D45" i="4"/>
  <c r="Y45" i="4"/>
  <c r="L46" i="4"/>
  <c r="AE46" i="4"/>
  <c r="P47" i="4"/>
  <c r="A48" i="4"/>
  <c r="T48" i="4"/>
  <c r="E49" i="4"/>
  <c r="W49" i="4"/>
  <c r="H50" i="4"/>
  <c r="AA50" i="4"/>
  <c r="L51" i="4"/>
  <c r="AD51" i="4"/>
  <c r="P52" i="4"/>
  <c r="A53" i="4"/>
  <c r="S53" i="4"/>
  <c r="D54" i="4"/>
  <c r="W54" i="4"/>
  <c r="H55" i="4"/>
  <c r="Z55" i="4"/>
  <c r="L56" i="4"/>
  <c r="AD56" i="4"/>
  <c r="O57" i="4"/>
  <c r="AB57" i="4"/>
  <c r="F58" i="4"/>
  <c r="S58" i="4"/>
  <c r="AE58" i="4"/>
  <c r="J59" i="4"/>
  <c r="V59" i="4"/>
  <c r="B60" i="4"/>
  <c r="M60" i="4"/>
  <c r="Y60" i="4"/>
  <c r="C61" i="4"/>
  <c r="M61" i="4"/>
  <c r="X61" i="4"/>
  <c r="B62" i="4"/>
  <c r="L62" i="4"/>
  <c r="W62" i="4"/>
  <c r="A63" i="4"/>
  <c r="J63" i="4"/>
  <c r="S63" i="4"/>
  <c r="AB63" i="4"/>
  <c r="D64" i="4"/>
  <c r="M64" i="4"/>
  <c r="V64" i="4"/>
  <c r="AF64" i="4"/>
  <c r="H65" i="4"/>
  <c r="Q65" i="4"/>
  <c r="Z65" i="4"/>
  <c r="B66" i="4"/>
  <c r="K66" i="4"/>
  <c r="T66" i="4"/>
  <c r="AD66" i="4"/>
  <c r="F67" i="4"/>
  <c r="O67" i="4"/>
  <c r="X67" i="4"/>
  <c r="AG67" i="4"/>
  <c r="I68" i="4"/>
  <c r="R68" i="4"/>
  <c r="AA68" i="4"/>
  <c r="B69" i="4"/>
  <c r="J69" i="4"/>
  <c r="R69" i="4"/>
  <c r="Z69" i="4"/>
  <c r="A70" i="4"/>
  <c r="I70" i="4"/>
  <c r="Q70" i="4"/>
  <c r="Y70" i="4"/>
  <c r="AG70" i="4"/>
  <c r="H71" i="4"/>
  <c r="P71" i="4"/>
  <c r="X71" i="4"/>
  <c r="AF71" i="4"/>
  <c r="G72" i="4"/>
  <c r="O72" i="4"/>
  <c r="W72" i="4"/>
  <c r="AE72" i="4"/>
  <c r="F73" i="4"/>
  <c r="N73" i="4"/>
  <c r="V73" i="4"/>
  <c r="AD73" i="4"/>
  <c r="E74" i="4"/>
  <c r="M74" i="4"/>
  <c r="U74" i="4"/>
  <c r="AC74" i="4"/>
  <c r="D75" i="4"/>
  <c r="L75" i="4"/>
  <c r="T75" i="4"/>
  <c r="AB75" i="4"/>
  <c r="C76" i="4"/>
  <c r="K76" i="4"/>
  <c r="S76" i="4"/>
  <c r="AA76" i="4"/>
  <c r="B77" i="4"/>
  <c r="J77" i="4"/>
  <c r="R77" i="4"/>
  <c r="Z77" i="4"/>
  <c r="A78" i="4"/>
  <c r="I78" i="4"/>
  <c r="Q78" i="4"/>
  <c r="Y78" i="4"/>
  <c r="AG78" i="4"/>
  <c r="H79" i="4"/>
  <c r="P79" i="4"/>
  <c r="X79" i="4"/>
  <c r="AF79" i="4"/>
  <c r="G80" i="4"/>
  <c r="O80" i="4"/>
  <c r="D8" i="4"/>
  <c r="AE25" i="4"/>
  <c r="AB32" i="4"/>
  <c r="N37" i="4"/>
  <c r="V41" i="4"/>
  <c r="T44" i="4"/>
  <c r="C47" i="4"/>
  <c r="K49" i="4"/>
  <c r="R51" i="4"/>
  <c r="Y53" i="4"/>
  <c r="AF55" i="4"/>
  <c r="AE57" i="4"/>
  <c r="N59" i="4"/>
  <c r="AC60" i="4"/>
  <c r="E62" i="4"/>
  <c r="M63" i="4"/>
  <c r="Q64" i="4"/>
  <c r="T65" i="4"/>
  <c r="X66" i="4"/>
  <c r="AA67" i="4"/>
  <c r="U68" i="4"/>
  <c r="D69" i="4"/>
  <c r="T69" i="4"/>
  <c r="C70" i="4"/>
  <c r="S70" i="4"/>
  <c r="B71" i="4"/>
  <c r="R71" i="4"/>
  <c r="A72" i="4"/>
  <c r="Q72" i="4"/>
  <c r="AG72" i="4"/>
  <c r="P73" i="4"/>
  <c r="AF73" i="4"/>
  <c r="O74" i="4"/>
  <c r="AE74" i="4"/>
  <c r="N75" i="4"/>
  <c r="AD75" i="4"/>
  <c r="M76" i="4"/>
  <c r="AC76" i="4"/>
  <c r="L77" i="4"/>
  <c r="AB77" i="4"/>
  <c r="K78" i="4"/>
  <c r="AA78" i="4"/>
  <c r="J79" i="4"/>
  <c r="Z79" i="4"/>
  <c r="I80" i="4"/>
  <c r="V80" i="4"/>
  <c r="AG80" i="4"/>
  <c r="J81" i="4"/>
  <c r="U81" i="4"/>
  <c r="AF81" i="4"/>
  <c r="I82" i="4"/>
  <c r="T82" i="4"/>
  <c r="AE82" i="4"/>
  <c r="H83" i="4"/>
  <c r="S83" i="4"/>
  <c r="AD83" i="4"/>
  <c r="G84" i="4"/>
  <c r="P84" i="4"/>
  <c r="Y84" i="4"/>
  <c r="A85" i="4"/>
  <c r="J85" i="4"/>
  <c r="T85" i="4"/>
  <c r="AC85" i="4"/>
  <c r="E86" i="4"/>
  <c r="N86" i="4"/>
  <c r="W86" i="4"/>
  <c r="AF86" i="4"/>
  <c r="H87" i="4"/>
  <c r="R87" i="4"/>
  <c r="AA87" i="4"/>
  <c r="C88" i="4"/>
  <c r="L88" i="4"/>
  <c r="U88" i="4"/>
  <c r="AD88" i="4"/>
  <c r="F89" i="4"/>
  <c r="P89" i="4"/>
  <c r="Y89" i="4"/>
  <c r="A90" i="4"/>
  <c r="J90" i="4"/>
  <c r="S90" i="4"/>
  <c r="AA90" i="4"/>
  <c r="B91" i="4"/>
  <c r="J91" i="4"/>
  <c r="R91" i="4"/>
  <c r="Z91" i="4"/>
  <c r="A92" i="4"/>
  <c r="I92" i="4"/>
  <c r="Q92" i="4"/>
  <c r="Y92" i="4"/>
  <c r="AG92" i="4"/>
  <c r="H93" i="4"/>
  <c r="P93" i="4"/>
  <c r="X93" i="4"/>
  <c r="AF93" i="4"/>
  <c r="G94" i="4"/>
  <c r="O94" i="4"/>
  <c r="W94" i="4"/>
  <c r="AE94" i="4"/>
  <c r="F95" i="4"/>
  <c r="N95" i="4"/>
  <c r="V95" i="4"/>
  <c r="AD95" i="4"/>
  <c r="E96" i="4"/>
  <c r="M96" i="4"/>
  <c r="U96" i="4"/>
  <c r="AC96" i="4"/>
  <c r="D97" i="4"/>
  <c r="L97" i="4"/>
  <c r="T97" i="4"/>
  <c r="AB97" i="4"/>
  <c r="C98" i="4"/>
  <c r="K98" i="4"/>
  <c r="S98" i="4"/>
  <c r="AA98" i="4"/>
  <c r="B99" i="4"/>
  <c r="J99" i="4"/>
  <c r="R99" i="4"/>
  <c r="Z99" i="4"/>
  <c r="A100" i="4"/>
  <c r="I100" i="4"/>
  <c r="Q100" i="4"/>
  <c r="Y100" i="4"/>
  <c r="AG100" i="4"/>
  <c r="H101" i="4"/>
  <c r="P101" i="4"/>
  <c r="X101" i="4"/>
  <c r="AF101" i="4"/>
  <c r="G102" i="4"/>
  <c r="O102" i="4"/>
  <c r="W102" i="4"/>
  <c r="AE102" i="4"/>
  <c r="F103" i="4"/>
  <c r="N103" i="4"/>
  <c r="V103" i="4"/>
  <c r="AD103" i="4"/>
  <c r="E104" i="4"/>
  <c r="M104" i="4"/>
  <c r="U104" i="4"/>
  <c r="AC104" i="4"/>
  <c r="D105" i="4"/>
  <c r="L105" i="4"/>
  <c r="T105" i="4"/>
  <c r="AB105" i="4"/>
  <c r="C106" i="4"/>
  <c r="K106" i="4"/>
  <c r="S106" i="4"/>
  <c r="AA106" i="4"/>
  <c r="B107" i="4"/>
  <c r="J107" i="4"/>
  <c r="R107" i="4"/>
  <c r="Z107" i="4"/>
  <c r="A108" i="4"/>
  <c r="I108" i="4"/>
  <c r="Q108" i="4"/>
  <c r="Y108" i="4"/>
  <c r="AG108" i="4"/>
  <c r="H109" i="4"/>
  <c r="P109" i="4"/>
  <c r="X109" i="4"/>
  <c r="AF109" i="4"/>
  <c r="G110" i="4"/>
  <c r="O110" i="4"/>
  <c r="W110" i="4"/>
  <c r="AE110" i="4"/>
  <c r="F111" i="4"/>
  <c r="N111" i="4"/>
  <c r="V111" i="4"/>
  <c r="AD111" i="4"/>
  <c r="E112" i="4"/>
  <c r="M112" i="4"/>
  <c r="U112" i="4"/>
  <c r="AC112" i="4"/>
  <c r="D113" i="4"/>
  <c r="L113" i="4"/>
  <c r="T113" i="4"/>
  <c r="AB113" i="4"/>
  <c r="C114" i="4"/>
  <c r="K114" i="4"/>
  <c r="S114" i="4"/>
  <c r="AA114" i="4"/>
  <c r="B115" i="4"/>
  <c r="J115" i="4"/>
  <c r="R115" i="4"/>
  <c r="Z115" i="4"/>
  <c r="A116" i="4"/>
  <c r="I116" i="4"/>
  <c r="Q116" i="4"/>
  <c r="Y116" i="4"/>
  <c r="AG116" i="4"/>
  <c r="H117" i="4"/>
  <c r="P117" i="4"/>
  <c r="X117" i="4"/>
  <c r="AF117" i="4"/>
  <c r="G118" i="4"/>
  <c r="B22" i="4"/>
  <c r="AA29" i="4"/>
  <c r="F35" i="4"/>
  <c r="U39" i="4"/>
  <c r="E43" i="4"/>
  <c r="AF45" i="4"/>
  <c r="G48" i="4"/>
  <c r="N50" i="4"/>
  <c r="U52" i="4"/>
  <c r="AB54" i="4"/>
  <c r="C57" i="4"/>
  <c r="W58" i="4"/>
  <c r="E60" i="4"/>
  <c r="Q61" i="4"/>
  <c r="AA62" i="4"/>
  <c r="AE63" i="4"/>
  <c r="B65" i="4"/>
  <c r="F66" i="4"/>
  <c r="I67" i="4"/>
  <c r="L68" i="4"/>
  <c r="AC68" i="4"/>
  <c r="L69" i="4"/>
  <c r="AB69" i="4"/>
  <c r="K70" i="4"/>
  <c r="AA70" i="4"/>
  <c r="J71" i="4"/>
  <c r="Z71" i="4"/>
  <c r="I72" i="4"/>
  <c r="Y72" i="4"/>
  <c r="H73" i="4"/>
  <c r="X73" i="4"/>
  <c r="G74" i="4"/>
  <c r="W74" i="4"/>
  <c r="F75" i="4"/>
  <c r="V75" i="4"/>
  <c r="E76" i="4"/>
  <c r="U76" i="4"/>
  <c r="D77" i="4"/>
  <c r="T77" i="4"/>
  <c r="C78" i="4"/>
  <c r="S78" i="4"/>
  <c r="B79" i="4"/>
  <c r="R79" i="4"/>
  <c r="A80" i="4"/>
  <c r="Q80" i="4"/>
  <c r="AA80" i="4"/>
  <c r="E81" i="4"/>
  <c r="P81" i="4"/>
  <c r="Z81" i="4"/>
  <c r="D82" i="4"/>
  <c r="O82" i="4"/>
  <c r="Y82" i="4"/>
  <c r="C83" i="4"/>
  <c r="N83" i="4"/>
  <c r="X83" i="4"/>
  <c r="B84" i="4"/>
  <c r="K84" i="4"/>
  <c r="U84" i="4"/>
  <c r="AD84" i="4"/>
  <c r="F85" i="4"/>
  <c r="O85" i="4"/>
  <c r="X85" i="4"/>
  <c r="AG85" i="4"/>
  <c r="I86" i="4"/>
  <c r="S86" i="4"/>
  <c r="AB86" i="4"/>
  <c r="D87" i="4"/>
  <c r="M87" i="4"/>
  <c r="V87" i="4"/>
  <c r="AE87" i="4"/>
  <c r="G88" i="4"/>
  <c r="Q88" i="4"/>
  <c r="Z88" i="4"/>
  <c r="B89" i="4"/>
  <c r="K89" i="4"/>
  <c r="T89" i="4"/>
  <c r="AC89" i="4"/>
  <c r="E90" i="4"/>
  <c r="O90" i="4"/>
  <c r="W90" i="4"/>
  <c r="AE90" i="4"/>
  <c r="F91" i="4"/>
  <c r="N91" i="4"/>
  <c r="V91" i="4"/>
  <c r="AD91" i="4"/>
  <c r="E92" i="4"/>
  <c r="M92" i="4"/>
  <c r="U92" i="4"/>
  <c r="AC92" i="4"/>
  <c r="D93" i="4"/>
  <c r="L93" i="4"/>
  <c r="T93" i="4"/>
  <c r="AB93" i="4"/>
  <c r="C94" i="4"/>
  <c r="K94" i="4"/>
  <c r="S94" i="4"/>
  <c r="AA94" i="4"/>
  <c r="B95" i="4"/>
  <c r="J95" i="4"/>
  <c r="R95" i="4"/>
  <c r="Z95" i="4"/>
  <c r="A96" i="4"/>
  <c r="I96" i="4"/>
  <c r="Q96" i="4"/>
  <c r="Y96" i="4"/>
  <c r="AG96" i="4"/>
  <c r="H97" i="4"/>
  <c r="P97" i="4"/>
  <c r="X97" i="4"/>
  <c r="AF97" i="4"/>
  <c r="G98" i="4"/>
  <c r="O98" i="4"/>
  <c r="W98" i="4"/>
  <c r="AE98" i="4"/>
  <c r="F99" i="4"/>
  <c r="N99" i="4"/>
  <c r="V99" i="4"/>
  <c r="AD99" i="4"/>
  <c r="E100" i="4"/>
  <c r="M100" i="4"/>
  <c r="U100" i="4"/>
  <c r="AC100" i="4"/>
  <c r="D101" i="4"/>
  <c r="L101" i="4"/>
  <c r="T101" i="4"/>
  <c r="AB101" i="4"/>
  <c r="C102" i="4"/>
  <c r="K102" i="4"/>
  <c r="S102" i="4"/>
  <c r="AA102" i="4"/>
  <c r="B103" i="4"/>
  <c r="J103" i="4"/>
  <c r="R103" i="4"/>
  <c r="Z103" i="4"/>
  <c r="A104" i="4"/>
  <c r="I104" i="4"/>
  <c r="Q104" i="4"/>
  <c r="Y104" i="4"/>
  <c r="AG104" i="4"/>
  <c r="H105" i="4"/>
  <c r="P105" i="4"/>
  <c r="X105" i="4"/>
  <c r="AF105" i="4"/>
  <c r="G106" i="4"/>
  <c r="O106" i="4"/>
  <c r="W106" i="4"/>
  <c r="AE106" i="4"/>
  <c r="F107" i="4"/>
  <c r="N107" i="4"/>
  <c r="V107" i="4"/>
  <c r="AD107" i="4"/>
  <c r="E108" i="4"/>
  <c r="M108" i="4"/>
  <c r="U108" i="4"/>
  <c r="AC108" i="4"/>
  <c r="J22" i="4"/>
  <c r="B30" i="4"/>
  <c r="K35" i="4"/>
  <c r="Y39" i="4"/>
  <c r="J43" i="4"/>
  <c r="C46" i="4"/>
  <c r="J48" i="4"/>
  <c r="R50" i="4"/>
  <c r="Y52" i="4"/>
  <c r="AF54" i="4"/>
  <c r="F57" i="4"/>
  <c r="X58" i="4"/>
  <c r="H60" i="4"/>
  <c r="S61" i="4"/>
  <c r="AB62" i="4"/>
  <c r="AG63" i="4"/>
  <c r="C65" i="4"/>
  <c r="G66" i="4"/>
  <c r="J67" i="4"/>
  <c r="M68" i="4"/>
  <c r="AD68" i="4"/>
  <c r="M69" i="4"/>
  <c r="AC69" i="4"/>
  <c r="L70" i="4"/>
  <c r="AB70" i="4"/>
  <c r="K71" i="4"/>
  <c r="AA71" i="4"/>
  <c r="J72" i="4"/>
  <c r="Z72" i="4"/>
  <c r="I73" i="4"/>
  <c r="Y73" i="4"/>
  <c r="H74" i="4"/>
  <c r="X74" i="4"/>
  <c r="G75" i="4"/>
  <c r="W75" i="4"/>
  <c r="F76" i="4"/>
  <c r="V76" i="4"/>
  <c r="E77" i="4"/>
  <c r="U77" i="4"/>
  <c r="D78" i="4"/>
  <c r="T78" i="4"/>
  <c r="C79" i="4"/>
  <c r="S79" i="4"/>
  <c r="B80" i="4"/>
  <c r="R80" i="4"/>
  <c r="AB80" i="4"/>
  <c r="F81" i="4"/>
  <c r="Q81" i="4"/>
  <c r="AA81" i="4"/>
  <c r="E82" i="4"/>
  <c r="P82" i="4"/>
  <c r="Z82" i="4"/>
  <c r="D83" i="4"/>
  <c r="O83" i="4"/>
  <c r="Y83" i="4"/>
  <c r="C84" i="4"/>
  <c r="M84" i="4"/>
  <c r="V84" i="4"/>
  <c r="AE84" i="4"/>
  <c r="G85" i="4"/>
  <c r="P85" i="4"/>
  <c r="Y85" i="4"/>
  <c r="A86" i="4"/>
  <c r="K86" i="4"/>
  <c r="T86" i="4"/>
  <c r="AC86" i="4"/>
  <c r="E87" i="4"/>
  <c r="N87" i="4"/>
  <c r="W87" i="4"/>
  <c r="AF87" i="4"/>
  <c r="I88" i="4"/>
  <c r="R88" i="4"/>
  <c r="AA88" i="4"/>
  <c r="C89" i="4"/>
  <c r="L89" i="4"/>
  <c r="U89" i="4"/>
  <c r="AD89" i="4"/>
  <c r="G90" i="4"/>
  <c r="P90" i="4"/>
  <c r="X90" i="4"/>
  <c r="AF90" i="4"/>
  <c r="G91" i="4"/>
  <c r="O91" i="4"/>
  <c r="W91" i="4"/>
  <c r="AE91" i="4"/>
  <c r="F92" i="4"/>
  <c r="N92" i="4"/>
  <c r="V92" i="4"/>
  <c r="AD92" i="4"/>
  <c r="E93" i="4"/>
  <c r="M93" i="4"/>
  <c r="U93" i="4"/>
  <c r="AC93" i="4"/>
  <c r="D94" i="4"/>
  <c r="L94" i="4"/>
  <c r="T94" i="4"/>
  <c r="AB94" i="4"/>
  <c r="C95" i="4"/>
  <c r="K95" i="4"/>
  <c r="S95" i="4"/>
  <c r="AA95" i="4"/>
  <c r="B96" i="4"/>
  <c r="J96" i="4"/>
  <c r="R96" i="4"/>
  <c r="Z96" i="4"/>
  <c r="A97" i="4"/>
  <c r="I97" i="4"/>
  <c r="Q97" i="4"/>
  <c r="Y97" i="4"/>
  <c r="AG97" i="4"/>
  <c r="H98" i="4"/>
  <c r="P98" i="4"/>
  <c r="X98" i="4"/>
  <c r="AF98" i="4"/>
  <c r="G99" i="4"/>
  <c r="O99" i="4"/>
  <c r="W99" i="4"/>
  <c r="AE99" i="4"/>
  <c r="F100" i="4"/>
  <c r="N100" i="4"/>
  <c r="V100" i="4"/>
  <c r="AD100" i="4"/>
  <c r="E101" i="4"/>
  <c r="M101" i="4"/>
  <c r="U101" i="4"/>
  <c r="AC101" i="4"/>
  <c r="D102" i="4"/>
  <c r="L102" i="4"/>
  <c r="T102" i="4"/>
  <c r="AB102" i="4"/>
  <c r="C103" i="4"/>
  <c r="K103" i="4"/>
  <c r="S103" i="4"/>
  <c r="AA103" i="4"/>
  <c r="B104" i="4"/>
  <c r="J104" i="4"/>
  <c r="R104" i="4"/>
  <c r="Z104" i="4"/>
  <c r="A105" i="4"/>
  <c r="I105" i="4"/>
  <c r="Q105" i="4"/>
  <c r="Y105" i="4"/>
  <c r="AG105" i="4"/>
  <c r="H106" i="4"/>
  <c r="P106" i="4"/>
  <c r="X106" i="4"/>
  <c r="AF106" i="4"/>
  <c r="G107" i="4"/>
  <c r="O107" i="4"/>
  <c r="W107" i="4"/>
  <c r="AE107" i="4"/>
  <c r="F108" i="4"/>
  <c r="N108" i="4"/>
  <c r="V108" i="4"/>
  <c r="AD108" i="4"/>
  <c r="E109" i="4"/>
  <c r="M109" i="4"/>
  <c r="U109" i="4"/>
  <c r="AC109" i="4"/>
  <c r="D110" i="4"/>
  <c r="L110" i="4"/>
  <c r="T110" i="4"/>
  <c r="AB110" i="4"/>
  <c r="C111" i="4"/>
  <c r="K111" i="4"/>
  <c r="S111" i="4"/>
  <c r="AA111" i="4"/>
  <c r="B112" i="4"/>
  <c r="J112" i="4"/>
  <c r="R112" i="4"/>
  <c r="H24" i="4"/>
  <c r="W31" i="4"/>
  <c r="O36" i="4"/>
  <c r="AC40" i="4"/>
  <c r="A44" i="4"/>
  <c r="V46" i="4"/>
  <c r="AC48" i="4"/>
  <c r="C51" i="4"/>
  <c r="J53" i="4"/>
  <c r="Q55" i="4"/>
  <c r="U57" i="4"/>
  <c r="D59" i="4"/>
  <c r="T60" i="4"/>
  <c r="AC61" i="4"/>
  <c r="E63" i="4"/>
  <c r="I64" i="4"/>
  <c r="L65" i="4"/>
  <c r="P66" i="4"/>
  <c r="S67" i="4"/>
  <c r="Q68" i="4"/>
  <c r="A69" i="4"/>
  <c r="Q69" i="4"/>
  <c r="AG69" i="4"/>
  <c r="P70" i="4"/>
  <c r="AF70" i="4"/>
  <c r="O71" i="4"/>
  <c r="AE71" i="4"/>
  <c r="N72" i="4"/>
  <c r="AD72" i="4"/>
  <c r="M73" i="4"/>
  <c r="AC73" i="4"/>
  <c r="L74" i="4"/>
  <c r="AB74" i="4"/>
  <c r="K75" i="4"/>
  <c r="AA75" i="4"/>
  <c r="J76" i="4"/>
  <c r="Z76" i="4"/>
  <c r="I77" i="4"/>
  <c r="Y77" i="4"/>
  <c r="H78" i="4"/>
  <c r="X78" i="4"/>
  <c r="G79" i="4"/>
  <c r="W79" i="4"/>
  <c r="F80" i="4"/>
  <c r="T80" i="4"/>
  <c r="AE80" i="4"/>
  <c r="I81" i="4"/>
  <c r="S81" i="4"/>
  <c r="AD81" i="4"/>
  <c r="H82" i="4"/>
  <c r="R82" i="4"/>
  <c r="AC82" i="4"/>
  <c r="G83" i="4"/>
  <c r="Q83" i="4"/>
  <c r="AB83" i="4"/>
  <c r="F84" i="4"/>
  <c r="O84" i="4"/>
  <c r="X84" i="4"/>
  <c r="AG84" i="4"/>
  <c r="I85" i="4"/>
  <c r="R85" i="4"/>
  <c r="AB85" i="4"/>
  <c r="D86" i="4"/>
  <c r="M86" i="4"/>
  <c r="V86" i="4"/>
  <c r="AE86" i="4"/>
  <c r="G87" i="4"/>
  <c r="P87" i="4"/>
  <c r="Z87" i="4"/>
  <c r="B88" i="4"/>
  <c r="K88" i="4"/>
  <c r="T88" i="4"/>
  <c r="AC88" i="4"/>
  <c r="E89" i="4"/>
  <c r="N89" i="4"/>
  <c r="X89" i="4"/>
  <c r="AG89" i="4"/>
  <c r="I90" i="4"/>
  <c r="R90" i="4"/>
  <c r="Z90" i="4"/>
  <c r="A91" i="4"/>
  <c r="I91" i="4"/>
  <c r="Q91" i="4"/>
  <c r="Y91" i="4"/>
  <c r="AG91" i="4"/>
  <c r="H92" i="4"/>
  <c r="P92" i="4"/>
  <c r="X92" i="4"/>
  <c r="AF92" i="4"/>
  <c r="G93" i="4"/>
  <c r="O93" i="4"/>
  <c r="W93" i="4"/>
  <c r="AE93" i="4"/>
  <c r="F94" i="4"/>
  <c r="N94" i="4"/>
  <c r="V94" i="4"/>
  <c r="AD94" i="4"/>
  <c r="E95" i="4"/>
  <c r="M95" i="4"/>
  <c r="U95" i="4"/>
  <c r="AC95" i="4"/>
  <c r="D96" i="4"/>
  <c r="L96" i="4"/>
  <c r="T96" i="4"/>
  <c r="AB96" i="4"/>
  <c r="C97" i="4"/>
  <c r="K97" i="4"/>
  <c r="S97" i="4"/>
  <c r="AA97" i="4"/>
  <c r="B98" i="4"/>
  <c r="J98" i="4"/>
  <c r="R98" i="4"/>
  <c r="Z98" i="4"/>
  <c r="A99" i="4"/>
  <c r="I99" i="4"/>
  <c r="Q99" i="4"/>
  <c r="Y99" i="4"/>
  <c r="AG99" i="4"/>
  <c r="H100" i="4"/>
  <c r="P100" i="4"/>
  <c r="X100" i="4"/>
  <c r="AF100" i="4"/>
  <c r="G101" i="4"/>
  <c r="O101" i="4"/>
  <c r="W101" i="4"/>
  <c r="AE101" i="4"/>
  <c r="F102" i="4"/>
  <c r="N102" i="4"/>
  <c r="V102" i="4"/>
  <c r="AD102" i="4"/>
  <c r="E103" i="4"/>
  <c r="M103" i="4"/>
  <c r="U103" i="4"/>
  <c r="AC103" i="4"/>
  <c r="D104" i="4"/>
  <c r="L104" i="4"/>
  <c r="T104" i="4"/>
  <c r="AB104" i="4"/>
  <c r="C105" i="4"/>
  <c r="K105" i="4"/>
  <c r="S105" i="4"/>
  <c r="AA105" i="4"/>
  <c r="B106" i="4"/>
  <c r="J106" i="4"/>
  <c r="R106" i="4"/>
  <c r="Z106" i="4"/>
  <c r="A107" i="4"/>
  <c r="I107" i="4"/>
  <c r="Q107" i="4"/>
  <c r="Y107" i="4"/>
  <c r="AG107" i="4"/>
  <c r="H108" i="4"/>
  <c r="P108" i="4"/>
  <c r="X108" i="4"/>
  <c r="X11" i="4"/>
  <c r="AG32" i="4"/>
  <c r="AA41" i="4"/>
  <c r="G47" i="4"/>
  <c r="U51" i="4"/>
  <c r="B56" i="4"/>
  <c r="Q59" i="4"/>
  <c r="G62" i="4"/>
  <c r="R64" i="4"/>
  <c r="Y66" i="4"/>
  <c r="V68" i="4"/>
  <c r="U69" i="4"/>
  <c r="T70" i="4"/>
  <c r="S71" i="4"/>
  <c r="R72" i="4"/>
  <c r="Q73" i="4"/>
  <c r="P74" i="4"/>
  <c r="O75" i="4"/>
  <c r="N76" i="4"/>
  <c r="M77" i="4"/>
  <c r="L78" i="4"/>
  <c r="K79" i="4"/>
  <c r="J80" i="4"/>
  <c r="A81" i="4"/>
  <c r="V81" i="4"/>
  <c r="J82" i="4"/>
  <c r="AF82" i="4"/>
  <c r="T83" i="4"/>
  <c r="H84" i="4"/>
  <c r="Z84" i="4"/>
  <c r="L85" i="4"/>
  <c r="AD85" i="4"/>
  <c r="O86" i="4"/>
  <c r="AG86" i="4"/>
  <c r="S87" i="4"/>
  <c r="D88" i="4"/>
  <c r="V88" i="4"/>
  <c r="H89" i="4"/>
  <c r="Z89" i="4"/>
  <c r="K90" i="4"/>
  <c r="AB90" i="4"/>
  <c r="K91" i="4"/>
  <c r="AA91" i="4"/>
  <c r="J92" i="4"/>
  <c r="Z92" i="4"/>
  <c r="I93" i="4"/>
  <c r="Y93" i="4"/>
  <c r="H94" i="4"/>
  <c r="X94" i="4"/>
  <c r="G95" i="4"/>
  <c r="W95" i="4"/>
  <c r="F96" i="4"/>
  <c r="V96" i="4"/>
  <c r="E97" i="4"/>
  <c r="U97" i="4"/>
  <c r="D98" i="4"/>
  <c r="T98" i="4"/>
  <c r="C99" i="4"/>
  <c r="S99" i="4"/>
  <c r="B100" i="4"/>
  <c r="R100" i="4"/>
  <c r="A101" i="4"/>
  <c r="Q101" i="4"/>
  <c r="AG101" i="4"/>
  <c r="P102" i="4"/>
  <c r="AF102" i="4"/>
  <c r="O103" i="4"/>
  <c r="AE103" i="4"/>
  <c r="N104" i="4"/>
  <c r="AD104" i="4"/>
  <c r="M105" i="4"/>
  <c r="AC105" i="4"/>
  <c r="L106" i="4"/>
  <c r="AB106" i="4"/>
  <c r="K107" i="4"/>
  <c r="AA107" i="4"/>
  <c r="J108" i="4"/>
  <c r="Z108" i="4"/>
  <c r="D109" i="4"/>
  <c r="O109" i="4"/>
  <c r="Z109" i="4"/>
  <c r="C110" i="4"/>
  <c r="N110" i="4"/>
  <c r="Y110" i="4"/>
  <c r="B111" i="4"/>
  <c r="M111" i="4"/>
  <c r="AF19" i="4"/>
  <c r="G34" i="4"/>
  <c r="R42" i="4"/>
  <c r="Y47" i="4"/>
  <c r="F52" i="4"/>
  <c r="U56" i="4"/>
  <c r="AB59" i="4"/>
  <c r="R62" i="4"/>
  <c r="AA64" i="4"/>
  <c r="A67" i="4"/>
  <c r="Z68" i="4"/>
  <c r="Y69" i="4"/>
  <c r="X70" i="4"/>
  <c r="W71" i="4"/>
  <c r="V72" i="4"/>
  <c r="U73" i="4"/>
  <c r="T74" i="4"/>
  <c r="S75" i="4"/>
  <c r="R76" i="4"/>
  <c r="Q77" i="4"/>
  <c r="P78" i="4"/>
  <c r="O79" i="4"/>
  <c r="N80" i="4"/>
  <c r="C81" i="4"/>
  <c r="Y81" i="4"/>
  <c r="M82" i="4"/>
  <c r="A83" i="4"/>
  <c r="W83" i="4"/>
  <c r="J84" i="4"/>
  <c r="AC84" i="4"/>
  <c r="N85" i="4"/>
  <c r="AF85" i="4"/>
  <c r="Q86" i="4"/>
  <c r="C87" i="4"/>
  <c r="U87" i="4"/>
  <c r="F88" i="4"/>
  <c r="Y88" i="4"/>
  <c r="J89" i="4"/>
  <c r="AB89" i="4"/>
  <c r="M90" i="4"/>
  <c r="AD90" i="4"/>
  <c r="M91" i="4"/>
  <c r="AC91" i="4"/>
  <c r="L92" i="4"/>
  <c r="AB92" i="4"/>
  <c r="K93" i="4"/>
  <c r="AA93" i="4"/>
  <c r="J94" i="4"/>
  <c r="Z94" i="4"/>
  <c r="I95" i="4"/>
  <c r="Y95" i="4"/>
  <c r="H96" i="4"/>
  <c r="X96" i="4"/>
  <c r="G97" i="4"/>
  <c r="W97" i="4"/>
  <c r="F98" i="4"/>
  <c r="V98" i="4"/>
  <c r="E99" i="4"/>
  <c r="U99" i="4"/>
  <c r="D100" i="4"/>
  <c r="T100" i="4"/>
  <c r="C101" i="4"/>
  <c r="S101" i="4"/>
  <c r="B102" i="4"/>
  <c r="R102" i="4"/>
  <c r="A103" i="4"/>
  <c r="Q103" i="4"/>
  <c r="AG103" i="4"/>
  <c r="P104" i="4"/>
  <c r="AF104" i="4"/>
  <c r="O105" i="4"/>
  <c r="AE105" i="4"/>
  <c r="N106" i="4"/>
  <c r="AD106" i="4"/>
  <c r="M107" i="4"/>
  <c r="AC107" i="4"/>
  <c r="L108" i="4"/>
  <c r="AB108" i="4"/>
  <c r="G109" i="4"/>
  <c r="R109" i="4"/>
  <c r="AB109" i="4"/>
  <c r="F110" i="4"/>
  <c r="Q110" i="4"/>
  <c r="AA110" i="4"/>
  <c r="E111" i="4"/>
  <c r="F26" i="4"/>
  <c r="R37" i="4"/>
  <c r="Y44" i="4"/>
  <c r="N49" i="4"/>
  <c r="AB53" i="4"/>
  <c r="AG57" i="4"/>
  <c r="AD60" i="4"/>
  <c r="N63" i="4"/>
  <c r="U65" i="4"/>
  <c r="AC67" i="4"/>
  <c r="E69" i="4"/>
  <c r="D70" i="4"/>
  <c r="C71" i="4"/>
  <c r="B72" i="4"/>
  <c r="A73" i="4"/>
  <c r="AG73" i="4"/>
  <c r="AF74" i="4"/>
  <c r="AE75" i="4"/>
  <c r="AD76" i="4"/>
  <c r="AC77" i="4"/>
  <c r="AB78" i="4"/>
  <c r="AA79" i="4"/>
  <c r="W80" i="4"/>
  <c r="K81" i="4"/>
  <c r="AG81" i="4"/>
  <c r="U82" i="4"/>
  <c r="I83" i="4"/>
  <c r="AE83" i="4"/>
  <c r="Q84" i="4"/>
  <c r="B85" i="4"/>
  <c r="U85" i="4"/>
  <c r="F86" i="4"/>
  <c r="X86" i="4"/>
  <c r="J87" i="4"/>
  <c r="AC27" i="4"/>
  <c r="Q38" i="4"/>
  <c r="K45" i="4"/>
  <c r="AC49" i="4"/>
  <c r="J54" i="4"/>
  <c r="K58" i="4"/>
  <c r="F61" i="4"/>
  <c r="V63" i="4"/>
  <c r="AC65" i="4"/>
  <c r="D68" i="4"/>
  <c r="F69" i="4"/>
  <c r="E70" i="4"/>
  <c r="D71" i="4"/>
  <c r="C72" i="4"/>
  <c r="B73" i="4"/>
  <c r="A74" i="4"/>
  <c r="AG74" i="4"/>
  <c r="AF75" i="4"/>
  <c r="AE76" i="4"/>
  <c r="AD77" i="4"/>
  <c r="AC78" i="4"/>
  <c r="AB79" i="4"/>
  <c r="Y80" i="4"/>
  <c r="M81" i="4"/>
  <c r="A82" i="4"/>
  <c r="W82" i="4"/>
  <c r="K83" i="4"/>
  <c r="AF83" i="4"/>
  <c r="R84" i="4"/>
  <c r="D85" i="4"/>
  <c r="V85" i="4"/>
  <c r="G86" i="4"/>
  <c r="Y86" i="4"/>
  <c r="K87" i="4"/>
  <c r="R31" i="4"/>
  <c r="X40" i="4"/>
  <c r="R46" i="4"/>
  <c r="AF50" i="4"/>
  <c r="N55" i="4"/>
  <c r="B59" i="4"/>
  <c r="AB61" i="4"/>
  <c r="H64" i="4"/>
  <c r="O66" i="4"/>
  <c r="N68" i="4"/>
  <c r="N69" i="4"/>
  <c r="M70" i="4"/>
  <c r="L71" i="4"/>
  <c r="K72" i="4"/>
  <c r="J73" i="4"/>
  <c r="I74" i="4"/>
  <c r="H75" i="4"/>
  <c r="G76" i="4"/>
  <c r="F77" i="4"/>
  <c r="E78" i="4"/>
  <c r="D79" i="4"/>
  <c r="C80" i="4"/>
  <c r="AD80" i="4"/>
  <c r="R81" i="4"/>
  <c r="G82" i="4"/>
  <c r="AB82" i="4"/>
  <c r="P83" i="4"/>
  <c r="E84" i="4"/>
  <c r="W84" i="4"/>
  <c r="H85" i="4"/>
  <c r="Z85" i="4"/>
  <c r="AG23" i="4"/>
  <c r="V47" i="4"/>
  <c r="M58" i="4"/>
  <c r="K65" i="4"/>
  <c r="V69" i="4"/>
  <c r="F72" i="4"/>
  <c r="Y74" i="4"/>
  <c r="N77" i="4"/>
  <c r="AE79" i="4"/>
  <c r="AC81" i="4"/>
  <c r="V83" i="4"/>
  <c r="E85" i="4"/>
  <c r="P86" i="4"/>
  <c r="T87" i="4"/>
  <c r="M88" i="4"/>
  <c r="A89" i="4"/>
  <c r="AA89" i="4"/>
  <c r="T90" i="4"/>
  <c r="E91" i="4"/>
  <c r="AB91" i="4"/>
  <c r="R92" i="4"/>
  <c r="C93" i="4"/>
  <c r="Z93" i="4"/>
  <c r="P94" i="4"/>
  <c r="A95" i="4"/>
  <c r="X95" i="4"/>
  <c r="N96" i="4"/>
  <c r="AF96" i="4"/>
  <c r="V97" i="4"/>
  <c r="L98" i="4"/>
  <c r="AD98" i="4"/>
  <c r="T99" i="4"/>
  <c r="J100" i="4"/>
  <c r="AB100" i="4"/>
  <c r="R101" i="4"/>
  <c r="H102" i="4"/>
  <c r="Z102" i="4"/>
  <c r="P103" i="4"/>
  <c r="F104" i="4"/>
  <c r="X104" i="4"/>
  <c r="N105" i="4"/>
  <c r="D106" i="4"/>
  <c r="V106" i="4"/>
  <c r="L107" i="4"/>
  <c r="B108" i="4"/>
  <c r="T108" i="4"/>
  <c r="F109" i="4"/>
  <c r="T109" i="4"/>
  <c r="A110" i="4"/>
  <c r="P110" i="4"/>
  <c r="AD110" i="4"/>
  <c r="J111" i="4"/>
  <c r="W111" i="4"/>
  <c r="AG111" i="4"/>
  <c r="K112" i="4"/>
  <c r="V112" i="4"/>
  <c r="AE112" i="4"/>
  <c r="G113" i="4"/>
  <c r="P113" i="4"/>
  <c r="Y113" i="4"/>
  <c r="A114" i="4"/>
  <c r="J114" i="4"/>
  <c r="T114" i="4"/>
  <c r="AC114" i="4"/>
  <c r="E115" i="4"/>
  <c r="N115" i="4"/>
  <c r="W115" i="4"/>
  <c r="AF115" i="4"/>
  <c r="H116" i="4"/>
  <c r="R116" i="4"/>
  <c r="AA116" i="4"/>
  <c r="C117" i="4"/>
  <c r="L117" i="4"/>
  <c r="U117" i="4"/>
  <c r="AD117" i="4"/>
  <c r="F118" i="4"/>
  <c r="O118" i="4"/>
  <c r="W118" i="4"/>
  <c r="AE118" i="4"/>
  <c r="F119" i="4"/>
  <c r="N119" i="4"/>
  <c r="V119" i="4"/>
  <c r="AD119" i="4"/>
  <c r="E120" i="4"/>
  <c r="M120" i="4"/>
  <c r="D28" i="4"/>
  <c r="Y48" i="4"/>
  <c r="AA59" i="4"/>
  <c r="AE65" i="4"/>
  <c r="AD69" i="4"/>
  <c r="S72" i="4"/>
  <c r="C75" i="4"/>
  <c r="V77" i="4"/>
  <c r="K80" i="4"/>
  <c r="B82" i="4"/>
  <c r="AA83" i="4"/>
  <c r="M85" i="4"/>
  <c r="U86" i="4"/>
  <c r="X87" i="4"/>
  <c r="N88" i="4"/>
  <c r="D89" i="4"/>
  <c r="AF89" i="4"/>
  <c r="U90" i="4"/>
  <c r="H91" i="4"/>
  <c r="AF91" i="4"/>
  <c r="S92" i="4"/>
  <c r="F93" i="4"/>
  <c r="AD93" i="4"/>
  <c r="Q94" i="4"/>
  <c r="D95" i="4"/>
  <c r="AB95" i="4"/>
  <c r="O96" i="4"/>
  <c r="B97" i="4"/>
  <c r="Z97" i="4"/>
  <c r="M98" i="4"/>
  <c r="AG98" i="4"/>
  <c r="X99" i="4"/>
  <c r="K100" i="4"/>
  <c r="AE100" i="4"/>
  <c r="V101" i="4"/>
  <c r="I102" i="4"/>
  <c r="AC102" i="4"/>
  <c r="T103" i="4"/>
  <c r="G104" i="4"/>
  <c r="AA104" i="4"/>
  <c r="R105" i="4"/>
  <c r="E106" i="4"/>
  <c r="Y106" i="4"/>
  <c r="P107" i="4"/>
  <c r="C108" i="4"/>
  <c r="W108" i="4"/>
  <c r="I109" i="4"/>
  <c r="V109" i="4"/>
  <c r="B110" i="4"/>
  <c r="R110" i="4"/>
  <c r="AF110" i="4"/>
  <c r="L111" i="4"/>
  <c r="X111" i="4"/>
  <c r="A112" i="4"/>
  <c r="L112" i="4"/>
  <c r="W112" i="4"/>
  <c r="AF112" i="4"/>
  <c r="H113" i="4"/>
  <c r="Q113" i="4"/>
  <c r="Z113" i="4"/>
  <c r="J36" i="4"/>
  <c r="C52" i="4"/>
  <c r="H61" i="4"/>
  <c r="R67" i="4"/>
  <c r="U70" i="4"/>
  <c r="E73" i="4"/>
  <c r="X75" i="4"/>
  <c r="M78" i="4"/>
  <c r="Z80" i="4"/>
  <c r="Q82" i="4"/>
  <c r="I84" i="4"/>
  <c r="W85" i="4"/>
  <c r="AD86" i="4"/>
  <c r="AC87" i="4"/>
  <c r="S88" i="4"/>
  <c r="M89" i="4"/>
  <c r="C90" i="4"/>
  <c r="Y90" i="4"/>
  <c r="P91" i="4"/>
  <c r="C92" i="4"/>
  <c r="W92" i="4"/>
  <c r="V38" i="4"/>
  <c r="G53" i="4"/>
  <c r="P62" i="4"/>
  <c r="E68" i="4"/>
  <c r="AC70" i="4"/>
  <c r="R73" i="4"/>
  <c r="B76" i="4"/>
  <c r="U78" i="4"/>
  <c r="B81" i="4"/>
  <c r="X82" i="4"/>
  <c r="N84" i="4"/>
  <c r="AE85" i="4"/>
  <c r="B87" i="4"/>
  <c r="AD87" i="4"/>
  <c r="W88" i="4"/>
  <c r="Q89" i="4"/>
  <c r="D90" i="4"/>
  <c r="AC90" i="4"/>
  <c r="S91" i="4"/>
  <c r="D92" i="4"/>
  <c r="AA92" i="4"/>
  <c r="Q93" i="4"/>
  <c r="B94" i="4"/>
  <c r="Y94" i="4"/>
  <c r="O95" i="4"/>
  <c r="AG95" i="4"/>
  <c r="W96" i="4"/>
  <c r="M97" i="4"/>
  <c r="AE97" i="4"/>
  <c r="U98" i="4"/>
  <c r="K99" i="4"/>
  <c r="AC99" i="4"/>
  <c r="S100" i="4"/>
  <c r="I101" i="4"/>
  <c r="AA101" i="4"/>
  <c r="Q102" i="4"/>
  <c r="G103" i="4"/>
  <c r="Y103" i="4"/>
  <c r="O104" i="4"/>
  <c r="E105" i="4"/>
  <c r="W105" i="4"/>
  <c r="M106" i="4"/>
  <c r="C107" i="4"/>
  <c r="U107" i="4"/>
  <c r="K108" i="4"/>
  <c r="AF108" i="4"/>
  <c r="L109" i="4"/>
  <c r="AA109" i="4"/>
  <c r="I110" i="4"/>
  <c r="V110" i="4"/>
  <c r="U19" i="4"/>
  <c r="T57" i="4"/>
  <c r="I69" i="4"/>
  <c r="Q74" i="4"/>
  <c r="T79" i="4"/>
  <c r="L83" i="4"/>
  <c r="L86" i="4"/>
  <c r="J88" i="4"/>
  <c r="V89" i="4"/>
  <c r="D91" i="4"/>
  <c r="O92" i="4"/>
  <c r="S93" i="4"/>
  <c r="U94" i="4"/>
  <c r="T95" i="4"/>
  <c r="AA96" i="4"/>
  <c r="AC97" i="4"/>
  <c r="AB98" i="4"/>
  <c r="AB99" i="4"/>
  <c r="AA100" i="4"/>
  <c r="AD101" i="4"/>
  <c r="AG102" i="4"/>
  <c r="AF103" i="4"/>
  <c r="B105" i="4"/>
  <c r="A106" i="4"/>
  <c r="D107" i="4"/>
  <c r="D108" i="4"/>
  <c r="B109" i="4"/>
  <c r="Y109" i="4"/>
  <c r="M110" i="4"/>
  <c r="D111" i="4"/>
  <c r="T111" i="4"/>
  <c r="C112" i="4"/>
  <c r="P112" i="4"/>
  <c r="AB112" i="4"/>
  <c r="I113" i="4"/>
  <c r="U113" i="4"/>
  <c r="AF113" i="4"/>
  <c r="I114" i="4"/>
  <c r="U114" i="4"/>
  <c r="AE114" i="4"/>
  <c r="H115" i="4"/>
  <c r="S115" i="4"/>
  <c r="AC115" i="4"/>
  <c r="F116" i="4"/>
  <c r="P116" i="4"/>
  <c r="AB116" i="4"/>
  <c r="E117" i="4"/>
  <c r="O117" i="4"/>
  <c r="Z117" i="4"/>
  <c r="C118" i="4"/>
  <c r="M118" i="4"/>
  <c r="V118" i="4"/>
  <c r="AF118" i="4"/>
  <c r="H119" i="4"/>
  <c r="Q119" i="4"/>
  <c r="Z119" i="4"/>
  <c r="B120" i="4"/>
  <c r="K120" i="4"/>
  <c r="T120" i="4"/>
  <c r="AB120" i="4"/>
  <c r="C121" i="4"/>
  <c r="K121" i="4"/>
  <c r="S121" i="4"/>
  <c r="AA121" i="4"/>
  <c r="B122" i="4"/>
  <c r="J122" i="4"/>
  <c r="R122" i="4"/>
  <c r="Z122" i="4"/>
  <c r="A123" i="4"/>
  <c r="I123" i="4"/>
  <c r="Q123" i="4"/>
  <c r="Y123" i="4"/>
  <c r="AG123" i="4"/>
  <c r="H124" i="4"/>
  <c r="P124" i="4"/>
  <c r="X124" i="4"/>
  <c r="AF124" i="4"/>
  <c r="G125" i="4"/>
  <c r="O125" i="4"/>
  <c r="W125" i="4"/>
  <c r="AE125" i="4"/>
  <c r="F126" i="4"/>
  <c r="N126" i="4"/>
  <c r="V126" i="4"/>
  <c r="AD126" i="4"/>
  <c r="E127" i="4"/>
  <c r="M127" i="4"/>
  <c r="U127" i="4"/>
  <c r="AC127" i="4"/>
  <c r="D128" i="4"/>
  <c r="L128" i="4"/>
  <c r="T128" i="4"/>
  <c r="AB128" i="4"/>
  <c r="C129" i="4"/>
  <c r="K129" i="4"/>
  <c r="S129" i="4"/>
  <c r="AA129" i="4"/>
  <c r="B130" i="4"/>
  <c r="J130" i="4"/>
  <c r="R130" i="4"/>
  <c r="Z130" i="4"/>
  <c r="A131" i="4"/>
  <c r="I131" i="4"/>
  <c r="Q131" i="4"/>
  <c r="Y131" i="4"/>
  <c r="AG131" i="4"/>
  <c r="H132" i="4"/>
  <c r="P132" i="4"/>
  <c r="C34" i="4"/>
  <c r="R60" i="4"/>
  <c r="H70" i="4"/>
  <c r="P75" i="4"/>
  <c r="S80" i="4"/>
  <c r="AG83" i="4"/>
  <c r="AA86" i="4"/>
  <c r="O88" i="4"/>
  <c r="B90" i="4"/>
  <c r="L91" i="4"/>
  <c r="T92" i="4"/>
  <c r="V93" i="4"/>
  <c r="AC94" i="4"/>
  <c r="AE95" i="4"/>
  <c r="AD96" i="4"/>
  <c r="AD97" i="4"/>
  <c r="AC98" i="4"/>
  <c r="AF99" i="4"/>
  <c r="B101" i="4"/>
  <c r="A102" i="4"/>
  <c r="D103" i="4"/>
  <c r="C104" i="4"/>
  <c r="F105" i="4"/>
  <c r="F106" i="4"/>
  <c r="E107" i="4"/>
  <c r="G108" i="4"/>
  <c r="C109" i="4"/>
  <c r="AD109" i="4"/>
  <c r="S110" i="4"/>
  <c r="G111" i="4"/>
  <c r="U111" i="4"/>
  <c r="D112" i="4"/>
  <c r="Q112" i="4"/>
  <c r="AD112" i="4"/>
  <c r="J113" i="4"/>
  <c r="V113" i="4"/>
  <c r="AG113" i="4"/>
  <c r="L114" i="4"/>
  <c r="V114" i="4"/>
  <c r="AF114" i="4"/>
  <c r="I115" i="4"/>
  <c r="T115" i="4"/>
  <c r="AD115" i="4"/>
  <c r="G116" i="4"/>
  <c r="S116" i="4"/>
  <c r="AC116" i="4"/>
  <c r="F117" i="4"/>
  <c r="Q117" i="4"/>
  <c r="AA117" i="4"/>
  <c r="D118" i="4"/>
  <c r="N118" i="4"/>
  <c r="X118" i="4"/>
  <c r="AG118" i="4"/>
  <c r="I119" i="4"/>
  <c r="R119" i="4"/>
  <c r="AA119" i="4"/>
  <c r="C120" i="4"/>
  <c r="L120" i="4"/>
  <c r="U120" i="4"/>
  <c r="AC120" i="4"/>
  <c r="D121" i="4"/>
  <c r="L121" i="4"/>
  <c r="T121" i="4"/>
  <c r="AB121" i="4"/>
  <c r="C122" i="4"/>
  <c r="K122" i="4"/>
  <c r="S122" i="4"/>
  <c r="AA122" i="4"/>
  <c r="B123" i="4"/>
  <c r="J123" i="4"/>
  <c r="R123" i="4"/>
  <c r="Z123" i="4"/>
  <c r="A124" i="4"/>
  <c r="I124" i="4"/>
  <c r="Q124" i="4"/>
  <c r="Y124" i="4"/>
  <c r="AG124" i="4"/>
  <c r="H125" i="4"/>
  <c r="P125" i="4"/>
  <c r="X125" i="4"/>
  <c r="AF125" i="4"/>
  <c r="G126" i="4"/>
  <c r="O126" i="4"/>
  <c r="W126" i="4"/>
  <c r="AE126" i="4"/>
  <c r="F127" i="4"/>
  <c r="N127" i="4"/>
  <c r="V127" i="4"/>
  <c r="AD127" i="4"/>
  <c r="E128" i="4"/>
  <c r="M128" i="4"/>
  <c r="U128" i="4"/>
  <c r="AC128" i="4"/>
  <c r="D129" i="4"/>
  <c r="L129" i="4"/>
  <c r="T129" i="4"/>
  <c r="AB129" i="4"/>
  <c r="C130" i="4"/>
  <c r="K130" i="4"/>
  <c r="S130" i="4"/>
  <c r="AA130" i="4"/>
  <c r="B131" i="4"/>
  <c r="J131" i="4"/>
  <c r="R131" i="4"/>
  <c r="Z131" i="4"/>
  <c r="A132" i="4"/>
  <c r="I132" i="4"/>
  <c r="Q132" i="4"/>
  <c r="M42" i="4"/>
  <c r="D63" i="4"/>
  <c r="G71" i="4"/>
  <c r="O76" i="4"/>
  <c r="H81" i="4"/>
  <c r="S84" i="4"/>
  <c r="F87" i="4"/>
  <c r="AB88" i="4"/>
  <c r="H90" i="4"/>
  <c r="T91" i="4"/>
  <c r="AE92" i="4"/>
  <c r="AG93" i="4"/>
  <c r="AF94" i="4"/>
  <c r="AF95" i="4"/>
  <c r="AE96" i="4"/>
  <c r="A98" i="4"/>
  <c r="D99" i="4"/>
  <c r="C100" i="4"/>
  <c r="F101" i="4"/>
  <c r="E102" i="4"/>
  <c r="H103" i="4"/>
  <c r="H104" i="4"/>
  <c r="G105" i="4"/>
  <c r="I106" i="4"/>
  <c r="H107" i="4"/>
  <c r="O108" i="4"/>
  <c r="J109" i="4"/>
  <c r="AE109" i="4"/>
  <c r="U110" i="4"/>
  <c r="H111" i="4"/>
  <c r="Y111" i="4"/>
  <c r="F112" i="4"/>
  <c r="S112" i="4"/>
  <c r="AG112" i="4"/>
  <c r="K113" i="4"/>
  <c r="W113" i="4"/>
  <c r="B114" i="4"/>
  <c r="M114" i="4"/>
  <c r="W114" i="4"/>
  <c r="AG114" i="4"/>
  <c r="K115" i="4"/>
  <c r="U115" i="4"/>
  <c r="AE115" i="4"/>
  <c r="J116" i="4"/>
  <c r="T116" i="4"/>
  <c r="AD116" i="4"/>
  <c r="G117" i="4"/>
  <c r="R117" i="4"/>
  <c r="AB117" i="4"/>
  <c r="E118" i="4"/>
  <c r="P118" i="4"/>
  <c r="Y118" i="4"/>
  <c r="A119" i="4"/>
  <c r="J119" i="4"/>
  <c r="S119" i="4"/>
  <c r="AB119" i="4"/>
  <c r="D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V128" i="4"/>
  <c r="AD128" i="4"/>
  <c r="E129" i="4"/>
  <c r="M129" i="4"/>
  <c r="U129" i="4"/>
  <c r="AC129" i="4"/>
  <c r="D130" i="4"/>
  <c r="L130" i="4"/>
  <c r="T130" i="4"/>
  <c r="AB130" i="4"/>
  <c r="C131" i="4"/>
  <c r="AC43" i="4"/>
  <c r="W63" i="4"/>
  <c r="T71" i="4"/>
  <c r="W76" i="4"/>
  <c r="N81" i="4"/>
  <c r="AA84" i="4"/>
  <c r="L87" i="4"/>
  <c r="AE88" i="4"/>
  <c r="L90" i="4"/>
  <c r="U91" i="4"/>
  <c r="A93" i="4"/>
  <c r="A94" i="4"/>
  <c r="AG94" i="4"/>
  <c r="C96" i="4"/>
  <c r="F97" i="4"/>
  <c r="E98" i="4"/>
  <c r="H99" i="4"/>
  <c r="G100" i="4"/>
  <c r="J101" i="4"/>
  <c r="J102" i="4"/>
  <c r="I103" i="4"/>
  <c r="K104" i="4"/>
  <c r="J105" i="4"/>
  <c r="Q106" i="4"/>
  <c r="S107" i="4"/>
  <c r="R108" i="4"/>
  <c r="K109" i="4"/>
  <c r="AG109" i="4"/>
  <c r="X110" i="4"/>
  <c r="I111" i="4"/>
  <c r="Z111" i="4"/>
  <c r="G112" i="4"/>
  <c r="T112" i="4"/>
  <c r="A113" i="4"/>
  <c r="M113" i="4"/>
  <c r="X113" i="4"/>
  <c r="D114" i="4"/>
  <c r="N114" i="4"/>
  <c r="X114" i="4"/>
  <c r="A115" i="4"/>
  <c r="L115" i="4"/>
  <c r="V115" i="4"/>
  <c r="AG115" i="4"/>
  <c r="K116" i="4"/>
  <c r="U116" i="4"/>
  <c r="AE116" i="4"/>
  <c r="I117" i="4"/>
  <c r="S117" i="4"/>
  <c r="AC117" i="4"/>
  <c r="H118" i="4"/>
  <c r="Q118" i="4"/>
  <c r="Z118" i="4"/>
  <c r="B119" i="4"/>
  <c r="K119" i="4"/>
  <c r="T119" i="4"/>
  <c r="AC119" i="4"/>
  <c r="F120" i="4"/>
  <c r="O120" i="4"/>
  <c r="W120" i="4"/>
  <c r="AE120" i="4"/>
  <c r="F121" i="4"/>
  <c r="N121" i="4"/>
  <c r="V121" i="4"/>
  <c r="AD121" i="4"/>
  <c r="E122" i="4"/>
  <c r="M122" i="4"/>
  <c r="U122" i="4"/>
  <c r="AC122" i="4"/>
  <c r="D123" i="4"/>
  <c r="L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126" i="4"/>
  <c r="Y126" i="4"/>
  <c r="AG126" i="4"/>
  <c r="AF49" i="4"/>
  <c r="AG66" i="4"/>
  <c r="AA72" i="4"/>
  <c r="AG77" i="4"/>
  <c r="L82" i="4"/>
  <c r="Q85" i="4"/>
  <c r="AB87" i="4"/>
  <c r="I89" i="4"/>
  <c r="V90" i="4"/>
  <c r="B92" i="4"/>
  <c r="J93" i="4"/>
  <c r="I94" i="4"/>
  <c r="L95" i="4"/>
  <c r="K96" i="4"/>
  <c r="N97" i="4"/>
  <c r="N98" i="4"/>
  <c r="M99" i="4"/>
  <c r="O100" i="4"/>
  <c r="N101" i="4"/>
  <c r="U102" i="4"/>
  <c r="W103" i="4"/>
  <c r="V104" i="4"/>
  <c r="V105" i="4"/>
  <c r="U106" i="4"/>
  <c r="X107" i="4"/>
  <c r="AA108" i="4"/>
  <c r="Q109" i="4"/>
  <c r="H110" i="4"/>
  <c r="AC110" i="4"/>
  <c r="P111" i="4"/>
  <c r="AC111" i="4"/>
  <c r="I112" i="4"/>
  <c r="Y112" i="4"/>
  <c r="C113" i="4"/>
  <c r="O113" i="4"/>
  <c r="AC113" i="4"/>
  <c r="F114" i="4"/>
  <c r="P114" i="4"/>
  <c r="Z114" i="4"/>
  <c r="D115" i="4"/>
  <c r="O115" i="4"/>
  <c r="Y115" i="4"/>
  <c r="C116" i="4"/>
  <c r="M116" i="4"/>
  <c r="W116" i="4"/>
  <c r="A117" i="4"/>
  <c r="K117" i="4"/>
  <c r="V117" i="4"/>
  <c r="AG117" i="4"/>
  <c r="J118" i="4"/>
  <c r="S118" i="4"/>
  <c r="AB118" i="4"/>
  <c r="D119" i="4"/>
  <c r="M119" i="4"/>
  <c r="W119" i="4"/>
  <c r="AF119" i="4"/>
  <c r="H120" i="4"/>
  <c r="Q120" i="4"/>
  <c r="Y120" i="4"/>
  <c r="AG120" i="4"/>
  <c r="H121" i="4"/>
  <c r="P121" i="4"/>
  <c r="X121" i="4"/>
  <c r="AF121" i="4"/>
  <c r="G122" i="4"/>
  <c r="O122" i="4"/>
  <c r="W122" i="4"/>
  <c r="AE122" i="4"/>
  <c r="F123" i="4"/>
  <c r="N123" i="4"/>
  <c r="V123" i="4"/>
  <c r="AD123" i="4"/>
  <c r="E124" i="4"/>
  <c r="M124" i="4"/>
  <c r="U124" i="4"/>
  <c r="AC124" i="4"/>
  <c r="D125" i="4"/>
  <c r="L125" i="4"/>
  <c r="T125" i="4"/>
  <c r="AB125" i="4"/>
  <c r="C126" i="4"/>
  <c r="K126" i="4"/>
  <c r="S126" i="4"/>
  <c r="AA126" i="4"/>
  <c r="B127" i="4"/>
  <c r="J127" i="4"/>
  <c r="R127" i="4"/>
  <c r="Z127" i="4"/>
  <c r="A128" i="4"/>
  <c r="I128" i="4"/>
  <c r="Q128" i="4"/>
  <c r="Y128" i="4"/>
  <c r="AG128" i="4"/>
  <c r="H129" i="4"/>
  <c r="P129" i="4"/>
  <c r="X129" i="4"/>
  <c r="AF129" i="4"/>
  <c r="G130" i="4"/>
  <c r="O130" i="4"/>
  <c r="W130" i="4"/>
  <c r="AE130" i="4"/>
  <c r="F131" i="4"/>
  <c r="O45" i="4"/>
  <c r="D74" i="4"/>
  <c r="C86" i="4"/>
  <c r="Q90" i="4"/>
  <c r="R93" i="4"/>
  <c r="P96" i="4"/>
  <c r="L99" i="4"/>
  <c r="Z101" i="4"/>
  <c r="W104" i="4"/>
  <c r="T107" i="4"/>
  <c r="W109" i="4"/>
  <c r="Q111" i="4"/>
  <c r="X112" i="4"/>
  <c r="S113" i="4"/>
  <c r="Q114" i="4"/>
  <c r="M115" i="4"/>
  <c r="E116" i="4"/>
  <c r="B117" i="4"/>
  <c r="AE117" i="4"/>
  <c r="U118" i="4"/>
  <c r="O119" i="4"/>
  <c r="G120" i="4"/>
  <c r="AA120" i="4"/>
  <c r="Q121" i="4"/>
  <c r="F122" i="4"/>
  <c r="Y122" i="4"/>
  <c r="O123" i="4"/>
  <c r="D124" i="4"/>
  <c r="W124" i="4"/>
  <c r="M125" i="4"/>
  <c r="B126" i="4"/>
  <c r="U126" i="4"/>
  <c r="I127" i="4"/>
  <c r="Y127" i="4"/>
  <c r="H128" i="4"/>
  <c r="X128" i="4"/>
  <c r="G129" i="4"/>
  <c r="W129" i="4"/>
  <c r="F130" i="4"/>
  <c r="V130" i="4"/>
  <c r="E131" i="4"/>
  <c r="P131" i="4"/>
  <c r="AB131" i="4"/>
  <c r="E132" i="4"/>
  <c r="O132" i="4"/>
  <c r="Y132" i="4"/>
  <c r="AG132" i="4"/>
  <c r="H133" i="4"/>
  <c r="P133" i="4"/>
  <c r="X133" i="4"/>
  <c r="AF133" i="4"/>
  <c r="G134" i="4"/>
  <c r="O134" i="4"/>
  <c r="W134" i="4"/>
  <c r="AE134" i="4"/>
  <c r="F135" i="4"/>
  <c r="N135" i="4"/>
  <c r="V135" i="4"/>
  <c r="AD135" i="4"/>
  <c r="E136" i="4"/>
  <c r="M136" i="4"/>
  <c r="U136" i="4"/>
  <c r="AC136" i="4"/>
  <c r="D137" i="4"/>
  <c r="L137" i="4"/>
  <c r="N54" i="4"/>
  <c r="A77" i="4"/>
  <c r="H86" i="4"/>
  <c r="AG90" i="4"/>
  <c r="E94" i="4"/>
  <c r="S96" i="4"/>
  <c r="P99" i="4"/>
  <c r="M102" i="4"/>
  <c r="AE104" i="4"/>
  <c r="AB107" i="4"/>
  <c r="E110" i="4"/>
  <c r="R111" i="4"/>
  <c r="Z112" i="4"/>
  <c r="AA113" i="4"/>
  <c r="R114" i="4"/>
  <c r="P115" i="4"/>
  <c r="L116" i="4"/>
  <c r="D117" i="4"/>
  <c r="A118" i="4"/>
  <c r="AA118" i="4"/>
  <c r="P119" i="4"/>
  <c r="I120" i="4"/>
  <c r="AF120" i="4"/>
  <c r="R121" i="4"/>
  <c r="H122" i="4"/>
  <c r="AD122" i="4"/>
  <c r="P123" i="4"/>
  <c r="F124" i="4"/>
  <c r="AB124" i="4"/>
  <c r="N125" i="4"/>
  <c r="D126" i="4"/>
  <c r="Z126" i="4"/>
  <c r="K127" i="4"/>
  <c r="AA127" i="4"/>
  <c r="J128" i="4"/>
  <c r="Z128" i="4"/>
  <c r="I129" i="4"/>
  <c r="Y129" i="4"/>
  <c r="H130" i="4"/>
  <c r="X130" i="4"/>
  <c r="G131" i="4"/>
  <c r="S131" i="4"/>
  <c r="AC131" i="4"/>
  <c r="F132" i="4"/>
  <c r="R132" i="4"/>
  <c r="Z132" i="4"/>
  <c r="A133" i="4"/>
  <c r="I133" i="4"/>
  <c r="Q133" i="4"/>
  <c r="Y133" i="4"/>
  <c r="AG133" i="4"/>
  <c r="H134" i="4"/>
  <c r="P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AE108" i="4"/>
  <c r="N124" i="4"/>
  <c r="L126" i="4"/>
  <c r="A127" i="4"/>
  <c r="AG127" i="4"/>
  <c r="AF128" i="4"/>
  <c r="AE129" i="4"/>
  <c r="AD130" i="4"/>
  <c r="V131" i="4"/>
  <c r="U132" i="4"/>
  <c r="D133" i="4"/>
  <c r="T133" i="4"/>
  <c r="K134" i="4"/>
  <c r="AA134" i="4"/>
  <c r="J135" i="4"/>
  <c r="A136" i="4"/>
  <c r="Q136" i="4"/>
  <c r="AG136" i="4"/>
  <c r="X137" i="4"/>
  <c r="G138" i="4"/>
  <c r="W138" i="4"/>
  <c r="N139" i="4"/>
  <c r="AD139" i="4"/>
  <c r="E140" i="4"/>
  <c r="AC140" i="4"/>
  <c r="L141" i="4"/>
  <c r="Q56" i="4"/>
  <c r="AF78" i="4"/>
  <c r="O87" i="4"/>
  <c r="C91" i="4"/>
  <c r="M94" i="4"/>
  <c r="J97" i="4"/>
  <c r="AA99" i="4"/>
  <c r="X102" i="4"/>
  <c r="U105" i="4"/>
  <c r="AF107" i="4"/>
  <c r="J110" i="4"/>
  <c r="AB111" i="4"/>
  <c r="AA112" i="4"/>
  <c r="AD113" i="4"/>
  <c r="Y114" i="4"/>
  <c r="Q115" i="4"/>
  <c r="N116" i="4"/>
  <c r="J117" i="4"/>
  <c r="B118" i="4"/>
  <c r="AC118" i="4"/>
  <c r="U119" i="4"/>
  <c r="J120" i="4"/>
  <c r="A121" i="4"/>
  <c r="W121" i="4"/>
  <c r="I122" i="4"/>
  <c r="AF122" i="4"/>
  <c r="U123" i="4"/>
  <c r="G124" i="4"/>
  <c r="AD124" i="4"/>
  <c r="S125" i="4"/>
  <c r="E126" i="4"/>
  <c r="AB126" i="4"/>
  <c r="L127" i="4"/>
  <c r="AB127" i="4"/>
  <c r="K128" i="4"/>
  <c r="AA128" i="4"/>
  <c r="J129" i="4"/>
  <c r="Z129" i="4"/>
  <c r="I130" i="4"/>
  <c r="Y130" i="4"/>
  <c r="H131" i="4"/>
  <c r="T131" i="4"/>
  <c r="AD131" i="4"/>
  <c r="G132" i="4"/>
  <c r="S132" i="4"/>
  <c r="AA132" i="4"/>
  <c r="B133" i="4"/>
  <c r="J133" i="4"/>
  <c r="R133" i="4"/>
  <c r="Z133" i="4"/>
  <c r="A134" i="4"/>
  <c r="I134" i="4"/>
  <c r="Q134" i="4"/>
  <c r="Y134" i="4"/>
  <c r="AG134" i="4"/>
  <c r="H135" i="4"/>
  <c r="P135" i="4"/>
  <c r="X135" i="4"/>
  <c r="AF135" i="4"/>
  <c r="G136" i="4"/>
  <c r="O136" i="4"/>
  <c r="W136" i="4"/>
  <c r="AE136" i="4"/>
  <c r="F137" i="4"/>
  <c r="N137" i="4"/>
  <c r="V137" i="4"/>
  <c r="AD137" i="4"/>
  <c r="E138" i="4"/>
  <c r="M138" i="4"/>
  <c r="U138" i="4"/>
  <c r="AC138" i="4"/>
  <c r="D139" i="4"/>
  <c r="L139" i="4"/>
  <c r="T139" i="4"/>
  <c r="AB139" i="4"/>
  <c r="C140" i="4"/>
  <c r="K140" i="4"/>
  <c r="S140" i="4"/>
  <c r="AA140" i="4"/>
  <c r="B141" i="4"/>
  <c r="J141" i="4"/>
  <c r="R141" i="4"/>
  <c r="Z141" i="4"/>
  <c r="AD105" i="4"/>
  <c r="C125" i="4"/>
  <c r="P128" i="4"/>
  <c r="N130" i="4"/>
  <c r="L131" i="4"/>
  <c r="K132" i="4"/>
  <c r="AC132" i="4"/>
  <c r="L133" i="4"/>
  <c r="C134" i="4"/>
  <c r="S134" i="4"/>
  <c r="B135" i="4"/>
  <c r="R135" i="4"/>
  <c r="I136" i="4"/>
  <c r="Y136" i="4"/>
  <c r="H137" i="4"/>
  <c r="AF137" i="4"/>
  <c r="O138" i="4"/>
  <c r="F139" i="4"/>
  <c r="V139" i="4"/>
  <c r="M140" i="4"/>
  <c r="D141" i="4"/>
  <c r="T141" i="4"/>
  <c r="S128" i="4"/>
  <c r="V133" i="4"/>
  <c r="AC134" i="4"/>
  <c r="L135" i="4"/>
  <c r="AB135" i="4"/>
  <c r="S136" i="4"/>
  <c r="B137" i="4"/>
  <c r="R137" i="4"/>
  <c r="I138" i="4"/>
  <c r="Y138" i="4"/>
  <c r="P139" i="4"/>
  <c r="AF139" i="4"/>
  <c r="W140" i="4"/>
  <c r="N141" i="4"/>
  <c r="Z73" i="4"/>
  <c r="Z64" i="4"/>
  <c r="L79" i="4"/>
  <c r="A88" i="4"/>
  <c r="X91" i="4"/>
  <c r="R94" i="4"/>
  <c r="O97" i="4"/>
  <c r="L100" i="4"/>
  <c r="Y102" i="4"/>
  <c r="Z105" i="4"/>
  <c r="S108" i="4"/>
  <c r="K110" i="4"/>
  <c r="AE111" i="4"/>
  <c r="B113" i="4"/>
  <c r="AE113" i="4"/>
  <c r="AB114" i="4"/>
  <c r="X115" i="4"/>
  <c r="O116" i="4"/>
  <c r="M117" i="4"/>
  <c r="I118" i="4"/>
  <c r="AD118" i="4"/>
  <c r="X119" i="4"/>
  <c r="P120" i="4"/>
  <c r="B121" i="4"/>
  <c r="Y121" i="4"/>
  <c r="N122" i="4"/>
  <c r="AG122" i="4"/>
  <c r="W123" i="4"/>
  <c r="L124" i="4"/>
  <c r="AE124" i="4"/>
  <c r="U125" i="4"/>
  <c r="J126" i="4"/>
  <c r="AC126" i="4"/>
  <c r="P127" i="4"/>
  <c r="AF127" i="4"/>
  <c r="O128" i="4"/>
  <c r="AE128" i="4"/>
  <c r="N129" i="4"/>
  <c r="AD129" i="4"/>
  <c r="M130" i="4"/>
  <c r="AC130" i="4"/>
  <c r="K131" i="4"/>
  <c r="U131" i="4"/>
  <c r="AE131" i="4"/>
  <c r="J132" i="4"/>
  <c r="T132" i="4"/>
  <c r="AB132" i="4"/>
  <c r="C133" i="4"/>
  <c r="K133" i="4"/>
  <c r="S133" i="4"/>
  <c r="AA133" i="4"/>
  <c r="B134" i="4"/>
  <c r="J134" i="4"/>
  <c r="R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S89" i="4"/>
  <c r="AF132" i="4"/>
  <c r="C137" i="4"/>
  <c r="Q139" i="4"/>
  <c r="G141" i="4"/>
  <c r="C138" i="4"/>
  <c r="B139" i="4"/>
  <c r="A140" i="4"/>
  <c r="Y140" i="4"/>
  <c r="P141" i="4"/>
  <c r="W68" i="4"/>
  <c r="X81" i="4"/>
  <c r="E88" i="4"/>
  <c r="G92" i="4"/>
  <c r="H95" i="4"/>
  <c r="R97" i="4"/>
  <c r="W100" i="4"/>
  <c r="L103" i="4"/>
  <c r="Z110" i="4"/>
  <c r="AF111" i="4"/>
  <c r="E113" i="4"/>
  <c r="E114" i="4"/>
  <c r="AD114" i="4"/>
  <c r="AA115" i="4"/>
  <c r="V116" i="4"/>
  <c r="N117" i="4"/>
  <c r="K118" i="4"/>
  <c r="C119" i="4"/>
  <c r="Y119" i="4"/>
  <c r="R120" i="4"/>
  <c r="G121" i="4"/>
  <c r="Z121" i="4"/>
  <c r="P122" i="4"/>
  <c r="E123" i="4"/>
  <c r="X123" i="4"/>
  <c r="V125" i="4"/>
  <c r="Q127" i="4"/>
  <c r="O129" i="4"/>
  <c r="AF131" i="4"/>
  <c r="AB133" i="4"/>
  <c r="Z135" i="4"/>
  <c r="P137" i="4"/>
  <c r="AE138" i="4"/>
  <c r="U140" i="4"/>
  <c r="AB141" i="4"/>
  <c r="C132" i="4"/>
  <c r="K136" i="4"/>
  <c r="A138" i="4"/>
  <c r="AG138" i="4"/>
  <c r="X139" i="4"/>
  <c r="O140" i="4"/>
  <c r="F141" i="4"/>
  <c r="AD141" i="4"/>
  <c r="AF84" i="4"/>
  <c r="L119" i="4"/>
  <c r="M123" i="4"/>
  <c r="AD125" i="4"/>
  <c r="X127" i="4"/>
  <c r="F129" i="4"/>
  <c r="U130" i="4"/>
  <c r="AA131" i="4"/>
  <c r="X132" i="4"/>
  <c r="O133" i="4"/>
  <c r="AE133" i="4"/>
  <c r="N134" i="4"/>
  <c r="E135" i="4"/>
  <c r="AC135" i="4"/>
  <c r="T136" i="4"/>
  <c r="K137" i="4"/>
  <c r="AA137" i="4"/>
  <c r="R138" i="4"/>
  <c r="A139" i="4"/>
  <c r="Y139" i="4"/>
  <c r="H140" i="4"/>
  <c r="X140" i="4"/>
  <c r="W141" i="4"/>
  <c r="AB137" i="4"/>
  <c r="AA138" i="4"/>
  <c r="R139" i="4"/>
  <c r="Q140" i="4"/>
  <c r="H141" i="4"/>
  <c r="AF141" i="4"/>
  <c r="AE68" i="4"/>
  <c r="AG82" i="4"/>
  <c r="AG88" i="4"/>
  <c r="K92" i="4"/>
  <c r="P95" i="4"/>
  <c r="I98" i="4"/>
  <c r="Z100" i="4"/>
  <c r="X103" i="4"/>
  <c r="T106" i="4"/>
  <c r="A109" i="4"/>
  <c r="AG110" i="4"/>
  <c r="H112" i="4"/>
  <c r="F113" i="4"/>
  <c r="G114" i="4"/>
  <c r="C115" i="4"/>
  <c r="AB115" i="4"/>
  <c r="X116" i="4"/>
  <c r="T117" i="4"/>
  <c r="L118" i="4"/>
  <c r="E119" i="4"/>
  <c r="AE119" i="4"/>
  <c r="S120" i="4"/>
  <c r="I121" i="4"/>
  <c r="AE121" i="4"/>
  <c r="Q122" i="4"/>
  <c r="G123" i="4"/>
  <c r="AC123" i="4"/>
  <c r="O124" i="4"/>
  <c r="E125" i="4"/>
  <c r="AA125" i="4"/>
  <c r="M126" i="4"/>
  <c r="C127" i="4"/>
  <c r="S127" i="4"/>
  <c r="B128" i="4"/>
  <c r="R128" i="4"/>
  <c r="A129" i="4"/>
  <c r="Q129" i="4"/>
  <c r="AG129" i="4"/>
  <c r="P130" i="4"/>
  <c r="AF130" i="4"/>
  <c r="M131" i="4"/>
  <c r="W131" i="4"/>
  <c r="B132" i="4"/>
  <c r="L132" i="4"/>
  <c r="V132" i="4"/>
  <c r="AD132" i="4"/>
  <c r="E133" i="4"/>
  <c r="M133" i="4"/>
  <c r="U133" i="4"/>
  <c r="AC133" i="4"/>
  <c r="D134" i="4"/>
  <c r="L134" i="4"/>
  <c r="T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G137" i="4"/>
  <c r="H138" i="4"/>
  <c r="P138" i="4"/>
  <c r="X138" i="4"/>
  <c r="AF138" i="4"/>
  <c r="G139" i="4"/>
  <c r="O139" i="4"/>
  <c r="W139" i="4"/>
  <c r="AE139" i="4"/>
  <c r="F140" i="4"/>
  <c r="N140" i="4"/>
  <c r="V140" i="4"/>
  <c r="AD140" i="4"/>
  <c r="E141" i="4"/>
  <c r="M141" i="4"/>
  <c r="U141" i="4"/>
  <c r="AC141" i="4"/>
  <c r="AB71" i="4"/>
  <c r="F83" i="4"/>
  <c r="R89" i="4"/>
  <c r="B93" i="4"/>
  <c r="Q95" i="4"/>
  <c r="Q98" i="4"/>
  <c r="K101" i="4"/>
  <c r="AB103" i="4"/>
  <c r="AC106" i="4"/>
  <c r="N109" i="4"/>
  <c r="A111" i="4"/>
  <c r="N112" i="4"/>
  <c r="N113" i="4"/>
  <c r="H114" i="4"/>
  <c r="F115" i="4"/>
  <c r="B116" i="4"/>
  <c r="Z116" i="4"/>
  <c r="W117" i="4"/>
  <c r="R118" i="4"/>
  <c r="G119" i="4"/>
  <c r="AG119" i="4"/>
  <c r="X120" i="4"/>
  <c r="J121" i="4"/>
  <c r="AG121" i="4"/>
  <c r="V122" i="4"/>
  <c r="H123" i="4"/>
  <c r="AE123" i="4"/>
  <c r="T124" i="4"/>
  <c r="F125" i="4"/>
  <c r="AC125" i="4"/>
  <c r="R126" i="4"/>
  <c r="D127" i="4"/>
  <c r="T127" i="4"/>
  <c r="C128" i="4"/>
  <c r="B129" i="4"/>
  <c r="R129" i="4"/>
  <c r="A130" i="4"/>
  <c r="Q130" i="4"/>
  <c r="AG130" i="4"/>
  <c r="N131" i="4"/>
  <c r="X131" i="4"/>
  <c r="M132" i="4"/>
  <c r="W132" i="4"/>
  <c r="AE132" i="4"/>
  <c r="F133" i="4"/>
  <c r="N133" i="4"/>
  <c r="AD133" i="4"/>
  <c r="E134" i="4"/>
  <c r="M134" i="4"/>
  <c r="U134" i="4"/>
  <c r="D135" i="4"/>
  <c r="T135" i="4"/>
  <c r="C136" i="4"/>
  <c r="AA136" i="4"/>
  <c r="J137" i="4"/>
  <c r="Z137" i="4"/>
  <c r="Q138" i="4"/>
  <c r="H139" i="4"/>
  <c r="G140" i="4"/>
  <c r="AE140" i="4"/>
  <c r="V141" i="4"/>
  <c r="N93" i="4"/>
  <c r="G96" i="4"/>
  <c r="Y98" i="4"/>
  <c r="Y101" i="4"/>
  <c r="S104" i="4"/>
  <c r="AG106" i="4"/>
  <c r="S109" i="4"/>
  <c r="O111" i="4"/>
  <c r="O112" i="4"/>
  <c r="R113" i="4"/>
  <c r="O114" i="4"/>
  <c r="G115" i="4"/>
  <c r="D116" i="4"/>
  <c r="AF116" i="4"/>
  <c r="Y117" i="4"/>
  <c r="T118" i="4"/>
  <c r="A120" i="4"/>
  <c r="Z120" i="4"/>
  <c r="O121" i="4"/>
  <c r="A122" i="4"/>
  <c r="X122" i="4"/>
  <c r="AF123" i="4"/>
  <c r="V124" i="4"/>
  <c r="K125" i="4"/>
  <c r="T126" i="4"/>
  <c r="H127" i="4"/>
  <c r="G128" i="4"/>
  <c r="W128" i="4"/>
  <c r="V129" i="4"/>
  <c r="E130" i="4"/>
  <c r="D131" i="4"/>
  <c r="O131" i="4"/>
  <c r="D132" i="4"/>
  <c r="N132" i="4"/>
  <c r="G133" i="4"/>
  <c r="W133" i="4"/>
  <c r="F134" i="4"/>
  <c r="V134" i="4"/>
  <c r="AD134" i="4"/>
  <c r="M135" i="4"/>
  <c r="U135" i="4"/>
  <c r="D136" i="4"/>
  <c r="L136" i="4"/>
  <c r="AB136" i="4"/>
  <c r="S137" i="4"/>
  <c r="B138" i="4"/>
  <c r="J138" i="4"/>
  <c r="Z138" i="4"/>
  <c r="I139" i="4"/>
  <c r="AG139" i="4"/>
  <c r="P140" i="4"/>
  <c r="AF140" i="4"/>
  <c r="O141" i="4"/>
  <c r="AE141" i="4"/>
  <c r="T137" i="4"/>
  <c r="K138" i="4"/>
  <c r="S138" i="4"/>
  <c r="J139" i="4"/>
  <c r="Z139" i="4"/>
  <c r="I140" i="4"/>
  <c r="AG140" i="4"/>
  <c r="X141" i="4"/>
  <c r="D44" i="1"/>
  <c r="D62" i="1"/>
  <c r="B42" i="3" s="1"/>
  <c r="B33" i="3"/>
  <c r="P3" i="3" s="1"/>
  <c r="B31" i="3"/>
  <c r="D52" i="1"/>
  <c r="R14" i="1" s="1"/>
  <c r="D51" i="1"/>
  <c r="D61" i="1"/>
  <c r="D50" i="1"/>
  <c r="G52" i="1" s="1"/>
  <c r="B26" i="3"/>
  <c r="D13" i="3"/>
  <c r="D4" i="3"/>
  <c r="G58" i="1" l="1"/>
  <c r="G63" i="1"/>
  <c r="P2" i="3"/>
  <c r="D63" i="1"/>
  <c r="B44" i="3" s="1"/>
  <c r="D13" i="1"/>
  <c r="G11" i="1"/>
  <c r="G10" i="1"/>
  <c r="D12" i="1"/>
  <c r="G13" i="1"/>
  <c r="G12" i="1"/>
  <c r="D55" i="1"/>
  <c r="D53" i="1" s="1"/>
  <c r="D54" i="1"/>
  <c r="G51" i="1"/>
  <c r="G49" i="1"/>
  <c r="G48" i="1"/>
  <c r="G47" i="1"/>
  <c r="G59" i="1"/>
  <c r="G62" i="1"/>
  <c r="G60" i="1"/>
  <c r="D65" i="1"/>
  <c r="D66" i="1"/>
  <c r="D64" i="1" s="1" a="1"/>
  <c r="D64" i="1" s="1"/>
  <c r="H4" i="3"/>
  <c r="D11" i="1" l="1"/>
  <c r="B14" i="1" s="1"/>
  <c r="C14" i="1" s="1"/>
  <c r="C12" i="1"/>
  <c r="B61" i="1"/>
  <c r="B50" i="1"/>
  <c r="B30" i="3"/>
  <c r="B32" i="3"/>
  <c r="B29" i="3"/>
  <c r="B34" i="3"/>
  <c r="B28" i="3"/>
  <c r="B38" i="3" l="1"/>
  <c r="C67" i="1"/>
  <c r="B16" i="3"/>
  <c r="C56" i="1"/>
  <c r="B37" i="3"/>
  <c r="B41" i="3"/>
  <c r="B40" i="3"/>
  <c r="B39" i="3"/>
  <c r="B45" i="3"/>
  <c r="B43" i="3"/>
  <c r="B15" i="3"/>
  <c r="B23" i="3"/>
  <c r="B19" i="3"/>
  <c r="B18" i="3"/>
  <c r="B17" i="3"/>
  <c r="B21" i="3"/>
  <c r="B22" i="3"/>
  <c r="B20" i="3"/>
  <c r="H6" i="3" s="1"/>
  <c r="L6" i="3" l="1"/>
  <c r="G6" i="3"/>
  <c r="K6" i="3" s="1"/>
  <c r="H7" i="3"/>
  <c r="L7" i="3" s="1"/>
  <c r="J6" i="3" l="1"/>
  <c r="I6" i="3"/>
  <c r="H8" i="3"/>
  <c r="L8" i="3" s="1"/>
  <c r="G7" i="3"/>
  <c r="J7" i="3" s="1"/>
  <c r="I7" i="3" l="1"/>
  <c r="K7" i="3"/>
  <c r="G8" i="3"/>
  <c r="J8" i="3" s="1"/>
  <c r="H9" i="3"/>
  <c r="L9" i="3" s="1"/>
  <c r="I8" i="3" l="1"/>
  <c r="K8" i="3"/>
  <c r="H10" i="3"/>
  <c r="L10" i="3" s="1"/>
  <c r="G9" i="3"/>
  <c r="J9" i="3" s="1"/>
  <c r="I9" i="3" l="1"/>
  <c r="K9" i="3"/>
  <c r="H11" i="3"/>
  <c r="L11" i="3" s="1"/>
  <c r="G10" i="3"/>
  <c r="J10" i="3" s="1"/>
  <c r="I10" i="3" l="1"/>
  <c r="K10" i="3"/>
  <c r="H12" i="3"/>
  <c r="L12" i="3" s="1"/>
  <c r="G11" i="3"/>
  <c r="J11" i="3" s="1"/>
  <c r="I11" i="3" l="1"/>
  <c r="K11" i="3"/>
  <c r="H13" i="3"/>
  <c r="L13" i="3" s="1"/>
  <c r="G12" i="3"/>
  <c r="J12" i="3" s="1"/>
  <c r="I12" i="3" l="1"/>
  <c r="K12" i="3"/>
  <c r="G13" i="3"/>
  <c r="J13" i="3" s="1"/>
  <c r="H14" i="3"/>
  <c r="L14" i="3" s="1"/>
  <c r="I13" i="3" l="1"/>
  <c r="K13" i="3"/>
  <c r="G14" i="3"/>
  <c r="J14" i="3" s="1"/>
  <c r="H15" i="3"/>
  <c r="L15" i="3" s="1"/>
  <c r="I14" i="3" l="1"/>
  <c r="K14" i="3"/>
  <c r="H16" i="3"/>
  <c r="L16" i="3" s="1"/>
  <c r="G15" i="3"/>
  <c r="J15" i="3" s="1"/>
  <c r="I15" i="3" l="1"/>
  <c r="K15" i="3"/>
  <c r="H17" i="3"/>
  <c r="L17" i="3" s="1"/>
  <c r="G16" i="3"/>
  <c r="J16" i="3" s="1"/>
  <c r="I16" i="3" l="1"/>
  <c r="K16" i="3"/>
  <c r="H18" i="3"/>
  <c r="L18" i="3" s="1"/>
  <c r="G17" i="3"/>
  <c r="J17" i="3" s="1"/>
  <c r="I17" i="3" l="1"/>
  <c r="K17" i="3"/>
  <c r="G18" i="3"/>
  <c r="J18" i="3" s="1"/>
  <c r="H19" i="3"/>
  <c r="L19" i="3" s="1"/>
  <c r="I18" i="3" l="1"/>
  <c r="K18" i="3"/>
  <c r="H20" i="3"/>
  <c r="L20" i="3" s="1"/>
  <c r="G19" i="3"/>
  <c r="J19" i="3" s="1"/>
  <c r="I19" i="3" l="1"/>
  <c r="K19" i="3"/>
  <c r="G20" i="3"/>
  <c r="J20" i="3" s="1"/>
  <c r="H21" i="3"/>
  <c r="L21" i="3" s="1"/>
  <c r="I20" i="3" l="1"/>
  <c r="K20" i="3"/>
  <c r="H22" i="3"/>
  <c r="L22" i="3" s="1"/>
  <c r="G21" i="3"/>
  <c r="J21" i="3" s="1"/>
  <c r="I21" i="3" l="1"/>
  <c r="K21" i="3"/>
  <c r="H23" i="3"/>
  <c r="L23" i="3" s="1"/>
  <c r="G22" i="3"/>
  <c r="J22" i="3" s="1"/>
  <c r="I22" i="3" l="1"/>
  <c r="K22" i="3"/>
  <c r="H24" i="3"/>
  <c r="L24" i="3" s="1"/>
  <c r="G23" i="3"/>
  <c r="J23" i="3" s="1"/>
  <c r="I23" i="3" l="1"/>
  <c r="K23" i="3"/>
  <c r="G24" i="3"/>
  <c r="J24" i="3" s="1"/>
  <c r="H25" i="3"/>
  <c r="L25" i="3" s="1"/>
  <c r="I24" i="3" l="1"/>
  <c r="K24" i="3"/>
  <c r="H26" i="3"/>
  <c r="L26" i="3" s="1"/>
  <c r="G25" i="3"/>
  <c r="J25" i="3" s="1"/>
  <c r="I25" i="3" l="1"/>
  <c r="K25" i="3"/>
  <c r="G26" i="3"/>
  <c r="J26" i="3" s="1"/>
  <c r="H27" i="3"/>
  <c r="L27" i="3" s="1"/>
  <c r="I26" i="3" l="1"/>
  <c r="K26" i="3"/>
  <c r="G27" i="3"/>
  <c r="J27" i="3" s="1"/>
  <c r="H28" i="3"/>
  <c r="L28" i="3" s="1"/>
  <c r="I27" i="3" l="1"/>
  <c r="K27" i="3"/>
  <c r="H29" i="3"/>
  <c r="L29" i="3" s="1"/>
  <c r="G28" i="3"/>
  <c r="J28" i="3" s="1"/>
  <c r="I28" i="3" l="1"/>
  <c r="K28" i="3"/>
  <c r="G29" i="3"/>
  <c r="J29" i="3" s="1"/>
  <c r="H30" i="3"/>
  <c r="L30" i="3" s="1"/>
  <c r="I29" i="3" l="1"/>
  <c r="K29" i="3"/>
  <c r="G30" i="3"/>
  <c r="J30" i="3" s="1"/>
  <c r="H31" i="3"/>
  <c r="L31" i="3" s="1"/>
  <c r="I30" i="3" l="1"/>
  <c r="K30" i="3"/>
  <c r="G31" i="3"/>
  <c r="J31" i="3" s="1"/>
  <c r="H32" i="3"/>
  <c r="L32" i="3" s="1"/>
  <c r="I31" i="3" l="1"/>
  <c r="K31" i="3"/>
  <c r="G32" i="3"/>
  <c r="J32" i="3" s="1"/>
  <c r="H33" i="3"/>
  <c r="L33" i="3" s="1"/>
  <c r="I32" i="3" l="1"/>
  <c r="K32" i="3"/>
  <c r="H34" i="3"/>
  <c r="L34" i="3" s="1"/>
  <c r="G33" i="3"/>
  <c r="J33" i="3" s="1"/>
  <c r="I33" i="3" l="1"/>
  <c r="K33" i="3"/>
  <c r="G34" i="3"/>
  <c r="J34" i="3" s="1"/>
  <c r="H35" i="3"/>
  <c r="L35" i="3" s="1"/>
  <c r="I34" i="3" l="1"/>
  <c r="K34" i="3"/>
  <c r="H36" i="3"/>
  <c r="L36" i="3" s="1"/>
  <c r="G35" i="3"/>
  <c r="J35" i="3" s="1"/>
  <c r="I35" i="3" l="1"/>
  <c r="K35" i="3"/>
  <c r="H37" i="3"/>
  <c r="L37" i="3" s="1"/>
  <c r="G36" i="3"/>
  <c r="J36" i="3" s="1"/>
  <c r="I36" i="3" l="1"/>
  <c r="K36" i="3"/>
  <c r="G37" i="3"/>
  <c r="J37" i="3" s="1"/>
  <c r="H38" i="3"/>
  <c r="L38" i="3" s="1"/>
  <c r="I37" i="3" l="1"/>
  <c r="K37" i="3"/>
  <c r="G38" i="3"/>
  <c r="J38" i="3" s="1"/>
  <c r="H39" i="3"/>
  <c r="L39" i="3" s="1"/>
  <c r="I38" i="3" l="1"/>
  <c r="K38" i="3"/>
  <c r="G39" i="3"/>
  <c r="J39" i="3" s="1"/>
  <c r="H40" i="3"/>
  <c r="L40" i="3" s="1"/>
  <c r="I39" i="3" l="1"/>
  <c r="K39" i="3"/>
  <c r="G40" i="3"/>
  <c r="J40" i="3" s="1"/>
  <c r="H41" i="3"/>
  <c r="L41" i="3" s="1"/>
  <c r="I40" i="3" l="1"/>
  <c r="K40" i="3"/>
  <c r="G41" i="3"/>
  <c r="J41" i="3" s="1"/>
  <c r="H42" i="3"/>
  <c r="L42" i="3" s="1"/>
  <c r="I41" i="3" l="1"/>
  <c r="K41" i="3"/>
  <c r="G42" i="3"/>
  <c r="J42" i="3" s="1"/>
  <c r="H43" i="3"/>
  <c r="L43" i="3" s="1"/>
  <c r="I42" i="3" l="1"/>
  <c r="K42" i="3"/>
  <c r="H44" i="3"/>
  <c r="L44" i="3" s="1"/>
  <c r="G43" i="3"/>
  <c r="J43" i="3" s="1"/>
  <c r="I43" i="3" l="1"/>
  <c r="K43" i="3"/>
  <c r="G44" i="3"/>
  <c r="J44" i="3" s="1"/>
  <c r="H45" i="3"/>
  <c r="L45" i="3" s="1"/>
  <c r="I44" i="3" l="1"/>
  <c r="K44" i="3"/>
  <c r="G45" i="3"/>
  <c r="J45" i="3" s="1"/>
  <c r="H46" i="3"/>
  <c r="L46" i="3" s="1"/>
  <c r="I45" i="3" l="1"/>
  <c r="K45" i="3"/>
  <c r="H47" i="3"/>
  <c r="L47" i="3" s="1"/>
  <c r="G46" i="3"/>
  <c r="J46" i="3" s="1"/>
  <c r="I46" i="3" l="1"/>
  <c r="K46" i="3"/>
  <c r="H48" i="3"/>
  <c r="L48" i="3" s="1"/>
  <c r="G47" i="3"/>
  <c r="J47" i="3" s="1"/>
  <c r="I47" i="3" l="1"/>
  <c r="K47" i="3"/>
  <c r="G48" i="3"/>
  <c r="J48" i="3" s="1"/>
  <c r="H49" i="3"/>
  <c r="L49" i="3" s="1"/>
  <c r="I48" i="3" l="1"/>
  <c r="K48" i="3"/>
  <c r="H50" i="3"/>
  <c r="L50" i="3" s="1"/>
  <c r="G49" i="3"/>
  <c r="J49" i="3" s="1"/>
  <c r="I49" i="3" l="1"/>
  <c r="K49" i="3"/>
  <c r="G50" i="3"/>
  <c r="J50" i="3" s="1"/>
  <c r="H51" i="3"/>
  <c r="L51" i="3" s="1"/>
  <c r="I50" i="3" l="1"/>
  <c r="K50" i="3"/>
  <c r="H52" i="3"/>
  <c r="L52" i="3" s="1"/>
  <c r="G51" i="3"/>
  <c r="J51" i="3" s="1"/>
  <c r="I51" i="3" l="1"/>
  <c r="K51" i="3"/>
  <c r="G52" i="3"/>
  <c r="J52" i="3" s="1"/>
  <c r="H53" i="3"/>
  <c r="L53" i="3" s="1"/>
  <c r="I52" i="3" l="1"/>
  <c r="K52" i="3"/>
  <c r="G53" i="3"/>
  <c r="J53" i="3" s="1"/>
  <c r="H54" i="3"/>
  <c r="L54" i="3" s="1"/>
  <c r="I53" i="3" l="1"/>
  <c r="K53" i="3"/>
  <c r="H55" i="3"/>
  <c r="L55" i="3" s="1"/>
  <c r="G54" i="3"/>
  <c r="J54" i="3" s="1"/>
  <c r="I54" i="3" l="1"/>
  <c r="K54" i="3"/>
  <c r="H56" i="3"/>
  <c r="L56" i="3" s="1"/>
  <c r="G55" i="3"/>
  <c r="J55" i="3" s="1"/>
  <c r="I55" i="3" l="1"/>
  <c r="K55" i="3"/>
  <c r="G56" i="3"/>
  <c r="J56" i="3" s="1"/>
  <c r="H57" i="3"/>
  <c r="L57" i="3" s="1"/>
  <c r="I56" i="3" l="1"/>
  <c r="K56" i="3"/>
  <c r="H58" i="3"/>
  <c r="L58" i="3" s="1"/>
  <c r="G57" i="3"/>
  <c r="J57" i="3" s="1"/>
  <c r="I57" i="3" l="1"/>
  <c r="K57" i="3"/>
  <c r="G58" i="3"/>
  <c r="J58" i="3" s="1"/>
  <c r="H59" i="3"/>
  <c r="L59" i="3" s="1"/>
  <c r="I58" i="3" l="1"/>
  <c r="K58" i="3"/>
  <c r="H60" i="3"/>
  <c r="L60" i="3" s="1"/>
  <c r="G59" i="3"/>
  <c r="J59" i="3" s="1"/>
  <c r="I59" i="3" l="1"/>
  <c r="K59" i="3"/>
  <c r="H61" i="3"/>
  <c r="L61" i="3" s="1"/>
  <c r="G60" i="3"/>
  <c r="J60" i="3" s="1"/>
  <c r="I60" i="3" l="1"/>
  <c r="K60" i="3"/>
  <c r="G61" i="3"/>
  <c r="J61" i="3" s="1"/>
  <c r="H62" i="3"/>
  <c r="L62" i="3" s="1"/>
  <c r="I61" i="3" l="1"/>
  <c r="K61" i="3"/>
  <c r="H63" i="3"/>
  <c r="L63" i="3" s="1"/>
  <c r="G62" i="3"/>
  <c r="J62" i="3" s="1"/>
  <c r="I62" i="3" l="1"/>
  <c r="K62" i="3"/>
  <c r="G63" i="3"/>
  <c r="J63" i="3" s="1"/>
  <c r="H64" i="3"/>
  <c r="L64" i="3" s="1"/>
  <c r="I63" i="3" l="1"/>
  <c r="K63" i="3"/>
  <c r="H65" i="3"/>
  <c r="L65" i="3" s="1"/>
  <c r="G64" i="3"/>
  <c r="J64" i="3" s="1"/>
  <c r="I64" i="3" l="1"/>
  <c r="K64" i="3"/>
  <c r="H66" i="3"/>
  <c r="L66" i="3" s="1"/>
  <c r="G65" i="3"/>
  <c r="J65" i="3" s="1"/>
  <c r="I65" i="3" l="1"/>
  <c r="K65" i="3"/>
  <c r="H67" i="3"/>
  <c r="L67" i="3" s="1"/>
  <c r="G66" i="3"/>
  <c r="J66" i="3" s="1"/>
  <c r="I66" i="3" l="1"/>
  <c r="K66" i="3"/>
  <c r="G67" i="3"/>
  <c r="J67" i="3" s="1"/>
  <c r="H68" i="3"/>
  <c r="L68" i="3" s="1"/>
  <c r="I67" i="3" l="1"/>
  <c r="K67" i="3"/>
  <c r="H69" i="3"/>
  <c r="L69" i="3" s="1"/>
  <c r="G68" i="3"/>
  <c r="J68" i="3" s="1"/>
  <c r="I68" i="3" l="1"/>
  <c r="K68" i="3"/>
  <c r="G69" i="3"/>
  <c r="J69" i="3" s="1"/>
  <c r="H70" i="3"/>
  <c r="L70" i="3" s="1"/>
  <c r="I69" i="3" l="1"/>
  <c r="K69" i="3"/>
  <c r="H71" i="3"/>
  <c r="L71" i="3" s="1"/>
  <c r="G70" i="3"/>
  <c r="J70" i="3" s="1"/>
  <c r="I70" i="3" l="1"/>
  <c r="K70" i="3"/>
  <c r="G71" i="3"/>
  <c r="J71" i="3" s="1"/>
  <c r="H72" i="3"/>
  <c r="L72" i="3" s="1"/>
  <c r="I71" i="3" l="1"/>
  <c r="K71" i="3"/>
  <c r="H73" i="3"/>
  <c r="L73" i="3" s="1"/>
  <c r="G72" i="3"/>
  <c r="J72" i="3" s="1"/>
  <c r="I72" i="3" l="1"/>
  <c r="K72" i="3"/>
  <c r="H74" i="3"/>
  <c r="L74" i="3" s="1"/>
  <c r="G73" i="3"/>
  <c r="J73" i="3" s="1"/>
  <c r="I73" i="3" l="1"/>
  <c r="K73" i="3"/>
  <c r="H75" i="3"/>
  <c r="L75" i="3" s="1"/>
  <c r="G74" i="3"/>
  <c r="J74" i="3" s="1"/>
  <c r="I74" i="3" l="1"/>
  <c r="K74" i="3"/>
  <c r="H76" i="3"/>
  <c r="L76" i="3" s="1"/>
  <c r="G75" i="3"/>
  <c r="J75" i="3" s="1"/>
  <c r="I75" i="3" l="1"/>
  <c r="K75" i="3"/>
  <c r="H77" i="3"/>
  <c r="L77" i="3" s="1"/>
  <c r="G76" i="3"/>
  <c r="J76" i="3" s="1"/>
  <c r="I76" i="3" l="1"/>
  <c r="K76" i="3"/>
  <c r="G77" i="3"/>
  <c r="J77" i="3" s="1"/>
  <c r="H78" i="3"/>
  <c r="L78" i="3" s="1"/>
  <c r="I77" i="3" l="1"/>
  <c r="K77" i="3"/>
  <c r="H79" i="3"/>
  <c r="L79" i="3" s="1"/>
  <c r="G78" i="3"/>
  <c r="J78" i="3" s="1"/>
  <c r="I78" i="3" l="1"/>
  <c r="K78" i="3"/>
  <c r="G79" i="3"/>
  <c r="J79" i="3" s="1"/>
  <c r="H80" i="3"/>
  <c r="L80" i="3" s="1"/>
  <c r="I79" i="3" l="1"/>
  <c r="K79" i="3"/>
  <c r="G80" i="3"/>
  <c r="J80" i="3" s="1"/>
  <c r="H81" i="3"/>
  <c r="L81" i="3" s="1"/>
  <c r="I80" i="3" l="1"/>
  <c r="K80" i="3"/>
  <c r="H82" i="3"/>
  <c r="L82" i="3" s="1"/>
  <c r="G81" i="3"/>
  <c r="J81" i="3" s="1"/>
  <c r="I81" i="3" l="1"/>
  <c r="K81" i="3"/>
  <c r="G82" i="3"/>
  <c r="J82" i="3" s="1"/>
  <c r="H83" i="3"/>
  <c r="L83" i="3" s="1"/>
  <c r="I82" i="3" l="1"/>
  <c r="K82" i="3"/>
  <c r="H84" i="3"/>
  <c r="L84" i="3" s="1"/>
  <c r="G83" i="3"/>
  <c r="J83" i="3" s="1"/>
  <c r="I83" i="3" l="1"/>
  <c r="K83" i="3"/>
  <c r="H85" i="3"/>
  <c r="L85" i="3" s="1"/>
  <c r="G84" i="3"/>
  <c r="J84" i="3" s="1"/>
  <c r="I84" i="3" l="1"/>
  <c r="K84" i="3"/>
  <c r="H86" i="3"/>
  <c r="L86" i="3" s="1"/>
  <c r="G85" i="3"/>
  <c r="J85" i="3" s="1"/>
  <c r="I85" i="3" l="1"/>
  <c r="K85" i="3"/>
  <c r="G86" i="3"/>
  <c r="J86" i="3" s="1"/>
  <c r="H87" i="3"/>
  <c r="L87" i="3" s="1"/>
  <c r="I86" i="3" l="1"/>
  <c r="K86" i="3"/>
  <c r="G87" i="3"/>
  <c r="J87" i="3" s="1"/>
  <c r="H88" i="3"/>
  <c r="L88" i="3" s="1"/>
  <c r="I87" i="3" l="1"/>
  <c r="K87" i="3"/>
  <c r="G88" i="3"/>
  <c r="J88" i="3" s="1"/>
  <c r="H89" i="3"/>
  <c r="L89" i="3" s="1"/>
  <c r="I88" i="3" l="1"/>
  <c r="K88" i="3"/>
  <c r="H90" i="3"/>
  <c r="L90" i="3" s="1"/>
  <c r="G89" i="3"/>
  <c r="J89" i="3" s="1"/>
  <c r="I89" i="3" l="1"/>
  <c r="K89" i="3"/>
  <c r="G90" i="3"/>
  <c r="J90" i="3" s="1"/>
  <c r="H91" i="3"/>
  <c r="L91" i="3" s="1"/>
  <c r="I90" i="3" l="1"/>
  <c r="K90" i="3"/>
  <c r="H92" i="3"/>
  <c r="L92" i="3" s="1"/>
  <c r="G91" i="3"/>
  <c r="J91" i="3" s="1"/>
  <c r="I91" i="3" l="1"/>
  <c r="K91" i="3"/>
  <c r="H93" i="3"/>
  <c r="L93" i="3" s="1"/>
  <c r="G92" i="3"/>
  <c r="J92" i="3" s="1"/>
  <c r="I92" i="3" l="1"/>
  <c r="K92" i="3"/>
  <c r="G93" i="3"/>
  <c r="J93" i="3" s="1"/>
  <c r="H94" i="3"/>
  <c r="L94" i="3" s="1"/>
  <c r="I93" i="3" l="1"/>
  <c r="K93" i="3"/>
  <c r="G94" i="3"/>
  <c r="J94" i="3" s="1"/>
  <c r="H95" i="3"/>
  <c r="L95" i="3" s="1"/>
  <c r="I94" i="3" l="1"/>
  <c r="K94" i="3"/>
  <c r="G95" i="3"/>
  <c r="J95" i="3" s="1"/>
  <c r="H96" i="3"/>
  <c r="L96" i="3" s="1"/>
  <c r="I95" i="3" l="1"/>
  <c r="K95" i="3"/>
  <c r="G96" i="3"/>
  <c r="J96" i="3" s="1"/>
  <c r="H97" i="3"/>
  <c r="L97" i="3" s="1"/>
  <c r="I96" i="3" l="1"/>
  <c r="K96" i="3"/>
  <c r="H98" i="3"/>
  <c r="L98" i="3" s="1"/>
  <c r="G97" i="3"/>
  <c r="J97" i="3" s="1"/>
  <c r="I97" i="3" l="1"/>
  <c r="K97" i="3"/>
  <c r="G98" i="3"/>
  <c r="J98" i="3" s="1"/>
  <c r="H99" i="3"/>
  <c r="L99" i="3" s="1"/>
  <c r="I98" i="3" l="1"/>
  <c r="K98" i="3"/>
  <c r="H100" i="3"/>
  <c r="L100" i="3" s="1"/>
  <c r="G99" i="3"/>
  <c r="J99" i="3" s="1"/>
  <c r="I99" i="3" l="1"/>
  <c r="K99" i="3"/>
  <c r="H101" i="3"/>
  <c r="L101" i="3" s="1"/>
  <c r="G100" i="3"/>
  <c r="J100" i="3" s="1"/>
  <c r="I100" i="3" l="1"/>
  <c r="K100" i="3"/>
  <c r="G101" i="3"/>
  <c r="J101" i="3" s="1"/>
  <c r="H102" i="3"/>
  <c r="L102" i="3" s="1"/>
  <c r="I101" i="3" l="1"/>
  <c r="K101" i="3"/>
  <c r="H103" i="3"/>
  <c r="L103" i="3" s="1"/>
  <c r="G102" i="3"/>
  <c r="J102" i="3" s="1"/>
  <c r="I102" i="3" l="1"/>
  <c r="K102" i="3"/>
  <c r="G103" i="3"/>
  <c r="J103" i="3" s="1"/>
  <c r="H104" i="3"/>
  <c r="L104" i="3" s="1"/>
  <c r="I103" i="3" l="1"/>
  <c r="K103" i="3"/>
  <c r="H105" i="3"/>
  <c r="L105" i="3" s="1"/>
  <c r="G104" i="3"/>
  <c r="J104" i="3" s="1"/>
  <c r="I104" i="3" l="1"/>
  <c r="K104" i="3"/>
  <c r="H106" i="3"/>
  <c r="L106" i="3" s="1"/>
  <c r="G105" i="3"/>
  <c r="J105" i="3" s="1"/>
  <c r="I105" i="3" l="1"/>
  <c r="K105" i="3"/>
  <c r="G106" i="3"/>
  <c r="J106" i="3" s="1"/>
  <c r="H107" i="3"/>
  <c r="L107" i="3" s="1"/>
  <c r="I106" i="3" l="1"/>
  <c r="K106" i="3"/>
  <c r="H108" i="3"/>
  <c r="L108" i="3" s="1"/>
  <c r="G107" i="3"/>
  <c r="J107" i="3" s="1"/>
  <c r="I107" i="3" l="1"/>
  <c r="K107" i="3"/>
  <c r="H109" i="3"/>
  <c r="L109" i="3" s="1"/>
  <c r="G108" i="3"/>
  <c r="J108" i="3" s="1"/>
  <c r="I108" i="3" l="1"/>
  <c r="K108" i="3"/>
  <c r="H110" i="3"/>
  <c r="L110" i="3" s="1"/>
  <c r="G109" i="3"/>
  <c r="J109" i="3" s="1"/>
  <c r="I109" i="3" l="1"/>
  <c r="K109" i="3"/>
  <c r="H111" i="3"/>
  <c r="L111" i="3" s="1"/>
  <c r="G110" i="3"/>
  <c r="J110" i="3" s="1"/>
  <c r="I110" i="3" l="1"/>
  <c r="K110" i="3"/>
  <c r="G111" i="3"/>
  <c r="J111" i="3" s="1"/>
  <c r="H112" i="3"/>
  <c r="L112" i="3" s="1"/>
  <c r="I111" i="3" l="1"/>
  <c r="K111" i="3"/>
  <c r="G112" i="3"/>
  <c r="J112" i="3" s="1"/>
  <c r="H113" i="3"/>
  <c r="L113" i="3" s="1"/>
  <c r="I112" i="3" l="1"/>
  <c r="K112" i="3"/>
  <c r="H114" i="3"/>
  <c r="L114" i="3" s="1"/>
  <c r="G113" i="3"/>
  <c r="J113" i="3" s="1"/>
  <c r="I113" i="3" l="1"/>
  <c r="K113" i="3"/>
  <c r="G114" i="3"/>
  <c r="J114" i="3" s="1"/>
  <c r="H115" i="3"/>
  <c r="L115" i="3" s="1"/>
  <c r="I114" i="3" l="1"/>
  <c r="K114" i="3"/>
  <c r="H116" i="3"/>
  <c r="L116" i="3" s="1"/>
  <c r="G115" i="3"/>
  <c r="J115" i="3" s="1"/>
  <c r="I115" i="3" l="1"/>
  <c r="K115" i="3"/>
  <c r="H117" i="3"/>
  <c r="L117" i="3" s="1"/>
  <c r="G116" i="3"/>
  <c r="J116" i="3" s="1"/>
  <c r="I116" i="3" l="1"/>
  <c r="K116" i="3"/>
  <c r="G117" i="3"/>
  <c r="J117" i="3" s="1"/>
  <c r="H118" i="3"/>
  <c r="L118" i="3" s="1"/>
  <c r="I117" i="3" l="1"/>
  <c r="K117" i="3"/>
  <c r="H119" i="3"/>
  <c r="L119" i="3" s="1"/>
  <c r="G118" i="3"/>
  <c r="J118" i="3" s="1"/>
  <c r="I118" i="3" l="1"/>
  <c r="K118" i="3"/>
  <c r="G119" i="3"/>
  <c r="J119" i="3" s="1"/>
  <c r="H120" i="3"/>
  <c r="L120" i="3" s="1"/>
  <c r="I119" i="3" l="1"/>
  <c r="K119" i="3"/>
  <c r="G120" i="3"/>
  <c r="J120" i="3" s="1"/>
  <c r="H121" i="3"/>
  <c r="L121" i="3" s="1"/>
  <c r="I120" i="3" l="1"/>
  <c r="K120" i="3"/>
  <c r="H122" i="3"/>
  <c r="L122" i="3" s="1"/>
  <c r="G121" i="3"/>
  <c r="J121" i="3" s="1"/>
  <c r="I121" i="3" l="1"/>
  <c r="K121" i="3"/>
  <c r="G122" i="3"/>
  <c r="J122" i="3" s="1"/>
  <c r="H123" i="3"/>
  <c r="L123" i="3" s="1"/>
  <c r="I122" i="3" l="1"/>
  <c r="K122" i="3"/>
  <c r="H124" i="3"/>
  <c r="L124" i="3" s="1"/>
  <c r="G123" i="3"/>
  <c r="J123" i="3" s="1"/>
  <c r="I123" i="3" l="1"/>
  <c r="K123" i="3"/>
  <c r="H125" i="3"/>
  <c r="L125" i="3" s="1"/>
  <c r="G124" i="3"/>
  <c r="J124" i="3" s="1"/>
  <c r="I124" i="3" l="1"/>
  <c r="K124" i="3"/>
  <c r="G125" i="3"/>
  <c r="J125" i="3" s="1"/>
  <c r="H126" i="3"/>
  <c r="L126" i="3" s="1"/>
  <c r="I125" i="3" l="1"/>
  <c r="K125" i="3"/>
  <c r="H127" i="3"/>
  <c r="L127" i="3" s="1"/>
  <c r="G126" i="3"/>
  <c r="J126" i="3" s="1"/>
  <c r="I126" i="3" l="1"/>
  <c r="K126" i="3"/>
  <c r="H128" i="3"/>
  <c r="L128" i="3" s="1"/>
  <c r="G127" i="3"/>
  <c r="J127" i="3" s="1"/>
  <c r="I127" i="3" l="1"/>
  <c r="K127" i="3"/>
  <c r="G128" i="3"/>
  <c r="J128" i="3" s="1"/>
  <c r="H129" i="3"/>
  <c r="L129" i="3" s="1"/>
  <c r="I128" i="3" l="1"/>
  <c r="K128" i="3"/>
  <c r="H130" i="3"/>
  <c r="L130" i="3" s="1"/>
  <c r="G129" i="3"/>
  <c r="J129" i="3" s="1"/>
  <c r="I129" i="3" l="1"/>
  <c r="K129" i="3"/>
  <c r="G130" i="3"/>
  <c r="J130" i="3" s="1"/>
  <c r="H131" i="3"/>
  <c r="L131" i="3" s="1"/>
  <c r="I130" i="3" l="1"/>
  <c r="K130" i="3"/>
  <c r="H132" i="3"/>
  <c r="L132" i="3" s="1"/>
  <c r="G131" i="3"/>
  <c r="J131" i="3" s="1"/>
  <c r="I131" i="3" l="1"/>
  <c r="K131" i="3"/>
  <c r="H133" i="3"/>
  <c r="L133" i="3" s="1"/>
  <c r="G132" i="3"/>
  <c r="J132" i="3" s="1"/>
  <c r="I132" i="3" l="1"/>
  <c r="K132" i="3"/>
  <c r="G133" i="3"/>
  <c r="J133" i="3" s="1"/>
  <c r="H134" i="3"/>
  <c r="L134" i="3" s="1"/>
  <c r="I133" i="3" l="1"/>
  <c r="K133" i="3"/>
  <c r="H135" i="3"/>
  <c r="L135" i="3" s="1"/>
  <c r="G134" i="3"/>
  <c r="J134" i="3" s="1"/>
  <c r="I134" i="3" l="1"/>
  <c r="K134" i="3"/>
  <c r="G135" i="3"/>
  <c r="J135" i="3" s="1"/>
  <c r="H136" i="3"/>
  <c r="L136" i="3" s="1"/>
  <c r="I135" i="3" l="1"/>
  <c r="K135" i="3"/>
  <c r="G136" i="3"/>
  <c r="J136" i="3" s="1"/>
  <c r="H137" i="3"/>
  <c r="L137" i="3" s="1"/>
  <c r="I136" i="3" l="1"/>
  <c r="K136" i="3"/>
  <c r="H138" i="3"/>
  <c r="L138" i="3" s="1"/>
  <c r="G137" i="3"/>
  <c r="J137" i="3" s="1"/>
  <c r="I137" i="3" l="1"/>
  <c r="K137" i="3"/>
  <c r="G138" i="3"/>
  <c r="J138" i="3" s="1"/>
  <c r="H139" i="3"/>
  <c r="L139" i="3" s="1"/>
  <c r="I138" i="3" l="1"/>
  <c r="K138" i="3"/>
  <c r="H140" i="3"/>
  <c r="L140" i="3" s="1"/>
  <c r="G139" i="3"/>
  <c r="J139" i="3" s="1"/>
  <c r="I139" i="3" l="1"/>
  <c r="K139" i="3"/>
  <c r="H141" i="3"/>
  <c r="L141" i="3" s="1"/>
  <c r="G140" i="3"/>
  <c r="J140" i="3" s="1"/>
  <c r="I140" i="3" l="1"/>
  <c r="K140" i="3"/>
  <c r="G141" i="3"/>
  <c r="J141" i="3" s="1"/>
  <c r="H142" i="3"/>
  <c r="L142" i="3" s="1"/>
  <c r="I141" i="3" l="1"/>
  <c r="K141" i="3"/>
  <c r="H143" i="3"/>
  <c r="L143" i="3" s="1"/>
  <c r="G142" i="3"/>
  <c r="J142" i="3" s="1"/>
  <c r="I142" i="3" l="1"/>
  <c r="K142" i="3"/>
  <c r="G143" i="3"/>
  <c r="J143" i="3" s="1"/>
  <c r="H144" i="3"/>
  <c r="L144" i="3" s="1"/>
  <c r="I143" i="3" l="1"/>
  <c r="K143" i="3"/>
  <c r="G144" i="3"/>
  <c r="J144" i="3" s="1"/>
  <c r="H145" i="3"/>
  <c r="L145" i="3" s="1"/>
  <c r="I144" i="3" l="1"/>
  <c r="K144" i="3"/>
  <c r="H146" i="3"/>
  <c r="L146" i="3" s="1"/>
  <c r="G145" i="3"/>
  <c r="J145" i="3" s="1"/>
  <c r="I145" i="3" l="1"/>
  <c r="K145" i="3"/>
  <c r="G146" i="3"/>
  <c r="J146" i="3" s="1"/>
  <c r="H147" i="3"/>
  <c r="L147" i="3" s="1"/>
  <c r="I146" i="3" l="1"/>
  <c r="K146" i="3"/>
  <c r="G147" i="3"/>
  <c r="J147" i="3" s="1"/>
  <c r="H148" i="3"/>
  <c r="L148" i="3" s="1"/>
  <c r="I147" i="3" l="1"/>
  <c r="K147" i="3"/>
  <c r="H149" i="3"/>
  <c r="L149" i="3" s="1"/>
  <c r="G148" i="3"/>
  <c r="J148" i="3" s="1"/>
  <c r="I148" i="3" l="1"/>
  <c r="K148" i="3"/>
  <c r="G149" i="3"/>
  <c r="J149" i="3" s="1"/>
  <c r="H150" i="3"/>
  <c r="L150" i="3" s="1"/>
  <c r="I149" i="3" l="1"/>
  <c r="K149" i="3"/>
  <c r="H151" i="3"/>
  <c r="L151" i="3" s="1"/>
  <c r="G150" i="3"/>
  <c r="J150" i="3" s="1"/>
  <c r="I150" i="3" l="1"/>
  <c r="K150" i="3"/>
  <c r="G151" i="3"/>
  <c r="J151" i="3" s="1"/>
  <c r="H152" i="3"/>
  <c r="L152" i="3" s="1"/>
  <c r="I151" i="3" l="1"/>
  <c r="K151" i="3"/>
  <c r="G152" i="3"/>
  <c r="J152" i="3" s="1"/>
  <c r="H153" i="3"/>
  <c r="L153" i="3" s="1"/>
  <c r="I152" i="3" l="1"/>
  <c r="K152" i="3"/>
  <c r="G153" i="3"/>
  <c r="J153" i="3" s="1"/>
  <c r="H154" i="3"/>
  <c r="L154" i="3" s="1"/>
  <c r="I153" i="3" l="1"/>
  <c r="K153" i="3"/>
  <c r="G154" i="3"/>
  <c r="J154" i="3" s="1"/>
  <c r="H155" i="3"/>
  <c r="L155" i="3" s="1"/>
  <c r="I154" i="3" l="1"/>
  <c r="K154" i="3"/>
  <c r="G155" i="3"/>
  <c r="J155" i="3" s="1"/>
  <c r="H156" i="3"/>
  <c r="L156" i="3" s="1"/>
  <c r="I155" i="3" l="1"/>
  <c r="K155" i="3"/>
  <c r="H157" i="3"/>
  <c r="L157" i="3" s="1"/>
  <c r="G156" i="3"/>
  <c r="J156" i="3" s="1"/>
  <c r="I156" i="3" l="1"/>
  <c r="K156" i="3"/>
  <c r="H158" i="3"/>
  <c r="L158" i="3" s="1"/>
  <c r="G157" i="3"/>
  <c r="J157" i="3" s="1"/>
  <c r="I157" i="3" l="1"/>
  <c r="K157" i="3"/>
  <c r="G158" i="3"/>
  <c r="J158" i="3" s="1"/>
  <c r="H159" i="3"/>
  <c r="L159" i="3" s="1"/>
  <c r="I158" i="3" l="1"/>
  <c r="K158" i="3"/>
  <c r="G159" i="3"/>
  <c r="J159" i="3" s="1"/>
  <c r="H160" i="3"/>
  <c r="L160" i="3" s="1"/>
  <c r="I159" i="3" l="1"/>
  <c r="K159" i="3"/>
  <c r="G160" i="3"/>
  <c r="J160" i="3" s="1"/>
  <c r="H161" i="3"/>
  <c r="L161" i="3" s="1"/>
  <c r="I160" i="3" l="1"/>
  <c r="K160" i="3"/>
  <c r="H162" i="3"/>
  <c r="L162" i="3" s="1"/>
  <c r="G161" i="3"/>
  <c r="J161" i="3" s="1"/>
  <c r="I161" i="3" l="1"/>
  <c r="K161" i="3"/>
  <c r="H163" i="3"/>
  <c r="L163" i="3" s="1"/>
  <c r="G162" i="3"/>
  <c r="J162" i="3" s="1"/>
  <c r="I162" i="3" l="1"/>
  <c r="K162" i="3"/>
  <c r="H164" i="3"/>
  <c r="L164" i="3" s="1"/>
  <c r="G163" i="3"/>
  <c r="J163" i="3" s="1"/>
  <c r="I163" i="3" l="1"/>
  <c r="K163" i="3"/>
  <c r="G164" i="3"/>
  <c r="J164" i="3" s="1"/>
  <c r="H165" i="3"/>
  <c r="L165" i="3" s="1"/>
  <c r="I164" i="3" l="1"/>
  <c r="K164" i="3"/>
  <c r="G165" i="3"/>
  <c r="J165" i="3" s="1"/>
  <c r="H166" i="3"/>
  <c r="L166" i="3" s="1"/>
  <c r="I165" i="3" l="1"/>
  <c r="K165" i="3"/>
  <c r="G166" i="3"/>
  <c r="J166" i="3" s="1"/>
  <c r="H167" i="3"/>
  <c r="L167" i="3" s="1"/>
  <c r="I166" i="3" l="1"/>
  <c r="K166" i="3"/>
  <c r="G167" i="3"/>
  <c r="J167" i="3" s="1"/>
  <c r="H168" i="3"/>
  <c r="L168" i="3" s="1"/>
  <c r="I167" i="3" l="1"/>
  <c r="K167" i="3"/>
  <c r="G168" i="3"/>
  <c r="J168" i="3" s="1"/>
  <c r="H169" i="3"/>
  <c r="L169" i="3" s="1"/>
  <c r="I168" i="3" l="1"/>
  <c r="K168" i="3"/>
  <c r="H170" i="3"/>
  <c r="L170" i="3" s="1"/>
  <c r="G169" i="3"/>
  <c r="J169" i="3" s="1"/>
  <c r="I169" i="3" l="1"/>
  <c r="K169" i="3"/>
  <c r="G170" i="3"/>
  <c r="J170" i="3" s="1"/>
  <c r="H171" i="3"/>
  <c r="L171" i="3" s="1"/>
  <c r="I170" i="3" l="1"/>
  <c r="K170" i="3"/>
  <c r="H172" i="3"/>
  <c r="L172" i="3" s="1"/>
  <c r="G171" i="3"/>
  <c r="J171" i="3" s="1"/>
  <c r="I171" i="3" l="1"/>
  <c r="K171" i="3"/>
  <c r="H173" i="3"/>
  <c r="L173" i="3" s="1"/>
  <c r="G172" i="3"/>
  <c r="J172" i="3" s="1"/>
  <c r="I172" i="3" l="1"/>
  <c r="K172" i="3"/>
  <c r="G173" i="3"/>
  <c r="J173" i="3" s="1"/>
  <c r="H174" i="3"/>
  <c r="L174" i="3" s="1"/>
  <c r="I173" i="3" l="1"/>
  <c r="K173" i="3"/>
  <c r="H175" i="3"/>
  <c r="L175" i="3" s="1"/>
  <c r="G174" i="3"/>
  <c r="J174" i="3" s="1"/>
  <c r="I174" i="3" l="1"/>
  <c r="K174" i="3"/>
  <c r="G175" i="3"/>
  <c r="J175" i="3" s="1"/>
  <c r="H176" i="3"/>
  <c r="L176" i="3" s="1"/>
  <c r="I175" i="3" l="1"/>
  <c r="K175" i="3"/>
  <c r="G176" i="3"/>
  <c r="J176" i="3" s="1"/>
  <c r="H177" i="3"/>
  <c r="L177" i="3" s="1"/>
  <c r="I176" i="3" l="1"/>
  <c r="K176" i="3"/>
  <c r="H178" i="3"/>
  <c r="L178" i="3" s="1"/>
  <c r="G177" i="3"/>
  <c r="J177" i="3" s="1"/>
  <c r="I177" i="3" l="1"/>
  <c r="K177" i="3"/>
  <c r="G178" i="3"/>
  <c r="J178" i="3" s="1"/>
  <c r="H179" i="3"/>
  <c r="L179" i="3" s="1"/>
  <c r="I178" i="3" l="1"/>
  <c r="K178" i="3"/>
  <c r="H180" i="3"/>
  <c r="L180" i="3" s="1"/>
  <c r="G179" i="3"/>
  <c r="J179" i="3" s="1"/>
  <c r="I179" i="3" l="1"/>
  <c r="K179" i="3"/>
  <c r="H181" i="3"/>
  <c r="L181" i="3" s="1"/>
  <c r="G180" i="3"/>
  <c r="J180" i="3" s="1"/>
  <c r="I180" i="3" l="1"/>
  <c r="K180" i="3"/>
  <c r="G181" i="3"/>
  <c r="J181" i="3" s="1"/>
  <c r="H182" i="3"/>
  <c r="L182" i="3" s="1"/>
  <c r="I181" i="3" l="1"/>
  <c r="K181" i="3"/>
  <c r="H183" i="3"/>
  <c r="L183" i="3" s="1"/>
  <c r="G182" i="3"/>
  <c r="J182" i="3" s="1"/>
  <c r="I182" i="3" l="1"/>
  <c r="K182" i="3"/>
  <c r="G183" i="3"/>
  <c r="J183" i="3" s="1"/>
  <c r="H184" i="3"/>
  <c r="L184" i="3" s="1"/>
  <c r="I183" i="3" l="1"/>
  <c r="K183" i="3"/>
  <c r="G184" i="3"/>
  <c r="J184" i="3" s="1"/>
  <c r="H185" i="3"/>
  <c r="L185" i="3" s="1"/>
  <c r="I184" i="3" l="1"/>
  <c r="K184" i="3"/>
  <c r="H186" i="3"/>
  <c r="L186" i="3" s="1"/>
  <c r="G185" i="3"/>
  <c r="J185" i="3" s="1"/>
  <c r="I185" i="3" l="1"/>
  <c r="K185" i="3"/>
  <c r="G186" i="3"/>
  <c r="J186" i="3" s="1"/>
  <c r="H187" i="3"/>
  <c r="L187" i="3" s="1"/>
  <c r="I186" i="3" l="1"/>
  <c r="K186" i="3"/>
  <c r="H188" i="3"/>
  <c r="L188" i="3" s="1"/>
  <c r="G187" i="3"/>
  <c r="J187" i="3" s="1"/>
  <c r="I187" i="3" l="1"/>
  <c r="K187" i="3"/>
  <c r="H189" i="3"/>
  <c r="L189" i="3" s="1"/>
  <c r="G188" i="3"/>
  <c r="J188" i="3" s="1"/>
  <c r="I188" i="3" l="1"/>
  <c r="K188" i="3"/>
  <c r="G189" i="3"/>
  <c r="J189" i="3" s="1"/>
  <c r="H190" i="3"/>
  <c r="L190" i="3" s="1"/>
  <c r="I189" i="3" l="1"/>
  <c r="K189" i="3"/>
  <c r="H191" i="3"/>
  <c r="L191" i="3" s="1"/>
  <c r="G190" i="3"/>
  <c r="J190" i="3" s="1"/>
  <c r="I190" i="3" l="1"/>
  <c r="K190" i="3"/>
  <c r="G191" i="3"/>
  <c r="J191" i="3" s="1"/>
  <c r="H192" i="3"/>
  <c r="L192" i="3" s="1"/>
  <c r="I191" i="3" l="1"/>
  <c r="K191" i="3"/>
  <c r="G192" i="3"/>
  <c r="J192" i="3" s="1"/>
  <c r="H193" i="3"/>
  <c r="L193" i="3" s="1"/>
  <c r="I192" i="3" l="1"/>
  <c r="K192" i="3"/>
  <c r="H194" i="3"/>
  <c r="L194" i="3" s="1"/>
  <c r="G193" i="3"/>
  <c r="J193" i="3" s="1"/>
  <c r="I193" i="3" l="1"/>
  <c r="K193" i="3"/>
  <c r="G194" i="3"/>
  <c r="J194" i="3" s="1"/>
  <c r="H195" i="3"/>
  <c r="L195" i="3" s="1"/>
  <c r="I194" i="3" l="1"/>
  <c r="K194" i="3"/>
  <c r="G195" i="3"/>
  <c r="J195" i="3" s="1"/>
  <c r="H196" i="3"/>
  <c r="L196" i="3" s="1"/>
  <c r="I195" i="3" l="1"/>
  <c r="K195" i="3"/>
  <c r="H197" i="3"/>
  <c r="L197" i="3" s="1"/>
  <c r="G196" i="3"/>
  <c r="J196" i="3" s="1"/>
  <c r="I196" i="3" l="1"/>
  <c r="K196" i="3"/>
  <c r="G197" i="3"/>
  <c r="J197" i="3" s="1"/>
  <c r="H198" i="3"/>
  <c r="L198" i="3" s="1"/>
  <c r="I197" i="3" l="1"/>
  <c r="K197" i="3"/>
  <c r="H199" i="3"/>
  <c r="L199" i="3" s="1"/>
  <c r="G198" i="3"/>
  <c r="J198" i="3" s="1"/>
  <c r="I198" i="3" l="1"/>
  <c r="K198" i="3"/>
  <c r="H200" i="3"/>
  <c r="L200" i="3" s="1"/>
  <c r="G199" i="3"/>
  <c r="J199" i="3" s="1"/>
  <c r="I199" i="3" l="1"/>
  <c r="K199" i="3"/>
  <c r="G200" i="3"/>
  <c r="J200" i="3" s="1"/>
  <c r="H201" i="3"/>
  <c r="L201" i="3" s="1"/>
  <c r="I200" i="3" l="1"/>
  <c r="K200" i="3"/>
  <c r="H202" i="3"/>
  <c r="L202" i="3" s="1"/>
  <c r="G201" i="3"/>
  <c r="J201" i="3" s="1"/>
  <c r="I201" i="3" l="1"/>
  <c r="K201" i="3"/>
  <c r="G202" i="3"/>
  <c r="J202" i="3" s="1"/>
  <c r="H203" i="3"/>
  <c r="L203" i="3" s="1"/>
  <c r="I202" i="3" l="1"/>
  <c r="K202" i="3"/>
  <c r="H204" i="3"/>
  <c r="L204" i="3" s="1"/>
  <c r="G203" i="3"/>
  <c r="J203" i="3" s="1"/>
  <c r="I203" i="3" l="1"/>
  <c r="K203" i="3"/>
  <c r="H205" i="3"/>
  <c r="L205" i="3" s="1"/>
  <c r="G204" i="3"/>
  <c r="J204" i="3" s="1"/>
  <c r="I204" i="3" l="1"/>
  <c r="K204" i="3"/>
  <c r="H206" i="3"/>
  <c r="L206" i="3" s="1"/>
  <c r="G205" i="3"/>
  <c r="J205" i="3" s="1"/>
  <c r="I205" i="3" l="1"/>
  <c r="K205" i="3"/>
  <c r="H207" i="3"/>
  <c r="L207" i="3" s="1"/>
  <c r="G206" i="3"/>
  <c r="J206" i="3" s="1"/>
  <c r="I206" i="3" l="1"/>
  <c r="K206" i="3"/>
  <c r="G207" i="3"/>
  <c r="J207" i="3" s="1"/>
  <c r="H208" i="3"/>
  <c r="L208" i="3" s="1"/>
  <c r="I207" i="3" l="1"/>
  <c r="K207" i="3"/>
  <c r="H209" i="3"/>
  <c r="L209" i="3" s="1"/>
  <c r="G208" i="3"/>
  <c r="J208" i="3" s="1"/>
  <c r="I208" i="3" l="1"/>
  <c r="K208" i="3"/>
  <c r="H210" i="3"/>
  <c r="L210" i="3" s="1"/>
  <c r="G209" i="3"/>
  <c r="J209" i="3" s="1"/>
  <c r="I209" i="3" l="1"/>
  <c r="K209" i="3"/>
  <c r="G210" i="3"/>
  <c r="J210" i="3" s="1"/>
  <c r="H211" i="3"/>
  <c r="L211" i="3" s="1"/>
  <c r="I210" i="3" l="1"/>
  <c r="K210" i="3"/>
  <c r="H212" i="3"/>
  <c r="L212" i="3" s="1"/>
  <c r="G211" i="3"/>
  <c r="J211" i="3" s="1"/>
  <c r="I211" i="3" l="1"/>
  <c r="K211" i="3"/>
  <c r="G212" i="3"/>
  <c r="J212" i="3" s="1"/>
  <c r="H213" i="3"/>
  <c r="L213" i="3" s="1"/>
  <c r="I212" i="3" l="1"/>
  <c r="K212" i="3"/>
  <c r="G213" i="3"/>
  <c r="J213" i="3" s="1"/>
  <c r="H214" i="3"/>
  <c r="L214" i="3" s="1"/>
  <c r="I213" i="3" l="1"/>
  <c r="K213" i="3"/>
  <c r="H215" i="3"/>
  <c r="L215" i="3" s="1"/>
  <c r="G214" i="3"/>
  <c r="J214" i="3" s="1"/>
  <c r="I214" i="3" l="1"/>
  <c r="K214" i="3"/>
  <c r="G215" i="3"/>
  <c r="J215" i="3" s="1"/>
  <c r="H216" i="3"/>
  <c r="L216" i="3" s="1"/>
  <c r="I215" i="3" l="1"/>
  <c r="K215" i="3"/>
  <c r="G216" i="3"/>
  <c r="J216" i="3" s="1"/>
  <c r="H217" i="3"/>
  <c r="L217" i="3" s="1"/>
  <c r="I216" i="3" l="1"/>
  <c r="K216" i="3"/>
  <c r="H218" i="3"/>
  <c r="L218" i="3" s="1"/>
  <c r="G217" i="3"/>
  <c r="J217" i="3" s="1"/>
  <c r="I217" i="3" l="1"/>
  <c r="K217" i="3"/>
  <c r="G218" i="3"/>
  <c r="J218" i="3" s="1"/>
  <c r="H219" i="3"/>
  <c r="L219" i="3" s="1"/>
  <c r="I218" i="3" l="1"/>
  <c r="K218" i="3"/>
  <c r="G219" i="3"/>
  <c r="J219" i="3" s="1"/>
  <c r="H220" i="3"/>
  <c r="L220" i="3" s="1"/>
  <c r="I219" i="3" l="1"/>
  <c r="K219" i="3"/>
  <c r="H221" i="3"/>
  <c r="L221" i="3" s="1"/>
  <c r="G220" i="3"/>
  <c r="J220" i="3" s="1"/>
  <c r="I220" i="3" l="1"/>
  <c r="K220" i="3"/>
  <c r="G221" i="3"/>
  <c r="J221" i="3" s="1"/>
  <c r="H222" i="3"/>
  <c r="L222" i="3" s="1"/>
  <c r="I221" i="3" l="1"/>
  <c r="K221" i="3"/>
  <c r="H223" i="3"/>
  <c r="L223" i="3" s="1"/>
  <c r="G222" i="3"/>
  <c r="J222" i="3" s="1"/>
  <c r="I222" i="3" l="1"/>
  <c r="K222" i="3"/>
  <c r="G223" i="3"/>
  <c r="J223" i="3" s="1"/>
  <c r="H224" i="3"/>
  <c r="L224" i="3" s="1"/>
  <c r="I223" i="3" l="1"/>
  <c r="K223" i="3"/>
  <c r="G224" i="3"/>
  <c r="J224" i="3" s="1"/>
  <c r="H225" i="3"/>
  <c r="L225" i="3" s="1"/>
  <c r="I224" i="3" l="1"/>
  <c r="K224" i="3"/>
  <c r="H226" i="3"/>
  <c r="L226" i="3" s="1"/>
  <c r="G225" i="3"/>
  <c r="J225" i="3" s="1"/>
  <c r="I225" i="3" l="1"/>
  <c r="K225" i="3"/>
  <c r="G226" i="3"/>
  <c r="J226" i="3" s="1"/>
  <c r="H227" i="3"/>
  <c r="L227" i="3" s="1"/>
  <c r="I226" i="3" l="1"/>
  <c r="K226" i="3"/>
  <c r="H228" i="3"/>
  <c r="L228" i="3" s="1"/>
  <c r="G227" i="3"/>
  <c r="J227" i="3" s="1"/>
  <c r="I227" i="3" l="1"/>
  <c r="K227" i="3"/>
  <c r="H229" i="3"/>
  <c r="L229" i="3" s="1"/>
  <c r="G228" i="3"/>
  <c r="J228" i="3" s="1"/>
  <c r="I228" i="3" l="1"/>
  <c r="K228" i="3"/>
  <c r="G229" i="3"/>
  <c r="J229" i="3" s="1"/>
  <c r="H230" i="3"/>
  <c r="L230" i="3" s="1"/>
  <c r="I229" i="3" l="1"/>
  <c r="K229" i="3"/>
  <c r="H231" i="3"/>
  <c r="L231" i="3" s="1"/>
  <c r="G230" i="3"/>
  <c r="J230" i="3" s="1"/>
  <c r="I230" i="3" l="1"/>
  <c r="K230" i="3"/>
  <c r="G231" i="3"/>
  <c r="J231" i="3" s="1"/>
  <c r="H232" i="3"/>
  <c r="L232" i="3" s="1"/>
  <c r="I231" i="3" l="1"/>
  <c r="K231" i="3"/>
  <c r="G232" i="3"/>
  <c r="J232" i="3" s="1"/>
  <c r="H233" i="3"/>
  <c r="L233" i="3" s="1"/>
  <c r="I232" i="3" l="1"/>
  <c r="K232" i="3"/>
  <c r="H234" i="3"/>
  <c r="L234" i="3" s="1"/>
  <c r="G233" i="3"/>
  <c r="J233" i="3" s="1"/>
  <c r="I233" i="3" l="1"/>
  <c r="K233" i="3"/>
  <c r="G234" i="3"/>
  <c r="J234" i="3" s="1"/>
  <c r="H235" i="3"/>
  <c r="L235" i="3" s="1"/>
  <c r="I234" i="3" l="1"/>
  <c r="K234" i="3"/>
  <c r="H236" i="3"/>
  <c r="L236" i="3" s="1"/>
  <c r="G235" i="3"/>
  <c r="J235" i="3" s="1"/>
  <c r="I235" i="3" l="1"/>
  <c r="K235" i="3"/>
  <c r="H237" i="3"/>
  <c r="L237" i="3" s="1"/>
  <c r="G236" i="3"/>
  <c r="J236" i="3" s="1"/>
  <c r="I236" i="3" l="1"/>
  <c r="K236" i="3"/>
  <c r="H238" i="3"/>
  <c r="L238" i="3" s="1"/>
  <c r="G237" i="3"/>
  <c r="J237" i="3" s="1"/>
  <c r="I237" i="3" l="1"/>
  <c r="K237" i="3"/>
  <c r="H239" i="3"/>
  <c r="L239" i="3" s="1"/>
  <c r="G238" i="3"/>
  <c r="J238" i="3" s="1"/>
  <c r="I238" i="3" l="1"/>
  <c r="K238" i="3"/>
  <c r="G239" i="3"/>
  <c r="J239" i="3" s="1"/>
  <c r="H240" i="3"/>
  <c r="L240" i="3" s="1"/>
  <c r="I239" i="3" l="1"/>
  <c r="K239" i="3"/>
  <c r="G240" i="3"/>
  <c r="J240" i="3" s="1"/>
  <c r="H241" i="3"/>
  <c r="L241" i="3" s="1"/>
  <c r="I240" i="3" l="1"/>
  <c r="K240" i="3"/>
  <c r="G241" i="3"/>
  <c r="J241" i="3" s="1"/>
  <c r="H242" i="3"/>
  <c r="L242" i="3" s="1"/>
  <c r="I241" i="3" l="1"/>
  <c r="K241" i="3"/>
  <c r="G242" i="3"/>
  <c r="J242" i="3" s="1"/>
  <c r="H243" i="3"/>
  <c r="L243" i="3" s="1"/>
  <c r="I242" i="3" l="1"/>
  <c r="K242" i="3"/>
  <c r="H244" i="3"/>
  <c r="L244" i="3" s="1"/>
  <c r="G243" i="3"/>
  <c r="J243" i="3" s="1"/>
  <c r="I243" i="3" l="1"/>
  <c r="K243" i="3"/>
  <c r="H245" i="3"/>
  <c r="L245" i="3" s="1"/>
  <c r="G244" i="3"/>
  <c r="J244" i="3" s="1"/>
  <c r="I244" i="3" l="1"/>
  <c r="K244" i="3"/>
  <c r="G245" i="3"/>
  <c r="J245" i="3" s="1"/>
  <c r="H246" i="3"/>
  <c r="L246" i="3" s="1"/>
  <c r="I245" i="3" l="1"/>
  <c r="K245" i="3"/>
  <c r="H247" i="3"/>
  <c r="L247" i="3" s="1"/>
  <c r="G246" i="3"/>
  <c r="J246" i="3" s="1"/>
  <c r="I246" i="3" l="1"/>
  <c r="K246" i="3"/>
  <c r="H248" i="3"/>
  <c r="L248" i="3" s="1"/>
  <c r="G247" i="3"/>
  <c r="J247" i="3" s="1"/>
  <c r="I247" i="3" l="1"/>
  <c r="K247" i="3"/>
  <c r="G248" i="3"/>
  <c r="J248" i="3" s="1"/>
  <c r="H249" i="3"/>
  <c r="L249" i="3" s="1"/>
  <c r="I248" i="3" l="1"/>
  <c r="K248" i="3"/>
  <c r="H250" i="3"/>
  <c r="L250" i="3" s="1"/>
  <c r="G249" i="3"/>
  <c r="J249" i="3" s="1"/>
  <c r="I249" i="3" l="1"/>
  <c r="K249" i="3"/>
  <c r="G250" i="3"/>
  <c r="J250" i="3" s="1"/>
  <c r="H251" i="3"/>
  <c r="L251" i="3" s="1"/>
  <c r="I250" i="3" l="1"/>
  <c r="K250" i="3"/>
  <c r="H252" i="3"/>
  <c r="L252" i="3" s="1"/>
  <c r="G251" i="3"/>
  <c r="J251" i="3" s="1"/>
  <c r="I251" i="3" l="1"/>
  <c r="K251" i="3"/>
  <c r="G252" i="3"/>
  <c r="J252" i="3" s="1"/>
  <c r="H253" i="3"/>
  <c r="L253" i="3" s="1"/>
  <c r="I252" i="3" l="1"/>
  <c r="K252" i="3"/>
  <c r="G253" i="3"/>
  <c r="J253" i="3" s="1"/>
  <c r="H254" i="3"/>
  <c r="L254" i="3" s="1"/>
  <c r="I253" i="3" l="1"/>
  <c r="K253" i="3"/>
  <c r="G254" i="3"/>
  <c r="J254" i="3" s="1"/>
  <c r="H255" i="3"/>
  <c r="L255" i="3" s="1"/>
  <c r="I254" i="3" l="1"/>
  <c r="K254" i="3"/>
  <c r="H256" i="3"/>
  <c r="L256" i="3" s="1"/>
  <c r="G255" i="3"/>
  <c r="J255" i="3" s="1"/>
  <c r="I255" i="3" l="1"/>
  <c r="K255" i="3"/>
  <c r="G256" i="3"/>
  <c r="J256" i="3" s="1"/>
  <c r="H257" i="3"/>
  <c r="L257" i="3" s="1"/>
  <c r="I256" i="3" l="1"/>
  <c r="K256" i="3"/>
  <c r="H258" i="3"/>
  <c r="L258" i="3" s="1"/>
  <c r="G257" i="3"/>
  <c r="J257" i="3" s="1"/>
  <c r="I257" i="3" l="1"/>
  <c r="K257" i="3"/>
  <c r="H259" i="3"/>
  <c r="L259" i="3" s="1"/>
  <c r="G258" i="3"/>
  <c r="J258" i="3" s="1"/>
  <c r="I258" i="3" l="1"/>
  <c r="K258" i="3"/>
  <c r="H260" i="3"/>
  <c r="L260" i="3" s="1"/>
  <c r="G259" i="3"/>
  <c r="J259" i="3" s="1"/>
  <c r="I259" i="3" l="1"/>
  <c r="K259" i="3"/>
  <c r="H261" i="3"/>
  <c r="L261" i="3" s="1"/>
  <c r="G260" i="3"/>
  <c r="J260" i="3" s="1"/>
  <c r="I260" i="3" l="1"/>
  <c r="K260" i="3"/>
  <c r="G261" i="3"/>
  <c r="J261" i="3" s="1"/>
  <c r="H262" i="3"/>
  <c r="L262" i="3" s="1"/>
  <c r="I261" i="3" l="1"/>
  <c r="K261" i="3"/>
  <c r="H263" i="3"/>
  <c r="L263" i="3" s="1"/>
  <c r="G262" i="3"/>
  <c r="J262" i="3" s="1"/>
  <c r="I262" i="3" l="1"/>
  <c r="K262" i="3"/>
  <c r="G263" i="3"/>
  <c r="J263" i="3" s="1"/>
  <c r="H264" i="3"/>
  <c r="L264" i="3" s="1"/>
  <c r="I263" i="3" l="1"/>
  <c r="K263" i="3"/>
  <c r="G264" i="3"/>
  <c r="J264" i="3" s="1"/>
  <c r="H265" i="3"/>
  <c r="L265" i="3" s="1"/>
  <c r="I264" i="3" l="1"/>
  <c r="K264" i="3"/>
  <c r="H266" i="3"/>
  <c r="L266" i="3" s="1"/>
  <c r="G265" i="3"/>
  <c r="J265" i="3" s="1"/>
  <c r="I265" i="3" l="1"/>
  <c r="K265" i="3"/>
  <c r="G266" i="3"/>
  <c r="J266" i="3" s="1"/>
  <c r="H267" i="3"/>
  <c r="L267" i="3" s="1"/>
  <c r="I266" i="3" l="1"/>
  <c r="K266" i="3"/>
  <c r="G267" i="3"/>
  <c r="J267" i="3" s="1"/>
  <c r="H268" i="3"/>
  <c r="L268" i="3" s="1"/>
  <c r="I267" i="3" l="1"/>
  <c r="K267" i="3"/>
  <c r="H269" i="3"/>
  <c r="L269" i="3" s="1"/>
  <c r="G268" i="3"/>
  <c r="J268" i="3" s="1"/>
  <c r="I268" i="3" l="1"/>
  <c r="K268" i="3"/>
  <c r="G269" i="3"/>
  <c r="J269" i="3" s="1"/>
  <c r="H270" i="3"/>
  <c r="L270" i="3" s="1"/>
  <c r="I269" i="3" l="1"/>
  <c r="K269" i="3"/>
  <c r="H271" i="3"/>
  <c r="L271" i="3" s="1"/>
  <c r="G270" i="3"/>
  <c r="J270" i="3" s="1"/>
  <c r="I270" i="3" l="1"/>
  <c r="K270" i="3"/>
  <c r="G271" i="3"/>
  <c r="J271" i="3" s="1"/>
  <c r="H272" i="3"/>
  <c r="L272" i="3" s="1"/>
  <c r="I271" i="3" l="1"/>
  <c r="K271" i="3"/>
  <c r="H273" i="3"/>
  <c r="L273" i="3" s="1"/>
  <c r="G272" i="3"/>
  <c r="J272" i="3" s="1"/>
  <c r="I272" i="3" l="1"/>
  <c r="K272" i="3"/>
  <c r="H274" i="3"/>
  <c r="L274" i="3" s="1"/>
  <c r="G273" i="3"/>
  <c r="J273" i="3" s="1"/>
  <c r="I273" i="3" l="1"/>
  <c r="K273" i="3"/>
  <c r="G274" i="3"/>
  <c r="J274" i="3" s="1"/>
  <c r="H275" i="3"/>
  <c r="L275" i="3" s="1"/>
  <c r="I274" i="3" l="1"/>
  <c r="K274" i="3"/>
  <c r="H276" i="3"/>
  <c r="L276" i="3" s="1"/>
  <c r="G275" i="3"/>
  <c r="J275" i="3" s="1"/>
  <c r="I275" i="3" l="1"/>
  <c r="K275" i="3"/>
  <c r="H277" i="3"/>
  <c r="L277" i="3" s="1"/>
  <c r="G276" i="3"/>
  <c r="J276" i="3" s="1"/>
  <c r="I276" i="3" l="1"/>
  <c r="K276" i="3"/>
  <c r="G277" i="3"/>
  <c r="J277" i="3" s="1"/>
  <c r="H278" i="3"/>
  <c r="L278" i="3" s="1"/>
  <c r="I277" i="3" l="1"/>
  <c r="K277" i="3"/>
  <c r="H279" i="3"/>
  <c r="L279" i="3" s="1"/>
  <c r="G278" i="3"/>
  <c r="J278" i="3" s="1"/>
  <c r="I278" i="3" l="1"/>
  <c r="K278" i="3"/>
  <c r="G279" i="3"/>
  <c r="J279" i="3" s="1"/>
  <c r="H280" i="3"/>
  <c r="L280" i="3" s="1"/>
  <c r="I279" i="3" l="1"/>
  <c r="K279" i="3"/>
  <c r="H281" i="3"/>
  <c r="L281" i="3" s="1"/>
  <c r="G280" i="3"/>
  <c r="J280" i="3" s="1"/>
  <c r="I280" i="3" l="1"/>
  <c r="K280" i="3"/>
  <c r="H282" i="3"/>
  <c r="L282" i="3" s="1"/>
  <c r="G281" i="3"/>
  <c r="J281" i="3" s="1"/>
  <c r="I281" i="3" l="1"/>
  <c r="K281" i="3"/>
  <c r="G282" i="3"/>
  <c r="J282" i="3" s="1"/>
  <c r="H283" i="3"/>
  <c r="L283" i="3" s="1"/>
  <c r="I282" i="3" l="1"/>
  <c r="K282" i="3"/>
  <c r="G283" i="3"/>
  <c r="J283" i="3" s="1"/>
  <c r="H284" i="3"/>
  <c r="L284" i="3" s="1"/>
  <c r="I283" i="3" l="1"/>
  <c r="K283" i="3"/>
  <c r="H285" i="3"/>
  <c r="L285" i="3" s="1"/>
  <c r="G284" i="3"/>
  <c r="J284" i="3" s="1"/>
  <c r="I284" i="3" l="1"/>
  <c r="K284" i="3"/>
  <c r="G285" i="3"/>
  <c r="J285" i="3" s="1"/>
  <c r="H286" i="3"/>
  <c r="L286" i="3" s="1"/>
  <c r="I285" i="3" l="1"/>
  <c r="K285" i="3"/>
  <c r="G286" i="3"/>
  <c r="J286" i="3" s="1"/>
  <c r="H287" i="3"/>
  <c r="L287" i="3" s="1"/>
  <c r="I286" i="3" l="1"/>
  <c r="K286" i="3"/>
  <c r="G287" i="3"/>
  <c r="J287" i="3" s="1"/>
  <c r="H288" i="3"/>
  <c r="L288" i="3" s="1"/>
  <c r="I287" i="3" l="1"/>
  <c r="K287" i="3"/>
  <c r="H289" i="3"/>
  <c r="L289" i="3" s="1"/>
  <c r="G288" i="3"/>
  <c r="J288" i="3" s="1"/>
  <c r="I288" i="3" l="1"/>
  <c r="K288" i="3"/>
  <c r="G289" i="3"/>
  <c r="J289" i="3" s="1"/>
  <c r="H290" i="3"/>
  <c r="L290" i="3" s="1"/>
  <c r="I289" i="3" l="1"/>
  <c r="K289" i="3"/>
  <c r="H291" i="3"/>
  <c r="L291" i="3" s="1"/>
  <c r="G290" i="3"/>
  <c r="J290" i="3" s="1"/>
  <c r="I290" i="3" l="1"/>
  <c r="K290" i="3"/>
  <c r="G291" i="3"/>
  <c r="J291" i="3" s="1"/>
  <c r="H292" i="3"/>
  <c r="L292" i="3" s="1"/>
  <c r="I291" i="3" l="1"/>
  <c r="K291" i="3"/>
  <c r="H293" i="3"/>
  <c r="L293" i="3" s="1"/>
  <c r="G292" i="3"/>
  <c r="J292" i="3" s="1"/>
  <c r="I292" i="3" l="1"/>
  <c r="K292" i="3"/>
  <c r="G293" i="3"/>
  <c r="J293" i="3" s="1"/>
  <c r="H294" i="3"/>
  <c r="L294" i="3" s="1"/>
  <c r="I293" i="3" l="1"/>
  <c r="K293" i="3"/>
  <c r="H295" i="3"/>
  <c r="L295" i="3" s="1"/>
  <c r="G294" i="3"/>
  <c r="J294" i="3" s="1"/>
  <c r="I294" i="3" l="1"/>
  <c r="K294" i="3"/>
  <c r="H296" i="3"/>
  <c r="L296" i="3" s="1"/>
  <c r="G295" i="3"/>
  <c r="J295" i="3" s="1"/>
  <c r="I295" i="3" l="1"/>
  <c r="K295" i="3"/>
  <c r="H297" i="3"/>
  <c r="L297" i="3" s="1"/>
  <c r="G296" i="3"/>
  <c r="J296" i="3" s="1"/>
  <c r="I296" i="3" l="1"/>
  <c r="K296" i="3"/>
  <c r="G297" i="3"/>
  <c r="J297" i="3" s="1"/>
  <c r="H298" i="3"/>
  <c r="L298" i="3" s="1"/>
  <c r="I297" i="3" l="1"/>
  <c r="K297" i="3"/>
  <c r="H299" i="3"/>
  <c r="L299" i="3" s="1"/>
  <c r="G298" i="3"/>
  <c r="J298" i="3" s="1"/>
  <c r="I298" i="3" l="1"/>
  <c r="K298" i="3"/>
  <c r="G299" i="3"/>
  <c r="J299" i="3" s="1"/>
  <c r="H300" i="3"/>
  <c r="L300" i="3" s="1"/>
  <c r="I299" i="3" l="1"/>
  <c r="K299" i="3"/>
  <c r="H301" i="3"/>
  <c r="L301" i="3" s="1"/>
  <c r="G300" i="3"/>
  <c r="J300" i="3" s="1"/>
  <c r="I300" i="3" l="1"/>
  <c r="K300" i="3"/>
  <c r="H302" i="3"/>
  <c r="L302" i="3" s="1"/>
  <c r="G301" i="3"/>
  <c r="J301" i="3" s="1"/>
  <c r="I301" i="3" l="1"/>
  <c r="K301" i="3"/>
  <c r="G302" i="3"/>
  <c r="J302" i="3" s="1"/>
  <c r="H303" i="3"/>
  <c r="L303" i="3" s="1"/>
  <c r="I302" i="3" l="1"/>
  <c r="K302" i="3"/>
  <c r="H304" i="3"/>
  <c r="L304" i="3" s="1"/>
  <c r="G303" i="3"/>
  <c r="J303" i="3" s="1"/>
  <c r="I303" i="3" l="1"/>
  <c r="K303" i="3"/>
  <c r="G304" i="3"/>
  <c r="J304" i="3" s="1"/>
  <c r="H305" i="3"/>
  <c r="L305" i="3" s="1"/>
  <c r="I304" i="3" l="1"/>
  <c r="K304" i="3"/>
  <c r="G305" i="3"/>
  <c r="J305" i="3" s="1"/>
  <c r="H306" i="3"/>
  <c r="L306" i="3" s="1"/>
  <c r="I305" i="3" l="1"/>
  <c r="K305" i="3"/>
  <c r="H307" i="3"/>
  <c r="L307" i="3" s="1"/>
  <c r="G306" i="3"/>
  <c r="J306" i="3" s="1"/>
  <c r="I306" i="3" l="1"/>
  <c r="K306" i="3"/>
  <c r="G307" i="3"/>
  <c r="J307" i="3" s="1"/>
  <c r="H308" i="3"/>
  <c r="L308" i="3" s="1"/>
  <c r="I307" i="3" l="1"/>
  <c r="K307" i="3"/>
  <c r="H309" i="3"/>
  <c r="L309" i="3" s="1"/>
  <c r="G308" i="3"/>
  <c r="J308" i="3" s="1"/>
  <c r="I308" i="3" l="1"/>
  <c r="K308" i="3"/>
  <c r="H310" i="3"/>
  <c r="L310" i="3" s="1"/>
  <c r="G309" i="3"/>
  <c r="J309" i="3" s="1"/>
  <c r="I309" i="3" l="1"/>
  <c r="K309" i="3"/>
  <c r="G310" i="3"/>
  <c r="J310" i="3" s="1"/>
  <c r="H311" i="3"/>
  <c r="L311" i="3" s="1"/>
  <c r="I310" i="3" l="1"/>
  <c r="K310" i="3"/>
  <c r="H312" i="3"/>
  <c r="L312" i="3" s="1"/>
  <c r="G311" i="3"/>
  <c r="J311" i="3" s="1"/>
  <c r="I311" i="3" l="1"/>
  <c r="K311" i="3"/>
  <c r="G312" i="3"/>
  <c r="J312" i="3" s="1"/>
  <c r="H313" i="3"/>
  <c r="L313" i="3" s="1"/>
  <c r="I312" i="3" l="1"/>
  <c r="K312" i="3"/>
  <c r="G313" i="3"/>
  <c r="J313" i="3" s="1"/>
  <c r="H314" i="3"/>
  <c r="L314" i="3" s="1"/>
  <c r="I313" i="3" l="1"/>
  <c r="K313" i="3"/>
  <c r="H315" i="3"/>
  <c r="L315" i="3" s="1"/>
  <c r="G314" i="3"/>
  <c r="J314" i="3" s="1"/>
  <c r="I314" i="3" l="1"/>
  <c r="K314" i="3"/>
  <c r="G315" i="3"/>
  <c r="J315" i="3" s="1"/>
  <c r="H316" i="3"/>
  <c r="L316" i="3" s="1"/>
  <c r="I315" i="3" l="1"/>
  <c r="K315" i="3"/>
  <c r="G316" i="3"/>
  <c r="J316" i="3" s="1"/>
  <c r="H317" i="3"/>
  <c r="L317" i="3" s="1"/>
  <c r="I316" i="3" l="1"/>
  <c r="K316" i="3"/>
  <c r="H318" i="3"/>
  <c r="L318" i="3" s="1"/>
  <c r="G317" i="3"/>
  <c r="J317" i="3" s="1"/>
  <c r="I317" i="3" l="1"/>
  <c r="K317" i="3"/>
  <c r="G318" i="3"/>
  <c r="J318" i="3" s="1"/>
  <c r="H319" i="3"/>
  <c r="L319" i="3" s="1"/>
  <c r="I318" i="3" l="1"/>
  <c r="K318" i="3"/>
  <c r="H320" i="3"/>
  <c r="L320" i="3" s="1"/>
  <c r="G319" i="3"/>
  <c r="J319" i="3" s="1"/>
  <c r="I319" i="3" l="1"/>
  <c r="K319" i="3"/>
  <c r="H321" i="3"/>
  <c r="L321" i="3" s="1"/>
  <c r="G320" i="3"/>
  <c r="J320" i="3" s="1"/>
  <c r="I320" i="3" l="1"/>
  <c r="K320" i="3"/>
  <c r="G321" i="3"/>
  <c r="J321" i="3" s="1"/>
  <c r="H322" i="3"/>
  <c r="L322" i="3" s="1"/>
  <c r="I321" i="3" l="1"/>
  <c r="K321" i="3"/>
  <c r="G322" i="3"/>
  <c r="J322" i="3" s="1"/>
  <c r="H323" i="3"/>
  <c r="L323" i="3" s="1"/>
  <c r="I322" i="3" l="1"/>
  <c r="K322" i="3"/>
  <c r="G323" i="3"/>
  <c r="J323" i="3" s="1"/>
  <c r="H324" i="3"/>
  <c r="L324" i="3" s="1"/>
  <c r="I323" i="3" l="1"/>
  <c r="K323" i="3"/>
  <c r="H325" i="3"/>
  <c r="L325" i="3" s="1"/>
  <c r="G324" i="3"/>
  <c r="J324" i="3" s="1"/>
  <c r="I324" i="3" l="1"/>
  <c r="K324" i="3"/>
  <c r="H326" i="3"/>
  <c r="L326" i="3" s="1"/>
  <c r="G325" i="3"/>
  <c r="J325" i="3" s="1"/>
  <c r="I325" i="3" l="1"/>
  <c r="K325" i="3"/>
  <c r="H327" i="3"/>
  <c r="L327" i="3" s="1"/>
  <c r="G326" i="3"/>
  <c r="J326" i="3" s="1"/>
  <c r="I326" i="3" l="1"/>
  <c r="K326" i="3"/>
  <c r="G327" i="3"/>
  <c r="J327" i="3" s="1"/>
  <c r="H328" i="3"/>
  <c r="L328" i="3" s="1"/>
  <c r="I327" i="3" l="1"/>
  <c r="K327" i="3"/>
  <c r="G328" i="3"/>
  <c r="J328" i="3" s="1"/>
  <c r="H329" i="3"/>
  <c r="L329" i="3" s="1"/>
  <c r="I328" i="3" l="1"/>
  <c r="K328" i="3"/>
  <c r="G329" i="3"/>
  <c r="J329" i="3" s="1"/>
  <c r="H330" i="3"/>
  <c r="L330" i="3" s="1"/>
  <c r="I329" i="3" l="1"/>
  <c r="K329" i="3"/>
  <c r="H331" i="3"/>
  <c r="L331" i="3" s="1"/>
  <c r="G330" i="3"/>
  <c r="J330" i="3" s="1"/>
  <c r="I330" i="3" l="1"/>
  <c r="K330" i="3"/>
  <c r="G331" i="3"/>
  <c r="J331" i="3" s="1"/>
  <c r="H332" i="3"/>
  <c r="L332" i="3" s="1"/>
  <c r="I331" i="3" l="1"/>
  <c r="K331" i="3"/>
  <c r="H333" i="3"/>
  <c r="L333" i="3" s="1"/>
  <c r="G332" i="3"/>
  <c r="J332" i="3" s="1"/>
  <c r="I332" i="3" l="1"/>
  <c r="K332" i="3"/>
  <c r="G333" i="3"/>
  <c r="J333" i="3" s="1"/>
  <c r="H334" i="3"/>
  <c r="L334" i="3" s="1"/>
  <c r="I333" i="3" l="1"/>
  <c r="K333" i="3"/>
  <c r="H335" i="3"/>
  <c r="L335" i="3" s="1"/>
  <c r="G334" i="3"/>
  <c r="J334" i="3" s="1"/>
  <c r="I334" i="3" l="1"/>
  <c r="K334" i="3"/>
  <c r="H336" i="3"/>
  <c r="L336" i="3" s="1"/>
  <c r="G335" i="3"/>
  <c r="J335" i="3" s="1"/>
  <c r="I335" i="3" l="1"/>
  <c r="K335" i="3"/>
  <c r="H337" i="3"/>
  <c r="L337" i="3" s="1"/>
  <c r="G336" i="3"/>
  <c r="J336" i="3" s="1"/>
  <c r="I336" i="3" l="1"/>
  <c r="K336" i="3"/>
  <c r="G337" i="3"/>
  <c r="J337" i="3" s="1"/>
  <c r="H338" i="3"/>
  <c r="L338" i="3" s="1"/>
  <c r="I337" i="3" l="1"/>
  <c r="K337" i="3"/>
  <c r="H339" i="3"/>
  <c r="L339" i="3" s="1"/>
  <c r="G338" i="3"/>
  <c r="J338" i="3" s="1"/>
  <c r="I338" i="3" l="1"/>
  <c r="K338" i="3"/>
  <c r="H340" i="3"/>
  <c r="L340" i="3" s="1"/>
  <c r="G339" i="3"/>
  <c r="J339" i="3" s="1"/>
  <c r="I339" i="3" l="1"/>
  <c r="K339" i="3"/>
  <c r="H341" i="3"/>
  <c r="L341" i="3" s="1"/>
  <c r="G340" i="3"/>
  <c r="J340" i="3" s="1"/>
  <c r="I340" i="3" l="1"/>
  <c r="K340" i="3"/>
  <c r="H342" i="3"/>
  <c r="L342" i="3" s="1"/>
  <c r="G341" i="3"/>
  <c r="J341" i="3" s="1"/>
  <c r="I341" i="3" l="1"/>
  <c r="K341" i="3"/>
  <c r="G342" i="3"/>
  <c r="J342" i="3" s="1"/>
  <c r="H343" i="3"/>
  <c r="L343" i="3" s="1"/>
  <c r="I342" i="3" l="1"/>
  <c r="K342" i="3"/>
  <c r="H344" i="3"/>
  <c r="L344" i="3" s="1"/>
  <c r="G343" i="3"/>
  <c r="J343" i="3" s="1"/>
  <c r="I343" i="3" l="1"/>
  <c r="K343" i="3"/>
  <c r="G344" i="3"/>
  <c r="J344" i="3" s="1"/>
  <c r="H345" i="3"/>
  <c r="L345" i="3" s="1"/>
  <c r="I344" i="3" l="1"/>
  <c r="K344" i="3"/>
  <c r="H346" i="3"/>
  <c r="L346" i="3" s="1"/>
  <c r="G345" i="3"/>
  <c r="J345" i="3" s="1"/>
  <c r="I345" i="3" l="1"/>
  <c r="K345" i="3"/>
  <c r="H347" i="3"/>
  <c r="L347" i="3" s="1"/>
  <c r="G346" i="3"/>
  <c r="J346" i="3" s="1"/>
  <c r="I346" i="3" l="1"/>
  <c r="K346" i="3"/>
  <c r="H348" i="3"/>
  <c r="L348" i="3" s="1"/>
  <c r="G347" i="3"/>
  <c r="J347" i="3" s="1"/>
  <c r="I347" i="3" l="1"/>
  <c r="K347" i="3"/>
  <c r="H349" i="3"/>
  <c r="L349" i="3" s="1"/>
  <c r="G348" i="3"/>
  <c r="J348" i="3" s="1"/>
  <c r="I348" i="3" l="1"/>
  <c r="K348" i="3"/>
  <c r="H350" i="3"/>
  <c r="L350" i="3" s="1"/>
  <c r="G349" i="3"/>
  <c r="J349" i="3" s="1"/>
  <c r="I349" i="3" l="1"/>
  <c r="K349" i="3"/>
  <c r="H351" i="3"/>
  <c r="L351" i="3" s="1"/>
  <c r="G350" i="3"/>
  <c r="J350" i="3" s="1"/>
  <c r="I350" i="3" l="1"/>
  <c r="K350" i="3"/>
  <c r="H352" i="3"/>
  <c r="L352" i="3" s="1"/>
  <c r="G351" i="3"/>
  <c r="J351" i="3" s="1"/>
  <c r="I351" i="3" l="1"/>
  <c r="K351" i="3"/>
  <c r="G352" i="3"/>
  <c r="J352" i="3" s="1"/>
  <c r="H353" i="3"/>
  <c r="L353" i="3" s="1"/>
  <c r="I352" i="3" l="1"/>
  <c r="K352" i="3"/>
  <c r="G353" i="3"/>
  <c r="J353" i="3" s="1"/>
  <c r="H354" i="3"/>
  <c r="L354" i="3" s="1"/>
  <c r="I353" i="3" l="1"/>
  <c r="K353" i="3"/>
  <c r="H355" i="3"/>
  <c r="L355" i="3" s="1"/>
  <c r="G354" i="3"/>
  <c r="J354" i="3" s="1"/>
  <c r="I354" i="3" l="1"/>
  <c r="K354" i="3"/>
  <c r="G355" i="3"/>
  <c r="J355" i="3" s="1"/>
  <c r="H356" i="3"/>
  <c r="L356" i="3" s="1"/>
  <c r="I355" i="3" l="1"/>
  <c r="K355" i="3"/>
  <c r="H357" i="3"/>
  <c r="L357" i="3" s="1"/>
  <c r="G356" i="3"/>
  <c r="J356" i="3" s="1"/>
  <c r="I356" i="3" l="1"/>
  <c r="K356" i="3"/>
  <c r="H358" i="3"/>
  <c r="L358" i="3" s="1"/>
  <c r="G357" i="3"/>
  <c r="J357" i="3" s="1"/>
  <c r="I357" i="3" l="1"/>
  <c r="K357" i="3"/>
  <c r="G358" i="3"/>
  <c r="J358" i="3" s="1"/>
  <c r="H359" i="3"/>
  <c r="L359" i="3" s="1"/>
  <c r="I358" i="3" l="1"/>
  <c r="K358" i="3"/>
  <c r="H360" i="3"/>
  <c r="L360" i="3" s="1"/>
  <c r="G359" i="3"/>
  <c r="J359" i="3" s="1"/>
  <c r="I359" i="3" l="1"/>
  <c r="K359" i="3"/>
  <c r="G360" i="3"/>
  <c r="J360" i="3" s="1"/>
  <c r="H361" i="3"/>
  <c r="L361" i="3" s="1"/>
  <c r="I360" i="3" l="1"/>
  <c r="K360" i="3"/>
  <c r="G361" i="3"/>
  <c r="J361" i="3" s="1"/>
  <c r="H362" i="3"/>
  <c r="L362" i="3" s="1"/>
  <c r="I361" i="3" l="1"/>
  <c r="K361" i="3"/>
  <c r="H363" i="3"/>
  <c r="L363" i="3" s="1"/>
  <c r="G362" i="3"/>
  <c r="J362" i="3" s="1"/>
  <c r="I362" i="3" l="1"/>
  <c r="K362" i="3"/>
  <c r="G363" i="3"/>
  <c r="J363" i="3" s="1"/>
  <c r="H364" i="3"/>
  <c r="L364" i="3" s="1"/>
  <c r="I363" i="3" l="1"/>
  <c r="K363" i="3"/>
  <c r="H365" i="3"/>
  <c r="L365" i="3" s="1"/>
  <c r="G364" i="3"/>
  <c r="J364" i="3" s="1"/>
  <c r="I364" i="3" l="1"/>
  <c r="K364" i="3"/>
  <c r="H366" i="3"/>
  <c r="L366" i="3" s="1"/>
  <c r="G365" i="3"/>
  <c r="J365" i="3" s="1"/>
  <c r="I365" i="3" l="1"/>
  <c r="K365" i="3"/>
  <c r="G366" i="3"/>
  <c r="J366" i="3" s="1"/>
  <c r="H367" i="3"/>
  <c r="L367" i="3" s="1"/>
  <c r="I366" i="3" l="1"/>
  <c r="K366" i="3"/>
  <c r="H368" i="3"/>
  <c r="L368" i="3" s="1"/>
  <c r="G367" i="3"/>
  <c r="J367" i="3" s="1"/>
  <c r="I367" i="3" l="1"/>
  <c r="K367" i="3"/>
  <c r="G368" i="3"/>
  <c r="J368" i="3" s="1"/>
  <c r="H369" i="3"/>
  <c r="L369" i="3" s="1"/>
  <c r="I368" i="3" l="1"/>
  <c r="K368" i="3"/>
  <c r="G369" i="3"/>
  <c r="J369" i="3" s="1"/>
  <c r="H370" i="3"/>
  <c r="L370" i="3" s="1"/>
  <c r="I369" i="3" l="1"/>
  <c r="K369" i="3"/>
  <c r="H371" i="3"/>
  <c r="L371" i="3" s="1"/>
  <c r="G370" i="3"/>
  <c r="J370" i="3" s="1"/>
  <c r="I370" i="3" l="1"/>
  <c r="K370" i="3"/>
  <c r="G371" i="3"/>
  <c r="J371" i="3" s="1"/>
  <c r="H372" i="3"/>
  <c r="L372" i="3" s="1"/>
  <c r="I371" i="3" l="1"/>
  <c r="K371" i="3"/>
  <c r="H373" i="3"/>
  <c r="L373" i="3" s="1"/>
  <c r="G372" i="3"/>
  <c r="J372" i="3" s="1"/>
  <c r="I372" i="3" l="1"/>
  <c r="K372" i="3"/>
  <c r="H374" i="3"/>
  <c r="L374" i="3" s="1"/>
  <c r="G373" i="3"/>
  <c r="J373" i="3" s="1"/>
  <c r="I373" i="3" l="1"/>
  <c r="K373" i="3"/>
  <c r="G374" i="3"/>
  <c r="J374" i="3" s="1"/>
  <c r="H375" i="3"/>
  <c r="L375" i="3" s="1"/>
  <c r="I374" i="3" l="1"/>
  <c r="K374" i="3"/>
  <c r="H376" i="3"/>
  <c r="L376" i="3" s="1"/>
  <c r="G375" i="3"/>
  <c r="J375" i="3" s="1"/>
  <c r="I375" i="3" l="1"/>
  <c r="K375" i="3"/>
  <c r="G376" i="3"/>
  <c r="J376" i="3" s="1"/>
  <c r="H377" i="3"/>
  <c r="L377" i="3" s="1"/>
  <c r="I376" i="3" l="1"/>
  <c r="K376" i="3"/>
  <c r="G377" i="3"/>
  <c r="J377" i="3" s="1"/>
  <c r="H378" i="3"/>
  <c r="L378" i="3" s="1"/>
  <c r="I377" i="3" l="1"/>
  <c r="K377" i="3"/>
  <c r="H379" i="3"/>
  <c r="L379" i="3" s="1"/>
  <c r="G378" i="3"/>
  <c r="J378" i="3" s="1"/>
  <c r="I378" i="3" l="1"/>
  <c r="K378" i="3"/>
  <c r="G379" i="3"/>
  <c r="J379" i="3" s="1"/>
  <c r="H380" i="3"/>
  <c r="L380" i="3" s="1"/>
  <c r="I379" i="3" l="1"/>
  <c r="K379" i="3"/>
  <c r="H381" i="3"/>
  <c r="L381" i="3" s="1"/>
  <c r="G380" i="3"/>
  <c r="J380" i="3" s="1"/>
  <c r="I380" i="3" l="1"/>
  <c r="K380" i="3"/>
  <c r="H382" i="3"/>
  <c r="L382" i="3" s="1"/>
  <c r="G381" i="3"/>
  <c r="J381" i="3" s="1"/>
  <c r="I381" i="3" l="1"/>
  <c r="K381" i="3"/>
  <c r="G382" i="3"/>
  <c r="J382" i="3" s="1"/>
  <c r="H383" i="3"/>
  <c r="L383" i="3" s="1"/>
  <c r="I382" i="3" l="1"/>
  <c r="K382" i="3"/>
  <c r="H384" i="3"/>
  <c r="L384" i="3" s="1"/>
  <c r="G383" i="3"/>
  <c r="J383" i="3" s="1"/>
  <c r="I383" i="3" l="1"/>
  <c r="K383" i="3"/>
  <c r="G384" i="3"/>
  <c r="J384" i="3" s="1"/>
  <c r="H385" i="3"/>
  <c r="L385" i="3" s="1"/>
  <c r="I384" i="3" l="1"/>
  <c r="K384" i="3"/>
  <c r="G385" i="3"/>
  <c r="J385" i="3" s="1"/>
  <c r="H386" i="3"/>
  <c r="L386" i="3" s="1"/>
  <c r="I385" i="3" l="1"/>
  <c r="K385" i="3"/>
  <c r="H387" i="3"/>
  <c r="L387" i="3" s="1"/>
  <c r="G386" i="3"/>
  <c r="J386" i="3" s="1"/>
  <c r="I386" i="3" l="1"/>
  <c r="K386" i="3"/>
  <c r="G387" i="3"/>
  <c r="J387" i="3" s="1"/>
  <c r="H388" i="3"/>
  <c r="L388" i="3" s="1"/>
  <c r="I387" i="3" l="1"/>
  <c r="K387" i="3"/>
  <c r="H389" i="3"/>
  <c r="L389" i="3" s="1"/>
  <c r="G388" i="3"/>
  <c r="J388" i="3" s="1"/>
  <c r="I388" i="3" l="1"/>
  <c r="K388" i="3"/>
  <c r="H390" i="3"/>
  <c r="L390" i="3" s="1"/>
  <c r="G389" i="3"/>
  <c r="J389" i="3" s="1"/>
  <c r="I389" i="3" l="1"/>
  <c r="K389" i="3"/>
  <c r="G390" i="3"/>
  <c r="J390" i="3" s="1"/>
  <c r="H391" i="3"/>
  <c r="L391" i="3" s="1"/>
  <c r="I390" i="3" l="1"/>
  <c r="K390" i="3"/>
  <c r="H392" i="3"/>
  <c r="L392" i="3" s="1"/>
  <c r="G391" i="3"/>
  <c r="J391" i="3" s="1"/>
  <c r="I391" i="3" l="1"/>
  <c r="K391" i="3"/>
  <c r="G392" i="3"/>
  <c r="J392" i="3" s="1"/>
  <c r="H393" i="3"/>
  <c r="L393" i="3" s="1"/>
  <c r="I392" i="3" l="1"/>
  <c r="K392" i="3"/>
  <c r="G393" i="3"/>
  <c r="J393" i="3" s="1"/>
  <c r="H394" i="3"/>
  <c r="L394" i="3" s="1"/>
  <c r="I393" i="3" l="1"/>
  <c r="K393" i="3"/>
  <c r="H395" i="3"/>
  <c r="L395" i="3" s="1"/>
  <c r="G394" i="3"/>
  <c r="J394" i="3" s="1"/>
  <c r="I394" i="3" l="1"/>
  <c r="K394" i="3"/>
  <c r="G395" i="3"/>
  <c r="J395" i="3" s="1"/>
  <c r="H396" i="3"/>
  <c r="L396" i="3" s="1"/>
  <c r="I395" i="3" l="1"/>
  <c r="K395" i="3"/>
  <c r="H397" i="3"/>
  <c r="L397" i="3" s="1"/>
  <c r="G396" i="3"/>
  <c r="J396" i="3" s="1"/>
  <c r="I396" i="3" l="1"/>
  <c r="K396" i="3"/>
  <c r="H398" i="3"/>
  <c r="L398" i="3" s="1"/>
  <c r="G397" i="3"/>
  <c r="J397" i="3" s="1"/>
  <c r="I397" i="3" l="1"/>
  <c r="K397" i="3"/>
  <c r="G398" i="3"/>
  <c r="J398" i="3" s="1"/>
  <c r="H399" i="3"/>
  <c r="L399" i="3" s="1"/>
  <c r="I398" i="3" l="1"/>
  <c r="K398" i="3"/>
  <c r="H400" i="3"/>
  <c r="L400" i="3" s="1"/>
  <c r="G399" i="3"/>
  <c r="J399" i="3" s="1"/>
  <c r="I399" i="3" l="1"/>
  <c r="K399" i="3"/>
  <c r="H401" i="3"/>
  <c r="L401" i="3" s="1"/>
  <c r="G400" i="3"/>
  <c r="J400" i="3" s="1"/>
  <c r="I400" i="3" l="1"/>
  <c r="K400" i="3"/>
  <c r="G401" i="3"/>
  <c r="J401" i="3" s="1"/>
  <c r="H402" i="3"/>
  <c r="L402" i="3" s="1"/>
  <c r="I401" i="3" l="1"/>
  <c r="K401" i="3"/>
  <c r="H403" i="3"/>
  <c r="L403" i="3" s="1"/>
  <c r="G402" i="3"/>
  <c r="J402" i="3" s="1"/>
  <c r="I402" i="3" l="1"/>
  <c r="K402" i="3"/>
  <c r="G403" i="3"/>
  <c r="J403" i="3" s="1"/>
  <c r="H404" i="3"/>
  <c r="L404" i="3" s="1"/>
  <c r="I403" i="3" l="1"/>
  <c r="K403" i="3"/>
  <c r="H405" i="3"/>
  <c r="L405" i="3" s="1"/>
  <c r="G404" i="3"/>
  <c r="J404" i="3" s="1"/>
  <c r="I404" i="3" l="1"/>
  <c r="K404" i="3"/>
  <c r="H406" i="3"/>
  <c r="L406" i="3" s="1"/>
  <c r="G405" i="3"/>
  <c r="J405" i="3" s="1"/>
  <c r="I405" i="3" l="1"/>
  <c r="K405" i="3"/>
  <c r="G406" i="3"/>
  <c r="J406" i="3" s="1"/>
  <c r="H407" i="3"/>
  <c r="L407" i="3" s="1"/>
  <c r="I406" i="3" l="1"/>
  <c r="K406" i="3"/>
  <c r="H408" i="3"/>
  <c r="L408" i="3" s="1"/>
  <c r="G407" i="3"/>
  <c r="J407" i="3" s="1"/>
  <c r="I407" i="3" l="1"/>
  <c r="K407" i="3"/>
  <c r="G408" i="3"/>
  <c r="J408" i="3" s="1"/>
  <c r="H409" i="3"/>
  <c r="L409" i="3" s="1"/>
  <c r="I408" i="3" l="1"/>
  <c r="K408" i="3"/>
  <c r="G409" i="3"/>
  <c r="J409" i="3" s="1"/>
  <c r="H410" i="3"/>
  <c r="L410" i="3" s="1"/>
  <c r="I409" i="3" l="1"/>
  <c r="K409" i="3"/>
  <c r="H411" i="3"/>
  <c r="L411" i="3" s="1"/>
  <c r="G410" i="3"/>
  <c r="J410" i="3" s="1"/>
  <c r="I410" i="3" l="1"/>
  <c r="K410" i="3"/>
  <c r="G411" i="3"/>
  <c r="J411" i="3" s="1"/>
  <c r="H412" i="3"/>
  <c r="L412" i="3" s="1"/>
  <c r="I411" i="3" l="1"/>
  <c r="K411" i="3"/>
  <c r="H413" i="3"/>
  <c r="L413" i="3" s="1"/>
  <c r="G412" i="3"/>
  <c r="J412" i="3" s="1"/>
  <c r="I412" i="3" l="1"/>
  <c r="K412" i="3"/>
  <c r="H414" i="3"/>
  <c r="L414" i="3" s="1"/>
  <c r="G413" i="3"/>
  <c r="J413" i="3" s="1"/>
  <c r="I413" i="3" l="1"/>
  <c r="K413" i="3"/>
  <c r="G414" i="3"/>
  <c r="J414" i="3" s="1"/>
  <c r="H415" i="3"/>
  <c r="L415" i="3" s="1"/>
  <c r="I414" i="3" l="1"/>
  <c r="K414" i="3"/>
  <c r="H416" i="3"/>
  <c r="L416" i="3" s="1"/>
  <c r="G415" i="3"/>
  <c r="J415" i="3" s="1"/>
  <c r="I415" i="3" l="1"/>
  <c r="K415" i="3"/>
  <c r="G416" i="3"/>
  <c r="J416" i="3" s="1"/>
  <c r="H417" i="3"/>
  <c r="L417" i="3" s="1"/>
  <c r="I416" i="3" l="1"/>
  <c r="K416" i="3"/>
  <c r="G417" i="3"/>
  <c r="J417" i="3" s="1"/>
  <c r="H418" i="3"/>
  <c r="L418" i="3" s="1"/>
  <c r="I417" i="3" l="1"/>
  <c r="K417" i="3"/>
  <c r="H419" i="3"/>
  <c r="L419" i="3" s="1"/>
  <c r="G418" i="3"/>
  <c r="J418" i="3" s="1"/>
  <c r="I418" i="3" l="1"/>
  <c r="K418" i="3"/>
  <c r="G419" i="3"/>
  <c r="J419" i="3" s="1"/>
  <c r="H420" i="3"/>
  <c r="L420" i="3" s="1"/>
  <c r="I419" i="3" l="1"/>
  <c r="K419" i="3"/>
  <c r="H421" i="3"/>
  <c r="L421" i="3" s="1"/>
  <c r="G420" i="3"/>
  <c r="J420" i="3" s="1"/>
  <c r="I420" i="3" l="1"/>
  <c r="K420" i="3"/>
  <c r="H422" i="3"/>
  <c r="L422" i="3" s="1"/>
  <c r="G421" i="3"/>
  <c r="J421" i="3" s="1"/>
  <c r="I421" i="3" l="1"/>
  <c r="K421" i="3"/>
  <c r="G422" i="3"/>
  <c r="J422" i="3" s="1"/>
  <c r="H423" i="3"/>
  <c r="L423" i="3" s="1"/>
  <c r="I422" i="3" l="1"/>
  <c r="K422" i="3"/>
  <c r="H424" i="3"/>
  <c r="L424" i="3" s="1"/>
  <c r="G423" i="3"/>
  <c r="J423" i="3" s="1"/>
  <c r="I423" i="3" l="1"/>
  <c r="K423" i="3"/>
  <c r="G424" i="3"/>
  <c r="J424" i="3" s="1"/>
  <c r="H425" i="3"/>
  <c r="L425" i="3" s="1"/>
  <c r="I424" i="3" l="1"/>
  <c r="K424" i="3"/>
  <c r="G425" i="3"/>
  <c r="J425" i="3" s="1"/>
  <c r="H426" i="3"/>
  <c r="L426" i="3" s="1"/>
  <c r="I425" i="3" l="1"/>
  <c r="K425" i="3"/>
  <c r="H427" i="3"/>
  <c r="L427" i="3" s="1"/>
  <c r="G426" i="3"/>
  <c r="J426" i="3" s="1"/>
  <c r="I426" i="3" l="1"/>
  <c r="K426" i="3"/>
  <c r="G427" i="3"/>
  <c r="J427" i="3" s="1"/>
  <c r="H428" i="3"/>
  <c r="L428" i="3" s="1"/>
  <c r="I427" i="3" l="1"/>
  <c r="K427" i="3"/>
  <c r="H429" i="3"/>
  <c r="L429" i="3" s="1"/>
  <c r="G428" i="3"/>
  <c r="J428" i="3" s="1"/>
  <c r="I428" i="3" l="1"/>
  <c r="K428" i="3"/>
  <c r="H430" i="3"/>
  <c r="L430" i="3" s="1"/>
  <c r="G429" i="3"/>
  <c r="J429" i="3" s="1"/>
  <c r="I429" i="3" l="1"/>
  <c r="K429" i="3"/>
  <c r="G430" i="3"/>
  <c r="J430" i="3" s="1"/>
  <c r="H431" i="3"/>
  <c r="L431" i="3" s="1"/>
  <c r="I430" i="3" l="1"/>
  <c r="K430" i="3"/>
  <c r="H432" i="3"/>
  <c r="L432" i="3" s="1"/>
  <c r="G431" i="3"/>
  <c r="J431" i="3" s="1"/>
  <c r="I431" i="3" l="1"/>
  <c r="K431" i="3"/>
  <c r="G432" i="3"/>
  <c r="J432" i="3" s="1"/>
  <c r="H433" i="3"/>
  <c r="L433" i="3" s="1"/>
  <c r="I432" i="3" l="1"/>
  <c r="K432" i="3"/>
  <c r="G433" i="3"/>
  <c r="J433" i="3" s="1"/>
  <c r="H434" i="3"/>
  <c r="L434" i="3" s="1"/>
  <c r="I433" i="3" l="1"/>
  <c r="K433" i="3"/>
  <c r="H435" i="3"/>
  <c r="L435" i="3" s="1"/>
  <c r="G434" i="3"/>
  <c r="J434" i="3" s="1"/>
  <c r="I434" i="3" l="1"/>
  <c r="K434" i="3"/>
  <c r="G435" i="3"/>
  <c r="J435" i="3" s="1"/>
  <c r="H436" i="3"/>
  <c r="L436" i="3" s="1"/>
  <c r="I435" i="3" l="1"/>
  <c r="K435" i="3"/>
  <c r="H437" i="3"/>
  <c r="L437" i="3" s="1"/>
  <c r="G436" i="3"/>
  <c r="J436" i="3" s="1"/>
  <c r="I436" i="3" l="1"/>
  <c r="K436" i="3"/>
  <c r="H438" i="3"/>
  <c r="L438" i="3" s="1"/>
  <c r="G437" i="3"/>
  <c r="J437" i="3" s="1"/>
  <c r="I437" i="3" l="1"/>
  <c r="K437" i="3"/>
  <c r="G438" i="3"/>
  <c r="J438" i="3" s="1"/>
  <c r="H439" i="3"/>
  <c r="L439" i="3" s="1"/>
  <c r="I438" i="3" l="1"/>
  <c r="K438" i="3"/>
  <c r="H440" i="3"/>
  <c r="L440" i="3" s="1"/>
  <c r="G439" i="3"/>
  <c r="J439" i="3" s="1"/>
  <c r="I439" i="3" l="1"/>
  <c r="K439" i="3"/>
  <c r="G440" i="3"/>
  <c r="J440" i="3" s="1"/>
  <c r="H441" i="3"/>
  <c r="L441" i="3" s="1"/>
  <c r="I440" i="3" l="1"/>
  <c r="K440" i="3"/>
  <c r="G441" i="3"/>
  <c r="J441" i="3" s="1"/>
  <c r="H442" i="3"/>
  <c r="L442" i="3" s="1"/>
  <c r="I441" i="3" l="1"/>
  <c r="K441" i="3"/>
  <c r="H443" i="3"/>
  <c r="L443" i="3" s="1"/>
  <c r="G442" i="3"/>
  <c r="J442" i="3" s="1"/>
  <c r="I442" i="3" l="1"/>
  <c r="K442" i="3"/>
  <c r="G443" i="3"/>
  <c r="J443" i="3" s="1"/>
  <c r="H444" i="3"/>
  <c r="L444" i="3" s="1"/>
  <c r="I443" i="3" l="1"/>
  <c r="K443" i="3"/>
  <c r="H445" i="3"/>
  <c r="L445" i="3" s="1"/>
  <c r="G444" i="3"/>
  <c r="J444" i="3" s="1"/>
  <c r="I444" i="3" l="1"/>
  <c r="K444" i="3"/>
  <c r="H446" i="3"/>
  <c r="L446" i="3" s="1"/>
  <c r="G445" i="3"/>
  <c r="J445" i="3" s="1"/>
  <c r="I445" i="3" l="1"/>
  <c r="K445" i="3"/>
  <c r="G446" i="3"/>
  <c r="J446" i="3" s="1"/>
  <c r="H447" i="3"/>
  <c r="L447" i="3" s="1"/>
  <c r="I446" i="3" l="1"/>
  <c r="K446" i="3"/>
  <c r="H448" i="3"/>
  <c r="L448" i="3" s="1"/>
  <c r="G447" i="3"/>
  <c r="J447" i="3" s="1"/>
  <c r="I447" i="3" l="1"/>
  <c r="K447" i="3"/>
  <c r="G448" i="3"/>
  <c r="J448" i="3" s="1"/>
  <c r="H449" i="3"/>
  <c r="L449" i="3" s="1"/>
  <c r="I448" i="3" l="1"/>
  <c r="K448" i="3"/>
  <c r="G449" i="3"/>
  <c r="J449" i="3" s="1"/>
  <c r="H450" i="3"/>
  <c r="L450" i="3" s="1"/>
  <c r="I449" i="3" l="1"/>
  <c r="K449" i="3"/>
  <c r="H451" i="3"/>
  <c r="L451" i="3" s="1"/>
  <c r="G450" i="3"/>
  <c r="J450" i="3" s="1"/>
  <c r="I450" i="3" l="1"/>
  <c r="K450" i="3"/>
  <c r="G451" i="3"/>
  <c r="J451" i="3" s="1"/>
  <c r="H452" i="3"/>
  <c r="L452" i="3" s="1"/>
  <c r="I451" i="3" l="1"/>
  <c r="K451" i="3"/>
  <c r="H453" i="3"/>
  <c r="L453" i="3" s="1"/>
  <c r="G452" i="3"/>
  <c r="J452" i="3" s="1"/>
  <c r="I452" i="3" l="1"/>
  <c r="K452" i="3"/>
  <c r="H454" i="3"/>
  <c r="L454" i="3" s="1"/>
  <c r="G453" i="3"/>
  <c r="J453" i="3" s="1"/>
  <c r="I453" i="3" l="1"/>
  <c r="K453" i="3"/>
  <c r="G454" i="3"/>
  <c r="J454" i="3" s="1"/>
  <c r="H455" i="3"/>
  <c r="L455" i="3" s="1"/>
  <c r="I454" i="3" l="1"/>
  <c r="K454" i="3"/>
  <c r="H456" i="3"/>
  <c r="L456" i="3" s="1"/>
  <c r="G455" i="3"/>
  <c r="J455" i="3" s="1"/>
  <c r="I455" i="3" l="1"/>
  <c r="K455" i="3"/>
  <c r="G456" i="3"/>
  <c r="J456" i="3" s="1"/>
  <c r="H457" i="3"/>
  <c r="L457" i="3" s="1"/>
  <c r="I456" i="3" l="1"/>
  <c r="K456" i="3"/>
  <c r="G457" i="3"/>
  <c r="J457" i="3" s="1"/>
  <c r="H458" i="3"/>
  <c r="L458" i="3" s="1"/>
  <c r="I457" i="3" l="1"/>
  <c r="K457" i="3"/>
  <c r="H459" i="3"/>
  <c r="L459" i="3" s="1"/>
  <c r="G458" i="3"/>
  <c r="J458" i="3" s="1"/>
  <c r="I458" i="3" l="1"/>
  <c r="K458" i="3"/>
  <c r="G459" i="3"/>
  <c r="J459" i="3" s="1"/>
  <c r="H460" i="3"/>
  <c r="L460" i="3" s="1"/>
  <c r="I459" i="3" l="1"/>
  <c r="K459" i="3"/>
  <c r="H461" i="3"/>
  <c r="L461" i="3" s="1"/>
  <c r="G460" i="3"/>
  <c r="J460" i="3" s="1"/>
  <c r="I460" i="3" l="1"/>
  <c r="K460" i="3"/>
  <c r="H462" i="3"/>
  <c r="L462" i="3" s="1"/>
  <c r="G461" i="3"/>
  <c r="J461" i="3" s="1"/>
  <c r="I461" i="3" l="1"/>
  <c r="K461" i="3"/>
  <c r="G462" i="3"/>
  <c r="J462" i="3" s="1"/>
  <c r="H463" i="3"/>
  <c r="L463" i="3" s="1"/>
  <c r="I462" i="3" l="1"/>
  <c r="K462" i="3"/>
  <c r="H464" i="3"/>
  <c r="L464" i="3" s="1"/>
  <c r="G463" i="3"/>
  <c r="J463" i="3" s="1"/>
  <c r="I463" i="3" l="1"/>
  <c r="K463" i="3"/>
  <c r="G464" i="3"/>
  <c r="J464" i="3" s="1"/>
  <c r="H465" i="3"/>
  <c r="L465" i="3" s="1"/>
  <c r="I464" i="3" l="1"/>
  <c r="K464" i="3"/>
  <c r="G465" i="3"/>
  <c r="J465" i="3" s="1"/>
  <c r="H466" i="3"/>
  <c r="L466" i="3" s="1"/>
  <c r="I465" i="3" l="1"/>
  <c r="K465" i="3"/>
  <c r="H467" i="3"/>
  <c r="L467" i="3" s="1"/>
  <c r="G466" i="3"/>
  <c r="J466" i="3" s="1"/>
  <c r="I466" i="3" l="1"/>
  <c r="K466" i="3"/>
  <c r="G467" i="3"/>
  <c r="J467" i="3" s="1"/>
  <c r="H468" i="3"/>
  <c r="L468" i="3" s="1"/>
  <c r="I467" i="3" l="1"/>
  <c r="K467" i="3"/>
  <c r="H469" i="3"/>
  <c r="L469" i="3" s="1"/>
  <c r="G468" i="3"/>
  <c r="J468" i="3" s="1"/>
  <c r="I468" i="3" l="1"/>
  <c r="K468" i="3"/>
  <c r="H470" i="3"/>
  <c r="L470" i="3" s="1"/>
  <c r="G469" i="3"/>
  <c r="J469" i="3" s="1"/>
  <c r="I469" i="3" l="1"/>
  <c r="K469" i="3"/>
  <c r="G470" i="3"/>
  <c r="J470" i="3" s="1"/>
  <c r="H471" i="3"/>
  <c r="L471" i="3" s="1"/>
  <c r="I470" i="3" l="1"/>
  <c r="K470" i="3"/>
  <c r="H472" i="3"/>
  <c r="L472" i="3" s="1"/>
  <c r="G471" i="3"/>
  <c r="J471" i="3" s="1"/>
  <c r="I471" i="3" l="1"/>
  <c r="K471" i="3"/>
  <c r="G472" i="3"/>
  <c r="J472" i="3" s="1"/>
  <c r="H473" i="3"/>
  <c r="L473" i="3" s="1"/>
  <c r="I472" i="3" l="1"/>
  <c r="K472" i="3"/>
  <c r="G473" i="3"/>
  <c r="J473" i="3" s="1"/>
  <c r="H474" i="3"/>
  <c r="L474" i="3" s="1"/>
  <c r="I473" i="3" l="1"/>
  <c r="K473" i="3"/>
  <c r="H475" i="3"/>
  <c r="L475" i="3" s="1"/>
  <c r="G474" i="3"/>
  <c r="J474" i="3" s="1"/>
  <c r="I474" i="3" l="1"/>
  <c r="K474" i="3"/>
  <c r="G475" i="3"/>
  <c r="J475" i="3" s="1"/>
  <c r="H476" i="3"/>
  <c r="L476" i="3" s="1"/>
  <c r="I475" i="3" l="1"/>
  <c r="K475" i="3"/>
  <c r="H477" i="3"/>
  <c r="L477" i="3" s="1"/>
  <c r="G476" i="3"/>
  <c r="J476" i="3" s="1"/>
  <c r="I476" i="3" l="1"/>
  <c r="K476" i="3"/>
  <c r="H478" i="3"/>
  <c r="L478" i="3" s="1"/>
  <c r="G477" i="3"/>
  <c r="J477" i="3" s="1"/>
  <c r="I477" i="3" l="1"/>
  <c r="K477" i="3"/>
  <c r="G478" i="3"/>
  <c r="J478" i="3" s="1"/>
  <c r="H479" i="3"/>
  <c r="L479" i="3" s="1"/>
  <c r="I478" i="3" l="1"/>
  <c r="K478" i="3"/>
  <c r="H480" i="3"/>
  <c r="L480" i="3" s="1"/>
  <c r="G479" i="3"/>
  <c r="J479" i="3" s="1"/>
  <c r="I479" i="3" l="1"/>
  <c r="K479" i="3"/>
  <c r="H481" i="3"/>
  <c r="L481" i="3" s="1"/>
  <c r="G480" i="3"/>
  <c r="J480" i="3" s="1"/>
  <c r="I480" i="3" l="1"/>
  <c r="K480" i="3"/>
  <c r="G481" i="3"/>
  <c r="J481" i="3" s="1"/>
  <c r="H482" i="3"/>
  <c r="L482" i="3" s="1"/>
  <c r="I481" i="3" l="1"/>
  <c r="K481" i="3"/>
  <c r="H483" i="3"/>
  <c r="L483" i="3" s="1"/>
  <c r="G482" i="3"/>
  <c r="J482" i="3" s="1"/>
  <c r="I482" i="3" l="1"/>
  <c r="K482" i="3"/>
  <c r="H484" i="3"/>
  <c r="L484" i="3" s="1"/>
  <c r="G483" i="3"/>
  <c r="J483" i="3" s="1"/>
  <c r="I483" i="3" l="1"/>
  <c r="K483" i="3"/>
  <c r="H485" i="3"/>
  <c r="L485" i="3" s="1"/>
  <c r="G484" i="3"/>
  <c r="J484" i="3" s="1"/>
  <c r="I484" i="3" l="1"/>
  <c r="K484" i="3"/>
  <c r="H486" i="3"/>
  <c r="L486" i="3" s="1"/>
  <c r="G485" i="3"/>
  <c r="J485" i="3" s="1"/>
  <c r="I485" i="3" l="1"/>
  <c r="K485" i="3"/>
  <c r="G486" i="3"/>
  <c r="J486" i="3" s="1"/>
  <c r="H487" i="3"/>
  <c r="L487" i="3" s="1"/>
  <c r="I486" i="3" l="1"/>
  <c r="K486" i="3"/>
  <c r="H488" i="3"/>
  <c r="L488" i="3" s="1"/>
  <c r="G487" i="3"/>
  <c r="J487" i="3" s="1"/>
  <c r="I487" i="3" l="1"/>
  <c r="K487" i="3"/>
  <c r="G488" i="3"/>
  <c r="J488" i="3" s="1"/>
  <c r="H489" i="3"/>
  <c r="L489" i="3" s="1"/>
  <c r="I488" i="3" l="1"/>
  <c r="K488" i="3"/>
  <c r="G489" i="3"/>
  <c r="J489" i="3" s="1"/>
  <c r="H490" i="3"/>
  <c r="L490" i="3" s="1"/>
  <c r="I489" i="3" l="1"/>
  <c r="K489" i="3"/>
  <c r="H491" i="3"/>
  <c r="L491" i="3" s="1"/>
  <c r="G490" i="3"/>
  <c r="J490" i="3" s="1"/>
  <c r="I490" i="3" l="1"/>
  <c r="K490" i="3"/>
  <c r="G491" i="3"/>
  <c r="J491" i="3" s="1"/>
  <c r="H492" i="3"/>
  <c r="L492" i="3" s="1"/>
  <c r="I491" i="3" l="1"/>
  <c r="K491" i="3"/>
  <c r="H493" i="3"/>
  <c r="L493" i="3" s="1"/>
  <c r="G492" i="3"/>
  <c r="J492" i="3" s="1"/>
  <c r="I492" i="3" l="1"/>
  <c r="K492" i="3"/>
  <c r="G493" i="3"/>
  <c r="J493" i="3" s="1"/>
  <c r="H494" i="3"/>
  <c r="L494" i="3" s="1"/>
  <c r="I493" i="3" l="1"/>
  <c r="K493" i="3"/>
  <c r="G494" i="3"/>
  <c r="J494" i="3" s="1"/>
  <c r="H495" i="3"/>
  <c r="L495" i="3" s="1"/>
  <c r="B27" i="3"/>
  <c r="G495" i="3" l="1"/>
  <c r="J495" i="3" s="1"/>
  <c r="I494" i="3"/>
  <c r="K494" i="3"/>
  <c r="K495" i="3" l="1"/>
  <c r="I495" i="3"/>
  <c r="P5" i="3" a="1"/>
  <c r="W5" i="3" l="1"/>
  <c r="R6" i="3"/>
  <c r="Z6" i="3"/>
  <c r="U7" i="3"/>
  <c r="P8" i="3"/>
  <c r="X8" i="3"/>
  <c r="S9" i="3"/>
  <c r="AA9" i="3"/>
  <c r="V10" i="3"/>
  <c r="Q11" i="3"/>
  <c r="Y11" i="3"/>
  <c r="T12" i="3"/>
  <c r="AB12" i="3"/>
  <c r="W13" i="3"/>
  <c r="R14" i="3"/>
  <c r="Z14" i="3"/>
  <c r="U15" i="3"/>
  <c r="P16" i="3"/>
  <c r="N16" i="3" s="1"/>
  <c r="X16" i="3"/>
  <c r="S17" i="3"/>
  <c r="AA17" i="3"/>
  <c r="V18" i="3"/>
  <c r="Q19" i="3"/>
  <c r="Y19" i="3"/>
  <c r="T20" i="3"/>
  <c r="AB20" i="3"/>
  <c r="W21" i="3"/>
  <c r="R22" i="3"/>
  <c r="Z22" i="3"/>
  <c r="U23" i="3"/>
  <c r="AE23" i="3" s="1"/>
  <c r="P24" i="3"/>
  <c r="X24" i="3"/>
  <c r="S25" i="3"/>
  <c r="AA25" i="3"/>
  <c r="V26" i="3"/>
  <c r="Q27" i="3"/>
  <c r="Y27" i="3"/>
  <c r="T28" i="3"/>
  <c r="AB28" i="3"/>
  <c r="W29" i="3"/>
  <c r="R30" i="3"/>
  <c r="Z30" i="3"/>
  <c r="U31" i="3"/>
  <c r="P32" i="3"/>
  <c r="X32" i="3"/>
  <c r="S33" i="3"/>
  <c r="AA33" i="3"/>
  <c r="V34" i="3"/>
  <c r="Q35" i="3"/>
  <c r="Y35" i="3"/>
  <c r="T36" i="3"/>
  <c r="AB36" i="3"/>
  <c r="W37" i="3"/>
  <c r="R38" i="3"/>
  <c r="Z38" i="3"/>
  <c r="U39" i="3"/>
  <c r="AE39" i="3" s="1"/>
  <c r="P40" i="3"/>
  <c r="X40" i="3"/>
  <c r="S41" i="3"/>
  <c r="AA41" i="3"/>
  <c r="V42" i="3"/>
  <c r="Q43" i="3"/>
  <c r="Y43" i="3"/>
  <c r="T44" i="3"/>
  <c r="AB44" i="3"/>
  <c r="W45" i="3"/>
  <c r="R46" i="3"/>
  <c r="Z46" i="3"/>
  <c r="U47" i="3"/>
  <c r="AE47" i="3" s="1"/>
  <c r="P48" i="3"/>
  <c r="X48" i="3"/>
  <c r="S49" i="3"/>
  <c r="AA49" i="3"/>
  <c r="V50" i="3"/>
  <c r="Q51" i="3"/>
  <c r="Y51" i="3"/>
  <c r="T52" i="3"/>
  <c r="AB52" i="3"/>
  <c r="W53" i="3"/>
  <c r="R54" i="3"/>
  <c r="Z54" i="3"/>
  <c r="U55" i="3"/>
  <c r="P5" i="3"/>
  <c r="X5" i="3"/>
  <c r="S6" i="3"/>
  <c r="AA6" i="3"/>
  <c r="V7" i="3"/>
  <c r="Q8" i="3"/>
  <c r="Y8" i="3"/>
  <c r="T9" i="3"/>
  <c r="AB9" i="3"/>
  <c r="W10" i="3"/>
  <c r="R11" i="3"/>
  <c r="Z11" i="3"/>
  <c r="U12" i="3"/>
  <c r="AE12" i="3" s="1"/>
  <c r="P13" i="3"/>
  <c r="X13" i="3"/>
  <c r="S14" i="3"/>
  <c r="AA14" i="3"/>
  <c r="V15" i="3"/>
  <c r="Q16" i="3"/>
  <c r="Y16" i="3"/>
  <c r="T17" i="3"/>
  <c r="AB17" i="3"/>
  <c r="W18" i="3"/>
  <c r="R19" i="3"/>
  <c r="Z19" i="3"/>
  <c r="U20" i="3"/>
  <c r="AE20" i="3" s="1"/>
  <c r="P21" i="3"/>
  <c r="X21" i="3"/>
  <c r="S22" i="3"/>
  <c r="AA22" i="3"/>
  <c r="V23" i="3"/>
  <c r="Q24" i="3"/>
  <c r="Y24" i="3"/>
  <c r="T25" i="3"/>
  <c r="AB25" i="3"/>
  <c r="W26" i="3"/>
  <c r="R27" i="3"/>
  <c r="Z27" i="3"/>
  <c r="U28" i="3"/>
  <c r="P29" i="3"/>
  <c r="X29" i="3"/>
  <c r="S30" i="3"/>
  <c r="AA30" i="3"/>
  <c r="V31" i="3"/>
  <c r="Q32" i="3"/>
  <c r="Y32" i="3"/>
  <c r="T33" i="3"/>
  <c r="AB33" i="3"/>
  <c r="W34" i="3"/>
  <c r="R35" i="3"/>
  <c r="Z35" i="3"/>
  <c r="U36" i="3"/>
  <c r="AE36" i="3" s="1"/>
  <c r="P37" i="3"/>
  <c r="X37" i="3"/>
  <c r="S38" i="3"/>
  <c r="AA38" i="3"/>
  <c r="V39" i="3"/>
  <c r="Q40" i="3"/>
  <c r="Y40" i="3"/>
  <c r="T41" i="3"/>
  <c r="AB41" i="3"/>
  <c r="W42" i="3"/>
  <c r="R43" i="3"/>
  <c r="Z43" i="3"/>
  <c r="U44" i="3"/>
  <c r="AE44" i="3" s="1"/>
  <c r="P45" i="3"/>
  <c r="AD45" i="3" s="1"/>
  <c r="X45" i="3"/>
  <c r="S46" i="3"/>
  <c r="AA46" i="3"/>
  <c r="V47" i="3"/>
  <c r="Q48" i="3"/>
  <c r="Y48" i="3"/>
  <c r="T49" i="3"/>
  <c r="AB49" i="3"/>
  <c r="W50" i="3"/>
  <c r="R51" i="3"/>
  <c r="Z51" i="3"/>
  <c r="U52" i="3"/>
  <c r="AE52" i="3" s="1"/>
  <c r="P53" i="3"/>
  <c r="X53" i="3"/>
  <c r="S54" i="3"/>
  <c r="AA54" i="3"/>
  <c r="V55" i="3"/>
  <c r="Q56" i="3"/>
  <c r="Y56" i="3"/>
  <c r="Q5" i="3"/>
  <c r="Y5" i="3"/>
  <c r="T6" i="3"/>
  <c r="AB6" i="3"/>
  <c r="W7" i="3"/>
  <c r="R8" i="3"/>
  <c r="Z8" i="3"/>
  <c r="U9" i="3"/>
  <c r="AE9" i="3" s="1"/>
  <c r="P10" i="3"/>
  <c r="X10" i="3"/>
  <c r="S11" i="3"/>
  <c r="AA11" i="3"/>
  <c r="V12" i="3"/>
  <c r="Q13" i="3"/>
  <c r="Y13" i="3"/>
  <c r="T14" i="3"/>
  <c r="AB14" i="3"/>
  <c r="W15" i="3"/>
  <c r="R16" i="3"/>
  <c r="Z16" i="3"/>
  <c r="U17" i="3"/>
  <c r="AE17" i="3" s="1"/>
  <c r="P18" i="3"/>
  <c r="X18" i="3"/>
  <c r="S19" i="3"/>
  <c r="AA19" i="3"/>
  <c r="V20" i="3"/>
  <c r="Q21" i="3"/>
  <c r="Y21" i="3"/>
  <c r="T22" i="3"/>
  <c r="AB22" i="3"/>
  <c r="W23" i="3"/>
  <c r="R24" i="3"/>
  <c r="Z24" i="3"/>
  <c r="U25" i="3"/>
  <c r="P26" i="3"/>
  <c r="X26" i="3"/>
  <c r="S27" i="3"/>
  <c r="AA27" i="3"/>
  <c r="V28" i="3"/>
  <c r="Q29" i="3"/>
  <c r="Y29" i="3"/>
  <c r="T30" i="3"/>
  <c r="AB30" i="3"/>
  <c r="W31" i="3"/>
  <c r="R32" i="3"/>
  <c r="Z32" i="3"/>
  <c r="U33" i="3"/>
  <c r="AE33" i="3" s="1"/>
  <c r="P34" i="3"/>
  <c r="AD34" i="3" s="1"/>
  <c r="X34" i="3"/>
  <c r="S35" i="3"/>
  <c r="AA35" i="3"/>
  <c r="V36" i="3"/>
  <c r="Q37" i="3"/>
  <c r="Y37" i="3"/>
  <c r="T38" i="3"/>
  <c r="AB38" i="3"/>
  <c r="W39" i="3"/>
  <c r="R40" i="3"/>
  <c r="Z40" i="3"/>
  <c r="U41" i="3"/>
  <c r="P42" i="3"/>
  <c r="X42" i="3"/>
  <c r="S43" i="3"/>
  <c r="AA43" i="3"/>
  <c r="V44" i="3"/>
  <c r="Q45" i="3"/>
  <c r="Y45" i="3"/>
  <c r="T46" i="3"/>
  <c r="AB46" i="3"/>
  <c r="W47" i="3"/>
  <c r="R48" i="3"/>
  <c r="Z48" i="3"/>
  <c r="U49" i="3"/>
  <c r="AE49" i="3" s="1"/>
  <c r="P50" i="3"/>
  <c r="X50" i="3"/>
  <c r="S51" i="3"/>
  <c r="AA51" i="3"/>
  <c r="V52" i="3"/>
  <c r="Q53" i="3"/>
  <c r="R5" i="3"/>
  <c r="Z5" i="3"/>
  <c r="U6" i="3"/>
  <c r="P7" i="3"/>
  <c r="X7" i="3"/>
  <c r="S8" i="3"/>
  <c r="AA8" i="3"/>
  <c r="V9" i="3"/>
  <c r="Q10" i="3"/>
  <c r="Y10" i="3"/>
  <c r="T11" i="3"/>
  <c r="AB11" i="3"/>
  <c r="W12" i="3"/>
  <c r="R13" i="3"/>
  <c r="Z13" i="3"/>
  <c r="U14" i="3"/>
  <c r="AE14" i="3" s="1"/>
  <c r="P15" i="3"/>
  <c r="X15" i="3"/>
  <c r="S16" i="3"/>
  <c r="AA16" i="3"/>
  <c r="V17" i="3"/>
  <c r="Q18" i="3"/>
  <c r="Y18" i="3"/>
  <c r="T19" i="3"/>
  <c r="AB19" i="3"/>
  <c r="W20" i="3"/>
  <c r="R21" i="3"/>
  <c r="Z21" i="3"/>
  <c r="U22" i="3"/>
  <c r="AE22" i="3" s="1"/>
  <c r="P23" i="3"/>
  <c r="X23" i="3"/>
  <c r="S24" i="3"/>
  <c r="AA24" i="3"/>
  <c r="V25" i="3"/>
  <c r="Q26" i="3"/>
  <c r="Y26" i="3"/>
  <c r="T27" i="3"/>
  <c r="AB27" i="3"/>
  <c r="W28" i="3"/>
  <c r="R29" i="3"/>
  <c r="Z29" i="3"/>
  <c r="U30" i="3"/>
  <c r="AE30" i="3" s="1"/>
  <c r="P31" i="3"/>
  <c r="X31" i="3"/>
  <c r="S32" i="3"/>
  <c r="AA32" i="3"/>
  <c r="V33" i="3"/>
  <c r="Q34" i="3"/>
  <c r="Y34" i="3"/>
  <c r="T35" i="3"/>
  <c r="AB35" i="3"/>
  <c r="W36" i="3"/>
  <c r="R37" i="3"/>
  <c r="Z37" i="3"/>
  <c r="S5" i="3"/>
  <c r="AA5" i="3"/>
  <c r="V6" i="3"/>
  <c r="Q7" i="3"/>
  <c r="Y7" i="3"/>
  <c r="T8" i="3"/>
  <c r="AB8" i="3"/>
  <c r="W9" i="3"/>
  <c r="R10" i="3"/>
  <c r="Z10" i="3"/>
  <c r="U11" i="3"/>
  <c r="AE11" i="3" s="1"/>
  <c r="P12" i="3"/>
  <c r="X12" i="3"/>
  <c r="S13" i="3"/>
  <c r="AA13" i="3"/>
  <c r="V14" i="3"/>
  <c r="Q15" i="3"/>
  <c r="Y15" i="3"/>
  <c r="T16" i="3"/>
  <c r="AB16" i="3"/>
  <c r="W17" i="3"/>
  <c r="R18" i="3"/>
  <c r="Z18" i="3"/>
  <c r="U19" i="3"/>
  <c r="AE19" i="3" s="1"/>
  <c r="P20" i="3"/>
  <c r="O20" i="3" s="1"/>
  <c r="X20" i="3"/>
  <c r="S21" i="3"/>
  <c r="AA21" i="3"/>
  <c r="V22" i="3"/>
  <c r="Q23" i="3"/>
  <c r="Y23" i="3"/>
  <c r="T24" i="3"/>
  <c r="AB24" i="3"/>
  <c r="W25" i="3"/>
  <c r="R26" i="3"/>
  <c r="Z26" i="3"/>
  <c r="U27" i="3"/>
  <c r="P28" i="3"/>
  <c r="X28" i="3"/>
  <c r="S29" i="3"/>
  <c r="AA29" i="3"/>
  <c r="V30" i="3"/>
  <c r="Q31" i="3"/>
  <c r="Y31" i="3"/>
  <c r="T32" i="3"/>
  <c r="AB32" i="3"/>
  <c r="W33" i="3"/>
  <c r="R34" i="3"/>
  <c r="Z34" i="3"/>
  <c r="U35" i="3"/>
  <c r="AE35" i="3" s="1"/>
  <c r="P36" i="3"/>
  <c r="X36" i="3"/>
  <c r="S37" i="3"/>
  <c r="AA37" i="3"/>
  <c r="V38" i="3"/>
  <c r="Q39" i="3"/>
  <c r="Y39" i="3"/>
  <c r="T40" i="3"/>
  <c r="AB40" i="3"/>
  <c r="T5" i="3"/>
  <c r="AB5" i="3"/>
  <c r="W6" i="3"/>
  <c r="R7" i="3"/>
  <c r="Z7" i="3"/>
  <c r="U8" i="3"/>
  <c r="AE8" i="3" s="1"/>
  <c r="P9" i="3"/>
  <c r="AD9" i="3" s="1"/>
  <c r="X9" i="3"/>
  <c r="S10" i="3"/>
  <c r="AA10" i="3"/>
  <c r="V11" i="3"/>
  <c r="Q12" i="3"/>
  <c r="Y12" i="3"/>
  <c r="T13" i="3"/>
  <c r="AB13" i="3"/>
  <c r="W14" i="3"/>
  <c r="R15" i="3"/>
  <c r="Z15" i="3"/>
  <c r="U16" i="3"/>
  <c r="AE16" i="3" s="1"/>
  <c r="P17" i="3"/>
  <c r="X17" i="3"/>
  <c r="S18" i="3"/>
  <c r="AA18" i="3"/>
  <c r="V19" i="3"/>
  <c r="Q20" i="3"/>
  <c r="Y20" i="3"/>
  <c r="T21" i="3"/>
  <c r="AB21" i="3"/>
  <c r="W22" i="3"/>
  <c r="R23" i="3"/>
  <c r="Z23" i="3"/>
  <c r="U24" i="3"/>
  <c r="AE24" i="3" s="1"/>
  <c r="P25" i="3"/>
  <c r="X25" i="3"/>
  <c r="S26" i="3"/>
  <c r="AA26" i="3"/>
  <c r="V27" i="3"/>
  <c r="Q28" i="3"/>
  <c r="Y28" i="3"/>
  <c r="T29" i="3"/>
  <c r="AB29" i="3"/>
  <c r="W30" i="3"/>
  <c r="R31" i="3"/>
  <c r="Z31" i="3"/>
  <c r="U32" i="3"/>
  <c r="AE32" i="3" s="1"/>
  <c r="P33" i="3"/>
  <c r="X33" i="3"/>
  <c r="V5" i="3"/>
  <c r="Q6" i="3"/>
  <c r="Y6" i="3"/>
  <c r="T7" i="3"/>
  <c r="AB7" i="3"/>
  <c r="W8" i="3"/>
  <c r="R9" i="3"/>
  <c r="Z9" i="3"/>
  <c r="U10" i="3"/>
  <c r="AE10" i="3" s="1"/>
  <c r="P11" i="3"/>
  <c r="X11" i="3"/>
  <c r="S12" i="3"/>
  <c r="AA12" i="3"/>
  <c r="V13" i="3"/>
  <c r="Q14" i="3"/>
  <c r="Y14" i="3"/>
  <c r="T15" i="3"/>
  <c r="AB15" i="3"/>
  <c r="W16" i="3"/>
  <c r="R17" i="3"/>
  <c r="Z17" i="3"/>
  <c r="U18" i="3"/>
  <c r="AE18" i="3" s="1"/>
  <c r="P19" i="3"/>
  <c r="X19" i="3"/>
  <c r="S20" i="3"/>
  <c r="AA20" i="3"/>
  <c r="V21" i="3"/>
  <c r="Q22" i="3"/>
  <c r="Y22" i="3"/>
  <c r="T23" i="3"/>
  <c r="AB23" i="3"/>
  <c r="W24" i="3"/>
  <c r="R25" i="3"/>
  <c r="Z25" i="3"/>
  <c r="U26" i="3"/>
  <c r="P27" i="3"/>
  <c r="X27" i="3"/>
  <c r="S28" i="3"/>
  <c r="AA28" i="3"/>
  <c r="V29" i="3"/>
  <c r="Q30" i="3"/>
  <c r="Y30" i="3"/>
  <c r="T31" i="3"/>
  <c r="AB31" i="3"/>
  <c r="W32" i="3"/>
  <c r="R33" i="3"/>
  <c r="Z33" i="3"/>
  <c r="U34" i="3"/>
  <c r="AE34" i="3" s="1"/>
  <c r="P35" i="3"/>
  <c r="O35" i="3" s="1"/>
  <c r="X35" i="3"/>
  <c r="S36" i="3"/>
  <c r="U5" i="3"/>
  <c r="T10" i="3"/>
  <c r="S15" i="3"/>
  <c r="R20" i="3"/>
  <c r="Q25" i="3"/>
  <c r="P30" i="3"/>
  <c r="AD30" i="3" s="1"/>
  <c r="T34" i="3"/>
  <c r="Z36" i="3"/>
  <c r="U38" i="3"/>
  <c r="X39" i="3"/>
  <c r="AA40" i="3"/>
  <c r="Z41" i="3"/>
  <c r="AA42" i="3"/>
  <c r="AB43" i="3"/>
  <c r="Z44" i="3"/>
  <c r="AA45" i="3"/>
  <c r="Y46" i="3"/>
  <c r="Z47" i="3"/>
  <c r="AA48" i="3"/>
  <c r="Y49" i="3"/>
  <c r="Z50" i="3"/>
  <c r="X51" i="3"/>
  <c r="Y52" i="3"/>
  <c r="Y53" i="3"/>
  <c r="V54" i="3"/>
  <c r="S55" i="3"/>
  <c r="P56" i="3"/>
  <c r="AD56" i="3" s="1"/>
  <c r="Z56" i="3"/>
  <c r="U57" i="3"/>
  <c r="AE57" i="3" s="1"/>
  <c r="P58" i="3"/>
  <c r="O58" i="3" s="1"/>
  <c r="X58" i="3"/>
  <c r="S59" i="3"/>
  <c r="AA59" i="3"/>
  <c r="V60" i="3"/>
  <c r="Q61" i="3"/>
  <c r="Y61" i="3"/>
  <c r="T62" i="3"/>
  <c r="AB62" i="3"/>
  <c r="W63" i="3"/>
  <c r="R64" i="3"/>
  <c r="Z64" i="3"/>
  <c r="U65" i="3"/>
  <c r="AE65" i="3" s="1"/>
  <c r="P66" i="3"/>
  <c r="X66" i="3"/>
  <c r="S67" i="3"/>
  <c r="AA67" i="3"/>
  <c r="V68" i="3"/>
  <c r="Q69" i="3"/>
  <c r="Y69" i="3"/>
  <c r="T70" i="3"/>
  <c r="AB70" i="3"/>
  <c r="W71" i="3"/>
  <c r="R72" i="3"/>
  <c r="Z72" i="3"/>
  <c r="U73" i="3"/>
  <c r="AE73" i="3" s="1"/>
  <c r="P74" i="3"/>
  <c r="X74" i="3"/>
  <c r="S75" i="3"/>
  <c r="AA75" i="3"/>
  <c r="V76" i="3"/>
  <c r="Q77" i="3"/>
  <c r="Y77" i="3"/>
  <c r="T78" i="3"/>
  <c r="AB78" i="3"/>
  <c r="W79" i="3"/>
  <c r="R80" i="3"/>
  <c r="Z80" i="3"/>
  <c r="U81" i="3"/>
  <c r="AE81" i="3" s="1"/>
  <c r="P82" i="3"/>
  <c r="O82" i="3" s="1"/>
  <c r="X82" i="3"/>
  <c r="S83" i="3"/>
  <c r="AA83" i="3"/>
  <c r="V84" i="3"/>
  <c r="Q85" i="3"/>
  <c r="Y85" i="3"/>
  <c r="T86" i="3"/>
  <c r="AB86" i="3"/>
  <c r="W87" i="3"/>
  <c r="R88" i="3"/>
  <c r="Z88" i="3"/>
  <c r="U89" i="3"/>
  <c r="AE89" i="3" s="1"/>
  <c r="P90" i="3"/>
  <c r="X90" i="3"/>
  <c r="S91" i="3"/>
  <c r="AA91" i="3"/>
  <c r="P6" i="3"/>
  <c r="AB10" i="3"/>
  <c r="AA15" i="3"/>
  <c r="Z20" i="3"/>
  <c r="Y25" i="3"/>
  <c r="X30" i="3"/>
  <c r="AA34" i="3"/>
  <c r="AA36" i="3"/>
  <c r="W38" i="3"/>
  <c r="Z39" i="3"/>
  <c r="P41" i="3"/>
  <c r="Q42" i="3"/>
  <c r="AB42" i="3"/>
  <c r="P44" i="3"/>
  <c r="AD44" i="3" s="1"/>
  <c r="AA44" i="3"/>
  <c r="AB45" i="3"/>
  <c r="P47" i="3"/>
  <c r="AD47" i="3" s="1"/>
  <c r="AA47" i="3"/>
  <c r="AB48" i="3"/>
  <c r="Z49" i="3"/>
  <c r="AA50" i="3"/>
  <c r="AB51" i="3"/>
  <c r="Z52" i="3"/>
  <c r="Z53" i="3"/>
  <c r="W54" i="3"/>
  <c r="T55" i="3"/>
  <c r="R56" i="3"/>
  <c r="AA56" i="3"/>
  <c r="V57" i="3"/>
  <c r="Q58" i="3"/>
  <c r="Y58" i="3"/>
  <c r="T59" i="3"/>
  <c r="AB59" i="3"/>
  <c r="W60" i="3"/>
  <c r="R61" i="3"/>
  <c r="Z61" i="3"/>
  <c r="U62" i="3"/>
  <c r="AE62" i="3" s="1"/>
  <c r="P63" i="3"/>
  <c r="AD63" i="3" s="1"/>
  <c r="X63" i="3"/>
  <c r="S64" i="3"/>
  <c r="AA64" i="3"/>
  <c r="V65" i="3"/>
  <c r="Q66" i="3"/>
  <c r="Y66" i="3"/>
  <c r="T67" i="3"/>
  <c r="AB67" i="3"/>
  <c r="W68" i="3"/>
  <c r="R69" i="3"/>
  <c r="Z69" i="3"/>
  <c r="U70" i="3"/>
  <c r="AE70" i="3" s="1"/>
  <c r="P71" i="3"/>
  <c r="X71" i="3"/>
  <c r="S72" i="3"/>
  <c r="AA72" i="3"/>
  <c r="V73" i="3"/>
  <c r="Q74" i="3"/>
  <c r="Y74" i="3"/>
  <c r="T75" i="3"/>
  <c r="AB75" i="3"/>
  <c r="W76" i="3"/>
  <c r="X6" i="3"/>
  <c r="W11" i="3"/>
  <c r="V16" i="3"/>
  <c r="U21" i="3"/>
  <c r="AE21" i="3" s="1"/>
  <c r="T26" i="3"/>
  <c r="S31" i="3"/>
  <c r="AB34" i="3"/>
  <c r="T37" i="3"/>
  <c r="X38" i="3"/>
  <c r="AA39" i="3"/>
  <c r="Q41" i="3"/>
  <c r="R42" i="3"/>
  <c r="P43" i="3"/>
  <c r="Q44" i="3"/>
  <c r="R45" i="3"/>
  <c r="P46" i="3"/>
  <c r="Q47" i="3"/>
  <c r="AB47" i="3"/>
  <c r="P49" i="3"/>
  <c r="N49" i="3" s="1"/>
  <c r="Q50" i="3"/>
  <c r="AB50" i="3"/>
  <c r="P52" i="3"/>
  <c r="AA52" i="3"/>
  <c r="AA53" i="3"/>
  <c r="X54" i="3"/>
  <c r="W55" i="3"/>
  <c r="S56" i="3"/>
  <c r="AB56" i="3"/>
  <c r="W57" i="3"/>
  <c r="R58" i="3"/>
  <c r="Z58" i="3"/>
  <c r="U59" i="3"/>
  <c r="AE59" i="3" s="1"/>
  <c r="P60" i="3"/>
  <c r="X60" i="3"/>
  <c r="S61" i="3"/>
  <c r="AA61" i="3"/>
  <c r="V62" i="3"/>
  <c r="Q63" i="3"/>
  <c r="Y63" i="3"/>
  <c r="T64" i="3"/>
  <c r="AB64" i="3"/>
  <c r="W65" i="3"/>
  <c r="R66" i="3"/>
  <c r="Z66" i="3"/>
  <c r="U67" i="3"/>
  <c r="AE67" i="3" s="1"/>
  <c r="P68" i="3"/>
  <c r="X68" i="3"/>
  <c r="S69" i="3"/>
  <c r="AA69" i="3"/>
  <c r="V70" i="3"/>
  <c r="Q71" i="3"/>
  <c r="Y71" i="3"/>
  <c r="T72" i="3"/>
  <c r="AB72" i="3"/>
  <c r="W73" i="3"/>
  <c r="R74" i="3"/>
  <c r="Z74" i="3"/>
  <c r="U75" i="3"/>
  <c r="AE75" i="3" s="1"/>
  <c r="P76" i="3"/>
  <c r="X76" i="3"/>
  <c r="S77" i="3"/>
  <c r="S7" i="3"/>
  <c r="R12" i="3"/>
  <c r="Q17" i="3"/>
  <c r="P22" i="3"/>
  <c r="AB26" i="3"/>
  <c r="AA31" i="3"/>
  <c r="V35" i="3"/>
  <c r="U37" i="3"/>
  <c r="AE37" i="3" s="1"/>
  <c r="Y38" i="3"/>
  <c r="AB39" i="3"/>
  <c r="R41" i="3"/>
  <c r="S42" i="3"/>
  <c r="T43" i="3"/>
  <c r="R44" i="3"/>
  <c r="S45" i="3"/>
  <c r="Q46" i="3"/>
  <c r="R47" i="3"/>
  <c r="S48" i="3"/>
  <c r="Q49" i="3"/>
  <c r="R50" i="3"/>
  <c r="P51" i="3"/>
  <c r="Q52" i="3"/>
  <c r="R53" i="3"/>
  <c r="AB53" i="3"/>
  <c r="Y54" i="3"/>
  <c r="X55" i="3"/>
  <c r="T56" i="3"/>
  <c r="P57" i="3"/>
  <c r="X57" i="3"/>
  <c r="S58" i="3"/>
  <c r="AA58" i="3"/>
  <c r="AA7" i="3"/>
  <c r="Z12" i="3"/>
  <c r="Y17" i="3"/>
  <c r="X22" i="3"/>
  <c r="W27" i="3"/>
  <c r="V32" i="3"/>
  <c r="W35" i="3"/>
  <c r="V37" i="3"/>
  <c r="P39" i="3"/>
  <c r="S40" i="3"/>
  <c r="V41" i="3"/>
  <c r="T42" i="3"/>
  <c r="U43" i="3"/>
  <c r="S44" i="3"/>
  <c r="T45" i="3"/>
  <c r="U46" i="3"/>
  <c r="AE46" i="3" s="1"/>
  <c r="S47" i="3"/>
  <c r="T48" i="3"/>
  <c r="R49" i="3"/>
  <c r="S50" i="3"/>
  <c r="T51" i="3"/>
  <c r="R52" i="3"/>
  <c r="S53" i="3"/>
  <c r="P54" i="3"/>
  <c r="AB54" i="3"/>
  <c r="Y55" i="3"/>
  <c r="U56" i="3"/>
  <c r="Q57" i="3"/>
  <c r="Y57" i="3"/>
  <c r="T58" i="3"/>
  <c r="AB58" i="3"/>
  <c r="W59" i="3"/>
  <c r="R60" i="3"/>
  <c r="Z60" i="3"/>
  <c r="U61" i="3"/>
  <c r="P62" i="3"/>
  <c r="O62" i="3" s="1"/>
  <c r="X62" i="3"/>
  <c r="S63" i="3"/>
  <c r="AA63" i="3"/>
  <c r="V64" i="3"/>
  <c r="Q65" i="3"/>
  <c r="Y65" i="3"/>
  <c r="T66" i="3"/>
  <c r="AB66" i="3"/>
  <c r="V8" i="3"/>
  <c r="W19" i="3"/>
  <c r="Y33" i="3"/>
  <c r="R39" i="3"/>
  <c r="Y41" i="3"/>
  <c r="X44" i="3"/>
  <c r="T47" i="3"/>
  <c r="X49" i="3"/>
  <c r="W52" i="3"/>
  <c r="P55" i="3"/>
  <c r="X56" i="3"/>
  <c r="V58" i="3"/>
  <c r="Z59" i="3"/>
  <c r="P61" i="3"/>
  <c r="S62" i="3"/>
  <c r="V63" i="3"/>
  <c r="Y64" i="3"/>
  <c r="AB65" i="3"/>
  <c r="R67" i="3"/>
  <c r="S68" i="3"/>
  <c r="T69" i="3"/>
  <c r="R70" i="3"/>
  <c r="S71" i="3"/>
  <c r="Q72" i="3"/>
  <c r="R73" i="3"/>
  <c r="S74" i="3"/>
  <c r="Q75" i="3"/>
  <c r="R76" i="3"/>
  <c r="P77" i="3"/>
  <c r="AA77" i="3"/>
  <c r="W78" i="3"/>
  <c r="S79" i="3"/>
  <c r="AB79" i="3"/>
  <c r="X80" i="3"/>
  <c r="T81" i="3"/>
  <c r="Q82" i="3"/>
  <c r="Z82" i="3"/>
  <c r="V83" i="3"/>
  <c r="R84" i="3"/>
  <c r="AA84" i="3"/>
  <c r="W85" i="3"/>
  <c r="S86" i="3"/>
  <c r="P87" i="3"/>
  <c r="O87" i="3" s="1"/>
  <c r="Y87" i="3"/>
  <c r="U88" i="3"/>
  <c r="AE88" i="3" s="1"/>
  <c r="Q89" i="3"/>
  <c r="Z89" i="3"/>
  <c r="V90" i="3"/>
  <c r="R91" i="3"/>
  <c r="AB91" i="3"/>
  <c r="W92" i="3"/>
  <c r="R93" i="3"/>
  <c r="Z93" i="3"/>
  <c r="U94" i="3"/>
  <c r="AE94" i="3" s="1"/>
  <c r="P95" i="3"/>
  <c r="X95" i="3"/>
  <c r="S96" i="3"/>
  <c r="AA96" i="3"/>
  <c r="V97" i="3"/>
  <c r="Q98" i="3"/>
  <c r="Y98" i="3"/>
  <c r="T99" i="3"/>
  <c r="AB99" i="3"/>
  <c r="W100" i="3"/>
  <c r="R101" i="3"/>
  <c r="Z101" i="3"/>
  <c r="U102" i="3"/>
  <c r="AE102" i="3" s="1"/>
  <c r="P103" i="3"/>
  <c r="AD103" i="3" s="1"/>
  <c r="X103" i="3"/>
  <c r="S104" i="3"/>
  <c r="AA104" i="3"/>
  <c r="V105" i="3"/>
  <c r="Q106" i="3"/>
  <c r="Y106" i="3"/>
  <c r="T107" i="3"/>
  <c r="AB107" i="3"/>
  <c r="W108" i="3"/>
  <c r="R109" i="3"/>
  <c r="Z109" i="3"/>
  <c r="U110" i="3"/>
  <c r="AE110" i="3" s="1"/>
  <c r="P111" i="3"/>
  <c r="X111" i="3"/>
  <c r="S112" i="3"/>
  <c r="AA112" i="3"/>
  <c r="V113" i="3"/>
  <c r="Q114" i="3"/>
  <c r="Y114" i="3"/>
  <c r="T115" i="3"/>
  <c r="AB115" i="3"/>
  <c r="W116" i="3"/>
  <c r="R117" i="3"/>
  <c r="Z117" i="3"/>
  <c r="U118" i="3"/>
  <c r="AE118" i="3" s="1"/>
  <c r="P119" i="3"/>
  <c r="Q9" i="3"/>
  <c r="S23" i="3"/>
  <c r="S34" i="3"/>
  <c r="S39" i="3"/>
  <c r="U42" i="3"/>
  <c r="AE42" i="3" s="1"/>
  <c r="Y44" i="3"/>
  <c r="X47" i="3"/>
  <c r="T50" i="3"/>
  <c r="X52" i="3"/>
  <c r="Q55" i="3"/>
  <c r="R57" i="3"/>
  <c r="W58" i="3"/>
  <c r="Q60" i="3"/>
  <c r="T61" i="3"/>
  <c r="W62" i="3"/>
  <c r="Z63" i="3"/>
  <c r="P65" i="3"/>
  <c r="S66" i="3"/>
  <c r="V67" i="3"/>
  <c r="T68" i="3"/>
  <c r="U69" i="3"/>
  <c r="AE69" i="3" s="1"/>
  <c r="S70" i="3"/>
  <c r="T71" i="3"/>
  <c r="U72" i="3"/>
  <c r="AE72" i="3" s="1"/>
  <c r="S73" i="3"/>
  <c r="T74" i="3"/>
  <c r="R75" i="3"/>
  <c r="S76" i="3"/>
  <c r="R77" i="3"/>
  <c r="AB77" i="3"/>
  <c r="X78" i="3"/>
  <c r="T79" i="3"/>
  <c r="P80" i="3"/>
  <c r="Y80" i="3"/>
  <c r="V81" i="3"/>
  <c r="R82" i="3"/>
  <c r="AA82" i="3"/>
  <c r="W83" i="3"/>
  <c r="S84" i="3"/>
  <c r="AB84" i="3"/>
  <c r="X85" i="3"/>
  <c r="U86" i="3"/>
  <c r="AE86" i="3" s="1"/>
  <c r="Q87" i="3"/>
  <c r="Z87" i="3"/>
  <c r="V88" i="3"/>
  <c r="R89" i="3"/>
  <c r="AA89" i="3"/>
  <c r="W90" i="3"/>
  <c r="T91" i="3"/>
  <c r="P92" i="3"/>
  <c r="O92" i="3" s="1"/>
  <c r="X92" i="3"/>
  <c r="S93" i="3"/>
  <c r="AA93" i="3"/>
  <c r="V94" i="3"/>
  <c r="Q95" i="3"/>
  <c r="Y95" i="3"/>
  <c r="T96" i="3"/>
  <c r="AB96" i="3"/>
  <c r="W97" i="3"/>
  <c r="R98" i="3"/>
  <c r="Z98" i="3"/>
  <c r="U99" i="3"/>
  <c r="AE99" i="3" s="1"/>
  <c r="P100" i="3"/>
  <c r="O100" i="3" s="1"/>
  <c r="X100" i="3"/>
  <c r="S101" i="3"/>
  <c r="AA101" i="3"/>
  <c r="V102" i="3"/>
  <c r="Q103" i="3"/>
  <c r="Y103" i="3"/>
  <c r="T104" i="3"/>
  <c r="AB104" i="3"/>
  <c r="W105" i="3"/>
  <c r="R106" i="3"/>
  <c r="Z106" i="3"/>
  <c r="U107" i="3"/>
  <c r="AE107" i="3" s="1"/>
  <c r="P108" i="3"/>
  <c r="X108" i="3"/>
  <c r="S109" i="3"/>
  <c r="AA109" i="3"/>
  <c r="V110" i="3"/>
  <c r="Q111" i="3"/>
  <c r="Y111" i="3"/>
  <c r="T112" i="3"/>
  <c r="AB112" i="3"/>
  <c r="W113" i="3"/>
  <c r="R114" i="3"/>
  <c r="Z114" i="3"/>
  <c r="U115" i="3"/>
  <c r="AE115" i="3" s="1"/>
  <c r="Y9" i="3"/>
  <c r="AA23" i="3"/>
  <c r="Q36" i="3"/>
  <c r="T39" i="3"/>
  <c r="Y42" i="3"/>
  <c r="U45" i="3"/>
  <c r="AE45" i="3" s="1"/>
  <c r="Y47" i="3"/>
  <c r="U50" i="3"/>
  <c r="AE50" i="3" s="1"/>
  <c r="T53" i="3"/>
  <c r="R55" i="3"/>
  <c r="S57" i="3"/>
  <c r="P59" i="3"/>
  <c r="S60" i="3"/>
  <c r="V61" i="3"/>
  <c r="Y62" i="3"/>
  <c r="AB63" i="3"/>
  <c r="R65" i="3"/>
  <c r="U66" i="3"/>
  <c r="AE66" i="3" s="1"/>
  <c r="W67" i="3"/>
  <c r="U68" i="3"/>
  <c r="V69" i="3"/>
  <c r="W70" i="3"/>
  <c r="U71" i="3"/>
  <c r="AE71" i="3" s="1"/>
  <c r="V72" i="3"/>
  <c r="T73" i="3"/>
  <c r="U74" i="3"/>
  <c r="AE74" i="3" s="1"/>
  <c r="V75" i="3"/>
  <c r="T76" i="3"/>
  <c r="T77" i="3"/>
  <c r="P78" i="3"/>
  <c r="Y78" i="3"/>
  <c r="U79" i="3"/>
  <c r="AE79" i="3" s="1"/>
  <c r="Q80" i="3"/>
  <c r="AA80" i="3"/>
  <c r="W81" i="3"/>
  <c r="S82" i="3"/>
  <c r="AB82" i="3"/>
  <c r="X83" i="3"/>
  <c r="T84" i="3"/>
  <c r="P85" i="3"/>
  <c r="Z85" i="3"/>
  <c r="V86" i="3"/>
  <c r="R87" i="3"/>
  <c r="AA87" i="3"/>
  <c r="W88" i="3"/>
  <c r="S89" i="3"/>
  <c r="AB89" i="3"/>
  <c r="Y90" i="3"/>
  <c r="U91" i="3"/>
  <c r="Q92" i="3"/>
  <c r="Y92" i="3"/>
  <c r="T93" i="3"/>
  <c r="AB93" i="3"/>
  <c r="W94" i="3"/>
  <c r="R95" i="3"/>
  <c r="Z95" i="3"/>
  <c r="U96" i="3"/>
  <c r="P97" i="3"/>
  <c r="X97" i="3"/>
  <c r="S98" i="3"/>
  <c r="AA98" i="3"/>
  <c r="V99" i="3"/>
  <c r="Q100" i="3"/>
  <c r="Y100" i="3"/>
  <c r="T101" i="3"/>
  <c r="AB101" i="3"/>
  <c r="W102" i="3"/>
  <c r="R103" i="3"/>
  <c r="Z103" i="3"/>
  <c r="U104" i="3"/>
  <c r="AE104" i="3" s="1"/>
  <c r="P105" i="3"/>
  <c r="N105" i="3" s="1"/>
  <c r="X105" i="3"/>
  <c r="S106" i="3"/>
  <c r="AA106" i="3"/>
  <c r="V107" i="3"/>
  <c r="Q108" i="3"/>
  <c r="Y108" i="3"/>
  <c r="T109" i="3"/>
  <c r="AB109" i="3"/>
  <c r="W110" i="3"/>
  <c r="R111" i="3"/>
  <c r="Z111" i="3"/>
  <c r="U112" i="3"/>
  <c r="P113" i="3"/>
  <c r="X113" i="3"/>
  <c r="U13" i="3"/>
  <c r="AE13" i="3" s="1"/>
  <c r="V24" i="3"/>
  <c r="R36" i="3"/>
  <c r="U40" i="3"/>
  <c r="Z42" i="3"/>
  <c r="V45" i="3"/>
  <c r="U48" i="3"/>
  <c r="Y50" i="3"/>
  <c r="U53" i="3"/>
  <c r="AE53" i="3" s="1"/>
  <c r="Z55" i="3"/>
  <c r="T57" i="3"/>
  <c r="Q59" i="3"/>
  <c r="T60" i="3"/>
  <c r="W61" i="3"/>
  <c r="Z62" i="3"/>
  <c r="P64" i="3"/>
  <c r="S65" i="3"/>
  <c r="V66" i="3"/>
  <c r="X67" i="3"/>
  <c r="Y68" i="3"/>
  <c r="W69" i="3"/>
  <c r="X70" i="3"/>
  <c r="V71" i="3"/>
  <c r="W72" i="3"/>
  <c r="X73" i="3"/>
  <c r="V74" i="3"/>
  <c r="W75" i="3"/>
  <c r="U76" i="3"/>
  <c r="U77" i="3"/>
  <c r="AE77" i="3" s="1"/>
  <c r="Q78" i="3"/>
  <c r="Z78" i="3"/>
  <c r="V79" i="3"/>
  <c r="S80" i="3"/>
  <c r="AB80" i="3"/>
  <c r="X81" i="3"/>
  <c r="T82" i="3"/>
  <c r="P83" i="3"/>
  <c r="Y83" i="3"/>
  <c r="U84" i="3"/>
  <c r="R85" i="3"/>
  <c r="AA85" i="3"/>
  <c r="W86" i="3"/>
  <c r="S87" i="3"/>
  <c r="AB87" i="3"/>
  <c r="X88" i="3"/>
  <c r="T89" i="3"/>
  <c r="Q90" i="3"/>
  <c r="Z90" i="3"/>
  <c r="V91" i="3"/>
  <c r="R92" i="3"/>
  <c r="Z92" i="3"/>
  <c r="U93" i="3"/>
  <c r="P94" i="3"/>
  <c r="X94" i="3"/>
  <c r="S95" i="3"/>
  <c r="AA95" i="3"/>
  <c r="V96" i="3"/>
  <c r="Q97" i="3"/>
  <c r="Y97" i="3"/>
  <c r="T98" i="3"/>
  <c r="AB98" i="3"/>
  <c r="W99" i="3"/>
  <c r="R100" i="3"/>
  <c r="Z100" i="3"/>
  <c r="U101" i="3"/>
  <c r="AE101" i="3" s="1"/>
  <c r="P102" i="3"/>
  <c r="O102" i="3" s="1"/>
  <c r="X102" i="3"/>
  <c r="S103" i="3"/>
  <c r="AA103" i="3"/>
  <c r="V104" i="3"/>
  <c r="Q105" i="3"/>
  <c r="P14" i="3"/>
  <c r="O14" i="3" s="1"/>
  <c r="R28" i="3"/>
  <c r="Y36" i="3"/>
  <c r="V40" i="3"/>
  <c r="V43" i="3"/>
  <c r="Z45" i="3"/>
  <c r="V48" i="3"/>
  <c r="U51" i="3"/>
  <c r="V53" i="3"/>
  <c r="AA55" i="3"/>
  <c r="Z57" i="3"/>
  <c r="R59" i="3"/>
  <c r="U60" i="3"/>
  <c r="X61" i="3"/>
  <c r="AA62" i="3"/>
  <c r="Q64" i="3"/>
  <c r="T65" i="3"/>
  <c r="W66" i="3"/>
  <c r="Y67" i="3"/>
  <c r="Z68" i="3"/>
  <c r="X69" i="3"/>
  <c r="Y70" i="3"/>
  <c r="Z71" i="3"/>
  <c r="X72" i="3"/>
  <c r="Y73" i="3"/>
  <c r="W74" i="3"/>
  <c r="X75" i="3"/>
  <c r="Y76" i="3"/>
  <c r="V77" i="3"/>
  <c r="R78" i="3"/>
  <c r="AA78" i="3"/>
  <c r="X79" i="3"/>
  <c r="T80" i="3"/>
  <c r="P81" i="3"/>
  <c r="Y81" i="3"/>
  <c r="U82" i="3"/>
  <c r="AE82" i="3" s="1"/>
  <c r="Q83" i="3"/>
  <c r="Z83" i="3"/>
  <c r="W84" i="3"/>
  <c r="S85" i="3"/>
  <c r="AB85" i="3"/>
  <c r="X86" i="3"/>
  <c r="T87" i="3"/>
  <c r="P88" i="3"/>
  <c r="Y88" i="3"/>
  <c r="V89" i="3"/>
  <c r="R90" i="3"/>
  <c r="AA90" i="3"/>
  <c r="W91" i="3"/>
  <c r="S92" i="3"/>
  <c r="AA92" i="3"/>
  <c r="V93" i="3"/>
  <c r="Q94" i="3"/>
  <c r="Y94" i="3"/>
  <c r="T95" i="3"/>
  <c r="AB95" i="3"/>
  <c r="W96" i="3"/>
  <c r="R97" i="3"/>
  <c r="Z97" i="3"/>
  <c r="U98" i="3"/>
  <c r="AE98" i="3" s="1"/>
  <c r="P99" i="3"/>
  <c r="X99" i="3"/>
  <c r="S100" i="3"/>
  <c r="AA100" i="3"/>
  <c r="V101" i="3"/>
  <c r="Q102" i="3"/>
  <c r="Y102" i="3"/>
  <c r="T103" i="3"/>
  <c r="AB103" i="3"/>
  <c r="W104" i="3"/>
  <c r="R105" i="3"/>
  <c r="Z105" i="3"/>
  <c r="U106" i="3"/>
  <c r="AE106" i="3" s="1"/>
  <c r="P107" i="3"/>
  <c r="X14" i="3"/>
  <c r="Z28" i="3"/>
  <c r="AB37" i="3"/>
  <c r="W40" i="3"/>
  <c r="W43" i="3"/>
  <c r="V46" i="3"/>
  <c r="W48" i="3"/>
  <c r="V51" i="3"/>
  <c r="Q54" i="3"/>
  <c r="AB55" i="3"/>
  <c r="AA57" i="3"/>
  <c r="V59" i="3"/>
  <c r="Y60" i="3"/>
  <c r="AB61" i="3"/>
  <c r="R63" i="3"/>
  <c r="U64" i="3"/>
  <c r="AE64" i="3" s="1"/>
  <c r="X65" i="3"/>
  <c r="AA66" i="3"/>
  <c r="Z67" i="3"/>
  <c r="AA68" i="3"/>
  <c r="AB69" i="3"/>
  <c r="Z70" i="3"/>
  <c r="AA71" i="3"/>
  <c r="Y72" i="3"/>
  <c r="Z73" i="3"/>
  <c r="AA74" i="3"/>
  <c r="Y75" i="3"/>
  <c r="Z76" i="3"/>
  <c r="T18" i="3"/>
  <c r="U29" i="3"/>
  <c r="P38" i="3"/>
  <c r="N38" i="3" s="1"/>
  <c r="W41" i="3"/>
  <c r="X43" i="3"/>
  <c r="W46" i="3"/>
  <c r="V49" i="3"/>
  <c r="W51" i="3"/>
  <c r="T54" i="3"/>
  <c r="V56" i="3"/>
  <c r="AB57" i="3"/>
  <c r="X59" i="3"/>
  <c r="AA60" i="3"/>
  <c r="AB18" i="3"/>
  <c r="Q33" i="3"/>
  <c r="Q38" i="3"/>
  <c r="X41" i="3"/>
  <c r="W44" i="3"/>
  <c r="X46" i="3"/>
  <c r="W49" i="3"/>
  <c r="S52" i="3"/>
  <c r="U54" i="3"/>
  <c r="AE54" i="3" s="1"/>
  <c r="W56" i="3"/>
  <c r="U58" i="3"/>
  <c r="AE58" i="3" s="1"/>
  <c r="Y59" i="3"/>
  <c r="AB60" i="3"/>
  <c r="R62" i="3"/>
  <c r="U63" i="3"/>
  <c r="AE63" i="3" s="1"/>
  <c r="X64" i="3"/>
  <c r="AA65" i="3"/>
  <c r="Q67" i="3"/>
  <c r="R68" i="3"/>
  <c r="P69" i="3"/>
  <c r="N69" i="3" s="1"/>
  <c r="Q70" i="3"/>
  <c r="R71" i="3"/>
  <c r="P72" i="3"/>
  <c r="Q73" i="3"/>
  <c r="AB73" i="3"/>
  <c r="P75" i="3"/>
  <c r="Q76" i="3"/>
  <c r="AB76" i="3"/>
  <c r="Z77" i="3"/>
  <c r="V78" i="3"/>
  <c r="R79" i="3"/>
  <c r="AA79" i="3"/>
  <c r="W80" i="3"/>
  <c r="S81" i="3"/>
  <c r="AB81" i="3"/>
  <c r="Y82" i="3"/>
  <c r="U83" i="3"/>
  <c r="Q84" i="3"/>
  <c r="Z84" i="3"/>
  <c r="V85" i="3"/>
  <c r="R86" i="3"/>
  <c r="AA86" i="3"/>
  <c r="X87" i="3"/>
  <c r="T88" i="3"/>
  <c r="P89" i="3"/>
  <c r="Q62" i="3"/>
  <c r="AA70" i="3"/>
  <c r="X77" i="3"/>
  <c r="V80" i="3"/>
  <c r="T83" i="3"/>
  <c r="Q86" i="3"/>
  <c r="AB88" i="3"/>
  <c r="P91" i="3"/>
  <c r="AB92" i="3"/>
  <c r="T94" i="3"/>
  <c r="Q96" i="3"/>
  <c r="AA97" i="3"/>
  <c r="S99" i="3"/>
  <c r="P101" i="3"/>
  <c r="AD101" i="3" s="1"/>
  <c r="Z102" i="3"/>
  <c r="R104" i="3"/>
  <c r="AA105" i="3"/>
  <c r="Q107" i="3"/>
  <c r="R108" i="3"/>
  <c r="P109" i="3"/>
  <c r="Q110" i="3"/>
  <c r="AB110" i="3"/>
  <c r="P112" i="3"/>
  <c r="Q113" i="3"/>
  <c r="AB113" i="3"/>
  <c r="AA114" i="3"/>
  <c r="X115" i="3"/>
  <c r="T116" i="3"/>
  <c r="P117" i="3"/>
  <c r="Y117" i="3"/>
  <c r="V118" i="3"/>
  <c r="R119" i="3"/>
  <c r="Z119" i="3"/>
  <c r="U120" i="3"/>
  <c r="AE120" i="3" s="1"/>
  <c r="P121" i="3"/>
  <c r="X121" i="3"/>
  <c r="S122" i="3"/>
  <c r="AA122" i="3"/>
  <c r="V123" i="3"/>
  <c r="Q124" i="3"/>
  <c r="Y124" i="3"/>
  <c r="T125" i="3"/>
  <c r="AB125" i="3"/>
  <c r="W126" i="3"/>
  <c r="R127" i="3"/>
  <c r="Z127" i="3"/>
  <c r="U128" i="3"/>
  <c r="P129" i="3"/>
  <c r="X129" i="3"/>
  <c r="S130" i="3"/>
  <c r="AA130" i="3"/>
  <c r="V131" i="3"/>
  <c r="Q132" i="3"/>
  <c r="Y132" i="3"/>
  <c r="T133" i="3"/>
  <c r="AB133" i="3"/>
  <c r="W134" i="3"/>
  <c r="R135" i="3"/>
  <c r="Z135" i="3"/>
  <c r="U136" i="3"/>
  <c r="AE136" i="3" s="1"/>
  <c r="P137" i="3"/>
  <c r="X137" i="3"/>
  <c r="S138" i="3"/>
  <c r="AA138" i="3"/>
  <c r="V139" i="3"/>
  <c r="Q140" i="3"/>
  <c r="Y140" i="3"/>
  <c r="T141" i="3"/>
  <c r="AB141" i="3"/>
  <c r="W142" i="3"/>
  <c r="R143" i="3"/>
  <c r="Z143" i="3"/>
  <c r="U144" i="3"/>
  <c r="AE144" i="3" s="1"/>
  <c r="P145" i="3"/>
  <c r="X145" i="3"/>
  <c r="S146" i="3"/>
  <c r="AA146" i="3"/>
  <c r="V147" i="3"/>
  <c r="Q148" i="3"/>
  <c r="Y148" i="3"/>
  <c r="T149" i="3"/>
  <c r="AB149" i="3"/>
  <c r="W150" i="3"/>
  <c r="R151" i="3"/>
  <c r="Z151" i="3"/>
  <c r="U152" i="3"/>
  <c r="AE152" i="3" s="1"/>
  <c r="P153" i="3"/>
  <c r="X153" i="3"/>
  <c r="S154" i="3"/>
  <c r="AA154" i="3"/>
  <c r="V155" i="3"/>
  <c r="Q156" i="3"/>
  <c r="Y156" i="3"/>
  <c r="T157" i="3"/>
  <c r="AB157" i="3"/>
  <c r="W158" i="3"/>
  <c r="R159" i="3"/>
  <c r="Z159" i="3"/>
  <c r="U160" i="3"/>
  <c r="AE160" i="3" s="1"/>
  <c r="P161" i="3"/>
  <c r="X161" i="3"/>
  <c r="S162" i="3"/>
  <c r="AA162" i="3"/>
  <c r="V163" i="3"/>
  <c r="Q164" i="3"/>
  <c r="Y164" i="3"/>
  <c r="T165" i="3"/>
  <c r="AB165" i="3"/>
  <c r="W166" i="3"/>
  <c r="R167" i="3"/>
  <c r="Z167" i="3"/>
  <c r="U168" i="3"/>
  <c r="P169" i="3"/>
  <c r="T63" i="3"/>
  <c r="AB71" i="3"/>
  <c r="S78" i="3"/>
  <c r="Q81" i="3"/>
  <c r="AB83" i="3"/>
  <c r="Y86" i="3"/>
  <c r="W89" i="3"/>
  <c r="Q91" i="3"/>
  <c r="P93" i="3"/>
  <c r="Z94" i="3"/>
  <c r="R96" i="3"/>
  <c r="AB97" i="3"/>
  <c r="Y99" i="3"/>
  <c r="Q101" i="3"/>
  <c r="AA102" i="3"/>
  <c r="X104" i="3"/>
  <c r="AB105" i="3"/>
  <c r="R107" i="3"/>
  <c r="S108" i="3"/>
  <c r="Q109" i="3"/>
  <c r="R110" i="3"/>
  <c r="S111" i="3"/>
  <c r="Q112" i="3"/>
  <c r="R113" i="3"/>
  <c r="P114" i="3"/>
  <c r="AB114" i="3"/>
  <c r="Y115" i="3"/>
  <c r="U116" i="3"/>
  <c r="Q117" i="3"/>
  <c r="AA117" i="3"/>
  <c r="W118" i="3"/>
  <c r="S119" i="3"/>
  <c r="AA119" i="3"/>
  <c r="V120" i="3"/>
  <c r="Q121" i="3"/>
  <c r="Y121" i="3"/>
  <c r="T122" i="3"/>
  <c r="AB122" i="3"/>
  <c r="W123" i="3"/>
  <c r="R124" i="3"/>
  <c r="Z124" i="3"/>
  <c r="U125" i="3"/>
  <c r="AE125" i="3" s="1"/>
  <c r="P126" i="3"/>
  <c r="X126" i="3"/>
  <c r="S127" i="3"/>
  <c r="AA127" i="3"/>
  <c r="V128" i="3"/>
  <c r="Q129" i="3"/>
  <c r="Y129" i="3"/>
  <c r="T130" i="3"/>
  <c r="AB130" i="3"/>
  <c r="W131" i="3"/>
  <c r="R132" i="3"/>
  <c r="Z132" i="3"/>
  <c r="U133" i="3"/>
  <c r="P134" i="3"/>
  <c r="X134" i="3"/>
  <c r="S135" i="3"/>
  <c r="AA135" i="3"/>
  <c r="V136" i="3"/>
  <c r="Q137" i="3"/>
  <c r="Y137" i="3"/>
  <c r="T138" i="3"/>
  <c r="AB138" i="3"/>
  <c r="W139" i="3"/>
  <c r="R140" i="3"/>
  <c r="Z140" i="3"/>
  <c r="U141" i="3"/>
  <c r="P142" i="3"/>
  <c r="AD142" i="3" s="1"/>
  <c r="X142" i="3"/>
  <c r="S143" i="3"/>
  <c r="AA143" i="3"/>
  <c r="V144" i="3"/>
  <c r="Q145" i="3"/>
  <c r="Y145" i="3"/>
  <c r="T146" i="3"/>
  <c r="AB146" i="3"/>
  <c r="W147" i="3"/>
  <c r="R148" i="3"/>
  <c r="Z148" i="3"/>
  <c r="U149" i="3"/>
  <c r="AE149" i="3" s="1"/>
  <c r="P150" i="3"/>
  <c r="O150" i="3" s="1"/>
  <c r="X150" i="3"/>
  <c r="S151" i="3"/>
  <c r="AA151" i="3"/>
  <c r="V152" i="3"/>
  <c r="Q153" i="3"/>
  <c r="Y153" i="3"/>
  <c r="T154" i="3"/>
  <c r="AB154" i="3"/>
  <c r="W155" i="3"/>
  <c r="R156" i="3"/>
  <c r="Z156" i="3"/>
  <c r="U157" i="3"/>
  <c r="AE157" i="3" s="1"/>
  <c r="P158" i="3"/>
  <c r="X158" i="3"/>
  <c r="S159" i="3"/>
  <c r="AA159" i="3"/>
  <c r="V160" i="3"/>
  <c r="Q161" i="3"/>
  <c r="Y161" i="3"/>
  <c r="T162" i="3"/>
  <c r="AB162" i="3"/>
  <c r="W163" i="3"/>
  <c r="R164" i="3"/>
  <c r="Z164" i="3"/>
  <c r="U165" i="3"/>
  <c r="AE165" i="3" s="1"/>
  <c r="P166" i="3"/>
  <c r="X166" i="3"/>
  <c r="S167" i="3"/>
  <c r="W64" i="3"/>
  <c r="P73" i="3"/>
  <c r="U78" i="3"/>
  <c r="AE78" i="3" s="1"/>
  <c r="R81" i="3"/>
  <c r="P84" i="3"/>
  <c r="Z86" i="3"/>
  <c r="X89" i="3"/>
  <c r="X91" i="3"/>
  <c r="Q93" i="3"/>
  <c r="AA94" i="3"/>
  <c r="X96" i="3"/>
  <c r="P98" i="3"/>
  <c r="Z99" i="3"/>
  <c r="W101" i="3"/>
  <c r="AB102" i="3"/>
  <c r="Y104" i="3"/>
  <c r="P106" i="3"/>
  <c r="AD106" i="3" s="1"/>
  <c r="S107" i="3"/>
  <c r="T108" i="3"/>
  <c r="U109" i="3"/>
  <c r="AE109" i="3" s="1"/>
  <c r="S110" i="3"/>
  <c r="T111" i="3"/>
  <c r="R112" i="3"/>
  <c r="S113" i="3"/>
  <c r="S114" i="3"/>
  <c r="P115" i="3"/>
  <c r="Z115" i="3"/>
  <c r="V116" i="3"/>
  <c r="S117" i="3"/>
  <c r="AB117" i="3"/>
  <c r="X118" i="3"/>
  <c r="T119" i="3"/>
  <c r="AB119" i="3"/>
  <c r="W120" i="3"/>
  <c r="R121" i="3"/>
  <c r="Z121" i="3"/>
  <c r="U122" i="3"/>
  <c r="AE122" i="3" s="1"/>
  <c r="P123" i="3"/>
  <c r="X123" i="3"/>
  <c r="S124" i="3"/>
  <c r="AA124" i="3"/>
  <c r="V125" i="3"/>
  <c r="Q126" i="3"/>
  <c r="Y126" i="3"/>
  <c r="T127" i="3"/>
  <c r="AB127" i="3"/>
  <c r="W128" i="3"/>
  <c r="R129" i="3"/>
  <c r="Z129" i="3"/>
  <c r="U130" i="3"/>
  <c r="AE130" i="3" s="1"/>
  <c r="P131" i="3"/>
  <c r="X131" i="3"/>
  <c r="S132" i="3"/>
  <c r="AA132" i="3"/>
  <c r="V133" i="3"/>
  <c r="Q134" i="3"/>
  <c r="Y134" i="3"/>
  <c r="T135" i="3"/>
  <c r="AB135" i="3"/>
  <c r="W136" i="3"/>
  <c r="R137" i="3"/>
  <c r="Z137" i="3"/>
  <c r="U138" i="3"/>
  <c r="AE138" i="3" s="1"/>
  <c r="P139" i="3"/>
  <c r="X139" i="3"/>
  <c r="S140" i="3"/>
  <c r="AA140" i="3"/>
  <c r="V141" i="3"/>
  <c r="Q142" i="3"/>
  <c r="Y142" i="3"/>
  <c r="T143" i="3"/>
  <c r="AB143" i="3"/>
  <c r="W144" i="3"/>
  <c r="R145" i="3"/>
  <c r="Z145" i="3"/>
  <c r="U146" i="3"/>
  <c r="AE146" i="3" s="1"/>
  <c r="P147" i="3"/>
  <c r="N147" i="3" s="1"/>
  <c r="X147" i="3"/>
  <c r="S148" i="3"/>
  <c r="AA148" i="3"/>
  <c r="V149" i="3"/>
  <c r="Q150" i="3"/>
  <c r="Y150" i="3"/>
  <c r="T151" i="3"/>
  <c r="AB151" i="3"/>
  <c r="W152" i="3"/>
  <c r="R153" i="3"/>
  <c r="Z153" i="3"/>
  <c r="U154" i="3"/>
  <c r="AE154" i="3" s="1"/>
  <c r="P155" i="3"/>
  <c r="X155" i="3"/>
  <c r="Z65" i="3"/>
  <c r="AA73" i="3"/>
  <c r="P79" i="3"/>
  <c r="Z81" i="3"/>
  <c r="X84" i="3"/>
  <c r="U87" i="3"/>
  <c r="AE87" i="3" s="1"/>
  <c r="Y89" i="3"/>
  <c r="Y91" i="3"/>
  <c r="W93" i="3"/>
  <c r="AB94" i="3"/>
  <c r="Y96" i="3"/>
  <c r="V98" i="3"/>
  <c r="AA99" i="3"/>
  <c r="X101" i="3"/>
  <c r="U103" i="3"/>
  <c r="Z104" i="3"/>
  <c r="T106" i="3"/>
  <c r="W107" i="3"/>
  <c r="U108" i="3"/>
  <c r="V109" i="3"/>
  <c r="T110" i="3"/>
  <c r="U111" i="3"/>
  <c r="AE111" i="3" s="1"/>
  <c r="V112" i="3"/>
  <c r="T113" i="3"/>
  <c r="T114" i="3"/>
  <c r="Q115" i="3"/>
  <c r="AA115" i="3"/>
  <c r="X116" i="3"/>
  <c r="T117" i="3"/>
  <c r="P118" i="3"/>
  <c r="N118" i="3" s="1"/>
  <c r="Y118" i="3"/>
  <c r="U119" i="3"/>
  <c r="AE119" i="3" s="1"/>
  <c r="P120" i="3"/>
  <c r="N120" i="3" s="1"/>
  <c r="X120" i="3"/>
  <c r="S121" i="3"/>
  <c r="AA121" i="3"/>
  <c r="V122" i="3"/>
  <c r="Q123" i="3"/>
  <c r="Y123" i="3"/>
  <c r="T124" i="3"/>
  <c r="AB124" i="3"/>
  <c r="W125" i="3"/>
  <c r="R126" i="3"/>
  <c r="Z126" i="3"/>
  <c r="U127" i="3"/>
  <c r="AE127" i="3" s="1"/>
  <c r="P128" i="3"/>
  <c r="X128" i="3"/>
  <c r="S129" i="3"/>
  <c r="AA129" i="3"/>
  <c r="V130" i="3"/>
  <c r="Q131" i="3"/>
  <c r="Y131" i="3"/>
  <c r="T132" i="3"/>
  <c r="AB132" i="3"/>
  <c r="W133" i="3"/>
  <c r="R134" i="3"/>
  <c r="Z134" i="3"/>
  <c r="U135" i="3"/>
  <c r="AE135" i="3" s="1"/>
  <c r="P136" i="3"/>
  <c r="X136" i="3"/>
  <c r="S137" i="3"/>
  <c r="AA137" i="3"/>
  <c r="V138" i="3"/>
  <c r="Q139" i="3"/>
  <c r="Y139" i="3"/>
  <c r="T140" i="3"/>
  <c r="AB140" i="3"/>
  <c r="W141" i="3"/>
  <c r="R142" i="3"/>
  <c r="Z142" i="3"/>
  <c r="U143" i="3"/>
  <c r="AE143" i="3" s="1"/>
  <c r="P144" i="3"/>
  <c r="X144" i="3"/>
  <c r="S145" i="3"/>
  <c r="AA145" i="3"/>
  <c r="V146" i="3"/>
  <c r="Q147" i="3"/>
  <c r="Y147" i="3"/>
  <c r="T148" i="3"/>
  <c r="AB148" i="3"/>
  <c r="W149" i="3"/>
  <c r="R150" i="3"/>
  <c r="Z150" i="3"/>
  <c r="U151" i="3"/>
  <c r="AE151" i="3" s="1"/>
  <c r="P152" i="3"/>
  <c r="AD152" i="3" s="1"/>
  <c r="P67" i="3"/>
  <c r="O67" i="3" s="1"/>
  <c r="AB74" i="3"/>
  <c r="Q79" i="3"/>
  <c r="AA81" i="3"/>
  <c r="Y84" i="3"/>
  <c r="V87" i="3"/>
  <c r="S90" i="3"/>
  <c r="Z91" i="3"/>
  <c r="X93" i="3"/>
  <c r="U95" i="3"/>
  <c r="AE95" i="3" s="1"/>
  <c r="Z96" i="3"/>
  <c r="W98" i="3"/>
  <c r="T100" i="3"/>
  <c r="Y101" i="3"/>
  <c r="V103" i="3"/>
  <c r="S105" i="3"/>
  <c r="V106" i="3"/>
  <c r="X107" i="3"/>
  <c r="V108" i="3"/>
  <c r="W109" i="3"/>
  <c r="X110" i="3"/>
  <c r="V111" i="3"/>
  <c r="W112" i="3"/>
  <c r="U113" i="3"/>
  <c r="U114" i="3"/>
  <c r="AE114" i="3" s="1"/>
  <c r="R115" i="3"/>
  <c r="P116" i="3"/>
  <c r="Y116" i="3"/>
  <c r="U117" i="3"/>
  <c r="AE117" i="3" s="1"/>
  <c r="Q118" i="3"/>
  <c r="Z118" i="3"/>
  <c r="V119" i="3"/>
  <c r="Q120" i="3"/>
  <c r="Y120" i="3"/>
  <c r="T121" i="3"/>
  <c r="AB121" i="3"/>
  <c r="W122" i="3"/>
  <c r="R123" i="3"/>
  <c r="Z123" i="3"/>
  <c r="U124" i="3"/>
  <c r="AE124" i="3" s="1"/>
  <c r="P125" i="3"/>
  <c r="X125" i="3"/>
  <c r="S126" i="3"/>
  <c r="AA126" i="3"/>
  <c r="V127" i="3"/>
  <c r="Q128" i="3"/>
  <c r="Y128" i="3"/>
  <c r="T129" i="3"/>
  <c r="AB129" i="3"/>
  <c r="W130" i="3"/>
  <c r="R131" i="3"/>
  <c r="Z131" i="3"/>
  <c r="U132" i="3"/>
  <c r="AE132" i="3" s="1"/>
  <c r="P133" i="3"/>
  <c r="X133" i="3"/>
  <c r="S134" i="3"/>
  <c r="AA134" i="3"/>
  <c r="V135" i="3"/>
  <c r="Q136" i="3"/>
  <c r="Y136" i="3"/>
  <c r="T137" i="3"/>
  <c r="AB137" i="3"/>
  <c r="W138" i="3"/>
  <c r="R139" i="3"/>
  <c r="Z139" i="3"/>
  <c r="U140" i="3"/>
  <c r="AE140" i="3" s="1"/>
  <c r="P141" i="3"/>
  <c r="O141" i="3" s="1"/>
  <c r="X141" i="3"/>
  <c r="S142" i="3"/>
  <c r="AA142" i="3"/>
  <c r="Q68" i="3"/>
  <c r="Z75" i="3"/>
  <c r="Y79" i="3"/>
  <c r="V82" i="3"/>
  <c r="T85" i="3"/>
  <c r="Q88" i="3"/>
  <c r="T90" i="3"/>
  <c r="T92" i="3"/>
  <c r="Y93" i="3"/>
  <c r="V95" i="3"/>
  <c r="S97" i="3"/>
  <c r="X98" i="3"/>
  <c r="U100" i="3"/>
  <c r="AE100" i="3" s="1"/>
  <c r="R102" i="3"/>
  <c r="W103" i="3"/>
  <c r="T105" i="3"/>
  <c r="W106" i="3"/>
  <c r="Y107" i="3"/>
  <c r="Z108" i="3"/>
  <c r="X109" i="3"/>
  <c r="Y110" i="3"/>
  <c r="W111" i="3"/>
  <c r="X112" i="3"/>
  <c r="Y113" i="3"/>
  <c r="V114" i="3"/>
  <c r="S115" i="3"/>
  <c r="Q116" i="3"/>
  <c r="Z116" i="3"/>
  <c r="V117" i="3"/>
  <c r="R118" i="3"/>
  <c r="AA118" i="3"/>
  <c r="W119" i="3"/>
  <c r="R120" i="3"/>
  <c r="Z120" i="3"/>
  <c r="U121" i="3"/>
  <c r="P122" i="3"/>
  <c r="X122" i="3"/>
  <c r="S123" i="3"/>
  <c r="AA123" i="3"/>
  <c r="V124" i="3"/>
  <c r="Q125" i="3"/>
  <c r="Y125" i="3"/>
  <c r="T126" i="3"/>
  <c r="AB126" i="3"/>
  <c r="W127" i="3"/>
  <c r="R128" i="3"/>
  <c r="Z128" i="3"/>
  <c r="U129" i="3"/>
  <c r="P130" i="3"/>
  <c r="X130" i="3"/>
  <c r="S131" i="3"/>
  <c r="AA131" i="3"/>
  <c r="V132" i="3"/>
  <c r="Q133" i="3"/>
  <c r="Y133" i="3"/>
  <c r="T134" i="3"/>
  <c r="AB134" i="3"/>
  <c r="W135" i="3"/>
  <c r="R136" i="3"/>
  <c r="Z136" i="3"/>
  <c r="U137" i="3"/>
  <c r="AE137" i="3" s="1"/>
  <c r="P138" i="3"/>
  <c r="O138" i="3" s="1"/>
  <c r="X138" i="3"/>
  <c r="S139" i="3"/>
  <c r="AA139" i="3"/>
  <c r="AB68" i="3"/>
  <c r="AA76" i="3"/>
  <c r="Z79" i="3"/>
  <c r="W82" i="3"/>
  <c r="U85" i="3"/>
  <c r="AE85" i="3" s="1"/>
  <c r="S88" i="3"/>
  <c r="U90" i="3"/>
  <c r="U92" i="3"/>
  <c r="AE92" i="3" s="1"/>
  <c r="R94" i="3"/>
  <c r="W95" i="3"/>
  <c r="T97" i="3"/>
  <c r="Q99" i="3"/>
  <c r="V100" i="3"/>
  <c r="S102" i="3"/>
  <c r="P104" i="3"/>
  <c r="U105" i="3"/>
  <c r="AE105" i="3" s="1"/>
  <c r="X106" i="3"/>
  <c r="Z107" i="3"/>
  <c r="AA108" i="3"/>
  <c r="Y109" i="3"/>
  <c r="Z110" i="3"/>
  <c r="AA111" i="3"/>
  <c r="Y112" i="3"/>
  <c r="Z113" i="3"/>
  <c r="W114" i="3"/>
  <c r="V115" i="3"/>
  <c r="R116" i="3"/>
  <c r="P70" i="3"/>
  <c r="W77" i="3"/>
  <c r="U80" i="3"/>
  <c r="R83" i="3"/>
  <c r="P86" i="3"/>
  <c r="AA88" i="3"/>
  <c r="AB90" i="3"/>
  <c r="V92" i="3"/>
  <c r="S94" i="3"/>
  <c r="P96" i="3"/>
  <c r="AD96" i="3" s="1"/>
  <c r="U97" i="3"/>
  <c r="AE97" i="3" s="1"/>
  <c r="R99" i="3"/>
  <c r="AB100" i="3"/>
  <c r="T102" i="3"/>
  <c r="Q104" i="3"/>
  <c r="Y105" i="3"/>
  <c r="AB106" i="3"/>
  <c r="AA107" i="3"/>
  <c r="AB108" i="3"/>
  <c r="P110" i="3"/>
  <c r="AA110" i="3"/>
  <c r="AB111" i="3"/>
  <c r="Z112" i="3"/>
  <c r="AA113" i="3"/>
  <c r="X114" i="3"/>
  <c r="W115" i="3"/>
  <c r="S116" i="3"/>
  <c r="AB116" i="3"/>
  <c r="X117" i="3"/>
  <c r="T118" i="3"/>
  <c r="Q119" i="3"/>
  <c r="Y119" i="3"/>
  <c r="T120" i="3"/>
  <c r="AB120" i="3"/>
  <c r="W121" i="3"/>
  <c r="R122" i="3"/>
  <c r="Z122" i="3"/>
  <c r="U123" i="3"/>
  <c r="P124" i="3"/>
  <c r="X124" i="3"/>
  <c r="S125" i="3"/>
  <c r="AA116" i="3"/>
  <c r="Q122" i="3"/>
  <c r="U126" i="3"/>
  <c r="AA128" i="3"/>
  <c r="T131" i="3"/>
  <c r="Z133" i="3"/>
  <c r="S136" i="3"/>
  <c r="Y138" i="3"/>
  <c r="X140" i="3"/>
  <c r="U142" i="3"/>
  <c r="AE142" i="3" s="1"/>
  <c r="Y143" i="3"/>
  <c r="AB144" i="3"/>
  <c r="R146" i="3"/>
  <c r="U147" i="3"/>
  <c r="AE147" i="3" s="1"/>
  <c r="X148" i="3"/>
  <c r="AA149" i="3"/>
  <c r="Q151" i="3"/>
  <c r="T152" i="3"/>
  <c r="U153" i="3"/>
  <c r="V154" i="3"/>
  <c r="T155" i="3"/>
  <c r="T156" i="3"/>
  <c r="Q157" i="3"/>
  <c r="AA157" i="3"/>
  <c r="Z158" i="3"/>
  <c r="W159" i="3"/>
  <c r="T160" i="3"/>
  <c r="S161" i="3"/>
  <c r="P162" i="3"/>
  <c r="Z162" i="3"/>
  <c r="Y163" i="3"/>
  <c r="V164" i="3"/>
  <c r="S165" i="3"/>
  <c r="R166" i="3"/>
  <c r="AB166" i="3"/>
  <c r="Y167" i="3"/>
  <c r="V168" i="3"/>
  <c r="R169" i="3"/>
  <c r="Z169" i="3"/>
  <c r="U170" i="3"/>
  <c r="AE170" i="3" s="1"/>
  <c r="P171" i="3"/>
  <c r="N171" i="3" s="1"/>
  <c r="X171" i="3"/>
  <c r="S172" i="3"/>
  <c r="AA172" i="3"/>
  <c r="V173" i="3"/>
  <c r="Q174" i="3"/>
  <c r="Y174" i="3"/>
  <c r="T175" i="3"/>
  <c r="AB175" i="3"/>
  <c r="W176" i="3"/>
  <c r="R177" i="3"/>
  <c r="Z177" i="3"/>
  <c r="U178" i="3"/>
  <c r="AE178" i="3" s="1"/>
  <c r="P179" i="3"/>
  <c r="X179" i="3"/>
  <c r="S180" i="3"/>
  <c r="AA180" i="3"/>
  <c r="V181" i="3"/>
  <c r="Q182" i="3"/>
  <c r="Y182" i="3"/>
  <c r="T183" i="3"/>
  <c r="AB183" i="3"/>
  <c r="W184" i="3"/>
  <c r="R185" i="3"/>
  <c r="Z185" i="3"/>
  <c r="U186" i="3"/>
  <c r="AE186" i="3" s="1"/>
  <c r="P187" i="3"/>
  <c r="X187" i="3"/>
  <c r="S188" i="3"/>
  <c r="AA188" i="3"/>
  <c r="V189" i="3"/>
  <c r="Q190" i="3"/>
  <c r="Y190" i="3"/>
  <c r="T191" i="3"/>
  <c r="AB191" i="3"/>
  <c r="W192" i="3"/>
  <c r="R193" i="3"/>
  <c r="Z193" i="3"/>
  <c r="U194" i="3"/>
  <c r="AE194" i="3" s="1"/>
  <c r="P195" i="3"/>
  <c r="N195" i="3" s="1"/>
  <c r="X195" i="3"/>
  <c r="S196" i="3"/>
  <c r="AA196" i="3"/>
  <c r="V197" i="3"/>
  <c r="Q198" i="3"/>
  <c r="Y198" i="3"/>
  <c r="T199" i="3"/>
  <c r="AB199" i="3"/>
  <c r="W200" i="3"/>
  <c r="R201" i="3"/>
  <c r="Z201" i="3"/>
  <c r="U202" i="3"/>
  <c r="AE202" i="3" s="1"/>
  <c r="P203" i="3"/>
  <c r="X203" i="3"/>
  <c r="S204" i="3"/>
  <c r="AA204" i="3"/>
  <c r="V205" i="3"/>
  <c r="Q206" i="3"/>
  <c r="Y206" i="3"/>
  <c r="T207" i="3"/>
  <c r="AB207" i="3"/>
  <c r="W208" i="3"/>
  <c r="R209" i="3"/>
  <c r="Z209" i="3"/>
  <c r="U210" i="3"/>
  <c r="AE210" i="3" s="1"/>
  <c r="P211" i="3"/>
  <c r="N211" i="3" s="1"/>
  <c r="X211" i="3"/>
  <c r="S212" i="3"/>
  <c r="AA212" i="3"/>
  <c r="V213" i="3"/>
  <c r="Q214" i="3"/>
  <c r="Y214" i="3"/>
  <c r="T215" i="3"/>
  <c r="AB215" i="3"/>
  <c r="W216" i="3"/>
  <c r="R217" i="3"/>
  <c r="Z217" i="3"/>
  <c r="U218" i="3"/>
  <c r="P219" i="3"/>
  <c r="X219" i="3"/>
  <c r="S220" i="3"/>
  <c r="AA220" i="3"/>
  <c r="V221" i="3"/>
  <c r="Q222" i="3"/>
  <c r="Y222" i="3"/>
  <c r="T223" i="3"/>
  <c r="AB223" i="3"/>
  <c r="W224" i="3"/>
  <c r="R225" i="3"/>
  <c r="Z225" i="3"/>
  <c r="U226" i="3"/>
  <c r="AE226" i="3" s="1"/>
  <c r="P227" i="3"/>
  <c r="W117" i="3"/>
  <c r="Y122" i="3"/>
  <c r="V126" i="3"/>
  <c r="AB128" i="3"/>
  <c r="U131" i="3"/>
  <c r="AE131" i="3" s="1"/>
  <c r="AA133" i="3"/>
  <c r="T136" i="3"/>
  <c r="Z138" i="3"/>
  <c r="Q141" i="3"/>
  <c r="V142" i="3"/>
  <c r="Q144" i="3"/>
  <c r="T145" i="3"/>
  <c r="W146" i="3"/>
  <c r="Z147" i="3"/>
  <c r="P149" i="3"/>
  <c r="S150" i="3"/>
  <c r="V151" i="3"/>
  <c r="X152" i="3"/>
  <c r="V153" i="3"/>
  <c r="W154" i="3"/>
  <c r="U155" i="3"/>
  <c r="U156" i="3"/>
  <c r="AE156" i="3" s="1"/>
  <c r="R157" i="3"/>
  <c r="Q158" i="3"/>
  <c r="AA158" i="3"/>
  <c r="X159" i="3"/>
  <c r="W160" i="3"/>
  <c r="T161" i="3"/>
  <c r="Q162" i="3"/>
  <c r="P163" i="3"/>
  <c r="Z163" i="3"/>
  <c r="W164" i="3"/>
  <c r="V165" i="3"/>
  <c r="S166" i="3"/>
  <c r="P167" i="3"/>
  <c r="AA167" i="3"/>
  <c r="W168" i="3"/>
  <c r="S169" i="3"/>
  <c r="AA169" i="3"/>
  <c r="V170" i="3"/>
  <c r="Q171" i="3"/>
  <c r="Y171" i="3"/>
  <c r="T172" i="3"/>
  <c r="AB172" i="3"/>
  <c r="W173" i="3"/>
  <c r="R174" i="3"/>
  <c r="Z174" i="3"/>
  <c r="U175" i="3"/>
  <c r="AE175" i="3" s="1"/>
  <c r="P176" i="3"/>
  <c r="X176" i="3"/>
  <c r="S177" i="3"/>
  <c r="AA177" i="3"/>
  <c r="V178" i="3"/>
  <c r="Q179" i="3"/>
  <c r="Y179" i="3"/>
  <c r="T180" i="3"/>
  <c r="AB180" i="3"/>
  <c r="W181" i="3"/>
  <c r="R182" i="3"/>
  <c r="Z182" i="3"/>
  <c r="U183" i="3"/>
  <c r="AE183" i="3" s="1"/>
  <c r="P184" i="3"/>
  <c r="N184" i="3" s="1"/>
  <c r="X184" i="3"/>
  <c r="S185" i="3"/>
  <c r="AA185" i="3"/>
  <c r="V186" i="3"/>
  <c r="Q187" i="3"/>
  <c r="Y187" i="3"/>
  <c r="T188" i="3"/>
  <c r="AB188" i="3"/>
  <c r="W189" i="3"/>
  <c r="R190" i="3"/>
  <c r="Z190" i="3"/>
  <c r="U191" i="3"/>
  <c r="AE191" i="3" s="1"/>
  <c r="P192" i="3"/>
  <c r="AD192" i="3" s="1"/>
  <c r="X192" i="3"/>
  <c r="S193" i="3"/>
  <c r="AA193" i="3"/>
  <c r="V194" i="3"/>
  <c r="Q195" i="3"/>
  <c r="Y195" i="3"/>
  <c r="T196" i="3"/>
  <c r="AB196" i="3"/>
  <c r="W197" i="3"/>
  <c r="R198" i="3"/>
  <c r="Z198" i="3"/>
  <c r="U199" i="3"/>
  <c r="AE199" i="3" s="1"/>
  <c r="P200" i="3"/>
  <c r="X200" i="3"/>
  <c r="S201" i="3"/>
  <c r="AA201" i="3"/>
  <c r="V202" i="3"/>
  <c r="Q203" i="3"/>
  <c r="Y203" i="3"/>
  <c r="T204" i="3"/>
  <c r="AB204" i="3"/>
  <c r="W205" i="3"/>
  <c r="R206" i="3"/>
  <c r="Z206" i="3"/>
  <c r="U207" i="3"/>
  <c r="AE207" i="3" s="1"/>
  <c r="P208" i="3"/>
  <c r="X208" i="3"/>
  <c r="S209" i="3"/>
  <c r="AA209" i="3"/>
  <c r="V210" i="3"/>
  <c r="Q211" i="3"/>
  <c r="Y211" i="3"/>
  <c r="T212" i="3"/>
  <c r="AB212" i="3"/>
  <c r="W213" i="3"/>
  <c r="R214" i="3"/>
  <c r="S118" i="3"/>
  <c r="T123" i="3"/>
  <c r="P127" i="3"/>
  <c r="V129" i="3"/>
  <c r="AB131" i="3"/>
  <c r="U134" i="3"/>
  <c r="AE134" i="3" s="1"/>
  <c r="AA136" i="3"/>
  <c r="T139" i="3"/>
  <c r="R141" i="3"/>
  <c r="AB142" i="3"/>
  <c r="R144" i="3"/>
  <c r="U145" i="3"/>
  <c r="AE145" i="3" s="1"/>
  <c r="X146" i="3"/>
  <c r="AA147" i="3"/>
  <c r="Q149" i="3"/>
  <c r="T150" i="3"/>
  <c r="W151" i="3"/>
  <c r="Y152" i="3"/>
  <c r="W153" i="3"/>
  <c r="X154" i="3"/>
  <c r="Y155" i="3"/>
  <c r="V156" i="3"/>
  <c r="S157" i="3"/>
  <c r="R158" i="3"/>
  <c r="AB158" i="3"/>
  <c r="Y159" i="3"/>
  <c r="X160" i="3"/>
  <c r="U161" i="3"/>
  <c r="AE161" i="3" s="1"/>
  <c r="R162" i="3"/>
  <c r="Q163" i="3"/>
  <c r="AA163" i="3"/>
  <c r="X164" i="3"/>
  <c r="W165" i="3"/>
  <c r="T166" i="3"/>
  <c r="Q167" i="3"/>
  <c r="AB167" i="3"/>
  <c r="X168" i="3"/>
  <c r="T169" i="3"/>
  <c r="AB169" i="3"/>
  <c r="W170" i="3"/>
  <c r="R171" i="3"/>
  <c r="Z171" i="3"/>
  <c r="U172" i="3"/>
  <c r="AE172" i="3" s="1"/>
  <c r="P173" i="3"/>
  <c r="X173" i="3"/>
  <c r="S174" i="3"/>
  <c r="AA174" i="3"/>
  <c r="V175" i="3"/>
  <c r="Q176" i="3"/>
  <c r="Y176" i="3"/>
  <c r="T177" i="3"/>
  <c r="AB177" i="3"/>
  <c r="W178" i="3"/>
  <c r="R179" i="3"/>
  <c r="Z179" i="3"/>
  <c r="U180" i="3"/>
  <c r="AE180" i="3" s="1"/>
  <c r="P181" i="3"/>
  <c r="N181" i="3" s="1"/>
  <c r="X181" i="3"/>
  <c r="S182" i="3"/>
  <c r="AA182" i="3"/>
  <c r="V183" i="3"/>
  <c r="Q184" i="3"/>
  <c r="Y184" i="3"/>
  <c r="T185" i="3"/>
  <c r="AB185" i="3"/>
  <c r="W186" i="3"/>
  <c r="R187" i="3"/>
  <c r="Z187" i="3"/>
  <c r="U188" i="3"/>
  <c r="AE188" i="3" s="1"/>
  <c r="P189" i="3"/>
  <c r="N189" i="3" s="1"/>
  <c r="X189" i="3"/>
  <c r="S190" i="3"/>
  <c r="AA190" i="3"/>
  <c r="V191" i="3"/>
  <c r="Q192" i="3"/>
  <c r="Y192" i="3"/>
  <c r="T193" i="3"/>
  <c r="AB193" i="3"/>
  <c r="W194" i="3"/>
  <c r="R195" i="3"/>
  <c r="Z195" i="3"/>
  <c r="U196" i="3"/>
  <c r="AE196" i="3" s="1"/>
  <c r="P197" i="3"/>
  <c r="N197" i="3" s="1"/>
  <c r="X197" i="3"/>
  <c r="S198" i="3"/>
  <c r="AA198" i="3"/>
  <c r="V199" i="3"/>
  <c r="Q200" i="3"/>
  <c r="Y200" i="3"/>
  <c r="T201" i="3"/>
  <c r="AB201" i="3"/>
  <c r="W202" i="3"/>
  <c r="R203" i="3"/>
  <c r="Z203" i="3"/>
  <c r="U204" i="3"/>
  <c r="AE204" i="3" s="1"/>
  <c r="P205" i="3"/>
  <c r="O205" i="3" s="1"/>
  <c r="X205" i="3"/>
  <c r="S206" i="3"/>
  <c r="AA206" i="3"/>
  <c r="V207" i="3"/>
  <c r="Q208" i="3"/>
  <c r="Y208" i="3"/>
  <c r="T209" i="3"/>
  <c r="AB209" i="3"/>
  <c r="W210" i="3"/>
  <c r="R211" i="3"/>
  <c r="AB118" i="3"/>
  <c r="AB123" i="3"/>
  <c r="Q127" i="3"/>
  <c r="W129" i="3"/>
  <c r="P132" i="3"/>
  <c r="V134" i="3"/>
  <c r="AB136" i="3"/>
  <c r="U139" i="3"/>
  <c r="S141" i="3"/>
  <c r="P143" i="3"/>
  <c r="N143" i="3" s="1"/>
  <c r="S144" i="3"/>
  <c r="V145" i="3"/>
  <c r="Y146" i="3"/>
  <c r="AB147" i="3"/>
  <c r="R149" i="3"/>
  <c r="U150" i="3"/>
  <c r="X151" i="3"/>
  <c r="Z152" i="3"/>
  <c r="AA153" i="3"/>
  <c r="Y154" i="3"/>
  <c r="Z155" i="3"/>
  <c r="W156" i="3"/>
  <c r="V157" i="3"/>
  <c r="S158" i="3"/>
  <c r="P159" i="3"/>
  <c r="AB159" i="3"/>
  <c r="Y160" i="3"/>
  <c r="V161" i="3"/>
  <c r="U162" i="3"/>
  <c r="AE162" i="3" s="1"/>
  <c r="R163" i="3"/>
  <c r="AB163" i="3"/>
  <c r="AA164" i="3"/>
  <c r="X165" i="3"/>
  <c r="U166" i="3"/>
  <c r="AE166" i="3" s="1"/>
  <c r="T167" i="3"/>
  <c r="P168" i="3"/>
  <c r="Y168" i="3"/>
  <c r="U169" i="3"/>
  <c r="P170" i="3"/>
  <c r="X170" i="3"/>
  <c r="S171" i="3"/>
  <c r="AA171" i="3"/>
  <c r="V172" i="3"/>
  <c r="Q173" i="3"/>
  <c r="Y173" i="3"/>
  <c r="T174" i="3"/>
  <c r="AB174" i="3"/>
  <c r="W175" i="3"/>
  <c r="R176" i="3"/>
  <c r="Z176" i="3"/>
  <c r="U177" i="3"/>
  <c r="AE177" i="3" s="1"/>
  <c r="P178" i="3"/>
  <c r="X178" i="3"/>
  <c r="S179" i="3"/>
  <c r="AA179" i="3"/>
  <c r="V180" i="3"/>
  <c r="Q181" i="3"/>
  <c r="Y181" i="3"/>
  <c r="T182" i="3"/>
  <c r="AB182" i="3"/>
  <c r="W183" i="3"/>
  <c r="R184" i="3"/>
  <c r="Z184" i="3"/>
  <c r="U185" i="3"/>
  <c r="P186" i="3"/>
  <c r="AD186" i="3" s="1"/>
  <c r="X186" i="3"/>
  <c r="S187" i="3"/>
  <c r="AA187" i="3"/>
  <c r="V188" i="3"/>
  <c r="Q189" i="3"/>
  <c r="Y189" i="3"/>
  <c r="T190" i="3"/>
  <c r="AB190" i="3"/>
  <c r="W191" i="3"/>
  <c r="R192" i="3"/>
  <c r="Z192" i="3"/>
  <c r="U193" i="3"/>
  <c r="AE193" i="3" s="1"/>
  <c r="P194" i="3"/>
  <c r="X119" i="3"/>
  <c r="W124" i="3"/>
  <c r="X127" i="3"/>
  <c r="Q130" i="3"/>
  <c r="W132" i="3"/>
  <c r="P135" i="3"/>
  <c r="N135" i="3" s="1"/>
  <c r="V137" i="3"/>
  <c r="AB139" i="3"/>
  <c r="Y141" i="3"/>
  <c r="Q143" i="3"/>
  <c r="T144" i="3"/>
  <c r="W145" i="3"/>
  <c r="Z146" i="3"/>
  <c r="P148" i="3"/>
  <c r="O148" i="3" s="1"/>
  <c r="S149" i="3"/>
  <c r="V150" i="3"/>
  <c r="Y151" i="3"/>
  <c r="AA152" i="3"/>
  <c r="AB153" i="3"/>
  <c r="Z154" i="3"/>
  <c r="AA155" i="3"/>
  <c r="X156" i="3"/>
  <c r="W157" i="3"/>
  <c r="T158" i="3"/>
  <c r="Q159" i="3"/>
  <c r="P160" i="3"/>
  <c r="O160" i="3" s="1"/>
  <c r="Z160" i="3"/>
  <c r="W161" i="3"/>
  <c r="V162" i="3"/>
  <c r="S163" i="3"/>
  <c r="P164" i="3"/>
  <c r="AD164" i="3" s="1"/>
  <c r="AB164" i="3"/>
  <c r="Y165" i="3"/>
  <c r="V166" i="3"/>
  <c r="U167" i="3"/>
  <c r="AE167" i="3" s="1"/>
  <c r="Q168" i="3"/>
  <c r="Z168" i="3"/>
  <c r="V169" i="3"/>
  <c r="Q170" i="3"/>
  <c r="Y170" i="3"/>
  <c r="T171" i="3"/>
  <c r="AB171" i="3"/>
  <c r="W172" i="3"/>
  <c r="R173" i="3"/>
  <c r="Z173" i="3"/>
  <c r="U174" i="3"/>
  <c r="AE174" i="3" s="1"/>
  <c r="P175" i="3"/>
  <c r="AD175" i="3" s="1"/>
  <c r="X175" i="3"/>
  <c r="S176" i="3"/>
  <c r="AA176" i="3"/>
  <c r="V177" i="3"/>
  <c r="Q178" i="3"/>
  <c r="Y178" i="3"/>
  <c r="T179" i="3"/>
  <c r="AB179" i="3"/>
  <c r="W180" i="3"/>
  <c r="R181" i="3"/>
  <c r="Z181" i="3"/>
  <c r="U182" i="3"/>
  <c r="P183" i="3"/>
  <c r="X183" i="3"/>
  <c r="S184" i="3"/>
  <c r="AA184" i="3"/>
  <c r="V185" i="3"/>
  <c r="Q186" i="3"/>
  <c r="Y186" i="3"/>
  <c r="T187" i="3"/>
  <c r="AB187" i="3"/>
  <c r="W188" i="3"/>
  <c r="R189" i="3"/>
  <c r="Z189" i="3"/>
  <c r="U190" i="3"/>
  <c r="AE190" i="3" s="1"/>
  <c r="P191" i="3"/>
  <c r="O191" i="3" s="1"/>
  <c r="X191" i="3"/>
  <c r="S192" i="3"/>
  <c r="AA192" i="3"/>
  <c r="V193" i="3"/>
  <c r="Q194" i="3"/>
  <c r="Y194" i="3"/>
  <c r="T195" i="3"/>
  <c r="AB195" i="3"/>
  <c r="W196" i="3"/>
  <c r="R197" i="3"/>
  <c r="Z197" i="3"/>
  <c r="U198" i="3"/>
  <c r="AE198" i="3" s="1"/>
  <c r="S120" i="3"/>
  <c r="R125" i="3"/>
  <c r="Y127" i="3"/>
  <c r="R130" i="3"/>
  <c r="X132" i="3"/>
  <c r="Q135" i="3"/>
  <c r="W137" i="3"/>
  <c r="P140" i="3"/>
  <c r="Z141" i="3"/>
  <c r="V143" i="3"/>
  <c r="Y144" i="3"/>
  <c r="AB145" i="3"/>
  <c r="R147" i="3"/>
  <c r="U148" i="3"/>
  <c r="AE148" i="3" s="1"/>
  <c r="X149" i="3"/>
  <c r="AA150" i="3"/>
  <c r="Q152" i="3"/>
  <c r="AB152" i="3"/>
  <c r="P154" i="3"/>
  <c r="Q155" i="3"/>
  <c r="AB155" i="3"/>
  <c r="AA156" i="3"/>
  <c r="X157" i="3"/>
  <c r="U158" i="3"/>
  <c r="AE158" i="3" s="1"/>
  <c r="T159" i="3"/>
  <c r="Q160" i="3"/>
  <c r="AA160" i="3"/>
  <c r="Z161" i="3"/>
  <c r="W162" i="3"/>
  <c r="T163" i="3"/>
  <c r="S164" i="3"/>
  <c r="P165" i="3"/>
  <c r="Z165" i="3"/>
  <c r="Y166" i="3"/>
  <c r="V167" i="3"/>
  <c r="R168" i="3"/>
  <c r="AA168" i="3"/>
  <c r="W169" i="3"/>
  <c r="R170" i="3"/>
  <c r="AA120" i="3"/>
  <c r="Z125" i="3"/>
  <c r="S128" i="3"/>
  <c r="Y130" i="3"/>
  <c r="R133" i="3"/>
  <c r="X135" i="3"/>
  <c r="Q138" i="3"/>
  <c r="V140" i="3"/>
  <c r="AA141" i="3"/>
  <c r="W143" i="3"/>
  <c r="Z144" i="3"/>
  <c r="P146" i="3"/>
  <c r="N146" i="3" s="1"/>
  <c r="S147" i="3"/>
  <c r="V148" i="3"/>
  <c r="Y149" i="3"/>
  <c r="AB150" i="3"/>
  <c r="R152" i="3"/>
  <c r="S153" i="3"/>
  <c r="Q154" i="3"/>
  <c r="R155" i="3"/>
  <c r="P156" i="3"/>
  <c r="N156" i="3" s="1"/>
  <c r="AB156" i="3"/>
  <c r="Y157" i="3"/>
  <c r="V158" i="3"/>
  <c r="U159" i="3"/>
  <c r="AE159" i="3" s="1"/>
  <c r="R160" i="3"/>
  <c r="AB160" i="3"/>
  <c r="AA161" i="3"/>
  <c r="X162" i="3"/>
  <c r="U163" i="3"/>
  <c r="AE163" i="3" s="1"/>
  <c r="T164" i="3"/>
  <c r="Q165" i="3"/>
  <c r="AA165" i="3"/>
  <c r="Z166" i="3"/>
  <c r="W167" i="3"/>
  <c r="S168" i="3"/>
  <c r="AB168" i="3"/>
  <c r="X169" i="3"/>
  <c r="S170" i="3"/>
  <c r="V121" i="3"/>
  <c r="AA125" i="3"/>
  <c r="T128" i="3"/>
  <c r="Z130" i="3"/>
  <c r="S133" i="3"/>
  <c r="Y135" i="3"/>
  <c r="R138" i="3"/>
  <c r="W140" i="3"/>
  <c r="T142" i="3"/>
  <c r="X143" i="3"/>
  <c r="AA144" i="3"/>
  <c r="Q146" i="3"/>
  <c r="T147" i="3"/>
  <c r="W148" i="3"/>
  <c r="Z149" i="3"/>
  <c r="P151" i="3"/>
  <c r="N151" i="3" s="1"/>
  <c r="S152" i="3"/>
  <c r="T153" i="3"/>
  <c r="R154" i="3"/>
  <c r="S155" i="3"/>
  <c r="S156" i="3"/>
  <c r="P157" i="3"/>
  <c r="Z157" i="3"/>
  <c r="Y158" i="3"/>
  <c r="V159" i="3"/>
  <c r="S160" i="3"/>
  <c r="R161" i="3"/>
  <c r="AB161" i="3"/>
  <c r="Y162" i="3"/>
  <c r="X163" i="3"/>
  <c r="U164" i="3"/>
  <c r="R165" i="3"/>
  <c r="Q166" i="3"/>
  <c r="AA166" i="3"/>
  <c r="X167" i="3"/>
  <c r="T168" i="3"/>
  <c r="Q169" i="3"/>
  <c r="Y169" i="3"/>
  <c r="T170" i="3"/>
  <c r="AB170" i="3"/>
  <c r="W171" i="3"/>
  <c r="R172" i="3"/>
  <c r="Z172" i="3"/>
  <c r="U173" i="3"/>
  <c r="AE173" i="3" s="1"/>
  <c r="P174" i="3"/>
  <c r="AD174" i="3" s="1"/>
  <c r="X174" i="3"/>
  <c r="S175" i="3"/>
  <c r="AA175" i="3"/>
  <c r="V176" i="3"/>
  <c r="Q177" i="3"/>
  <c r="Y177" i="3"/>
  <c r="T178" i="3"/>
  <c r="AB178" i="3"/>
  <c r="W179" i="3"/>
  <c r="R180" i="3"/>
  <c r="Z180" i="3"/>
  <c r="U181" i="3"/>
  <c r="AE181" i="3" s="1"/>
  <c r="Z170" i="3"/>
  <c r="S173" i="3"/>
  <c r="Y175" i="3"/>
  <c r="R178" i="3"/>
  <c r="X180" i="3"/>
  <c r="W182" i="3"/>
  <c r="T184" i="3"/>
  <c r="Y185" i="3"/>
  <c r="V187" i="3"/>
  <c r="S189" i="3"/>
  <c r="X190" i="3"/>
  <c r="U192" i="3"/>
  <c r="AE192" i="3" s="1"/>
  <c r="R194" i="3"/>
  <c r="U195" i="3"/>
  <c r="AE195" i="3" s="1"/>
  <c r="X196" i="3"/>
  <c r="AA197" i="3"/>
  <c r="P199" i="3"/>
  <c r="AA199" i="3"/>
  <c r="AB200" i="3"/>
  <c r="P202" i="3"/>
  <c r="N202" i="3" s="1"/>
  <c r="AA202" i="3"/>
  <c r="AB203" i="3"/>
  <c r="Z204" i="3"/>
  <c r="AA205" i="3"/>
  <c r="AB206" i="3"/>
  <c r="Z207" i="3"/>
  <c r="AA208" i="3"/>
  <c r="Y209" i="3"/>
  <c r="Z210" i="3"/>
  <c r="Z211" i="3"/>
  <c r="W212" i="3"/>
  <c r="T213" i="3"/>
  <c r="S214" i="3"/>
  <c r="AB214" i="3"/>
  <c r="X215" i="3"/>
  <c r="T216" i="3"/>
  <c r="P217" i="3"/>
  <c r="Y217" i="3"/>
  <c r="V218" i="3"/>
  <c r="R219" i="3"/>
  <c r="AA219" i="3"/>
  <c r="W220" i="3"/>
  <c r="S221" i="3"/>
  <c r="AB221" i="3"/>
  <c r="X222" i="3"/>
  <c r="U223" i="3"/>
  <c r="AE223" i="3" s="1"/>
  <c r="Q224" i="3"/>
  <c r="Z224" i="3"/>
  <c r="V225" i="3"/>
  <c r="R226" i="3"/>
  <c r="AA226" i="3"/>
  <c r="W227" i="3"/>
  <c r="R228" i="3"/>
  <c r="Z228" i="3"/>
  <c r="U229" i="3"/>
  <c r="AE229" i="3" s="1"/>
  <c r="P230" i="3"/>
  <c r="X230" i="3"/>
  <c r="S231" i="3"/>
  <c r="AA231" i="3"/>
  <c r="V232" i="3"/>
  <c r="Q233" i="3"/>
  <c r="Y233" i="3"/>
  <c r="T234" i="3"/>
  <c r="AB234" i="3"/>
  <c r="W235" i="3"/>
  <c r="R236" i="3"/>
  <c r="Z236" i="3"/>
  <c r="U237" i="3"/>
  <c r="AE237" i="3" s="1"/>
  <c r="P238" i="3"/>
  <c r="X238" i="3"/>
  <c r="S239" i="3"/>
  <c r="AA239" i="3"/>
  <c r="V240" i="3"/>
  <c r="Q241" i="3"/>
  <c r="Y241" i="3"/>
  <c r="T242" i="3"/>
  <c r="AB242" i="3"/>
  <c r="W243" i="3"/>
  <c r="R244" i="3"/>
  <c r="Z244" i="3"/>
  <c r="U245" i="3"/>
  <c r="AE245" i="3" s="1"/>
  <c r="P246" i="3"/>
  <c r="X246" i="3"/>
  <c r="S247" i="3"/>
  <c r="AA247" i="3"/>
  <c r="V248" i="3"/>
  <c r="Q249" i="3"/>
  <c r="Y249" i="3"/>
  <c r="T250" i="3"/>
  <c r="AB250" i="3"/>
  <c r="W251" i="3"/>
  <c r="R252" i="3"/>
  <c r="Z252" i="3"/>
  <c r="U253" i="3"/>
  <c r="AE253" i="3" s="1"/>
  <c r="P254" i="3"/>
  <c r="X254" i="3"/>
  <c r="S255" i="3"/>
  <c r="AA255" i="3"/>
  <c r="V256" i="3"/>
  <c r="Q257" i="3"/>
  <c r="Y257" i="3"/>
  <c r="T258" i="3"/>
  <c r="AB258" i="3"/>
  <c r="W259" i="3"/>
  <c r="R260" i="3"/>
  <c r="Z260" i="3"/>
  <c r="U261" i="3"/>
  <c r="AE261" i="3" s="1"/>
  <c r="P262" i="3"/>
  <c r="O262" i="3" s="1"/>
  <c r="X262" i="3"/>
  <c r="S263" i="3"/>
  <c r="AA263" i="3"/>
  <c r="V264" i="3"/>
  <c r="Q265" i="3"/>
  <c r="Y265" i="3"/>
  <c r="T266" i="3"/>
  <c r="AB266" i="3"/>
  <c r="W267" i="3"/>
  <c r="R268" i="3"/>
  <c r="Z268" i="3"/>
  <c r="U269" i="3"/>
  <c r="AE269" i="3" s="1"/>
  <c r="P270" i="3"/>
  <c r="X270" i="3"/>
  <c r="S271" i="3"/>
  <c r="AA271" i="3"/>
  <c r="V272" i="3"/>
  <c r="Q273" i="3"/>
  <c r="Y273" i="3"/>
  <c r="T274" i="3"/>
  <c r="AB274" i="3"/>
  <c r="W275" i="3"/>
  <c r="R276" i="3"/>
  <c r="Z276" i="3"/>
  <c r="U277" i="3"/>
  <c r="AE277" i="3" s="1"/>
  <c r="P278" i="3"/>
  <c r="X278" i="3"/>
  <c r="S279" i="3"/>
  <c r="AA279" i="3"/>
  <c r="V280" i="3"/>
  <c r="Q281" i="3"/>
  <c r="Y281" i="3"/>
  <c r="T282" i="3"/>
  <c r="AB282" i="3"/>
  <c r="W283" i="3"/>
  <c r="R284" i="3"/>
  <c r="Z284" i="3"/>
  <c r="U285" i="3"/>
  <c r="AE285" i="3" s="1"/>
  <c r="P286" i="3"/>
  <c r="X286" i="3"/>
  <c r="S287" i="3"/>
  <c r="AA287" i="3"/>
  <c r="V288" i="3"/>
  <c r="Q289" i="3"/>
  <c r="Y289" i="3"/>
  <c r="T290" i="3"/>
  <c r="AA170" i="3"/>
  <c r="T173" i="3"/>
  <c r="Z175" i="3"/>
  <c r="S178" i="3"/>
  <c r="Y180" i="3"/>
  <c r="X182" i="3"/>
  <c r="U184" i="3"/>
  <c r="AE184" i="3" s="1"/>
  <c r="R186" i="3"/>
  <c r="W187" i="3"/>
  <c r="T189" i="3"/>
  <c r="Q191" i="3"/>
  <c r="V192" i="3"/>
  <c r="S194" i="3"/>
  <c r="V195" i="3"/>
  <c r="Y196" i="3"/>
  <c r="AB197" i="3"/>
  <c r="Q199" i="3"/>
  <c r="R200" i="3"/>
  <c r="P201" i="3"/>
  <c r="Q202" i="3"/>
  <c r="AB202" i="3"/>
  <c r="P204" i="3"/>
  <c r="Q205" i="3"/>
  <c r="AB205" i="3"/>
  <c r="P207" i="3"/>
  <c r="AA207" i="3"/>
  <c r="AB208" i="3"/>
  <c r="P210" i="3"/>
  <c r="AA210" i="3"/>
  <c r="AA211" i="3"/>
  <c r="X212" i="3"/>
  <c r="U213" i="3"/>
  <c r="AE213" i="3" s="1"/>
  <c r="T214" i="3"/>
  <c r="P215" i="3"/>
  <c r="Y215" i="3"/>
  <c r="U216" i="3"/>
  <c r="AE216" i="3" s="1"/>
  <c r="Q217" i="3"/>
  <c r="AA217" i="3"/>
  <c r="W218" i="3"/>
  <c r="S219" i="3"/>
  <c r="AB219" i="3"/>
  <c r="X220" i="3"/>
  <c r="T221" i="3"/>
  <c r="P222" i="3"/>
  <c r="O222" i="3" s="1"/>
  <c r="Z222" i="3"/>
  <c r="V223" i="3"/>
  <c r="R224" i="3"/>
  <c r="AA224" i="3"/>
  <c r="W225" i="3"/>
  <c r="S226" i="3"/>
  <c r="AB226" i="3"/>
  <c r="X227" i="3"/>
  <c r="S228" i="3"/>
  <c r="AA228" i="3"/>
  <c r="V229" i="3"/>
  <c r="Q230" i="3"/>
  <c r="Y230" i="3"/>
  <c r="T231" i="3"/>
  <c r="AB231" i="3"/>
  <c r="W232" i="3"/>
  <c r="R233" i="3"/>
  <c r="Z233" i="3"/>
  <c r="U234" i="3"/>
  <c r="AE234" i="3" s="1"/>
  <c r="P235" i="3"/>
  <c r="X235" i="3"/>
  <c r="S236" i="3"/>
  <c r="AA236" i="3"/>
  <c r="V237" i="3"/>
  <c r="Q238" i="3"/>
  <c r="Y238" i="3"/>
  <c r="T239" i="3"/>
  <c r="AB239" i="3"/>
  <c r="W240" i="3"/>
  <c r="R241" i="3"/>
  <c r="Z241" i="3"/>
  <c r="U242" i="3"/>
  <c r="AE242" i="3" s="1"/>
  <c r="P243" i="3"/>
  <c r="X243" i="3"/>
  <c r="S244" i="3"/>
  <c r="AA244" i="3"/>
  <c r="V245" i="3"/>
  <c r="Q246" i="3"/>
  <c r="Y246" i="3"/>
  <c r="T247" i="3"/>
  <c r="AB247" i="3"/>
  <c r="W248" i="3"/>
  <c r="R249" i="3"/>
  <c r="Z249" i="3"/>
  <c r="U250" i="3"/>
  <c r="AE250" i="3" s="1"/>
  <c r="P251" i="3"/>
  <c r="X251" i="3"/>
  <c r="S252" i="3"/>
  <c r="AA252" i="3"/>
  <c r="V253" i="3"/>
  <c r="Q254" i="3"/>
  <c r="Y254" i="3"/>
  <c r="T255" i="3"/>
  <c r="AB255" i="3"/>
  <c r="W256" i="3"/>
  <c r="R257" i="3"/>
  <c r="Z257" i="3"/>
  <c r="U258" i="3"/>
  <c r="AE258" i="3" s="1"/>
  <c r="P259" i="3"/>
  <c r="X259" i="3"/>
  <c r="S260" i="3"/>
  <c r="AA260" i="3"/>
  <c r="V261" i="3"/>
  <c r="Q262" i="3"/>
  <c r="Y262" i="3"/>
  <c r="T263" i="3"/>
  <c r="AB263" i="3"/>
  <c r="W264" i="3"/>
  <c r="R265" i="3"/>
  <c r="Z265" i="3"/>
  <c r="U266" i="3"/>
  <c r="AE266" i="3" s="1"/>
  <c r="P267" i="3"/>
  <c r="X267" i="3"/>
  <c r="S268" i="3"/>
  <c r="AA268" i="3"/>
  <c r="V269" i="3"/>
  <c r="Q270" i="3"/>
  <c r="Y270" i="3"/>
  <c r="T271" i="3"/>
  <c r="AB271" i="3"/>
  <c r="W272" i="3"/>
  <c r="R273" i="3"/>
  <c r="Z273" i="3"/>
  <c r="U274" i="3"/>
  <c r="AE274" i="3" s="1"/>
  <c r="P275" i="3"/>
  <c r="X275" i="3"/>
  <c r="S276" i="3"/>
  <c r="AA276" i="3"/>
  <c r="V277" i="3"/>
  <c r="Q278" i="3"/>
  <c r="Y278" i="3"/>
  <c r="T279" i="3"/>
  <c r="U171" i="3"/>
  <c r="AE171" i="3" s="1"/>
  <c r="AA173" i="3"/>
  <c r="T176" i="3"/>
  <c r="Z178" i="3"/>
  <c r="S181" i="3"/>
  <c r="Q183" i="3"/>
  <c r="V184" i="3"/>
  <c r="S186" i="3"/>
  <c r="P188" i="3"/>
  <c r="U189" i="3"/>
  <c r="AE189" i="3" s="1"/>
  <c r="R191" i="3"/>
  <c r="AB192" i="3"/>
  <c r="T194" i="3"/>
  <c r="W195" i="3"/>
  <c r="Z196" i="3"/>
  <c r="P198" i="3"/>
  <c r="O198" i="3" s="1"/>
  <c r="R199" i="3"/>
  <c r="S200" i="3"/>
  <c r="Q201" i="3"/>
  <c r="R202" i="3"/>
  <c r="S203" i="3"/>
  <c r="Q204" i="3"/>
  <c r="R205" i="3"/>
  <c r="P206" i="3"/>
  <c r="Q207" i="3"/>
  <c r="R208" i="3"/>
  <c r="P209" i="3"/>
  <c r="AD209" i="3" s="1"/>
  <c r="Q210" i="3"/>
  <c r="AB210" i="3"/>
  <c r="AB211" i="3"/>
  <c r="Y212" i="3"/>
  <c r="X213" i="3"/>
  <c r="U214" i="3"/>
  <c r="AE214" i="3" s="1"/>
  <c r="Q215" i="3"/>
  <c r="Z215" i="3"/>
  <c r="V216" i="3"/>
  <c r="S217" i="3"/>
  <c r="AB217" i="3"/>
  <c r="X218" i="3"/>
  <c r="T219" i="3"/>
  <c r="P220" i="3"/>
  <c r="N220" i="3" s="1"/>
  <c r="Y220" i="3"/>
  <c r="U221" i="3"/>
  <c r="AE221" i="3" s="1"/>
  <c r="R222" i="3"/>
  <c r="AA222" i="3"/>
  <c r="W223" i="3"/>
  <c r="S224" i="3"/>
  <c r="AB224" i="3"/>
  <c r="X225" i="3"/>
  <c r="T226" i="3"/>
  <c r="Q227" i="3"/>
  <c r="Y227" i="3"/>
  <c r="T228" i="3"/>
  <c r="AB228" i="3"/>
  <c r="W229" i="3"/>
  <c r="R230" i="3"/>
  <c r="Z230" i="3"/>
  <c r="U231" i="3"/>
  <c r="AE231" i="3" s="1"/>
  <c r="P232" i="3"/>
  <c r="O232" i="3" s="1"/>
  <c r="X232" i="3"/>
  <c r="S233" i="3"/>
  <c r="AA233" i="3"/>
  <c r="V234" i="3"/>
  <c r="Q235" i="3"/>
  <c r="Y235" i="3"/>
  <c r="T236" i="3"/>
  <c r="AB236" i="3"/>
  <c r="W237" i="3"/>
  <c r="R238" i="3"/>
  <c r="Z238" i="3"/>
  <c r="U239" i="3"/>
  <c r="AE239" i="3" s="1"/>
  <c r="P240" i="3"/>
  <c r="X240" i="3"/>
  <c r="S241" i="3"/>
  <c r="AA241" i="3"/>
  <c r="V242" i="3"/>
  <c r="Q243" i="3"/>
  <c r="Y243" i="3"/>
  <c r="T244" i="3"/>
  <c r="AB244" i="3"/>
  <c r="W245" i="3"/>
  <c r="R246" i="3"/>
  <c r="Z246" i="3"/>
  <c r="U247" i="3"/>
  <c r="P248" i="3"/>
  <c r="O248" i="3" s="1"/>
  <c r="X248" i="3"/>
  <c r="S249" i="3"/>
  <c r="AA249" i="3"/>
  <c r="V250" i="3"/>
  <c r="Q251" i="3"/>
  <c r="Y251" i="3"/>
  <c r="T252" i="3"/>
  <c r="AB252" i="3"/>
  <c r="W253" i="3"/>
  <c r="R254" i="3"/>
  <c r="Z254" i="3"/>
  <c r="U255" i="3"/>
  <c r="AE255" i="3" s="1"/>
  <c r="P256" i="3"/>
  <c r="X256" i="3"/>
  <c r="S257" i="3"/>
  <c r="AA257" i="3"/>
  <c r="V258" i="3"/>
  <c r="Q259" i="3"/>
  <c r="Y259" i="3"/>
  <c r="T260" i="3"/>
  <c r="AB260" i="3"/>
  <c r="W261" i="3"/>
  <c r="R262" i="3"/>
  <c r="Z262" i="3"/>
  <c r="U263" i="3"/>
  <c r="AE263" i="3" s="1"/>
  <c r="P264" i="3"/>
  <c r="AD264" i="3" s="1"/>
  <c r="X264" i="3"/>
  <c r="S265" i="3"/>
  <c r="AA265" i="3"/>
  <c r="V266" i="3"/>
  <c r="Q267" i="3"/>
  <c r="Y267" i="3"/>
  <c r="T268" i="3"/>
  <c r="V171" i="3"/>
  <c r="AB173" i="3"/>
  <c r="U176" i="3"/>
  <c r="AE176" i="3" s="1"/>
  <c r="AA178" i="3"/>
  <c r="T181" i="3"/>
  <c r="R183" i="3"/>
  <c r="AB184" i="3"/>
  <c r="T186" i="3"/>
  <c r="Q188" i="3"/>
  <c r="AA189" i="3"/>
  <c r="S191" i="3"/>
  <c r="P193" i="3"/>
  <c r="O193" i="3" s="1"/>
  <c r="X194" i="3"/>
  <c r="AA195" i="3"/>
  <c r="Q197" i="3"/>
  <c r="T198" i="3"/>
  <c r="S199" i="3"/>
  <c r="T200" i="3"/>
  <c r="U201" i="3"/>
  <c r="AE201" i="3" s="1"/>
  <c r="S202" i="3"/>
  <c r="T203" i="3"/>
  <c r="R204" i="3"/>
  <c r="S205" i="3"/>
  <c r="T206" i="3"/>
  <c r="R207" i="3"/>
  <c r="S208" i="3"/>
  <c r="Q209" i="3"/>
  <c r="R210" i="3"/>
  <c r="S211" i="3"/>
  <c r="P212" i="3"/>
  <c r="Z212" i="3"/>
  <c r="Y213" i="3"/>
  <c r="V214" i="3"/>
  <c r="R215" i="3"/>
  <c r="AA215" i="3"/>
  <c r="X216" i="3"/>
  <c r="T217" i="3"/>
  <c r="P218" i="3"/>
  <c r="AD218" i="3" s="1"/>
  <c r="Y218" i="3"/>
  <c r="U219" i="3"/>
  <c r="AE219" i="3" s="1"/>
  <c r="Q220" i="3"/>
  <c r="Z220" i="3"/>
  <c r="W221" i="3"/>
  <c r="S222" i="3"/>
  <c r="AB222" i="3"/>
  <c r="X223" i="3"/>
  <c r="T224" i="3"/>
  <c r="P225" i="3"/>
  <c r="AD225" i="3" s="1"/>
  <c r="Y225" i="3"/>
  <c r="V226" i="3"/>
  <c r="R227" i="3"/>
  <c r="Z227" i="3"/>
  <c r="U228" i="3"/>
  <c r="AE228" i="3" s="1"/>
  <c r="P229" i="3"/>
  <c r="AD229" i="3" s="1"/>
  <c r="X229" i="3"/>
  <c r="S230" i="3"/>
  <c r="AA230" i="3"/>
  <c r="V231" i="3"/>
  <c r="Q232" i="3"/>
  <c r="Y232" i="3"/>
  <c r="T233" i="3"/>
  <c r="AB233" i="3"/>
  <c r="W234" i="3"/>
  <c r="R235" i="3"/>
  <c r="Z235" i="3"/>
  <c r="U236" i="3"/>
  <c r="AE236" i="3" s="1"/>
  <c r="P237" i="3"/>
  <c r="X237" i="3"/>
  <c r="S238" i="3"/>
  <c r="AA238" i="3"/>
  <c r="V239" i="3"/>
  <c r="Q240" i="3"/>
  <c r="Y240" i="3"/>
  <c r="T241" i="3"/>
  <c r="AB241" i="3"/>
  <c r="W242" i="3"/>
  <c r="R243" i="3"/>
  <c r="Z243" i="3"/>
  <c r="U244" i="3"/>
  <c r="P245" i="3"/>
  <c r="O245" i="3" s="1"/>
  <c r="X245" i="3"/>
  <c r="S246" i="3"/>
  <c r="AA246" i="3"/>
  <c r="V247" i="3"/>
  <c r="Q248" i="3"/>
  <c r="Y248" i="3"/>
  <c r="T249" i="3"/>
  <c r="AB249" i="3"/>
  <c r="W250" i="3"/>
  <c r="R251" i="3"/>
  <c r="Z251" i="3"/>
  <c r="U252" i="3"/>
  <c r="AE252" i="3" s="1"/>
  <c r="P253" i="3"/>
  <c r="N253" i="3" s="1"/>
  <c r="X253" i="3"/>
  <c r="S254" i="3"/>
  <c r="AA254" i="3"/>
  <c r="V255" i="3"/>
  <c r="Q256" i="3"/>
  <c r="Y256" i="3"/>
  <c r="T257" i="3"/>
  <c r="AB257" i="3"/>
  <c r="W258" i="3"/>
  <c r="R259" i="3"/>
  <c r="Z259" i="3"/>
  <c r="U260" i="3"/>
  <c r="AE260" i="3" s="1"/>
  <c r="P172" i="3"/>
  <c r="N172" i="3" s="1"/>
  <c r="V174" i="3"/>
  <c r="AB176" i="3"/>
  <c r="U179" i="3"/>
  <c r="AE179" i="3" s="1"/>
  <c r="AA181" i="3"/>
  <c r="S183" i="3"/>
  <c r="P185" i="3"/>
  <c r="Z186" i="3"/>
  <c r="R188" i="3"/>
  <c r="AB189" i="3"/>
  <c r="Y191" i="3"/>
  <c r="Q193" i="3"/>
  <c r="Z194" i="3"/>
  <c r="P196" i="3"/>
  <c r="S197" i="3"/>
  <c r="V198" i="3"/>
  <c r="W199" i="3"/>
  <c r="U200" i="3"/>
  <c r="AE200" i="3" s="1"/>
  <c r="V201" i="3"/>
  <c r="T202" i="3"/>
  <c r="U203" i="3"/>
  <c r="V204" i="3"/>
  <c r="T205" i="3"/>
  <c r="U206" i="3"/>
  <c r="AE206" i="3" s="1"/>
  <c r="S207" i="3"/>
  <c r="T208" i="3"/>
  <c r="U209" i="3"/>
  <c r="AE209" i="3" s="1"/>
  <c r="S210" i="3"/>
  <c r="T211" i="3"/>
  <c r="Q212" i="3"/>
  <c r="P213" i="3"/>
  <c r="Z213" i="3"/>
  <c r="W214" i="3"/>
  <c r="S215" i="3"/>
  <c r="P216" i="3"/>
  <c r="Y216" i="3"/>
  <c r="U217" i="3"/>
  <c r="AE217" i="3" s="1"/>
  <c r="Q218" i="3"/>
  <c r="Z218" i="3"/>
  <c r="V219" i="3"/>
  <c r="R220" i="3"/>
  <c r="AB220" i="3"/>
  <c r="X221" i="3"/>
  <c r="T222" i="3"/>
  <c r="P223" i="3"/>
  <c r="O223" i="3" s="1"/>
  <c r="Y223" i="3"/>
  <c r="U224" i="3"/>
  <c r="AE224" i="3" s="1"/>
  <c r="Q225" i="3"/>
  <c r="AA225" i="3"/>
  <c r="W226" i="3"/>
  <c r="S227" i="3"/>
  <c r="AA227" i="3"/>
  <c r="V228" i="3"/>
  <c r="Q229" i="3"/>
  <c r="Y229" i="3"/>
  <c r="T230" i="3"/>
  <c r="AB230" i="3"/>
  <c r="W231" i="3"/>
  <c r="R232" i="3"/>
  <c r="Z232" i="3"/>
  <c r="U233" i="3"/>
  <c r="AE233" i="3" s="1"/>
  <c r="P234" i="3"/>
  <c r="O234" i="3" s="1"/>
  <c r="X234" i="3"/>
  <c r="S235" i="3"/>
  <c r="AA235" i="3"/>
  <c r="V236" i="3"/>
  <c r="Q237" i="3"/>
  <c r="Y237" i="3"/>
  <c r="T238" i="3"/>
  <c r="AB238" i="3"/>
  <c r="W239" i="3"/>
  <c r="R240" i="3"/>
  <c r="Z240" i="3"/>
  <c r="U241" i="3"/>
  <c r="AE241" i="3" s="1"/>
  <c r="P242" i="3"/>
  <c r="X242" i="3"/>
  <c r="S243" i="3"/>
  <c r="AA243" i="3"/>
  <c r="V244" i="3"/>
  <c r="Q245" i="3"/>
  <c r="Y245" i="3"/>
  <c r="T246" i="3"/>
  <c r="AB246" i="3"/>
  <c r="W247" i="3"/>
  <c r="R248" i="3"/>
  <c r="Z248" i="3"/>
  <c r="U249" i="3"/>
  <c r="AE249" i="3" s="1"/>
  <c r="P250" i="3"/>
  <c r="X250" i="3"/>
  <c r="S251" i="3"/>
  <c r="AA251" i="3"/>
  <c r="V252" i="3"/>
  <c r="Q253" i="3"/>
  <c r="Y253" i="3"/>
  <c r="T254" i="3"/>
  <c r="AB254" i="3"/>
  <c r="W255" i="3"/>
  <c r="R256" i="3"/>
  <c r="Z256" i="3"/>
  <c r="U257" i="3"/>
  <c r="AE257" i="3" s="1"/>
  <c r="P258" i="3"/>
  <c r="X258" i="3"/>
  <c r="S259" i="3"/>
  <c r="AA259" i="3"/>
  <c r="Q172" i="3"/>
  <c r="W174" i="3"/>
  <c r="P177" i="3"/>
  <c r="V179" i="3"/>
  <c r="AB181" i="3"/>
  <c r="Y183" i="3"/>
  <c r="Q185" i="3"/>
  <c r="AA186" i="3"/>
  <c r="X188" i="3"/>
  <c r="P190" i="3"/>
  <c r="O190" i="3" s="1"/>
  <c r="Z191" i="3"/>
  <c r="W193" i="3"/>
  <c r="AA194" i="3"/>
  <c r="Q196" i="3"/>
  <c r="T197" i="3"/>
  <c r="W198" i="3"/>
  <c r="X199" i="3"/>
  <c r="V200" i="3"/>
  <c r="W201" i="3"/>
  <c r="X202" i="3"/>
  <c r="V203" i="3"/>
  <c r="W204" i="3"/>
  <c r="U205" i="3"/>
  <c r="AE205" i="3" s="1"/>
  <c r="V206" i="3"/>
  <c r="W207" i="3"/>
  <c r="U208" i="3"/>
  <c r="AE208" i="3" s="1"/>
  <c r="V209" i="3"/>
  <c r="T210" i="3"/>
  <c r="U211" i="3"/>
  <c r="AE211" i="3" s="1"/>
  <c r="R212" i="3"/>
  <c r="Q213" i="3"/>
  <c r="AA213" i="3"/>
  <c r="X214" i="3"/>
  <c r="U215" i="3"/>
  <c r="AE215" i="3" s="1"/>
  <c r="Q216" i="3"/>
  <c r="Z216" i="3"/>
  <c r="V217" i="3"/>
  <c r="R218" i="3"/>
  <c r="AA218" i="3"/>
  <c r="W219" i="3"/>
  <c r="T220" i="3"/>
  <c r="P221" i="3"/>
  <c r="Y221" i="3"/>
  <c r="U222" i="3"/>
  <c r="AE222" i="3" s="1"/>
  <c r="Q223" i="3"/>
  <c r="Z223" i="3"/>
  <c r="V224" i="3"/>
  <c r="S225" i="3"/>
  <c r="AB225" i="3"/>
  <c r="X226" i="3"/>
  <c r="T227" i="3"/>
  <c r="AB227" i="3"/>
  <c r="W228" i="3"/>
  <c r="R229" i="3"/>
  <c r="Z229" i="3"/>
  <c r="U230" i="3"/>
  <c r="AE230" i="3" s="1"/>
  <c r="P231" i="3"/>
  <c r="AD231" i="3" s="1"/>
  <c r="X231" i="3"/>
  <c r="S232" i="3"/>
  <c r="AA232" i="3"/>
  <c r="V233" i="3"/>
  <c r="Q234" i="3"/>
  <c r="Y234" i="3"/>
  <c r="T235" i="3"/>
  <c r="AB235" i="3"/>
  <c r="W236" i="3"/>
  <c r="R237" i="3"/>
  <c r="Z237" i="3"/>
  <c r="U238" i="3"/>
  <c r="AE238" i="3" s="1"/>
  <c r="P239" i="3"/>
  <c r="O239" i="3" s="1"/>
  <c r="X239" i="3"/>
  <c r="S240" i="3"/>
  <c r="AA240" i="3"/>
  <c r="V241" i="3"/>
  <c r="Q242" i="3"/>
  <c r="Y242" i="3"/>
  <c r="T243" i="3"/>
  <c r="AB243" i="3"/>
  <c r="W244" i="3"/>
  <c r="R245" i="3"/>
  <c r="Z245" i="3"/>
  <c r="U246" i="3"/>
  <c r="AE246" i="3" s="1"/>
  <c r="P247" i="3"/>
  <c r="X247" i="3"/>
  <c r="S248" i="3"/>
  <c r="X172" i="3"/>
  <c r="Q175" i="3"/>
  <c r="W177" i="3"/>
  <c r="P180" i="3"/>
  <c r="O180" i="3" s="1"/>
  <c r="P182" i="3"/>
  <c r="Z183" i="3"/>
  <c r="W185" i="3"/>
  <c r="AB186" i="3"/>
  <c r="Y188" i="3"/>
  <c r="V190" i="3"/>
  <c r="AA191" i="3"/>
  <c r="X193" i="3"/>
  <c r="AB194" i="3"/>
  <c r="R196" i="3"/>
  <c r="U197" i="3"/>
  <c r="AE197" i="3" s="1"/>
  <c r="X198" i="3"/>
  <c r="Y199" i="3"/>
  <c r="Z200" i="3"/>
  <c r="X201" i="3"/>
  <c r="Y202" i="3"/>
  <c r="W203" i="3"/>
  <c r="X204" i="3"/>
  <c r="Y205" i="3"/>
  <c r="W206" i="3"/>
  <c r="X207" i="3"/>
  <c r="V208" i="3"/>
  <c r="W209" i="3"/>
  <c r="X210" i="3"/>
  <c r="V211" i="3"/>
  <c r="U212" i="3"/>
  <c r="AE212" i="3" s="1"/>
  <c r="R213" i="3"/>
  <c r="AB213" i="3"/>
  <c r="Z214" i="3"/>
  <c r="V215" i="3"/>
  <c r="R216" i="3"/>
  <c r="AA216" i="3"/>
  <c r="W217" i="3"/>
  <c r="S218" i="3"/>
  <c r="AB218" i="3"/>
  <c r="Y219" i="3"/>
  <c r="U220" i="3"/>
  <c r="AE220" i="3" s="1"/>
  <c r="Q221" i="3"/>
  <c r="Z221" i="3"/>
  <c r="V222" i="3"/>
  <c r="R223" i="3"/>
  <c r="AA223" i="3"/>
  <c r="X224" i="3"/>
  <c r="T225" i="3"/>
  <c r="P226" i="3"/>
  <c r="Y226" i="3"/>
  <c r="U227" i="3"/>
  <c r="AE227" i="3" s="1"/>
  <c r="P228" i="3"/>
  <c r="O228" i="3" s="1"/>
  <c r="X228" i="3"/>
  <c r="S229" i="3"/>
  <c r="AA229" i="3"/>
  <c r="V230" i="3"/>
  <c r="Q231" i="3"/>
  <c r="Y231" i="3"/>
  <c r="T232" i="3"/>
  <c r="AB232" i="3"/>
  <c r="W233" i="3"/>
  <c r="R234" i="3"/>
  <c r="Z234" i="3"/>
  <c r="U235" i="3"/>
  <c r="AE235" i="3" s="1"/>
  <c r="P236" i="3"/>
  <c r="X236" i="3"/>
  <c r="S237" i="3"/>
  <c r="AA237" i="3"/>
  <c r="Y172" i="3"/>
  <c r="R175" i="3"/>
  <c r="X177" i="3"/>
  <c r="Q180" i="3"/>
  <c r="V182" i="3"/>
  <c r="AA183" i="3"/>
  <c r="X185" i="3"/>
  <c r="U187" i="3"/>
  <c r="AE187" i="3" s="1"/>
  <c r="Z188" i="3"/>
  <c r="W190" i="3"/>
  <c r="T192" i="3"/>
  <c r="Y193" i="3"/>
  <c r="S195" i="3"/>
  <c r="V196" i="3"/>
  <c r="Y197" i="3"/>
  <c r="AB198" i="3"/>
  <c r="Z199" i="3"/>
  <c r="AA200" i="3"/>
  <c r="Y201" i="3"/>
  <c r="Z202" i="3"/>
  <c r="AA203" i="3"/>
  <c r="Y204" i="3"/>
  <c r="Z205" i="3"/>
  <c r="X206" i="3"/>
  <c r="Y207" i="3"/>
  <c r="Z208" i="3"/>
  <c r="X209" i="3"/>
  <c r="Y210" i="3"/>
  <c r="W211" i="3"/>
  <c r="V212" i="3"/>
  <c r="S213" i="3"/>
  <c r="P214" i="3"/>
  <c r="N214" i="3" s="1"/>
  <c r="AA214" i="3"/>
  <c r="W215" i="3"/>
  <c r="S216" i="3"/>
  <c r="AB216" i="3"/>
  <c r="X217" i="3"/>
  <c r="T218" i="3"/>
  <c r="Q219" i="3"/>
  <c r="Z219" i="3"/>
  <c r="V220" i="3"/>
  <c r="R221" i="3"/>
  <c r="AA221" i="3"/>
  <c r="W222" i="3"/>
  <c r="S223" i="3"/>
  <c r="P224" i="3"/>
  <c r="Y224" i="3"/>
  <c r="U225" i="3"/>
  <c r="AE225" i="3" s="1"/>
  <c r="Q226" i="3"/>
  <c r="Z226" i="3"/>
  <c r="V227" i="3"/>
  <c r="Q228" i="3"/>
  <c r="Y228" i="3"/>
  <c r="T229" i="3"/>
  <c r="AB229" i="3"/>
  <c r="W230" i="3"/>
  <c r="R231" i="3"/>
  <c r="Z231" i="3"/>
  <c r="U232" i="3"/>
  <c r="AE232" i="3" s="1"/>
  <c r="P233" i="3"/>
  <c r="X233" i="3"/>
  <c r="S234" i="3"/>
  <c r="AA234" i="3"/>
  <c r="V235" i="3"/>
  <c r="Q236" i="3"/>
  <c r="Y236" i="3"/>
  <c r="T237" i="3"/>
  <c r="AB237" i="3"/>
  <c r="W238" i="3"/>
  <c r="R239" i="3"/>
  <c r="Z239" i="3"/>
  <c r="U240" i="3"/>
  <c r="AE240" i="3" s="1"/>
  <c r="P241" i="3"/>
  <c r="X241" i="3"/>
  <c r="S242" i="3"/>
  <c r="AA242" i="3"/>
  <c r="V243" i="3"/>
  <c r="V238" i="3"/>
  <c r="U243" i="3"/>
  <c r="AE243" i="3" s="1"/>
  <c r="AB245" i="3"/>
  <c r="U248" i="3"/>
  <c r="AE248" i="3" s="1"/>
  <c r="R250" i="3"/>
  <c r="AB251" i="3"/>
  <c r="T253" i="3"/>
  <c r="Q255" i="3"/>
  <c r="AA256" i="3"/>
  <c r="S258" i="3"/>
  <c r="P260" i="3"/>
  <c r="N260" i="3" s="1"/>
  <c r="R261" i="3"/>
  <c r="S262" i="3"/>
  <c r="Q263" i="3"/>
  <c r="R264" i="3"/>
  <c r="P265" i="3"/>
  <c r="AD265" i="3" s="1"/>
  <c r="Q266" i="3"/>
  <c r="R267" i="3"/>
  <c r="P268" i="3"/>
  <c r="P269" i="3"/>
  <c r="O269" i="3" s="1"/>
  <c r="Z269" i="3"/>
  <c r="W270" i="3"/>
  <c r="V271" i="3"/>
  <c r="S272" i="3"/>
  <c r="P273" i="3"/>
  <c r="N273" i="3" s="1"/>
  <c r="AB273" i="3"/>
  <c r="Y274" i="3"/>
  <c r="V275" i="3"/>
  <c r="U276" i="3"/>
  <c r="AE276" i="3" s="1"/>
  <c r="R277" i="3"/>
  <c r="AB277" i="3"/>
  <c r="AA278" i="3"/>
  <c r="X279" i="3"/>
  <c r="T280" i="3"/>
  <c r="P281" i="3"/>
  <c r="Z281" i="3"/>
  <c r="V282" i="3"/>
  <c r="R283" i="3"/>
  <c r="AA283" i="3"/>
  <c r="W284" i="3"/>
  <c r="S285" i="3"/>
  <c r="AB285" i="3"/>
  <c r="Y286" i="3"/>
  <c r="U287" i="3"/>
  <c r="AE287" i="3" s="1"/>
  <c r="Q288" i="3"/>
  <c r="Z288" i="3"/>
  <c r="V289" i="3"/>
  <c r="R290" i="3"/>
  <c r="AA290" i="3"/>
  <c r="V291" i="3"/>
  <c r="Q292" i="3"/>
  <c r="Y292" i="3"/>
  <c r="T293" i="3"/>
  <c r="AB293" i="3"/>
  <c r="W294" i="3"/>
  <c r="R295" i="3"/>
  <c r="Z295" i="3"/>
  <c r="U296" i="3"/>
  <c r="AE296" i="3" s="1"/>
  <c r="P297" i="3"/>
  <c r="X297" i="3"/>
  <c r="S298" i="3"/>
  <c r="AA298" i="3"/>
  <c r="V299" i="3"/>
  <c r="Q300" i="3"/>
  <c r="Y300" i="3"/>
  <c r="T301" i="3"/>
  <c r="AB301" i="3"/>
  <c r="W302" i="3"/>
  <c r="R303" i="3"/>
  <c r="Z303" i="3"/>
  <c r="U304" i="3"/>
  <c r="P305" i="3"/>
  <c r="X305" i="3"/>
  <c r="S306" i="3"/>
  <c r="AA306" i="3"/>
  <c r="V307" i="3"/>
  <c r="Q308" i="3"/>
  <c r="Y308" i="3"/>
  <c r="T309" i="3"/>
  <c r="AB309" i="3"/>
  <c r="W310" i="3"/>
  <c r="R311" i="3"/>
  <c r="Z311" i="3"/>
  <c r="U312" i="3"/>
  <c r="AE312" i="3" s="1"/>
  <c r="P313" i="3"/>
  <c r="N313" i="3" s="1"/>
  <c r="X313" i="3"/>
  <c r="S314" i="3"/>
  <c r="AA314" i="3"/>
  <c r="V315" i="3"/>
  <c r="Q316" i="3"/>
  <c r="Y316" i="3"/>
  <c r="T317" i="3"/>
  <c r="AB317" i="3"/>
  <c r="W318" i="3"/>
  <c r="R319" i="3"/>
  <c r="Z319" i="3"/>
  <c r="U320" i="3"/>
  <c r="AE320" i="3" s="1"/>
  <c r="P321" i="3"/>
  <c r="X321" i="3"/>
  <c r="S322" i="3"/>
  <c r="AA322" i="3"/>
  <c r="V323" i="3"/>
  <c r="Q324" i="3"/>
  <c r="Y324" i="3"/>
  <c r="T325" i="3"/>
  <c r="AB325" i="3"/>
  <c r="W326" i="3"/>
  <c r="R327" i="3"/>
  <c r="Z327" i="3"/>
  <c r="U328" i="3"/>
  <c r="AE328" i="3" s="1"/>
  <c r="P329" i="3"/>
  <c r="X329" i="3"/>
  <c r="S330" i="3"/>
  <c r="AA330" i="3"/>
  <c r="V331" i="3"/>
  <c r="Q332" i="3"/>
  <c r="Y332" i="3"/>
  <c r="T333" i="3"/>
  <c r="AB333" i="3"/>
  <c r="W334" i="3"/>
  <c r="R335" i="3"/>
  <c r="Z335" i="3"/>
  <c r="U336" i="3"/>
  <c r="AE336" i="3" s="1"/>
  <c r="P337" i="3"/>
  <c r="O337" i="3" s="1"/>
  <c r="X337" i="3"/>
  <c r="S338" i="3"/>
  <c r="AA338" i="3"/>
  <c r="V339" i="3"/>
  <c r="Q340" i="3"/>
  <c r="Y340" i="3"/>
  <c r="T341" i="3"/>
  <c r="AB341" i="3"/>
  <c r="W342" i="3"/>
  <c r="R343" i="3"/>
  <c r="Z343" i="3"/>
  <c r="U344" i="3"/>
  <c r="AE344" i="3" s="1"/>
  <c r="P345" i="3"/>
  <c r="N345" i="3" s="1"/>
  <c r="X345" i="3"/>
  <c r="S346" i="3"/>
  <c r="AA346" i="3"/>
  <c r="V347" i="3"/>
  <c r="Q348" i="3"/>
  <c r="Y348" i="3"/>
  <c r="T349" i="3"/>
  <c r="AB349" i="3"/>
  <c r="W350" i="3"/>
  <c r="R351" i="3"/>
  <c r="Z351" i="3"/>
  <c r="U352" i="3"/>
  <c r="AE352" i="3" s="1"/>
  <c r="P353" i="3"/>
  <c r="O353" i="3" s="1"/>
  <c r="X353" i="3"/>
  <c r="S354" i="3"/>
  <c r="AA354" i="3"/>
  <c r="V355" i="3"/>
  <c r="Q356" i="3"/>
  <c r="Y356" i="3"/>
  <c r="T357" i="3"/>
  <c r="AB357" i="3"/>
  <c r="W358" i="3"/>
  <c r="R359" i="3"/>
  <c r="Z359" i="3"/>
  <c r="U360" i="3"/>
  <c r="AE360" i="3" s="1"/>
  <c r="P361" i="3"/>
  <c r="X361" i="3"/>
  <c r="S362" i="3"/>
  <c r="AA362" i="3"/>
  <c r="V363" i="3"/>
  <c r="Q364" i="3"/>
  <c r="Y364" i="3"/>
  <c r="T365" i="3"/>
  <c r="Q239" i="3"/>
  <c r="P244" i="3"/>
  <c r="V246" i="3"/>
  <c r="AA248" i="3"/>
  <c r="S250" i="3"/>
  <c r="P252" i="3"/>
  <c r="Z253" i="3"/>
  <c r="R255" i="3"/>
  <c r="AB256" i="3"/>
  <c r="Y258" i="3"/>
  <c r="Q260" i="3"/>
  <c r="S261" i="3"/>
  <c r="T262" i="3"/>
  <c r="R263" i="3"/>
  <c r="S264" i="3"/>
  <c r="T265" i="3"/>
  <c r="R266" i="3"/>
  <c r="S267" i="3"/>
  <c r="Q268" i="3"/>
  <c r="Q269" i="3"/>
  <c r="AA269" i="3"/>
  <c r="Z270" i="3"/>
  <c r="W271" i="3"/>
  <c r="T272" i="3"/>
  <c r="S273" i="3"/>
  <c r="P274" i="3"/>
  <c r="Z274" i="3"/>
  <c r="Y275" i="3"/>
  <c r="V276" i="3"/>
  <c r="S277" i="3"/>
  <c r="R278" i="3"/>
  <c r="AB278" i="3"/>
  <c r="Y279" i="3"/>
  <c r="U280" i="3"/>
  <c r="AE280" i="3" s="1"/>
  <c r="R281" i="3"/>
  <c r="AA281" i="3"/>
  <c r="W282" i="3"/>
  <c r="S283" i="3"/>
  <c r="AB283" i="3"/>
  <c r="X284" i="3"/>
  <c r="T285" i="3"/>
  <c r="Q286" i="3"/>
  <c r="Z286" i="3"/>
  <c r="V287" i="3"/>
  <c r="R288" i="3"/>
  <c r="AA288" i="3"/>
  <c r="W289" i="3"/>
  <c r="S290" i="3"/>
  <c r="AB290" i="3"/>
  <c r="W291" i="3"/>
  <c r="R292" i="3"/>
  <c r="Z292" i="3"/>
  <c r="U293" i="3"/>
  <c r="AE293" i="3" s="1"/>
  <c r="P294" i="3"/>
  <c r="X294" i="3"/>
  <c r="S295" i="3"/>
  <c r="AA295" i="3"/>
  <c r="V296" i="3"/>
  <c r="Q297" i="3"/>
  <c r="Y297" i="3"/>
  <c r="T298" i="3"/>
  <c r="AB298" i="3"/>
  <c r="W299" i="3"/>
  <c r="R300" i="3"/>
  <c r="Z300" i="3"/>
  <c r="U301" i="3"/>
  <c r="AE301" i="3" s="1"/>
  <c r="P302" i="3"/>
  <c r="N302" i="3" s="1"/>
  <c r="X302" i="3"/>
  <c r="S303" i="3"/>
  <c r="AA303" i="3"/>
  <c r="V304" i="3"/>
  <c r="Q305" i="3"/>
  <c r="Y305" i="3"/>
  <c r="T306" i="3"/>
  <c r="AB306" i="3"/>
  <c r="W307" i="3"/>
  <c r="R308" i="3"/>
  <c r="Z308" i="3"/>
  <c r="U309" i="3"/>
  <c r="AE309" i="3" s="1"/>
  <c r="P310" i="3"/>
  <c r="X310" i="3"/>
  <c r="S311" i="3"/>
  <c r="AA311" i="3"/>
  <c r="V312" i="3"/>
  <c r="Q313" i="3"/>
  <c r="Y313" i="3"/>
  <c r="T314" i="3"/>
  <c r="AB314" i="3"/>
  <c r="W315" i="3"/>
  <c r="R316" i="3"/>
  <c r="Z316" i="3"/>
  <c r="U317" i="3"/>
  <c r="AE317" i="3" s="1"/>
  <c r="P318" i="3"/>
  <c r="X318" i="3"/>
  <c r="S319" i="3"/>
  <c r="AA319" i="3"/>
  <c r="V320" i="3"/>
  <c r="Q321" i="3"/>
  <c r="Y321" i="3"/>
  <c r="T322" i="3"/>
  <c r="AB322" i="3"/>
  <c r="W323" i="3"/>
  <c r="R324" i="3"/>
  <c r="Z324" i="3"/>
  <c r="U325" i="3"/>
  <c r="AE325" i="3" s="1"/>
  <c r="P326" i="3"/>
  <c r="AD326" i="3" s="1"/>
  <c r="X326" i="3"/>
  <c r="S327" i="3"/>
  <c r="AA327" i="3"/>
  <c r="V328" i="3"/>
  <c r="Q329" i="3"/>
  <c r="Y329" i="3"/>
  <c r="T330" i="3"/>
  <c r="AB330" i="3"/>
  <c r="W331" i="3"/>
  <c r="R332" i="3"/>
  <c r="Z332" i="3"/>
  <c r="U333" i="3"/>
  <c r="P334" i="3"/>
  <c r="X334" i="3"/>
  <c r="S335" i="3"/>
  <c r="AA335" i="3"/>
  <c r="V336" i="3"/>
  <c r="Q337" i="3"/>
  <c r="Y337" i="3"/>
  <c r="T338" i="3"/>
  <c r="AB338" i="3"/>
  <c r="W339" i="3"/>
  <c r="R340" i="3"/>
  <c r="Z340" i="3"/>
  <c r="U341" i="3"/>
  <c r="P342" i="3"/>
  <c r="AD342" i="3" s="1"/>
  <c r="X342" i="3"/>
  <c r="S343" i="3"/>
  <c r="AA343" i="3"/>
  <c r="V344" i="3"/>
  <c r="Q345" i="3"/>
  <c r="Y345" i="3"/>
  <c r="T346" i="3"/>
  <c r="Y239" i="3"/>
  <c r="Q244" i="3"/>
  <c r="W246" i="3"/>
  <c r="AB248" i="3"/>
  <c r="Y250" i="3"/>
  <c r="Q252" i="3"/>
  <c r="AA253" i="3"/>
  <c r="X255" i="3"/>
  <c r="P257" i="3"/>
  <c r="Z258" i="3"/>
  <c r="V260" i="3"/>
  <c r="T261" i="3"/>
  <c r="U262" i="3"/>
  <c r="AE262" i="3" s="1"/>
  <c r="V263" i="3"/>
  <c r="T264" i="3"/>
  <c r="U265" i="3"/>
  <c r="AE265" i="3" s="1"/>
  <c r="S266" i="3"/>
  <c r="T267" i="3"/>
  <c r="U268" i="3"/>
  <c r="AE268" i="3" s="1"/>
  <c r="R269" i="3"/>
  <c r="AB269" i="3"/>
  <c r="AA270" i="3"/>
  <c r="X271" i="3"/>
  <c r="U272" i="3"/>
  <c r="AE272" i="3" s="1"/>
  <c r="T273" i="3"/>
  <c r="Q274" i="3"/>
  <c r="AA274" i="3"/>
  <c r="Z275" i="3"/>
  <c r="W276" i="3"/>
  <c r="T277" i="3"/>
  <c r="S278" i="3"/>
  <c r="P279" i="3"/>
  <c r="Z279" i="3"/>
  <c r="W280" i="3"/>
  <c r="S281" i="3"/>
  <c r="AB281" i="3"/>
  <c r="X282" i="3"/>
  <c r="T283" i="3"/>
  <c r="P284" i="3"/>
  <c r="Y284" i="3"/>
  <c r="V285" i="3"/>
  <c r="R286" i="3"/>
  <c r="AA286" i="3"/>
  <c r="W287" i="3"/>
  <c r="S288" i="3"/>
  <c r="AB288" i="3"/>
  <c r="X289" i="3"/>
  <c r="U290" i="3"/>
  <c r="AE290" i="3" s="1"/>
  <c r="P291" i="3"/>
  <c r="N291" i="3" s="1"/>
  <c r="X291" i="3"/>
  <c r="S292" i="3"/>
  <c r="AA292" i="3"/>
  <c r="V293" i="3"/>
  <c r="Q294" i="3"/>
  <c r="Y294" i="3"/>
  <c r="T295" i="3"/>
  <c r="AB295" i="3"/>
  <c r="W296" i="3"/>
  <c r="R297" i="3"/>
  <c r="Z297" i="3"/>
  <c r="U298" i="3"/>
  <c r="AE298" i="3" s="1"/>
  <c r="P299" i="3"/>
  <c r="AD299" i="3" s="1"/>
  <c r="X299" i="3"/>
  <c r="S300" i="3"/>
  <c r="AA300" i="3"/>
  <c r="V301" i="3"/>
  <c r="Q302" i="3"/>
  <c r="Y302" i="3"/>
  <c r="T303" i="3"/>
  <c r="AB303" i="3"/>
  <c r="W304" i="3"/>
  <c r="R305" i="3"/>
  <c r="Z305" i="3"/>
  <c r="U306" i="3"/>
  <c r="AE306" i="3" s="1"/>
  <c r="P307" i="3"/>
  <c r="X307" i="3"/>
  <c r="S308" i="3"/>
  <c r="AA308" i="3"/>
  <c r="V309" i="3"/>
  <c r="Q310" i="3"/>
  <c r="Y310" i="3"/>
  <c r="T311" i="3"/>
  <c r="AB311" i="3"/>
  <c r="W312" i="3"/>
  <c r="R313" i="3"/>
  <c r="Z313" i="3"/>
  <c r="U314" i="3"/>
  <c r="AE314" i="3" s="1"/>
  <c r="P315" i="3"/>
  <c r="N315" i="3" s="1"/>
  <c r="X315" i="3"/>
  <c r="S316" i="3"/>
  <c r="AA316" i="3"/>
  <c r="V317" i="3"/>
  <c r="Q318" i="3"/>
  <c r="Y318" i="3"/>
  <c r="T319" i="3"/>
  <c r="AB319" i="3"/>
  <c r="W320" i="3"/>
  <c r="R321" i="3"/>
  <c r="Z321" i="3"/>
  <c r="U322" i="3"/>
  <c r="AE322" i="3" s="1"/>
  <c r="P323" i="3"/>
  <c r="X323" i="3"/>
  <c r="S324" i="3"/>
  <c r="AA324" i="3"/>
  <c r="V325" i="3"/>
  <c r="Q326" i="3"/>
  <c r="Y326" i="3"/>
  <c r="T327" i="3"/>
  <c r="AB327" i="3"/>
  <c r="W328" i="3"/>
  <c r="R329" i="3"/>
  <c r="Z329" i="3"/>
  <c r="U330" i="3"/>
  <c r="AE330" i="3" s="1"/>
  <c r="P331" i="3"/>
  <c r="AD331" i="3" s="1"/>
  <c r="X331" i="3"/>
  <c r="S332" i="3"/>
  <c r="AA332" i="3"/>
  <c r="V333" i="3"/>
  <c r="Q334" i="3"/>
  <c r="Y334" i="3"/>
  <c r="T335" i="3"/>
  <c r="AB335" i="3"/>
  <c r="W336" i="3"/>
  <c r="R337" i="3"/>
  <c r="Z337" i="3"/>
  <c r="U338" i="3"/>
  <c r="AE338" i="3" s="1"/>
  <c r="P339" i="3"/>
  <c r="X339" i="3"/>
  <c r="S340" i="3"/>
  <c r="AA340" i="3"/>
  <c r="V341" i="3"/>
  <c r="Q342" i="3"/>
  <c r="T240" i="3"/>
  <c r="X244" i="3"/>
  <c r="Q247" i="3"/>
  <c r="P249" i="3"/>
  <c r="Z250" i="3"/>
  <c r="W252" i="3"/>
  <c r="AB253" i="3"/>
  <c r="Y255" i="3"/>
  <c r="V257" i="3"/>
  <c r="AA258" i="3"/>
  <c r="W260" i="3"/>
  <c r="X261" i="3"/>
  <c r="V262" i="3"/>
  <c r="W263" i="3"/>
  <c r="U264" i="3"/>
  <c r="V265" i="3"/>
  <c r="W266" i="3"/>
  <c r="U267" i="3"/>
  <c r="AE267" i="3" s="1"/>
  <c r="V268" i="3"/>
  <c r="S269" i="3"/>
  <c r="R270" i="3"/>
  <c r="AB270" i="3"/>
  <c r="Y271" i="3"/>
  <c r="X272" i="3"/>
  <c r="U273" i="3"/>
  <c r="AE273" i="3" s="1"/>
  <c r="R274" i="3"/>
  <c r="Q275" i="3"/>
  <c r="AA275" i="3"/>
  <c r="X276" i="3"/>
  <c r="W277" i="3"/>
  <c r="T278" i="3"/>
  <c r="Q279" i="3"/>
  <c r="AB279" i="3"/>
  <c r="X280" i="3"/>
  <c r="T281" i="3"/>
  <c r="P282" i="3"/>
  <c r="Y282" i="3"/>
  <c r="U283" i="3"/>
  <c r="AE283" i="3" s="1"/>
  <c r="Q284" i="3"/>
  <c r="AA284" i="3"/>
  <c r="W285" i="3"/>
  <c r="S286" i="3"/>
  <c r="AB286" i="3"/>
  <c r="X287" i="3"/>
  <c r="T288" i="3"/>
  <c r="P289" i="3"/>
  <c r="Z289" i="3"/>
  <c r="V290" i="3"/>
  <c r="Q291" i="3"/>
  <c r="Y291" i="3"/>
  <c r="T292" i="3"/>
  <c r="AB292" i="3"/>
  <c r="W293" i="3"/>
  <c r="R294" i="3"/>
  <c r="Z294" i="3"/>
  <c r="U295" i="3"/>
  <c r="AE295" i="3" s="1"/>
  <c r="P296" i="3"/>
  <c r="N296" i="3" s="1"/>
  <c r="X296" i="3"/>
  <c r="S297" i="3"/>
  <c r="AA297" i="3"/>
  <c r="V298" i="3"/>
  <c r="Q299" i="3"/>
  <c r="Y299" i="3"/>
  <c r="T300" i="3"/>
  <c r="AB300" i="3"/>
  <c r="W301" i="3"/>
  <c r="R302" i="3"/>
  <c r="Z302" i="3"/>
  <c r="U303" i="3"/>
  <c r="AE303" i="3" s="1"/>
  <c r="P304" i="3"/>
  <c r="X304" i="3"/>
  <c r="S305" i="3"/>
  <c r="AA305" i="3"/>
  <c r="V306" i="3"/>
  <c r="Q307" i="3"/>
  <c r="Y307" i="3"/>
  <c r="T308" i="3"/>
  <c r="AB308" i="3"/>
  <c r="W309" i="3"/>
  <c r="R310" i="3"/>
  <c r="Z310" i="3"/>
  <c r="U311" i="3"/>
  <c r="AE311" i="3" s="1"/>
  <c r="P312" i="3"/>
  <c r="O312" i="3" s="1"/>
  <c r="X312" i="3"/>
  <c r="S313" i="3"/>
  <c r="AA313" i="3"/>
  <c r="V314" i="3"/>
  <c r="Q315" i="3"/>
  <c r="Y315" i="3"/>
  <c r="T316" i="3"/>
  <c r="AB316" i="3"/>
  <c r="W317" i="3"/>
  <c r="R318" i="3"/>
  <c r="Z318" i="3"/>
  <c r="U319" i="3"/>
  <c r="AE319" i="3" s="1"/>
  <c r="P320" i="3"/>
  <c r="X320" i="3"/>
  <c r="S321" i="3"/>
  <c r="AA321" i="3"/>
  <c r="V322" i="3"/>
  <c r="AB240" i="3"/>
  <c r="Y244" i="3"/>
  <c r="R247" i="3"/>
  <c r="V249" i="3"/>
  <c r="AA250" i="3"/>
  <c r="X252" i="3"/>
  <c r="U254" i="3"/>
  <c r="AE254" i="3" s="1"/>
  <c r="Z255" i="3"/>
  <c r="W257" i="3"/>
  <c r="T259" i="3"/>
  <c r="X260" i="3"/>
  <c r="Y261" i="3"/>
  <c r="W262" i="3"/>
  <c r="X263" i="3"/>
  <c r="Y264" i="3"/>
  <c r="W265" i="3"/>
  <c r="X266" i="3"/>
  <c r="V267" i="3"/>
  <c r="W268" i="3"/>
  <c r="T269" i="3"/>
  <c r="S270" i="3"/>
  <c r="P271" i="3"/>
  <c r="Z271" i="3"/>
  <c r="Y272" i="3"/>
  <c r="V273" i="3"/>
  <c r="S274" i="3"/>
  <c r="R275" i="3"/>
  <c r="AB275" i="3"/>
  <c r="Y276" i="3"/>
  <c r="X277" i="3"/>
  <c r="U278" i="3"/>
  <c r="AE278" i="3" s="1"/>
  <c r="R279" i="3"/>
  <c r="P280" i="3"/>
  <c r="O280" i="3" s="1"/>
  <c r="Y280" i="3"/>
  <c r="U281" i="3"/>
  <c r="AE281" i="3" s="1"/>
  <c r="Q282" i="3"/>
  <c r="Z282" i="3"/>
  <c r="V283" i="3"/>
  <c r="S284" i="3"/>
  <c r="AB284" i="3"/>
  <c r="X285" i="3"/>
  <c r="T286" i="3"/>
  <c r="P287" i="3"/>
  <c r="AD287" i="3" s="1"/>
  <c r="Y287" i="3"/>
  <c r="U288" i="3"/>
  <c r="AE288" i="3" s="1"/>
  <c r="R289" i="3"/>
  <c r="AA289" i="3"/>
  <c r="W290" i="3"/>
  <c r="R291" i="3"/>
  <c r="Z291" i="3"/>
  <c r="U292" i="3"/>
  <c r="P293" i="3"/>
  <c r="AD293" i="3" s="1"/>
  <c r="X293" i="3"/>
  <c r="S294" i="3"/>
  <c r="AA294" i="3"/>
  <c r="V295" i="3"/>
  <c r="Q296" i="3"/>
  <c r="Y296" i="3"/>
  <c r="T297" i="3"/>
  <c r="AB297" i="3"/>
  <c r="W298" i="3"/>
  <c r="R299" i="3"/>
  <c r="Z299" i="3"/>
  <c r="U300" i="3"/>
  <c r="AE300" i="3" s="1"/>
  <c r="P301" i="3"/>
  <c r="X301" i="3"/>
  <c r="S302" i="3"/>
  <c r="AA302" i="3"/>
  <c r="V303" i="3"/>
  <c r="Q304" i="3"/>
  <c r="Y304" i="3"/>
  <c r="T305" i="3"/>
  <c r="AB305" i="3"/>
  <c r="W306" i="3"/>
  <c r="R307" i="3"/>
  <c r="Z307" i="3"/>
  <c r="U308" i="3"/>
  <c r="AE308" i="3" s="1"/>
  <c r="P309" i="3"/>
  <c r="X309" i="3"/>
  <c r="S310" i="3"/>
  <c r="AA310" i="3"/>
  <c r="V311" i="3"/>
  <c r="Q312" i="3"/>
  <c r="Y312" i="3"/>
  <c r="T313" i="3"/>
  <c r="AB313" i="3"/>
  <c r="W314" i="3"/>
  <c r="R315" i="3"/>
  <c r="Z315" i="3"/>
  <c r="U316" i="3"/>
  <c r="AE316" i="3" s="1"/>
  <c r="P317" i="3"/>
  <c r="N317" i="3" s="1"/>
  <c r="X317" i="3"/>
  <c r="S318" i="3"/>
  <c r="AA318" i="3"/>
  <c r="V319" i="3"/>
  <c r="Q320" i="3"/>
  <c r="Y320" i="3"/>
  <c r="T321" i="3"/>
  <c r="AB321" i="3"/>
  <c r="W322" i="3"/>
  <c r="R323" i="3"/>
  <c r="Z323" i="3"/>
  <c r="U324" i="3"/>
  <c r="AE324" i="3" s="1"/>
  <c r="P325" i="3"/>
  <c r="X325" i="3"/>
  <c r="S326" i="3"/>
  <c r="AA326" i="3"/>
  <c r="V327" i="3"/>
  <c r="W241" i="3"/>
  <c r="S245" i="3"/>
  <c r="Y247" i="3"/>
  <c r="W249" i="3"/>
  <c r="T251" i="3"/>
  <c r="Y252" i="3"/>
  <c r="V254" i="3"/>
  <c r="S256" i="3"/>
  <c r="X257" i="3"/>
  <c r="U259" i="3"/>
  <c r="AE259" i="3" s="1"/>
  <c r="Y260" i="3"/>
  <c r="Z261" i="3"/>
  <c r="AA262" i="3"/>
  <c r="Y263" i="3"/>
  <c r="Z264" i="3"/>
  <c r="X265" i="3"/>
  <c r="Y266" i="3"/>
  <c r="Z267" i="3"/>
  <c r="X268" i="3"/>
  <c r="W269" i="3"/>
  <c r="T270" i="3"/>
  <c r="Q271" i="3"/>
  <c r="P272" i="3"/>
  <c r="Z272" i="3"/>
  <c r="W273" i="3"/>
  <c r="V274" i="3"/>
  <c r="S275" i="3"/>
  <c r="P276" i="3"/>
  <c r="N276" i="3" s="1"/>
  <c r="AB276" i="3"/>
  <c r="Y277" i="3"/>
  <c r="V278" i="3"/>
  <c r="U279" i="3"/>
  <c r="Q280" i="3"/>
  <c r="Z280" i="3"/>
  <c r="V281" i="3"/>
  <c r="R282" i="3"/>
  <c r="AA282" i="3"/>
  <c r="X283" i="3"/>
  <c r="T284" i="3"/>
  <c r="P285" i="3"/>
  <c r="O285" i="3" s="1"/>
  <c r="Y285" i="3"/>
  <c r="U286" i="3"/>
  <c r="AE286" i="3" s="1"/>
  <c r="Q287" i="3"/>
  <c r="Z287" i="3"/>
  <c r="W288" i="3"/>
  <c r="S289" i="3"/>
  <c r="AB289" i="3"/>
  <c r="X290" i="3"/>
  <c r="S291" i="3"/>
  <c r="AA291" i="3"/>
  <c r="V292" i="3"/>
  <c r="Q293" i="3"/>
  <c r="Y293" i="3"/>
  <c r="T294" i="3"/>
  <c r="AB294" i="3"/>
  <c r="W295" i="3"/>
  <c r="R296" i="3"/>
  <c r="Z296" i="3"/>
  <c r="U297" i="3"/>
  <c r="AE297" i="3" s="1"/>
  <c r="P298" i="3"/>
  <c r="X298" i="3"/>
  <c r="R242" i="3"/>
  <c r="T245" i="3"/>
  <c r="Z247" i="3"/>
  <c r="X249" i="3"/>
  <c r="U251" i="3"/>
  <c r="AE251" i="3" s="1"/>
  <c r="R253" i="3"/>
  <c r="W254" i="3"/>
  <c r="T256" i="3"/>
  <c r="Q258" i="3"/>
  <c r="V259" i="3"/>
  <c r="P261" i="3"/>
  <c r="AA261" i="3"/>
  <c r="AB262" i="3"/>
  <c r="Z263" i="3"/>
  <c r="AA264" i="3"/>
  <c r="AB265" i="3"/>
  <c r="Z266" i="3"/>
  <c r="AA267" i="3"/>
  <c r="Y268" i="3"/>
  <c r="X269" i="3"/>
  <c r="U270" i="3"/>
  <c r="AE270" i="3" s="1"/>
  <c r="R271" i="3"/>
  <c r="Q272" i="3"/>
  <c r="AA272" i="3"/>
  <c r="X273" i="3"/>
  <c r="W274" i="3"/>
  <c r="T275" i="3"/>
  <c r="Q276" i="3"/>
  <c r="P277" i="3"/>
  <c r="Z277" i="3"/>
  <c r="W278" i="3"/>
  <c r="V279" i="3"/>
  <c r="R280" i="3"/>
  <c r="AA280" i="3"/>
  <c r="W281" i="3"/>
  <c r="S282" i="3"/>
  <c r="P283" i="3"/>
  <c r="AD283" i="3" s="1"/>
  <c r="Y283" i="3"/>
  <c r="U284" i="3"/>
  <c r="AE284" i="3" s="1"/>
  <c r="Q285" i="3"/>
  <c r="Z285" i="3"/>
  <c r="V286" i="3"/>
  <c r="R287" i="3"/>
  <c r="AB287" i="3"/>
  <c r="X288" i="3"/>
  <c r="T289" i="3"/>
  <c r="P290" i="3"/>
  <c r="Y290" i="3"/>
  <c r="T291" i="3"/>
  <c r="AB291" i="3"/>
  <c r="W292" i="3"/>
  <c r="R293" i="3"/>
  <c r="Z293" i="3"/>
  <c r="U294" i="3"/>
  <c r="AE294" i="3" s="1"/>
  <c r="P295" i="3"/>
  <c r="AD295" i="3" s="1"/>
  <c r="X295" i="3"/>
  <c r="S296" i="3"/>
  <c r="AA296" i="3"/>
  <c r="V297" i="3"/>
  <c r="Q298" i="3"/>
  <c r="Y298" i="3"/>
  <c r="T299" i="3"/>
  <c r="AB299" i="3"/>
  <c r="W300" i="3"/>
  <c r="R301" i="3"/>
  <c r="Z301" i="3"/>
  <c r="U302" i="3"/>
  <c r="AE302" i="3" s="1"/>
  <c r="P303" i="3"/>
  <c r="N303" i="3" s="1"/>
  <c r="Z242" i="3"/>
  <c r="AA245" i="3"/>
  <c r="T248" i="3"/>
  <c r="Q250" i="3"/>
  <c r="V251" i="3"/>
  <c r="S253" i="3"/>
  <c r="P255" i="3"/>
  <c r="N255" i="3" s="1"/>
  <c r="U256" i="3"/>
  <c r="AE256" i="3" s="1"/>
  <c r="R258" i="3"/>
  <c r="AB259" i="3"/>
  <c r="Q261" i="3"/>
  <c r="AB261" i="3"/>
  <c r="P263" i="3"/>
  <c r="O263" i="3" s="1"/>
  <c r="Q264" i="3"/>
  <c r="AB264" i="3"/>
  <c r="P266" i="3"/>
  <c r="AA266" i="3"/>
  <c r="AB267" i="3"/>
  <c r="AB268" i="3"/>
  <c r="Y269" i="3"/>
  <c r="V270" i="3"/>
  <c r="U271" i="3"/>
  <c r="R272" i="3"/>
  <c r="AB272" i="3"/>
  <c r="AA273" i="3"/>
  <c r="X274" i="3"/>
  <c r="U275" i="3"/>
  <c r="AE275" i="3" s="1"/>
  <c r="T276" i="3"/>
  <c r="Q277" i="3"/>
  <c r="AA277" i="3"/>
  <c r="Z278" i="3"/>
  <c r="W279" i="3"/>
  <c r="S280" i="3"/>
  <c r="AB280" i="3"/>
  <c r="X281" i="3"/>
  <c r="U282" i="3"/>
  <c r="AE282" i="3" s="1"/>
  <c r="Q283" i="3"/>
  <c r="Z283" i="3"/>
  <c r="V284" i="3"/>
  <c r="R285" i="3"/>
  <c r="AA285" i="3"/>
  <c r="W286" i="3"/>
  <c r="T287" i="3"/>
  <c r="P288" i="3"/>
  <c r="Y288" i="3"/>
  <c r="U289" i="3"/>
  <c r="Q290" i="3"/>
  <c r="Z290" i="3"/>
  <c r="U291" i="3"/>
  <c r="AE291" i="3" s="1"/>
  <c r="P292" i="3"/>
  <c r="N292" i="3" s="1"/>
  <c r="X292" i="3"/>
  <c r="S293" i="3"/>
  <c r="AA293" i="3"/>
  <c r="V294" i="3"/>
  <c r="Q295" i="3"/>
  <c r="Y295" i="3"/>
  <c r="T296" i="3"/>
  <c r="AB296" i="3"/>
  <c r="W297" i="3"/>
  <c r="R298" i="3"/>
  <c r="Z298" i="3"/>
  <c r="U299" i="3"/>
  <c r="AE299" i="3" s="1"/>
  <c r="P300" i="3"/>
  <c r="N300" i="3" s="1"/>
  <c r="X300" i="3"/>
  <c r="S301" i="3"/>
  <c r="AA301" i="3"/>
  <c r="V302" i="3"/>
  <c r="Q303" i="3"/>
  <c r="Y303" i="3"/>
  <c r="T304" i="3"/>
  <c r="AB304" i="3"/>
  <c r="W305" i="3"/>
  <c r="R306" i="3"/>
  <c r="Z306" i="3"/>
  <c r="U307" i="3"/>
  <c r="AE307" i="3" s="1"/>
  <c r="P308" i="3"/>
  <c r="N308" i="3" s="1"/>
  <c r="X308" i="3"/>
  <c r="S309" i="3"/>
  <c r="AA309" i="3"/>
  <c r="V310" i="3"/>
  <c r="Q311" i="3"/>
  <c r="S299" i="3"/>
  <c r="X303" i="3"/>
  <c r="Q306" i="3"/>
  <c r="W308" i="3"/>
  <c r="P311" i="3"/>
  <c r="AD311" i="3" s="1"/>
  <c r="AA312" i="3"/>
  <c r="X314" i="3"/>
  <c r="P316" i="3"/>
  <c r="Z317" i="3"/>
  <c r="W319" i="3"/>
  <c r="AB320" i="3"/>
  <c r="Y322" i="3"/>
  <c r="AB323" i="3"/>
  <c r="R325" i="3"/>
  <c r="U326" i="3"/>
  <c r="AE326" i="3" s="1"/>
  <c r="X327" i="3"/>
  <c r="Y328" i="3"/>
  <c r="W329" i="3"/>
  <c r="X330" i="3"/>
  <c r="Y331" i="3"/>
  <c r="W332" i="3"/>
  <c r="X333" i="3"/>
  <c r="V334" i="3"/>
  <c r="W335" i="3"/>
  <c r="X336" i="3"/>
  <c r="V337" i="3"/>
  <c r="W338" i="3"/>
  <c r="U339" i="3"/>
  <c r="AE339" i="3" s="1"/>
  <c r="V340" i="3"/>
  <c r="W341" i="3"/>
  <c r="U342" i="3"/>
  <c r="AE342" i="3" s="1"/>
  <c r="T343" i="3"/>
  <c r="Q344" i="3"/>
  <c r="AA344" i="3"/>
  <c r="Z345" i="3"/>
  <c r="W346" i="3"/>
  <c r="S347" i="3"/>
  <c r="AB347" i="3"/>
  <c r="X348" i="3"/>
  <c r="U349" i="3"/>
  <c r="AE349" i="3" s="1"/>
  <c r="Q350" i="3"/>
  <c r="Z350" i="3"/>
  <c r="V351" i="3"/>
  <c r="R352" i="3"/>
  <c r="AA352" i="3"/>
  <c r="W353" i="3"/>
  <c r="T354" i="3"/>
  <c r="P355" i="3"/>
  <c r="Y355" i="3"/>
  <c r="U356" i="3"/>
  <c r="AE356" i="3" s="1"/>
  <c r="Q357" i="3"/>
  <c r="Z357" i="3"/>
  <c r="V358" i="3"/>
  <c r="S359" i="3"/>
  <c r="AB359" i="3"/>
  <c r="X360" i="3"/>
  <c r="T361" i="3"/>
  <c r="P362" i="3"/>
  <c r="AD362" i="3" s="1"/>
  <c r="Y362" i="3"/>
  <c r="U363" i="3"/>
  <c r="AE363" i="3" s="1"/>
  <c r="R364" i="3"/>
  <c r="AA364" i="3"/>
  <c r="W365" i="3"/>
  <c r="R366" i="3"/>
  <c r="Z366" i="3"/>
  <c r="U367" i="3"/>
  <c r="AE367" i="3" s="1"/>
  <c r="P368" i="3"/>
  <c r="O368" i="3" s="1"/>
  <c r="X368" i="3"/>
  <c r="S369" i="3"/>
  <c r="AA369" i="3"/>
  <c r="V370" i="3"/>
  <c r="Q371" i="3"/>
  <c r="Y371" i="3"/>
  <c r="T372" i="3"/>
  <c r="AB372" i="3"/>
  <c r="W373" i="3"/>
  <c r="R374" i="3"/>
  <c r="Z374" i="3"/>
  <c r="U375" i="3"/>
  <c r="AE375" i="3" s="1"/>
  <c r="P376" i="3"/>
  <c r="X376" i="3"/>
  <c r="S377" i="3"/>
  <c r="AA377" i="3"/>
  <c r="V378" i="3"/>
  <c r="Q379" i="3"/>
  <c r="Y379" i="3"/>
  <c r="T380" i="3"/>
  <c r="AB380" i="3"/>
  <c r="W381" i="3"/>
  <c r="R382" i="3"/>
  <c r="Z382" i="3"/>
  <c r="U383" i="3"/>
  <c r="AE383" i="3" s="1"/>
  <c r="P384" i="3"/>
  <c r="AD384" i="3" s="1"/>
  <c r="X384" i="3"/>
  <c r="S385" i="3"/>
  <c r="AA385" i="3"/>
  <c r="V386" i="3"/>
  <c r="Q387" i="3"/>
  <c r="Y387" i="3"/>
  <c r="T388" i="3"/>
  <c r="AB388" i="3"/>
  <c r="W389" i="3"/>
  <c r="R390" i="3"/>
  <c r="Z390" i="3"/>
  <c r="U391" i="3"/>
  <c r="AE391" i="3" s="1"/>
  <c r="P392" i="3"/>
  <c r="X392" i="3"/>
  <c r="S393" i="3"/>
  <c r="AA393" i="3"/>
  <c r="V394" i="3"/>
  <c r="Q395" i="3"/>
  <c r="Y395" i="3"/>
  <c r="T396" i="3"/>
  <c r="AB396" i="3"/>
  <c r="W397" i="3"/>
  <c r="R398" i="3"/>
  <c r="Z398" i="3"/>
  <c r="U399" i="3"/>
  <c r="AE399" i="3" s="1"/>
  <c r="P400" i="3"/>
  <c r="AD400" i="3" s="1"/>
  <c r="X400" i="3"/>
  <c r="S401" i="3"/>
  <c r="AA401" i="3"/>
  <c r="V402" i="3"/>
  <c r="Q403" i="3"/>
  <c r="Y403" i="3"/>
  <c r="T404" i="3"/>
  <c r="AB404" i="3"/>
  <c r="W405" i="3"/>
  <c r="R406" i="3"/>
  <c r="Z406" i="3"/>
  <c r="U407" i="3"/>
  <c r="AE407" i="3" s="1"/>
  <c r="P408" i="3"/>
  <c r="N408" i="3" s="1"/>
  <c r="X408" i="3"/>
  <c r="S409" i="3"/>
  <c r="AA409" i="3"/>
  <c r="V410" i="3"/>
  <c r="Q411" i="3"/>
  <c r="Y411" i="3"/>
  <c r="T412" i="3"/>
  <c r="AB412" i="3"/>
  <c r="W413" i="3"/>
  <c r="R414" i="3"/>
  <c r="Z414" i="3"/>
  <c r="U415" i="3"/>
  <c r="AE415" i="3" s="1"/>
  <c r="P416" i="3"/>
  <c r="N416" i="3" s="1"/>
  <c r="X416" i="3"/>
  <c r="S417" i="3"/>
  <c r="AA417" i="3"/>
  <c r="V418" i="3"/>
  <c r="Q419" i="3"/>
  <c r="Y419" i="3"/>
  <c r="T420" i="3"/>
  <c r="AA299" i="3"/>
  <c r="R304" i="3"/>
  <c r="X306" i="3"/>
  <c r="Q309" i="3"/>
  <c r="W311" i="3"/>
  <c r="AB312" i="3"/>
  <c r="Y314" i="3"/>
  <c r="V316" i="3"/>
  <c r="AA317" i="3"/>
  <c r="X319" i="3"/>
  <c r="U321" i="3"/>
  <c r="AE321" i="3" s="1"/>
  <c r="Z322" i="3"/>
  <c r="P324" i="3"/>
  <c r="S325" i="3"/>
  <c r="V326" i="3"/>
  <c r="Y327" i="3"/>
  <c r="Z328" i="3"/>
  <c r="AA329" i="3"/>
  <c r="Y330" i="3"/>
  <c r="Z331" i="3"/>
  <c r="X332" i="3"/>
  <c r="Y333" i="3"/>
  <c r="Z334" i="3"/>
  <c r="X335" i="3"/>
  <c r="Y336" i="3"/>
  <c r="W337" i="3"/>
  <c r="X338" i="3"/>
  <c r="Y339" i="3"/>
  <c r="W340" i="3"/>
  <c r="X341" i="3"/>
  <c r="V342" i="3"/>
  <c r="U343" i="3"/>
  <c r="AE343" i="3" s="1"/>
  <c r="R344" i="3"/>
  <c r="AB344" i="3"/>
  <c r="AA345" i="3"/>
  <c r="X346" i="3"/>
  <c r="T347" i="3"/>
  <c r="P348" i="3"/>
  <c r="N348" i="3" s="1"/>
  <c r="Z348" i="3"/>
  <c r="V349" i="3"/>
  <c r="R350" i="3"/>
  <c r="AA350" i="3"/>
  <c r="W351" i="3"/>
  <c r="S352" i="3"/>
  <c r="AB352" i="3"/>
  <c r="Y353" i="3"/>
  <c r="U354" i="3"/>
  <c r="AE354" i="3" s="1"/>
  <c r="Q355" i="3"/>
  <c r="Z355" i="3"/>
  <c r="V356" i="3"/>
  <c r="R357" i="3"/>
  <c r="AA357" i="3"/>
  <c r="X358" i="3"/>
  <c r="T359" i="3"/>
  <c r="P360" i="3"/>
  <c r="O360" i="3" s="1"/>
  <c r="Y360" i="3"/>
  <c r="U361" i="3"/>
  <c r="AE361" i="3" s="1"/>
  <c r="Q362" i="3"/>
  <c r="Z362" i="3"/>
  <c r="W363" i="3"/>
  <c r="S364" i="3"/>
  <c r="AB364" i="3"/>
  <c r="X365" i="3"/>
  <c r="S366" i="3"/>
  <c r="AA366" i="3"/>
  <c r="V367" i="3"/>
  <c r="Q368" i="3"/>
  <c r="Y368" i="3"/>
  <c r="T369" i="3"/>
  <c r="AB369" i="3"/>
  <c r="W370" i="3"/>
  <c r="R371" i="3"/>
  <c r="Z371" i="3"/>
  <c r="U372" i="3"/>
  <c r="AE372" i="3" s="1"/>
  <c r="P373" i="3"/>
  <c r="N373" i="3" s="1"/>
  <c r="X373" i="3"/>
  <c r="S374" i="3"/>
  <c r="AA374" i="3"/>
  <c r="V375" i="3"/>
  <c r="Q376" i="3"/>
  <c r="Y376" i="3"/>
  <c r="T377" i="3"/>
  <c r="AB377" i="3"/>
  <c r="W378" i="3"/>
  <c r="R379" i="3"/>
  <c r="Z379" i="3"/>
  <c r="U380" i="3"/>
  <c r="AE380" i="3" s="1"/>
  <c r="P381" i="3"/>
  <c r="X381" i="3"/>
  <c r="S382" i="3"/>
  <c r="AA382" i="3"/>
  <c r="V383" i="3"/>
  <c r="Q384" i="3"/>
  <c r="Y384" i="3"/>
  <c r="T385" i="3"/>
  <c r="AB385" i="3"/>
  <c r="W386" i="3"/>
  <c r="R387" i="3"/>
  <c r="Z387" i="3"/>
  <c r="U388" i="3"/>
  <c r="AE388" i="3" s="1"/>
  <c r="P389" i="3"/>
  <c r="X389" i="3"/>
  <c r="S390" i="3"/>
  <c r="AA390" i="3"/>
  <c r="V391" i="3"/>
  <c r="Q392" i="3"/>
  <c r="Y392" i="3"/>
  <c r="T393" i="3"/>
  <c r="AB393" i="3"/>
  <c r="W394" i="3"/>
  <c r="R395" i="3"/>
  <c r="Z395" i="3"/>
  <c r="U396" i="3"/>
  <c r="P397" i="3"/>
  <c r="X397" i="3"/>
  <c r="S398" i="3"/>
  <c r="AA398" i="3"/>
  <c r="V399" i="3"/>
  <c r="Q400" i="3"/>
  <c r="Y400" i="3"/>
  <c r="T401" i="3"/>
  <c r="AB401" i="3"/>
  <c r="W402" i="3"/>
  <c r="R403" i="3"/>
  <c r="Z403" i="3"/>
  <c r="U404" i="3"/>
  <c r="AE404" i="3" s="1"/>
  <c r="P405" i="3"/>
  <c r="X405" i="3"/>
  <c r="S406" i="3"/>
  <c r="AA406" i="3"/>
  <c r="V407" i="3"/>
  <c r="Q408" i="3"/>
  <c r="Y408" i="3"/>
  <c r="T409" i="3"/>
  <c r="AB409" i="3"/>
  <c r="W410" i="3"/>
  <c r="R411" i="3"/>
  <c r="Z411" i="3"/>
  <c r="U412" i="3"/>
  <c r="AE412" i="3" s="1"/>
  <c r="P413" i="3"/>
  <c r="O413" i="3" s="1"/>
  <c r="X413" i="3"/>
  <c r="V300" i="3"/>
  <c r="S304" i="3"/>
  <c r="Y306" i="3"/>
  <c r="R309" i="3"/>
  <c r="X311" i="3"/>
  <c r="U313" i="3"/>
  <c r="AE313" i="3" s="1"/>
  <c r="Z314" i="3"/>
  <c r="W316" i="3"/>
  <c r="T318" i="3"/>
  <c r="Y319" i="3"/>
  <c r="V321" i="3"/>
  <c r="Q323" i="3"/>
  <c r="T324" i="3"/>
  <c r="W325" i="3"/>
  <c r="Z326" i="3"/>
  <c r="P328" i="3"/>
  <c r="AA328" i="3"/>
  <c r="AB329" i="3"/>
  <c r="Z330" i="3"/>
  <c r="AA331" i="3"/>
  <c r="AB332" i="3"/>
  <c r="Z333" i="3"/>
  <c r="AA334" i="3"/>
  <c r="Y335" i="3"/>
  <c r="Z336" i="3"/>
  <c r="AA337" i="3"/>
  <c r="Y338" i="3"/>
  <c r="Z339" i="3"/>
  <c r="X340" i="3"/>
  <c r="Y341" i="3"/>
  <c r="Y342" i="3"/>
  <c r="V343" i="3"/>
  <c r="S344" i="3"/>
  <c r="R345" i="3"/>
  <c r="AB345" i="3"/>
  <c r="Y346" i="3"/>
  <c r="U347" i="3"/>
  <c r="AE347" i="3" s="1"/>
  <c r="R348" i="3"/>
  <c r="AA348" i="3"/>
  <c r="W349" i="3"/>
  <c r="S350" i="3"/>
  <c r="AB350" i="3"/>
  <c r="X351" i="3"/>
  <c r="T352" i="3"/>
  <c r="Q353" i="3"/>
  <c r="Z353" i="3"/>
  <c r="V354" i="3"/>
  <c r="R355" i="3"/>
  <c r="AA355" i="3"/>
  <c r="W356" i="3"/>
  <c r="S357" i="3"/>
  <c r="P358" i="3"/>
  <c r="O358" i="3" s="1"/>
  <c r="Y358" i="3"/>
  <c r="U359" i="3"/>
  <c r="AE359" i="3" s="1"/>
  <c r="Q360" i="3"/>
  <c r="Z360" i="3"/>
  <c r="V361" i="3"/>
  <c r="R362" i="3"/>
  <c r="AB362" i="3"/>
  <c r="X363" i="3"/>
  <c r="T364" i="3"/>
  <c r="P365" i="3"/>
  <c r="O365" i="3" s="1"/>
  <c r="Y365" i="3"/>
  <c r="T366" i="3"/>
  <c r="AB366" i="3"/>
  <c r="W367" i="3"/>
  <c r="R368" i="3"/>
  <c r="Z368" i="3"/>
  <c r="U369" i="3"/>
  <c r="AE369" i="3" s="1"/>
  <c r="P370" i="3"/>
  <c r="N370" i="3" s="1"/>
  <c r="X370" i="3"/>
  <c r="S371" i="3"/>
  <c r="AA371" i="3"/>
  <c r="V372" i="3"/>
  <c r="Q373" i="3"/>
  <c r="Y373" i="3"/>
  <c r="T374" i="3"/>
  <c r="AB374" i="3"/>
  <c r="W375" i="3"/>
  <c r="R376" i="3"/>
  <c r="Z376" i="3"/>
  <c r="U377" i="3"/>
  <c r="AE377" i="3" s="1"/>
  <c r="P378" i="3"/>
  <c r="X378" i="3"/>
  <c r="S379" i="3"/>
  <c r="AA379" i="3"/>
  <c r="V380" i="3"/>
  <c r="Q381" i="3"/>
  <c r="Y381" i="3"/>
  <c r="T382" i="3"/>
  <c r="AB382" i="3"/>
  <c r="W383" i="3"/>
  <c r="R384" i="3"/>
  <c r="Z384" i="3"/>
  <c r="U385" i="3"/>
  <c r="AE385" i="3" s="1"/>
  <c r="P386" i="3"/>
  <c r="X386" i="3"/>
  <c r="S387" i="3"/>
  <c r="AA387" i="3"/>
  <c r="V388" i="3"/>
  <c r="Q389" i="3"/>
  <c r="Y389" i="3"/>
  <c r="T390" i="3"/>
  <c r="AB390" i="3"/>
  <c r="W391" i="3"/>
  <c r="R392" i="3"/>
  <c r="Z392" i="3"/>
  <c r="U393" i="3"/>
  <c r="AE393" i="3" s="1"/>
  <c r="P394" i="3"/>
  <c r="AD394" i="3" s="1"/>
  <c r="X394" i="3"/>
  <c r="S395" i="3"/>
  <c r="AA395" i="3"/>
  <c r="V396" i="3"/>
  <c r="Q397" i="3"/>
  <c r="Y397" i="3"/>
  <c r="T398" i="3"/>
  <c r="AB398" i="3"/>
  <c r="W399" i="3"/>
  <c r="R400" i="3"/>
  <c r="Z400" i="3"/>
  <c r="U401" i="3"/>
  <c r="AE401" i="3" s="1"/>
  <c r="P402" i="3"/>
  <c r="O402" i="3" s="1"/>
  <c r="X402" i="3"/>
  <c r="S403" i="3"/>
  <c r="AA403" i="3"/>
  <c r="V404" i="3"/>
  <c r="Q405" i="3"/>
  <c r="Y405" i="3"/>
  <c r="T406" i="3"/>
  <c r="AB406" i="3"/>
  <c r="W407" i="3"/>
  <c r="R408" i="3"/>
  <c r="Z408" i="3"/>
  <c r="U409" i="3"/>
  <c r="AE409" i="3" s="1"/>
  <c r="P410" i="3"/>
  <c r="X410" i="3"/>
  <c r="Q301" i="3"/>
  <c r="Z304" i="3"/>
  <c r="S307" i="3"/>
  <c r="Y309" i="3"/>
  <c r="Y311" i="3"/>
  <c r="V313" i="3"/>
  <c r="S315" i="3"/>
  <c r="X316" i="3"/>
  <c r="U318" i="3"/>
  <c r="AE318" i="3" s="1"/>
  <c r="R320" i="3"/>
  <c r="W321" i="3"/>
  <c r="S323" i="3"/>
  <c r="V324" i="3"/>
  <c r="Y325" i="3"/>
  <c r="AB326" i="3"/>
  <c r="Q328" i="3"/>
  <c r="AB328" i="3"/>
  <c r="P330" i="3"/>
  <c r="O330" i="3" s="1"/>
  <c r="Q331" i="3"/>
  <c r="AB331" i="3"/>
  <c r="P333" i="3"/>
  <c r="AD333" i="3" s="1"/>
  <c r="AA333" i="3"/>
  <c r="AB334" i="3"/>
  <c r="P336" i="3"/>
  <c r="O336" i="3" s="1"/>
  <c r="AA336" i="3"/>
  <c r="AB337" i="3"/>
  <c r="Z338" i="3"/>
  <c r="AA339" i="3"/>
  <c r="AB340" i="3"/>
  <c r="Z341" i="3"/>
  <c r="Z342" i="3"/>
  <c r="W343" i="3"/>
  <c r="T344" i="3"/>
  <c r="S345" i="3"/>
  <c r="P346" i="3"/>
  <c r="Z346" i="3"/>
  <c r="W347" i="3"/>
  <c r="S348" i="3"/>
  <c r="AB348" i="3"/>
  <c r="X349" i="3"/>
  <c r="T350" i="3"/>
  <c r="P351" i="3"/>
  <c r="Y351" i="3"/>
  <c r="V352" i="3"/>
  <c r="R353" i="3"/>
  <c r="AA353" i="3"/>
  <c r="W354" i="3"/>
  <c r="S355" i="3"/>
  <c r="AB355" i="3"/>
  <c r="X356" i="3"/>
  <c r="U357" i="3"/>
  <c r="AE357" i="3" s="1"/>
  <c r="Q358" i="3"/>
  <c r="Z358" i="3"/>
  <c r="V359" i="3"/>
  <c r="R360" i="3"/>
  <c r="AA360" i="3"/>
  <c r="W361" i="3"/>
  <c r="T362" i="3"/>
  <c r="P363" i="3"/>
  <c r="N363" i="3" s="1"/>
  <c r="Y363" i="3"/>
  <c r="U364" i="3"/>
  <c r="AE364" i="3" s="1"/>
  <c r="Q365" i="3"/>
  <c r="Z365" i="3"/>
  <c r="U366" i="3"/>
  <c r="AE366" i="3" s="1"/>
  <c r="P367" i="3"/>
  <c r="N367" i="3" s="1"/>
  <c r="X367" i="3"/>
  <c r="S368" i="3"/>
  <c r="AA368" i="3"/>
  <c r="V369" i="3"/>
  <c r="Q370" i="3"/>
  <c r="Y370" i="3"/>
  <c r="T371" i="3"/>
  <c r="AB371" i="3"/>
  <c r="W372" i="3"/>
  <c r="R373" i="3"/>
  <c r="Z373" i="3"/>
  <c r="U374" i="3"/>
  <c r="AE374" i="3" s="1"/>
  <c r="P375" i="3"/>
  <c r="N375" i="3" s="1"/>
  <c r="X375" i="3"/>
  <c r="S376" i="3"/>
  <c r="AA376" i="3"/>
  <c r="V377" i="3"/>
  <c r="Q378" i="3"/>
  <c r="Y378" i="3"/>
  <c r="T379" i="3"/>
  <c r="AB379" i="3"/>
  <c r="W380" i="3"/>
  <c r="R381" i="3"/>
  <c r="Z381" i="3"/>
  <c r="U382" i="3"/>
  <c r="AE382" i="3" s="1"/>
  <c r="P383" i="3"/>
  <c r="AD383" i="3" s="1"/>
  <c r="X383" i="3"/>
  <c r="S384" i="3"/>
  <c r="AA384" i="3"/>
  <c r="V385" i="3"/>
  <c r="Q386" i="3"/>
  <c r="Y386" i="3"/>
  <c r="T387" i="3"/>
  <c r="AB387" i="3"/>
  <c r="W388" i="3"/>
  <c r="R389" i="3"/>
  <c r="Z389" i="3"/>
  <c r="U390" i="3"/>
  <c r="AE390" i="3" s="1"/>
  <c r="P391" i="3"/>
  <c r="O391" i="3" s="1"/>
  <c r="X391" i="3"/>
  <c r="S392" i="3"/>
  <c r="AA392" i="3"/>
  <c r="V393" i="3"/>
  <c r="Q394" i="3"/>
  <c r="Y394" i="3"/>
  <c r="T395" i="3"/>
  <c r="AB395" i="3"/>
  <c r="W396" i="3"/>
  <c r="R397" i="3"/>
  <c r="Z397" i="3"/>
  <c r="U398" i="3"/>
  <c r="AE398" i="3" s="1"/>
  <c r="P399" i="3"/>
  <c r="X399" i="3"/>
  <c r="Y301" i="3"/>
  <c r="AA304" i="3"/>
  <c r="T307" i="3"/>
  <c r="Z309" i="3"/>
  <c r="R312" i="3"/>
  <c r="W313" i="3"/>
  <c r="T315" i="3"/>
  <c r="Q317" i="3"/>
  <c r="V318" i="3"/>
  <c r="S320" i="3"/>
  <c r="P322" i="3"/>
  <c r="AD322" i="3" s="1"/>
  <c r="T323" i="3"/>
  <c r="W324" i="3"/>
  <c r="Z325" i="3"/>
  <c r="P327" i="3"/>
  <c r="R328" i="3"/>
  <c r="S329" i="3"/>
  <c r="Q330" i="3"/>
  <c r="R331" i="3"/>
  <c r="P332" i="3"/>
  <c r="AD332" i="3" s="1"/>
  <c r="Q333" i="3"/>
  <c r="R334" i="3"/>
  <c r="P335" i="3"/>
  <c r="Q336" i="3"/>
  <c r="AB336" i="3"/>
  <c r="P338" i="3"/>
  <c r="N338" i="3" s="1"/>
  <c r="Q339" i="3"/>
  <c r="AB339" i="3"/>
  <c r="P341" i="3"/>
  <c r="AD341" i="3" s="1"/>
  <c r="AA341" i="3"/>
  <c r="AA342" i="3"/>
  <c r="X343" i="3"/>
  <c r="W344" i="3"/>
  <c r="T345" i="3"/>
  <c r="Q346" i="3"/>
  <c r="AB346" i="3"/>
  <c r="X347" i="3"/>
  <c r="T348" i="3"/>
  <c r="P349" i="3"/>
  <c r="AD349" i="3" s="1"/>
  <c r="Y349" i="3"/>
  <c r="U350" i="3"/>
  <c r="AE350" i="3" s="1"/>
  <c r="Q351" i="3"/>
  <c r="AA351" i="3"/>
  <c r="W352" i="3"/>
  <c r="S353" i="3"/>
  <c r="AB353" i="3"/>
  <c r="X354" i="3"/>
  <c r="T355" i="3"/>
  <c r="P356" i="3"/>
  <c r="O356" i="3" s="1"/>
  <c r="Z356" i="3"/>
  <c r="V357" i="3"/>
  <c r="R358" i="3"/>
  <c r="AA358" i="3"/>
  <c r="W359" i="3"/>
  <c r="S360" i="3"/>
  <c r="AB360" i="3"/>
  <c r="Y361" i="3"/>
  <c r="U362" i="3"/>
  <c r="AE362" i="3" s="1"/>
  <c r="Q363" i="3"/>
  <c r="Z363" i="3"/>
  <c r="V364" i="3"/>
  <c r="R365" i="3"/>
  <c r="AA365" i="3"/>
  <c r="V366" i="3"/>
  <c r="Q367" i="3"/>
  <c r="Y367" i="3"/>
  <c r="T368" i="3"/>
  <c r="AB368" i="3"/>
  <c r="W369" i="3"/>
  <c r="R370" i="3"/>
  <c r="Z370" i="3"/>
  <c r="U371" i="3"/>
  <c r="AE371" i="3" s="1"/>
  <c r="P372" i="3"/>
  <c r="X372" i="3"/>
  <c r="S373" i="3"/>
  <c r="AA373" i="3"/>
  <c r="V374" i="3"/>
  <c r="Q375" i="3"/>
  <c r="Y375" i="3"/>
  <c r="T376" i="3"/>
  <c r="AB376" i="3"/>
  <c r="W377" i="3"/>
  <c r="R378" i="3"/>
  <c r="Z378" i="3"/>
  <c r="U379" i="3"/>
  <c r="AE379" i="3" s="1"/>
  <c r="P380" i="3"/>
  <c r="N380" i="3" s="1"/>
  <c r="X380" i="3"/>
  <c r="S381" i="3"/>
  <c r="AA381" i="3"/>
  <c r="V382" i="3"/>
  <c r="Q383" i="3"/>
  <c r="Y383" i="3"/>
  <c r="T384" i="3"/>
  <c r="AB384" i="3"/>
  <c r="W385" i="3"/>
  <c r="R386" i="3"/>
  <c r="Z386" i="3"/>
  <c r="U387" i="3"/>
  <c r="AE387" i="3" s="1"/>
  <c r="P388" i="3"/>
  <c r="AD388" i="3" s="1"/>
  <c r="X388" i="3"/>
  <c r="S389" i="3"/>
  <c r="AA389" i="3"/>
  <c r="V390" i="3"/>
  <c r="Q391" i="3"/>
  <c r="Y391" i="3"/>
  <c r="T392" i="3"/>
  <c r="AB392" i="3"/>
  <c r="W393" i="3"/>
  <c r="R394" i="3"/>
  <c r="Z394" i="3"/>
  <c r="T302" i="3"/>
  <c r="U305" i="3"/>
  <c r="AE305" i="3" s="1"/>
  <c r="AA307" i="3"/>
  <c r="T310" i="3"/>
  <c r="S312" i="3"/>
  <c r="P314" i="3"/>
  <c r="U315" i="3"/>
  <c r="AE315" i="3" s="1"/>
  <c r="R317" i="3"/>
  <c r="AB318" i="3"/>
  <c r="T320" i="3"/>
  <c r="Q322" i="3"/>
  <c r="U323" i="3"/>
  <c r="AE323" i="3" s="1"/>
  <c r="X324" i="3"/>
  <c r="AA325" i="3"/>
  <c r="Q327" i="3"/>
  <c r="S328" i="3"/>
  <c r="T329" i="3"/>
  <c r="R330" i="3"/>
  <c r="S331" i="3"/>
  <c r="T332" i="3"/>
  <c r="R333" i="3"/>
  <c r="S334" i="3"/>
  <c r="Q335" i="3"/>
  <c r="R336" i="3"/>
  <c r="S337" i="3"/>
  <c r="Q338" i="3"/>
  <c r="R339" i="3"/>
  <c r="P340" i="3"/>
  <c r="Q341" i="3"/>
  <c r="R342" i="3"/>
  <c r="AB342" i="3"/>
  <c r="Y343" i="3"/>
  <c r="X344" i="3"/>
  <c r="U345" i="3"/>
  <c r="R346" i="3"/>
  <c r="P347" i="3"/>
  <c r="Y347" i="3"/>
  <c r="U348" i="3"/>
  <c r="AE348" i="3" s="1"/>
  <c r="Q349" i="3"/>
  <c r="Z349" i="3"/>
  <c r="V350" i="3"/>
  <c r="S351" i="3"/>
  <c r="AB351" i="3"/>
  <c r="X352" i="3"/>
  <c r="T353" i="3"/>
  <c r="P354" i="3"/>
  <c r="Y354" i="3"/>
  <c r="U355" i="3"/>
  <c r="AE355" i="3" s="1"/>
  <c r="R356" i="3"/>
  <c r="AA356" i="3"/>
  <c r="W357" i="3"/>
  <c r="S358" i="3"/>
  <c r="AB358" i="3"/>
  <c r="X359" i="3"/>
  <c r="T360" i="3"/>
  <c r="Q361" i="3"/>
  <c r="Z361" i="3"/>
  <c r="V362" i="3"/>
  <c r="R363" i="3"/>
  <c r="AA363" i="3"/>
  <c r="W364" i="3"/>
  <c r="S365" i="3"/>
  <c r="AB365" i="3"/>
  <c r="W366" i="3"/>
  <c r="R367" i="3"/>
  <c r="Z367" i="3"/>
  <c r="U368" i="3"/>
  <c r="AE368" i="3" s="1"/>
  <c r="P369" i="3"/>
  <c r="O369" i="3" s="1"/>
  <c r="X369" i="3"/>
  <c r="S370" i="3"/>
  <c r="AA370" i="3"/>
  <c r="V371" i="3"/>
  <c r="Q372" i="3"/>
  <c r="Y372" i="3"/>
  <c r="T373" i="3"/>
  <c r="AB373" i="3"/>
  <c r="W374" i="3"/>
  <c r="R375" i="3"/>
  <c r="AB302" i="3"/>
  <c r="V305" i="3"/>
  <c r="AB307" i="3"/>
  <c r="U310" i="3"/>
  <c r="AE310" i="3" s="1"/>
  <c r="T312" i="3"/>
  <c r="Q314" i="3"/>
  <c r="AA315" i="3"/>
  <c r="S317" i="3"/>
  <c r="P319" i="3"/>
  <c r="N319" i="3" s="1"/>
  <c r="Z320" i="3"/>
  <c r="R322" i="3"/>
  <c r="Y323" i="3"/>
  <c r="AB324" i="3"/>
  <c r="R326" i="3"/>
  <c r="U327" i="3"/>
  <c r="AE327" i="3" s="1"/>
  <c r="T328" i="3"/>
  <c r="U329" i="3"/>
  <c r="AE329" i="3" s="1"/>
  <c r="V330" i="3"/>
  <c r="T331" i="3"/>
  <c r="U332" i="3"/>
  <c r="AE332" i="3" s="1"/>
  <c r="S333" i="3"/>
  <c r="T334" i="3"/>
  <c r="U335" i="3"/>
  <c r="AE335" i="3" s="1"/>
  <c r="S336" i="3"/>
  <c r="T337" i="3"/>
  <c r="R338" i="3"/>
  <c r="S339" i="3"/>
  <c r="T340" i="3"/>
  <c r="R341" i="3"/>
  <c r="S342" i="3"/>
  <c r="P343" i="3"/>
  <c r="N343" i="3" s="1"/>
  <c r="AB343" i="3"/>
  <c r="Y344" i="3"/>
  <c r="V345" i="3"/>
  <c r="U346" i="3"/>
  <c r="AE346" i="3" s="1"/>
  <c r="Q347" i="3"/>
  <c r="Z347" i="3"/>
  <c r="V348" i="3"/>
  <c r="R349" i="3"/>
  <c r="AA349" i="3"/>
  <c r="X350" i="3"/>
  <c r="T351" i="3"/>
  <c r="P352" i="3"/>
  <c r="N352" i="3" s="1"/>
  <c r="Y352" i="3"/>
  <c r="U353" i="3"/>
  <c r="AE353" i="3" s="1"/>
  <c r="Q354" i="3"/>
  <c r="Z354" i="3"/>
  <c r="W355" i="3"/>
  <c r="S356" i="3"/>
  <c r="AB356" i="3"/>
  <c r="X357" i="3"/>
  <c r="T358" i="3"/>
  <c r="P359" i="3"/>
  <c r="AD359" i="3" s="1"/>
  <c r="Y359" i="3"/>
  <c r="V360" i="3"/>
  <c r="R361" i="3"/>
  <c r="AA361" i="3"/>
  <c r="W362" i="3"/>
  <c r="S363" i="3"/>
  <c r="AB363" i="3"/>
  <c r="X364" i="3"/>
  <c r="U365" i="3"/>
  <c r="AE365" i="3" s="1"/>
  <c r="P366" i="3"/>
  <c r="O366" i="3" s="1"/>
  <c r="X366" i="3"/>
  <c r="S367" i="3"/>
  <c r="AA367" i="3"/>
  <c r="V368" i="3"/>
  <c r="Q369" i="3"/>
  <c r="Y369" i="3"/>
  <c r="T370" i="3"/>
  <c r="AB370" i="3"/>
  <c r="W371" i="3"/>
  <c r="R372" i="3"/>
  <c r="Z372" i="3"/>
  <c r="U373" i="3"/>
  <c r="AE373" i="3" s="1"/>
  <c r="P374" i="3"/>
  <c r="N374" i="3" s="1"/>
  <c r="X374" i="3"/>
  <c r="S375" i="3"/>
  <c r="AA375" i="3"/>
  <c r="V376" i="3"/>
  <c r="Q377" i="3"/>
  <c r="Y377" i="3"/>
  <c r="T378" i="3"/>
  <c r="AB378" i="3"/>
  <c r="W379" i="3"/>
  <c r="W303" i="3"/>
  <c r="P306" i="3"/>
  <c r="V308" i="3"/>
  <c r="AB310" i="3"/>
  <c r="Z312" i="3"/>
  <c r="R314" i="3"/>
  <c r="AB315" i="3"/>
  <c r="Y317" i="3"/>
  <c r="Q319" i="3"/>
  <c r="AA320" i="3"/>
  <c r="X322" i="3"/>
  <c r="AA323" i="3"/>
  <c r="Q325" i="3"/>
  <c r="T326" i="3"/>
  <c r="W327" i="3"/>
  <c r="X328" i="3"/>
  <c r="V329" i="3"/>
  <c r="W330" i="3"/>
  <c r="U331" i="3"/>
  <c r="AE331" i="3" s="1"/>
  <c r="V332" i="3"/>
  <c r="W333" i="3"/>
  <c r="U334" i="3"/>
  <c r="AE334" i="3" s="1"/>
  <c r="V335" i="3"/>
  <c r="T336" i="3"/>
  <c r="U337" i="3"/>
  <c r="AE337" i="3" s="1"/>
  <c r="V338" i="3"/>
  <c r="T339" i="3"/>
  <c r="U340" i="3"/>
  <c r="AE340" i="3" s="1"/>
  <c r="S341" i="3"/>
  <c r="T342" i="3"/>
  <c r="Q343" i="3"/>
  <c r="AH343" i="3" s="1"/>
  <c r="P344" i="3"/>
  <c r="Z344" i="3"/>
  <c r="W345" i="3"/>
  <c r="V346" i="3"/>
  <c r="R347" i="3"/>
  <c r="AA347" i="3"/>
  <c r="W348" i="3"/>
  <c r="S349" i="3"/>
  <c r="P350" i="3"/>
  <c r="Y350" i="3"/>
  <c r="U351" i="3"/>
  <c r="AE351" i="3" s="1"/>
  <c r="Q352" i="3"/>
  <c r="Z352" i="3"/>
  <c r="V353" i="3"/>
  <c r="R354" i="3"/>
  <c r="AB354" i="3"/>
  <c r="X355" i="3"/>
  <c r="T356" i="3"/>
  <c r="P357" i="3"/>
  <c r="N357" i="3" s="1"/>
  <c r="Y357" i="3"/>
  <c r="U358" i="3"/>
  <c r="AE358" i="3" s="1"/>
  <c r="Q359" i="3"/>
  <c r="AA359" i="3"/>
  <c r="W360" i="3"/>
  <c r="S361" i="3"/>
  <c r="AB361" i="3"/>
  <c r="X362" i="3"/>
  <c r="T363" i="3"/>
  <c r="P364" i="3"/>
  <c r="N364" i="3" s="1"/>
  <c r="Z364" i="3"/>
  <c r="V365" i="3"/>
  <c r="Q366" i="3"/>
  <c r="Y366" i="3"/>
  <c r="T367" i="3"/>
  <c r="AB367" i="3"/>
  <c r="W368" i="3"/>
  <c r="R369" i="3"/>
  <c r="Z369" i="3"/>
  <c r="U370" i="3"/>
  <c r="AE370" i="3" s="1"/>
  <c r="P371" i="3"/>
  <c r="X371" i="3"/>
  <c r="S372" i="3"/>
  <c r="AA372" i="3"/>
  <c r="V373" i="3"/>
  <c r="Q374" i="3"/>
  <c r="Y374" i="3"/>
  <c r="T375" i="3"/>
  <c r="AB375" i="3"/>
  <c r="W376" i="3"/>
  <c r="R377" i="3"/>
  <c r="Z377" i="3"/>
  <c r="U378" i="3"/>
  <c r="AE378" i="3" s="1"/>
  <c r="P379" i="3"/>
  <c r="O379" i="3" s="1"/>
  <c r="Z375" i="3"/>
  <c r="Q380" i="3"/>
  <c r="V381" i="3"/>
  <c r="S383" i="3"/>
  <c r="P385" i="3"/>
  <c r="N385" i="3" s="1"/>
  <c r="U386" i="3"/>
  <c r="AE386" i="3" s="1"/>
  <c r="R388" i="3"/>
  <c r="AB389" i="3"/>
  <c r="T391" i="3"/>
  <c r="Q393" i="3"/>
  <c r="AA394" i="3"/>
  <c r="Q396" i="3"/>
  <c r="T397" i="3"/>
  <c r="W398" i="3"/>
  <c r="Z399" i="3"/>
  <c r="AA400" i="3"/>
  <c r="Y401" i="3"/>
  <c r="Z402" i="3"/>
  <c r="X403" i="3"/>
  <c r="Y404" i="3"/>
  <c r="Z405" i="3"/>
  <c r="X406" i="3"/>
  <c r="Y407" i="3"/>
  <c r="W408" i="3"/>
  <c r="X409" i="3"/>
  <c r="Y410" i="3"/>
  <c r="V411" i="3"/>
  <c r="S412" i="3"/>
  <c r="R413" i="3"/>
  <c r="AB413" i="3"/>
  <c r="X414" i="3"/>
  <c r="T415" i="3"/>
  <c r="Q416" i="3"/>
  <c r="Z416" i="3"/>
  <c r="V417" i="3"/>
  <c r="R418" i="3"/>
  <c r="AA418" i="3"/>
  <c r="W419" i="3"/>
  <c r="S420" i="3"/>
  <c r="AB420" i="3"/>
  <c r="W421" i="3"/>
  <c r="R422" i="3"/>
  <c r="Z422" i="3"/>
  <c r="U423" i="3"/>
  <c r="AE423" i="3" s="1"/>
  <c r="P424" i="3"/>
  <c r="X424" i="3"/>
  <c r="S425" i="3"/>
  <c r="AA425" i="3"/>
  <c r="V426" i="3"/>
  <c r="Q427" i="3"/>
  <c r="Y427" i="3"/>
  <c r="T428" i="3"/>
  <c r="AB428" i="3"/>
  <c r="W429" i="3"/>
  <c r="R430" i="3"/>
  <c r="Z430" i="3"/>
  <c r="U431" i="3"/>
  <c r="AE431" i="3" s="1"/>
  <c r="P432" i="3"/>
  <c r="O432" i="3" s="1"/>
  <c r="X432" i="3"/>
  <c r="S433" i="3"/>
  <c r="AA433" i="3"/>
  <c r="V434" i="3"/>
  <c r="Q435" i="3"/>
  <c r="Y435" i="3"/>
  <c r="T436" i="3"/>
  <c r="AB436" i="3"/>
  <c r="W437" i="3"/>
  <c r="R438" i="3"/>
  <c r="Z438" i="3"/>
  <c r="U439" i="3"/>
  <c r="AE439" i="3" s="1"/>
  <c r="P440" i="3"/>
  <c r="X440" i="3"/>
  <c r="S441" i="3"/>
  <c r="AA441" i="3"/>
  <c r="V442" i="3"/>
  <c r="Q443" i="3"/>
  <c r="Y443" i="3"/>
  <c r="T444" i="3"/>
  <c r="AB444" i="3"/>
  <c r="W445" i="3"/>
  <c r="R446" i="3"/>
  <c r="Z446" i="3"/>
  <c r="U447" i="3"/>
  <c r="AE447" i="3" s="1"/>
  <c r="P448" i="3"/>
  <c r="X448" i="3"/>
  <c r="S449" i="3"/>
  <c r="AA449" i="3"/>
  <c r="V450" i="3"/>
  <c r="Q451" i="3"/>
  <c r="Y451" i="3"/>
  <c r="T452" i="3"/>
  <c r="AB452" i="3"/>
  <c r="W453" i="3"/>
  <c r="R454" i="3"/>
  <c r="Z454" i="3"/>
  <c r="U455" i="3"/>
  <c r="AE455" i="3" s="1"/>
  <c r="P456" i="3"/>
  <c r="N456" i="3" s="1"/>
  <c r="X456" i="3"/>
  <c r="S457" i="3"/>
  <c r="AA457" i="3"/>
  <c r="V458" i="3"/>
  <c r="Q459" i="3"/>
  <c r="Y459" i="3"/>
  <c r="T460" i="3"/>
  <c r="AB460" i="3"/>
  <c r="W461" i="3"/>
  <c r="R462" i="3"/>
  <c r="Z462" i="3"/>
  <c r="U463" i="3"/>
  <c r="AE463" i="3" s="1"/>
  <c r="P464" i="3"/>
  <c r="X464" i="3"/>
  <c r="S465" i="3"/>
  <c r="AA465" i="3"/>
  <c r="V466" i="3"/>
  <c r="Q467" i="3"/>
  <c r="Y467" i="3"/>
  <c r="T468" i="3"/>
  <c r="AB468" i="3"/>
  <c r="W469" i="3"/>
  <c r="R470" i="3"/>
  <c r="Z470" i="3"/>
  <c r="U471" i="3"/>
  <c r="AE471" i="3" s="1"/>
  <c r="P472" i="3"/>
  <c r="X472" i="3"/>
  <c r="S473" i="3"/>
  <c r="AA473" i="3"/>
  <c r="V474" i="3"/>
  <c r="Q475" i="3"/>
  <c r="Y475" i="3"/>
  <c r="T476" i="3"/>
  <c r="AB476" i="3"/>
  <c r="W477" i="3"/>
  <c r="R478" i="3"/>
  <c r="Z478" i="3"/>
  <c r="U479" i="3"/>
  <c r="AE479" i="3" s="1"/>
  <c r="P480" i="3"/>
  <c r="X480" i="3"/>
  <c r="S481" i="3"/>
  <c r="AA481" i="3"/>
  <c r="V482" i="3"/>
  <c r="Q483" i="3"/>
  <c r="Y483" i="3"/>
  <c r="T484" i="3"/>
  <c r="AB484" i="3"/>
  <c r="W485" i="3"/>
  <c r="R486" i="3"/>
  <c r="Z486" i="3"/>
  <c r="U487" i="3"/>
  <c r="AE487" i="3" s="1"/>
  <c r="P488" i="3"/>
  <c r="U376" i="3"/>
  <c r="AE376" i="3" s="1"/>
  <c r="R380" i="3"/>
  <c r="AB381" i="3"/>
  <c r="T383" i="3"/>
  <c r="Q385" i="3"/>
  <c r="AA386" i="3"/>
  <c r="S388" i="3"/>
  <c r="P390" i="3"/>
  <c r="N390" i="3" s="1"/>
  <c r="Z391" i="3"/>
  <c r="R393" i="3"/>
  <c r="AB394" i="3"/>
  <c r="R396" i="3"/>
  <c r="U397" i="3"/>
  <c r="X398" i="3"/>
  <c r="AA399" i="3"/>
  <c r="AB400" i="3"/>
  <c r="Z401" i="3"/>
  <c r="AA402" i="3"/>
  <c r="AB403" i="3"/>
  <c r="Z404" i="3"/>
  <c r="AA405" i="3"/>
  <c r="Y406" i="3"/>
  <c r="Z407" i="3"/>
  <c r="AA408" i="3"/>
  <c r="Y409" i="3"/>
  <c r="Z410" i="3"/>
  <c r="W411" i="3"/>
  <c r="V412" i="3"/>
  <c r="S413" i="3"/>
  <c r="P414" i="3"/>
  <c r="AD414" i="3" s="1"/>
  <c r="Y414" i="3"/>
  <c r="V415" i="3"/>
  <c r="R416" i="3"/>
  <c r="AA416" i="3"/>
  <c r="W417" i="3"/>
  <c r="S418" i="3"/>
  <c r="AB418" i="3"/>
  <c r="X419" i="3"/>
  <c r="U420" i="3"/>
  <c r="AE420" i="3" s="1"/>
  <c r="P421" i="3"/>
  <c r="X421" i="3"/>
  <c r="S422" i="3"/>
  <c r="AA422" i="3"/>
  <c r="V423" i="3"/>
  <c r="Q424" i="3"/>
  <c r="Y424" i="3"/>
  <c r="T425" i="3"/>
  <c r="AB425" i="3"/>
  <c r="W426" i="3"/>
  <c r="R427" i="3"/>
  <c r="Z427" i="3"/>
  <c r="U428" i="3"/>
  <c r="AE428" i="3" s="1"/>
  <c r="P429" i="3"/>
  <c r="O429" i="3" s="1"/>
  <c r="X429" i="3"/>
  <c r="S430" i="3"/>
  <c r="AA430" i="3"/>
  <c r="V431" i="3"/>
  <c r="Q432" i="3"/>
  <c r="Y432" i="3"/>
  <c r="T433" i="3"/>
  <c r="AB433" i="3"/>
  <c r="W434" i="3"/>
  <c r="R435" i="3"/>
  <c r="Z435" i="3"/>
  <c r="U436" i="3"/>
  <c r="AE436" i="3" s="1"/>
  <c r="P437" i="3"/>
  <c r="O437" i="3" s="1"/>
  <c r="X437" i="3"/>
  <c r="S438" i="3"/>
  <c r="AA438" i="3"/>
  <c r="V439" i="3"/>
  <c r="Q440" i="3"/>
  <c r="Y440" i="3"/>
  <c r="T441" i="3"/>
  <c r="AB441" i="3"/>
  <c r="W442" i="3"/>
  <c r="R443" i="3"/>
  <c r="Z443" i="3"/>
  <c r="U444" i="3"/>
  <c r="AE444" i="3" s="1"/>
  <c r="P445" i="3"/>
  <c r="X445" i="3"/>
  <c r="S446" i="3"/>
  <c r="AA446" i="3"/>
  <c r="V447" i="3"/>
  <c r="Q448" i="3"/>
  <c r="Y448" i="3"/>
  <c r="T449" i="3"/>
  <c r="AB449" i="3"/>
  <c r="W450" i="3"/>
  <c r="R451" i="3"/>
  <c r="Z451" i="3"/>
  <c r="U452" i="3"/>
  <c r="AE452" i="3" s="1"/>
  <c r="P453" i="3"/>
  <c r="N453" i="3" s="1"/>
  <c r="X453" i="3"/>
  <c r="S454" i="3"/>
  <c r="AA454" i="3"/>
  <c r="V455" i="3"/>
  <c r="Q456" i="3"/>
  <c r="Y456" i="3"/>
  <c r="T457" i="3"/>
  <c r="AB457" i="3"/>
  <c r="W458" i="3"/>
  <c r="R459" i="3"/>
  <c r="Z459" i="3"/>
  <c r="U460" i="3"/>
  <c r="AE460" i="3" s="1"/>
  <c r="P461" i="3"/>
  <c r="O461" i="3" s="1"/>
  <c r="X461" i="3"/>
  <c r="S462" i="3"/>
  <c r="AA462" i="3"/>
  <c r="V463" i="3"/>
  <c r="Q464" i="3"/>
  <c r="Y464" i="3"/>
  <c r="T465" i="3"/>
  <c r="AB465" i="3"/>
  <c r="W466" i="3"/>
  <c r="R467" i="3"/>
  <c r="Z467" i="3"/>
  <c r="U468" i="3"/>
  <c r="AE468" i="3" s="1"/>
  <c r="P469" i="3"/>
  <c r="N469" i="3" s="1"/>
  <c r="X469" i="3"/>
  <c r="S470" i="3"/>
  <c r="AA470" i="3"/>
  <c r="V471" i="3"/>
  <c r="Q472" i="3"/>
  <c r="Y472" i="3"/>
  <c r="T473" i="3"/>
  <c r="AB473" i="3"/>
  <c r="W474" i="3"/>
  <c r="R475" i="3"/>
  <c r="Z475" i="3"/>
  <c r="P377" i="3"/>
  <c r="S380" i="3"/>
  <c r="P382" i="3"/>
  <c r="N382" i="3" s="1"/>
  <c r="Z383" i="3"/>
  <c r="R385" i="3"/>
  <c r="AB386" i="3"/>
  <c r="Y388" i="3"/>
  <c r="Q390" i="3"/>
  <c r="AA391" i="3"/>
  <c r="X393" i="3"/>
  <c r="P395" i="3"/>
  <c r="AD395" i="3" s="1"/>
  <c r="S396" i="3"/>
  <c r="V397" i="3"/>
  <c r="Y398" i="3"/>
  <c r="AB399" i="3"/>
  <c r="P401" i="3"/>
  <c r="N401" i="3" s="1"/>
  <c r="Q402" i="3"/>
  <c r="AB402" i="3"/>
  <c r="P404" i="3"/>
  <c r="O404" i="3" s="1"/>
  <c r="AA404" i="3"/>
  <c r="AB405" i="3"/>
  <c r="P407" i="3"/>
  <c r="N407" i="3" s="1"/>
  <c r="AA407" i="3"/>
  <c r="AB408" i="3"/>
  <c r="Z409" i="3"/>
  <c r="AA410" i="3"/>
  <c r="X411" i="3"/>
  <c r="W412" i="3"/>
  <c r="T413" i="3"/>
  <c r="Q414" i="3"/>
  <c r="AA414" i="3"/>
  <c r="W415" i="3"/>
  <c r="S416" i="3"/>
  <c r="AB416" i="3"/>
  <c r="X417" i="3"/>
  <c r="T418" i="3"/>
  <c r="P419" i="3"/>
  <c r="Z419" i="3"/>
  <c r="V420" i="3"/>
  <c r="Q421" i="3"/>
  <c r="Y421" i="3"/>
  <c r="T422" i="3"/>
  <c r="AB422" i="3"/>
  <c r="W423" i="3"/>
  <c r="R424" i="3"/>
  <c r="Z424" i="3"/>
  <c r="U425" i="3"/>
  <c r="AE425" i="3" s="1"/>
  <c r="P426" i="3"/>
  <c r="AD426" i="3" s="1"/>
  <c r="X426" i="3"/>
  <c r="S427" i="3"/>
  <c r="AA427" i="3"/>
  <c r="V428" i="3"/>
  <c r="Q429" i="3"/>
  <c r="Y429" i="3"/>
  <c r="T430" i="3"/>
  <c r="AB430" i="3"/>
  <c r="W431" i="3"/>
  <c r="R432" i="3"/>
  <c r="Z432" i="3"/>
  <c r="U433" i="3"/>
  <c r="AE433" i="3" s="1"/>
  <c r="P434" i="3"/>
  <c r="N434" i="3" s="1"/>
  <c r="X434" i="3"/>
  <c r="S435" i="3"/>
  <c r="AA435" i="3"/>
  <c r="V436" i="3"/>
  <c r="Q437" i="3"/>
  <c r="Y437" i="3"/>
  <c r="T438" i="3"/>
  <c r="AB438" i="3"/>
  <c r="W439" i="3"/>
  <c r="R440" i="3"/>
  <c r="Z440" i="3"/>
  <c r="U441" i="3"/>
  <c r="AE441" i="3" s="1"/>
  <c r="P442" i="3"/>
  <c r="X442" i="3"/>
  <c r="S443" i="3"/>
  <c r="AA443" i="3"/>
  <c r="V444" i="3"/>
  <c r="Q445" i="3"/>
  <c r="Y445" i="3"/>
  <c r="T446" i="3"/>
  <c r="AB446" i="3"/>
  <c r="W447" i="3"/>
  <c r="R448" i="3"/>
  <c r="Z448" i="3"/>
  <c r="U449" i="3"/>
  <c r="AE449" i="3" s="1"/>
  <c r="P450" i="3"/>
  <c r="N450" i="3" s="1"/>
  <c r="X450" i="3"/>
  <c r="S451" i="3"/>
  <c r="AA451" i="3"/>
  <c r="V452" i="3"/>
  <c r="Q453" i="3"/>
  <c r="Y453" i="3"/>
  <c r="T454" i="3"/>
  <c r="AB454" i="3"/>
  <c r="W455" i="3"/>
  <c r="R456" i="3"/>
  <c r="Z456" i="3"/>
  <c r="U457" i="3"/>
  <c r="AE457" i="3" s="1"/>
  <c r="P458" i="3"/>
  <c r="O458" i="3" s="1"/>
  <c r="X458" i="3"/>
  <c r="S459" i="3"/>
  <c r="X377" i="3"/>
  <c r="Y380" i="3"/>
  <c r="Q382" i="3"/>
  <c r="AA383" i="3"/>
  <c r="X385" i="3"/>
  <c r="P387" i="3"/>
  <c r="AD387" i="3" s="1"/>
  <c r="Z388" i="3"/>
  <c r="W390" i="3"/>
  <c r="AB391" i="3"/>
  <c r="Y393" i="3"/>
  <c r="U395" i="3"/>
  <c r="AE395" i="3" s="1"/>
  <c r="X396" i="3"/>
  <c r="AA397" i="3"/>
  <c r="Q399" i="3"/>
  <c r="S400" i="3"/>
  <c r="Q401" i="3"/>
  <c r="R402" i="3"/>
  <c r="P403" i="3"/>
  <c r="AD403" i="3" s="1"/>
  <c r="Q404" i="3"/>
  <c r="R405" i="3"/>
  <c r="S378" i="3"/>
  <c r="Z380" i="3"/>
  <c r="W382" i="3"/>
  <c r="AB383" i="3"/>
  <c r="Y385" i="3"/>
  <c r="V387" i="3"/>
  <c r="AA388" i="3"/>
  <c r="X390" i="3"/>
  <c r="U392" i="3"/>
  <c r="AE392" i="3" s="1"/>
  <c r="Z393" i="3"/>
  <c r="V395" i="3"/>
  <c r="Y396" i="3"/>
  <c r="AB397" i="3"/>
  <c r="R399" i="3"/>
  <c r="T400" i="3"/>
  <c r="R401" i="3"/>
  <c r="S402" i="3"/>
  <c r="T403" i="3"/>
  <c r="R404" i="3"/>
  <c r="S405" i="3"/>
  <c r="Q406" i="3"/>
  <c r="R407" i="3"/>
  <c r="S408" i="3"/>
  <c r="Q409" i="3"/>
  <c r="R410" i="3"/>
  <c r="P411" i="3"/>
  <c r="AB411" i="3"/>
  <c r="Y412" i="3"/>
  <c r="V413" i="3"/>
  <c r="T414" i="3"/>
  <c r="P415" i="3"/>
  <c r="O415" i="3" s="1"/>
  <c r="Y415" i="3"/>
  <c r="U416" i="3"/>
  <c r="AE416" i="3" s="1"/>
  <c r="Q417" i="3"/>
  <c r="Z417" i="3"/>
  <c r="W418" i="3"/>
  <c r="S419" i="3"/>
  <c r="AB419" i="3"/>
  <c r="X420" i="3"/>
  <c r="S421" i="3"/>
  <c r="AA421" i="3"/>
  <c r="V422" i="3"/>
  <c r="Q423" i="3"/>
  <c r="Y423" i="3"/>
  <c r="T424" i="3"/>
  <c r="AB424" i="3"/>
  <c r="W425" i="3"/>
  <c r="R426" i="3"/>
  <c r="Z426" i="3"/>
  <c r="U427" i="3"/>
  <c r="AE427" i="3" s="1"/>
  <c r="P428" i="3"/>
  <c r="X428" i="3"/>
  <c r="S429" i="3"/>
  <c r="AA429" i="3"/>
  <c r="V430" i="3"/>
  <c r="Q431" i="3"/>
  <c r="Y431" i="3"/>
  <c r="T432" i="3"/>
  <c r="AB432" i="3"/>
  <c r="W433" i="3"/>
  <c r="R434" i="3"/>
  <c r="Z434" i="3"/>
  <c r="U435" i="3"/>
  <c r="AE435" i="3" s="1"/>
  <c r="P436" i="3"/>
  <c r="AD436" i="3" s="1"/>
  <c r="X436" i="3"/>
  <c r="S437" i="3"/>
  <c r="AA437" i="3"/>
  <c r="V438" i="3"/>
  <c r="Q439" i="3"/>
  <c r="Y439" i="3"/>
  <c r="T440" i="3"/>
  <c r="AB440" i="3"/>
  <c r="W441" i="3"/>
  <c r="R442" i="3"/>
  <c r="Z442" i="3"/>
  <c r="U443" i="3"/>
  <c r="AE443" i="3" s="1"/>
  <c r="P444" i="3"/>
  <c r="X444" i="3"/>
  <c r="S445" i="3"/>
  <c r="AA445" i="3"/>
  <c r="V446" i="3"/>
  <c r="Q447" i="3"/>
  <c r="Y447" i="3"/>
  <c r="T448" i="3"/>
  <c r="AB448" i="3"/>
  <c r="W449" i="3"/>
  <c r="R450" i="3"/>
  <c r="Z450" i="3"/>
  <c r="U451" i="3"/>
  <c r="AE451" i="3" s="1"/>
  <c r="P452" i="3"/>
  <c r="X452" i="3"/>
  <c r="S453" i="3"/>
  <c r="AA453" i="3"/>
  <c r="V454" i="3"/>
  <c r="Q455" i="3"/>
  <c r="Y455" i="3"/>
  <c r="T456" i="3"/>
  <c r="AB456" i="3"/>
  <c r="W457" i="3"/>
  <c r="R458" i="3"/>
  <c r="Z458" i="3"/>
  <c r="U459" i="3"/>
  <c r="AE459" i="3" s="1"/>
  <c r="P460" i="3"/>
  <c r="X460" i="3"/>
  <c r="S461" i="3"/>
  <c r="AA461" i="3"/>
  <c r="V462" i="3"/>
  <c r="Q463" i="3"/>
  <c r="AA378" i="3"/>
  <c r="AA380" i="3"/>
  <c r="X382" i="3"/>
  <c r="U384" i="3"/>
  <c r="AE384" i="3" s="1"/>
  <c r="Z385" i="3"/>
  <c r="W387" i="3"/>
  <c r="T389" i="3"/>
  <c r="Y390" i="3"/>
  <c r="V392" i="3"/>
  <c r="S394" i="3"/>
  <c r="W395" i="3"/>
  <c r="Z396" i="3"/>
  <c r="P398" i="3"/>
  <c r="S399" i="3"/>
  <c r="U400" i="3"/>
  <c r="AE400" i="3" s="1"/>
  <c r="V401" i="3"/>
  <c r="T402" i="3"/>
  <c r="U403" i="3"/>
  <c r="AE403" i="3" s="1"/>
  <c r="S404" i="3"/>
  <c r="T405" i="3"/>
  <c r="U406" i="3"/>
  <c r="AE406" i="3" s="1"/>
  <c r="S407" i="3"/>
  <c r="T408" i="3"/>
  <c r="R409" i="3"/>
  <c r="S410" i="3"/>
  <c r="S411" i="3"/>
  <c r="P412" i="3"/>
  <c r="N412" i="3" s="1"/>
  <c r="Z412" i="3"/>
  <c r="Y413" i="3"/>
  <c r="U414" i="3"/>
  <c r="AE414" i="3" s="1"/>
  <c r="Q415" i="3"/>
  <c r="Z415" i="3"/>
  <c r="V416" i="3"/>
  <c r="R417" i="3"/>
  <c r="AB417" i="3"/>
  <c r="X418" i="3"/>
  <c r="T419" i="3"/>
  <c r="P420" i="3"/>
  <c r="Y420" i="3"/>
  <c r="T421" i="3"/>
  <c r="AB421" i="3"/>
  <c r="W422" i="3"/>
  <c r="R423" i="3"/>
  <c r="Z423" i="3"/>
  <c r="U424" i="3"/>
  <c r="AE424" i="3" s="1"/>
  <c r="P425" i="3"/>
  <c r="N425" i="3" s="1"/>
  <c r="X425" i="3"/>
  <c r="S426" i="3"/>
  <c r="AA426" i="3"/>
  <c r="V427" i="3"/>
  <c r="Q428" i="3"/>
  <c r="Y428" i="3"/>
  <c r="T429" i="3"/>
  <c r="AB429" i="3"/>
  <c r="W430" i="3"/>
  <c r="R431" i="3"/>
  <c r="Z431" i="3"/>
  <c r="U432" i="3"/>
  <c r="AE432" i="3" s="1"/>
  <c r="P433" i="3"/>
  <c r="AD433" i="3" s="1"/>
  <c r="X433" i="3"/>
  <c r="S434" i="3"/>
  <c r="AA434" i="3"/>
  <c r="V435" i="3"/>
  <c r="Q436" i="3"/>
  <c r="Y436" i="3"/>
  <c r="T437" i="3"/>
  <c r="AB437" i="3"/>
  <c r="W438" i="3"/>
  <c r="R439" i="3"/>
  <c r="Z439" i="3"/>
  <c r="U440" i="3"/>
  <c r="AE440" i="3" s="1"/>
  <c r="P441" i="3"/>
  <c r="AD441" i="3" s="1"/>
  <c r="X441" i="3"/>
  <c r="S442" i="3"/>
  <c r="AA442" i="3"/>
  <c r="V443" i="3"/>
  <c r="Q444" i="3"/>
  <c r="Y444" i="3"/>
  <c r="T445" i="3"/>
  <c r="AB445" i="3"/>
  <c r="W446" i="3"/>
  <c r="R447" i="3"/>
  <c r="Z447" i="3"/>
  <c r="U448" i="3"/>
  <c r="AE448" i="3" s="1"/>
  <c r="P449" i="3"/>
  <c r="AD449" i="3" s="1"/>
  <c r="X449" i="3"/>
  <c r="S450" i="3"/>
  <c r="AA450" i="3"/>
  <c r="V451" i="3"/>
  <c r="Q452" i="3"/>
  <c r="V379" i="3"/>
  <c r="T381" i="3"/>
  <c r="Y382" i="3"/>
  <c r="V384" i="3"/>
  <c r="S386" i="3"/>
  <c r="X387" i="3"/>
  <c r="U389" i="3"/>
  <c r="AE389" i="3" s="1"/>
  <c r="R391" i="3"/>
  <c r="W392" i="3"/>
  <c r="T394" i="3"/>
  <c r="X395" i="3"/>
  <c r="AA396" i="3"/>
  <c r="Q398" i="3"/>
  <c r="T399" i="3"/>
  <c r="V400" i="3"/>
  <c r="W401" i="3"/>
  <c r="U402" i="3"/>
  <c r="AE402" i="3" s="1"/>
  <c r="V403" i="3"/>
  <c r="W404" i="3"/>
  <c r="U405" i="3"/>
  <c r="AE405" i="3" s="1"/>
  <c r="V406" i="3"/>
  <c r="T407" i="3"/>
  <c r="U408" i="3"/>
  <c r="AE408" i="3" s="1"/>
  <c r="V409" i="3"/>
  <c r="T410" i="3"/>
  <c r="T411" i="3"/>
  <c r="Q412" i="3"/>
  <c r="AA412" i="3"/>
  <c r="Z413" i="3"/>
  <c r="V414" i="3"/>
  <c r="R415" i="3"/>
  <c r="AA415" i="3"/>
  <c r="W416" i="3"/>
  <c r="T417" i="3"/>
  <c r="P418" i="3"/>
  <c r="Y418" i="3"/>
  <c r="U419" i="3"/>
  <c r="AE419" i="3" s="1"/>
  <c r="Q420" i="3"/>
  <c r="Z420" i="3"/>
  <c r="U421" i="3"/>
  <c r="AE421" i="3" s="1"/>
  <c r="P422" i="3"/>
  <c r="X422" i="3"/>
  <c r="S423" i="3"/>
  <c r="AA423" i="3"/>
  <c r="V424" i="3"/>
  <c r="Q425" i="3"/>
  <c r="Y425" i="3"/>
  <c r="T426" i="3"/>
  <c r="AB426" i="3"/>
  <c r="W427" i="3"/>
  <c r="R428" i="3"/>
  <c r="Z428" i="3"/>
  <c r="U429" i="3"/>
  <c r="AE429" i="3" s="1"/>
  <c r="P430" i="3"/>
  <c r="X430" i="3"/>
  <c r="S431" i="3"/>
  <c r="AA431" i="3"/>
  <c r="V432" i="3"/>
  <c r="Q433" i="3"/>
  <c r="Y433" i="3"/>
  <c r="T434" i="3"/>
  <c r="AB434" i="3"/>
  <c r="W435" i="3"/>
  <c r="R436" i="3"/>
  <c r="Z436" i="3"/>
  <c r="U437" i="3"/>
  <c r="AE437" i="3" s="1"/>
  <c r="P438" i="3"/>
  <c r="X438" i="3"/>
  <c r="S439" i="3"/>
  <c r="AA439" i="3"/>
  <c r="V440" i="3"/>
  <c r="Q441" i="3"/>
  <c r="Y441" i="3"/>
  <c r="T442" i="3"/>
  <c r="AB442" i="3"/>
  <c r="W443" i="3"/>
  <c r="R444" i="3"/>
  <c r="Z444" i="3"/>
  <c r="U445" i="3"/>
  <c r="AE445" i="3" s="1"/>
  <c r="X379" i="3"/>
  <c r="U381" i="3"/>
  <c r="AE381" i="3" s="1"/>
  <c r="R383" i="3"/>
  <c r="W384" i="3"/>
  <c r="T386" i="3"/>
  <c r="Q388" i="3"/>
  <c r="V389" i="3"/>
  <c r="S391" i="3"/>
  <c r="P393" i="3"/>
  <c r="U394" i="3"/>
  <c r="AE394" i="3" s="1"/>
  <c r="P396" i="3"/>
  <c r="S397" i="3"/>
  <c r="V398" i="3"/>
  <c r="Y399" i="3"/>
  <c r="W400" i="3"/>
  <c r="X401" i="3"/>
  <c r="Y402" i="3"/>
  <c r="W403" i="3"/>
  <c r="X404" i="3"/>
  <c r="V405" i="3"/>
  <c r="W406" i="3"/>
  <c r="X407" i="3"/>
  <c r="V408" i="3"/>
  <c r="W409" i="3"/>
  <c r="U410" i="3"/>
  <c r="AE410" i="3" s="1"/>
  <c r="U411" i="3"/>
  <c r="AE411" i="3" s="1"/>
  <c r="R412" i="3"/>
  <c r="Q413" i="3"/>
  <c r="AA413" i="3"/>
  <c r="W414" i="3"/>
  <c r="S415" i="3"/>
  <c r="AB415" i="3"/>
  <c r="Y416" i="3"/>
  <c r="U417" i="3"/>
  <c r="AE417" i="3" s="1"/>
  <c r="Q418" i="3"/>
  <c r="Z418" i="3"/>
  <c r="V419" i="3"/>
  <c r="R420" i="3"/>
  <c r="AA420" i="3"/>
  <c r="V421" i="3"/>
  <c r="Q422" i="3"/>
  <c r="Y422" i="3"/>
  <c r="T423" i="3"/>
  <c r="AB423" i="3"/>
  <c r="W424" i="3"/>
  <c r="R425" i="3"/>
  <c r="Z425" i="3"/>
  <c r="U426" i="3"/>
  <c r="AE426" i="3" s="1"/>
  <c r="P427" i="3"/>
  <c r="O427" i="3" s="1"/>
  <c r="X427" i="3"/>
  <c r="S428" i="3"/>
  <c r="AA428" i="3"/>
  <c r="V429" i="3"/>
  <c r="Q430" i="3"/>
  <c r="Y430" i="3"/>
  <c r="T431" i="3"/>
  <c r="AB431" i="3"/>
  <c r="W432" i="3"/>
  <c r="R433" i="3"/>
  <c r="Z433" i="3"/>
  <c r="U434" i="3"/>
  <c r="AE434" i="3" s="1"/>
  <c r="P435" i="3"/>
  <c r="O435" i="3" s="1"/>
  <c r="X435" i="3"/>
  <c r="S436" i="3"/>
  <c r="AA436" i="3"/>
  <c r="V437" i="3"/>
  <c r="Q438" i="3"/>
  <c r="Y438" i="3"/>
  <c r="T439" i="3"/>
  <c r="AB439" i="3"/>
  <c r="W440" i="3"/>
  <c r="R441" i="3"/>
  <c r="Z441" i="3"/>
  <c r="U442" i="3"/>
  <c r="AE442" i="3" s="1"/>
  <c r="P443" i="3"/>
  <c r="N443" i="3" s="1"/>
  <c r="X443" i="3"/>
  <c r="S444" i="3"/>
  <c r="AA444" i="3"/>
  <c r="V445" i="3"/>
  <c r="Q446" i="3"/>
  <c r="Y446" i="3"/>
  <c r="T447" i="3"/>
  <c r="AB447" i="3"/>
  <c r="W448" i="3"/>
  <c r="R449" i="3"/>
  <c r="P406" i="3"/>
  <c r="N406" i="3" s="1"/>
  <c r="U413" i="3"/>
  <c r="AE413" i="3" s="1"/>
  <c r="R419" i="3"/>
  <c r="S424" i="3"/>
  <c r="R429" i="3"/>
  <c r="Q434" i="3"/>
  <c r="P439" i="3"/>
  <c r="N439" i="3" s="1"/>
  <c r="AB443" i="3"/>
  <c r="S447" i="3"/>
  <c r="Y449" i="3"/>
  <c r="T451" i="3"/>
  <c r="Z452" i="3"/>
  <c r="P454" i="3"/>
  <c r="AD454" i="3" s="1"/>
  <c r="S455" i="3"/>
  <c r="V456" i="3"/>
  <c r="Y457" i="3"/>
  <c r="AB458" i="3"/>
  <c r="Q460" i="3"/>
  <c r="Q461" i="3"/>
  <c r="P462" i="3"/>
  <c r="N462" i="3" s="1"/>
  <c r="P463" i="3"/>
  <c r="O463" i="3" s="1"/>
  <c r="AA463" i="3"/>
  <c r="Z464" i="3"/>
  <c r="W465" i="3"/>
  <c r="T466" i="3"/>
  <c r="S467" i="3"/>
  <c r="P468" i="3"/>
  <c r="Z468" i="3"/>
  <c r="Y469" i="3"/>
  <c r="V470" i="3"/>
  <c r="S471" i="3"/>
  <c r="R472" i="3"/>
  <c r="AB472" i="3"/>
  <c r="Y473" i="3"/>
  <c r="X474" i="3"/>
  <c r="U475" i="3"/>
  <c r="AE475" i="3" s="1"/>
  <c r="R476" i="3"/>
  <c r="AA476" i="3"/>
  <c r="X477" i="3"/>
  <c r="T478" i="3"/>
  <c r="P479" i="3"/>
  <c r="O479" i="3" s="1"/>
  <c r="Y479" i="3"/>
  <c r="U480" i="3"/>
  <c r="AE480" i="3" s="1"/>
  <c r="Q481" i="3"/>
  <c r="Z481" i="3"/>
  <c r="W482" i="3"/>
  <c r="S483" i="3"/>
  <c r="AB483" i="3"/>
  <c r="X484" i="3"/>
  <c r="T485" i="3"/>
  <c r="P486" i="3"/>
  <c r="N486" i="3" s="1"/>
  <c r="Y486" i="3"/>
  <c r="V487" i="3"/>
  <c r="R488" i="3"/>
  <c r="Z488" i="3"/>
  <c r="U489" i="3"/>
  <c r="AE489" i="3" s="1"/>
  <c r="P490" i="3"/>
  <c r="O490" i="3" s="1"/>
  <c r="X490" i="3"/>
  <c r="S491" i="3"/>
  <c r="AA491" i="3"/>
  <c r="V492" i="3"/>
  <c r="Q493" i="3"/>
  <c r="Y493" i="3"/>
  <c r="T494" i="3"/>
  <c r="AB494" i="3"/>
  <c r="W495" i="3"/>
  <c r="Q407" i="3"/>
  <c r="S414" i="3"/>
  <c r="AA419" i="3"/>
  <c r="AA424" i="3"/>
  <c r="Z429" i="3"/>
  <c r="Y434" i="3"/>
  <c r="X439" i="3"/>
  <c r="W444" i="3"/>
  <c r="X447" i="3"/>
  <c r="Z449" i="3"/>
  <c r="W451" i="3"/>
  <c r="AA452" i="3"/>
  <c r="Q454" i="3"/>
  <c r="T455" i="3"/>
  <c r="W456" i="3"/>
  <c r="Z457" i="3"/>
  <c r="P459" i="3"/>
  <c r="R460" i="3"/>
  <c r="R461" i="3"/>
  <c r="Q462" i="3"/>
  <c r="R463" i="3"/>
  <c r="AB463" i="3"/>
  <c r="AA464" i="3"/>
  <c r="X465" i="3"/>
  <c r="U466" i="3"/>
  <c r="AE466" i="3" s="1"/>
  <c r="T467" i="3"/>
  <c r="Q468" i="3"/>
  <c r="AA468" i="3"/>
  <c r="Z469" i="3"/>
  <c r="W470" i="3"/>
  <c r="T471" i="3"/>
  <c r="S472" i="3"/>
  <c r="P473" i="3"/>
  <c r="AD473" i="3" s="1"/>
  <c r="Z473" i="3"/>
  <c r="Y474" i="3"/>
  <c r="V475" i="3"/>
  <c r="S476" i="3"/>
  <c r="P477" i="3"/>
  <c r="O477" i="3" s="1"/>
  <c r="Y477" i="3"/>
  <c r="U478" i="3"/>
  <c r="AE478" i="3" s="1"/>
  <c r="Q479" i="3"/>
  <c r="Z479" i="3"/>
  <c r="V480" i="3"/>
  <c r="R481" i="3"/>
  <c r="AB481" i="3"/>
  <c r="X482" i="3"/>
  <c r="T483" i="3"/>
  <c r="P484" i="3"/>
  <c r="AD484" i="3" s="1"/>
  <c r="Y484" i="3"/>
  <c r="U485" i="3"/>
  <c r="AE485" i="3" s="1"/>
  <c r="Q486" i="3"/>
  <c r="AA486" i="3"/>
  <c r="W487" i="3"/>
  <c r="S488" i="3"/>
  <c r="AA488" i="3"/>
  <c r="V489" i="3"/>
  <c r="Q490" i="3"/>
  <c r="Y490" i="3"/>
  <c r="T491" i="3"/>
  <c r="AB491" i="3"/>
  <c r="W492" i="3"/>
  <c r="R493" i="3"/>
  <c r="Z493" i="3"/>
  <c r="U494" i="3"/>
  <c r="AE494" i="3" s="1"/>
  <c r="P495" i="3"/>
  <c r="N495" i="3" s="1"/>
  <c r="X495" i="3"/>
  <c r="AB407" i="3"/>
  <c r="AB414" i="3"/>
  <c r="W420" i="3"/>
  <c r="V425" i="3"/>
  <c r="U430" i="3"/>
  <c r="AE430" i="3" s="1"/>
  <c r="T435" i="3"/>
  <c r="S440" i="3"/>
  <c r="R445" i="3"/>
  <c r="AA447" i="3"/>
  <c r="Q450" i="3"/>
  <c r="X451" i="3"/>
  <c r="R453" i="3"/>
  <c r="U454" i="3"/>
  <c r="AE454" i="3" s="1"/>
  <c r="X455" i="3"/>
  <c r="AA456" i="3"/>
  <c r="Q458" i="3"/>
  <c r="T459" i="3"/>
  <c r="S460" i="3"/>
  <c r="T461" i="3"/>
  <c r="T462" i="3"/>
  <c r="S463" i="3"/>
  <c r="R464" i="3"/>
  <c r="AB464" i="3"/>
  <c r="Y465" i="3"/>
  <c r="X466" i="3"/>
  <c r="U467" i="3"/>
  <c r="AE467" i="3" s="1"/>
  <c r="R468" i="3"/>
  <c r="Q469" i="3"/>
  <c r="AA469" i="3"/>
  <c r="X470" i="3"/>
  <c r="W471" i="3"/>
  <c r="T472" i="3"/>
  <c r="Q473" i="3"/>
  <c r="P474" i="3"/>
  <c r="AD474" i="3" s="1"/>
  <c r="Z474" i="3"/>
  <c r="W475" i="3"/>
  <c r="U476" i="3"/>
  <c r="AE476" i="3" s="1"/>
  <c r="Q477" i="3"/>
  <c r="Z477" i="3"/>
  <c r="V478" i="3"/>
  <c r="R479" i="3"/>
  <c r="AA479" i="3"/>
  <c r="W480" i="3"/>
  <c r="T481" i="3"/>
  <c r="P482" i="3"/>
  <c r="N482" i="3" s="1"/>
  <c r="Y482" i="3"/>
  <c r="U483" i="3"/>
  <c r="AE483" i="3" s="1"/>
  <c r="Q484" i="3"/>
  <c r="Z484" i="3"/>
  <c r="V485" i="3"/>
  <c r="S486" i="3"/>
  <c r="AB486" i="3"/>
  <c r="X487" i="3"/>
  <c r="T488" i="3"/>
  <c r="AB488" i="3"/>
  <c r="W489" i="3"/>
  <c r="R490" i="3"/>
  <c r="Z490" i="3"/>
  <c r="U491" i="3"/>
  <c r="AE491" i="3" s="1"/>
  <c r="P492" i="3"/>
  <c r="X492" i="3"/>
  <c r="S493" i="3"/>
  <c r="AA493" i="3"/>
  <c r="V494" i="3"/>
  <c r="Q495" i="3"/>
  <c r="Y495" i="3"/>
  <c r="P409" i="3"/>
  <c r="X415" i="3"/>
  <c r="R421" i="3"/>
  <c r="Q426" i="3"/>
  <c r="P431" i="3"/>
  <c r="AB435" i="3"/>
  <c r="AA440" i="3"/>
  <c r="Z445" i="3"/>
  <c r="S448" i="3"/>
  <c r="T450" i="3"/>
  <c r="AB451" i="3"/>
  <c r="T453" i="3"/>
  <c r="W454" i="3"/>
  <c r="Z455" i="3"/>
  <c r="P457" i="3"/>
  <c r="N457" i="3" s="1"/>
  <c r="S458" i="3"/>
  <c r="V459" i="3"/>
  <c r="V460" i="3"/>
  <c r="U461" i="3"/>
  <c r="AE461" i="3" s="1"/>
  <c r="U462" i="3"/>
  <c r="AE462" i="3" s="1"/>
  <c r="T463" i="3"/>
  <c r="S464" i="3"/>
  <c r="P465" i="3"/>
  <c r="N465" i="3" s="1"/>
  <c r="Z465" i="3"/>
  <c r="Y466" i="3"/>
  <c r="V467" i="3"/>
  <c r="S468" i="3"/>
  <c r="R469" i="3"/>
  <c r="AB469" i="3"/>
  <c r="Y470" i="3"/>
  <c r="X471" i="3"/>
  <c r="U472" i="3"/>
  <c r="AE472" i="3" s="1"/>
  <c r="R473" i="3"/>
  <c r="Q474" i="3"/>
  <c r="AA474" i="3"/>
  <c r="X475" i="3"/>
  <c r="V476" i="3"/>
  <c r="R477" i="3"/>
  <c r="AA477" i="3"/>
  <c r="W478" i="3"/>
  <c r="S479" i="3"/>
  <c r="AB479" i="3"/>
  <c r="Y480" i="3"/>
  <c r="U481" i="3"/>
  <c r="AE481" i="3" s="1"/>
  <c r="Q482" i="3"/>
  <c r="Z482" i="3"/>
  <c r="V483" i="3"/>
  <c r="R484" i="3"/>
  <c r="AA484" i="3"/>
  <c r="X485" i="3"/>
  <c r="T486" i="3"/>
  <c r="P487" i="3"/>
  <c r="Y487" i="3"/>
  <c r="U488" i="3"/>
  <c r="AE488" i="3" s="1"/>
  <c r="P489" i="3"/>
  <c r="N489" i="3" s="1"/>
  <c r="X489" i="3"/>
  <c r="S490" i="3"/>
  <c r="AA490" i="3"/>
  <c r="V491" i="3"/>
  <c r="Q492" i="3"/>
  <c r="Y492" i="3"/>
  <c r="T493" i="3"/>
  <c r="AB493" i="3"/>
  <c r="W494" i="3"/>
  <c r="R495" i="3"/>
  <c r="Z495" i="3"/>
  <c r="Q410" i="3"/>
  <c r="T416" i="3"/>
  <c r="Z421" i="3"/>
  <c r="Y426" i="3"/>
  <c r="X431" i="3"/>
  <c r="W436" i="3"/>
  <c r="V441" i="3"/>
  <c r="P446" i="3"/>
  <c r="V448" i="3"/>
  <c r="U450" i="3"/>
  <c r="AE450" i="3" s="1"/>
  <c r="R452" i="3"/>
  <c r="U453" i="3"/>
  <c r="AE453" i="3" s="1"/>
  <c r="X454" i="3"/>
  <c r="AA455" i="3"/>
  <c r="Q457" i="3"/>
  <c r="T458" i="3"/>
  <c r="W459" i="3"/>
  <c r="W460" i="3"/>
  <c r="V461" i="3"/>
  <c r="W462" i="3"/>
  <c r="W463" i="3"/>
  <c r="T464" i="3"/>
  <c r="Q465" i="3"/>
  <c r="P466" i="3"/>
  <c r="N466" i="3" s="1"/>
  <c r="Z466" i="3"/>
  <c r="W467" i="3"/>
  <c r="V468" i="3"/>
  <c r="S469" i="3"/>
  <c r="P470" i="3"/>
  <c r="AB470" i="3"/>
  <c r="Y471" i="3"/>
  <c r="V472" i="3"/>
  <c r="U473" i="3"/>
  <c r="AE473" i="3" s="1"/>
  <c r="R474" i="3"/>
  <c r="AB474" i="3"/>
  <c r="AA475" i="3"/>
  <c r="W476" i="3"/>
  <c r="S477" i="3"/>
  <c r="AB477" i="3"/>
  <c r="X478" i="3"/>
  <c r="T479" i="3"/>
  <c r="Q480" i="3"/>
  <c r="Z480" i="3"/>
  <c r="V481" i="3"/>
  <c r="R482" i="3"/>
  <c r="AA482" i="3"/>
  <c r="W483" i="3"/>
  <c r="S484" i="3"/>
  <c r="P485" i="3"/>
  <c r="Y485" i="3"/>
  <c r="U486" i="3"/>
  <c r="AE486" i="3" s="1"/>
  <c r="Q487" i="3"/>
  <c r="Z487" i="3"/>
  <c r="V488" i="3"/>
  <c r="Q489" i="3"/>
  <c r="Y489" i="3"/>
  <c r="T490" i="3"/>
  <c r="AB490" i="3"/>
  <c r="W491" i="3"/>
  <c r="R492" i="3"/>
  <c r="Z492" i="3"/>
  <c r="U493" i="3"/>
  <c r="AE493" i="3" s="1"/>
  <c r="P494" i="3"/>
  <c r="N494" i="3" s="1"/>
  <c r="X494" i="3"/>
  <c r="S495" i="3"/>
  <c r="AA495" i="3"/>
  <c r="AB410" i="3"/>
  <c r="P417" i="3"/>
  <c r="U422" i="3"/>
  <c r="AE422" i="3" s="1"/>
  <c r="T427" i="3"/>
  <c r="S432" i="3"/>
  <c r="R437" i="3"/>
  <c r="Q442" i="3"/>
  <c r="U446" i="3"/>
  <c r="AE446" i="3" s="1"/>
  <c r="AA448" i="3"/>
  <c r="Y450" i="3"/>
  <c r="S452" i="3"/>
  <c r="V453" i="3"/>
  <c r="Y454" i="3"/>
  <c r="AB455" i="3"/>
  <c r="R457" i="3"/>
  <c r="U458" i="3"/>
  <c r="AE458" i="3" s="1"/>
  <c r="X459" i="3"/>
  <c r="Y460" i="3"/>
  <c r="Y461" i="3"/>
  <c r="X462" i="3"/>
  <c r="X463" i="3"/>
  <c r="U464" i="3"/>
  <c r="AE464" i="3" s="1"/>
  <c r="R465" i="3"/>
  <c r="Q466" i="3"/>
  <c r="AA466" i="3"/>
  <c r="X467" i="3"/>
  <c r="W468" i="3"/>
  <c r="T469" i="3"/>
  <c r="Q470" i="3"/>
  <c r="P471" i="3"/>
  <c r="N471" i="3" s="1"/>
  <c r="Z471" i="3"/>
  <c r="W472" i="3"/>
  <c r="V473" i="3"/>
  <c r="S474" i="3"/>
  <c r="P475" i="3"/>
  <c r="AD475" i="3" s="1"/>
  <c r="AB475" i="3"/>
  <c r="X476" i="3"/>
  <c r="T477" i="3"/>
  <c r="P478" i="3"/>
  <c r="O478" i="3" s="1"/>
  <c r="Y478" i="3"/>
  <c r="V479" i="3"/>
  <c r="R480" i="3"/>
  <c r="AA480" i="3"/>
  <c r="W481" i="3"/>
  <c r="S482" i="3"/>
  <c r="AB482" i="3"/>
  <c r="X483" i="3"/>
  <c r="U484" i="3"/>
  <c r="AE484" i="3" s="1"/>
  <c r="Q485" i="3"/>
  <c r="Z485" i="3"/>
  <c r="V486" i="3"/>
  <c r="R487" i="3"/>
  <c r="AA487" i="3"/>
  <c r="W488" i="3"/>
  <c r="R489" i="3"/>
  <c r="Z489" i="3"/>
  <c r="U490" i="3"/>
  <c r="AE490" i="3" s="1"/>
  <c r="P491" i="3"/>
  <c r="N491" i="3" s="1"/>
  <c r="X491" i="3"/>
  <c r="S492" i="3"/>
  <c r="AA492" i="3"/>
  <c r="V493" i="3"/>
  <c r="Q494" i="3"/>
  <c r="Y494" i="3"/>
  <c r="T495" i="3"/>
  <c r="AB495" i="3"/>
  <c r="AA411" i="3"/>
  <c r="Y417" i="3"/>
  <c r="P423" i="3"/>
  <c r="N423" i="3" s="1"/>
  <c r="AB427" i="3"/>
  <c r="AA432" i="3"/>
  <c r="Z437" i="3"/>
  <c r="Y442" i="3"/>
  <c r="X446" i="3"/>
  <c r="Q449" i="3"/>
  <c r="AB450" i="3"/>
  <c r="W452" i="3"/>
  <c r="Z453" i="3"/>
  <c r="P455" i="3"/>
  <c r="N455" i="3" s="1"/>
  <c r="S456" i="3"/>
  <c r="V457" i="3"/>
  <c r="Y458" i="3"/>
  <c r="AA459" i="3"/>
  <c r="Z460" i="3"/>
  <c r="Z461" i="3"/>
  <c r="Y462" i="3"/>
  <c r="Y463" i="3"/>
  <c r="V464" i="3"/>
  <c r="U465" i="3"/>
  <c r="AE465" i="3" s="1"/>
  <c r="R466" i="3"/>
  <c r="AB466" i="3"/>
  <c r="AA467" i="3"/>
  <c r="X468" i="3"/>
  <c r="U469" i="3"/>
  <c r="AE469" i="3" s="1"/>
  <c r="T470" i="3"/>
  <c r="Q471" i="3"/>
  <c r="AA471" i="3"/>
  <c r="Z472" i="3"/>
  <c r="W473" i="3"/>
  <c r="T474" i="3"/>
  <c r="S475" i="3"/>
  <c r="P476" i="3"/>
  <c r="AD476" i="3" s="1"/>
  <c r="Y476" i="3"/>
  <c r="U477" i="3"/>
  <c r="AE477" i="3" s="1"/>
  <c r="Q478" i="3"/>
  <c r="AA478" i="3"/>
  <c r="W479" i="3"/>
  <c r="S480" i="3"/>
  <c r="AB480" i="3"/>
  <c r="X481" i="3"/>
  <c r="T482" i="3"/>
  <c r="P483" i="3"/>
  <c r="AD483" i="3" s="1"/>
  <c r="Z483" i="3"/>
  <c r="V484" i="3"/>
  <c r="R485" i="3"/>
  <c r="AA485" i="3"/>
  <c r="W486" i="3"/>
  <c r="S487" i="3"/>
  <c r="AB487" i="3"/>
  <c r="X488" i="3"/>
  <c r="S489" i="3"/>
  <c r="AA489" i="3"/>
  <c r="V490" i="3"/>
  <c r="Q491" i="3"/>
  <c r="Y491" i="3"/>
  <c r="T492" i="3"/>
  <c r="AB492" i="3"/>
  <c r="W493" i="3"/>
  <c r="R494" i="3"/>
  <c r="Z494" i="3"/>
  <c r="U495" i="3"/>
  <c r="AE495" i="3" s="1"/>
  <c r="X412" i="3"/>
  <c r="U418" i="3"/>
  <c r="AE418" i="3" s="1"/>
  <c r="X423" i="3"/>
  <c r="W428" i="3"/>
  <c r="V433" i="3"/>
  <c r="U438" i="3"/>
  <c r="AE438" i="3" s="1"/>
  <c r="T443" i="3"/>
  <c r="P447" i="3"/>
  <c r="AD447" i="3" s="1"/>
  <c r="V449" i="3"/>
  <c r="P451" i="3"/>
  <c r="AD451" i="3" s="1"/>
  <c r="Y452" i="3"/>
  <c r="AB453" i="3"/>
  <c r="R455" i="3"/>
  <c r="U456" i="3"/>
  <c r="AE456" i="3" s="1"/>
  <c r="X457" i="3"/>
  <c r="AA458" i="3"/>
  <c r="AB459" i="3"/>
  <c r="AA460" i="3"/>
  <c r="AB461" i="3"/>
  <c r="AB462" i="3"/>
  <c r="Z463" i="3"/>
  <c r="W464" i="3"/>
  <c r="V465" i="3"/>
  <c r="S466" i="3"/>
  <c r="P467" i="3"/>
  <c r="AB467" i="3"/>
  <c r="Y468" i="3"/>
  <c r="V469" i="3"/>
  <c r="U470" i="3"/>
  <c r="AE470" i="3" s="1"/>
  <c r="R471" i="3"/>
  <c r="AB471" i="3"/>
  <c r="AA472" i="3"/>
  <c r="X473" i="3"/>
  <c r="U474" i="3"/>
  <c r="AE474" i="3" s="1"/>
  <c r="T475" i="3"/>
  <c r="Q476" i="3"/>
  <c r="Z476" i="3"/>
  <c r="V477" i="3"/>
  <c r="S478" i="3"/>
  <c r="AB478" i="3"/>
  <c r="X479" i="3"/>
  <c r="T480" i="3"/>
  <c r="P481" i="3"/>
  <c r="O481" i="3" s="1"/>
  <c r="Y481" i="3"/>
  <c r="U482" i="3"/>
  <c r="AE482" i="3" s="1"/>
  <c r="R483" i="3"/>
  <c r="AA483" i="3"/>
  <c r="W484" i="3"/>
  <c r="S485" i="3"/>
  <c r="AB485" i="3"/>
  <c r="X486" i="3"/>
  <c r="T487" i="3"/>
  <c r="Q488" i="3"/>
  <c r="Y488" i="3"/>
  <c r="T489" i="3"/>
  <c r="AB489" i="3"/>
  <c r="W490" i="3"/>
  <c r="R491" i="3"/>
  <c r="Z491" i="3"/>
  <c r="U492" i="3"/>
  <c r="AE492" i="3" s="1"/>
  <c r="P493" i="3"/>
  <c r="X493" i="3"/>
  <c r="S494" i="3"/>
  <c r="AA494" i="3"/>
  <c r="V495" i="3"/>
  <c r="R17" i="1"/>
  <c r="AE28" i="3"/>
  <c r="AE60" i="3"/>
  <c r="AE25" i="3"/>
  <c r="AE40" i="3"/>
  <c r="AE56" i="3"/>
  <c r="AD32" i="3"/>
  <c r="AE27" i="3"/>
  <c r="AE31" i="3"/>
  <c r="AE41" i="3"/>
  <c r="AE55" i="3"/>
  <c r="N79" i="3"/>
  <c r="O69" i="3"/>
  <c r="O51" i="3"/>
  <c r="AE26" i="3"/>
  <c r="N41" i="3"/>
  <c r="AE48" i="3"/>
  <c r="AE6" i="3"/>
  <c r="AE38" i="3"/>
  <c r="AD110" i="3"/>
  <c r="AE15" i="3"/>
  <c r="AE61" i="3"/>
  <c r="AE68" i="3"/>
  <c r="AE51" i="3"/>
  <c r="AE43" i="3"/>
  <c r="AE7" i="3"/>
  <c r="AE76" i="3"/>
  <c r="AE83" i="3"/>
  <c r="AE133" i="3"/>
  <c r="AE84" i="3"/>
  <c r="AE91" i="3"/>
  <c r="AD80" i="3"/>
  <c r="AE123" i="3"/>
  <c r="AE139" i="3"/>
  <c r="AE113" i="3"/>
  <c r="AE129" i="3"/>
  <c r="AE141" i="3"/>
  <c r="O60" i="3"/>
  <c r="AE150" i="3"/>
  <c r="AE153" i="3"/>
  <c r="AE108" i="3"/>
  <c r="AD129" i="3"/>
  <c r="AE96" i="3"/>
  <c r="AE29" i="3"/>
  <c r="AE112" i="3"/>
  <c r="AE128" i="3"/>
  <c r="AE93" i="3"/>
  <c r="AE126" i="3"/>
  <c r="AE169" i="3"/>
  <c r="AE164" i="3"/>
  <c r="AE116" i="3"/>
  <c r="AE203" i="3"/>
  <c r="AD123" i="3"/>
  <c r="AE168" i="3"/>
  <c r="AE90" i="3"/>
  <c r="O176" i="3"/>
  <c r="AE182" i="3"/>
  <c r="AE292" i="3"/>
  <c r="O127" i="3"/>
  <c r="AE304" i="3"/>
  <c r="N153" i="3"/>
  <c r="N242" i="3"/>
  <c r="AE333" i="3"/>
  <c r="AE247" i="3"/>
  <c r="AE289" i="3"/>
  <c r="N278" i="3"/>
  <c r="AE264" i="3"/>
  <c r="AE185" i="3"/>
  <c r="AE244" i="3"/>
  <c r="AE341" i="3"/>
  <c r="AE271" i="3"/>
  <c r="AD324" i="3"/>
  <c r="N112" i="3"/>
  <c r="O186" i="3"/>
  <c r="N186" i="3"/>
  <c r="AD104" i="3"/>
  <c r="O16" i="3"/>
  <c r="O80" i="3"/>
  <c r="O118" i="3"/>
  <c r="N80" i="3"/>
  <c r="N142" i="3"/>
  <c r="AD239" i="3"/>
  <c r="AD193" i="3"/>
  <c r="N124" i="3"/>
  <c r="O124" i="3"/>
  <c r="AD124" i="3"/>
  <c r="N110" i="3"/>
  <c r="AD69" i="3"/>
  <c r="O106" i="3"/>
  <c r="AE218" i="3"/>
  <c r="AD79" i="3"/>
  <c r="O79" i="3"/>
  <c r="AD317" i="3" l="1"/>
  <c r="N106" i="3"/>
  <c r="N239" i="3"/>
  <c r="N67" i="3"/>
  <c r="O151" i="3"/>
  <c r="O317" i="3"/>
  <c r="AD151" i="3"/>
  <c r="AD118" i="3"/>
  <c r="O349" i="3"/>
  <c r="AD263" i="3"/>
  <c r="AD141" i="3"/>
  <c r="O9" i="3"/>
  <c r="AH113" i="3"/>
  <c r="AD49" i="3"/>
  <c r="O49" i="3"/>
  <c r="N14" i="3"/>
  <c r="AH255" i="3"/>
  <c r="O293" i="3"/>
  <c r="AD14" i="3"/>
  <c r="N20" i="3"/>
  <c r="AD20" i="3"/>
  <c r="N293" i="3"/>
  <c r="AD143" i="3"/>
  <c r="AD313" i="3"/>
  <c r="O295" i="3"/>
  <c r="N295" i="3"/>
  <c r="O146" i="3"/>
  <c r="N349" i="3"/>
  <c r="AD146" i="3"/>
  <c r="AH126" i="3"/>
  <c r="AH18" i="3"/>
  <c r="AD82" i="3"/>
  <c r="N82" i="3"/>
  <c r="O450" i="3"/>
  <c r="O390" i="3"/>
  <c r="AD390" i="3"/>
  <c r="N141" i="3"/>
  <c r="N9" i="3"/>
  <c r="O303" i="3"/>
  <c r="N264" i="3"/>
  <c r="AD303" i="3"/>
  <c r="N332" i="3"/>
  <c r="N229" i="3"/>
  <c r="N263" i="3"/>
  <c r="O229" i="3"/>
  <c r="AG304" i="3"/>
  <c r="AH269" i="3"/>
  <c r="AG212" i="3"/>
  <c r="N435" i="3"/>
  <c r="AH469" i="3"/>
  <c r="AH22" i="3"/>
  <c r="AH50" i="3"/>
  <c r="AH11" i="3"/>
  <c r="N191" i="3"/>
  <c r="O142" i="3"/>
  <c r="AD16" i="3"/>
  <c r="AD435" i="3"/>
  <c r="AH346" i="3"/>
  <c r="AH183" i="3"/>
  <c r="N179" i="3"/>
  <c r="AD179" i="3"/>
  <c r="AH39" i="3"/>
  <c r="N160" i="3"/>
  <c r="AD160" i="3"/>
  <c r="AH80" i="3"/>
  <c r="N35" i="3"/>
  <c r="AH309" i="3"/>
  <c r="AG150" i="3"/>
  <c r="AH105" i="3"/>
  <c r="AH210" i="3"/>
  <c r="AH32" i="3"/>
  <c r="AH7" i="3"/>
  <c r="AD220" i="3"/>
  <c r="AD138" i="3"/>
  <c r="AD443" i="3"/>
  <c r="AD35" i="3"/>
  <c r="AD135" i="3"/>
  <c r="N138" i="3"/>
  <c r="AD214" i="3"/>
  <c r="O214" i="3"/>
  <c r="AH138" i="3"/>
  <c r="O449" i="3"/>
  <c r="AD184" i="3"/>
  <c r="O439" i="3"/>
  <c r="N164" i="3"/>
  <c r="AD269" i="3"/>
  <c r="N449" i="3"/>
  <c r="O380" i="3"/>
  <c r="AD337" i="3"/>
  <c r="O184" i="3"/>
  <c r="AD439" i="3"/>
  <c r="AD404" i="3"/>
  <c r="N269" i="3"/>
  <c r="AD147" i="3"/>
  <c r="O451" i="3"/>
  <c r="N404" i="3"/>
  <c r="O147" i="3"/>
  <c r="O220" i="3"/>
  <c r="O175" i="3"/>
  <c r="N175" i="3"/>
  <c r="AD471" i="3"/>
  <c r="O471" i="3"/>
  <c r="O189" i="3"/>
  <c r="AH451" i="3"/>
  <c r="N326" i="3"/>
  <c r="AH222" i="3"/>
  <c r="O384" i="3"/>
  <c r="AD189" i="3"/>
  <c r="AG244" i="3"/>
  <c r="AH168" i="3"/>
  <c r="AD415" i="3"/>
  <c r="N369" i="3"/>
  <c r="O265" i="3"/>
  <c r="O359" i="3"/>
  <c r="AH230" i="3"/>
  <c r="O135" i="3"/>
  <c r="N265" i="3"/>
  <c r="AD308" i="3"/>
  <c r="O164" i="3"/>
  <c r="O465" i="3"/>
  <c r="AD481" i="3"/>
  <c r="O466" i="3"/>
  <c r="N331" i="3"/>
  <c r="N475" i="3"/>
  <c r="N451" i="3"/>
  <c r="N341" i="3"/>
  <c r="AH376" i="3"/>
  <c r="AH357" i="3"/>
  <c r="AH218" i="3"/>
  <c r="O332" i="3"/>
  <c r="O475" i="3"/>
  <c r="AD466" i="3"/>
  <c r="O443" i="3"/>
  <c r="N391" i="3"/>
  <c r="N481" i="3"/>
  <c r="O341" i="3"/>
  <c r="AD373" i="3"/>
  <c r="O373" i="3"/>
  <c r="AH245" i="3"/>
  <c r="AH48" i="3"/>
  <c r="AH26" i="3"/>
  <c r="AH256" i="3"/>
  <c r="AH363" i="3"/>
  <c r="AH221" i="3"/>
  <c r="AH324" i="3"/>
  <c r="AG394" i="3"/>
  <c r="AH229" i="3"/>
  <c r="O383" i="3"/>
  <c r="O436" i="3"/>
  <c r="AD358" i="3"/>
  <c r="AH313" i="3"/>
  <c r="N383" i="3"/>
  <c r="N436" i="3"/>
  <c r="N359" i="3"/>
  <c r="AD356" i="3"/>
  <c r="AH270" i="3"/>
  <c r="AG285" i="3"/>
  <c r="AD345" i="3"/>
  <c r="AD495" i="3"/>
  <c r="N384" i="3"/>
  <c r="AH393" i="3"/>
  <c r="AG302" i="3"/>
  <c r="AH385" i="3"/>
  <c r="O403" i="3"/>
  <c r="O345" i="3"/>
  <c r="AD276" i="3"/>
  <c r="O308" i="3"/>
  <c r="AD463" i="3"/>
  <c r="AD367" i="3"/>
  <c r="AD477" i="3"/>
  <c r="O276" i="3"/>
  <c r="AD369" i="3"/>
  <c r="N477" i="3"/>
  <c r="AD450" i="3"/>
  <c r="O331" i="3"/>
  <c r="O367" i="3"/>
  <c r="N433" i="3"/>
  <c r="AH452" i="3"/>
  <c r="N415" i="3"/>
  <c r="N463" i="3"/>
  <c r="O433" i="3"/>
  <c r="AH494" i="3"/>
  <c r="AH398" i="3"/>
  <c r="AH389" i="3"/>
  <c r="AG124" i="3"/>
  <c r="AH61" i="3"/>
  <c r="AG441" i="3"/>
  <c r="AH68" i="3"/>
  <c r="AG465" i="3"/>
  <c r="AH396" i="3"/>
  <c r="AH442" i="3"/>
  <c r="AG338" i="3"/>
  <c r="AH481" i="3"/>
  <c r="AG170" i="3"/>
  <c r="AG254" i="3"/>
  <c r="AH179" i="3"/>
  <c r="AH252" i="3"/>
  <c r="AH228" i="3"/>
  <c r="AH341" i="3"/>
  <c r="AH395" i="3"/>
  <c r="AH355" i="3"/>
  <c r="AH278" i="3"/>
  <c r="AH204" i="3"/>
  <c r="AG61" i="3"/>
  <c r="AG101" i="3"/>
  <c r="AG153" i="3"/>
  <c r="AG34" i="3"/>
  <c r="AH43" i="3"/>
  <c r="N340" i="3"/>
  <c r="AD340" i="3"/>
  <c r="O340" i="3"/>
  <c r="N460" i="3"/>
  <c r="AD460" i="3"/>
  <c r="O460" i="3"/>
  <c r="AH427" i="3"/>
  <c r="AG428" i="3"/>
  <c r="AG359" i="3"/>
  <c r="AH423" i="3"/>
  <c r="AH361" i="3"/>
  <c r="AG199" i="3"/>
  <c r="O454" i="3"/>
  <c r="N454" i="3"/>
  <c r="N464" i="3"/>
  <c r="O464" i="3"/>
  <c r="AD464" i="3"/>
  <c r="AD478" i="3"/>
  <c r="N478" i="3"/>
  <c r="AG379" i="3"/>
  <c r="N334" i="3"/>
  <c r="AD334" i="3"/>
  <c r="O334" i="3"/>
  <c r="O325" i="3"/>
  <c r="N325" i="3"/>
  <c r="AD325" i="3"/>
  <c r="O310" i="3"/>
  <c r="N310" i="3"/>
  <c r="AD310" i="3"/>
  <c r="AD338" i="3"/>
  <c r="O338" i="3"/>
  <c r="N339" i="3"/>
  <c r="AD339" i="3"/>
  <c r="O339" i="3"/>
  <c r="N376" i="3"/>
  <c r="O376" i="3"/>
  <c r="AD376" i="3"/>
  <c r="N379" i="3"/>
  <c r="AD379" i="3"/>
  <c r="N389" i="3"/>
  <c r="AD389" i="3"/>
  <c r="O389" i="3"/>
  <c r="N318" i="3"/>
  <c r="O318" i="3"/>
  <c r="AD318" i="3"/>
  <c r="AD301" i="3"/>
  <c r="N301" i="3"/>
  <c r="O301" i="3"/>
  <c r="AE345" i="3"/>
  <c r="AG345" i="3"/>
  <c r="N297" i="3"/>
  <c r="AD297" i="3"/>
  <c r="O297" i="3"/>
  <c r="AD188" i="3"/>
  <c r="N188" i="3"/>
  <c r="O188" i="3"/>
  <c r="AH375" i="3"/>
  <c r="N307" i="3"/>
  <c r="AD307" i="3"/>
  <c r="O307" i="3"/>
  <c r="AD262" i="3"/>
  <c r="N262" i="3"/>
  <c r="N192" i="3"/>
  <c r="O192" i="3"/>
  <c r="N226" i="3"/>
  <c r="O226" i="3"/>
  <c r="AD226" i="3"/>
  <c r="N208" i="3"/>
  <c r="O208" i="3"/>
  <c r="AD208" i="3"/>
  <c r="N223" i="3"/>
  <c r="AD223" i="3"/>
  <c r="O183" i="3"/>
  <c r="N183" i="3"/>
  <c r="AD183" i="3"/>
  <c r="N207" i="3"/>
  <c r="AD207" i="3"/>
  <c r="O207" i="3"/>
  <c r="N259" i="3"/>
  <c r="AD259" i="3"/>
  <c r="O259" i="3"/>
  <c r="O104" i="3"/>
  <c r="N104" i="3"/>
  <c r="AD157" i="3"/>
  <c r="O157" i="3"/>
  <c r="N157" i="3"/>
  <c r="AG142" i="3"/>
  <c r="AD65" i="3"/>
  <c r="N65" i="3"/>
  <c r="O65" i="3"/>
  <c r="AH404" i="3"/>
  <c r="AG490" i="3"/>
  <c r="AG346" i="3"/>
  <c r="AG282" i="3"/>
  <c r="AH455" i="3"/>
  <c r="AH483" i="3"/>
  <c r="AH418" i="3"/>
  <c r="AH425" i="3"/>
  <c r="AG352" i="3"/>
  <c r="AH303" i="3"/>
  <c r="AH414" i="3"/>
  <c r="O313" i="3"/>
  <c r="O110" i="3"/>
  <c r="O174" i="3"/>
  <c r="O123" i="3"/>
  <c r="AD380" i="3"/>
  <c r="AG423" i="3"/>
  <c r="AG452" i="3"/>
  <c r="AG371" i="3"/>
  <c r="AG251" i="3"/>
  <c r="AH259" i="3"/>
  <c r="AH149" i="3"/>
  <c r="AH206" i="3"/>
  <c r="AH480" i="3"/>
  <c r="AD360" i="3"/>
  <c r="O56" i="3"/>
  <c r="N174" i="3"/>
  <c r="N123" i="3"/>
  <c r="O462" i="3"/>
  <c r="N337" i="3"/>
  <c r="AD67" i="3"/>
  <c r="AD462" i="3"/>
  <c r="AH477" i="3"/>
  <c r="AH476" i="3"/>
  <c r="AH482" i="3"/>
  <c r="AH462" i="3"/>
  <c r="AH390" i="3"/>
  <c r="AH333" i="3"/>
  <c r="AD432" i="3"/>
  <c r="AG393" i="3"/>
  <c r="AH299" i="3"/>
  <c r="AG303" i="3"/>
  <c r="N426" i="3"/>
  <c r="AH444" i="3"/>
  <c r="AH492" i="3"/>
  <c r="O495" i="3"/>
  <c r="O489" i="3"/>
  <c r="N458" i="3"/>
  <c r="AD434" i="3"/>
  <c r="AG411" i="3"/>
  <c r="AH466" i="3"/>
  <c r="AH266" i="3"/>
  <c r="AH473" i="3"/>
  <c r="AG485" i="3"/>
  <c r="AG376" i="3"/>
  <c r="AH331" i="3"/>
  <c r="AG360" i="3"/>
  <c r="AH160" i="3"/>
  <c r="AG139" i="3"/>
  <c r="AH120" i="3"/>
  <c r="AG461" i="3"/>
  <c r="AG320" i="3"/>
  <c r="AG436" i="3"/>
  <c r="AG362" i="3"/>
  <c r="AG309" i="3"/>
  <c r="AI309" i="3" s="1"/>
  <c r="AH161" i="3"/>
  <c r="O414" i="3"/>
  <c r="AG339" i="3"/>
  <c r="N414" i="3"/>
  <c r="AG209" i="3"/>
  <c r="AG283" i="3"/>
  <c r="AH490" i="3"/>
  <c r="AG384" i="3"/>
  <c r="AH67" i="3"/>
  <c r="AG429" i="3"/>
  <c r="O385" i="3"/>
  <c r="AD385" i="3"/>
  <c r="AH29" i="3"/>
  <c r="N366" i="3"/>
  <c r="AH438" i="3"/>
  <c r="AH358" i="3"/>
  <c r="AG386" i="3"/>
  <c r="AG319" i="3"/>
  <c r="AH295" i="3"/>
  <c r="AG426" i="3"/>
  <c r="AH365" i="3"/>
  <c r="AG263" i="3"/>
  <c r="AG294" i="3"/>
  <c r="O434" i="3"/>
  <c r="O476" i="3"/>
  <c r="AG377" i="3"/>
  <c r="AG292" i="3"/>
  <c r="AH286" i="3"/>
  <c r="AH12" i="3"/>
  <c r="AH56" i="3"/>
  <c r="AG14" i="3"/>
  <c r="AH440" i="3"/>
  <c r="AG477" i="3"/>
  <c r="AG482" i="3"/>
  <c r="AI482" i="3" s="1"/>
  <c r="AG340" i="3"/>
  <c r="AG265" i="3"/>
  <c r="AH35" i="3"/>
  <c r="AG484" i="3"/>
  <c r="AH489" i="3"/>
  <c r="AG261" i="3"/>
  <c r="AG312" i="3"/>
  <c r="AG354" i="3"/>
  <c r="AH268" i="3"/>
  <c r="AG134" i="3"/>
  <c r="AG238" i="3"/>
  <c r="AG216" i="3"/>
  <c r="AG248" i="3"/>
  <c r="AH215" i="3"/>
  <c r="AG74" i="3"/>
  <c r="AH201" i="3"/>
  <c r="AG11" i="3"/>
  <c r="AG20" i="3"/>
  <c r="AH474" i="3"/>
  <c r="AH337" i="3"/>
  <c r="AG470" i="3"/>
  <c r="AG364" i="3"/>
  <c r="AH443" i="3"/>
  <c r="AG440" i="3"/>
  <c r="AG291" i="3"/>
  <c r="AH290" i="3"/>
  <c r="AH236" i="3"/>
  <c r="AH262" i="3"/>
  <c r="AH196" i="3"/>
  <c r="AG480" i="3"/>
  <c r="AG109" i="3"/>
  <c r="O482" i="3"/>
  <c r="N479" i="3"/>
  <c r="AH176" i="3"/>
  <c r="AH94" i="3"/>
  <c r="AG476" i="3"/>
  <c r="AH484" i="3"/>
  <c r="AG469" i="3"/>
  <c r="AH302" i="3"/>
  <c r="AG270" i="3"/>
  <c r="AG211" i="3"/>
  <c r="AH234" i="3"/>
  <c r="AG237" i="3"/>
  <c r="AH180" i="3"/>
  <c r="AH214" i="3"/>
  <c r="AH281" i="3"/>
  <c r="AH225" i="3"/>
  <c r="AG132" i="3"/>
  <c r="AG114" i="3"/>
  <c r="AH159" i="3"/>
  <c r="AH89" i="3"/>
  <c r="AG88" i="3"/>
  <c r="AH144" i="3"/>
  <c r="AH10" i="3"/>
  <c r="AH207" i="3"/>
  <c r="AG494" i="3"/>
  <c r="AG316" i="3"/>
  <c r="AH315" i="3"/>
  <c r="AH291" i="3"/>
  <c r="AG165" i="3"/>
  <c r="AH145" i="3"/>
  <c r="AG131" i="3"/>
  <c r="AG127" i="3"/>
  <c r="AG45" i="3"/>
  <c r="AG49" i="3"/>
  <c r="AH125" i="3"/>
  <c r="AH220" i="3"/>
  <c r="AG198" i="3"/>
  <c r="AH123" i="3"/>
  <c r="AH117" i="3"/>
  <c r="AG57" i="3"/>
  <c r="AG30" i="3"/>
  <c r="AG483" i="3"/>
  <c r="AG446" i="3"/>
  <c r="AH470" i="3"/>
  <c r="AG390" i="3"/>
  <c r="AH403" i="3"/>
  <c r="AG66" i="3"/>
  <c r="AG493" i="3"/>
  <c r="AH400" i="3"/>
  <c r="AG478" i="3"/>
  <c r="AG472" i="3"/>
  <c r="AH465" i="3"/>
  <c r="AG424" i="3"/>
  <c r="AG383" i="3"/>
  <c r="AG368" i="3"/>
  <c r="AH217" i="3"/>
  <c r="AG87" i="3"/>
  <c r="AH478" i="3"/>
  <c r="AI478" i="3" s="1"/>
  <c r="AH406" i="3"/>
  <c r="AH130" i="3"/>
  <c r="AG47" i="3"/>
  <c r="AG481" i="3"/>
  <c r="AH432" i="3"/>
  <c r="AG475" i="3"/>
  <c r="AG430" i="3"/>
  <c r="AH434" i="3"/>
  <c r="AH408" i="3"/>
  <c r="AH422" i="3"/>
  <c r="AH464" i="3"/>
  <c r="AH435" i="3"/>
  <c r="AH402" i="3"/>
  <c r="AG443" i="3"/>
  <c r="AI443" i="3" s="1"/>
  <c r="AG381" i="3"/>
  <c r="AG356" i="3"/>
  <c r="AH407" i="3"/>
  <c r="AH316" i="3"/>
  <c r="AG367" i="3"/>
  <c r="AG322" i="3"/>
  <c r="AG289" i="3"/>
  <c r="AG255" i="3"/>
  <c r="AG232" i="3"/>
  <c r="AH301" i="3"/>
  <c r="AG233" i="3"/>
  <c r="AH153" i="3"/>
  <c r="AG188" i="3"/>
  <c r="AG231" i="3"/>
  <c r="AH182" i="3"/>
  <c r="AH240" i="3"/>
  <c r="AG242" i="3"/>
  <c r="AH190" i="3"/>
  <c r="AG130" i="3"/>
  <c r="AH66" i="3"/>
  <c r="AG451" i="3"/>
  <c r="AH491" i="3"/>
  <c r="AH495" i="3"/>
  <c r="AH446" i="3"/>
  <c r="AH485" i="3"/>
  <c r="AH420" i="3"/>
  <c r="AG417" i="3"/>
  <c r="AG495" i="3"/>
  <c r="AG399" i="3"/>
  <c r="AG327" i="3"/>
  <c r="AH417" i="3"/>
  <c r="AG310" i="3"/>
  <c r="AG259" i="3"/>
  <c r="AG286" i="3"/>
  <c r="AH208" i="3"/>
  <c r="AH193" i="3"/>
  <c r="AG106" i="3"/>
  <c r="AG83" i="3"/>
  <c r="AH108" i="3"/>
  <c r="AH128" i="3"/>
  <c r="AH64" i="3"/>
  <c r="AG58" i="3"/>
  <c r="AH78" i="3"/>
  <c r="AH54" i="3"/>
  <c r="AH46" i="3"/>
  <c r="AH17" i="3"/>
  <c r="AG200" i="3"/>
  <c r="AH191" i="3"/>
  <c r="AH141" i="3"/>
  <c r="AH102" i="3"/>
  <c r="AH298" i="3"/>
  <c r="AH60" i="3"/>
  <c r="AG149" i="3"/>
  <c r="AG84" i="3"/>
  <c r="AH410" i="3"/>
  <c r="AG460" i="3"/>
  <c r="AH344" i="3"/>
  <c r="AH328" i="3"/>
  <c r="AH457" i="3"/>
  <c r="AG349" i="3"/>
  <c r="AG335" i="3"/>
  <c r="AH254" i="3"/>
  <c r="AH62" i="3"/>
  <c r="AH31" i="3"/>
  <c r="AH426" i="3"/>
  <c r="AH448" i="3"/>
  <c r="AH386" i="3"/>
  <c r="AH383" i="3"/>
  <c r="AG287" i="3"/>
  <c r="AH415" i="3"/>
  <c r="AG342" i="3"/>
  <c r="AH356" i="3"/>
  <c r="AG268" i="3"/>
  <c r="AG288" i="3"/>
  <c r="AG298" i="3"/>
  <c r="AH235" i="3"/>
  <c r="AG215" i="3"/>
  <c r="AG227" i="3"/>
  <c r="AH277" i="3"/>
  <c r="AG226" i="3"/>
  <c r="AH232" i="3"/>
  <c r="AI232" i="3" s="1"/>
  <c r="AH205" i="3"/>
  <c r="AH233" i="3"/>
  <c r="AI233" i="3" s="1"/>
  <c r="AH127" i="3"/>
  <c r="AH198" i="3"/>
  <c r="AI198" i="3" s="1"/>
  <c r="AG206" i="3"/>
  <c r="AH428" i="3"/>
  <c r="AG456" i="3"/>
  <c r="AH472" i="3"/>
  <c r="AG389" i="3"/>
  <c r="AH382" i="3"/>
  <c r="AH458" i="3"/>
  <c r="AH436" i="3"/>
  <c r="AG334" i="3"/>
  <c r="AG406" i="3"/>
  <c r="AG450" i="3"/>
  <c r="AG463" i="3"/>
  <c r="AH449" i="3"/>
  <c r="AG448" i="3"/>
  <c r="AH310" i="3"/>
  <c r="AG370" i="3"/>
  <c r="AH450" i="3"/>
  <c r="AH370" i="3"/>
  <c r="AG432" i="3"/>
  <c r="AG385" i="3"/>
  <c r="AH460" i="3"/>
  <c r="AG445" i="3"/>
  <c r="AG402" i="3"/>
  <c r="AH431" i="3"/>
  <c r="AG358" i="3"/>
  <c r="AH354" i="3"/>
  <c r="AH288" i="3"/>
  <c r="AH345" i="3"/>
  <c r="AG374" i="3"/>
  <c r="AH320" i="3"/>
  <c r="AH387" i="3"/>
  <c r="AH332" i="3"/>
  <c r="AG331" i="3"/>
  <c r="AI331" i="3" s="1"/>
  <c r="AH397" i="3"/>
  <c r="AG275" i="3"/>
  <c r="AG341" i="3"/>
  <c r="AG305" i="3"/>
  <c r="AH296" i="3"/>
  <c r="AH352" i="3"/>
  <c r="AG351" i="3"/>
  <c r="AG306" i="3"/>
  <c r="AH317" i="3"/>
  <c r="AH284" i="3"/>
  <c r="AG307" i="3"/>
  <c r="AG361" i="3"/>
  <c r="AH327" i="3"/>
  <c r="AH250" i="3"/>
  <c r="AG269" i="3"/>
  <c r="AH294" i="3"/>
  <c r="AI294" i="3" s="1"/>
  <c r="AG266" i="3"/>
  <c r="AH261" i="3"/>
  <c r="AG222" i="3"/>
  <c r="AH181" i="3"/>
  <c r="AH272" i="3"/>
  <c r="AG186" i="3"/>
  <c r="AH178" i="3"/>
  <c r="AH58" i="3"/>
  <c r="AH98" i="3"/>
  <c r="AH14" i="3"/>
  <c r="AH416" i="3"/>
  <c r="AH459" i="3"/>
  <c r="AH430" i="3"/>
  <c r="AG415" i="3"/>
  <c r="AH467" i="3"/>
  <c r="AH374" i="3"/>
  <c r="AH441" i="3"/>
  <c r="AI441" i="3" s="1"/>
  <c r="AH378" i="3"/>
  <c r="AG336" i="3"/>
  <c r="AH224" i="3"/>
  <c r="AH325" i="3"/>
  <c r="AH292" i="3"/>
  <c r="AH339" i="3"/>
  <c r="AH367" i="3"/>
  <c r="AH349" i="3"/>
  <c r="AG378" i="3"/>
  <c r="AG388" i="3"/>
  <c r="AG290" i="3"/>
  <c r="AH369" i="3"/>
  <c r="AG398" i="3"/>
  <c r="AG300" i="3"/>
  <c r="AH314" i="3"/>
  <c r="AH238" i="3"/>
  <c r="AG296" i="3"/>
  <c r="AG249" i="3"/>
  <c r="AH251" i="3"/>
  <c r="AI251" i="3" s="1"/>
  <c r="AH267" i="3"/>
  <c r="AH226" i="3"/>
  <c r="AG213" i="3"/>
  <c r="AH293" i="3"/>
  <c r="AH263" i="3"/>
  <c r="AG236" i="3"/>
  <c r="AG207" i="3"/>
  <c r="AG204" i="3"/>
  <c r="AH151" i="3"/>
  <c r="AH166" i="3"/>
  <c r="AG174" i="3"/>
  <c r="AG214" i="3"/>
  <c r="AH143" i="3"/>
  <c r="AH147" i="3"/>
  <c r="AH92" i="3"/>
  <c r="AG104" i="3"/>
  <c r="AH137" i="3"/>
  <c r="AH76" i="3"/>
  <c r="AH90" i="3"/>
  <c r="AH82" i="3"/>
  <c r="AH40" i="3"/>
  <c r="AG68" i="3"/>
  <c r="AI68" i="3" s="1"/>
  <c r="AG40" i="3"/>
  <c r="AH37" i="3"/>
  <c r="AG8" i="3"/>
  <c r="AG53" i="3"/>
  <c r="AG33" i="3"/>
  <c r="AH34" i="3"/>
  <c r="AH49" i="3"/>
  <c r="AG94" i="3"/>
  <c r="AH44" i="3"/>
  <c r="AH52" i="3"/>
  <c r="AH9" i="3"/>
  <c r="AH23" i="3"/>
  <c r="AG437" i="3"/>
  <c r="AG387" i="3"/>
  <c r="AG439" i="3"/>
  <c r="AH388" i="3"/>
  <c r="AG412" i="3"/>
  <c r="AH468" i="3"/>
  <c r="AH439" i="3"/>
  <c r="AG366" i="3"/>
  <c r="AH411" i="3"/>
  <c r="AG333" i="3"/>
  <c r="AH318" i="3"/>
  <c r="AH424" i="3"/>
  <c r="AG323" i="3"/>
  <c r="AH322" i="3"/>
  <c r="AG420" i="3"/>
  <c r="AG299" i="3"/>
  <c r="AH353" i="3"/>
  <c r="AH351" i="3"/>
  <c r="AG380" i="3"/>
  <c r="AG353" i="3"/>
  <c r="AH258" i="3"/>
  <c r="AH308" i="3"/>
  <c r="AH329" i="3"/>
  <c r="AH372" i="3"/>
  <c r="AG350" i="3"/>
  <c r="AG234" i="3"/>
  <c r="AG223" i="3"/>
  <c r="AG190" i="3"/>
  <c r="AG166" i="3"/>
  <c r="AH287" i="3"/>
  <c r="AG239" i="3"/>
  <c r="AG230" i="3"/>
  <c r="AG218" i="3"/>
  <c r="AI218" i="3" s="1"/>
  <c r="AH154" i="3"/>
  <c r="AH162" i="3"/>
  <c r="AH237" i="3"/>
  <c r="AH241" i="3"/>
  <c r="AH185" i="3"/>
  <c r="AG187" i="3"/>
  <c r="AG69" i="3"/>
  <c r="AG191" i="3"/>
  <c r="AG122" i="3"/>
  <c r="AH83" i="3"/>
  <c r="AH96" i="3"/>
  <c r="AG81" i="3"/>
  <c r="AH79" i="3"/>
  <c r="AH116" i="3"/>
  <c r="AH25" i="3"/>
  <c r="AH33" i="3"/>
  <c r="AI33" i="3" s="1"/>
  <c r="AG44" i="3"/>
  <c r="AG32" i="3"/>
  <c r="AG7" i="3"/>
  <c r="AH20" i="3"/>
  <c r="AH456" i="3"/>
  <c r="AG414" i="3"/>
  <c r="AG447" i="3"/>
  <c r="AG425" i="3"/>
  <c r="AG419" i="3"/>
  <c r="AG347" i="3"/>
  <c r="AH274" i="3"/>
  <c r="AH371" i="3"/>
  <c r="AI371" i="3" s="1"/>
  <c r="AG400" i="3"/>
  <c r="AH381" i="3"/>
  <c r="AH326" i="3"/>
  <c r="AG325" i="3"/>
  <c r="AH334" i="3"/>
  <c r="AI334" i="3" s="1"/>
  <c r="AH285" i="3"/>
  <c r="AH246" i="3"/>
  <c r="AG276" i="3"/>
  <c r="AH289" i="3"/>
  <c r="AH248" i="3"/>
  <c r="AG246" i="3"/>
  <c r="AG245" i="3"/>
  <c r="AH275" i="3"/>
  <c r="AH171" i="3"/>
  <c r="AG154" i="3"/>
  <c r="AH139" i="3"/>
  <c r="AI139" i="3" s="1"/>
  <c r="AH173" i="3"/>
  <c r="AH118" i="3"/>
  <c r="AG99" i="3"/>
  <c r="AH36" i="3"/>
  <c r="AG10" i="3"/>
  <c r="AH335" i="3"/>
  <c r="AH227" i="3"/>
  <c r="AG202" i="3"/>
  <c r="AH152" i="3"/>
  <c r="AH100" i="3"/>
  <c r="AH148" i="3"/>
  <c r="AH104" i="3"/>
  <c r="AG62" i="3"/>
  <c r="AD458" i="3"/>
  <c r="AD351" i="3"/>
  <c r="N351" i="3"/>
  <c r="AG357" i="3"/>
  <c r="AH399" i="3"/>
  <c r="AG457" i="3"/>
  <c r="AH279" i="3"/>
  <c r="AG280" i="3"/>
  <c r="N258" i="3"/>
  <c r="O258" i="3"/>
  <c r="AG157" i="3"/>
  <c r="AH156" i="3"/>
  <c r="AG110" i="3"/>
  <c r="AD50" i="3"/>
  <c r="N50" i="3"/>
  <c r="O50" i="3"/>
  <c r="AH63" i="3"/>
  <c r="AG64" i="3"/>
  <c r="N122" i="3"/>
  <c r="O122" i="3"/>
  <c r="AD122" i="3"/>
  <c r="AH99" i="3"/>
  <c r="AI99" i="3" s="1"/>
  <c r="AD107" i="3"/>
  <c r="N107" i="3"/>
  <c r="AD85" i="3"/>
  <c r="O85" i="3"/>
  <c r="N85" i="3"/>
  <c r="N26" i="3"/>
  <c r="AD26" i="3"/>
  <c r="O26" i="3"/>
  <c r="AG46" i="3"/>
  <c r="AH45" i="3"/>
  <c r="O103" i="3"/>
  <c r="AD479" i="3"/>
  <c r="O457" i="3"/>
  <c r="N472" i="3"/>
  <c r="AD472" i="3"/>
  <c r="O472" i="3"/>
  <c r="AD290" i="3"/>
  <c r="N290" i="3"/>
  <c r="O445" i="3"/>
  <c r="AD445" i="3"/>
  <c r="N445" i="3"/>
  <c r="N438" i="3"/>
  <c r="AD438" i="3"/>
  <c r="AD378" i="3"/>
  <c r="N378" i="3"/>
  <c r="O378" i="3"/>
  <c r="O424" i="3"/>
  <c r="AD424" i="3"/>
  <c r="AG413" i="3"/>
  <c r="AH412" i="3"/>
  <c r="AD309" i="3"/>
  <c r="O309" i="3"/>
  <c r="N309" i="3"/>
  <c r="AH461" i="3"/>
  <c r="AH437" i="3"/>
  <c r="AG438" i="3"/>
  <c r="N411" i="3"/>
  <c r="AD411" i="3"/>
  <c r="O411" i="3"/>
  <c r="AH409" i="3"/>
  <c r="AG410" i="3"/>
  <c r="AG363" i="3"/>
  <c r="AD284" i="3"/>
  <c r="O284" i="3"/>
  <c r="N284" i="3"/>
  <c r="N254" i="3"/>
  <c r="AD254" i="3"/>
  <c r="AG281" i="3"/>
  <c r="AH280" i="3"/>
  <c r="AH359" i="3"/>
  <c r="N224" i="3"/>
  <c r="O224" i="3"/>
  <c r="AH175" i="3"/>
  <c r="N217" i="3"/>
  <c r="AD217" i="3"/>
  <c r="N170" i="3"/>
  <c r="AD170" i="3"/>
  <c r="O170" i="3"/>
  <c r="AD211" i="3"/>
  <c r="O211" i="3"/>
  <c r="N190" i="3"/>
  <c r="AD190" i="3"/>
  <c r="AG162" i="3"/>
  <c r="N152" i="3"/>
  <c r="O152" i="3"/>
  <c r="AG63" i="3"/>
  <c r="AH28" i="3"/>
  <c r="AE121" i="3"/>
  <c r="AG121" i="3"/>
  <c r="AG39" i="3"/>
  <c r="AI39" i="3" s="1"/>
  <c r="AG60" i="3"/>
  <c r="AH59" i="3"/>
  <c r="N28" i="3"/>
  <c r="AD28" i="3"/>
  <c r="AG19" i="3"/>
  <c r="AG48" i="3"/>
  <c r="AI48" i="3" s="1"/>
  <c r="AH47" i="3"/>
  <c r="O63" i="3"/>
  <c r="N103" i="3"/>
  <c r="O209" i="3"/>
  <c r="AG65" i="3"/>
  <c r="N492" i="3"/>
  <c r="O492" i="3"/>
  <c r="AG459" i="3"/>
  <c r="O428" i="3"/>
  <c r="N428" i="3"/>
  <c r="AD428" i="3"/>
  <c r="O493" i="3"/>
  <c r="N493" i="3"/>
  <c r="O467" i="3"/>
  <c r="N467" i="3"/>
  <c r="AD467" i="3"/>
  <c r="AH479" i="3"/>
  <c r="AG365" i="3"/>
  <c r="AH364" i="3"/>
  <c r="AG343" i="3"/>
  <c r="AI343" i="3" s="1"/>
  <c r="N361" i="3"/>
  <c r="AD361" i="3"/>
  <c r="O361" i="3"/>
  <c r="N388" i="3"/>
  <c r="O388" i="3"/>
  <c r="O292" i="3"/>
  <c r="AD292" i="3"/>
  <c r="N289" i="3"/>
  <c r="AD289" i="3"/>
  <c r="O289" i="3"/>
  <c r="AH391" i="3"/>
  <c r="AE396" i="3"/>
  <c r="AG396" i="3"/>
  <c r="AH311" i="3"/>
  <c r="AG301" i="3"/>
  <c r="AH300" i="3"/>
  <c r="N251" i="3"/>
  <c r="AD251" i="3"/>
  <c r="O251" i="3"/>
  <c r="AG235" i="3"/>
  <c r="AG167" i="3"/>
  <c r="N245" i="3"/>
  <c r="AD245" i="3"/>
  <c r="AH24" i="3"/>
  <c r="AG25" i="3"/>
  <c r="AE279" i="3"/>
  <c r="AG279" i="3"/>
  <c r="N281" i="3"/>
  <c r="AD281" i="3"/>
  <c r="O281" i="3"/>
  <c r="AH124" i="3"/>
  <c r="AG75" i="3"/>
  <c r="AG17" i="3"/>
  <c r="N63" i="3"/>
  <c r="N209" i="3"/>
  <c r="O395" i="3"/>
  <c r="O217" i="3"/>
  <c r="N193" i="3"/>
  <c r="AD278" i="3"/>
  <c r="AH445" i="3"/>
  <c r="AG129" i="3"/>
  <c r="AG79" i="3"/>
  <c r="AG176" i="3"/>
  <c r="AG247" i="3"/>
  <c r="AG326" i="3"/>
  <c r="AD258" i="3"/>
  <c r="N395" i="3"/>
  <c r="O278" i="3"/>
  <c r="AG262" i="3"/>
  <c r="AI262" i="3" s="1"/>
  <c r="O485" i="3"/>
  <c r="N485" i="3"/>
  <c r="AG401" i="3"/>
  <c r="AH401" i="3"/>
  <c r="AD180" i="3"/>
  <c r="N180" i="3"/>
  <c r="AH307" i="3"/>
  <c r="AG308" i="3"/>
  <c r="AD277" i="3"/>
  <c r="N277" i="3"/>
  <c r="N127" i="3"/>
  <c r="AD127" i="3"/>
  <c r="AD78" i="3"/>
  <c r="N78" i="3"/>
  <c r="AD266" i="3"/>
  <c r="N266" i="3"/>
  <c r="AG172" i="3"/>
  <c r="N249" i="3"/>
  <c r="O249" i="3"/>
  <c r="AD177" i="3"/>
  <c r="O177" i="3"/>
  <c r="N215" i="3"/>
  <c r="O215" i="3"/>
  <c r="AD215" i="3"/>
  <c r="AH170" i="3"/>
  <c r="AI170" i="3" s="1"/>
  <c r="AG78" i="3"/>
  <c r="AH77" i="3"/>
  <c r="O74" i="3"/>
  <c r="N74" i="3"/>
  <c r="AD74" i="3"/>
  <c r="AH158" i="3"/>
  <c r="AG159" i="3"/>
  <c r="AD139" i="3"/>
  <c r="O139" i="3"/>
  <c r="N139" i="3"/>
  <c r="AG73" i="3"/>
  <c r="AH110" i="3"/>
  <c r="AD126" i="3"/>
  <c r="N126" i="3"/>
  <c r="O126" i="3"/>
  <c r="AD31" i="3"/>
  <c r="O31" i="3"/>
  <c r="N31" i="3"/>
  <c r="N51" i="3"/>
  <c r="AD51" i="3"/>
  <c r="N59" i="3"/>
  <c r="O59" i="3"/>
  <c r="AD59" i="3"/>
  <c r="N381" i="3"/>
  <c r="AD381" i="3"/>
  <c r="O381" i="3"/>
  <c r="N461" i="3"/>
  <c r="AD461" i="3"/>
  <c r="AG491" i="3"/>
  <c r="AG434" i="3"/>
  <c r="AH433" i="3"/>
  <c r="N448" i="3"/>
  <c r="O448" i="3"/>
  <c r="AD448" i="3"/>
  <c r="N487" i="3"/>
  <c r="O487" i="3"/>
  <c r="AD487" i="3"/>
  <c r="AD455" i="3"/>
  <c r="O455" i="3"/>
  <c r="N323" i="3"/>
  <c r="O323" i="3"/>
  <c r="AH394" i="3"/>
  <c r="AH453" i="3"/>
  <c r="AD272" i="3"/>
  <c r="O272" i="3"/>
  <c r="N272" i="3"/>
  <c r="O244" i="3"/>
  <c r="AD244" i="3"/>
  <c r="N244" i="3"/>
  <c r="N250" i="3"/>
  <c r="AD250" i="3"/>
  <c r="O250" i="3"/>
  <c r="AD178" i="3"/>
  <c r="N178" i="3"/>
  <c r="O178" i="3"/>
  <c r="AH239" i="3"/>
  <c r="N169" i="3"/>
  <c r="AD169" i="3"/>
  <c r="AG70" i="3"/>
  <c r="AH69" i="3"/>
  <c r="O137" i="3"/>
  <c r="AD137" i="3"/>
  <c r="AE155" i="3"/>
  <c r="AG155" i="3"/>
  <c r="AH71" i="3"/>
  <c r="AG72" i="3"/>
  <c r="O109" i="3"/>
  <c r="N109" i="3"/>
  <c r="AD109" i="3"/>
  <c r="AG91" i="3"/>
  <c r="N89" i="3"/>
  <c r="AD89" i="3"/>
  <c r="N11" i="3"/>
  <c r="O11" i="3"/>
  <c r="N93" i="3"/>
  <c r="AD93" i="3"/>
  <c r="O93" i="3"/>
  <c r="O438" i="3"/>
  <c r="O425" i="3"/>
  <c r="N470" i="3"/>
  <c r="O470" i="3"/>
  <c r="AD316" i="3"/>
  <c r="O316" i="3"/>
  <c r="N316" i="3"/>
  <c r="O468" i="3"/>
  <c r="N468" i="3"/>
  <c r="N452" i="3"/>
  <c r="AD452" i="3"/>
  <c r="O452" i="3"/>
  <c r="AH488" i="3"/>
  <c r="AG489" i="3"/>
  <c r="N474" i="3"/>
  <c r="O474" i="3"/>
  <c r="AD386" i="3"/>
  <c r="O386" i="3"/>
  <c r="N386" i="3"/>
  <c r="N362" i="3"/>
  <c r="O362" i="3"/>
  <c r="O294" i="3"/>
  <c r="N294" i="3"/>
  <c r="AD294" i="3"/>
  <c r="AH413" i="3"/>
  <c r="AD306" i="3"/>
  <c r="N306" i="3"/>
  <c r="O306" i="3"/>
  <c r="N421" i="3"/>
  <c r="AD421" i="3"/>
  <c r="O421" i="3"/>
  <c r="AH338" i="3"/>
  <c r="AG332" i="3"/>
  <c r="AG257" i="3"/>
  <c r="AG250" i="3"/>
  <c r="N199" i="3"/>
  <c r="AD199" i="3"/>
  <c r="O199" i="3"/>
  <c r="AH257" i="3"/>
  <c r="AG258" i="3"/>
  <c r="AH305" i="3"/>
  <c r="AH213" i="3"/>
  <c r="AI213" i="3" s="1"/>
  <c r="AH282" i="3"/>
  <c r="AG180" i="3"/>
  <c r="AD212" i="3"/>
  <c r="O212" i="3"/>
  <c r="N159" i="3"/>
  <c r="AD159" i="3"/>
  <c r="O159" i="3"/>
  <c r="AD241" i="3"/>
  <c r="N241" i="3"/>
  <c r="O241" i="3"/>
  <c r="AH172" i="3"/>
  <c r="AG173" i="3"/>
  <c r="AG97" i="3"/>
  <c r="AG210" i="3"/>
  <c r="AH209" i="3"/>
  <c r="AI209" i="3" s="1"/>
  <c r="AD171" i="3"/>
  <c r="O171" i="3"/>
  <c r="N182" i="3"/>
  <c r="AD182" i="3"/>
  <c r="O182" i="3"/>
  <c r="N237" i="3"/>
  <c r="O237" i="3"/>
  <c r="AD237" i="3"/>
  <c r="N131" i="3"/>
  <c r="AD131" i="3"/>
  <c r="AH199" i="3"/>
  <c r="AG145" i="3"/>
  <c r="N101" i="3"/>
  <c r="O101" i="3"/>
  <c r="AG181" i="3"/>
  <c r="AD470" i="3"/>
  <c r="AH87" i="3"/>
  <c r="AH419" i="3"/>
  <c r="AI419" i="3" s="1"/>
  <c r="O143" i="3"/>
  <c r="O169" i="3"/>
  <c r="O28" i="3"/>
  <c r="AD198" i="3"/>
  <c r="N424" i="3"/>
  <c r="N360" i="3"/>
  <c r="AG468" i="3"/>
  <c r="AG471" i="3"/>
  <c r="O131" i="3"/>
  <c r="O254" i="3"/>
  <c r="AD323" i="3"/>
  <c r="O107" i="3"/>
  <c r="AD407" i="3"/>
  <c r="N350" i="3"/>
  <c r="AD350" i="3"/>
  <c r="AH101" i="3"/>
  <c r="AG458" i="3"/>
  <c r="AD429" i="3"/>
  <c r="N429" i="3"/>
  <c r="N212" i="3"/>
  <c r="N198" i="3"/>
  <c r="AD224" i="3"/>
  <c r="O326" i="3"/>
  <c r="N137" i="3"/>
  <c r="O351" i="3"/>
  <c r="AD11" i="3"/>
  <c r="AG466" i="3"/>
  <c r="AI466" i="3" s="1"/>
  <c r="O89" i="3"/>
  <c r="AD468" i="3"/>
  <c r="O273" i="3"/>
  <c r="O407" i="3"/>
  <c r="AG147" i="3"/>
  <c r="AE103" i="3"/>
  <c r="AG103" i="3"/>
  <c r="O76" i="3"/>
  <c r="AD76" i="3"/>
  <c r="AG117" i="3"/>
  <c r="AG143" i="3"/>
  <c r="AH142" i="3"/>
  <c r="AG52" i="3"/>
  <c r="AH55" i="3"/>
  <c r="O32" i="3"/>
  <c r="N30" i="3"/>
  <c r="N76" i="3"/>
  <c r="AH475" i="3"/>
  <c r="AG253" i="3"/>
  <c r="AH223" i="3"/>
  <c r="AG86" i="3"/>
  <c r="AD134" i="3"/>
  <c r="N134" i="3"/>
  <c r="O134" i="3"/>
  <c r="N113" i="3"/>
  <c r="AD113" i="3"/>
  <c r="O113" i="3"/>
  <c r="O30" i="3"/>
  <c r="N56" i="3"/>
  <c r="N32" i="3"/>
  <c r="O456" i="3"/>
  <c r="AD456" i="3"/>
  <c r="AE397" i="3"/>
  <c r="AG397" i="3"/>
  <c r="N394" i="3"/>
  <c r="O394" i="3"/>
  <c r="AH304" i="3"/>
  <c r="AG337" i="3"/>
  <c r="AH323" i="3"/>
  <c r="AH366" i="3"/>
  <c r="AD227" i="3"/>
  <c r="N227" i="3"/>
  <c r="O227" i="3"/>
  <c r="AH164" i="3"/>
  <c r="AG164" i="3"/>
  <c r="AH163" i="3"/>
  <c r="AH75" i="3"/>
  <c r="AD408" i="3"/>
  <c r="O408" i="3"/>
  <c r="AH463" i="3"/>
  <c r="AG464" i="3"/>
  <c r="AH264" i="3"/>
  <c r="AG314" i="3"/>
  <c r="AG194" i="3"/>
  <c r="N238" i="3"/>
  <c r="AD238" i="3"/>
  <c r="O238" i="3"/>
  <c r="AH186" i="3"/>
  <c r="AG228" i="3"/>
  <c r="AG185" i="3"/>
  <c r="N234" i="3"/>
  <c r="AD234" i="3"/>
  <c r="AD222" i="3"/>
  <c r="N222" i="3"/>
  <c r="AG140" i="3"/>
  <c r="AH140" i="3"/>
  <c r="AG136" i="3"/>
  <c r="AG120" i="3"/>
  <c r="AG15" i="3"/>
  <c r="N45" i="3"/>
  <c r="O45" i="3"/>
  <c r="O38" i="3"/>
  <c r="AD38" i="3"/>
  <c r="O264" i="3"/>
  <c r="AD191" i="3"/>
  <c r="AD465" i="3"/>
  <c r="O179" i="3"/>
  <c r="AH384" i="3"/>
  <c r="AI384" i="3" s="1"/>
  <c r="AH336" i="3"/>
  <c r="AH195" i="3"/>
  <c r="AG407" i="3"/>
  <c r="O350" i="3"/>
  <c r="O412" i="3"/>
  <c r="AG492" i="3"/>
  <c r="AG344" i="3"/>
  <c r="AH212" i="3"/>
  <c r="O374" i="3"/>
  <c r="O153" i="3"/>
  <c r="AG284" i="3"/>
  <c r="N473" i="3"/>
  <c r="AG479" i="3"/>
  <c r="AD412" i="3"/>
  <c r="AG467" i="3"/>
  <c r="AG418" i="3"/>
  <c r="AG473" i="3"/>
  <c r="AG375" i="3"/>
  <c r="AH243" i="3"/>
  <c r="AH377" i="3"/>
  <c r="AD491" i="3"/>
  <c r="O78" i="3"/>
  <c r="AD273" i="3"/>
  <c r="AH379" i="3"/>
  <c r="AG486" i="3"/>
  <c r="O375" i="3"/>
  <c r="AH392" i="3"/>
  <c r="AG474" i="3"/>
  <c r="AG224" i="3"/>
  <c r="O343" i="3"/>
  <c r="AD343" i="3"/>
  <c r="N441" i="3"/>
  <c r="O290" i="3"/>
  <c r="AD197" i="3"/>
  <c r="O277" i="3"/>
  <c r="AG313" i="3"/>
  <c r="AI313" i="3" s="1"/>
  <c r="AH348" i="3"/>
  <c r="AD375" i="3"/>
  <c r="AH133" i="3"/>
  <c r="O491" i="3"/>
  <c r="N177" i="3"/>
  <c r="O266" i="3"/>
  <c r="AG453" i="3"/>
  <c r="AG373" i="3"/>
  <c r="O299" i="3"/>
  <c r="AG442" i="3"/>
  <c r="AD249" i="3"/>
  <c r="AD374" i="3"/>
  <c r="O197" i="3"/>
  <c r="AD425" i="3"/>
  <c r="AG433" i="3"/>
  <c r="N299" i="3"/>
  <c r="AG431" i="3"/>
  <c r="AG427" i="3"/>
  <c r="AG324" i="3"/>
  <c r="AD457" i="3"/>
  <c r="AD153" i="3"/>
  <c r="AG217" i="3"/>
  <c r="AG243" i="3"/>
  <c r="AH276" i="3"/>
  <c r="AG168" i="3"/>
  <c r="AH271" i="3"/>
  <c r="AH297" i="3"/>
  <c r="AG184" i="3"/>
  <c r="AH283" i="3"/>
  <c r="AG229" i="3"/>
  <c r="AG175" i="3"/>
  <c r="AG260" i="3"/>
  <c r="AH192" i="3"/>
  <c r="AG205" i="3"/>
  <c r="AH184" i="3"/>
  <c r="AG67" i="3"/>
  <c r="AH249" i="3"/>
  <c r="AH253" i="3"/>
  <c r="AG160" i="3"/>
  <c r="AG128" i="3"/>
  <c r="AH200" i="3"/>
  <c r="AG220" i="3"/>
  <c r="AG252" i="3"/>
  <c r="AG178" i="3"/>
  <c r="AH219" i="3"/>
  <c r="AH157" i="3"/>
  <c r="AG163" i="3"/>
  <c r="AH103" i="3"/>
  <c r="AH114" i="3"/>
  <c r="AH187" i="3"/>
  <c r="AG151" i="3"/>
  <c r="AH165" i="3"/>
  <c r="AH119" i="3"/>
  <c r="AH72" i="3"/>
  <c r="AH106" i="3"/>
  <c r="AG100" i="3"/>
  <c r="AI100" i="3" s="1"/>
  <c r="AH135" i="3"/>
  <c r="AG85" i="3"/>
  <c r="AG95" i="3"/>
  <c r="AH146" i="3"/>
  <c r="AG144" i="3"/>
  <c r="AH93" i="3"/>
  <c r="AG125" i="3"/>
  <c r="AH131" i="3"/>
  <c r="AH189" i="3"/>
  <c r="AG108" i="3"/>
  <c r="AH91" i="3"/>
  <c r="AH97" i="3"/>
  <c r="AG113" i="3"/>
  <c r="AG89" i="3"/>
  <c r="AG107" i="3"/>
  <c r="AG41" i="3"/>
  <c r="AH70" i="3"/>
  <c r="AH74" i="3"/>
  <c r="AH65" i="3"/>
  <c r="AG93" i="3"/>
  <c r="AG51" i="3"/>
  <c r="AG80" i="3"/>
  <c r="AH30" i="3"/>
  <c r="AG116" i="3"/>
  <c r="AI116" i="3" s="1"/>
  <c r="AH132" i="3"/>
  <c r="AH86" i="3"/>
  <c r="AG105" i="3"/>
  <c r="AG112" i="3"/>
  <c r="AG37" i="3"/>
  <c r="AH51" i="3"/>
  <c r="AG36" i="3"/>
  <c r="Q2" i="3"/>
  <c r="AG28" i="3"/>
  <c r="AG23" i="3"/>
  <c r="AG18" i="3"/>
  <c r="AG90" i="3"/>
  <c r="AG16" i="3"/>
  <c r="AH73" i="3"/>
  <c r="AH41" i="3"/>
  <c r="AG12" i="3"/>
  <c r="AG54" i="3"/>
  <c r="AH53" i="3"/>
  <c r="AG38" i="3"/>
  <c r="AH38" i="3"/>
  <c r="AG31" i="3"/>
  <c r="AI31" i="3" s="1"/>
  <c r="AH21" i="3"/>
  <c r="AG26" i="3"/>
  <c r="AG9" i="3"/>
  <c r="AI9" i="3" s="1"/>
  <c r="AH57" i="3"/>
  <c r="AH167" i="3"/>
  <c r="AH247" i="3"/>
  <c r="AG488" i="3"/>
  <c r="AG408" i="3"/>
  <c r="AH362" i="3"/>
  <c r="AG201" i="3"/>
  <c r="AG171" i="3"/>
  <c r="AH42" i="3"/>
  <c r="AD148" i="3"/>
  <c r="AG195" i="3"/>
  <c r="AG179" i="3"/>
  <c r="AG156" i="3"/>
  <c r="AG277" i="3"/>
  <c r="AD368" i="3"/>
  <c r="AG59" i="3"/>
  <c r="AG328" i="3"/>
  <c r="AD363" i="3"/>
  <c r="N447" i="3"/>
  <c r="AG455" i="3"/>
  <c r="AG137" i="3"/>
  <c r="AH260" i="3"/>
  <c r="AG119" i="3"/>
  <c r="AH312" i="3"/>
  <c r="AG421" i="3"/>
  <c r="AG404" i="3"/>
  <c r="AH319" i="3"/>
  <c r="AG409" i="3"/>
  <c r="AG221" i="3"/>
  <c r="AH447" i="3"/>
  <c r="AH115" i="3"/>
  <c r="AH174" i="3"/>
  <c r="AG315" i="3"/>
  <c r="AH321" i="3"/>
  <c r="AH244" i="3"/>
  <c r="AG487" i="3"/>
  <c r="AG449" i="3"/>
  <c r="AG422" i="3"/>
  <c r="AH421" i="3"/>
  <c r="AH368" i="3"/>
  <c r="AG295" i="3"/>
  <c r="AG348" i="3"/>
  <c r="AG192" i="3"/>
  <c r="AG274" i="3"/>
  <c r="AG135" i="3"/>
  <c r="AG271" i="3"/>
  <c r="AG391" i="3"/>
  <c r="AD202" i="3"/>
  <c r="N283" i="3"/>
  <c r="AG115" i="3"/>
  <c r="O333" i="3"/>
  <c r="AD364" i="3"/>
  <c r="O202" i="3"/>
  <c r="AH27" i="3"/>
  <c r="N368" i="3"/>
  <c r="N148" i="3"/>
  <c r="AG71" i="3"/>
  <c r="AG183" i="3"/>
  <c r="AD232" i="3"/>
  <c r="AG92" i="3"/>
  <c r="AH273" i="3"/>
  <c r="AH231" i="3"/>
  <c r="AG278" i="3"/>
  <c r="AH330" i="3"/>
  <c r="AG454" i="3"/>
  <c r="AH493" i="3"/>
  <c r="AH454" i="3"/>
  <c r="AH487" i="3"/>
  <c r="AI487" i="3" s="1"/>
  <c r="AG318" i="3"/>
  <c r="AG182" i="3"/>
  <c r="AH405" i="3"/>
  <c r="N484" i="3"/>
  <c r="AE80" i="3"/>
  <c r="AD486" i="3"/>
  <c r="O447" i="3"/>
  <c r="O486" i="3"/>
  <c r="AG395" i="3"/>
  <c r="AH373" i="3"/>
  <c r="AH265" i="3"/>
  <c r="AH81" i="3"/>
  <c r="O283" i="3"/>
  <c r="AG435" i="3"/>
  <c r="O156" i="3"/>
  <c r="AH136" i="3"/>
  <c r="AD195" i="3"/>
  <c r="AG158" i="3"/>
  <c r="AG27" i="3"/>
  <c r="N232" i="3"/>
  <c r="AG444" i="3"/>
  <c r="AG197" i="3"/>
  <c r="AG146" i="3"/>
  <c r="AG126" i="3"/>
  <c r="AH360" i="3"/>
  <c r="AH150" i="3"/>
  <c r="AH429" i="3"/>
  <c r="AG330" i="3"/>
  <c r="AH350" i="3"/>
  <c r="AD172" i="3"/>
  <c r="AG42" i="3"/>
  <c r="O484" i="3"/>
  <c r="AD8" i="3"/>
  <c r="AG372" i="3"/>
  <c r="AG311" i="3"/>
  <c r="O195" i="3"/>
  <c r="AG29" i="3"/>
  <c r="O105" i="3"/>
  <c r="AH107" i="3"/>
  <c r="AG22" i="3"/>
  <c r="AI22" i="3" s="1"/>
  <c r="AH347" i="3"/>
  <c r="AG405" i="3"/>
  <c r="AG403" i="3"/>
  <c r="AH306" i="3"/>
  <c r="AG24" i="3"/>
  <c r="AH15" i="3"/>
  <c r="AG82" i="3"/>
  <c r="AI82" i="3" s="1"/>
  <c r="O218" i="3"/>
  <c r="O120" i="3"/>
  <c r="AD120" i="3"/>
  <c r="AG56" i="3"/>
  <c r="AH129" i="3"/>
  <c r="AG267" i="3"/>
  <c r="AH340" i="3"/>
  <c r="AD105" i="3"/>
  <c r="O400" i="3"/>
  <c r="Q3" i="3"/>
  <c r="AG43" i="3"/>
  <c r="AH486" i="3"/>
  <c r="AG111" i="3"/>
  <c r="AG272" i="3"/>
  <c r="AG369" i="3"/>
  <c r="N333" i="3"/>
  <c r="O364" i="3"/>
  <c r="O172" i="3"/>
  <c r="AD382" i="3"/>
  <c r="AG321" i="3"/>
  <c r="N150" i="3"/>
  <c r="AH342" i="3"/>
  <c r="AH88" i="3"/>
  <c r="AI88" i="3" s="1"/>
  <c r="AG203" i="3"/>
  <c r="W3" i="3"/>
  <c r="V3" i="3" s="1"/>
  <c r="D14" i="1" s="1"/>
  <c r="N400" i="3"/>
  <c r="AG382" i="3"/>
  <c r="AG317" i="3"/>
  <c r="AG297" i="3"/>
  <c r="AG161" i="3"/>
  <c r="O382" i="3"/>
  <c r="N218" i="3"/>
  <c r="AD58" i="3"/>
  <c r="N58" i="3"/>
  <c r="AG21" i="3"/>
  <c r="O363" i="3"/>
  <c r="AH84" i="3"/>
  <c r="AG329" i="3"/>
  <c r="AG392" i="3"/>
  <c r="AH177" i="3"/>
  <c r="AH85" i="3"/>
  <c r="AG76" i="3"/>
  <c r="AD156" i="3"/>
  <c r="AG416" i="3"/>
  <c r="AG177" i="3"/>
  <c r="AG462" i="3"/>
  <c r="AG355" i="3"/>
  <c r="AI355" i="3" s="1"/>
  <c r="AG208" i="3"/>
  <c r="AG77" i="3"/>
  <c r="AG273" i="3"/>
  <c r="AG13" i="3"/>
  <c r="AH134" i="3"/>
  <c r="AG225" i="3"/>
  <c r="AG169" i="3"/>
  <c r="AG141" i="3"/>
  <c r="AD336" i="3"/>
  <c r="AG241" i="3"/>
  <c r="AG148" i="3"/>
  <c r="O129" i="3"/>
  <c r="AG133" i="3"/>
  <c r="AG256" i="3"/>
  <c r="N129" i="3"/>
  <c r="AG264" i="3"/>
  <c r="AI264" i="3" s="1"/>
  <c r="AG219" i="3"/>
  <c r="AG293" i="3"/>
  <c r="N336" i="3"/>
  <c r="AD150" i="3"/>
  <c r="AH13" i="3"/>
  <c r="O426" i="3"/>
  <c r="N432" i="3"/>
  <c r="N358" i="3"/>
  <c r="AD493" i="3"/>
  <c r="AD485" i="3"/>
  <c r="AD366" i="3"/>
  <c r="O469" i="3"/>
  <c r="N356" i="3"/>
  <c r="N442" i="3"/>
  <c r="O442" i="3"/>
  <c r="AD442" i="3"/>
  <c r="O416" i="3"/>
  <c r="AD416" i="3"/>
  <c r="N490" i="3"/>
  <c r="AD490" i="3"/>
  <c r="N444" i="3"/>
  <c r="AD444" i="3"/>
  <c r="O444" i="3"/>
  <c r="O370" i="3"/>
  <c r="AD370" i="3"/>
  <c r="O423" i="3"/>
  <c r="AD423" i="3"/>
  <c r="N314" i="3"/>
  <c r="AD314" i="3"/>
  <c r="O314" i="3"/>
  <c r="N437" i="3"/>
  <c r="AD437" i="3"/>
  <c r="N305" i="3"/>
  <c r="O305" i="3"/>
  <c r="AD305" i="3"/>
  <c r="N256" i="3"/>
  <c r="O256" i="3"/>
  <c r="AD256" i="3"/>
  <c r="N203" i="3"/>
  <c r="O203" i="3"/>
  <c r="AD203" i="3"/>
  <c r="AD267" i="3"/>
  <c r="N267" i="3"/>
  <c r="O267" i="3"/>
  <c r="O274" i="3"/>
  <c r="AD274" i="3"/>
  <c r="N274" i="3"/>
  <c r="AH216" i="3"/>
  <c r="AI216" i="3" s="1"/>
  <c r="AD176" i="3"/>
  <c r="N176" i="3"/>
  <c r="O161" i="3"/>
  <c r="AD161" i="3"/>
  <c r="N161" i="3"/>
  <c r="AG189" i="3"/>
  <c r="AH188" i="3"/>
  <c r="N46" i="3"/>
  <c r="O46" i="3"/>
  <c r="AD46" i="3"/>
  <c r="O253" i="3"/>
  <c r="AD253" i="3"/>
  <c r="AH155" i="3"/>
  <c r="AG98" i="3"/>
  <c r="AD64" i="3"/>
  <c r="N64" i="3"/>
  <c r="O64" i="3"/>
  <c r="O8" i="3"/>
  <c r="N8" i="3"/>
  <c r="AD41" i="3"/>
  <c r="O41" i="3"/>
  <c r="O75" i="3"/>
  <c r="AD75" i="3"/>
  <c r="N75" i="3"/>
  <c r="N29" i="3"/>
  <c r="O29" i="3"/>
  <c r="AD29" i="3"/>
  <c r="N22" i="3"/>
  <c r="O22" i="3"/>
  <c r="AD22" i="3"/>
  <c r="N55" i="3"/>
  <c r="O55" i="3"/>
  <c r="AD55" i="3"/>
  <c r="AD83" i="3"/>
  <c r="N83" i="3"/>
  <c r="O83" i="3"/>
  <c r="O440" i="3"/>
  <c r="N440" i="3"/>
  <c r="N410" i="3"/>
  <c r="O410" i="3"/>
  <c r="AD410" i="3"/>
  <c r="O409" i="3"/>
  <c r="AD409" i="3"/>
  <c r="N409" i="3"/>
  <c r="AD315" i="3"/>
  <c r="O315" i="3"/>
  <c r="N288" i="3"/>
  <c r="O288" i="3"/>
  <c r="AD288" i="3"/>
  <c r="O357" i="3"/>
  <c r="AD357" i="3"/>
  <c r="N329" i="3"/>
  <c r="O329" i="3"/>
  <c r="AD329" i="3"/>
  <c r="N417" i="3"/>
  <c r="O417" i="3"/>
  <c r="AD417" i="3"/>
  <c r="N402" i="3"/>
  <c r="AD402" i="3"/>
  <c r="O398" i="3"/>
  <c r="N398" i="3"/>
  <c r="AD398" i="3"/>
  <c r="N459" i="3"/>
  <c r="AD459" i="3"/>
  <c r="O459" i="3"/>
  <c r="O344" i="3"/>
  <c r="N344" i="3"/>
  <c r="AD344" i="3"/>
  <c r="O354" i="3"/>
  <c r="N354" i="3"/>
  <c r="AD354" i="3"/>
  <c r="AD353" i="3"/>
  <c r="N353" i="3"/>
  <c r="N201" i="3"/>
  <c r="O201" i="3"/>
  <c r="AD201" i="3"/>
  <c r="N225" i="3"/>
  <c r="O225" i="3"/>
  <c r="O296" i="3"/>
  <c r="AD296" i="3"/>
  <c r="N200" i="3"/>
  <c r="AD200" i="3"/>
  <c r="O200" i="3"/>
  <c r="AH242" i="3"/>
  <c r="AI242" i="3" s="1"/>
  <c r="AD255" i="3"/>
  <c r="O255" i="3"/>
  <c r="N185" i="3"/>
  <c r="AD185" i="3"/>
  <c r="O185" i="3"/>
  <c r="N163" i="3"/>
  <c r="AD163" i="3"/>
  <c r="O163" i="3"/>
  <c r="AG152" i="3"/>
  <c r="AI152" i="3" s="1"/>
  <c r="N247" i="3"/>
  <c r="O247" i="3"/>
  <c r="AD247" i="3"/>
  <c r="AD92" i="3"/>
  <c r="N92" i="3"/>
  <c r="N149" i="3"/>
  <c r="O149" i="3"/>
  <c r="AD149" i="3"/>
  <c r="AG138" i="3"/>
  <c r="AD130" i="3"/>
  <c r="N130" i="3"/>
  <c r="O130" i="3"/>
  <c r="AD108" i="3"/>
  <c r="N108" i="3"/>
  <c r="O108" i="3"/>
  <c r="N102" i="3"/>
  <c r="AD102" i="3"/>
  <c r="AG55" i="3"/>
  <c r="AD100" i="3"/>
  <c r="N100" i="3"/>
  <c r="O18" i="3"/>
  <c r="AD18" i="3"/>
  <c r="N18" i="3"/>
  <c r="AG35" i="3"/>
  <c r="O7" i="3"/>
  <c r="N7" i="3"/>
  <c r="AD7" i="3"/>
  <c r="AH19" i="3"/>
  <c r="O33" i="3"/>
  <c r="AD33" i="3"/>
  <c r="N33" i="3"/>
  <c r="AD37" i="3"/>
  <c r="N37" i="3"/>
  <c r="O37" i="3"/>
  <c r="AD489" i="3"/>
  <c r="O441" i="3"/>
  <c r="AD482" i="3"/>
  <c r="AD492" i="3"/>
  <c r="N403" i="3"/>
  <c r="AD391" i="3"/>
  <c r="N413" i="3"/>
  <c r="AD413" i="3"/>
  <c r="O420" i="3"/>
  <c r="N420" i="3"/>
  <c r="AD420" i="3"/>
  <c r="O377" i="3"/>
  <c r="N377" i="3"/>
  <c r="AD377" i="3"/>
  <c r="N324" i="3"/>
  <c r="O324" i="3"/>
  <c r="N396" i="3"/>
  <c r="O396" i="3"/>
  <c r="AD396" i="3"/>
  <c r="N365" i="3"/>
  <c r="AD365" i="3"/>
  <c r="N285" i="3"/>
  <c r="AD285" i="3"/>
  <c r="AD187" i="3"/>
  <c r="N187" i="3"/>
  <c r="O187" i="3"/>
  <c r="O291" i="3"/>
  <c r="AD291" i="3"/>
  <c r="O261" i="3"/>
  <c r="AD261" i="3"/>
  <c r="N261" i="3"/>
  <c r="N196" i="3"/>
  <c r="AD196" i="3"/>
  <c r="O196" i="3"/>
  <c r="N257" i="3"/>
  <c r="O257" i="3"/>
  <c r="AD257" i="3"/>
  <c r="AD194" i="3"/>
  <c r="N194" i="3"/>
  <c r="O194" i="3"/>
  <c r="AD165" i="3"/>
  <c r="N165" i="3"/>
  <c r="O165" i="3"/>
  <c r="N243" i="3"/>
  <c r="O243" i="3"/>
  <c r="AD243" i="3"/>
  <c r="N166" i="3"/>
  <c r="O166" i="3"/>
  <c r="AD166" i="3"/>
  <c r="O121" i="3"/>
  <c r="AD121" i="3"/>
  <c r="N121" i="3"/>
  <c r="AD52" i="3"/>
  <c r="N52" i="3"/>
  <c r="O52" i="3"/>
  <c r="AD71" i="3"/>
  <c r="N71" i="3"/>
  <c r="O71" i="3"/>
  <c r="AH112" i="3"/>
  <c r="N128" i="3"/>
  <c r="AD128" i="3"/>
  <c r="O128" i="3"/>
  <c r="AD40" i="3"/>
  <c r="N40" i="3"/>
  <c r="O40" i="3"/>
  <c r="AD61" i="3"/>
  <c r="N61" i="3"/>
  <c r="O61" i="3"/>
  <c r="O473" i="3"/>
  <c r="AD480" i="3"/>
  <c r="N480" i="3"/>
  <c r="O480" i="3"/>
  <c r="O347" i="3"/>
  <c r="N347" i="3"/>
  <c r="AD347" i="3"/>
  <c r="O298" i="3"/>
  <c r="N298" i="3"/>
  <c r="AD298" i="3"/>
  <c r="N387" i="3"/>
  <c r="O387" i="3"/>
  <c r="N431" i="3"/>
  <c r="AD431" i="3"/>
  <c r="O431" i="3"/>
  <c r="O302" i="3"/>
  <c r="AD302" i="3"/>
  <c r="AD119" i="3"/>
  <c r="N119" i="3"/>
  <c r="O119" i="3"/>
  <c r="AH169" i="3"/>
  <c r="N246" i="3"/>
  <c r="AD246" i="3"/>
  <c r="O246" i="3"/>
  <c r="AH211" i="3"/>
  <c r="N205" i="3"/>
  <c r="AD205" i="3"/>
  <c r="O181" i="3"/>
  <c r="AD181" i="3"/>
  <c r="N279" i="3"/>
  <c r="O279" i="3"/>
  <c r="AD279" i="3"/>
  <c r="O210" i="3"/>
  <c r="AD210" i="3"/>
  <c r="N210" i="3"/>
  <c r="O155" i="3"/>
  <c r="N155" i="3"/>
  <c r="AD155" i="3"/>
  <c r="AD98" i="3"/>
  <c r="N98" i="3"/>
  <c r="O98" i="3"/>
  <c r="AD87" i="3"/>
  <c r="N87" i="3"/>
  <c r="AD133" i="3"/>
  <c r="N133" i="3"/>
  <c r="O133" i="3"/>
  <c r="AD60" i="3"/>
  <c r="N60" i="3"/>
  <c r="AH8" i="3"/>
  <c r="N140" i="3"/>
  <c r="O140" i="3"/>
  <c r="AD140" i="3"/>
  <c r="N97" i="3"/>
  <c r="O97" i="3"/>
  <c r="AD97" i="3"/>
  <c r="AD115" i="3"/>
  <c r="N115" i="3"/>
  <c r="O115" i="3"/>
  <c r="N68" i="3"/>
  <c r="O68" i="3"/>
  <c r="AD68" i="3"/>
  <c r="N72" i="3"/>
  <c r="AD72" i="3"/>
  <c r="O72" i="3"/>
  <c r="O154" i="3"/>
  <c r="AD154" i="3"/>
  <c r="N154" i="3"/>
  <c r="AD99" i="3"/>
  <c r="N99" i="3"/>
  <c r="O99" i="3"/>
  <c r="AD132" i="3"/>
  <c r="N132" i="3"/>
  <c r="O132" i="3"/>
  <c r="O158" i="3"/>
  <c r="AD158" i="3"/>
  <c r="N158" i="3"/>
  <c r="AG50" i="3"/>
  <c r="N25" i="3"/>
  <c r="AD25" i="3"/>
  <c r="O25" i="3"/>
  <c r="AH16" i="3"/>
  <c r="AD13" i="3"/>
  <c r="N13" i="3"/>
  <c r="O13" i="3"/>
  <c r="AD6" i="3"/>
  <c r="N6" i="3"/>
  <c r="O6" i="3"/>
  <c r="AD39" i="3"/>
  <c r="N39" i="3"/>
  <c r="O39" i="3"/>
  <c r="AD36" i="3"/>
  <c r="N36" i="3"/>
  <c r="O36" i="3"/>
  <c r="N476" i="3"/>
  <c r="AD348" i="3"/>
  <c r="O348" i="3"/>
  <c r="N418" i="3"/>
  <c r="O418" i="3"/>
  <c r="AD418" i="3"/>
  <c r="N312" i="3"/>
  <c r="AD312" i="3"/>
  <c r="O494" i="3"/>
  <c r="AD494" i="3"/>
  <c r="N346" i="3"/>
  <c r="O346" i="3"/>
  <c r="AD346" i="3"/>
  <c r="N322" i="3"/>
  <c r="O322" i="3"/>
  <c r="AD335" i="3"/>
  <c r="N335" i="3"/>
  <c r="O335" i="3"/>
  <c r="N399" i="3"/>
  <c r="AD399" i="3"/>
  <c r="O399" i="3"/>
  <c r="AH471" i="3"/>
  <c r="N355" i="3"/>
  <c r="AD355" i="3"/>
  <c r="O355" i="3"/>
  <c r="AD397" i="3"/>
  <c r="N397" i="3"/>
  <c r="O397" i="3"/>
  <c r="O342" i="3"/>
  <c r="N342" i="3"/>
  <c r="N327" i="3"/>
  <c r="AD327" i="3"/>
  <c r="O327" i="3"/>
  <c r="O320" i="3"/>
  <c r="N320" i="3"/>
  <c r="AD320" i="3"/>
  <c r="N330" i="3"/>
  <c r="AD330" i="3"/>
  <c r="AG240" i="3"/>
  <c r="AD242" i="3"/>
  <c r="O242" i="3"/>
  <c r="O221" i="3"/>
  <c r="AD221" i="3"/>
  <c r="N221" i="3"/>
  <c r="AD240" i="3"/>
  <c r="N240" i="3"/>
  <c r="O240" i="3"/>
  <c r="AG193" i="3"/>
  <c r="O162" i="3"/>
  <c r="AD162" i="3"/>
  <c r="N162" i="3"/>
  <c r="N233" i="3"/>
  <c r="O233" i="3"/>
  <c r="AD233" i="3"/>
  <c r="AH121" i="3"/>
  <c r="N275" i="3"/>
  <c r="O275" i="3"/>
  <c r="AD275" i="3"/>
  <c r="AD206" i="3"/>
  <c r="O206" i="3"/>
  <c r="N206" i="3"/>
  <c r="O173" i="3"/>
  <c r="AD173" i="3"/>
  <c r="N173" i="3"/>
  <c r="N231" i="3"/>
  <c r="O231" i="3"/>
  <c r="AH197" i="3"/>
  <c r="N145" i="3"/>
  <c r="AD145" i="3"/>
  <c r="O145" i="3"/>
  <c r="O44" i="3"/>
  <c r="N44" i="3"/>
  <c r="N70" i="3"/>
  <c r="O70" i="3"/>
  <c r="AD70" i="3"/>
  <c r="O94" i="3"/>
  <c r="AD94" i="3"/>
  <c r="N94" i="3"/>
  <c r="N111" i="3"/>
  <c r="O111" i="3"/>
  <c r="AD111" i="3"/>
  <c r="N114" i="3"/>
  <c r="O114" i="3"/>
  <c r="AD114" i="3"/>
  <c r="O54" i="3"/>
  <c r="AD54" i="3"/>
  <c r="N54" i="3"/>
  <c r="N66" i="3"/>
  <c r="O66" i="3"/>
  <c r="AD66" i="3"/>
  <c r="AD15" i="3"/>
  <c r="N15" i="3"/>
  <c r="O15" i="3"/>
  <c r="N81" i="3"/>
  <c r="AD81" i="3"/>
  <c r="O81" i="3"/>
  <c r="AD95" i="3"/>
  <c r="N95" i="3"/>
  <c r="O95" i="3"/>
  <c r="AD17" i="3"/>
  <c r="N17" i="3"/>
  <c r="O17" i="3"/>
  <c r="N10" i="3"/>
  <c r="O10" i="3"/>
  <c r="AD10" i="3"/>
  <c r="O43" i="3"/>
  <c r="AD43" i="3"/>
  <c r="N43" i="3"/>
  <c r="N21" i="3"/>
  <c r="AD21" i="3"/>
  <c r="O21" i="3"/>
  <c r="AD422" i="3"/>
  <c r="N422" i="3"/>
  <c r="O422" i="3"/>
  <c r="O372" i="3"/>
  <c r="AD372" i="3"/>
  <c r="N372" i="3"/>
  <c r="AD371" i="3"/>
  <c r="N371" i="3"/>
  <c r="O371" i="3"/>
  <c r="O260" i="3"/>
  <c r="AD260" i="3"/>
  <c r="N392" i="3"/>
  <c r="O392" i="3"/>
  <c r="AD392" i="3"/>
  <c r="O453" i="3"/>
  <c r="AD453" i="3"/>
  <c r="AD300" i="3"/>
  <c r="O300" i="3"/>
  <c r="AD228" i="3"/>
  <c r="N228" i="3"/>
  <c r="N219" i="3"/>
  <c r="AD219" i="3"/>
  <c r="O219" i="3"/>
  <c r="N248" i="3"/>
  <c r="AD248" i="3"/>
  <c r="O236" i="3"/>
  <c r="AD236" i="3"/>
  <c r="N236" i="3"/>
  <c r="O167" i="3"/>
  <c r="N167" i="3"/>
  <c r="AD167" i="3"/>
  <c r="AH203" i="3"/>
  <c r="N86" i="3"/>
  <c r="O86" i="3"/>
  <c r="AD86" i="3"/>
  <c r="AD125" i="3"/>
  <c r="N125" i="3"/>
  <c r="O125" i="3"/>
  <c r="AH95" i="3"/>
  <c r="AG96" i="3"/>
  <c r="N88" i="3"/>
  <c r="O88" i="3"/>
  <c r="AD88" i="3"/>
  <c r="N48" i="3"/>
  <c r="O48" i="3"/>
  <c r="AD48" i="3"/>
  <c r="AD112" i="3"/>
  <c r="O112" i="3"/>
  <c r="AD24" i="3"/>
  <c r="N24" i="3"/>
  <c r="O24" i="3"/>
  <c r="N57" i="3"/>
  <c r="O57" i="3"/>
  <c r="AD57" i="3"/>
  <c r="N91" i="3"/>
  <c r="AD91" i="3"/>
  <c r="O91" i="3"/>
  <c r="AD12" i="3"/>
  <c r="N12" i="3"/>
  <c r="O12" i="3"/>
  <c r="O73" i="3"/>
  <c r="N73" i="3"/>
  <c r="AD73" i="3"/>
  <c r="N77" i="3"/>
  <c r="O77" i="3"/>
  <c r="AD77" i="3"/>
  <c r="O446" i="3"/>
  <c r="N446" i="3"/>
  <c r="AD446" i="3"/>
  <c r="N393" i="3"/>
  <c r="O393" i="3"/>
  <c r="AD393" i="3"/>
  <c r="N483" i="3"/>
  <c r="O483" i="3"/>
  <c r="O406" i="3"/>
  <c r="AD406" i="3"/>
  <c r="O352" i="3"/>
  <c r="AD352" i="3"/>
  <c r="N286" i="3"/>
  <c r="O286" i="3"/>
  <c r="AD286" i="3"/>
  <c r="AD405" i="3"/>
  <c r="N405" i="3"/>
  <c r="O405" i="3"/>
  <c r="N304" i="3"/>
  <c r="AD304" i="3"/>
  <c r="O304" i="3"/>
  <c r="O268" i="3"/>
  <c r="N268" i="3"/>
  <c r="AD268" i="3"/>
  <c r="AD252" i="3"/>
  <c r="N252" i="3"/>
  <c r="O252" i="3"/>
  <c r="AG196" i="3"/>
  <c r="O235" i="3"/>
  <c r="N235" i="3"/>
  <c r="AD235" i="3"/>
  <c r="AD230" i="3"/>
  <c r="N230" i="3"/>
  <c r="O230" i="3"/>
  <c r="N271" i="3"/>
  <c r="O271" i="3"/>
  <c r="AD271" i="3"/>
  <c r="N168" i="3"/>
  <c r="O168" i="3"/>
  <c r="AD168" i="3"/>
  <c r="N216" i="3"/>
  <c r="O216" i="3"/>
  <c r="AD216" i="3"/>
  <c r="AH194" i="3"/>
  <c r="AD62" i="3"/>
  <c r="N62" i="3"/>
  <c r="AD90" i="3"/>
  <c r="N90" i="3"/>
  <c r="O90" i="3"/>
  <c r="N136" i="3"/>
  <c r="AD136" i="3"/>
  <c r="O136" i="3"/>
  <c r="O84" i="3"/>
  <c r="N84" i="3"/>
  <c r="AD84" i="3"/>
  <c r="O42" i="3"/>
  <c r="AD42" i="3"/>
  <c r="N42" i="3"/>
  <c r="AH122" i="3"/>
  <c r="AG123" i="3"/>
  <c r="AD116" i="3"/>
  <c r="N116" i="3"/>
  <c r="O116" i="3"/>
  <c r="AH109" i="3"/>
  <c r="N47" i="3"/>
  <c r="O47" i="3"/>
  <c r="N34" i="3"/>
  <c r="O34" i="3"/>
  <c r="N23" i="3"/>
  <c r="O23" i="3"/>
  <c r="AD23" i="3"/>
  <c r="N53" i="3"/>
  <c r="O53" i="3"/>
  <c r="AD53" i="3"/>
  <c r="AD440" i="3"/>
  <c r="AD469" i="3"/>
  <c r="AD488" i="3"/>
  <c r="N488" i="3"/>
  <c r="O488" i="3"/>
  <c r="O419" i="3"/>
  <c r="N419" i="3"/>
  <c r="AD419" i="3"/>
  <c r="O401" i="3"/>
  <c r="AD401" i="3"/>
  <c r="N430" i="3"/>
  <c r="AD430" i="3"/>
  <c r="O430" i="3"/>
  <c r="O319" i="3"/>
  <c r="AD319" i="3"/>
  <c r="AH380" i="3"/>
  <c r="N328" i="3"/>
  <c r="AD328" i="3"/>
  <c r="O328" i="3"/>
  <c r="N427" i="3"/>
  <c r="AD427" i="3"/>
  <c r="N311" i="3"/>
  <c r="O311" i="3"/>
  <c r="N321" i="3"/>
  <c r="O321" i="3"/>
  <c r="AD321" i="3"/>
  <c r="N270" i="3"/>
  <c r="O270" i="3"/>
  <c r="AD270" i="3"/>
  <c r="N280" i="3"/>
  <c r="AD280" i="3"/>
  <c r="O287" i="3"/>
  <c r="N287" i="3"/>
  <c r="N213" i="3"/>
  <c r="O213" i="3"/>
  <c r="AD213" i="3"/>
  <c r="N204" i="3"/>
  <c r="O204" i="3"/>
  <c r="AD204" i="3"/>
  <c r="N282" i="3"/>
  <c r="O282" i="3"/>
  <c r="AD282" i="3"/>
  <c r="AH202" i="3"/>
  <c r="AG118" i="3"/>
  <c r="N117" i="3"/>
  <c r="O117" i="3"/>
  <c r="AD117" i="3"/>
  <c r="AG102" i="3"/>
  <c r="O96" i="3"/>
  <c r="N96" i="3"/>
  <c r="AH111" i="3"/>
  <c r="N144" i="3"/>
  <c r="O144" i="3"/>
  <c r="AD144" i="3"/>
  <c r="O19" i="3"/>
  <c r="N19" i="3"/>
  <c r="AD19" i="3"/>
  <c r="O27" i="3"/>
  <c r="AD27" i="3"/>
  <c r="N27" i="3"/>
  <c r="AI113" i="3" l="1"/>
  <c r="AI255" i="3"/>
  <c r="AI18" i="3"/>
  <c r="AI212" i="3"/>
  <c r="AI183" i="3"/>
  <c r="AI7" i="3"/>
  <c r="AI211" i="3"/>
  <c r="AI126" i="3"/>
  <c r="AI304" i="3"/>
  <c r="AI269" i="3"/>
  <c r="AI138" i="3"/>
  <c r="AI222" i="3"/>
  <c r="AI346" i="3"/>
  <c r="AI394" i="3"/>
  <c r="AI469" i="3"/>
  <c r="AI436" i="3"/>
  <c r="AI80" i="3"/>
  <c r="AI50" i="3"/>
  <c r="AI341" i="3"/>
  <c r="AI376" i="3"/>
  <c r="AI429" i="3"/>
  <c r="AI26" i="3"/>
  <c r="AI11" i="3"/>
  <c r="AI336" i="3"/>
  <c r="AI285" i="3"/>
  <c r="AI32" i="3"/>
  <c r="AI244" i="3"/>
  <c r="AI105" i="3"/>
  <c r="AI252" i="3"/>
  <c r="AI101" i="3"/>
  <c r="AI363" i="3"/>
  <c r="AI121" i="3"/>
  <c r="AI141" i="3"/>
  <c r="AI442" i="3"/>
  <c r="AI202" i="3"/>
  <c r="AI132" i="3"/>
  <c r="AI150" i="3"/>
  <c r="AI210" i="3"/>
  <c r="AI451" i="3"/>
  <c r="AI61" i="3"/>
  <c r="AI124" i="3"/>
  <c r="AI324" i="3"/>
  <c r="AI494" i="3"/>
  <c r="AI396" i="3"/>
  <c r="AI282" i="3"/>
  <c r="AI120" i="3"/>
  <c r="AI462" i="3"/>
  <c r="AI444" i="3"/>
  <c r="AI168" i="3"/>
  <c r="AI228" i="3"/>
  <c r="AI29" i="3"/>
  <c r="AI485" i="3"/>
  <c r="AI256" i="3"/>
  <c r="AI12" i="3"/>
  <c r="AI474" i="3"/>
  <c r="AI338" i="3"/>
  <c r="AI35" i="3"/>
  <c r="AI365" i="3"/>
  <c r="AI357" i="3"/>
  <c r="AI389" i="3"/>
  <c r="AI43" i="3"/>
  <c r="AI76" i="3"/>
  <c r="AI395" i="3"/>
  <c r="AI221" i="3"/>
  <c r="AI458" i="3"/>
  <c r="AI352" i="3"/>
  <c r="AI87" i="3"/>
  <c r="AI230" i="3"/>
  <c r="AI258" i="3"/>
  <c r="AI385" i="3"/>
  <c r="AI360" i="3"/>
  <c r="AI254" i="3"/>
  <c r="AI404" i="3"/>
  <c r="AI245" i="3"/>
  <c r="AI299" i="3"/>
  <c r="AI381" i="3"/>
  <c r="AI414" i="3"/>
  <c r="AI229" i="3"/>
  <c r="AI333" i="3"/>
  <c r="AI161" i="3"/>
  <c r="AI303" i="3"/>
  <c r="AI270" i="3"/>
  <c r="AI179" i="3"/>
  <c r="AI67" i="3"/>
  <c r="AI379" i="3"/>
  <c r="AI199" i="3"/>
  <c r="AI490" i="3"/>
  <c r="AI465" i="3"/>
  <c r="AI160" i="3"/>
  <c r="AI398" i="3"/>
  <c r="AI153" i="3"/>
  <c r="AI320" i="3"/>
  <c r="AI130" i="3"/>
  <c r="AI204" i="3"/>
  <c r="AI361" i="3"/>
  <c r="AI477" i="3"/>
  <c r="AI393" i="3"/>
  <c r="AI425" i="3"/>
  <c r="AI345" i="3"/>
  <c r="AI423" i="3"/>
  <c r="AI452" i="3"/>
  <c r="AI428" i="3"/>
  <c r="AI25" i="3"/>
  <c r="AI411" i="3"/>
  <c r="AI431" i="3"/>
  <c r="AI149" i="3"/>
  <c r="AI476" i="3"/>
  <c r="AI278" i="3"/>
  <c r="AI483" i="3"/>
  <c r="AI302" i="3"/>
  <c r="AI359" i="3"/>
  <c r="AI206" i="3"/>
  <c r="AI481" i="3"/>
  <c r="AI129" i="3"/>
  <c r="AI174" i="3"/>
  <c r="AI267" i="3"/>
  <c r="AI325" i="3"/>
  <c r="AI298" i="3"/>
  <c r="AI472" i="3"/>
  <c r="AI315" i="3"/>
  <c r="AI426" i="3"/>
  <c r="AI390" i="3"/>
  <c r="AI142" i="3"/>
  <c r="AI427" i="3"/>
  <c r="AI56" i="3"/>
  <c r="AI375" i="3"/>
  <c r="AI47" i="3"/>
  <c r="AI283" i="3"/>
  <c r="AI90" i="3"/>
  <c r="AI165" i="3"/>
  <c r="AI178" i="3"/>
  <c r="AI418" i="3"/>
  <c r="AI337" i="3"/>
  <c r="AI180" i="3"/>
  <c r="AI329" i="3"/>
  <c r="AI272" i="3"/>
  <c r="AI8" i="3"/>
  <c r="AI134" i="3"/>
  <c r="AI265" i="3"/>
  <c r="AI125" i="3"/>
  <c r="AI407" i="3"/>
  <c r="AI382" i="3"/>
  <c r="AI259" i="3"/>
  <c r="AI137" i="3"/>
  <c r="AI408" i="3"/>
  <c r="AI473" i="3"/>
  <c r="AI455" i="3"/>
  <c r="AI176" i="3"/>
  <c r="AI480" i="3"/>
  <c r="AI208" i="3"/>
  <c r="AI151" i="3"/>
  <c r="AI34" i="3"/>
  <c r="AI118" i="3"/>
  <c r="AI369" i="3"/>
  <c r="AI187" i="3"/>
  <c r="AI492" i="3"/>
  <c r="AI159" i="3"/>
  <c r="AI92" i="3"/>
  <c r="AI266" i="3"/>
  <c r="AI319" i="3"/>
  <c r="AI377" i="3"/>
  <c r="AI201" i="3"/>
  <c r="AI446" i="3"/>
  <c r="AI467" i="3"/>
  <c r="AI461" i="3"/>
  <c r="AI110" i="3"/>
  <c r="AI290" i="3"/>
  <c r="AI286" i="3"/>
  <c r="AI36" i="3"/>
  <c r="AI433" i="3"/>
  <c r="AI484" i="3"/>
  <c r="AI287" i="3"/>
  <c r="AI339" i="3"/>
  <c r="AI489" i="3"/>
  <c r="AI46" i="3"/>
  <c r="AI106" i="3"/>
  <c r="AI362" i="3"/>
  <c r="AI347" i="3"/>
  <c r="AI111" i="3"/>
  <c r="AI188" i="3"/>
  <c r="AI350" i="3"/>
  <c r="AI464" i="3"/>
  <c r="AI486" i="3"/>
  <c r="AI438" i="3"/>
  <c r="AI274" i="3"/>
  <c r="AI191" i="3"/>
  <c r="AI386" i="3"/>
  <c r="AI370" i="3"/>
  <c r="AI215" i="3"/>
  <c r="AI440" i="3"/>
  <c r="AI219" i="3"/>
  <c r="AI358" i="3"/>
  <c r="AI74" i="3"/>
  <c r="AI342" i="3"/>
  <c r="AI98" i="3"/>
  <c r="AI312" i="3"/>
  <c r="AI131" i="3"/>
  <c r="AI128" i="3"/>
  <c r="AI109" i="3"/>
  <c r="AI380" i="3"/>
  <c r="AI182" i="3"/>
  <c r="AI364" i="3"/>
  <c r="AI405" i="3"/>
  <c r="AI391" i="3"/>
  <c r="AI257" i="3"/>
  <c r="AI185" i="3"/>
  <c r="AI308" i="3"/>
  <c r="AI468" i="3"/>
  <c r="AI104" i="3"/>
  <c r="AI448" i="3"/>
  <c r="AI328" i="3"/>
  <c r="AI420" i="3"/>
  <c r="AI356" i="3"/>
  <c r="AI340" i="3"/>
  <c r="AI102" i="3"/>
  <c r="AI276" i="3"/>
  <c r="AI449" i="3"/>
  <c r="AI37" i="3"/>
  <c r="AI263" i="3"/>
  <c r="AI238" i="3"/>
  <c r="AI205" i="3"/>
  <c r="AI295" i="3"/>
  <c r="AI114" i="3"/>
  <c r="AI224" i="3"/>
  <c r="AI292" i="3"/>
  <c r="AI401" i="3"/>
  <c r="AI14" i="3"/>
  <c r="AI406" i="3"/>
  <c r="AI135" i="3"/>
  <c r="AI156" i="3"/>
  <c r="AI164" i="3"/>
  <c r="AI79" i="3"/>
  <c r="AI173" i="3"/>
  <c r="AI20" i="3"/>
  <c r="AI268" i="3"/>
  <c r="AI430" i="3"/>
  <c r="AI70" i="3"/>
  <c r="AI175" i="3"/>
  <c r="AI416" i="3"/>
  <c r="AI400" i="3"/>
  <c r="AI374" i="3"/>
  <c r="AI58" i="3"/>
  <c r="AI327" i="3"/>
  <c r="AI214" i="3"/>
  <c r="AI248" i="3"/>
  <c r="AI30" i="3"/>
  <c r="AI243" i="3"/>
  <c r="AI157" i="3"/>
  <c r="AI241" i="3"/>
  <c r="AI249" i="3"/>
  <c r="AI196" i="3"/>
  <c r="AI439" i="3"/>
  <c r="AI354" i="3"/>
  <c r="AI417" i="3"/>
  <c r="AI437" i="3"/>
  <c r="AI335" i="3"/>
  <c r="AI49" i="3"/>
  <c r="AI316" i="3"/>
  <c r="AI470" i="3"/>
  <c r="AI291" i="3"/>
  <c r="AI399" i="3"/>
  <c r="AI38" i="3"/>
  <c r="AI459" i="3"/>
  <c r="AI190" i="3"/>
  <c r="AI288" i="3"/>
  <c r="AI453" i="3"/>
  <c r="AI445" i="3"/>
  <c r="AI457" i="3"/>
  <c r="AI326" i="3"/>
  <c r="AI69" i="3"/>
  <c r="AI366" i="3"/>
  <c r="AI53" i="3"/>
  <c r="AI166" i="3"/>
  <c r="AI186" i="3"/>
  <c r="AI402" i="3"/>
  <c r="AI349" i="3"/>
  <c r="AI323" i="3"/>
  <c r="AI64" i="3"/>
  <c r="AI353" i="3"/>
  <c r="AI388" i="3"/>
  <c r="AI296" i="3"/>
  <c r="AI261" i="3"/>
  <c r="AI456" i="3"/>
  <c r="AI460" i="3"/>
  <c r="AI207" i="3"/>
  <c r="AI40" i="3"/>
  <c r="AI239" i="3"/>
  <c r="AI45" i="3"/>
  <c r="AI44" i="3"/>
  <c r="AI234" i="3"/>
  <c r="AI351" i="3"/>
  <c r="AI367" i="3"/>
  <c r="AI193" i="3"/>
  <c r="AI148" i="3"/>
  <c r="AI372" i="3"/>
  <c r="AI158" i="3"/>
  <c r="AI422" i="3"/>
  <c r="AI447" i="3"/>
  <c r="AI51" i="3"/>
  <c r="AI89" i="3"/>
  <c r="AI60" i="3"/>
  <c r="AI189" i="3"/>
  <c r="AI91" i="3"/>
  <c r="AI23" i="3"/>
  <c r="AI220" i="3"/>
  <c r="AI54" i="3"/>
  <c r="AI77" i="3"/>
  <c r="AI235" i="3"/>
  <c r="AI246" i="3"/>
  <c r="AI237" i="3"/>
  <c r="AI94" i="3"/>
  <c r="AI236" i="3"/>
  <c r="AI378" i="3"/>
  <c r="AI226" i="3"/>
  <c r="AI310" i="3"/>
  <c r="AI217" i="3"/>
  <c r="AI127" i="3"/>
  <c r="AI133" i="3"/>
  <c r="AI59" i="3"/>
  <c r="AI103" i="3"/>
  <c r="AI163" i="3"/>
  <c r="AI28" i="3"/>
  <c r="AI171" i="3"/>
  <c r="AI223" i="3"/>
  <c r="AI318" i="3"/>
  <c r="AI495" i="3"/>
  <c r="AI289" i="3"/>
  <c r="AI432" i="3"/>
  <c r="AI368" i="3"/>
  <c r="AI66" i="3"/>
  <c r="AI281" i="3"/>
  <c r="AI119" i="3"/>
  <c r="AI250" i="3"/>
  <c r="AI387" i="3"/>
  <c r="AI194" i="3"/>
  <c r="AI55" i="3"/>
  <c r="AI57" i="3"/>
  <c r="AI200" i="3"/>
  <c r="AI107" i="3"/>
  <c r="AI273" i="3"/>
  <c r="AI260" i="3"/>
  <c r="AI277" i="3"/>
  <c r="AI72" i="3"/>
  <c r="AI15" i="3"/>
  <c r="AI147" i="3"/>
  <c r="AI172" i="3"/>
  <c r="AI63" i="3"/>
  <c r="AI62" i="3"/>
  <c r="AI10" i="3"/>
  <c r="AI275" i="3"/>
  <c r="AI450" i="3"/>
  <c r="AI227" i="3"/>
  <c r="AI415" i="3"/>
  <c r="AI17" i="3"/>
  <c r="AI383" i="3"/>
  <c r="AI493" i="3"/>
  <c r="AI19" i="3"/>
  <c r="AI225" i="3"/>
  <c r="AI284" i="3"/>
  <c r="AI475" i="3"/>
  <c r="AI117" i="3"/>
  <c r="AI96" i="3"/>
  <c r="AI240" i="3"/>
  <c r="AI317" i="3"/>
  <c r="AI71" i="3"/>
  <c r="AI108" i="3"/>
  <c r="AI348" i="3"/>
  <c r="AI86" i="3"/>
  <c r="AI314" i="3"/>
  <c r="AI83" i="3"/>
  <c r="AI231" i="3"/>
  <c r="AI322" i="3"/>
  <c r="AI435" i="3"/>
  <c r="AI145" i="3"/>
  <c r="AI144" i="3"/>
  <c r="AI84" i="3"/>
  <c r="AI306" i="3"/>
  <c r="AI140" i="3"/>
  <c r="AI293" i="3"/>
  <c r="AI403" i="3"/>
  <c r="AI123" i="3"/>
  <c r="AI471" i="3"/>
  <c r="AI122" i="3"/>
  <c r="AI424" i="3"/>
  <c r="AI197" i="3"/>
  <c r="AI52" i="3"/>
  <c r="AI155" i="3"/>
  <c r="AI154" i="3"/>
  <c r="AI344" i="3"/>
  <c r="AI78" i="3"/>
  <c r="AI479" i="3"/>
  <c r="AI488" i="3"/>
  <c r="AI332" i="3"/>
  <c r="AI300" i="3"/>
  <c r="AI412" i="3"/>
  <c r="AI81" i="3"/>
  <c r="AI454" i="3"/>
  <c r="AI115" i="3"/>
  <c r="AI195" i="3"/>
  <c r="AI247" i="3"/>
  <c r="AI65" i="3"/>
  <c r="AI143" i="3"/>
  <c r="AI305" i="3"/>
  <c r="AI413" i="3"/>
  <c r="AI434" i="3"/>
  <c r="AI280" i="3"/>
  <c r="AI410" i="3"/>
  <c r="AI16" i="3"/>
  <c r="AI27" i="3"/>
  <c r="AI167" i="3"/>
  <c r="AI463" i="3"/>
  <c r="AI397" i="3"/>
  <c r="AI181" i="3"/>
  <c r="AI491" i="3"/>
  <c r="AI301" i="3"/>
  <c r="AI162" i="3"/>
  <c r="AI392" i="3"/>
  <c r="AI73" i="3"/>
  <c r="AI330" i="3"/>
  <c r="AI271" i="3"/>
  <c r="AI279" i="3"/>
  <c r="AI373" i="3"/>
  <c r="AI421" i="3"/>
  <c r="AI42" i="3"/>
  <c r="AI311" i="3"/>
  <c r="AI21" i="3"/>
  <c r="AI93" i="3"/>
  <c r="AI136" i="3"/>
  <c r="AI253" i="3"/>
  <c r="AI307" i="3"/>
  <c r="AI75" i="3"/>
  <c r="AI24" i="3"/>
  <c r="AI297" i="3"/>
  <c r="AI95" i="3"/>
  <c r="AI321" i="3"/>
  <c r="AI85" i="3"/>
  <c r="A24" i="1" a="1"/>
  <c r="A24" i="1" s="1"/>
  <c r="F29" i="1" s="1"/>
  <c r="G29" i="1" s="1"/>
  <c r="AI192" i="3"/>
  <c r="AI409" i="3"/>
  <c r="AI97" i="3"/>
  <c r="AI184" i="3"/>
  <c r="AI112" i="3"/>
  <c r="AI41" i="3"/>
  <c r="AI146" i="3"/>
  <c r="AI203" i="3"/>
  <c r="AI169" i="3"/>
  <c r="AI177" i="3"/>
  <c r="S4" i="3"/>
  <c r="D56" i="1" s="1"/>
  <c r="AI13" i="3"/>
  <c r="R18" i="1" a="1"/>
  <c r="R154" i="1" s="1"/>
  <c r="S154" i="1" s="1"/>
  <c r="Z154" i="1" s="1"/>
  <c r="R4" i="3"/>
  <c r="D67" i="1" s="1"/>
  <c r="U2" i="3"/>
  <c r="D15" i="1" s="1"/>
  <c r="S2" i="3"/>
  <c r="T2" i="3"/>
  <c r="F19" i="1" s="1"/>
  <c r="X3" i="3"/>
  <c r="AD3" i="3" s="1"/>
  <c r="W154" i="1" l="1"/>
  <c r="T154" i="1"/>
  <c r="Y154" i="1"/>
  <c r="AD2" i="3"/>
  <c r="AC3" i="3" s="1"/>
  <c r="A35" i="1"/>
  <c r="A36" i="1"/>
  <c r="A29" i="1"/>
  <c r="A28" i="1"/>
  <c r="A37" i="1"/>
  <c r="A33" i="1"/>
  <c r="B24" i="1"/>
  <c r="H29" i="1" s="1"/>
  <c r="A38" i="1"/>
  <c r="A34" i="1"/>
  <c r="A25" i="1"/>
  <c r="F30" i="1" s="1"/>
  <c r="G30" i="1" s="1"/>
  <c r="A30" i="1"/>
  <c r="A27" i="1"/>
  <c r="A31" i="1"/>
  <c r="A26" i="1"/>
  <c r="A32" i="1"/>
  <c r="R89" i="1"/>
  <c r="S89" i="1" s="1"/>
  <c r="R199" i="1"/>
  <c r="S199" i="1" s="1"/>
  <c r="Z199" i="1" s="1"/>
  <c r="R222" i="1"/>
  <c r="S222" i="1" s="1"/>
  <c r="Z222" i="1" s="1"/>
  <c r="R43" i="1"/>
  <c r="S43" i="1" s="1"/>
  <c r="Z43" i="1" s="1"/>
  <c r="R280" i="1"/>
  <c r="S280" i="1" s="1"/>
  <c r="R357" i="1"/>
  <c r="S357" i="1" s="1"/>
  <c r="R264" i="1"/>
  <c r="S264" i="1" s="1"/>
  <c r="Z264" i="1" s="1"/>
  <c r="R79" i="1"/>
  <c r="S79" i="1" s="1"/>
  <c r="Z79" i="1" s="1"/>
  <c r="R102" i="1"/>
  <c r="S102" i="1" s="1"/>
  <c r="R328" i="1"/>
  <c r="S328" i="1" s="1"/>
  <c r="Z328" i="1" s="1"/>
  <c r="R188" i="1"/>
  <c r="S188" i="1" s="1"/>
  <c r="Z188" i="1" s="1"/>
  <c r="R288" i="1"/>
  <c r="S288" i="1" s="1"/>
  <c r="Z288" i="1" s="1"/>
  <c r="R291" i="1"/>
  <c r="S291" i="1" s="1"/>
  <c r="R138" i="1"/>
  <c r="S138" i="1" s="1"/>
  <c r="Z138" i="1" s="1"/>
  <c r="R359" i="1"/>
  <c r="S359" i="1" s="1"/>
  <c r="Z359" i="1" s="1"/>
  <c r="R39" i="1"/>
  <c r="S39" i="1" s="1"/>
  <c r="Z39" i="1" s="1"/>
  <c r="R333" i="1"/>
  <c r="S333" i="1" s="1"/>
  <c r="R113" i="1"/>
  <c r="S113" i="1" s="1"/>
  <c r="Z113" i="1" s="1"/>
  <c r="R166" i="1"/>
  <c r="S166" i="1" s="1"/>
  <c r="Z166" i="1" s="1"/>
  <c r="R289" i="1"/>
  <c r="S289" i="1" s="1"/>
  <c r="Z289" i="1" s="1"/>
  <c r="R176" i="1"/>
  <c r="S176" i="1" s="1"/>
  <c r="R271" i="1"/>
  <c r="S271" i="1" s="1"/>
  <c r="Z271" i="1" s="1"/>
  <c r="R275" i="1"/>
  <c r="S275" i="1" s="1"/>
  <c r="Z275" i="1" s="1"/>
  <c r="R151" i="1"/>
  <c r="S151" i="1" s="1"/>
  <c r="Z151" i="1" s="1"/>
  <c r="R98" i="1"/>
  <c r="S98" i="1" s="1"/>
  <c r="R178" i="1"/>
  <c r="S178" i="1" s="1"/>
  <c r="Z178" i="1" s="1"/>
  <c r="R52" i="1"/>
  <c r="S52" i="1" s="1"/>
  <c r="Z52" i="1" s="1"/>
  <c r="R254" i="1"/>
  <c r="S254" i="1" s="1"/>
  <c r="R329" i="1"/>
  <c r="S329" i="1" s="1"/>
  <c r="R306" i="1"/>
  <c r="S306" i="1" s="1"/>
  <c r="Z306" i="1" s="1"/>
  <c r="R170" i="1"/>
  <c r="S170" i="1" s="1"/>
  <c r="Z170" i="1" s="1"/>
  <c r="R391" i="1"/>
  <c r="S391" i="1" s="1"/>
  <c r="Z391" i="1" s="1"/>
  <c r="R116" i="1"/>
  <c r="S116" i="1" s="1"/>
  <c r="Z116" i="1" s="1"/>
  <c r="R217" i="1"/>
  <c r="S217" i="1" s="1"/>
  <c r="Z217" i="1" s="1"/>
  <c r="R350" i="1"/>
  <c r="S350" i="1" s="1"/>
  <c r="Z350" i="1" s="1"/>
  <c r="R202" i="1"/>
  <c r="S202" i="1" s="1"/>
  <c r="Z202" i="1" s="1"/>
  <c r="R121" i="1"/>
  <c r="S121" i="1" s="1"/>
  <c r="R200" i="1"/>
  <c r="S200" i="1" s="1"/>
  <c r="Z200" i="1" s="1"/>
  <c r="R115" i="1"/>
  <c r="S115" i="1" s="1"/>
  <c r="Z115" i="1" s="1"/>
  <c r="R82" i="1"/>
  <c r="S82" i="1" s="1"/>
  <c r="Z82" i="1" s="1"/>
  <c r="R325" i="1"/>
  <c r="S325" i="1" s="1"/>
  <c r="Z325" i="1" s="1"/>
  <c r="R73" i="1"/>
  <c r="S73" i="1" s="1"/>
  <c r="Z73" i="1" s="1"/>
  <c r="R38" i="1"/>
  <c r="S38" i="1" s="1"/>
  <c r="Z38" i="1" s="1"/>
  <c r="R152" i="1"/>
  <c r="S152" i="1" s="1"/>
  <c r="Z152" i="1" s="1"/>
  <c r="R281" i="1"/>
  <c r="S281" i="1" s="1"/>
  <c r="R156" i="1"/>
  <c r="S156" i="1" s="1"/>
  <c r="Z156" i="1" s="1"/>
  <c r="R348" i="1"/>
  <c r="S348" i="1" s="1"/>
  <c r="Z348" i="1" s="1"/>
  <c r="R134" i="1"/>
  <c r="S134" i="1" s="1"/>
  <c r="Z134" i="1" s="1"/>
  <c r="R331" i="1"/>
  <c r="S331" i="1" s="1"/>
  <c r="Z331" i="1" s="1"/>
  <c r="R330" i="1"/>
  <c r="S330" i="1" s="1"/>
  <c r="Z330" i="1" s="1"/>
  <c r="R144" i="1"/>
  <c r="S144" i="1" s="1"/>
  <c r="Z144" i="1" s="1"/>
  <c r="R284" i="1"/>
  <c r="S284" i="1" s="1"/>
  <c r="Z284" i="1" s="1"/>
  <c r="R114" i="1"/>
  <c r="S114" i="1" s="1"/>
  <c r="R335" i="1"/>
  <c r="S335" i="1" s="1"/>
  <c r="Z335" i="1" s="1"/>
  <c r="R51" i="1"/>
  <c r="S51" i="1" s="1"/>
  <c r="Z51" i="1" s="1"/>
  <c r="R225" i="1"/>
  <c r="S225" i="1" s="1"/>
  <c r="Z225" i="1" s="1"/>
  <c r="R145" i="1"/>
  <c r="S145" i="1" s="1"/>
  <c r="Z145" i="1" s="1"/>
  <c r="R318" i="1"/>
  <c r="S318" i="1" s="1"/>
  <c r="Z318" i="1" s="1"/>
  <c r="R223" i="1"/>
  <c r="S223" i="1" s="1"/>
  <c r="Z223" i="1" s="1"/>
  <c r="R36" i="1"/>
  <c r="S36" i="1" s="1"/>
  <c r="R311" i="1"/>
  <c r="S311" i="1" s="1"/>
  <c r="R221" i="1"/>
  <c r="S221" i="1" s="1"/>
  <c r="Z221" i="1" s="1"/>
  <c r="R179" i="1"/>
  <c r="S179" i="1" s="1"/>
  <c r="Z179" i="1" s="1"/>
  <c r="R97" i="1"/>
  <c r="S97" i="1" s="1"/>
  <c r="Z97" i="1" s="1"/>
  <c r="R62" i="1"/>
  <c r="S62" i="1" s="1"/>
  <c r="R298" i="1"/>
  <c r="S298" i="1" s="1"/>
  <c r="Z298" i="1" s="1"/>
  <c r="R112" i="1"/>
  <c r="S112" i="1" s="1"/>
  <c r="Z112" i="1" s="1"/>
  <c r="R235" i="1"/>
  <c r="S235" i="1" s="1"/>
  <c r="Z235" i="1" s="1"/>
  <c r="R370" i="1"/>
  <c r="S370" i="1" s="1"/>
  <c r="R394" i="1"/>
  <c r="S394" i="1" s="1"/>
  <c r="Z394" i="1" s="1"/>
  <c r="R273" i="1"/>
  <c r="S273" i="1" s="1"/>
  <c r="Z273" i="1" s="1"/>
  <c r="R54" i="1"/>
  <c r="S54" i="1" s="1"/>
  <c r="Z54" i="1" s="1"/>
  <c r="R123" i="1"/>
  <c r="S123" i="1" s="1"/>
  <c r="R142" i="1"/>
  <c r="S142" i="1" s="1"/>
  <c r="Z142" i="1" s="1"/>
  <c r="R234" i="1"/>
  <c r="S234" i="1" s="1"/>
  <c r="Z234" i="1" s="1"/>
  <c r="R53" i="1"/>
  <c r="S53" i="1" s="1"/>
  <c r="Z53" i="1" s="1"/>
  <c r="R269" i="1"/>
  <c r="S269" i="1" s="1"/>
  <c r="Z269" i="1" s="1"/>
  <c r="R209" i="1"/>
  <c r="S209" i="1" s="1"/>
  <c r="Z209" i="1" s="1"/>
  <c r="R230" i="1"/>
  <c r="S230" i="1" s="1"/>
  <c r="Z230" i="1" s="1"/>
  <c r="R139" i="1"/>
  <c r="S139" i="1" s="1"/>
  <c r="R81" i="1"/>
  <c r="S81" i="1" s="1"/>
  <c r="R148" i="1"/>
  <c r="S148" i="1" s="1"/>
  <c r="Z148" i="1" s="1"/>
  <c r="R242" i="1"/>
  <c r="S242" i="1" s="1"/>
  <c r="Z242" i="1" s="1"/>
  <c r="R65" i="1"/>
  <c r="S65" i="1" s="1"/>
  <c r="Z65" i="1" s="1"/>
  <c r="R108" i="1"/>
  <c r="S108" i="1" s="1"/>
  <c r="R319" i="1"/>
  <c r="S319" i="1" s="1"/>
  <c r="Z319" i="1" s="1"/>
  <c r="R196" i="1"/>
  <c r="S196" i="1" s="1"/>
  <c r="Z196" i="1" s="1"/>
  <c r="R30" i="1"/>
  <c r="S30" i="1" s="1"/>
  <c r="Z30" i="1" s="1"/>
  <c r="R92" i="1"/>
  <c r="S92" i="1" s="1"/>
  <c r="R305" i="1"/>
  <c r="S305" i="1" s="1"/>
  <c r="Z305" i="1" s="1"/>
  <c r="R24" i="1"/>
  <c r="S24" i="1" s="1"/>
  <c r="Z24" i="1" s="1"/>
  <c r="R205" i="1"/>
  <c r="S205" i="1" s="1"/>
  <c r="Z205" i="1" s="1"/>
  <c r="R177" i="1"/>
  <c r="S177" i="1" s="1"/>
  <c r="R94" i="1"/>
  <c r="S94" i="1" s="1"/>
  <c r="Z94" i="1" s="1"/>
  <c r="R77" i="1"/>
  <c r="S77" i="1" s="1"/>
  <c r="Z77" i="1" s="1"/>
  <c r="R93" i="1"/>
  <c r="S93" i="1" s="1"/>
  <c r="Z93" i="1" s="1"/>
  <c r="R303" i="1"/>
  <c r="S303" i="1" s="1"/>
  <c r="R195" i="1"/>
  <c r="S195" i="1" s="1"/>
  <c r="Z195" i="1" s="1"/>
  <c r="R150" i="1"/>
  <c r="S150" i="1" s="1"/>
  <c r="Z150" i="1" s="1"/>
  <c r="R283" i="1"/>
  <c r="S283" i="1" s="1"/>
  <c r="Z283" i="1" s="1"/>
  <c r="R90" i="1"/>
  <c r="S90" i="1" s="1"/>
  <c r="R190" i="1"/>
  <c r="S190" i="1" s="1"/>
  <c r="Z190" i="1" s="1"/>
  <c r="R204" i="1"/>
  <c r="S204" i="1" s="1"/>
  <c r="Z204" i="1" s="1"/>
  <c r="R366" i="1"/>
  <c r="S366" i="1" s="1"/>
  <c r="Z366" i="1" s="1"/>
  <c r="R72" i="1"/>
  <c r="S72" i="1" s="1"/>
  <c r="R74" i="1"/>
  <c r="S74" i="1" s="1"/>
  <c r="Z74" i="1" s="1"/>
  <c r="R293" i="1"/>
  <c r="S293" i="1" s="1"/>
  <c r="Z293" i="1" s="1"/>
  <c r="R49" i="1"/>
  <c r="S49" i="1" s="1"/>
  <c r="Z49" i="1" s="1"/>
  <c r="R299" i="1"/>
  <c r="S299" i="1" s="1"/>
  <c r="R143" i="1"/>
  <c r="S143" i="1" s="1"/>
  <c r="Z143" i="1" s="1"/>
  <c r="R378" i="1"/>
  <c r="S378" i="1" s="1"/>
  <c r="Z378" i="1" s="1"/>
  <c r="R376" i="1"/>
  <c r="S376" i="1" s="1"/>
  <c r="Z376" i="1" s="1"/>
  <c r="R239" i="1"/>
  <c r="S239" i="1" s="1"/>
  <c r="R70" i="1"/>
  <c r="S70" i="1" s="1"/>
  <c r="Z70" i="1" s="1"/>
  <c r="R124" i="1"/>
  <c r="S124" i="1" s="1"/>
  <c r="Z124" i="1" s="1"/>
  <c r="R211" i="1"/>
  <c r="S211" i="1" s="1"/>
  <c r="Z211" i="1" s="1"/>
  <c r="R18" i="1"/>
  <c r="S18" i="1" s="1"/>
  <c r="R159" i="1"/>
  <c r="S159" i="1" s="1"/>
  <c r="Z159" i="1" s="1"/>
  <c r="R341" i="1"/>
  <c r="S341" i="1" s="1"/>
  <c r="Z341" i="1" s="1"/>
  <c r="R44" i="1"/>
  <c r="S44" i="1" s="1"/>
  <c r="Z44" i="1" s="1"/>
  <c r="R131" i="1"/>
  <c r="S131" i="1" s="1"/>
  <c r="Z131" i="1" s="1"/>
  <c r="R346" i="1"/>
  <c r="S346" i="1" s="1"/>
  <c r="Z346" i="1" s="1"/>
  <c r="R224" i="1"/>
  <c r="S224" i="1" s="1"/>
  <c r="Z224" i="1" s="1"/>
  <c r="R87" i="1"/>
  <c r="S87" i="1" s="1"/>
  <c r="Z87" i="1" s="1"/>
  <c r="R197" i="1"/>
  <c r="S197" i="1" s="1"/>
  <c r="R365" i="1"/>
  <c r="S365" i="1" s="1"/>
  <c r="Z365" i="1" s="1"/>
  <c r="R59" i="1"/>
  <c r="S59" i="1" s="1"/>
  <c r="Z59" i="1" s="1"/>
  <c r="R255" i="1"/>
  <c r="S255" i="1" s="1"/>
  <c r="Z255" i="1" s="1"/>
  <c r="R86" i="1"/>
  <c r="S86" i="1" s="1"/>
  <c r="Z86" i="1" s="1"/>
  <c r="R140" i="1"/>
  <c r="S140" i="1" s="1"/>
  <c r="Z140" i="1" s="1"/>
  <c r="R227" i="1"/>
  <c r="S227" i="1" s="1"/>
  <c r="Z227" i="1" s="1"/>
  <c r="R34" i="1"/>
  <c r="S34" i="1" s="1"/>
  <c r="Z34" i="1" s="1"/>
  <c r="R384" i="1"/>
  <c r="S384" i="1" s="1"/>
  <c r="R247" i="1"/>
  <c r="S247" i="1" s="1"/>
  <c r="Z247" i="1" s="1"/>
  <c r="R78" i="1"/>
  <c r="S78" i="1" s="1"/>
  <c r="Z78" i="1" s="1"/>
  <c r="R132" i="1"/>
  <c r="S132" i="1" s="1"/>
  <c r="Z132" i="1" s="1"/>
  <c r="R219" i="1"/>
  <c r="S219" i="1" s="1"/>
  <c r="R26" i="1"/>
  <c r="S26" i="1" s="1"/>
  <c r="Z26" i="1" s="1"/>
  <c r="R126" i="1"/>
  <c r="S126" i="1" s="1"/>
  <c r="Z126" i="1" s="1"/>
  <c r="R153" i="1"/>
  <c r="S153" i="1" s="1"/>
  <c r="Z153" i="1" s="1"/>
  <c r="R141" i="1"/>
  <c r="S141" i="1" s="1"/>
  <c r="R327" i="1"/>
  <c r="S327" i="1" s="1"/>
  <c r="Z327" i="1" s="1"/>
  <c r="R337" i="1"/>
  <c r="S337" i="1" s="1"/>
  <c r="Z337" i="1" s="1"/>
  <c r="R312" i="1"/>
  <c r="S312" i="1" s="1"/>
  <c r="Z312" i="1" s="1"/>
  <c r="R175" i="1"/>
  <c r="S175" i="1" s="1"/>
  <c r="Z175" i="1" s="1"/>
  <c r="R373" i="1"/>
  <c r="S373" i="1" s="1"/>
  <c r="Z373" i="1" s="1"/>
  <c r="R60" i="1"/>
  <c r="S60" i="1" s="1"/>
  <c r="Z60" i="1" s="1"/>
  <c r="R147" i="1"/>
  <c r="S147" i="1" s="1"/>
  <c r="Z147" i="1" s="1"/>
  <c r="R232" i="1"/>
  <c r="S232" i="1" s="1"/>
  <c r="Z232" i="1" s="1"/>
  <c r="R95" i="1"/>
  <c r="S95" i="1" s="1"/>
  <c r="Z95" i="1" s="1"/>
  <c r="R213" i="1"/>
  <c r="S213" i="1" s="1"/>
  <c r="Z213" i="1" s="1"/>
  <c r="R381" i="1"/>
  <c r="S381" i="1" s="1"/>
  <c r="Z381" i="1" s="1"/>
  <c r="R67" i="1"/>
  <c r="S67" i="1" s="1"/>
  <c r="Z67" i="1" s="1"/>
  <c r="R297" i="1"/>
  <c r="S297" i="1" s="1"/>
  <c r="Z297" i="1" s="1"/>
  <c r="R160" i="1"/>
  <c r="S160" i="1" s="1"/>
  <c r="Z160" i="1" s="1"/>
  <c r="R23" i="1"/>
  <c r="S23" i="1" s="1"/>
  <c r="Z23" i="1" s="1"/>
  <c r="R69" i="1"/>
  <c r="S69" i="1" s="1"/>
  <c r="Z69" i="1" s="1"/>
  <c r="R237" i="1"/>
  <c r="S237" i="1" s="1"/>
  <c r="Z237" i="1" s="1"/>
  <c r="R314" i="1"/>
  <c r="S314" i="1" s="1"/>
  <c r="Z314" i="1" s="1"/>
  <c r="R191" i="1"/>
  <c r="S191" i="1" s="1"/>
  <c r="Z191" i="1" s="1"/>
  <c r="R22" i="1"/>
  <c r="S22" i="1" s="1"/>
  <c r="R76" i="1"/>
  <c r="S76" i="1" s="1"/>
  <c r="Z76" i="1" s="1"/>
  <c r="R163" i="1"/>
  <c r="S163" i="1" s="1"/>
  <c r="Z163" i="1" s="1"/>
  <c r="R369" i="1"/>
  <c r="S369" i="1" s="1"/>
  <c r="Z369" i="1" s="1"/>
  <c r="R320" i="1"/>
  <c r="S320" i="1" s="1"/>
  <c r="Z320" i="1" s="1"/>
  <c r="R183" i="1"/>
  <c r="S183" i="1" s="1"/>
  <c r="Z183" i="1" s="1"/>
  <c r="R389" i="1"/>
  <c r="S389" i="1" s="1"/>
  <c r="Z389" i="1" s="1"/>
  <c r="R68" i="1"/>
  <c r="S68" i="1" s="1"/>
  <c r="Z68" i="1" s="1"/>
  <c r="R155" i="1"/>
  <c r="S155" i="1" s="1"/>
  <c r="R171" i="1"/>
  <c r="S171" i="1" s="1"/>
  <c r="Z171" i="1" s="1"/>
  <c r="R358" i="1"/>
  <c r="S358" i="1" s="1"/>
  <c r="Z358" i="1" s="1"/>
  <c r="R363" i="1"/>
  <c r="S363" i="1" s="1"/>
  <c r="Z363" i="1" s="1"/>
  <c r="R207" i="1"/>
  <c r="S207" i="1" s="1"/>
  <c r="Z207" i="1" s="1"/>
  <c r="R361" i="1"/>
  <c r="S361" i="1" s="1"/>
  <c r="Z361" i="1" s="1"/>
  <c r="R165" i="1"/>
  <c r="S165" i="1" s="1"/>
  <c r="Z165" i="1" s="1"/>
  <c r="R392" i="1"/>
  <c r="S392" i="1" s="1"/>
  <c r="Z392" i="1" s="1"/>
  <c r="R307" i="1"/>
  <c r="S307" i="1" s="1"/>
  <c r="Z307" i="1" s="1"/>
  <c r="R167" i="1"/>
  <c r="S167" i="1" s="1"/>
  <c r="Z167" i="1" s="1"/>
  <c r="R353" i="1"/>
  <c r="S353" i="1" s="1"/>
  <c r="Z353" i="1" s="1"/>
  <c r="R395" i="1"/>
  <c r="S395" i="1" s="1"/>
  <c r="Z395" i="1" s="1"/>
  <c r="R263" i="1"/>
  <c r="S263" i="1" s="1"/>
  <c r="Z263" i="1" s="1"/>
  <c r="R362" i="1"/>
  <c r="S362" i="1" s="1"/>
  <c r="Z362" i="1" s="1"/>
  <c r="R340" i="1"/>
  <c r="S340" i="1" s="1"/>
  <c r="Z340" i="1" s="1"/>
  <c r="R304" i="1"/>
  <c r="S304" i="1" s="1"/>
  <c r="Z304" i="1" s="1"/>
  <c r="R107" i="1"/>
  <c r="S107" i="1" s="1"/>
  <c r="Z107" i="1" s="1"/>
  <c r="R294" i="1"/>
  <c r="S294" i="1" s="1"/>
  <c r="Z294" i="1" s="1"/>
  <c r="R249" i="1"/>
  <c r="S249" i="1" s="1"/>
  <c r="Z249" i="1" s="1"/>
  <c r="R28" i="1"/>
  <c r="S28" i="1" s="1"/>
  <c r="R88" i="1"/>
  <c r="S88" i="1" s="1"/>
  <c r="Z88" i="1" s="1"/>
  <c r="R385" i="1"/>
  <c r="S385" i="1" s="1"/>
  <c r="Z385" i="1" s="1"/>
  <c r="R248" i="1"/>
  <c r="S248" i="1" s="1"/>
  <c r="Z248" i="1" s="1"/>
  <c r="R111" i="1"/>
  <c r="S111" i="1" s="1"/>
  <c r="Z111" i="1" s="1"/>
  <c r="R245" i="1"/>
  <c r="S245" i="1" s="1"/>
  <c r="Z245" i="1" s="1"/>
  <c r="R374" i="1"/>
  <c r="S374" i="1" s="1"/>
  <c r="Z374" i="1" s="1"/>
  <c r="R83" i="1"/>
  <c r="S83" i="1" s="1"/>
  <c r="Z83" i="1" s="1"/>
  <c r="R168" i="1"/>
  <c r="S168" i="1" s="1"/>
  <c r="Z168" i="1" s="1"/>
  <c r="R31" i="1"/>
  <c r="S31" i="1" s="1"/>
  <c r="R85" i="1"/>
  <c r="S85" i="1" s="1"/>
  <c r="Z85" i="1" s="1"/>
  <c r="R253" i="1"/>
  <c r="S253" i="1" s="1"/>
  <c r="Z253" i="1" s="1"/>
  <c r="R322" i="1"/>
  <c r="S322" i="1" s="1"/>
  <c r="Z322" i="1" s="1"/>
  <c r="R233" i="1"/>
  <c r="S233" i="1" s="1"/>
  <c r="Z233" i="1" s="1"/>
  <c r="R96" i="1"/>
  <c r="S96" i="1" s="1"/>
  <c r="Z96" i="1" s="1"/>
  <c r="R302" i="1"/>
  <c r="S302" i="1" s="1"/>
  <c r="Z302" i="1" s="1"/>
  <c r="R356" i="1"/>
  <c r="S356" i="1" s="1"/>
  <c r="Z356" i="1" s="1"/>
  <c r="R109" i="1"/>
  <c r="S109" i="1" s="1"/>
  <c r="Z109" i="1" s="1"/>
  <c r="R250" i="1"/>
  <c r="S250" i="1" s="1"/>
  <c r="Z250" i="1" s="1"/>
  <c r="R127" i="1"/>
  <c r="S127" i="1" s="1"/>
  <c r="Z127" i="1" s="1"/>
  <c r="R277" i="1"/>
  <c r="S277" i="1" s="1"/>
  <c r="Z277" i="1" s="1"/>
  <c r="R390" i="1"/>
  <c r="S390" i="1" s="1"/>
  <c r="Z390" i="1" s="1"/>
  <c r="R99" i="1"/>
  <c r="S99" i="1" s="1"/>
  <c r="Z99" i="1" s="1"/>
  <c r="R354" i="1"/>
  <c r="S354" i="1" s="1"/>
  <c r="Z354" i="1" s="1"/>
  <c r="R256" i="1"/>
  <c r="S256" i="1" s="1"/>
  <c r="Z256" i="1" s="1"/>
  <c r="R119" i="1"/>
  <c r="S119" i="1" s="1"/>
  <c r="Z119" i="1" s="1"/>
  <c r="R261" i="1"/>
  <c r="S261" i="1" s="1"/>
  <c r="Z261" i="1" s="1"/>
  <c r="R382" i="1"/>
  <c r="S382" i="1" s="1"/>
  <c r="Z382" i="1" s="1"/>
  <c r="R91" i="1"/>
  <c r="S91" i="1" s="1"/>
  <c r="Z91" i="1" s="1"/>
  <c r="R349" i="1"/>
  <c r="S349" i="1" s="1"/>
  <c r="Z349" i="1" s="1"/>
  <c r="R48" i="1"/>
  <c r="S48" i="1" s="1"/>
  <c r="Z48" i="1" s="1"/>
  <c r="R50" i="1"/>
  <c r="S50" i="1" s="1"/>
  <c r="Z50" i="1" s="1"/>
  <c r="R229" i="1"/>
  <c r="S229" i="1" s="1"/>
  <c r="Z229" i="1" s="1"/>
  <c r="R33" i="1"/>
  <c r="S33" i="1" s="1"/>
  <c r="Z33" i="1" s="1"/>
  <c r="R267" i="1"/>
  <c r="S267" i="1" s="1"/>
  <c r="Z267" i="1" s="1"/>
  <c r="R135" i="1"/>
  <c r="S135" i="1" s="1"/>
  <c r="Z135" i="1" s="1"/>
  <c r="R377" i="1"/>
  <c r="S377" i="1" s="1"/>
  <c r="Z377" i="1" s="1"/>
  <c r="R212" i="1"/>
  <c r="S212" i="1" s="1"/>
  <c r="Z212" i="1" s="1"/>
  <c r="R216" i="1"/>
  <c r="S216" i="1" s="1"/>
  <c r="Z216" i="1" s="1"/>
  <c r="R321" i="1"/>
  <c r="S321" i="1" s="1"/>
  <c r="Z321" i="1" s="1"/>
  <c r="R184" i="1"/>
  <c r="S184" i="1" s="1"/>
  <c r="Z184" i="1" s="1"/>
  <c r="R47" i="1"/>
  <c r="S47" i="1" s="1"/>
  <c r="Z47" i="1" s="1"/>
  <c r="R117" i="1"/>
  <c r="S117" i="1" s="1"/>
  <c r="Z117" i="1" s="1"/>
  <c r="R285" i="1"/>
  <c r="S285" i="1" s="1"/>
  <c r="Z285" i="1" s="1"/>
  <c r="R19" i="1"/>
  <c r="S19" i="1" s="1"/>
  <c r="Z19" i="1" s="1"/>
  <c r="R104" i="1"/>
  <c r="S104" i="1" s="1"/>
  <c r="Z104" i="1" s="1"/>
  <c r="R310" i="1"/>
  <c r="S310" i="1" s="1"/>
  <c r="Z310" i="1" s="1"/>
  <c r="R364" i="1"/>
  <c r="S364" i="1" s="1"/>
  <c r="Z364" i="1" s="1"/>
  <c r="R125" i="1"/>
  <c r="S125" i="1" s="1"/>
  <c r="Z125" i="1" s="1"/>
  <c r="R258" i="1"/>
  <c r="S258" i="1" s="1"/>
  <c r="Z258" i="1" s="1"/>
  <c r="R169" i="1"/>
  <c r="S169" i="1" s="1"/>
  <c r="Z169" i="1" s="1"/>
  <c r="R32" i="1"/>
  <c r="S32" i="1" s="1"/>
  <c r="Z32" i="1" s="1"/>
  <c r="R238" i="1"/>
  <c r="S238" i="1" s="1"/>
  <c r="Z238" i="1" s="1"/>
  <c r="R292" i="1"/>
  <c r="S292" i="1" s="1"/>
  <c r="Z292" i="1" s="1"/>
  <c r="R379" i="1"/>
  <c r="S379" i="1" s="1"/>
  <c r="Z379" i="1" s="1"/>
  <c r="R186" i="1"/>
  <c r="S186" i="1" s="1"/>
  <c r="Z186" i="1" s="1"/>
  <c r="R63" i="1"/>
  <c r="S63" i="1" s="1"/>
  <c r="Z63" i="1" s="1"/>
  <c r="R149" i="1"/>
  <c r="S149" i="1" s="1"/>
  <c r="R317" i="1"/>
  <c r="S317" i="1" s="1"/>
  <c r="Z317" i="1" s="1"/>
  <c r="R35" i="1"/>
  <c r="S35" i="1" s="1"/>
  <c r="Z35" i="1" s="1"/>
  <c r="R338" i="1"/>
  <c r="S338" i="1" s="1"/>
  <c r="Z338" i="1" s="1"/>
  <c r="R192" i="1"/>
  <c r="S192" i="1" s="1"/>
  <c r="Z192" i="1" s="1"/>
  <c r="R55" i="1"/>
  <c r="S55" i="1" s="1"/>
  <c r="Z55" i="1" s="1"/>
  <c r="R133" i="1"/>
  <c r="S133" i="1" s="1"/>
  <c r="Z133" i="1" s="1"/>
  <c r="R301" i="1"/>
  <c r="S301" i="1" s="1"/>
  <c r="Z301" i="1" s="1"/>
  <c r="R27" i="1"/>
  <c r="S27" i="1" s="1"/>
  <c r="Z27" i="1" s="1"/>
  <c r="R295" i="1"/>
  <c r="S295" i="1" s="1"/>
  <c r="Z295" i="1" s="1"/>
  <c r="R372" i="1"/>
  <c r="S372" i="1" s="1"/>
  <c r="Z372" i="1" s="1"/>
  <c r="R336" i="1"/>
  <c r="S336" i="1" s="1"/>
  <c r="Z336" i="1" s="1"/>
  <c r="R257" i="1"/>
  <c r="S257" i="1" s="1"/>
  <c r="Z257" i="1" s="1"/>
  <c r="R120" i="1"/>
  <c r="S120" i="1" s="1"/>
  <c r="Z120" i="1" s="1"/>
  <c r="R326" i="1"/>
  <c r="S326" i="1" s="1"/>
  <c r="Z326" i="1" s="1"/>
  <c r="R380" i="1"/>
  <c r="S380" i="1" s="1"/>
  <c r="Z380" i="1" s="1"/>
  <c r="R157" i="1"/>
  <c r="S157" i="1" s="1"/>
  <c r="Z157" i="1" s="1"/>
  <c r="R274" i="1"/>
  <c r="S274" i="1" s="1"/>
  <c r="Z274" i="1" s="1"/>
  <c r="R40" i="1"/>
  <c r="S40" i="1" s="1"/>
  <c r="Z40" i="1" s="1"/>
  <c r="R246" i="1"/>
  <c r="S246" i="1" s="1"/>
  <c r="Z246" i="1" s="1"/>
  <c r="R300" i="1"/>
  <c r="S300" i="1" s="1"/>
  <c r="Z300" i="1" s="1"/>
  <c r="R387" i="1"/>
  <c r="S387" i="1" s="1"/>
  <c r="Z387" i="1" s="1"/>
  <c r="R194" i="1"/>
  <c r="S194" i="1" s="1"/>
  <c r="Z194" i="1" s="1"/>
  <c r="R105" i="1"/>
  <c r="S105" i="1" s="1"/>
  <c r="Z105" i="1" s="1"/>
  <c r="R343" i="1"/>
  <c r="S343" i="1" s="1"/>
  <c r="Z343" i="1" s="1"/>
  <c r="R174" i="1"/>
  <c r="S174" i="1" s="1"/>
  <c r="Z174" i="1" s="1"/>
  <c r="R228" i="1"/>
  <c r="S228" i="1" s="1"/>
  <c r="Z228" i="1" s="1"/>
  <c r="R315" i="1"/>
  <c r="S315" i="1" s="1"/>
  <c r="Z315" i="1" s="1"/>
  <c r="R122" i="1"/>
  <c r="S122" i="1" s="1"/>
  <c r="Z122" i="1" s="1"/>
  <c r="R342" i="1"/>
  <c r="S342" i="1" s="1"/>
  <c r="Z342" i="1" s="1"/>
  <c r="R21" i="1"/>
  <c r="S21" i="1" s="1"/>
  <c r="Z21" i="1" s="1"/>
  <c r="R189" i="1"/>
  <c r="S189" i="1" s="1"/>
  <c r="Z189" i="1" s="1"/>
  <c r="R290" i="1"/>
  <c r="S290" i="1" s="1"/>
  <c r="Z290" i="1" s="1"/>
  <c r="R265" i="1"/>
  <c r="S265" i="1" s="1"/>
  <c r="Z265" i="1" s="1"/>
  <c r="R128" i="1"/>
  <c r="S128" i="1" s="1"/>
  <c r="Z128" i="1" s="1"/>
  <c r="R334" i="1"/>
  <c r="S334" i="1" s="1"/>
  <c r="Z334" i="1" s="1"/>
  <c r="R388" i="1"/>
  <c r="S388" i="1" s="1"/>
  <c r="Z388" i="1" s="1"/>
  <c r="R173" i="1"/>
  <c r="S173" i="1" s="1"/>
  <c r="Z173" i="1" s="1"/>
  <c r="R282" i="1"/>
  <c r="S282" i="1" s="1"/>
  <c r="Z282" i="1" s="1"/>
  <c r="R84" i="1"/>
  <c r="S84" i="1" s="1"/>
  <c r="Z84" i="1" s="1"/>
  <c r="R136" i="1"/>
  <c r="S136" i="1" s="1"/>
  <c r="Z136" i="1" s="1"/>
  <c r="R276" i="1"/>
  <c r="S276" i="1" s="1"/>
  <c r="Z276" i="1" s="1"/>
  <c r="R272" i="1"/>
  <c r="S272" i="1" s="1"/>
  <c r="Z272" i="1" s="1"/>
  <c r="R203" i="1"/>
  <c r="S203" i="1" s="1"/>
  <c r="Z203" i="1" s="1"/>
  <c r="R71" i="1"/>
  <c r="S71" i="1" s="1"/>
  <c r="Z71" i="1" s="1"/>
  <c r="R313" i="1"/>
  <c r="S313" i="1" s="1"/>
  <c r="Z313" i="1" s="1"/>
  <c r="R220" i="1"/>
  <c r="S220" i="1" s="1"/>
  <c r="Z220" i="1" s="1"/>
  <c r="R240" i="1"/>
  <c r="S240" i="1" s="1"/>
  <c r="Z240" i="1" s="1"/>
  <c r="R386" i="1"/>
  <c r="S386" i="1" s="1"/>
  <c r="Z386" i="1" s="1"/>
  <c r="R308" i="1"/>
  <c r="S308" i="1" s="1"/>
  <c r="Z308" i="1" s="1"/>
  <c r="R296" i="1"/>
  <c r="S296" i="1" s="1"/>
  <c r="Z296" i="1" s="1"/>
  <c r="R75" i="1"/>
  <c r="S75" i="1" s="1"/>
  <c r="Z75" i="1" s="1"/>
  <c r="R286" i="1"/>
  <c r="S286" i="1" s="1"/>
  <c r="Z286" i="1" s="1"/>
  <c r="R241" i="1"/>
  <c r="S241" i="1" s="1"/>
  <c r="Z241" i="1" s="1"/>
  <c r="R20" i="1"/>
  <c r="S20" i="1" s="1"/>
  <c r="Z20" i="1" s="1"/>
  <c r="R80" i="1"/>
  <c r="S80" i="1" s="1"/>
  <c r="Z80" i="1" s="1"/>
  <c r="R106" i="1"/>
  <c r="S106" i="1" s="1"/>
  <c r="Z106" i="1" s="1"/>
  <c r="R309" i="1"/>
  <c r="S309" i="1" s="1"/>
  <c r="Z309" i="1" s="1"/>
  <c r="R57" i="1"/>
  <c r="S57" i="1" s="1"/>
  <c r="Z57" i="1" s="1"/>
  <c r="R193" i="1"/>
  <c r="S193" i="1" s="1"/>
  <c r="Z193" i="1" s="1"/>
  <c r="R56" i="1"/>
  <c r="S56" i="1" s="1"/>
  <c r="Z56" i="1" s="1"/>
  <c r="R262" i="1"/>
  <c r="S262" i="1" s="1"/>
  <c r="Z262" i="1" s="1"/>
  <c r="R316" i="1"/>
  <c r="S316" i="1" s="1"/>
  <c r="Z316" i="1" s="1"/>
  <c r="R29" i="1"/>
  <c r="S29" i="1" s="1"/>
  <c r="Z29" i="1" s="1"/>
  <c r="R210" i="1"/>
  <c r="S210" i="1" s="1"/>
  <c r="Z210" i="1" s="1"/>
  <c r="R351" i="1"/>
  <c r="S351" i="1" s="1"/>
  <c r="Z351" i="1" s="1"/>
  <c r="R182" i="1"/>
  <c r="S182" i="1" s="1"/>
  <c r="Z182" i="1" s="1"/>
  <c r="R236" i="1"/>
  <c r="S236" i="1" s="1"/>
  <c r="Z236" i="1" s="1"/>
  <c r="R323" i="1"/>
  <c r="S323" i="1" s="1"/>
  <c r="Z323" i="1" s="1"/>
  <c r="R130" i="1"/>
  <c r="S130" i="1" s="1"/>
  <c r="Z130" i="1" s="1"/>
  <c r="R41" i="1"/>
  <c r="S41" i="1" s="1"/>
  <c r="Z41" i="1" s="1"/>
  <c r="R279" i="1"/>
  <c r="S279" i="1" s="1"/>
  <c r="Z279" i="1" s="1"/>
  <c r="R110" i="1"/>
  <c r="S110" i="1" s="1"/>
  <c r="Z110" i="1" s="1"/>
  <c r="R164" i="1"/>
  <c r="S164" i="1" s="1"/>
  <c r="Z164" i="1" s="1"/>
  <c r="R251" i="1"/>
  <c r="S251" i="1" s="1"/>
  <c r="Z251" i="1" s="1"/>
  <c r="R58" i="1"/>
  <c r="S58" i="1" s="1"/>
  <c r="Z58" i="1" s="1"/>
  <c r="R278" i="1"/>
  <c r="S278" i="1" s="1"/>
  <c r="Z278" i="1" s="1"/>
  <c r="R332" i="1"/>
  <c r="S332" i="1" s="1"/>
  <c r="Z332" i="1" s="1"/>
  <c r="R61" i="1"/>
  <c r="S61" i="1" s="1"/>
  <c r="Z61" i="1" s="1"/>
  <c r="R226" i="1"/>
  <c r="S226" i="1" s="1"/>
  <c r="Z226" i="1" s="1"/>
  <c r="R201" i="1"/>
  <c r="S201" i="1" s="1"/>
  <c r="Z201" i="1" s="1"/>
  <c r="R64" i="1"/>
  <c r="S64" i="1" s="1"/>
  <c r="Z64" i="1" s="1"/>
  <c r="R270" i="1"/>
  <c r="S270" i="1" s="1"/>
  <c r="Z270" i="1" s="1"/>
  <c r="R324" i="1"/>
  <c r="S324" i="1" s="1"/>
  <c r="Z324" i="1" s="1"/>
  <c r="R45" i="1"/>
  <c r="S45" i="1" s="1"/>
  <c r="Z45" i="1" s="1"/>
  <c r="R218" i="1"/>
  <c r="S218" i="1" s="1"/>
  <c r="Z218" i="1" s="1"/>
  <c r="R185" i="1"/>
  <c r="S185" i="1" s="1"/>
  <c r="Z185" i="1" s="1"/>
  <c r="R244" i="1"/>
  <c r="S244" i="1" s="1"/>
  <c r="Z244" i="1" s="1"/>
  <c r="R360" i="1"/>
  <c r="S360" i="1" s="1"/>
  <c r="Z360" i="1" s="1"/>
  <c r="R101" i="1"/>
  <c r="S101" i="1" s="1"/>
  <c r="Z101" i="1" s="1"/>
  <c r="R368" i="1"/>
  <c r="S368" i="1" s="1"/>
  <c r="Z368" i="1" s="1"/>
  <c r="R371" i="1"/>
  <c r="S371" i="1" s="1"/>
  <c r="Z371" i="1" s="1"/>
  <c r="R231" i="1"/>
  <c r="S231" i="1" s="1"/>
  <c r="Z231" i="1" s="1"/>
  <c r="R393" i="1"/>
  <c r="S393" i="1" s="1"/>
  <c r="Z393" i="1" s="1"/>
  <c r="R37" i="1"/>
  <c r="S37" i="1" s="1"/>
  <c r="Z37" i="1" s="1"/>
  <c r="R344" i="1"/>
  <c r="S344" i="1" s="1"/>
  <c r="Z344" i="1" s="1"/>
  <c r="R42" i="1"/>
  <c r="S42" i="1" s="1"/>
  <c r="Z42" i="1" s="1"/>
  <c r="R181" i="1"/>
  <c r="S181" i="1" s="1"/>
  <c r="Z181" i="1" s="1"/>
  <c r="R25" i="1"/>
  <c r="S25" i="1" s="1"/>
  <c r="Z25" i="1" s="1"/>
  <c r="R243" i="1"/>
  <c r="S243" i="1" s="1"/>
  <c r="Z243" i="1" s="1"/>
  <c r="R103" i="1"/>
  <c r="S103" i="1" s="1"/>
  <c r="Z103" i="1" s="1"/>
  <c r="R345" i="1"/>
  <c r="S345" i="1" s="1"/>
  <c r="Z345" i="1" s="1"/>
  <c r="R180" i="1"/>
  <c r="S180" i="1" s="1"/>
  <c r="Z180" i="1" s="1"/>
  <c r="R208" i="1"/>
  <c r="S208" i="1" s="1"/>
  <c r="Z208" i="1" s="1"/>
  <c r="R266" i="1"/>
  <c r="S266" i="1" s="1"/>
  <c r="Z266" i="1" s="1"/>
  <c r="R158" i="1"/>
  <c r="S158" i="1" s="1"/>
  <c r="Z158" i="1" s="1"/>
  <c r="R161" i="1"/>
  <c r="S161" i="1" s="1"/>
  <c r="Z161" i="1" s="1"/>
  <c r="R129" i="1"/>
  <c r="S129" i="1" s="1"/>
  <c r="Z129" i="1" s="1"/>
  <c r="R367" i="1"/>
  <c r="S367" i="1" s="1"/>
  <c r="Z367" i="1" s="1"/>
  <c r="R198" i="1"/>
  <c r="S198" i="1" s="1"/>
  <c r="Z198" i="1" s="1"/>
  <c r="R252" i="1"/>
  <c r="S252" i="1" s="1"/>
  <c r="Z252" i="1" s="1"/>
  <c r="R339" i="1"/>
  <c r="S339" i="1" s="1"/>
  <c r="Z339" i="1" s="1"/>
  <c r="R146" i="1"/>
  <c r="S146" i="1" s="1"/>
  <c r="Z146" i="1" s="1"/>
  <c r="R287" i="1"/>
  <c r="S287" i="1" s="1"/>
  <c r="Z287" i="1" s="1"/>
  <c r="R118" i="1"/>
  <c r="S118" i="1" s="1"/>
  <c r="Z118" i="1" s="1"/>
  <c r="R172" i="1"/>
  <c r="S172" i="1" s="1"/>
  <c r="Z172" i="1" s="1"/>
  <c r="R259" i="1"/>
  <c r="S259" i="1" s="1"/>
  <c r="Z259" i="1" s="1"/>
  <c r="R66" i="1"/>
  <c r="S66" i="1" s="1"/>
  <c r="Z66" i="1" s="1"/>
  <c r="R352" i="1"/>
  <c r="S352" i="1" s="1"/>
  <c r="Z352" i="1" s="1"/>
  <c r="R215" i="1"/>
  <c r="S215" i="1" s="1"/>
  <c r="Z215" i="1" s="1"/>
  <c r="R46" i="1"/>
  <c r="S46" i="1" s="1"/>
  <c r="Z46" i="1" s="1"/>
  <c r="R100" i="1"/>
  <c r="S100" i="1" s="1"/>
  <c r="Z100" i="1" s="1"/>
  <c r="R187" i="1"/>
  <c r="S187" i="1" s="1"/>
  <c r="Z187" i="1" s="1"/>
  <c r="R383" i="1"/>
  <c r="S383" i="1" s="1"/>
  <c r="Z383" i="1" s="1"/>
  <c r="R214" i="1"/>
  <c r="S214" i="1" s="1"/>
  <c r="Z214" i="1" s="1"/>
  <c r="R268" i="1"/>
  <c r="S268" i="1" s="1"/>
  <c r="Z268" i="1" s="1"/>
  <c r="R355" i="1"/>
  <c r="S355" i="1" s="1"/>
  <c r="Z355" i="1" s="1"/>
  <c r="R162" i="1"/>
  <c r="S162" i="1" s="1"/>
  <c r="Z162" i="1" s="1"/>
  <c r="R137" i="1"/>
  <c r="S137" i="1" s="1"/>
  <c r="Z137" i="1" s="1"/>
  <c r="R375" i="1"/>
  <c r="S375" i="1" s="1"/>
  <c r="Z375" i="1" s="1"/>
  <c r="R206" i="1"/>
  <c r="S206" i="1" s="1"/>
  <c r="Z206" i="1" s="1"/>
  <c r="R260" i="1"/>
  <c r="S260" i="1" s="1"/>
  <c r="Z260" i="1" s="1"/>
  <c r="R347" i="1"/>
  <c r="S347" i="1" s="1"/>
  <c r="Z347" i="1" s="1"/>
  <c r="V154" i="1"/>
  <c r="U154" i="1"/>
  <c r="V149" i="1" l="1"/>
  <c r="Z149" i="1"/>
  <c r="U31" i="1"/>
  <c r="Z31" i="1"/>
  <c r="U141" i="1"/>
  <c r="Z141" i="1"/>
  <c r="V384" i="1"/>
  <c r="Z384" i="1"/>
  <c r="U197" i="1"/>
  <c r="Z197" i="1"/>
  <c r="T299" i="1"/>
  <c r="Z299" i="1"/>
  <c r="U90" i="1"/>
  <c r="Z90" i="1"/>
  <c r="U177" i="1"/>
  <c r="Z177" i="1"/>
  <c r="V108" i="1"/>
  <c r="Z108" i="1"/>
  <c r="T370" i="1"/>
  <c r="Z370" i="1"/>
  <c r="V311" i="1"/>
  <c r="Z311" i="1"/>
  <c r="V114" i="1"/>
  <c r="Z114" i="1"/>
  <c r="V281" i="1"/>
  <c r="Z281" i="1"/>
  <c r="U121" i="1"/>
  <c r="Z121" i="1"/>
  <c r="V329" i="1"/>
  <c r="Z329" i="1"/>
  <c r="U176" i="1"/>
  <c r="Z176" i="1"/>
  <c r="U291" i="1"/>
  <c r="Z291" i="1"/>
  <c r="T280" i="1"/>
  <c r="Z280" i="1"/>
  <c r="U28" i="1"/>
  <c r="Z28" i="1"/>
  <c r="U36" i="1"/>
  <c r="Z36" i="1"/>
  <c r="V254" i="1"/>
  <c r="Z254" i="1"/>
  <c r="V155" i="1"/>
  <c r="Z155" i="1"/>
  <c r="U22" i="1"/>
  <c r="Z22" i="1"/>
  <c r="V219" i="1"/>
  <c r="Z219" i="1"/>
  <c r="V239" i="1"/>
  <c r="Z239" i="1"/>
  <c r="V72" i="1"/>
  <c r="Z72" i="1"/>
  <c r="V303" i="1"/>
  <c r="Z303" i="1"/>
  <c r="U92" i="1"/>
  <c r="Z92" i="1"/>
  <c r="U81" i="1"/>
  <c r="Z81" i="1"/>
  <c r="T123" i="1"/>
  <c r="Z123" i="1"/>
  <c r="T62" i="1"/>
  <c r="Z62" i="1"/>
  <c r="V98" i="1"/>
  <c r="Z98" i="1"/>
  <c r="V333" i="1"/>
  <c r="Z333" i="1"/>
  <c r="T102" i="1"/>
  <c r="Z102" i="1"/>
  <c r="V89" i="1"/>
  <c r="Z89" i="1"/>
  <c r="V139" i="1"/>
  <c r="Z139" i="1"/>
  <c r="U357" i="1"/>
  <c r="Z357" i="1"/>
  <c r="W18" i="1"/>
  <c r="Z18" i="1"/>
  <c r="F35" i="1"/>
  <c r="B30" i="1" s="1"/>
  <c r="V121" i="1"/>
  <c r="U311" i="1"/>
  <c r="U155" i="1"/>
  <c r="V102" i="1"/>
  <c r="AC2" i="3"/>
  <c r="U281" i="1"/>
  <c r="V291" i="1"/>
  <c r="F40" i="1"/>
  <c r="G40" i="1" s="1"/>
  <c r="T177" i="1"/>
  <c r="U384" i="1"/>
  <c r="W100" i="1"/>
  <c r="W181" i="1"/>
  <c r="W164" i="1"/>
  <c r="W265" i="1"/>
  <c r="W46" i="1"/>
  <c r="W42" i="1"/>
  <c r="W360" i="1"/>
  <c r="W110" i="1"/>
  <c r="W106" i="1"/>
  <c r="W290" i="1"/>
  <c r="W109" i="1"/>
  <c r="W162" i="1"/>
  <c r="W215" i="1"/>
  <c r="W339" i="1"/>
  <c r="W208" i="1"/>
  <c r="W244" i="1"/>
  <c r="W226" i="1"/>
  <c r="W279" i="1"/>
  <c r="W29" i="1"/>
  <c r="W80" i="1"/>
  <c r="W84" i="1"/>
  <c r="W189" i="1"/>
  <c r="W105" i="1"/>
  <c r="W63" i="1"/>
  <c r="W125" i="1"/>
  <c r="W184" i="1"/>
  <c r="W256" i="1"/>
  <c r="W369" i="1"/>
  <c r="W153" i="1"/>
  <c r="W211" i="1"/>
  <c r="W49" i="1"/>
  <c r="W283" i="1"/>
  <c r="W205" i="1"/>
  <c r="W65" i="1"/>
  <c r="W53" i="1"/>
  <c r="W235" i="1"/>
  <c r="W284" i="1"/>
  <c r="W152" i="1"/>
  <c r="W202" i="1"/>
  <c r="W289" i="1"/>
  <c r="W43" i="1"/>
  <c r="W375" i="1"/>
  <c r="W158" i="1"/>
  <c r="W101" i="1"/>
  <c r="W351" i="1"/>
  <c r="W309" i="1"/>
  <c r="W174" i="1"/>
  <c r="W266" i="1"/>
  <c r="W355" i="1"/>
  <c r="W352" i="1"/>
  <c r="W252" i="1"/>
  <c r="W37" i="1"/>
  <c r="W61" i="1"/>
  <c r="W41" i="1"/>
  <c r="W220" i="1"/>
  <c r="W21" i="1"/>
  <c r="W326" i="1"/>
  <c r="W133" i="1"/>
  <c r="W186" i="1"/>
  <c r="W364" i="1"/>
  <c r="W354" i="1"/>
  <c r="W83" i="1"/>
  <c r="W249" i="1"/>
  <c r="W353" i="1"/>
  <c r="W358" i="1"/>
  <c r="W163" i="1"/>
  <c r="W160" i="1"/>
  <c r="W126" i="1"/>
  <c r="W124" i="1"/>
  <c r="W24" i="1"/>
  <c r="W234" i="1"/>
  <c r="W112" i="1"/>
  <c r="W144" i="1"/>
  <c r="W166" i="1"/>
  <c r="W198" i="1"/>
  <c r="W130" i="1"/>
  <c r="W262" i="1"/>
  <c r="W241" i="1"/>
  <c r="W379" i="1"/>
  <c r="W310" i="1"/>
  <c r="W99" i="1"/>
  <c r="W96" i="1"/>
  <c r="W294" i="1"/>
  <c r="W76" i="1"/>
  <c r="W297" i="1"/>
  <c r="W373" i="1"/>
  <c r="W140" i="1"/>
  <c r="W346" i="1"/>
  <c r="W70" i="1"/>
  <c r="W195" i="1"/>
  <c r="W305" i="1"/>
  <c r="W148" i="1"/>
  <c r="W142" i="1"/>
  <c r="W298" i="1"/>
  <c r="W318" i="1"/>
  <c r="W330" i="1"/>
  <c r="W73" i="1"/>
  <c r="W217" i="1"/>
  <c r="W199" i="1"/>
  <c r="W66" i="1"/>
  <c r="W332" i="1"/>
  <c r="W347" i="1"/>
  <c r="W214" i="1"/>
  <c r="W259" i="1"/>
  <c r="W45" i="1"/>
  <c r="W278" i="1"/>
  <c r="W323" i="1"/>
  <c r="W56" i="1"/>
  <c r="W292" i="1"/>
  <c r="W212" i="1"/>
  <c r="W349" i="1"/>
  <c r="W390" i="1"/>
  <c r="W233" i="1"/>
  <c r="W245" i="1"/>
  <c r="W107" i="1"/>
  <c r="W307" i="1"/>
  <c r="W155" i="1"/>
  <c r="W102" i="1"/>
  <c r="W383" i="1"/>
  <c r="W129" i="1"/>
  <c r="W371" i="1"/>
  <c r="W58" i="1"/>
  <c r="W193" i="1"/>
  <c r="W315" i="1"/>
  <c r="W336" i="1"/>
  <c r="W277" i="1"/>
  <c r="W191" i="1"/>
  <c r="W255" i="1"/>
  <c r="W260" i="1"/>
  <c r="W172" i="1"/>
  <c r="W243" i="1"/>
  <c r="W324" i="1"/>
  <c r="W236" i="1"/>
  <c r="W75" i="1"/>
  <c r="W334" i="1"/>
  <c r="W246" i="1"/>
  <c r="W322" i="1"/>
  <c r="W111" i="1"/>
  <c r="W304" i="1"/>
  <c r="W68" i="1"/>
  <c r="W381" i="1"/>
  <c r="W312" i="1"/>
  <c r="W132" i="1"/>
  <c r="W44" i="1"/>
  <c r="W376" i="1"/>
  <c r="W366" i="1"/>
  <c r="W93" i="1"/>
  <c r="W30" i="1"/>
  <c r="W139" i="1"/>
  <c r="W54" i="1"/>
  <c r="W97" i="1"/>
  <c r="W225" i="1"/>
  <c r="W134" i="1"/>
  <c r="W82" i="1"/>
  <c r="W391" i="1"/>
  <c r="W39" i="1"/>
  <c r="U279" i="1"/>
  <c r="W206" i="1"/>
  <c r="W25" i="1"/>
  <c r="W270" i="1"/>
  <c r="W251" i="1"/>
  <c r="W182" i="1"/>
  <c r="W57" i="1"/>
  <c r="W296" i="1"/>
  <c r="W228" i="1"/>
  <c r="W40" i="1"/>
  <c r="W35" i="1"/>
  <c r="W32" i="1"/>
  <c r="W285" i="1"/>
  <c r="W135" i="1"/>
  <c r="W382" i="1"/>
  <c r="W253" i="1"/>
  <c r="W248" i="1"/>
  <c r="W340" i="1"/>
  <c r="W165" i="1"/>
  <c r="W389" i="1"/>
  <c r="W314" i="1"/>
  <c r="W213" i="1"/>
  <c r="W337" i="1"/>
  <c r="W78" i="1"/>
  <c r="W59" i="1"/>
  <c r="W341" i="1"/>
  <c r="W378" i="1"/>
  <c r="W204" i="1"/>
  <c r="W77" i="1"/>
  <c r="W196" i="1"/>
  <c r="W230" i="1"/>
  <c r="W348" i="1"/>
  <c r="W115" i="1"/>
  <c r="W170" i="1"/>
  <c r="W275" i="1"/>
  <c r="W287" i="1"/>
  <c r="W64" i="1"/>
  <c r="W276" i="1"/>
  <c r="W274" i="1"/>
  <c r="W295" i="1"/>
  <c r="W317" i="1"/>
  <c r="W117" i="1"/>
  <c r="W267" i="1"/>
  <c r="W250" i="1"/>
  <c r="W85" i="1"/>
  <c r="W385" i="1"/>
  <c r="W362" i="1"/>
  <c r="W361" i="1"/>
  <c r="W183" i="1"/>
  <c r="W237" i="1"/>
  <c r="W95" i="1"/>
  <c r="W327" i="1"/>
  <c r="W247" i="1"/>
  <c r="W365" i="1"/>
  <c r="W159" i="1"/>
  <c r="W143" i="1"/>
  <c r="W190" i="1"/>
  <c r="W94" i="1"/>
  <c r="W319" i="1"/>
  <c r="W209" i="1"/>
  <c r="W394" i="1"/>
  <c r="W221" i="1"/>
  <c r="W335" i="1"/>
  <c r="W156" i="1"/>
  <c r="W200" i="1"/>
  <c r="W306" i="1"/>
  <c r="W271" i="1"/>
  <c r="W138" i="1"/>
  <c r="W357" i="1"/>
  <c r="W146" i="1"/>
  <c r="W210" i="1"/>
  <c r="W386" i="1"/>
  <c r="W136" i="1"/>
  <c r="W343" i="1"/>
  <c r="W157" i="1"/>
  <c r="W149" i="1"/>
  <c r="W258" i="1"/>
  <c r="W47" i="1"/>
  <c r="W33" i="1"/>
  <c r="W119" i="1"/>
  <c r="W88" i="1"/>
  <c r="W263" i="1"/>
  <c r="W207" i="1"/>
  <c r="W320" i="1"/>
  <c r="W69" i="1"/>
  <c r="W232" i="1"/>
  <c r="W141" i="1"/>
  <c r="W384" i="1"/>
  <c r="W197" i="1"/>
  <c r="W299" i="1"/>
  <c r="W90" i="1"/>
  <c r="W177" i="1"/>
  <c r="W108" i="1"/>
  <c r="W370" i="1"/>
  <c r="W311" i="1"/>
  <c r="W114" i="1"/>
  <c r="W281" i="1"/>
  <c r="W121" i="1"/>
  <c r="W329" i="1"/>
  <c r="W176" i="1"/>
  <c r="W291" i="1"/>
  <c r="W280" i="1"/>
  <c r="U215" i="1"/>
  <c r="V162" i="1"/>
  <c r="W19" i="1"/>
  <c r="W27" i="1"/>
  <c r="W31" i="1"/>
  <c r="U269" i="1"/>
  <c r="W269" i="1"/>
  <c r="W137" i="1"/>
  <c r="W201" i="1"/>
  <c r="U344" i="1"/>
  <c r="W344" i="1"/>
  <c r="U240" i="1"/>
  <c r="W240" i="1"/>
  <c r="U380" i="1"/>
  <c r="W380" i="1"/>
  <c r="W301" i="1"/>
  <c r="V229" i="1"/>
  <c r="W229" i="1"/>
  <c r="U356" i="1"/>
  <c r="W356" i="1"/>
  <c r="V168" i="1"/>
  <c r="W168" i="1"/>
  <c r="T28" i="1"/>
  <c r="W28" i="1"/>
  <c r="V395" i="1"/>
  <c r="W395" i="1"/>
  <c r="T363" i="1"/>
  <c r="W363" i="1"/>
  <c r="T23" i="1"/>
  <c r="W23" i="1"/>
  <c r="T147" i="1"/>
  <c r="W147" i="1"/>
  <c r="U34" i="1"/>
  <c r="W34" i="1"/>
  <c r="T87" i="1"/>
  <c r="W87" i="1"/>
  <c r="V36" i="1"/>
  <c r="W36" i="1"/>
  <c r="U254" i="1"/>
  <c r="W254" i="1"/>
  <c r="T288" i="1"/>
  <c r="W288" i="1"/>
  <c r="U180" i="1"/>
  <c r="W180" i="1"/>
  <c r="V185" i="1"/>
  <c r="W185" i="1"/>
  <c r="T316" i="1"/>
  <c r="W316" i="1"/>
  <c r="T20" i="1"/>
  <c r="W20" i="1"/>
  <c r="T282" i="1"/>
  <c r="W282" i="1"/>
  <c r="U194" i="1"/>
  <c r="W194" i="1"/>
  <c r="V321" i="1"/>
  <c r="W321" i="1"/>
  <c r="U50" i="1"/>
  <c r="W50" i="1"/>
  <c r="W302" i="1"/>
  <c r="T60" i="1"/>
  <c r="W60" i="1"/>
  <c r="V227" i="1"/>
  <c r="W227" i="1"/>
  <c r="V224" i="1"/>
  <c r="W224" i="1"/>
  <c r="U293" i="1"/>
  <c r="W293" i="1"/>
  <c r="U150" i="1"/>
  <c r="W150" i="1"/>
  <c r="V242" i="1"/>
  <c r="W242" i="1"/>
  <c r="U223" i="1"/>
  <c r="W223" i="1"/>
  <c r="U38" i="1"/>
  <c r="W38" i="1"/>
  <c r="T350" i="1"/>
  <c r="W350" i="1"/>
  <c r="U52" i="1"/>
  <c r="W52" i="1"/>
  <c r="V188" i="1"/>
  <c r="W188" i="1"/>
  <c r="T222" i="1"/>
  <c r="W222" i="1"/>
  <c r="W268" i="1"/>
  <c r="U345" i="1"/>
  <c r="W345" i="1"/>
  <c r="U393" i="1"/>
  <c r="W393" i="1"/>
  <c r="U218" i="1"/>
  <c r="W218" i="1"/>
  <c r="V313" i="1"/>
  <c r="W313" i="1"/>
  <c r="U173" i="1"/>
  <c r="W173" i="1"/>
  <c r="T342" i="1"/>
  <c r="W342" i="1"/>
  <c r="W387" i="1"/>
  <c r="W120" i="1"/>
  <c r="W55" i="1"/>
  <c r="T216" i="1"/>
  <c r="W216" i="1"/>
  <c r="V48" i="1"/>
  <c r="W48" i="1"/>
  <c r="V374" i="1"/>
  <c r="W374" i="1"/>
  <c r="V167" i="1"/>
  <c r="W167" i="1"/>
  <c r="T171" i="1"/>
  <c r="W171" i="1"/>
  <c r="U26" i="1"/>
  <c r="W26" i="1"/>
  <c r="U74" i="1"/>
  <c r="W74" i="1"/>
  <c r="T178" i="1"/>
  <c r="W178" i="1"/>
  <c r="U113" i="1"/>
  <c r="W113" i="1"/>
  <c r="T328" i="1"/>
  <c r="W328" i="1"/>
  <c r="U367" i="1"/>
  <c r="W367" i="1"/>
  <c r="T103" i="1"/>
  <c r="W103" i="1"/>
  <c r="T231" i="1"/>
  <c r="W231" i="1"/>
  <c r="V286" i="1"/>
  <c r="W286" i="1"/>
  <c r="V71" i="1"/>
  <c r="W71" i="1"/>
  <c r="W388" i="1"/>
  <c r="T122" i="1"/>
  <c r="W122" i="1"/>
  <c r="U300" i="1"/>
  <c r="W300" i="1"/>
  <c r="U257" i="1"/>
  <c r="W257" i="1"/>
  <c r="W192" i="1"/>
  <c r="W104" i="1"/>
  <c r="T22" i="1"/>
  <c r="W22" i="1"/>
  <c r="V67" i="1"/>
  <c r="W67" i="1"/>
  <c r="U175" i="1"/>
  <c r="W175" i="1"/>
  <c r="T219" i="1"/>
  <c r="W219" i="1"/>
  <c r="V86" i="1"/>
  <c r="W86" i="1"/>
  <c r="V131" i="1"/>
  <c r="W131" i="1"/>
  <c r="U239" i="1"/>
  <c r="W239" i="1"/>
  <c r="T72" i="1"/>
  <c r="W72" i="1"/>
  <c r="U303" i="1"/>
  <c r="W303" i="1"/>
  <c r="T92" i="1"/>
  <c r="W92" i="1"/>
  <c r="T81" i="1"/>
  <c r="W81" i="1"/>
  <c r="U123" i="1"/>
  <c r="W123" i="1"/>
  <c r="V62" i="1"/>
  <c r="W62" i="1"/>
  <c r="U145" i="1"/>
  <c r="W145" i="1"/>
  <c r="V331" i="1"/>
  <c r="W331" i="1"/>
  <c r="T325" i="1"/>
  <c r="W325" i="1"/>
  <c r="V116" i="1"/>
  <c r="W116" i="1"/>
  <c r="T98" i="1"/>
  <c r="W98" i="1"/>
  <c r="T333" i="1"/>
  <c r="W333" i="1"/>
  <c r="U89" i="1"/>
  <c r="W89" i="1"/>
  <c r="U203" i="1"/>
  <c r="W203" i="1"/>
  <c r="U238" i="1"/>
  <c r="W238" i="1"/>
  <c r="T377" i="1"/>
  <c r="W377" i="1"/>
  <c r="T91" i="1"/>
  <c r="W91" i="1"/>
  <c r="V392" i="1"/>
  <c r="W392" i="1"/>
  <c r="U151" i="1"/>
  <c r="W151" i="1"/>
  <c r="U79" i="1"/>
  <c r="W79" i="1"/>
  <c r="W338" i="1"/>
  <c r="V187" i="1"/>
  <c r="W187" i="1"/>
  <c r="V118" i="1"/>
  <c r="W118" i="1"/>
  <c r="U161" i="1"/>
  <c r="W161" i="1"/>
  <c r="U368" i="1"/>
  <c r="W368" i="1"/>
  <c r="U272" i="1"/>
  <c r="W272" i="1"/>
  <c r="V128" i="1"/>
  <c r="W128" i="1"/>
  <c r="U372" i="1"/>
  <c r="W372" i="1"/>
  <c r="W127" i="1"/>
  <c r="U273" i="1"/>
  <c r="W273" i="1"/>
  <c r="T179" i="1"/>
  <c r="W179" i="1"/>
  <c r="U51" i="1"/>
  <c r="W51" i="1"/>
  <c r="V359" i="1"/>
  <c r="W359" i="1"/>
  <c r="V264" i="1"/>
  <c r="W264" i="1"/>
  <c r="U308" i="1"/>
  <c r="W308" i="1"/>
  <c r="W169" i="1"/>
  <c r="W261" i="1"/>
  <c r="T286" i="1"/>
  <c r="U67" i="1"/>
  <c r="T344" i="1"/>
  <c r="T131" i="1"/>
  <c r="U86" i="1"/>
  <c r="T41" i="1"/>
  <c r="V41" i="1"/>
  <c r="T125" i="1"/>
  <c r="T369" i="1"/>
  <c r="U369" i="1"/>
  <c r="U153" i="1"/>
  <c r="V153" i="1"/>
  <c r="V211" i="1"/>
  <c r="U211" i="1"/>
  <c r="U49" i="1"/>
  <c r="T49" i="1"/>
  <c r="T283" i="1"/>
  <c r="U283" i="1"/>
  <c r="T205" i="1"/>
  <c r="U205" i="1"/>
  <c r="U65" i="1"/>
  <c r="V65" i="1"/>
  <c r="U53" i="1"/>
  <c r="V53" i="1"/>
  <c r="U235" i="1"/>
  <c r="T235" i="1"/>
  <c r="U284" i="1"/>
  <c r="V284" i="1"/>
  <c r="V152" i="1"/>
  <c r="U152" i="1"/>
  <c r="U202" i="1"/>
  <c r="V202" i="1"/>
  <c r="V289" i="1"/>
  <c r="U289" i="1"/>
  <c r="U43" i="1"/>
  <c r="T43" i="1"/>
  <c r="H35" i="1"/>
  <c r="G35" i="1"/>
  <c r="T220" i="1"/>
  <c r="U220" i="1"/>
  <c r="V326" i="1"/>
  <c r="U326" i="1"/>
  <c r="U288" i="1"/>
  <c r="T355" i="1"/>
  <c r="V355" i="1"/>
  <c r="U147" i="1"/>
  <c r="V356" i="1"/>
  <c r="U185" i="1"/>
  <c r="T229" i="1"/>
  <c r="V23" i="1"/>
  <c r="T175" i="1"/>
  <c r="V145" i="1"/>
  <c r="U116" i="1"/>
  <c r="T331" i="1"/>
  <c r="U325" i="1"/>
  <c r="T104" i="1"/>
  <c r="T272" i="1"/>
  <c r="V377" i="1"/>
  <c r="V372" i="1"/>
  <c r="U118" i="1"/>
  <c r="U387" i="1"/>
  <c r="T393" i="1"/>
  <c r="T259" i="1"/>
  <c r="V38" i="1"/>
  <c r="U374" i="1"/>
  <c r="V166" i="1"/>
  <c r="H30" i="1"/>
  <c r="U188" i="1"/>
  <c r="T388" i="1"/>
  <c r="T224" i="1"/>
  <c r="U234" i="1"/>
  <c r="T144" i="1"/>
  <c r="U160" i="1"/>
  <c r="T268" i="1"/>
  <c r="V112" i="1"/>
  <c r="U259" i="1"/>
  <c r="U122" i="1"/>
  <c r="T166" i="1"/>
  <c r="V160" i="1"/>
  <c r="U124" i="1"/>
  <c r="V124" i="1"/>
  <c r="V234" i="1"/>
  <c r="V60" i="1"/>
  <c r="T241" i="1"/>
  <c r="V103" i="1"/>
  <c r="U241" i="1"/>
  <c r="V50" i="1"/>
  <c r="F36" i="1"/>
  <c r="G36" i="1" s="1"/>
  <c r="B25" i="1"/>
  <c r="U66" i="1"/>
  <c r="V367" i="1"/>
  <c r="V144" i="1"/>
  <c r="V293" i="1"/>
  <c r="U305" i="1"/>
  <c r="V126" i="1"/>
  <c r="T24" i="1"/>
  <c r="V222" i="1"/>
  <c r="T113" i="1"/>
  <c r="T66" i="1"/>
  <c r="U313" i="1"/>
  <c r="U350" i="1"/>
  <c r="V231" i="1"/>
  <c r="V223" i="1"/>
  <c r="V24" i="1"/>
  <c r="T150" i="1"/>
  <c r="U112" i="1"/>
  <c r="U163" i="1"/>
  <c r="T52" i="1"/>
  <c r="U242" i="1"/>
  <c r="T227" i="1"/>
  <c r="T126" i="1"/>
  <c r="Y137" i="1"/>
  <c r="Y201" i="1"/>
  <c r="Y169" i="1"/>
  <c r="Y261" i="1"/>
  <c r="Y27" i="1"/>
  <c r="Y31" i="1"/>
  <c r="Y301" i="1"/>
  <c r="Y125" i="1"/>
  <c r="Y268" i="1"/>
  <c r="V387" i="1"/>
  <c r="U120" i="1"/>
  <c r="Y302" i="1"/>
  <c r="V83" i="1"/>
  <c r="Y388" i="1"/>
  <c r="Y55" i="1"/>
  <c r="Y192" i="1"/>
  <c r="Y104" i="1"/>
  <c r="Y338" i="1"/>
  <c r="Y127" i="1"/>
  <c r="U46" i="1"/>
  <c r="Y46" i="1"/>
  <c r="T146" i="1"/>
  <c r="Y146" i="1"/>
  <c r="T266" i="1"/>
  <c r="Y266" i="1"/>
  <c r="U42" i="1"/>
  <c r="Y42" i="1"/>
  <c r="V360" i="1"/>
  <c r="Y360" i="1"/>
  <c r="U110" i="1"/>
  <c r="Y110" i="1"/>
  <c r="V210" i="1"/>
  <c r="Y210" i="1"/>
  <c r="V106" i="1"/>
  <c r="Y106" i="1"/>
  <c r="U386" i="1"/>
  <c r="Y386" i="1"/>
  <c r="V136" i="1"/>
  <c r="Y136" i="1"/>
  <c r="V290" i="1"/>
  <c r="Y290" i="1"/>
  <c r="T343" i="1"/>
  <c r="Y343" i="1"/>
  <c r="T157" i="1"/>
  <c r="Y157" i="1"/>
  <c r="T295" i="1"/>
  <c r="Y295" i="1"/>
  <c r="U317" i="1"/>
  <c r="Y317" i="1"/>
  <c r="T117" i="1"/>
  <c r="Y117" i="1"/>
  <c r="U267" i="1"/>
  <c r="Y267" i="1"/>
  <c r="T250" i="1"/>
  <c r="Y250" i="1"/>
  <c r="T85" i="1"/>
  <c r="Y85" i="1"/>
  <c r="T385" i="1"/>
  <c r="Y385" i="1"/>
  <c r="T362" i="1"/>
  <c r="Y362" i="1"/>
  <c r="U361" i="1"/>
  <c r="Y361" i="1"/>
  <c r="T183" i="1"/>
  <c r="Y183" i="1"/>
  <c r="T237" i="1"/>
  <c r="Y237" i="1"/>
  <c r="T95" i="1"/>
  <c r="Y95" i="1"/>
  <c r="T327" i="1"/>
  <c r="Y327" i="1"/>
  <c r="U247" i="1"/>
  <c r="Y247" i="1"/>
  <c r="U365" i="1"/>
  <c r="Y365" i="1"/>
  <c r="V159" i="1"/>
  <c r="Y159" i="1"/>
  <c r="U143" i="1"/>
  <c r="Y143" i="1"/>
  <c r="T190" i="1"/>
  <c r="Y190" i="1"/>
  <c r="T94" i="1"/>
  <c r="Y94" i="1"/>
  <c r="T319" i="1"/>
  <c r="Y319" i="1"/>
  <c r="U209" i="1"/>
  <c r="Y209" i="1"/>
  <c r="T394" i="1"/>
  <c r="Y394" i="1"/>
  <c r="U221" i="1"/>
  <c r="Y221" i="1"/>
  <c r="T335" i="1"/>
  <c r="Y335" i="1"/>
  <c r="U156" i="1"/>
  <c r="Y156" i="1"/>
  <c r="T200" i="1"/>
  <c r="Y200" i="1"/>
  <c r="T306" i="1"/>
  <c r="Y306" i="1"/>
  <c r="U271" i="1"/>
  <c r="Y271" i="1"/>
  <c r="T138" i="1"/>
  <c r="Y138" i="1"/>
  <c r="T357" i="1"/>
  <c r="Y357" i="1"/>
  <c r="T302" i="1"/>
  <c r="T162" i="1"/>
  <c r="Y162" i="1"/>
  <c r="T215" i="1"/>
  <c r="Y215" i="1"/>
  <c r="U339" i="1"/>
  <c r="Y339" i="1"/>
  <c r="V208" i="1"/>
  <c r="Y208" i="1"/>
  <c r="V344" i="1"/>
  <c r="Y344" i="1"/>
  <c r="T244" i="1"/>
  <c r="Y244" i="1"/>
  <c r="T226" i="1"/>
  <c r="Y226" i="1"/>
  <c r="T279" i="1"/>
  <c r="Y279" i="1"/>
  <c r="U29" i="1"/>
  <c r="Y29" i="1"/>
  <c r="V80" i="1"/>
  <c r="Y80" i="1"/>
  <c r="T240" i="1"/>
  <c r="Y240" i="1"/>
  <c r="V84" i="1"/>
  <c r="Y84" i="1"/>
  <c r="T189" i="1"/>
  <c r="Y189" i="1"/>
  <c r="V105" i="1"/>
  <c r="Y105" i="1"/>
  <c r="V380" i="1"/>
  <c r="Y380" i="1"/>
  <c r="U149" i="1"/>
  <c r="Y149" i="1"/>
  <c r="T258" i="1"/>
  <c r="Y258" i="1"/>
  <c r="V47" i="1"/>
  <c r="Y47" i="1"/>
  <c r="U33" i="1"/>
  <c r="Y33" i="1"/>
  <c r="V119" i="1"/>
  <c r="Y119" i="1"/>
  <c r="T109" i="1"/>
  <c r="Y109" i="1"/>
  <c r="T88" i="1"/>
  <c r="Y88" i="1"/>
  <c r="T263" i="1"/>
  <c r="Y263" i="1"/>
  <c r="U207" i="1"/>
  <c r="Y207" i="1"/>
  <c r="V320" i="1"/>
  <c r="Y320" i="1"/>
  <c r="T69" i="1"/>
  <c r="Y69" i="1"/>
  <c r="T232" i="1"/>
  <c r="Y232" i="1"/>
  <c r="T141" i="1"/>
  <c r="Y141" i="1"/>
  <c r="T384" i="1"/>
  <c r="Y384" i="1"/>
  <c r="V197" i="1"/>
  <c r="Y197" i="1"/>
  <c r="U299" i="1"/>
  <c r="Y299" i="1"/>
  <c r="V90" i="1"/>
  <c r="Y90" i="1"/>
  <c r="V177" i="1"/>
  <c r="Y177" i="1"/>
  <c r="U108" i="1"/>
  <c r="Y108" i="1"/>
  <c r="V269" i="1"/>
  <c r="Y269" i="1"/>
  <c r="U370" i="1"/>
  <c r="Y370" i="1"/>
  <c r="T311" i="1"/>
  <c r="Y311" i="1"/>
  <c r="U114" i="1"/>
  <c r="Y114" i="1"/>
  <c r="T281" i="1"/>
  <c r="Y281" i="1"/>
  <c r="T121" i="1"/>
  <c r="Y121" i="1"/>
  <c r="U329" i="1"/>
  <c r="Y329" i="1"/>
  <c r="T176" i="1"/>
  <c r="Y176" i="1"/>
  <c r="T291" i="1"/>
  <c r="Y291" i="1"/>
  <c r="V280" i="1"/>
  <c r="Y280" i="1"/>
  <c r="U355" i="1"/>
  <c r="Y355" i="1"/>
  <c r="V352" i="1"/>
  <c r="Y352" i="1"/>
  <c r="V252" i="1"/>
  <c r="Y252" i="1"/>
  <c r="T180" i="1"/>
  <c r="Y180" i="1"/>
  <c r="V37" i="1"/>
  <c r="Y37" i="1"/>
  <c r="T185" i="1"/>
  <c r="Y185" i="1"/>
  <c r="V61" i="1"/>
  <c r="Y61" i="1"/>
  <c r="U41" i="1"/>
  <c r="Y41" i="1"/>
  <c r="V316" i="1"/>
  <c r="Y316" i="1"/>
  <c r="U20" i="1"/>
  <c r="Y20" i="1"/>
  <c r="V220" i="1"/>
  <c r="Y220" i="1"/>
  <c r="U282" i="1"/>
  <c r="Y282" i="1"/>
  <c r="T21" i="1"/>
  <c r="Y21" i="1"/>
  <c r="T194" i="1"/>
  <c r="Y194" i="1"/>
  <c r="T326" i="1"/>
  <c r="Y326" i="1"/>
  <c r="V63" i="1"/>
  <c r="Y63" i="1"/>
  <c r="U184" i="1"/>
  <c r="Y184" i="1"/>
  <c r="U229" i="1"/>
  <c r="Y229" i="1"/>
  <c r="V256" i="1"/>
  <c r="Y256" i="1"/>
  <c r="T356" i="1"/>
  <c r="Y356" i="1"/>
  <c r="T168" i="1"/>
  <c r="Y168" i="1"/>
  <c r="V28" i="1"/>
  <c r="Y28" i="1"/>
  <c r="U395" i="1"/>
  <c r="Y395" i="1"/>
  <c r="U363" i="1"/>
  <c r="Y363" i="1"/>
  <c r="V369" i="1"/>
  <c r="Y369" i="1"/>
  <c r="U23" i="1"/>
  <c r="Y23" i="1"/>
  <c r="V147" i="1"/>
  <c r="Y147" i="1"/>
  <c r="T153" i="1"/>
  <c r="Y153" i="1"/>
  <c r="T34" i="1"/>
  <c r="Y34" i="1"/>
  <c r="V87" i="1"/>
  <c r="Y87" i="1"/>
  <c r="T211" i="1"/>
  <c r="Y211" i="1"/>
  <c r="V49" i="1"/>
  <c r="Y49" i="1"/>
  <c r="V283" i="1"/>
  <c r="Y283" i="1"/>
  <c r="V205" i="1"/>
  <c r="Y205" i="1"/>
  <c r="T65" i="1"/>
  <c r="Y65" i="1"/>
  <c r="T53" i="1"/>
  <c r="Y53" i="1"/>
  <c r="V235" i="1"/>
  <c r="Y235" i="1"/>
  <c r="T36" i="1"/>
  <c r="Y36" i="1"/>
  <c r="T284" i="1"/>
  <c r="Y284" i="1"/>
  <c r="T152" i="1"/>
  <c r="Y152" i="1"/>
  <c r="T202" i="1"/>
  <c r="Y202" i="1"/>
  <c r="T254" i="1"/>
  <c r="Y254" i="1"/>
  <c r="T289" i="1"/>
  <c r="Y289" i="1"/>
  <c r="V288" i="1"/>
  <c r="Y288" i="1"/>
  <c r="V43" i="1"/>
  <c r="Y43" i="1"/>
  <c r="V66" i="1"/>
  <c r="Y66" i="1"/>
  <c r="V198" i="1"/>
  <c r="Y198" i="1"/>
  <c r="T345" i="1"/>
  <c r="Y345" i="1"/>
  <c r="V393" i="1"/>
  <c r="Y393" i="1"/>
  <c r="T218" i="1"/>
  <c r="Y218" i="1"/>
  <c r="U332" i="1"/>
  <c r="Y332" i="1"/>
  <c r="V130" i="1"/>
  <c r="Y130" i="1"/>
  <c r="U262" i="1"/>
  <c r="Y262" i="1"/>
  <c r="V241" i="1"/>
  <c r="Y241" i="1"/>
  <c r="T313" i="1"/>
  <c r="Y313" i="1"/>
  <c r="V173" i="1"/>
  <c r="Y173" i="1"/>
  <c r="V342" i="1"/>
  <c r="Y342" i="1"/>
  <c r="T387" i="1"/>
  <c r="Y387" i="1"/>
  <c r="T120" i="1"/>
  <c r="Y120" i="1"/>
  <c r="T133" i="1"/>
  <c r="Y133" i="1"/>
  <c r="V186" i="1"/>
  <c r="Y186" i="1"/>
  <c r="V364" i="1"/>
  <c r="Y364" i="1"/>
  <c r="T321" i="1"/>
  <c r="Y321" i="1"/>
  <c r="T50" i="1"/>
  <c r="Y50" i="1"/>
  <c r="U354" i="1"/>
  <c r="Y354" i="1"/>
  <c r="U83" i="1"/>
  <c r="Y83" i="1"/>
  <c r="T249" i="1"/>
  <c r="Y249" i="1"/>
  <c r="U353" i="1"/>
  <c r="Y353" i="1"/>
  <c r="V358" i="1"/>
  <c r="Y358" i="1"/>
  <c r="T163" i="1"/>
  <c r="Y163" i="1"/>
  <c r="T160" i="1"/>
  <c r="Y160" i="1"/>
  <c r="U60" i="1"/>
  <c r="Y60" i="1"/>
  <c r="U126" i="1"/>
  <c r="Y126" i="1"/>
  <c r="U227" i="1"/>
  <c r="Y227" i="1"/>
  <c r="U224" i="1"/>
  <c r="Y224" i="1"/>
  <c r="T124" i="1"/>
  <c r="Y124" i="1"/>
  <c r="T293" i="1"/>
  <c r="Y293" i="1"/>
  <c r="V150" i="1"/>
  <c r="Y150" i="1"/>
  <c r="U24" i="1"/>
  <c r="Y24" i="1"/>
  <c r="T242" i="1"/>
  <c r="Y242" i="1"/>
  <c r="T234" i="1"/>
  <c r="Y234" i="1"/>
  <c r="T112" i="1"/>
  <c r="Y112" i="1"/>
  <c r="T223" i="1"/>
  <c r="Y223" i="1"/>
  <c r="U144" i="1"/>
  <c r="Y144" i="1"/>
  <c r="T38" i="1"/>
  <c r="Y38" i="1"/>
  <c r="V350" i="1"/>
  <c r="Y350" i="1"/>
  <c r="V52" i="1"/>
  <c r="Y52" i="1"/>
  <c r="U166" i="1"/>
  <c r="Y166" i="1"/>
  <c r="T188" i="1"/>
  <c r="Y188" i="1"/>
  <c r="U222" i="1"/>
  <c r="Y222" i="1"/>
  <c r="U347" i="1"/>
  <c r="Y347" i="1"/>
  <c r="T214" i="1"/>
  <c r="Y214" i="1"/>
  <c r="V259" i="1"/>
  <c r="Y259" i="1"/>
  <c r="T367" i="1"/>
  <c r="Y367" i="1"/>
  <c r="U103" i="1"/>
  <c r="Y103" i="1"/>
  <c r="U231" i="1"/>
  <c r="Y231" i="1"/>
  <c r="V45" i="1"/>
  <c r="Y45" i="1"/>
  <c r="U278" i="1"/>
  <c r="Y278" i="1"/>
  <c r="U323" i="1"/>
  <c r="Y323" i="1"/>
  <c r="T56" i="1"/>
  <c r="Y56" i="1"/>
  <c r="U286" i="1"/>
  <c r="Y286" i="1"/>
  <c r="T71" i="1"/>
  <c r="Y71" i="1"/>
  <c r="V122" i="1"/>
  <c r="Y122" i="1"/>
  <c r="T300" i="1"/>
  <c r="Y300" i="1"/>
  <c r="V257" i="1"/>
  <c r="Y257" i="1"/>
  <c r="U379" i="1"/>
  <c r="Y379" i="1"/>
  <c r="V310" i="1"/>
  <c r="Y310" i="1"/>
  <c r="V216" i="1"/>
  <c r="Y216" i="1"/>
  <c r="T48" i="1"/>
  <c r="Y48" i="1"/>
  <c r="T99" i="1"/>
  <c r="Y99" i="1"/>
  <c r="V96" i="1"/>
  <c r="Y96" i="1"/>
  <c r="T374" i="1"/>
  <c r="Y374" i="1"/>
  <c r="V294" i="1"/>
  <c r="Y294" i="1"/>
  <c r="T167" i="1"/>
  <c r="Y167" i="1"/>
  <c r="U171" i="1"/>
  <c r="Y171" i="1"/>
  <c r="T76" i="1"/>
  <c r="Y76" i="1"/>
  <c r="T297" i="1"/>
  <c r="Y297" i="1"/>
  <c r="U373" i="1"/>
  <c r="Y373" i="1"/>
  <c r="V26" i="1"/>
  <c r="Y26" i="1"/>
  <c r="T140" i="1"/>
  <c r="Y140" i="1"/>
  <c r="T346" i="1"/>
  <c r="Y346" i="1"/>
  <c r="V70" i="1"/>
  <c r="Y70" i="1"/>
  <c r="T74" i="1"/>
  <c r="Y74" i="1"/>
  <c r="T195" i="1"/>
  <c r="Y195" i="1"/>
  <c r="T305" i="1"/>
  <c r="Y305" i="1"/>
  <c r="V148" i="1"/>
  <c r="Y148" i="1"/>
  <c r="T142" i="1"/>
  <c r="Y142" i="1"/>
  <c r="T298" i="1"/>
  <c r="Y298" i="1"/>
  <c r="V318" i="1"/>
  <c r="Y318" i="1"/>
  <c r="T330" i="1"/>
  <c r="Y330" i="1"/>
  <c r="T73" i="1"/>
  <c r="Y73" i="1"/>
  <c r="T217" i="1"/>
  <c r="Y217" i="1"/>
  <c r="U178" i="1"/>
  <c r="Y178" i="1"/>
  <c r="V113" i="1"/>
  <c r="Y113" i="1"/>
  <c r="V328" i="1"/>
  <c r="Y328" i="1"/>
  <c r="T199" i="1"/>
  <c r="Y199" i="1"/>
  <c r="U249" i="1"/>
  <c r="V353" i="1"/>
  <c r="T260" i="1"/>
  <c r="Y260" i="1"/>
  <c r="T383" i="1"/>
  <c r="Y383" i="1"/>
  <c r="T172" i="1"/>
  <c r="Y172" i="1"/>
  <c r="U129" i="1"/>
  <c r="Y129" i="1"/>
  <c r="V243" i="1"/>
  <c r="Y243" i="1"/>
  <c r="V371" i="1"/>
  <c r="Y371" i="1"/>
  <c r="T324" i="1"/>
  <c r="Y324" i="1"/>
  <c r="V58" i="1"/>
  <c r="Y58" i="1"/>
  <c r="V236" i="1"/>
  <c r="Y236" i="1"/>
  <c r="U193" i="1"/>
  <c r="Y193" i="1"/>
  <c r="V75" i="1"/>
  <c r="Y75" i="1"/>
  <c r="T203" i="1"/>
  <c r="Y203" i="1"/>
  <c r="U334" i="1"/>
  <c r="Y334" i="1"/>
  <c r="T315" i="1"/>
  <c r="Y315" i="1"/>
  <c r="U246" i="1"/>
  <c r="Y246" i="1"/>
  <c r="T336" i="1"/>
  <c r="Y336" i="1"/>
  <c r="T292" i="1"/>
  <c r="Y292" i="1"/>
  <c r="V212" i="1"/>
  <c r="Y212" i="1"/>
  <c r="U349" i="1"/>
  <c r="Y349" i="1"/>
  <c r="U390" i="1"/>
  <c r="Y390" i="1"/>
  <c r="V233" i="1"/>
  <c r="Y233" i="1"/>
  <c r="V245" i="1"/>
  <c r="Y245" i="1"/>
  <c r="T107" i="1"/>
  <c r="Y107" i="1"/>
  <c r="T307" i="1"/>
  <c r="Y307" i="1"/>
  <c r="T155" i="1"/>
  <c r="Y155" i="1"/>
  <c r="V22" i="1"/>
  <c r="Y22" i="1"/>
  <c r="T67" i="1"/>
  <c r="Y67" i="1"/>
  <c r="V175" i="1"/>
  <c r="Y175" i="1"/>
  <c r="U219" i="1"/>
  <c r="Y219" i="1"/>
  <c r="T86" i="1"/>
  <c r="Y86" i="1"/>
  <c r="U131" i="1"/>
  <c r="Y131" i="1"/>
  <c r="T239" i="1"/>
  <c r="Y239" i="1"/>
  <c r="U72" i="1"/>
  <c r="Y72" i="1"/>
  <c r="T303" i="1"/>
  <c r="Y303" i="1"/>
  <c r="V92" i="1"/>
  <c r="Y92" i="1"/>
  <c r="V81" i="1"/>
  <c r="Y81" i="1"/>
  <c r="V123" i="1"/>
  <c r="Y123" i="1"/>
  <c r="U62" i="1"/>
  <c r="Y62" i="1"/>
  <c r="T145" i="1"/>
  <c r="Y145" i="1"/>
  <c r="U331" i="1"/>
  <c r="Y331" i="1"/>
  <c r="V325" i="1"/>
  <c r="Y325" i="1"/>
  <c r="T116" i="1"/>
  <c r="Y116" i="1"/>
  <c r="U98" i="1"/>
  <c r="Y98" i="1"/>
  <c r="U333" i="1"/>
  <c r="Y333" i="1"/>
  <c r="U102" i="1"/>
  <c r="Y102" i="1"/>
  <c r="T89" i="1"/>
  <c r="Y89" i="1"/>
  <c r="T206" i="1"/>
  <c r="Y206" i="1"/>
  <c r="U187" i="1"/>
  <c r="Y187" i="1"/>
  <c r="T118" i="1"/>
  <c r="Y118" i="1"/>
  <c r="V161" i="1"/>
  <c r="Y161" i="1"/>
  <c r="T25" i="1"/>
  <c r="Y25" i="1"/>
  <c r="T368" i="1"/>
  <c r="Y368" i="1"/>
  <c r="V270" i="1"/>
  <c r="Y270" i="1"/>
  <c r="T251" i="1"/>
  <c r="Y251" i="1"/>
  <c r="T182" i="1"/>
  <c r="Y182" i="1"/>
  <c r="T57" i="1"/>
  <c r="Y57" i="1"/>
  <c r="U296" i="1"/>
  <c r="Y296" i="1"/>
  <c r="V272" i="1"/>
  <c r="Y272" i="1"/>
  <c r="U128" i="1"/>
  <c r="Y128" i="1"/>
  <c r="V228" i="1"/>
  <c r="Y228" i="1"/>
  <c r="U40" i="1"/>
  <c r="Y40" i="1"/>
  <c r="T372" i="1"/>
  <c r="Y372" i="1"/>
  <c r="V238" i="1"/>
  <c r="Y238" i="1"/>
  <c r="T19" i="1"/>
  <c r="Y19" i="1"/>
  <c r="U377" i="1"/>
  <c r="Y377" i="1"/>
  <c r="U91" i="1"/>
  <c r="Y91" i="1"/>
  <c r="T277" i="1"/>
  <c r="Y277" i="1"/>
  <c r="U322" i="1"/>
  <c r="Y322" i="1"/>
  <c r="U111" i="1"/>
  <c r="Y111" i="1"/>
  <c r="U304" i="1"/>
  <c r="Y304" i="1"/>
  <c r="U392" i="1"/>
  <c r="Y392" i="1"/>
  <c r="T68" i="1"/>
  <c r="Y68" i="1"/>
  <c r="T191" i="1"/>
  <c r="Y191" i="1"/>
  <c r="V381" i="1"/>
  <c r="Y381" i="1"/>
  <c r="T312" i="1"/>
  <c r="Y312" i="1"/>
  <c r="V132" i="1"/>
  <c r="Y132" i="1"/>
  <c r="V255" i="1"/>
  <c r="Y255" i="1"/>
  <c r="U44" i="1"/>
  <c r="Y44" i="1"/>
  <c r="U376" i="1"/>
  <c r="Y376" i="1"/>
  <c r="U366" i="1"/>
  <c r="Y366" i="1"/>
  <c r="V93" i="1"/>
  <c r="Y93" i="1"/>
  <c r="T30" i="1"/>
  <c r="Y30" i="1"/>
  <c r="T139" i="1"/>
  <c r="Y139" i="1"/>
  <c r="T54" i="1"/>
  <c r="Y54" i="1"/>
  <c r="T97" i="1"/>
  <c r="Y97" i="1"/>
  <c r="V225" i="1"/>
  <c r="Y225" i="1"/>
  <c r="V134" i="1"/>
  <c r="Y134" i="1"/>
  <c r="U82" i="1"/>
  <c r="Y82" i="1"/>
  <c r="V391" i="1"/>
  <c r="Y391" i="1"/>
  <c r="T151" i="1"/>
  <c r="Y151" i="1"/>
  <c r="V39" i="1"/>
  <c r="Y39" i="1"/>
  <c r="T79" i="1"/>
  <c r="Y79" i="1"/>
  <c r="V120" i="1"/>
  <c r="T353" i="1"/>
  <c r="V375" i="1"/>
  <c r="Y375" i="1"/>
  <c r="T100" i="1"/>
  <c r="Y100" i="1"/>
  <c r="V287" i="1"/>
  <c r="Y287" i="1"/>
  <c r="U158" i="1"/>
  <c r="Y158" i="1"/>
  <c r="V181" i="1"/>
  <c r="Y181" i="1"/>
  <c r="T101" i="1"/>
  <c r="Y101" i="1"/>
  <c r="T64" i="1"/>
  <c r="Y64" i="1"/>
  <c r="U164" i="1"/>
  <c r="Y164" i="1"/>
  <c r="T351" i="1"/>
  <c r="Y351" i="1"/>
  <c r="U309" i="1"/>
  <c r="Y309" i="1"/>
  <c r="T308" i="1"/>
  <c r="Y308" i="1"/>
  <c r="U276" i="1"/>
  <c r="Y276" i="1"/>
  <c r="T265" i="1"/>
  <c r="Y265" i="1"/>
  <c r="V174" i="1"/>
  <c r="Y174" i="1"/>
  <c r="V274" i="1"/>
  <c r="Y274" i="1"/>
  <c r="V35" i="1"/>
  <c r="Y35" i="1"/>
  <c r="U32" i="1"/>
  <c r="Y32" i="1"/>
  <c r="V285" i="1"/>
  <c r="Y285" i="1"/>
  <c r="T135" i="1"/>
  <c r="Y135" i="1"/>
  <c r="V382" i="1"/>
  <c r="Y382" i="1"/>
  <c r="U253" i="1"/>
  <c r="Y253" i="1"/>
  <c r="V248" i="1"/>
  <c r="Y248" i="1"/>
  <c r="T340" i="1"/>
  <c r="Y340" i="1"/>
  <c r="U165" i="1"/>
  <c r="Y165" i="1"/>
  <c r="T389" i="1"/>
  <c r="Y389" i="1"/>
  <c r="T314" i="1"/>
  <c r="Y314" i="1"/>
  <c r="T213" i="1"/>
  <c r="Y213" i="1"/>
  <c r="T337" i="1"/>
  <c r="Y337" i="1"/>
  <c r="U78" i="1"/>
  <c r="Y78" i="1"/>
  <c r="U59" i="1"/>
  <c r="Y59" i="1"/>
  <c r="U341" i="1"/>
  <c r="Y341" i="1"/>
  <c r="T378" i="1"/>
  <c r="Y378" i="1"/>
  <c r="V204" i="1"/>
  <c r="Y204" i="1"/>
  <c r="V77" i="1"/>
  <c r="Y77" i="1"/>
  <c r="U196" i="1"/>
  <c r="Y196" i="1"/>
  <c r="V230" i="1"/>
  <c r="Y230" i="1"/>
  <c r="T273" i="1"/>
  <c r="Y273" i="1"/>
  <c r="U179" i="1"/>
  <c r="Y179" i="1"/>
  <c r="V51" i="1"/>
  <c r="Y51" i="1"/>
  <c r="V348" i="1"/>
  <c r="Y348" i="1"/>
  <c r="T115" i="1"/>
  <c r="Y115" i="1"/>
  <c r="T170" i="1"/>
  <c r="Y170" i="1"/>
  <c r="V275" i="1"/>
  <c r="Y275" i="1"/>
  <c r="U359" i="1"/>
  <c r="Y359" i="1"/>
  <c r="T264" i="1"/>
  <c r="Y264" i="1"/>
  <c r="F32" i="1"/>
  <c r="G32" i="1" s="1"/>
  <c r="U100" i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Y18" i="1"/>
  <c r="V339" i="1"/>
  <c r="V215" i="1"/>
  <c r="T287" i="1"/>
  <c r="T149" i="1"/>
  <c r="T35" i="1"/>
  <c r="T174" i="1"/>
  <c r="V18" i="1"/>
  <c r="V88" i="1"/>
  <c r="V244" i="1"/>
  <c r="T84" i="1"/>
  <c r="T33" i="1"/>
  <c r="U208" i="1"/>
  <c r="U105" i="1"/>
  <c r="V56" i="1"/>
  <c r="F43" i="1"/>
  <c r="G43" i="1" s="1"/>
  <c r="V156" i="1"/>
  <c r="U200" i="1"/>
  <c r="V300" i="1"/>
  <c r="U56" i="1"/>
  <c r="F31" i="1"/>
  <c r="B26" i="1" s="1"/>
  <c r="F42" i="1"/>
  <c r="B37" i="1" s="1"/>
  <c r="V95" i="1"/>
  <c r="U335" i="1"/>
  <c r="V183" i="1"/>
  <c r="U237" i="1"/>
  <c r="U319" i="1"/>
  <c r="U394" i="1"/>
  <c r="V247" i="1"/>
  <c r="V322" i="1"/>
  <c r="V237" i="1"/>
  <c r="V394" i="1"/>
  <c r="V209" i="1"/>
  <c r="T159" i="1"/>
  <c r="T323" i="1"/>
  <c r="V304" i="1"/>
  <c r="V138" i="1"/>
  <c r="U95" i="1"/>
  <c r="V368" i="1"/>
  <c r="V25" i="1"/>
  <c r="V40" i="1"/>
  <c r="U236" i="1"/>
  <c r="U277" i="1"/>
  <c r="T119" i="1"/>
  <c r="T83" i="1"/>
  <c r="F37" i="1"/>
  <c r="G37" i="1" s="1"/>
  <c r="T187" i="1"/>
  <c r="T296" i="1"/>
  <c r="T262" i="1"/>
  <c r="V91" i="1"/>
  <c r="F39" i="1"/>
  <c r="H39" i="1" s="1"/>
  <c r="U18" i="1"/>
  <c r="U25" i="1"/>
  <c r="T80" i="1"/>
  <c r="V323" i="1"/>
  <c r="U57" i="1"/>
  <c r="V163" i="1"/>
  <c r="U358" i="1"/>
  <c r="T111" i="1"/>
  <c r="V111" i="1"/>
  <c r="V57" i="1"/>
  <c r="T45" i="1"/>
  <c r="U45" i="1"/>
  <c r="T40" i="1"/>
  <c r="V78" i="1"/>
  <c r="V296" i="1"/>
  <c r="F34" i="1"/>
  <c r="F41" i="1"/>
  <c r="T274" i="1"/>
  <c r="T253" i="1"/>
  <c r="U248" i="1"/>
  <c r="V276" i="1"/>
  <c r="T204" i="1"/>
  <c r="U230" i="1"/>
  <c r="U287" i="1"/>
  <c r="V306" i="1"/>
  <c r="U146" i="1"/>
  <c r="V317" i="1"/>
  <c r="T209" i="1"/>
  <c r="T39" i="1"/>
  <c r="V190" i="1"/>
  <c r="U39" i="1"/>
  <c r="T391" i="1"/>
  <c r="U119" i="1"/>
  <c r="U134" i="1"/>
  <c r="T366" i="1"/>
  <c r="U312" i="1"/>
  <c r="U101" i="1"/>
  <c r="V151" i="1"/>
  <c r="U290" i="1"/>
  <c r="T271" i="1"/>
  <c r="V265" i="1"/>
  <c r="T381" i="1"/>
  <c r="U263" i="1"/>
  <c r="V196" i="1"/>
  <c r="V44" i="1"/>
  <c r="V308" i="1"/>
  <c r="U327" i="1"/>
  <c r="V69" i="1"/>
  <c r="U37" i="1"/>
  <c r="U162" i="1"/>
  <c r="V347" i="1"/>
  <c r="T347" i="1"/>
  <c r="V180" i="1"/>
  <c r="T275" i="1"/>
  <c r="T114" i="1"/>
  <c r="U97" i="1"/>
  <c r="U170" i="1"/>
  <c r="U77" i="1"/>
  <c r="T158" i="1"/>
  <c r="V29" i="1"/>
  <c r="T269" i="1"/>
  <c r="T376" i="1"/>
  <c r="T225" i="1"/>
  <c r="U381" i="1"/>
  <c r="V312" i="1"/>
  <c r="V299" i="1"/>
  <c r="V278" i="1"/>
  <c r="U48" i="1"/>
  <c r="U93" i="1"/>
  <c r="T290" i="1"/>
  <c r="T257" i="1"/>
  <c r="U274" i="1"/>
  <c r="V64" i="1"/>
  <c r="U159" i="1"/>
  <c r="U264" i="1"/>
  <c r="T93" i="1"/>
  <c r="V109" i="1"/>
  <c r="V207" i="1"/>
  <c r="T294" i="1"/>
  <c r="V171" i="1"/>
  <c r="U294" i="1"/>
  <c r="T184" i="1"/>
  <c r="F33" i="1"/>
  <c r="V68" i="1"/>
  <c r="V54" i="1"/>
  <c r="V164" i="1"/>
  <c r="V179" i="1"/>
  <c r="U391" i="1"/>
  <c r="F38" i="1"/>
  <c r="V271" i="1"/>
  <c r="V226" i="1"/>
  <c r="U348" i="1"/>
  <c r="V221" i="1"/>
  <c r="U139" i="1"/>
  <c r="U191" i="1"/>
  <c r="T156" i="1"/>
  <c r="U232" i="1"/>
  <c r="V200" i="1"/>
  <c r="U181" i="1"/>
  <c r="V273" i="1"/>
  <c r="U115" i="1"/>
  <c r="T348" i="1"/>
  <c r="U204" i="1"/>
  <c r="U84" i="1"/>
  <c r="V335" i="1"/>
  <c r="U80" i="1"/>
  <c r="V357" i="1"/>
  <c r="V194" i="1"/>
  <c r="U280" i="1"/>
  <c r="T61" i="1"/>
  <c r="T197" i="1"/>
  <c r="T51" i="1"/>
  <c r="V309" i="1"/>
  <c r="T395" i="1"/>
  <c r="T382" i="1"/>
  <c r="V263" i="1"/>
  <c r="U109" i="1"/>
  <c r="V351" i="1"/>
  <c r="U35" i="1"/>
  <c r="V100" i="1"/>
  <c r="U135" i="1"/>
  <c r="T276" i="1"/>
  <c r="V115" i="1"/>
  <c r="U64" i="1"/>
  <c r="V94" i="1"/>
  <c r="U351" i="1"/>
  <c r="T164" i="1"/>
  <c r="V143" i="1"/>
  <c r="U69" i="1"/>
  <c r="T252" i="1"/>
  <c r="U252" i="1"/>
  <c r="V135" i="1"/>
  <c r="V79" i="1"/>
  <c r="V370" i="1"/>
  <c r="U306" i="1"/>
  <c r="U138" i="1"/>
  <c r="T143" i="1"/>
  <c r="T339" i="1"/>
  <c r="T230" i="1"/>
  <c r="T18" i="1"/>
  <c r="T221" i="1"/>
  <c r="T380" i="1"/>
  <c r="U174" i="1"/>
  <c r="V282" i="1"/>
  <c r="U61" i="1"/>
  <c r="U71" i="1"/>
  <c r="T132" i="1"/>
  <c r="T255" i="1"/>
  <c r="U167" i="1"/>
  <c r="V340" i="1"/>
  <c r="U168" i="1"/>
  <c r="U216" i="1"/>
  <c r="T207" i="1"/>
  <c r="V101" i="1"/>
  <c r="T82" i="1"/>
  <c r="T248" i="1"/>
  <c r="U54" i="1"/>
  <c r="T77" i="1"/>
  <c r="T309" i="1"/>
  <c r="V165" i="1"/>
  <c r="V141" i="1"/>
  <c r="U320" i="1"/>
  <c r="U244" i="1"/>
  <c r="V158" i="1"/>
  <c r="V319" i="1"/>
  <c r="T90" i="1"/>
  <c r="T37" i="1"/>
  <c r="T196" i="1"/>
  <c r="T329" i="1"/>
  <c r="U226" i="1"/>
  <c r="V170" i="1"/>
  <c r="V82" i="1"/>
  <c r="U225" i="1"/>
  <c r="T29" i="1"/>
  <c r="U68" i="1"/>
  <c r="U190" i="1"/>
  <c r="V191" i="1"/>
  <c r="T320" i="1"/>
  <c r="V327" i="1"/>
  <c r="U183" i="1"/>
  <c r="T46" i="1"/>
  <c r="T352" i="1"/>
  <c r="U352" i="1"/>
  <c r="T208" i="1"/>
  <c r="T108" i="1"/>
  <c r="T181" i="1"/>
  <c r="U275" i="1"/>
  <c r="T134" i="1"/>
  <c r="U94" i="1"/>
  <c r="V97" i="1"/>
  <c r="V366" i="1"/>
  <c r="V33" i="1"/>
  <c r="V376" i="1"/>
  <c r="V176" i="1"/>
  <c r="U30" i="1"/>
  <c r="V30" i="1"/>
  <c r="V232" i="1"/>
  <c r="T44" i="1"/>
  <c r="T105" i="1"/>
  <c r="T359" i="1"/>
  <c r="U265" i="1"/>
  <c r="V20" i="1"/>
  <c r="U316" i="1"/>
  <c r="U132" i="1"/>
  <c r="V365" i="1"/>
  <c r="T365" i="1"/>
  <c r="U255" i="1"/>
  <c r="T247" i="1"/>
  <c r="U382" i="1"/>
  <c r="V363" i="1"/>
  <c r="T165" i="1"/>
  <c r="V253" i="1"/>
  <c r="U88" i="1"/>
  <c r="U340" i="1"/>
  <c r="T278" i="1"/>
  <c r="V184" i="1"/>
  <c r="U76" i="1"/>
  <c r="U172" i="1"/>
  <c r="T371" i="1"/>
  <c r="U243" i="1"/>
  <c r="U73" i="1"/>
  <c r="V73" i="1"/>
  <c r="U199" i="1"/>
  <c r="U58" i="1"/>
  <c r="T334" i="1"/>
  <c r="T173" i="1"/>
  <c r="V262" i="1"/>
  <c r="U70" i="1"/>
  <c r="V249" i="1"/>
  <c r="T358" i="1"/>
  <c r="T233" i="1"/>
  <c r="V218" i="1"/>
  <c r="U364" i="1"/>
  <c r="V349" i="1"/>
  <c r="U297" i="1"/>
  <c r="V330" i="1"/>
  <c r="U195" i="1"/>
  <c r="U140" i="1"/>
  <c r="V178" i="1"/>
  <c r="T129" i="1"/>
  <c r="V199" i="1"/>
  <c r="U75" i="1"/>
  <c r="U212" i="1"/>
  <c r="T390" i="1"/>
  <c r="T304" i="1"/>
  <c r="T238" i="1"/>
  <c r="V305" i="1"/>
  <c r="T70" i="1"/>
  <c r="U217" i="1"/>
  <c r="T186" i="1"/>
  <c r="T364" i="1"/>
  <c r="T373" i="1"/>
  <c r="U330" i="1"/>
  <c r="T246" i="1"/>
  <c r="V195" i="1"/>
  <c r="V297" i="1"/>
  <c r="V346" i="1"/>
  <c r="T243" i="1"/>
  <c r="U198" i="1"/>
  <c r="V345" i="1"/>
  <c r="V142" i="1"/>
  <c r="U321" i="1"/>
  <c r="U298" i="1"/>
  <c r="V298" i="1"/>
  <c r="T161" i="1"/>
  <c r="U148" i="1"/>
  <c r="V246" i="1"/>
  <c r="V334" i="1"/>
  <c r="T236" i="1"/>
  <c r="T193" i="1"/>
  <c r="V279" i="1"/>
  <c r="V240" i="1"/>
  <c r="V336" i="1"/>
  <c r="V107" i="1"/>
  <c r="U107" i="1"/>
  <c r="V307" i="1"/>
  <c r="T354" i="1"/>
  <c r="V354" i="1"/>
  <c r="T322" i="1"/>
  <c r="T47" i="1"/>
  <c r="U318" i="1"/>
  <c r="U346" i="1"/>
  <c r="T349" i="1"/>
  <c r="V74" i="1"/>
  <c r="U307" i="1"/>
  <c r="V193" i="1"/>
  <c r="T26" i="1"/>
  <c r="V373" i="1"/>
  <c r="V76" i="1"/>
  <c r="U260" i="1"/>
  <c r="V129" i="1"/>
  <c r="V260" i="1"/>
  <c r="T198" i="1"/>
  <c r="U383" i="1"/>
  <c r="V383" i="1"/>
  <c r="V203" i="1"/>
  <c r="U142" i="1"/>
  <c r="V140" i="1"/>
  <c r="U371" i="1"/>
  <c r="U336" i="1"/>
  <c r="U342" i="1"/>
  <c r="T148" i="1"/>
  <c r="T128" i="1"/>
  <c r="U87" i="1"/>
  <c r="T58" i="1"/>
  <c r="T392" i="1"/>
  <c r="U233" i="1"/>
  <c r="V277" i="1"/>
  <c r="V34" i="1"/>
  <c r="U47" i="1"/>
  <c r="U186" i="1"/>
  <c r="V172" i="1"/>
  <c r="U328" i="1"/>
  <c r="T318" i="1"/>
  <c r="V217" i="1"/>
  <c r="T75" i="1"/>
  <c r="V390" i="1"/>
  <c r="T212" i="1"/>
  <c r="V157" i="1"/>
  <c r="U157" i="1"/>
  <c r="U169" i="1"/>
  <c r="T169" i="1"/>
  <c r="U261" i="1"/>
  <c r="T261" i="1"/>
  <c r="U389" i="1"/>
  <c r="T210" i="1"/>
  <c r="T110" i="1"/>
  <c r="U362" i="1"/>
  <c r="V169" i="1"/>
  <c r="V189" i="1"/>
  <c r="U189" i="1"/>
  <c r="V27" i="1"/>
  <c r="U27" i="1"/>
  <c r="T27" i="1"/>
  <c r="V258" i="1"/>
  <c r="U258" i="1"/>
  <c r="V31" i="1"/>
  <c r="T31" i="1"/>
  <c r="V201" i="1"/>
  <c r="T201" i="1"/>
  <c r="U213" i="1"/>
  <c r="V337" i="1"/>
  <c r="T360" i="1"/>
  <c r="T42" i="1"/>
  <c r="T341" i="1"/>
  <c r="V146" i="1"/>
  <c r="U343" i="1"/>
  <c r="U106" i="1"/>
  <c r="U378" i="1"/>
  <c r="V385" i="1"/>
  <c r="U250" i="1"/>
  <c r="U85" i="1"/>
  <c r="V21" i="1"/>
  <c r="U21" i="1"/>
  <c r="V301" i="1"/>
  <c r="U301" i="1"/>
  <c r="T301" i="1"/>
  <c r="U63" i="1"/>
  <c r="T63" i="1"/>
  <c r="V125" i="1"/>
  <c r="U125" i="1"/>
  <c r="U256" i="1"/>
  <c r="T256" i="1"/>
  <c r="T137" i="1"/>
  <c r="V137" i="1"/>
  <c r="T267" i="1"/>
  <c r="U314" i="1"/>
  <c r="V213" i="1"/>
  <c r="V386" i="1"/>
  <c r="V378" i="1"/>
  <c r="V343" i="1"/>
  <c r="T78" i="1"/>
  <c r="V59" i="1"/>
  <c r="U385" i="1"/>
  <c r="U201" i="1"/>
  <c r="V268" i="1"/>
  <c r="U268" i="1"/>
  <c r="T332" i="1"/>
  <c r="V332" i="1"/>
  <c r="U130" i="1"/>
  <c r="T130" i="1"/>
  <c r="V133" i="1"/>
  <c r="U133" i="1"/>
  <c r="U302" i="1"/>
  <c r="V302" i="1"/>
  <c r="V46" i="1"/>
  <c r="U360" i="1"/>
  <c r="V110" i="1"/>
  <c r="T136" i="1"/>
  <c r="T386" i="1"/>
  <c r="U117" i="1"/>
  <c r="U210" i="1"/>
  <c r="V362" i="1"/>
  <c r="T361" i="1"/>
  <c r="V261" i="1"/>
  <c r="U214" i="1"/>
  <c r="V214" i="1"/>
  <c r="V388" i="1"/>
  <c r="U388" i="1"/>
  <c r="V55" i="1"/>
  <c r="U55" i="1"/>
  <c r="T55" i="1"/>
  <c r="T379" i="1"/>
  <c r="V379" i="1"/>
  <c r="T310" i="1"/>
  <c r="U310" i="1"/>
  <c r="V99" i="1"/>
  <c r="U99" i="1"/>
  <c r="U96" i="1"/>
  <c r="T96" i="1"/>
  <c r="U266" i="1"/>
  <c r="V341" i="1"/>
  <c r="T106" i="1"/>
  <c r="V267" i="1"/>
  <c r="V295" i="1"/>
  <c r="U337" i="1"/>
  <c r="V85" i="1"/>
  <c r="T317" i="1"/>
  <c r="V324" i="1"/>
  <c r="U324" i="1"/>
  <c r="V315" i="1"/>
  <c r="U315" i="1"/>
  <c r="V192" i="1"/>
  <c r="T192" i="1"/>
  <c r="U192" i="1"/>
  <c r="V292" i="1"/>
  <c r="U292" i="1"/>
  <c r="U104" i="1"/>
  <c r="V104" i="1"/>
  <c r="T245" i="1"/>
  <c r="U245" i="1"/>
  <c r="V314" i="1"/>
  <c r="V266" i="1"/>
  <c r="U136" i="1"/>
  <c r="V250" i="1"/>
  <c r="V361" i="1"/>
  <c r="T59" i="1"/>
  <c r="U206" i="1"/>
  <c r="V206" i="1"/>
  <c r="U270" i="1"/>
  <c r="T270" i="1"/>
  <c r="U251" i="1"/>
  <c r="V251" i="1"/>
  <c r="U182" i="1"/>
  <c r="V182" i="1"/>
  <c r="T228" i="1"/>
  <c r="U228" i="1"/>
  <c r="T338" i="1"/>
  <c r="U338" i="1"/>
  <c r="V338" i="1"/>
  <c r="V19" i="1"/>
  <c r="U19" i="1"/>
  <c r="V389" i="1"/>
  <c r="V42" i="1"/>
  <c r="U137" i="1"/>
  <c r="U295" i="1"/>
  <c r="V117" i="1"/>
  <c r="U375" i="1"/>
  <c r="T375" i="1"/>
  <c r="T32" i="1"/>
  <c r="V32" i="1"/>
  <c r="T285" i="1"/>
  <c r="U285" i="1"/>
  <c r="U127" i="1"/>
  <c r="V127" i="1"/>
  <c r="T127" i="1"/>
  <c r="B31" i="1" l="1"/>
  <c r="H36" i="1"/>
  <c r="B35" i="1"/>
  <c r="H40" i="1"/>
  <c r="H32" i="1"/>
  <c r="H43" i="1"/>
  <c r="H37" i="1"/>
  <c r="B27" i="1"/>
  <c r="B32" i="1"/>
  <c r="B38" i="1"/>
  <c r="H31" i="1"/>
  <c r="B34" i="1"/>
  <c r="G39" i="1"/>
  <c r="G42" i="1"/>
  <c r="H42" i="1"/>
  <c r="G31" i="1"/>
  <c r="H41" i="1"/>
  <c r="B36" i="1"/>
  <c r="G41" i="1"/>
  <c r="H34" i="1"/>
  <c r="G34" i="1"/>
  <c r="B29" i="1"/>
  <c r="G33" i="1"/>
  <c r="B28" i="1"/>
  <c r="H33" i="1"/>
  <c r="H38" i="1"/>
  <c r="G38" i="1"/>
  <c r="B3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<sst xmlns="http://schemas.openxmlformats.org/spreadsheetml/2006/main" count="415" uniqueCount="243">
  <si>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</si>
  <si>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</si>
  <si>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</si>
  <si>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</si>
  <si>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</si>
  <si>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</si>
  <si>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</si>
  <si>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</si>
  <si>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</si>
  <si>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</si>
  <si>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</si>
  <si>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</si>
  <si>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</si>
  <si>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</si>
  <si>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</si>
  <si>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</si>
  <si>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</si>
  <si>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MeanT</t>
  </si>
  <si>
    <t>InitialN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</si>
  <si>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</si>
  <si>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</si>
  <si>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</si>
  <si>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</si>
  <si>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</si>
  <si>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</si>
  <si>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</si>
  <si>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</si>
  <si>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Trigger</t>
  </si>
  <si>
    <t>Efficiency</t>
  </si>
  <si>
    <t>Splits</t>
  </si>
  <si>
    <t>Type</t>
  </si>
  <si>
    <t>Bulb</t>
  </si>
  <si>
    <t>Tulip</t>
  </si>
  <si>
    <t>General</t>
  </si>
  <si>
    <t>Fibre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</si>
  <si>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</si>
  <si>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</si>
  <si>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</si>
  <si>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</si>
  <si>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</si>
  <si>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</si>
  <si>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</si>
  <si>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</si>
  <si>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</si>
  <si>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</si>
  <si>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</si>
  <si>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</si>
  <si>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</si>
  <si>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</si>
  <si>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</si>
  <si>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</si>
  <si>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</si>
  <si>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</si>
  <si>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</si>
  <si>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</si>
  <si>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</si>
  <si>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</si>
  <si>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</si>
  <si>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Green manure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</si>
  <si>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</si>
  <si>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</si>
  <si>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</si>
  <si>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</si>
  <si>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</si>
  <si>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</si>
  <si>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</si>
  <si>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</si>
  <si>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</si>
  <si>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</si>
  <si>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</si>
  <si>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</si>
  <si>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</si>
  <si>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</si>
  <si>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</si>
  <si>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</si>
  <si>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</si>
  <si>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</si>
  <si>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</si>
  <si>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</si>
  <si>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</si>
  <si>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</si>
  <si>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</si>
  <si>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</si>
  <si>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</si>
  <si>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</si>
  <si>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</si>
  <si>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</si>
  <si>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</si>
  <si>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</si>
  <si>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</si>
  <si>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</si>
  <si>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</si>
  <si>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</si>
  <si>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</si>
  <si>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</si>
  <si>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</si>
  <si>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</si>
  <si>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</si>
  <si>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</si>
  <si>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</si>
  <si>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</si>
  <si>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</si>
  <si>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</si>
  <si>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</si>
  <si>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</si>
  <si>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</si>
  <si>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</si>
  <si>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</si>
  <si>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</si>
  <si>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</si>
  <si>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</si>
  <si>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</si>
  <si>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</si>
  <si>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</si>
  <si>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</si>
  <si>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</si>
  <si>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</si>
  <si>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</si>
  <si>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PriorSaleableYield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</si>
  <si>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</si>
  <si>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</si>
  <si>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</si>
  <si>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</si>
  <si>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</si>
  <si>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</si>
  <si>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</si>
  <si>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CurrentSaleableYield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</si>
  <si>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</si>
  <si>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</si>
  <si>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</si>
  <si>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</si>
  <si>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</si>
  <si>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</si>
  <si>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</si>
  <si>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FollowingSaleableYield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</si>
  <si>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</si>
  <si>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</si>
  <si>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</si>
  <si>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</si>
  <si>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</si>
  <si>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</si>
  <si>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</si>
  <si>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</si>
  <si>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</si>
  <si>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</si>
  <si>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</si>
  <si>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</si>
  <si>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</si>
  <si>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</si>
  <si>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</si>
  <si>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</si>
  <si>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</si>
  <si>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</si>
  <si>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</si>
  <si>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</si>
  <si>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</si>
  <si>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</si>
  <si>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</si>
  <si>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</si>
  <si>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</si>
  <si>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Initial soil N on first day (kg/ha)</t>
  </si>
  <si>
    <t>Trigger soil N for fert (kg/ha)</t>
  </si>
  <si>
    <t>Efficiency of fertiliser (%)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</si>
  <si>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</si>
  <si>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</si>
  <si>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</si>
  <si>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</si>
  <si>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</si>
  <si>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</si>
  <si>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N fertiliser required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</si>
  <si>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</si>
  <si>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</si>
  <si>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</si>
  <si>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</si>
  <si>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</si>
  <si>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</si>
  <si>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</si>
  <si>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</si>
  <si>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</si>
  <si>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</si>
  <si>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</si>
  <si>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</si>
  <si>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</si>
  <si>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</si>
  <si>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</si>
  <si>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</si>
  <si>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</si>
  <si>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</si>
  <si>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</si>
  <si>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</si>
  <si>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</si>
  <si>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</si>
  <si>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</si>
  <si>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Date for current crop graph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</si>
  <si>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</si>
  <si>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</si>
  <si>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</si>
  <si>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</si>
  <si>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</si>
  <si>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</si>
  <si>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</si>
  <si>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</si>
  <si>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</si>
  <si>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</si>
  <si>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</si>
  <si>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</si>
  <si>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</si>
  <si>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</si>
  <si>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</si>
  <si>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</si>
  <si>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</si>
  <si>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</si>
  <si>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</si>
  <si>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MeanPET</t>
  </si>
  <si>
    <t>PrePlantRain</t>
  </si>
  <si>
    <t>InCropRain</t>
  </si>
  <si>
    <t>Available Water Capacity (mm)</t>
  </si>
  <si>
    <t>AWC</t>
  </si>
  <si>
    <t>SWC</t>
  </si>
  <si>
    <t>Drainage</t>
  </si>
  <si>
    <t>Very Wet</t>
  </si>
  <si>
    <t>Very Dry</t>
  </si>
  <si>
    <t>Green Cover</t>
  </si>
  <si>
    <t>PMN</t>
  </si>
  <si>
    <t>SoilOrder</t>
  </si>
  <si>
    <t>SampleDepth</t>
  </si>
  <si>
    <t>BulkDensity</t>
  </si>
  <si>
    <t>PMNtype</t>
  </si>
  <si>
    <t>Sample Depth (cm)</t>
  </si>
  <si>
    <t>Soil Order</t>
  </si>
  <si>
    <t>PMN result type</t>
  </si>
  <si>
    <t>HWEON</t>
  </si>
  <si>
    <t>0-15cm</t>
  </si>
  <si>
    <t>0-30cm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</si>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</sst>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57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1" xfId="0" applyBorder="1"/>
    <xf numFmtId="0" fontId="0" fillId="0" borderId="2" xfId="0" applyBorder="1"/>
    <xf numFmtId="0" fontId="0" fillId="7" borderId="10" xfId="0" applyFill="1" applyBorder="1"/>
    <xf numFmtId="0" fontId="0" fillId="7" borderId="13" xfId="0" applyFill="1" applyBorder="1"/>
    <xf numFmtId="0" fontId="0" fillId="7" borderId="15" xfId="0" applyFill="1" applyBorder="1"/>
    <xf numFmtId="0" fontId="0" fillId="8" borderId="10" xfId="0" applyFill="1" applyBorder="1"/>
    <xf numFmtId="0" fontId="0" fillId="8" borderId="13" xfId="0" applyFill="1" applyBorder="1"/>
    <xf numFmtId="0" fontId="0" fillId="8" borderId="14" xfId="0" applyFill="1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3" fontId="0" fillId="5" borderId="3" xfId="0" applyNumberFormat="1" applyFill="1" applyBorder="1" applyAlignment="1" applyProtection="1">
      <protection locked="0"/>
    </xf>
    <xf numFmtId="0" fontId="0" fillId="9" borderId="14" xfId="0" applyFill="1" applyBorder="1"/>
    <xf numFmtId="16" fontId="0" fillId="9" borderId="13" xfId="0" applyNumberFormat="1" applyFill="1" applyBorder="1"/>
    <xf numFmtId="0" fontId="0" fillId="9" borderId="15" xfId="0" applyFill="1" applyBorder="1"/>
    <xf numFmtId="0" fontId="0" fillId="9" borderId="16" xfId="0" applyFill="1" applyBorder="1"/>
    <xf numFmtId="0" fontId="0" fillId="0" borderId="20" xfId="0" applyBorder="1" applyAlignment="1">
      <alignment horizontal="right" wrapText="1"/>
    </xf>
    <xf numFmtId="0" fontId="0" fillId="0" borderId="20" xfId="0" applyBorder="1"/>
    <xf numFmtId="0" fontId="0" fillId="0" borderId="20" xfId="0" applyFont="1" applyBorder="1" applyAlignment="1">
      <alignment horizontal="right" wrapText="1"/>
    </xf>
    <xf numFmtId="0" fontId="0" fillId="0" borderId="11" xfId="0" applyBorder="1" applyAlignment="1">
      <alignment horizontal="right" wrapText="1"/>
    </xf>
    <xf numFmtId="1" fontId="0" fillId="0" borderId="0" xfId="0" applyNumberFormat="1" applyBorder="1"/>
    <xf numFmtId="0" fontId="0" fillId="0" borderId="0" xfId="0" applyBorder="1"/>
    <xf numFmtId="1" fontId="0" fillId="0" borderId="21" xfId="0" applyNumberFormat="1" applyBorder="1"/>
    <xf numFmtId="0" fontId="0" fillId="0" borderId="21" xfId="0" applyBorder="1"/>
    <xf numFmtId="1" fontId="0" fillId="0" borderId="21" xfId="1" applyNumberFormat="1" applyFont="1" applyBorder="1" applyAlignment="1"/>
    <xf numFmtId="1" fontId="0" fillId="0" borderId="16" xfId="0" applyNumberFormat="1" applyBorder="1"/>
    <xf numFmtId="16" fontId="0" fillId="0" borderId="0" xfId="0" applyNumberFormat="1" applyBorder="1"/>
    <xf numFmtId="16" fontId="0" fillId="0" borderId="21" xfId="0" applyNumberFormat="1" applyBorder="1"/>
    <xf numFmtId="0" fontId="2" fillId="0" borderId="10" xfId="0" applyFont="1" applyBorder="1"/>
    <xf numFmtId="0" fontId="0" fillId="7" borderId="17" xfId="0" applyFill="1" applyBorder="1"/>
    <xf numFmtId="0" fontId="0" fillId="7" borderId="18" xfId="0" applyFill="1" applyBorder="1"/>
    <xf numFmtId="0" fontId="0" fillId="7" borderId="19" xfId="0" applyFill="1" applyBorder="1"/>
    <xf numFmtId="14" fontId="0" fillId="7" borderId="18" xfId="0" applyNumberFormat="1" applyFill="1" applyBorder="1"/>
    <xf numFmtId="16" fontId="0" fillId="9" borderId="15" xfId="0" applyNumberFormat="1" applyFill="1" applyBorder="1"/>
    <xf numFmtId="14" fontId="0" fillId="0" borderId="14" xfId="0" applyNumberFormat="1" applyBorder="1"/>
    <xf numFmtId="16" fontId="0" fillId="9" borderId="10" xfId="0" applyNumberFormat="1" applyFill="1" applyBorder="1"/>
    <xf numFmtId="0" fontId="0" fillId="9" borderId="11" xfId="0" applyFill="1" applyBorder="1"/>
    <xf numFmtId="0" fontId="0" fillId="9" borderId="10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0" borderId="0" xfId="0" applyNumberFormat="1"/>
    <xf numFmtId="0" fontId="2" fillId="0" borderId="17" xfId="0" applyFont="1" applyBorder="1"/>
    <xf numFmtId="0" fontId="0" fillId="0" borderId="18" xfId="0" applyBorder="1"/>
    <xf numFmtId="0" fontId="0" fillId="0" borderId="19" xfId="0" applyBorder="1"/>
    <xf numFmtId="0" fontId="2" fillId="0" borderId="17" xfId="0" quotePrefix="1" applyFont="1" applyBorder="1"/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2" fillId="0" borderId="25" xfId="0" applyFont="1" applyBorder="1" applyAlignment="1">
      <alignment horizontal="left"/>
    </xf>
    <xf numFmtId="0" fontId="0" fillId="0" borderId="13" xfId="0" applyBorder="1" applyAlignment="1">
      <alignment horizontal="left" indent="1"/>
    </xf>
    <xf numFmtId="0" fontId="0" fillId="0" borderId="0" xfId="0" applyBorder="1" applyAlignment="1">
      <alignment horizontal="left" indent="1"/>
    </xf>
    <xf numFmtId="0" fontId="0" fillId="0" borderId="14" xfId="0" applyBorder="1" applyAlignment="1">
      <alignment horizontal="left" indent="1"/>
    </xf>
    <xf numFmtId="0" fontId="0" fillId="0" borderId="16" xfId="0" applyBorder="1" applyAlignment="1">
      <alignment horizontal="left" indent="1"/>
    </xf>
    <xf numFmtId="0" fontId="2" fillId="0" borderId="20" xfId="0" applyFont="1" applyBorder="1"/>
    <xf numFmtId="0" fontId="2" fillId="0" borderId="11" xfId="0" applyFont="1" applyBorder="1"/>
    <xf numFmtId="0" fontId="0" fillId="0" borderId="0" xfId="0" applyProtection="1"/>
    <xf numFmtId="0" fontId="0" fillId="4" borderId="0" xfId="0" applyFill="1" applyProtection="1"/>
    <xf numFmtId="0" fontId="0" fillId="3" borderId="0" xfId="0" applyFill="1" applyProtection="1"/>
    <xf numFmtId="0" fontId="2" fillId="3" borderId="0" xfId="0" applyFont="1" applyFill="1" applyAlignment="1" applyProtection="1">
      <alignment vertical="center"/>
    </xf>
    <xf numFmtId="0" fontId="2" fillId="3" borderId="0" xfId="0" applyFont="1" applyFill="1" applyAlignment="1" applyProtection="1">
      <alignment horizontal="right"/>
    </xf>
    <xf numFmtId="0" fontId="2" fillId="3" borderId="0" xfId="0" applyFont="1" applyFill="1" applyAlignment="1" applyProtection="1"/>
    <xf numFmtId="0" fontId="5" fillId="3" borderId="0" xfId="0" applyFont="1" applyFill="1" applyAlignment="1" applyProtection="1">
      <alignment horizontal="center" vertical="center" wrapText="1"/>
    </xf>
    <xf numFmtId="16" fontId="2" fillId="3" borderId="0" xfId="0" applyNumberFormat="1" applyFont="1" applyFill="1" applyBorder="1" applyAlignment="1" applyProtection="1">
      <alignment horizontal="center"/>
    </xf>
    <xf numFmtId="0" fontId="0" fillId="3" borderId="0" xfId="0" applyFill="1" applyBorder="1" applyProtection="1"/>
    <xf numFmtId="0" fontId="2" fillId="3" borderId="0" xfId="0" applyFont="1" applyFill="1" applyAlignment="1" applyProtection="1">
      <alignment horizontal="right" vertical="center"/>
    </xf>
    <xf numFmtId="0" fontId="0" fillId="8" borderId="10" xfId="0" applyFill="1" applyBorder="1" applyProtection="1"/>
    <xf numFmtId="0" fontId="0" fillId="8" borderId="11" xfId="0" applyFill="1" applyBorder="1" applyProtection="1"/>
    <xf numFmtId="165" fontId="0" fillId="0" borderId="0" xfId="0" applyNumberFormat="1"/>
    <xf numFmtId="0" fontId="7" fillId="3" borderId="0" xfId="0" applyFont="1" applyFill="1" applyAlignment="1" applyProtection="1">
      <alignment horizontal="right" vertical="top"/>
    </xf>
    <xf numFmtId="0" fontId="7" fillId="3" borderId="0" xfId="0" applyFont="1" applyFill="1" applyAlignment="1" applyProtection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 applyProtection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 applyProtection="1">
      <alignment horizontal="left" vertical="center"/>
    </xf>
    <xf numFmtId="14" fontId="0" fillId="5" borderId="22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 applyProtection="1">
      <alignment horizontal="left" vertical="center"/>
    </xf>
    <xf numFmtId="14" fontId="0" fillId="3" borderId="6" xfId="0" applyNumberFormat="1" applyFill="1" applyBorder="1" applyAlignment="1" applyProtection="1">
      <alignment horizontal="right" vertical="center"/>
    </xf>
    <xf numFmtId="14" fontId="0" fillId="3" borderId="8" xfId="0" applyNumberFormat="1" applyFill="1" applyBorder="1" applyAlignment="1" applyProtection="1">
      <alignment horizontal="right" vertical="center"/>
    </xf>
    <xf numFmtId="0" fontId="0" fillId="3" borderId="7" xfId="0" applyFill="1" applyBorder="1" applyAlignment="1" applyProtection="1">
      <alignment horizontal="center" vertical="center"/>
    </xf>
    <xf numFmtId="0" fontId="0" fillId="3" borderId="9" xfId="0" applyFill="1" applyBorder="1" applyAlignment="1" applyProtection="1">
      <alignment horizontal="center" vertical="center"/>
    </xf>
    <xf numFmtId="14" fontId="0" fillId="5" borderId="4" xfId="0" applyNumberFormat="1" applyFill="1" applyBorder="1" applyAlignment="1" applyProtection="1">
      <alignment horizontal="right"/>
      <protection locked="0"/>
    </xf>
    <xf numFmtId="14" fontId="0" fillId="5" borderId="6" xfId="0" applyNumberFormat="1" applyFill="1" applyBorder="1" applyAlignment="1" applyProtection="1">
      <alignment horizontal="right"/>
      <protection locked="0"/>
    </xf>
    <xf numFmtId="14" fontId="0" fillId="5" borderId="8" xfId="0" applyNumberFormat="1" applyFill="1" applyBorder="1" applyAlignment="1" applyProtection="1">
      <alignment horizontal="right"/>
      <protection locked="0"/>
    </xf>
    <xf numFmtId="0" fontId="0" fillId="5" borderId="5" xfId="0" applyFill="1" applyBorder="1" applyAlignment="1" applyProtection="1">
      <alignment horizontal="center"/>
      <protection locked="0"/>
    </xf>
    <xf numFmtId="0" fontId="0" fillId="5" borderId="7" xfId="0" applyFill="1" applyBorder="1" applyAlignment="1" applyProtection="1">
      <alignment horizontal="center"/>
      <protection locked="0"/>
    </xf>
    <xf numFmtId="0" fontId="0" fillId="5" borderId="9" xfId="0" applyFill="1" applyBorder="1" applyAlignment="1" applyProtection="1">
      <alignment horizontal="center"/>
      <protection locked="0"/>
    </xf>
    <xf numFmtId="14" fontId="0" fillId="3" borderId="0" xfId="0" applyNumberFormat="1" applyFill="1" applyProtection="1"/>
    <xf numFmtId="0" fontId="0" fillId="10" borderId="3" xfId="0" applyFill="1" applyBorder="1" applyAlignment="1" applyProtection="1">
      <alignment horizontal="left" vertical="center"/>
    </xf>
    <xf numFmtId="0" fontId="0" fillId="10" borderId="3" xfId="0" applyFill="1" applyBorder="1" applyAlignment="1" applyProtection="1">
      <alignment horizontal="left"/>
    </xf>
    <xf numFmtId="0" fontId="0" fillId="10" borderId="3" xfId="0" applyFill="1" applyBorder="1" applyProtection="1"/>
    <xf numFmtId="0" fontId="0" fillId="5" borderId="22" xfId="0" applyFill="1" applyBorder="1" applyAlignment="1" applyProtection="1">
      <alignment horizontal="left" vertical="center"/>
      <protection locked="0"/>
    </xf>
    <xf numFmtId="0" fontId="0" fillId="10" borderId="22" xfId="0" applyFill="1" applyBorder="1" applyAlignment="1" applyProtection="1">
      <alignment horizontal="left" vertical="center"/>
    </xf>
    <xf numFmtId="3" fontId="0" fillId="5" borderId="22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 applyProtection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0" fontId="0" fillId="12" borderId="10" xfId="0" applyFill="1" applyBorder="1"/>
    <xf numFmtId="0" fontId="0" fillId="12" borderId="11" xfId="0" applyFill="1" applyBorder="1"/>
    <xf numFmtId="16" fontId="0" fillId="12" borderId="13" xfId="0" applyNumberFormat="1" applyFill="1" applyBorder="1"/>
    <xf numFmtId="0" fontId="0" fillId="12" borderId="14" xfId="0" applyFill="1" applyBorder="1"/>
    <xf numFmtId="16" fontId="0" fillId="12" borderId="15" xfId="0" applyNumberFormat="1" applyFill="1" applyBorder="1"/>
    <xf numFmtId="0" fontId="0" fillId="12" borderId="16" xfId="0" applyFill="1" applyBorder="1"/>
    <xf numFmtId="1" fontId="0" fillId="10" borderId="3" xfId="0" applyNumberFormat="1" applyFill="1" applyBorder="1" applyAlignment="1" applyProtection="1">
      <alignment horizontal="left"/>
    </xf>
    <xf numFmtId="0" fontId="7" fillId="3" borderId="0" xfId="0" applyFont="1" applyFill="1" applyProtection="1"/>
    <xf numFmtId="0" fontId="0" fillId="7" borderId="14" xfId="0" applyFill="1" applyBorder="1"/>
    <xf numFmtId="14" fontId="7" fillId="3" borderId="0" xfId="0" applyNumberFormat="1" applyFont="1" applyFill="1" applyProtection="1"/>
    <xf numFmtId="0" fontId="0" fillId="0" borderId="0" xfId="0" applyFill="1" applyBorder="1" applyAlignment="1">
      <alignment horizontal="right" wrapText="1"/>
    </xf>
    <xf numFmtId="0" fontId="0" fillId="5" borderId="3" xfId="0" applyFill="1" applyBorder="1" applyAlignment="1" applyProtection="1">
      <protection locked="0"/>
    </xf>
    <xf numFmtId="4" fontId="0" fillId="5" borderId="22" xfId="0" applyNumberFormat="1" applyFill="1" applyBorder="1" applyAlignment="1" applyProtection="1">
      <alignment horizontal="left" vertical="center"/>
      <protection locked="0"/>
    </xf>
    <xf numFmtId="0" fontId="0" fillId="3" borderId="0" xfId="0" applyFill="1" applyBorder="1" applyAlignment="1" applyProtection="1"/>
    <xf numFmtId="0" fontId="3" fillId="2" borderId="30" xfId="0" applyFont="1" applyFill="1" applyBorder="1" applyAlignment="1" applyProtection="1">
      <alignment vertical="center" wrapText="1"/>
    </xf>
    <xf numFmtId="0" fontId="7" fillId="3" borderId="0" xfId="0" applyFont="1" applyFill="1" applyAlignment="1" applyProtection="1">
      <alignment vertical="center"/>
    </xf>
    <xf numFmtId="0" fontId="8" fillId="3" borderId="0" xfId="0" applyFont="1" applyFill="1" applyAlignment="1" applyProtection="1">
      <alignment horizontal="right"/>
    </xf>
    <xf numFmtId="0" fontId="9" fillId="11" borderId="22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0" fillId="3" borderId="0" xfId="0" applyFill="1"/>
    <xf numFmtId="0" fontId="8" fillId="8" borderId="29" xfId="0" applyFont="1" applyFill="1" applyBorder="1" applyAlignment="1" applyProtection="1">
      <alignment horizontal="right"/>
    </xf>
    <xf numFmtId="1" fontId="8" fillId="6" borderId="29" xfId="0" applyNumberFormat="1" applyFont="1" applyFill="1" applyBorder="1" applyAlignment="1" applyProtection="1">
      <alignment horizontal="center"/>
    </xf>
    <xf numFmtId="0" fontId="0" fillId="6" borderId="29" xfId="0" applyFill="1" applyBorder="1" applyAlignment="1" applyProtection="1">
      <alignment horizontal="center"/>
    </xf>
    <xf numFmtId="16" fontId="0" fillId="3" borderId="12" xfId="0" applyNumberFormat="1" applyFill="1" applyBorder="1" applyProtection="1"/>
    <xf numFmtId="0" fontId="0" fillId="3" borderId="12" xfId="0" applyFill="1" applyBorder="1" applyProtection="1"/>
    <xf numFmtId="0" fontId="10" fillId="11" borderId="0" xfId="0" applyFont="1" applyFill="1" applyAlignment="1" applyProtection="1">
      <alignment horizontal="center"/>
      <protection locked="0"/>
    </xf>
    <xf numFmtId="0" fontId="0" fillId="0" borderId="17" xfId="0" applyBorder="1"/>
    <xf numFmtId="0" fontId="9" fillId="5" borderId="3" xfId="0" applyFont="1" applyFill="1" applyBorder="1" applyAlignment="1" applyProtection="1">
      <alignment vertical="center"/>
      <protection locked="0"/>
    </xf>
    <xf numFmtId="0" fontId="0" fillId="0" borderId="0" xfId="0" applyBorder="1" applyAlignment="1">
      <alignment horizontal="right" wrapText="1"/>
    </xf>
    <xf numFmtId="0" fontId="0" fillId="12" borderId="0" xfId="0" applyFill="1" applyBorder="1"/>
    <xf numFmtId="0" fontId="0" fillId="12" borderId="20" xfId="0" applyFill="1" applyBorder="1"/>
    <xf numFmtId="0" fontId="0" fillId="12" borderId="21" xfId="0" applyFill="1" applyBorder="1"/>
    <xf numFmtId="0" fontId="0" fillId="3" borderId="0" xfId="0" applyFill="1" applyAlignment="1" applyProtection="1">
      <alignment horizontal="left"/>
    </xf>
    <xf numFmtId="4" fontId="0" fillId="5" borderId="3" xfId="0" applyNumberFormat="1" applyFill="1" applyBorder="1" applyAlignment="1" applyProtection="1">
      <protection locked="0"/>
    </xf>
    <xf numFmtId="0" fontId="0" fillId="3" borderId="0" xfId="0" applyFill="1" applyAlignment="1" applyProtection="1">
      <alignment horizontal="center"/>
    </xf>
    <xf numFmtId="0" fontId="4" fillId="2" borderId="26" xfId="0" applyFont="1" applyFill="1" applyBorder="1" applyAlignment="1" applyProtection="1">
      <alignment horizontal="center" vertical="center" wrapText="1"/>
    </xf>
    <xf numFmtId="0" fontId="4" fillId="2" borderId="27" xfId="0" applyFont="1" applyFill="1" applyBorder="1" applyAlignment="1" applyProtection="1">
      <alignment horizontal="center" vertical="center" wrapText="1"/>
    </xf>
    <xf numFmtId="0" fontId="4" fillId="2" borderId="28" xfId="0" applyFont="1" applyFill="1" applyBorder="1" applyAlignment="1" applyProtection="1">
      <alignment horizontal="center" vertical="center" wrapText="1"/>
    </xf>
    <xf numFmtId="0" fontId="0" fillId="2" borderId="31" xfId="0" applyFill="1" applyBorder="1" applyAlignment="1" applyProtection="1">
      <alignment horizontal="center" vertical="center" wrapText="1"/>
    </xf>
    <xf numFmtId="0" fontId="0" fillId="2" borderId="32" xfId="0" applyFill="1" applyBorder="1" applyAlignment="1" applyProtection="1">
      <alignment horizontal="center" vertical="center" wrapText="1"/>
    </xf>
    <xf numFmtId="0" fontId="0" fillId="2" borderId="33" xfId="0" applyFill="1" applyBorder="1" applyAlignment="1" applyProtection="1">
      <alignment horizontal="center" vertical="center" wrapText="1"/>
    </xf>
    <xf numFmtId="0" fontId="2" fillId="4" borderId="29" xfId="0" applyFont="1" applyFill="1" applyBorder="1" applyAlignment="1" applyProtection="1">
      <alignment horizontal="center"/>
    </xf>
    <xf numFmtId="0" fontId="2" fillId="4" borderId="32" xfId="0" applyFont="1" applyFill="1" applyBorder="1" applyAlignment="1" applyProtection="1">
      <alignment horizontal="center"/>
    </xf>
    <xf numFmtId="0" fontId="0" fillId="4" borderId="29" xfId="0" applyFill="1" applyBorder="1" applyAlignment="1" applyProtection="1">
      <alignment horizontal="center"/>
    </xf>
    <xf numFmtId="16" fontId="2" fillId="3" borderId="1" xfId="0" applyNumberFormat="1" applyFont="1" applyFill="1" applyBorder="1" applyAlignment="1" applyProtection="1">
      <alignment horizontal="center"/>
    </xf>
    <xf numFmtId="16" fontId="2" fillId="3" borderId="2" xfId="0" applyNumberFormat="1" applyFont="1" applyFill="1" applyBorder="1" applyAlignment="1" applyProtection="1">
      <alignment horizontal="center"/>
    </xf>
    <xf numFmtId="0" fontId="2" fillId="8" borderId="1" xfId="0" applyFont="1" applyFill="1" applyBorder="1" applyAlignment="1" applyProtection="1">
      <alignment horizontal="center"/>
    </xf>
    <xf numFmtId="0" fontId="2" fillId="8" borderId="2" xfId="0" applyFont="1" applyFill="1" applyBorder="1" applyAlignment="1" applyProtection="1">
      <alignment horizontal="center"/>
    </xf>
    <xf numFmtId="0" fontId="0" fillId="9" borderId="10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5" borderId="3" xfId="0" applyFill="1" applyBorder="1" applyProtection="1">
      <protection locked="0"/>
    </xf>
  </cellXfs>
  <cellStyles count="2">
    <cellStyle name="Comma" xfId="1" builtinId="3"/>
    <cellStyle name="Normal" xfId="0" builtinId="0"/>
  </cellStyles>
  <dxfs count="22"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'Model Interface'!$Q$1</c:f>
              <c:strCache>
                <c:ptCount val="1"/>
                <c:pt idx="0">
                  <c:v>Mineral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Interface'!$Q$2:$Q$3</c:f>
              <c:numCache>
                <c:formatCode>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ser>
          <c:idx val="1"/>
          <c:order val="1"/>
          <c:tx>
            <c:strRef>
              <c:f>'Model Interface'!$S$1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Interface'!$S$2:$S$3</c:f>
              <c:numCache>
                <c:formatCode>General</c:formatCode>
                <c:ptCount val="2"/>
                <c:pt idx="0" formatCode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2"/>
          <c:tx>
            <c:strRef>
              <c:f>'Model Interface'!$T$1</c:f>
              <c:strCache>
                <c:ptCount val="1"/>
                <c:pt idx="0">
                  <c:v>Organic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0A-4FE5-A1C6-44AE0D1687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Interface'!$T$2:$T$3</c:f>
              <c:numCache>
                <c:formatCode>General</c:formatCode>
                <c:ptCount val="2"/>
                <c:pt idx="0" formatCode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3"/>
          <c:order val="3"/>
          <c:tx>
            <c:strRef>
              <c:f>'Model Interface'!$U$1</c:f>
              <c:strCache>
                <c:ptCount val="1"/>
                <c:pt idx="0">
                  <c:v>Fertiliser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Interface'!$U$2:$U$3</c:f>
              <c:numCache>
                <c:formatCode>General</c:formatCode>
                <c:ptCount val="2"/>
                <c:pt idx="0" formatCode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4"/>
          <c:order val="4"/>
          <c:tx>
            <c:strRef>
              <c:f>'Model Interface'!$X$1</c:f>
              <c:strCache>
                <c:ptCount val="1"/>
                <c:pt idx="0">
                  <c:v>Losses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Interface'!$X$2:$X$3</c:f>
              <c:numCache>
                <c:formatCode>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A2-4807-BF3D-7B70C143FF8D}"/>
            </c:ext>
          </c:extLst>
        </c:ser>
        <c:ser>
          <c:idx val="5"/>
          <c:order val="5"/>
          <c:tx>
            <c:strRef>
              <c:f>'Model Interface'!$W$1</c:f>
              <c:strCache>
                <c:ptCount val="1"/>
                <c:pt idx="0">
                  <c:v>Export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Interface'!$W$2:$W$3</c:f>
              <c:numCache>
                <c:formatCode>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6"/>
          <c:order val="6"/>
          <c:tx>
            <c:strRef>
              <c:f>'Model Interface'!$V$1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Interface'!$V$2:$V$3</c:f>
              <c:numCache>
                <c:formatCode>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7"/>
          <c:order val="7"/>
          <c:tx>
            <c:strRef>
              <c:f>'Model Interface'!$AC$1</c:f>
              <c:strCache>
                <c:ptCount val="1"/>
                <c:pt idx="0">
                  <c:v>Undefined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Interface'!$AC$2:$AC$3</c:f>
              <c:numCache>
                <c:formatCode>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23705215251849387"/>
          <c:h val="0.417343832020997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tx>
            <c:v>Fert N</c:v>
          </c:tx>
          <c:spPr>
            <a:solidFill>
              <a:schemeClr val="accent2"/>
            </a:solidFill>
            <a:ln>
              <a:solidFill>
                <a:schemeClr val="accent2"/>
              </a:solidFill>
            </a:ln>
            <a:effectLst/>
          </c:spPr>
          <c:invertIfNegative val="0"/>
          <c:dPt>
            <c:idx val="70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0D2-4A1B-A98F-C7303D4F0811}"/>
              </c:ext>
            </c:extLst>
          </c:dPt>
          <c:cat>
            <c:numRef>
              <c:f>'Model Interface'!$P$6:$P$495</c:f>
              <c:numCache>
                <c:formatCode>m/d/yyyy</c:formatCode>
                <c:ptCount val="4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</c:numCache>
            </c:numRef>
          </c:cat>
          <c:val>
            <c:numRef>
              <c:f>'Model Interface'!$U$6:$U$495</c:f>
              <c:numCache>
                <c:formatCode>General</c:formatCode>
                <c:ptCount val="4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D2-4A1B-A98F-C7303D4F08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1186704"/>
        <c:axId val="811187536"/>
      </c:barChar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'Model Interface'!$P$6:$P$495</c:f>
              <c:numCache>
                <c:formatCode>m/d/yyyy</c:formatCode>
                <c:ptCount val="4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</c:numCache>
            </c:numRef>
          </c:cat>
          <c:val>
            <c:numRef>
              <c:f>'Model Interface'!$V$6:$V$495</c:f>
              <c:numCache>
                <c:formatCode>General</c:formatCode>
                <c:ptCount val="4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2"/>
          <c:tx>
            <c:strRef>
              <c:f>'Model Interface'!$Q$1</c:f>
              <c:strCache>
                <c:ptCount val="1"/>
                <c:pt idx="0">
                  <c:v>Mineral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'Model Interface'!$Q$6:$Q$495</c:f>
              <c:numCache>
                <c:formatCode>General</c:formatCode>
                <c:ptCount val="4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1186704"/>
        <c:axId val="811187536"/>
        <c:extLst/>
      </c:lineChart>
      <c:scatterChart>
        <c:scatterStyle val="lineMarker"/>
        <c:varyColors val="0"/>
        <c:ser>
          <c:idx val="3"/>
          <c:order val="3"/>
          <c:tx>
            <c:v>TestValues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0D2-4A1B-A98F-C7303D4F08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dateAx>
        <c:axId val="8111867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auto val="1"/>
        <c:lblOffset val="100"/>
        <c:baseTimeUnit val="days"/>
      </c:dateAx>
      <c:valAx>
        <c:axId val="8111875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ConceptDemo!$W$17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</c:numRef>
          </c:xVal>
          <c:yVal>
            <c:numRef>
              <c:f>ConceptDemo!$W$18:$W$395</c:f>
              <c:numCache>
                <c:formatCode>General</c:formatCode>
                <c:ptCount val="3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ConceptDemo!$Y$17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</c:numRef>
          </c:xVal>
          <c:yVal>
            <c:numRef>
              <c:f>ConceptDemo!$Y$18:$Y$395</c:f>
              <c:numCache>
                <c:formatCode>General</c:formatCode>
                <c:ptCount val="3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ConceptDemo!$X$17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</c:numRef>
          </c:xVal>
          <c:yVal>
            <c:numRef>
              <c:f>ConceptDemo!$X$18:$X$395</c:f>
              <c:numCache>
                <c:formatCode>General</c:formatCode>
                <c:ptCount val="3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ConceptDemo!$Z$17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</c:numRef>
          </c:xVal>
          <c:yVal>
            <c:numRef>
              <c:f>ConceptDemo!$Z$18:$Z$395</c:f>
              <c:numCache>
                <c:formatCode>General</c:formatCode>
                <c:ptCount val="3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114300</xdr:colOff>
      <xdr:row>16</xdr:row>
      <xdr:rowOff>95249</xdr:rowOff>
    </xdr:from>
    <xdr:to>
      <xdr:col>15</xdr:col>
      <xdr:colOff>142875</xdr:colOff>
      <xdr:row>37</xdr:row>
      <xdr:rowOff>9524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180975</xdr:colOff>
      <xdr:row>41</xdr:row>
      <xdr:rowOff>9525</xdr:rowOff>
    </xdr:from>
    <xdr:to>
      <xdr:col>15</xdr:col>
      <xdr:colOff>247650</xdr:colOff>
      <xdr:row>61</xdr:row>
      <xdr:rowOff>152401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238125</xdr:colOff>
      <xdr:row>16</xdr:row>
      <xdr:rowOff>85725</xdr:rowOff>
    </xdr:from>
    <xdr:to>
      <xdr:col>16</xdr:col>
      <xdr:colOff>6029325</xdr:colOff>
      <xdr:row>37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</xdr:row>
      <xdr:rowOff>95249</xdr:rowOff>
    </xdr:from>
    <xdr:to>
      <xdr:col>6</xdr:col>
      <xdr:colOff>561975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Z395"/>
  <sheetViews>
    <sheetView tabSelected="1" topLeftCell="C1" zoomScale="110" zoomScaleNormal="110" workbookViewId="0">
      <selection activeCell="H6" sqref="H6"/>
    </sheetView>
  </sheetViews>
  <sheetFormatPr defaultRowHeight="15" x14ac:dyDescent="0.25"/>
  <cols>
    <col min="1" max="1" width="9.140625" style="60" hidden="1" customWidth="1"/>
    <col min="2" max="2" width="10.28515625" style="60" hidden="1" customWidth="1"/>
    <col min="3" max="3" width="29.28515625" style="62" bestFit="1" customWidth="1"/>
    <col min="4" max="4" width="26.42578125" style="62" bestFit="1" customWidth="1"/>
    <col min="5" max="5" width="18.42578125" style="62" customWidth="1"/>
    <col min="6" max="6" width="20.42578125" style="62" bestFit="1" customWidth="1"/>
    <col min="7" max="8" width="17.42578125" style="62" bestFit="1" customWidth="1"/>
    <col min="9" max="10" width="22.5703125" style="122" bestFit="1" customWidth="1"/>
    <col min="11" max="15" width="9.140625" style="122"/>
    <col min="16" max="16" width="4.42578125" style="122" customWidth="1"/>
    <col min="17" max="17" width="92.140625" style="62" customWidth="1"/>
    <col min="18" max="18" width="10.7109375" style="62" bestFit="1" customWidth="1"/>
    <col min="19" max="22" width="9.140625" style="62"/>
    <col min="23" max="16384" width="9.140625" style="60"/>
  </cols>
  <sheetData>
    <row r="1" spans="2:26" s="62" customFormat="1" ht="20.25" customHeight="1" x14ac:dyDescent="0.3">
      <c r="B1" s="62">
        <f>VLOOKUP(C1,ListMembers!U8:V10,2,FALSE)</f>
        <v>3</v>
      </c>
      <c r="C1" s="128" t="s">
        <v>196</v>
      </c>
      <c r="D1" s="138" t="s">
        <v>163</v>
      </c>
      <c r="E1" s="139"/>
      <c r="F1" s="139"/>
      <c r="G1" s="139"/>
      <c r="H1" s="140"/>
      <c r="I1" s="122"/>
      <c r="J1" s="122"/>
      <c r="K1" s="122"/>
      <c r="L1" s="122"/>
      <c r="M1" s="122"/>
      <c r="N1" s="122"/>
      <c r="O1" s="122"/>
      <c r="P1" s="122"/>
      <c r="W1" s="60"/>
      <c r="X1" s="60"/>
      <c r="Y1" s="60"/>
      <c r="Z1" s="60"/>
    </row>
    <row r="2" spans="2:26" s="62" customFormat="1" ht="47.25" customHeight="1" x14ac:dyDescent="0.25">
      <c r="C2" s="117"/>
      <c r="D2" s="141" t="s">
        <v>164</v>
      </c>
      <c r="E2" s="142"/>
      <c r="F2" s="142"/>
      <c r="G2" s="142"/>
      <c r="H2" s="143"/>
      <c r="I2" s="122"/>
      <c r="J2" s="122"/>
      <c r="K2" s="122"/>
      <c r="L2" s="122"/>
      <c r="M2" s="122"/>
      <c r="N2" s="122"/>
      <c r="O2" s="122"/>
      <c r="P2" s="122"/>
      <c r="W2" s="60"/>
      <c r="X2" s="60"/>
      <c r="Y2" s="60"/>
      <c r="Z2" s="60"/>
    </row>
    <row r="3" spans="2:26" s="61" customFormat="1" ht="15.75" thickBot="1" x14ac:dyDescent="0.3">
      <c r="B3" s="62"/>
      <c r="C3" s="144" t="s">
        <v>197</v>
      </c>
      <c r="D3" s="144"/>
      <c r="E3" s="144"/>
      <c r="F3" s="144"/>
      <c r="G3" s="145"/>
      <c r="H3" s="145"/>
      <c r="I3" s="122"/>
      <c r="J3" s="122"/>
      <c r="K3" s="122"/>
      <c r="L3" s="122"/>
      <c r="M3" s="122"/>
      <c r="N3" s="122"/>
      <c r="O3" s="122"/>
      <c r="P3" s="122"/>
      <c r="Q3" s="62"/>
      <c r="R3" s="62"/>
      <c r="S3" s="62"/>
      <c r="T3" s="62"/>
      <c r="U3" s="62"/>
      <c r="V3" s="62"/>
      <c r="W3" s="60"/>
      <c r="X3" s="60"/>
      <c r="Y3" s="60"/>
      <c r="Z3" s="60"/>
    </row>
    <row r="4" spans="2:26" s="62" customFormat="1" ht="15.75" x14ac:dyDescent="0.25">
      <c r="C4" s="119" t="s">
        <v>184</v>
      </c>
      <c r="D4" s="120"/>
      <c r="E4" s="65"/>
      <c r="F4" s="119" t="s">
        <v>205</v>
      </c>
      <c r="G4" s="96" t="str">
        <f>IF(H4="","Typical",H4)</f>
        <v>Typical</v>
      </c>
      <c r="H4" s="156"/>
      <c r="I4" s="122"/>
      <c r="J4" s="122"/>
      <c r="K4" s="122"/>
      <c r="L4" s="122"/>
      <c r="M4" s="122"/>
      <c r="N4" s="122"/>
      <c r="O4" s="122"/>
      <c r="P4" s="122"/>
      <c r="W4" s="60"/>
      <c r="X4" s="60"/>
      <c r="Y4" s="60"/>
      <c r="Z4" s="60"/>
    </row>
    <row r="5" spans="2:26" s="62" customFormat="1" ht="15.75" x14ac:dyDescent="0.25">
      <c r="C5" s="119" t="s">
        <v>30</v>
      </c>
      <c r="D5" s="121"/>
      <c r="E5" s="65"/>
      <c r="F5" s="119" t="s">
        <v>206</v>
      </c>
      <c r="G5" s="96" t="str">
        <f>IF(H5="","Typical",H5)</f>
        <v>Typical</v>
      </c>
      <c r="H5" s="156"/>
      <c r="I5" s="122"/>
      <c r="J5" s="122"/>
      <c r="K5" s="122"/>
      <c r="L5" s="122"/>
      <c r="M5" s="122"/>
      <c r="N5" s="122"/>
      <c r="O5" s="122"/>
      <c r="P5" s="122"/>
      <c r="W5" s="60"/>
      <c r="X5" s="60"/>
      <c r="Y5" s="60"/>
      <c r="Z5" s="60"/>
    </row>
    <row r="6" spans="2:26" s="62" customFormat="1" ht="15.75" x14ac:dyDescent="0.25">
      <c r="C6" s="119" t="s">
        <v>100</v>
      </c>
      <c r="D6" s="121"/>
      <c r="F6" s="119" t="s">
        <v>201</v>
      </c>
      <c r="G6" s="96" t="str">
        <f>IF(H6="","None",H6)</f>
        <v>None</v>
      </c>
      <c r="H6" s="130"/>
      <c r="I6" s="122"/>
      <c r="J6" s="122"/>
      <c r="K6" s="122"/>
      <c r="L6" s="122"/>
      <c r="M6" s="122"/>
      <c r="N6" s="122"/>
      <c r="O6" s="122"/>
      <c r="P6" s="122"/>
      <c r="W6" s="60"/>
      <c r="X6" s="60"/>
      <c r="Y6" s="60"/>
      <c r="Z6" s="60"/>
    </row>
    <row r="7" spans="2:26" s="62" customFormat="1" x14ac:dyDescent="0.25">
      <c r="C7" s="64" t="s">
        <v>101</v>
      </c>
      <c r="D7" s="95" t="str">
        <f>IF(E7="","General",E7)</f>
        <v>General</v>
      </c>
      <c r="E7" s="102"/>
      <c r="I7" s="122"/>
      <c r="J7" s="122"/>
      <c r="K7" s="122"/>
      <c r="L7" s="122"/>
      <c r="M7" s="122"/>
      <c r="N7" s="122"/>
      <c r="O7" s="122"/>
      <c r="P7" s="122"/>
      <c r="W7" s="60"/>
      <c r="X7" s="60"/>
      <c r="Y7" s="60"/>
      <c r="Z7" s="60"/>
    </row>
    <row r="8" spans="2:26" s="62" customFormat="1" x14ac:dyDescent="0.25">
      <c r="C8" s="73" t="s">
        <v>159</v>
      </c>
      <c r="D8" s="74" t="str">
        <f>CurrentCropName&amp;" "&amp;CurrentCropType&amp;" "&amp;CurrentCropVariety</f>
        <v xml:space="preserve">  General</v>
      </c>
      <c r="I8" s="122"/>
      <c r="J8" s="122"/>
      <c r="K8" s="122"/>
      <c r="L8" s="122"/>
      <c r="M8" s="122"/>
      <c r="N8" s="122"/>
      <c r="O8" s="122"/>
      <c r="P8" s="122"/>
      <c r="W8" s="60"/>
      <c r="X8" s="60"/>
      <c r="Y8" s="60"/>
      <c r="Z8" s="60"/>
    </row>
    <row r="9" spans="2:26" s="62" customFormat="1" x14ac:dyDescent="0.25">
      <c r="C9" s="64" t="s">
        <v>4</v>
      </c>
      <c r="D9" s="101">
        <f ca="1">IF(E9="",TODAY(),E9)</f>
        <v>44973</v>
      </c>
      <c r="E9" s="76"/>
      <c r="F9" s="64" t="s">
        <v>154</v>
      </c>
      <c r="G9" s="95" t="e">
        <f>IF(H9="",VLOOKUP(CurrentCropNameFull,CropCoefficients,13,FALSE),#REF!)</f>
        <v>#N/A</v>
      </c>
      <c r="H9" s="81"/>
      <c r="I9" s="122"/>
      <c r="J9" s="122"/>
      <c r="K9" s="122"/>
      <c r="L9" s="122"/>
      <c r="M9" s="122"/>
      <c r="N9" s="122"/>
      <c r="O9" s="122"/>
      <c r="P9" s="122"/>
      <c r="W9" s="60"/>
      <c r="X9" s="60"/>
      <c r="Y9" s="60"/>
      <c r="Z9" s="60"/>
    </row>
    <row r="10" spans="2:26" s="62" customFormat="1" x14ac:dyDescent="0.25">
      <c r="C10" s="64" t="s">
        <v>5</v>
      </c>
      <c r="D10" s="101">
        <f ca="1">IF(E10="",CurrentEstablishDate+125,E10)</f>
        <v>45098</v>
      </c>
      <c r="E10" s="76"/>
      <c r="F10" s="64" t="s">
        <v>155</v>
      </c>
      <c r="G10" s="95" t="e">
        <f>IF(H10="",VLOOKUP(CurrentCropNameFull,CropCoefficients,15,FALSE),H10)</f>
        <v>#N/A</v>
      </c>
      <c r="H10" s="81"/>
      <c r="I10" s="122"/>
      <c r="J10" s="122"/>
      <c r="K10" s="122"/>
      <c r="L10" s="122"/>
      <c r="M10" s="122"/>
      <c r="N10" s="122"/>
      <c r="O10" s="122"/>
      <c r="P10" s="122"/>
      <c r="W10" s="60"/>
      <c r="X10" s="60"/>
      <c r="Y10" s="60"/>
      <c r="Z10" s="60"/>
    </row>
    <row r="11" spans="2:26" s="62" customFormat="1" x14ac:dyDescent="0.25">
      <c r="C11" s="64" t="s">
        <v>145</v>
      </c>
      <c r="D11" s="95" t="e">
        <f>IF(CurrentUnits="kg/head",IF(E11="",VLOOKUP(CurrentCropNameFull,CropCoefficients,20,FALSE),E11),"  -")</f>
        <v>#N/A</v>
      </c>
      <c r="E11" s="81"/>
      <c r="F11" s="64" t="s">
        <v>142</v>
      </c>
      <c r="G11" s="95" t="e">
        <f>IF(H11="",VLOOKUP(CurrentCropNameFull,CropCoefficients,23,FALSE),H11)</f>
        <v>#N/A</v>
      </c>
      <c r="H11" s="81"/>
      <c r="I11" s="122"/>
      <c r="J11" s="122"/>
      <c r="K11" s="122"/>
      <c r="L11" s="122"/>
      <c r="M11" s="122"/>
      <c r="N11" s="122"/>
      <c r="O11" s="122"/>
      <c r="P11" s="122"/>
      <c r="W11" s="60"/>
      <c r="X11" s="60"/>
      <c r="Y11" s="60"/>
      <c r="Z11" s="60"/>
    </row>
    <row r="12" spans="2:26" s="62" customFormat="1" x14ac:dyDescent="0.25">
      <c r="C12" s="64" t="e">
        <f>"Yield ("&amp;CurrentUnits&amp;")"</f>
        <v>#N/A</v>
      </c>
      <c r="D12" s="95" t="e">
        <f>IF(E12="",VLOOKUP(CurrentCropNameFull,CropCoefficients,17,FALSE),E12)</f>
        <v>#N/A</v>
      </c>
      <c r="E12" s="78"/>
      <c r="F12" s="64" t="s">
        <v>144</v>
      </c>
      <c r="G12" s="95" t="e">
        <f>IF(H12="",VLOOKUP(CurrentCropNameFull,CropCoefficients,22,FALSE),H12)</f>
        <v>#N/A</v>
      </c>
      <c r="H12" s="81"/>
      <c r="I12" s="122"/>
      <c r="J12" s="122"/>
      <c r="K12" s="122"/>
      <c r="L12" s="122"/>
      <c r="M12" s="122"/>
      <c r="N12" s="122"/>
      <c r="O12" s="122"/>
      <c r="P12" s="122"/>
      <c r="W12" s="60"/>
      <c r="X12" s="60"/>
      <c r="Y12" s="60"/>
      <c r="Z12" s="60"/>
    </row>
    <row r="13" spans="2:26" s="62" customFormat="1" x14ac:dyDescent="0.25">
      <c r="C13" s="64" t="s">
        <v>15</v>
      </c>
      <c r="D13" s="96" t="e">
        <f>IF(E13="",VLOOKUP(CurrentCropNameFull,CropCoefficients,18,FALSE),E13)</f>
        <v>#N/A</v>
      </c>
      <c r="E13" s="80"/>
      <c r="F13" s="64" t="s">
        <v>143</v>
      </c>
      <c r="G13" s="109" t="e">
        <f>IF(H13="",VLOOKUP(CurrentCropNameFull,CropCoefficients,26,FALSE),H13)</f>
        <v>#N/A</v>
      </c>
      <c r="H13" s="81"/>
      <c r="I13" s="122"/>
      <c r="J13" s="122"/>
      <c r="K13" s="122"/>
      <c r="L13" s="122"/>
      <c r="M13" s="122"/>
      <c r="N13" s="122"/>
      <c r="O13" s="122"/>
      <c r="P13" s="122"/>
      <c r="W13" s="60"/>
      <c r="X13" s="60"/>
      <c r="Y13" s="60"/>
      <c r="Z13" s="60"/>
    </row>
    <row r="14" spans="2:26" s="62" customFormat="1" x14ac:dyDescent="0.25">
      <c r="B14" s="100" t="e">
        <f>IF(CurrentUnits="kg/head",CurrentYield*CurrentPopulation/1000,IF(CurrentUnits="kg/ha",CurrentYield/1000,CurrentYield))</f>
        <v>#N/A</v>
      </c>
      <c r="C14" s="73" t="e">
        <f>"Yield "&amp;CurrentYield_tperHa&amp;" (t/ha)"</f>
        <v>#N/A</v>
      </c>
      <c r="D14" s="100" t="e">
        <f ca="1">"requires "&amp;ROUND(SUM('Model Interface'!V3:W3),0)&amp;" kg N/ha from all sources"</f>
        <v>#N/A</v>
      </c>
      <c r="F14" s="64" t="s">
        <v>170</v>
      </c>
      <c r="G14" s="95" t="str">
        <f>IF(H14="","None removed",H14)</f>
        <v>None removed</v>
      </c>
      <c r="H14" s="81"/>
      <c r="I14" s="122"/>
      <c r="J14" s="122"/>
      <c r="K14" s="122"/>
      <c r="L14" s="122"/>
      <c r="M14" s="122"/>
      <c r="N14" s="122"/>
      <c r="O14" s="122"/>
      <c r="P14" s="122"/>
      <c r="R14" s="93">
        <f ca="1">MAX(PriorHarvestDate,MIN(C38,CurrentEstablishDate))</f>
        <v>44973</v>
      </c>
      <c r="W14" s="60"/>
      <c r="X14" s="60"/>
      <c r="Y14" s="60"/>
      <c r="Z14" s="60"/>
    </row>
    <row r="15" spans="2:26" s="62" customFormat="1" ht="16.5" thickBot="1" x14ac:dyDescent="0.3">
      <c r="C15" s="123" t="s">
        <v>169</v>
      </c>
      <c r="D15" s="124" t="str">
        <f ca="1">'Model Interface'!U2 &amp; " Kg/ha"</f>
        <v>0 Kg/ha</v>
      </c>
      <c r="E15" s="125" t="s">
        <v>200</v>
      </c>
      <c r="F15" s="64" t="s">
        <v>171</v>
      </c>
      <c r="G15" s="95" t="str">
        <f>IF(H15="","Full (Plough)",H15)</f>
        <v>Full (Plough)</v>
      </c>
      <c r="H15" s="81"/>
      <c r="I15" s="122"/>
      <c r="J15" s="122"/>
      <c r="K15" s="122"/>
      <c r="L15" s="122"/>
      <c r="M15" s="122"/>
      <c r="N15" s="122"/>
      <c r="O15" s="122"/>
      <c r="P15" s="122"/>
      <c r="R15" s="137" t="s">
        <v>193</v>
      </c>
      <c r="S15" s="137"/>
      <c r="T15" s="137"/>
      <c r="U15" s="137"/>
      <c r="V15" s="137"/>
      <c r="W15" s="60"/>
      <c r="X15" s="60"/>
      <c r="Y15" s="60"/>
      <c r="Z15" s="60"/>
    </row>
    <row r="16" spans="2:26" s="62" customFormat="1" ht="5.25" customHeight="1" x14ac:dyDescent="0.25">
      <c r="C16" s="68"/>
      <c r="D16" s="116"/>
      <c r="E16" s="68"/>
      <c r="I16" s="122"/>
      <c r="J16" s="122"/>
      <c r="K16" s="122"/>
      <c r="L16" s="122"/>
      <c r="M16" s="122"/>
      <c r="N16" s="122"/>
      <c r="O16" s="122"/>
      <c r="P16" s="122"/>
      <c r="W16" s="60"/>
      <c r="X16" s="60"/>
      <c r="Y16" s="60"/>
      <c r="Z16" s="60"/>
    </row>
    <row r="17" spans="1:26" s="61" customFormat="1" ht="15.75" thickBot="1" x14ac:dyDescent="0.3">
      <c r="A17" s="62"/>
      <c r="B17" s="62"/>
      <c r="C17" s="144" t="s">
        <v>198</v>
      </c>
      <c r="D17" s="144"/>
      <c r="E17" s="144"/>
      <c r="F17" s="144"/>
      <c r="G17" s="144"/>
      <c r="H17" s="144"/>
      <c r="I17" s="122"/>
      <c r="J17" s="122"/>
      <c r="K17" s="122"/>
      <c r="L17" s="122"/>
      <c r="M17" s="122"/>
      <c r="N17" s="122"/>
      <c r="O17" s="122"/>
      <c r="P17" s="122"/>
      <c r="Q17" s="62"/>
      <c r="R17" s="62" t="e">
        <f ca="1">'Model Interface'!P5</f>
        <v>#NAME?</v>
      </c>
      <c r="S17" s="62"/>
      <c r="T17" s="62" t="s">
        <v>168</v>
      </c>
      <c r="U17" s="62" t="s">
        <v>167</v>
      </c>
      <c r="V17" s="62" t="s">
        <v>13</v>
      </c>
      <c r="W17" s="62" t="s">
        <v>218</v>
      </c>
      <c r="X17" s="62" t="s">
        <v>219</v>
      </c>
      <c r="Y17" s="62" t="s">
        <v>201</v>
      </c>
      <c r="Z17" s="62" t="s">
        <v>222</v>
      </c>
    </row>
    <row r="18" spans="1:26" s="62" customFormat="1" ht="5.25" customHeight="1" x14ac:dyDescent="0.25">
      <c r="F18" s="66"/>
      <c r="G18" s="66"/>
      <c r="H18" s="66"/>
      <c r="I18" s="122"/>
      <c r="J18" s="122"/>
      <c r="K18" s="122"/>
      <c r="L18" s="122"/>
      <c r="M18" s="122"/>
      <c r="N18" s="122"/>
      <c r="O18" s="122"/>
      <c r="P18" s="122"/>
      <c r="R18" s="93" t="str">
        <f t="array" aca="1" ref="R18:R395" ca="1">_xlfn._xlws.FILTER('Model Interface'!AD6:AD495,('Model Interface'!AD6:AD495&gt;=StartGraphDate)*('Model Interface'!AD6:AD495&lt;=CurrentHarvestDate),"")</f>
        <v/>
      </c>
      <c r="S18" s="62" t="str">
        <f ca="1">IF(R18&gt;1,R18,"")</f>
        <v/>
      </c>
      <c r="T18" s="62" t="e">
        <f t="shared" ref="T18:T81" ca="1" si="0">VLOOKUP(S18,ModelOutputs,2,FALSE)</f>
        <v>#N/A</v>
      </c>
      <c r="U18" s="62" t="e">
        <f t="shared" ref="U18:U81" ca="1" si="1">VLOOKUP(S18,ModelOutputs,7,FALSE)</f>
        <v>#N/A</v>
      </c>
      <c r="V18" s="62" t="e">
        <f t="shared" ref="V18:V81" ca="1" si="2">VLOOKUP(S18,ModelOutputs,6,FALSE)</f>
        <v>#N/A</v>
      </c>
      <c r="W18" s="60" t="e">
        <f t="shared" ref="W18:W81" ca="1" si="3">VLOOKUP(S18,ModelOutputs,10,FALSE)*AWC</f>
        <v>#N/A</v>
      </c>
      <c r="X18" s="60" t="e">
        <f ca="1">VLOOKUP(S18,ModelOutputs,11,FALSE)</f>
        <v>#N/A</v>
      </c>
      <c r="Y18" s="60" t="e">
        <f t="shared" ref="Y18:Y81" ca="1" si="4">VLOOKUP(S18,ModelOutputs,12,FALSE)</f>
        <v>#N/A</v>
      </c>
      <c r="Z18" s="60" t="e">
        <f t="shared" ref="Z18:Z81" ca="1" si="5">VLOOKUP(S18,ModelOutputs,13,FALSE)</f>
        <v>#N/A</v>
      </c>
    </row>
    <row r="19" spans="1:26" s="62" customFormat="1" x14ac:dyDescent="0.25">
      <c r="C19" s="64" t="s">
        <v>240</v>
      </c>
      <c r="D19" s="95">
        <f>IF(E19="",60,E19)</f>
        <v>60</v>
      </c>
      <c r="E19" s="18"/>
      <c r="F19" s="110" t="str">
        <f ca="1">ROUND('Model Interface'!T2,0)&amp;" kg N/ha available from SOM mineralisation"</f>
        <v>0 kg N/ha available from SOM mineralisation</v>
      </c>
      <c r="I19" s="122"/>
      <c r="J19" s="122"/>
      <c r="K19" s="122"/>
      <c r="L19" s="122"/>
      <c r="M19" s="122"/>
      <c r="N19" s="122"/>
      <c r="O19" s="122"/>
      <c r="P19" s="122"/>
      <c r="R19" s="93" t="str">
        <f ca="1"/>
        <v/>
      </c>
      <c r="S19" s="62" t="str">
        <f t="shared" ref="S19:S82" ca="1" si="6">IF(R19&gt;1,R19,"")</f>
        <v/>
      </c>
      <c r="T19" s="62" t="e">
        <f t="shared" ca="1" si="0"/>
        <v>#N/A</v>
      </c>
      <c r="U19" s="62" t="e">
        <f t="shared" ca="1" si="1"/>
        <v>#N/A</v>
      </c>
      <c r="V19" s="62" t="e">
        <f t="shared" ca="1" si="2"/>
        <v>#N/A</v>
      </c>
      <c r="W19" s="60" t="e">
        <f t="shared" ca="1" si="3"/>
        <v>#N/A</v>
      </c>
      <c r="X19" s="60" t="e">
        <f t="shared" ref="X19:X82" ca="1" si="7">VLOOKUP(S19,ModelOutputs,11,FALSE)+X18</f>
        <v>#N/A</v>
      </c>
      <c r="Y19" s="60" t="e">
        <f t="shared" ca="1" si="4"/>
        <v>#N/A</v>
      </c>
      <c r="Z19" s="60" t="e">
        <f t="shared" ca="1" si="5"/>
        <v>#N/A</v>
      </c>
    </row>
    <row r="20" spans="1:26" s="62" customFormat="1" x14ac:dyDescent="0.25">
      <c r="C20" s="64" t="s">
        <v>230</v>
      </c>
      <c r="D20" s="95" t="str">
        <f>IF(E20="","PMN",E20)</f>
        <v>PMN</v>
      </c>
      <c r="E20" s="18"/>
      <c r="F20" s="110"/>
      <c r="I20" s="122"/>
      <c r="J20" s="122"/>
      <c r="K20" s="122"/>
      <c r="L20" s="122"/>
      <c r="M20" s="122"/>
      <c r="N20" s="122"/>
      <c r="O20" s="122"/>
      <c r="P20" s="122"/>
      <c r="R20" s="93" t="str">
        <f ca="1"/>
        <v/>
      </c>
      <c r="S20" s="62" t="str">
        <f t="shared" ca="1" si="6"/>
        <v/>
      </c>
      <c r="T20" s="62" t="e">
        <f t="shared" ca="1" si="0"/>
        <v>#N/A</v>
      </c>
      <c r="U20" s="62" t="e">
        <f t="shared" ca="1" si="1"/>
        <v>#N/A</v>
      </c>
      <c r="V20" s="62" t="e">
        <f t="shared" ca="1" si="2"/>
        <v>#N/A</v>
      </c>
      <c r="W20" s="60" t="e">
        <f t="shared" ca="1" si="3"/>
        <v>#N/A</v>
      </c>
      <c r="X20" s="60" t="e">
        <f t="shared" ca="1" si="7"/>
        <v>#N/A</v>
      </c>
      <c r="Y20" s="60" t="e">
        <f t="shared" ca="1" si="4"/>
        <v>#N/A</v>
      </c>
      <c r="Z20" s="60" t="e">
        <f t="shared" ca="1" si="5"/>
        <v>#N/A</v>
      </c>
    </row>
    <row r="21" spans="1:26" s="62" customFormat="1" ht="15.75" customHeight="1" x14ac:dyDescent="0.25">
      <c r="B21" s="62">
        <f>VLOOKUP(SampleDepth,depths,2,FALSE)</f>
        <v>3</v>
      </c>
      <c r="C21" s="64" t="s">
        <v>228</v>
      </c>
      <c r="D21" s="95" t="str">
        <f>IF(E21="","0-30cm",E21)</f>
        <v>0-30cm</v>
      </c>
      <c r="E21" s="18"/>
      <c r="F21" s="110"/>
      <c r="I21" s="122"/>
      <c r="J21" s="122"/>
      <c r="K21" s="122"/>
      <c r="L21" s="122"/>
      <c r="M21" s="122"/>
      <c r="N21" s="122"/>
      <c r="O21" s="122"/>
      <c r="P21" s="122"/>
      <c r="R21" s="93" t="str">
        <f ca="1"/>
        <v/>
      </c>
      <c r="S21" s="62" t="str">
        <f t="shared" ca="1" si="6"/>
        <v/>
      </c>
      <c r="T21" s="62" t="e">
        <f t="shared" ca="1" si="0"/>
        <v>#N/A</v>
      </c>
      <c r="U21" s="62" t="e">
        <f t="shared" ca="1" si="1"/>
        <v>#N/A</v>
      </c>
      <c r="V21" s="62" t="e">
        <f t="shared" ca="1" si="2"/>
        <v>#N/A</v>
      </c>
      <c r="W21" s="60" t="e">
        <f t="shared" ca="1" si="3"/>
        <v>#N/A</v>
      </c>
      <c r="X21" s="60" t="e">
        <f t="shared" ca="1" si="7"/>
        <v>#N/A</v>
      </c>
      <c r="Y21" s="60" t="e">
        <f t="shared" ca="1" si="4"/>
        <v>#N/A</v>
      </c>
      <c r="Z21" s="60" t="e">
        <f t="shared" ca="1" si="5"/>
        <v>#N/A</v>
      </c>
    </row>
    <row r="22" spans="1:26" s="62" customFormat="1" ht="15" customHeight="1" x14ac:dyDescent="0.25">
      <c r="C22" s="64" t="s">
        <v>229</v>
      </c>
      <c r="D22" s="95" t="str">
        <f>IF(E22="","Brown",E22)</f>
        <v>Brown</v>
      </c>
      <c r="E22" s="18"/>
      <c r="F22" s="110"/>
      <c r="I22" s="122"/>
      <c r="J22" s="122"/>
      <c r="K22" s="122"/>
      <c r="L22" s="122"/>
      <c r="M22" s="122"/>
      <c r="N22" s="122"/>
      <c r="O22" s="122"/>
      <c r="P22" s="122"/>
      <c r="R22" s="93" t="str">
        <f ca="1"/>
        <v/>
      </c>
      <c r="S22" s="62" t="str">
        <f t="shared" ca="1" si="6"/>
        <v/>
      </c>
      <c r="T22" s="62" t="e">
        <f t="shared" ca="1" si="0"/>
        <v>#N/A</v>
      </c>
      <c r="U22" s="62" t="e">
        <f t="shared" ca="1" si="1"/>
        <v>#N/A</v>
      </c>
      <c r="V22" s="62" t="e">
        <f t="shared" ca="1" si="2"/>
        <v>#N/A</v>
      </c>
      <c r="W22" s="60" t="e">
        <f t="shared" ca="1" si="3"/>
        <v>#N/A</v>
      </c>
      <c r="X22" s="60" t="e">
        <f t="shared" ca="1" si="7"/>
        <v>#N/A</v>
      </c>
      <c r="Y22" s="60" t="e">
        <f t="shared" ca="1" si="4"/>
        <v>#N/A</v>
      </c>
      <c r="Z22" s="60" t="e">
        <f t="shared" ca="1" si="5"/>
        <v>#N/A</v>
      </c>
    </row>
    <row r="23" spans="1:26" s="62" customFormat="1" x14ac:dyDescent="0.25">
      <c r="C23" s="64" t="s">
        <v>226</v>
      </c>
      <c r="D23" s="95">
        <f>IF(E23="",VLOOKUP(SoilOrder,SoilOrders,B21,FALSE),E23)</f>
        <v>1.22</v>
      </c>
      <c r="E23" s="136"/>
      <c r="F23" s="110"/>
      <c r="I23" s="122"/>
      <c r="J23" s="122"/>
      <c r="K23" s="122"/>
      <c r="L23" s="122"/>
      <c r="M23" s="122"/>
      <c r="N23" s="122"/>
      <c r="O23" s="122"/>
      <c r="P23" s="122"/>
      <c r="R23" s="93" t="str">
        <f ca="1"/>
        <v/>
      </c>
      <c r="S23" s="62" t="str">
        <f t="shared" ca="1" si="6"/>
        <v/>
      </c>
      <c r="T23" s="62" t="e">
        <f t="shared" ca="1" si="0"/>
        <v>#N/A</v>
      </c>
      <c r="U23" s="62" t="e">
        <f t="shared" ca="1" si="1"/>
        <v>#N/A</v>
      </c>
      <c r="V23" s="62" t="e">
        <f t="shared" ca="1" si="2"/>
        <v>#N/A</v>
      </c>
      <c r="W23" s="60" t="e">
        <f t="shared" ca="1" si="3"/>
        <v>#N/A</v>
      </c>
      <c r="X23" s="60" t="e">
        <f t="shared" ca="1" si="7"/>
        <v>#N/A</v>
      </c>
      <c r="Y23" s="60" t="e">
        <f t="shared" ca="1" si="4"/>
        <v>#N/A</v>
      </c>
      <c r="Z23" s="60" t="e">
        <f t="shared" ca="1" si="5"/>
        <v>#N/A</v>
      </c>
    </row>
    <row r="24" spans="1:26" s="62" customFormat="1" x14ac:dyDescent="0.25">
      <c r="A24" s="93" t="str">
        <f t="array" aca="1" ref="A24:A38" ca="1">_xlfn._xlws.FILTER('Model Interface'!AD6:AD495,'Model Interface'!AE6:AE495&gt;0,"")</f>
        <v/>
      </c>
      <c r="B24" s="62">
        <f t="shared" ref="B24:B38" ca="1" si="8">IF(AND(NOT(F29=""),F29&gt;=StartSchedullingDate),1,0)</f>
        <v>0</v>
      </c>
      <c r="D24" s="135"/>
      <c r="F24" s="110"/>
      <c r="I24" s="122"/>
      <c r="J24" s="122"/>
      <c r="K24" s="122"/>
      <c r="L24" s="122"/>
      <c r="M24" s="122"/>
      <c r="N24" s="122"/>
      <c r="O24" s="122"/>
      <c r="P24" s="122"/>
      <c r="R24" s="93" t="str">
        <f ca="1"/>
        <v/>
      </c>
      <c r="S24" s="62" t="str">
        <f t="shared" ca="1" si="6"/>
        <v/>
      </c>
      <c r="T24" s="62" t="e">
        <f t="shared" ca="1" si="0"/>
        <v>#N/A</v>
      </c>
      <c r="U24" s="62" t="e">
        <f t="shared" ca="1" si="1"/>
        <v>#N/A</v>
      </c>
      <c r="V24" s="62" t="e">
        <f t="shared" ca="1" si="2"/>
        <v>#N/A</v>
      </c>
      <c r="W24" s="60" t="e">
        <f t="shared" ca="1" si="3"/>
        <v>#N/A</v>
      </c>
      <c r="X24" s="60" t="e">
        <f t="shared" ca="1" si="7"/>
        <v>#N/A</v>
      </c>
      <c r="Y24" s="60" t="e">
        <f t="shared" ca="1" si="4"/>
        <v>#N/A</v>
      </c>
      <c r="Z24" s="60" t="e">
        <f t="shared" ca="1" si="5"/>
        <v>#N/A</v>
      </c>
    </row>
    <row r="25" spans="1:26" s="62" customFormat="1" x14ac:dyDescent="0.25">
      <c r="A25" s="93" t="str">
        <f ca="1"/>
        <v/>
      </c>
      <c r="B25" s="62">
        <f t="shared" ca="1" si="8"/>
        <v>0</v>
      </c>
      <c r="C25" s="69" t="str">
        <f>IF(COUNT(C29:C34)&gt;0,"Side dressings remaining","Side dressings")</f>
        <v>Side dressings</v>
      </c>
      <c r="D25" s="95">
        <f>IF(E25="",1,E25)</f>
        <v>1</v>
      </c>
      <c r="E25" s="114"/>
      <c r="I25" s="122"/>
      <c r="J25" s="122"/>
      <c r="K25" s="122"/>
      <c r="L25" s="122"/>
      <c r="M25" s="122"/>
      <c r="N25" s="122"/>
      <c r="O25" s="122"/>
      <c r="P25" s="122"/>
      <c r="R25" s="93" t="str">
        <f ca="1"/>
        <v/>
      </c>
      <c r="S25" s="62" t="str">
        <f t="shared" ca="1" si="6"/>
        <v/>
      </c>
      <c r="T25" s="62" t="e">
        <f t="shared" ca="1" si="0"/>
        <v>#N/A</v>
      </c>
      <c r="U25" s="62" t="e">
        <f t="shared" ca="1" si="1"/>
        <v>#N/A</v>
      </c>
      <c r="V25" s="62" t="e">
        <f t="shared" ca="1" si="2"/>
        <v>#N/A</v>
      </c>
      <c r="W25" s="60" t="e">
        <f t="shared" ca="1" si="3"/>
        <v>#N/A</v>
      </c>
      <c r="X25" s="60" t="e">
        <f t="shared" ca="1" si="7"/>
        <v>#N/A</v>
      </c>
      <c r="Y25" s="60" t="e">
        <f t="shared" ca="1" si="4"/>
        <v>#N/A</v>
      </c>
      <c r="Z25" s="60" t="e">
        <f t="shared" ca="1" si="5"/>
        <v>#N/A</v>
      </c>
    </row>
    <row r="26" spans="1:26" s="62" customFormat="1" ht="15.75" thickBot="1" x14ac:dyDescent="0.3">
      <c r="A26" s="93" t="str">
        <f ca="1"/>
        <v/>
      </c>
      <c r="B26" s="62">
        <f t="shared" ca="1" si="8"/>
        <v>0</v>
      </c>
      <c r="C26" s="63"/>
      <c r="D26" s="63"/>
      <c r="E26" s="63"/>
      <c r="F26" s="63"/>
      <c r="I26" s="122"/>
      <c r="J26" s="122"/>
      <c r="K26" s="122"/>
      <c r="L26" s="122"/>
      <c r="M26" s="122"/>
      <c r="N26" s="122"/>
      <c r="O26" s="122"/>
      <c r="P26" s="122"/>
      <c r="R26" s="93" t="str">
        <f ca="1"/>
        <v/>
      </c>
      <c r="S26" s="62" t="str">
        <f t="shared" ca="1" si="6"/>
        <v/>
      </c>
      <c r="T26" s="62" t="e">
        <f t="shared" ca="1" si="0"/>
        <v>#N/A</v>
      </c>
      <c r="U26" s="62" t="e">
        <f t="shared" ca="1" si="1"/>
        <v>#N/A</v>
      </c>
      <c r="V26" s="62" t="e">
        <f t="shared" ca="1" si="2"/>
        <v>#N/A</v>
      </c>
      <c r="W26" s="60" t="e">
        <f t="shared" ca="1" si="3"/>
        <v>#N/A</v>
      </c>
      <c r="X26" s="60" t="e">
        <f t="shared" ca="1" si="7"/>
        <v>#N/A</v>
      </c>
      <c r="Y26" s="60" t="e">
        <f t="shared" ca="1" si="4"/>
        <v>#N/A</v>
      </c>
      <c r="Z26" s="60" t="e">
        <f t="shared" ca="1" si="5"/>
        <v>#N/A</v>
      </c>
    </row>
    <row r="27" spans="1:26" s="62" customFormat="1" ht="15.75" thickBot="1" x14ac:dyDescent="0.3">
      <c r="A27" s="93" t="str">
        <f ca="1"/>
        <v/>
      </c>
      <c r="B27" s="62">
        <f t="shared" ca="1" si="8"/>
        <v>0</v>
      </c>
      <c r="C27" s="147" t="s">
        <v>146</v>
      </c>
      <c r="D27" s="148"/>
      <c r="E27" s="67"/>
      <c r="F27" s="149" t="s">
        <v>153</v>
      </c>
      <c r="G27" s="150"/>
      <c r="I27" s="122"/>
      <c r="J27" s="122"/>
      <c r="K27" s="122"/>
      <c r="L27" s="122"/>
      <c r="M27" s="122"/>
      <c r="N27" s="122"/>
      <c r="O27" s="122"/>
      <c r="P27" s="122"/>
      <c r="R27" s="93" t="str">
        <f ca="1"/>
        <v/>
      </c>
      <c r="S27" s="62" t="str">
        <f t="shared" ca="1" si="6"/>
        <v/>
      </c>
      <c r="T27" s="62" t="e">
        <f t="shared" ca="1" si="0"/>
        <v>#N/A</v>
      </c>
      <c r="U27" s="62" t="e">
        <f t="shared" ca="1" si="1"/>
        <v>#N/A</v>
      </c>
      <c r="V27" s="62" t="e">
        <f t="shared" ca="1" si="2"/>
        <v>#N/A</v>
      </c>
      <c r="W27" s="60" t="e">
        <f t="shared" ca="1" si="3"/>
        <v>#N/A</v>
      </c>
      <c r="X27" s="60" t="e">
        <f t="shared" ca="1" si="7"/>
        <v>#N/A</v>
      </c>
      <c r="Y27" s="60" t="e">
        <f t="shared" ca="1" si="4"/>
        <v>#N/A</v>
      </c>
      <c r="Z27" s="60" t="e">
        <f t="shared" ca="1" si="5"/>
        <v>#N/A</v>
      </c>
    </row>
    <row r="28" spans="1:26" s="62" customFormat="1" ht="15.75" thickBot="1" x14ac:dyDescent="0.3">
      <c r="A28" s="93" t="str">
        <f ca="1"/>
        <v/>
      </c>
      <c r="B28" s="62">
        <f t="shared" ca="1" si="8"/>
        <v>0</v>
      </c>
      <c r="C28" s="126" t="s">
        <v>14</v>
      </c>
      <c r="D28" s="127" t="s">
        <v>117</v>
      </c>
      <c r="E28" s="68"/>
      <c r="F28" s="70" t="s">
        <v>14</v>
      </c>
      <c r="G28" s="71" t="s">
        <v>117</v>
      </c>
      <c r="I28" s="122"/>
      <c r="J28" s="122"/>
      <c r="K28" s="122"/>
      <c r="L28" s="122"/>
      <c r="M28" s="122"/>
      <c r="N28" s="122"/>
      <c r="O28" s="122"/>
      <c r="P28" s="122"/>
      <c r="R28" s="93" t="str">
        <f ca="1"/>
        <v/>
      </c>
      <c r="S28" s="62" t="str">
        <f t="shared" ca="1" si="6"/>
        <v/>
      </c>
      <c r="T28" s="62" t="e">
        <f t="shared" ca="1" si="0"/>
        <v>#N/A</v>
      </c>
      <c r="U28" s="62" t="e">
        <f t="shared" ca="1" si="1"/>
        <v>#N/A</v>
      </c>
      <c r="V28" s="62" t="e">
        <f t="shared" ca="1" si="2"/>
        <v>#N/A</v>
      </c>
      <c r="W28" s="60" t="e">
        <f t="shared" ca="1" si="3"/>
        <v>#N/A</v>
      </c>
      <c r="X28" s="60" t="e">
        <f t="shared" ca="1" si="7"/>
        <v>#N/A</v>
      </c>
      <c r="Y28" s="60" t="e">
        <f t="shared" ca="1" si="4"/>
        <v>#N/A</v>
      </c>
      <c r="Z28" s="60" t="e">
        <f t="shared" ca="1" si="5"/>
        <v>#N/A</v>
      </c>
    </row>
    <row r="29" spans="1:26" s="62" customFormat="1" x14ac:dyDescent="0.25">
      <c r="A29" s="93" t="str">
        <f ca="1"/>
        <v/>
      </c>
      <c r="B29" s="62">
        <f t="shared" ca="1" si="8"/>
        <v>0</v>
      </c>
      <c r="C29" s="87"/>
      <c r="D29" s="90"/>
      <c r="E29" s="68"/>
      <c r="F29" s="83" t="str">
        <f ca="1">A24</f>
        <v/>
      </c>
      <c r="G29" s="85" t="str">
        <f ca="1">IFERROR(VLOOKUP(F29,'Model Interface'!$P$6:$U$495,6,FALSE),"")</f>
        <v/>
      </c>
      <c r="H29" s="62" t="str">
        <f ca="1">IF(B24=1,"Suggested","Applied or Planned")</f>
        <v>Applied or Planned</v>
      </c>
      <c r="I29" s="122"/>
      <c r="J29" s="122"/>
      <c r="K29" s="122"/>
      <c r="L29" s="122"/>
      <c r="M29" s="122"/>
      <c r="N29" s="122"/>
      <c r="O29" s="122"/>
      <c r="P29" s="122"/>
      <c r="R29" s="93" t="str">
        <f ca="1"/>
        <v/>
      </c>
      <c r="S29" s="62" t="str">
        <f t="shared" ca="1" si="6"/>
        <v/>
      </c>
      <c r="T29" s="62" t="e">
        <f t="shared" ca="1" si="0"/>
        <v>#N/A</v>
      </c>
      <c r="U29" s="62" t="e">
        <f t="shared" ca="1" si="1"/>
        <v>#N/A</v>
      </c>
      <c r="V29" s="62" t="e">
        <f t="shared" ca="1" si="2"/>
        <v>#N/A</v>
      </c>
      <c r="W29" s="60" t="e">
        <f t="shared" ca="1" si="3"/>
        <v>#N/A</v>
      </c>
      <c r="X29" s="60" t="e">
        <f t="shared" ca="1" si="7"/>
        <v>#N/A</v>
      </c>
      <c r="Y29" s="60" t="e">
        <f t="shared" ca="1" si="4"/>
        <v>#N/A</v>
      </c>
      <c r="Z29" s="60" t="e">
        <f t="shared" ca="1" si="5"/>
        <v>#N/A</v>
      </c>
    </row>
    <row r="30" spans="1:26" s="62" customFormat="1" x14ac:dyDescent="0.25">
      <c r="A30" s="93" t="str">
        <f ca="1"/>
        <v/>
      </c>
      <c r="B30" s="62">
        <f t="shared" ca="1" si="8"/>
        <v>0</v>
      </c>
      <c r="C30" s="88"/>
      <c r="D30" s="91"/>
      <c r="E30" s="68"/>
      <c r="F30" s="83" t="str">
        <f t="shared" ref="F30:F43" ca="1" si="9">IFERROR(IF(A25=A24,"",A25),"")</f>
        <v/>
      </c>
      <c r="G30" s="85" t="str">
        <f ca="1">IFERROR(VLOOKUP(F30,'Model Interface'!$P$6:$U$495,6,FALSE),"")</f>
        <v/>
      </c>
      <c r="H30" s="62" t="str">
        <f t="shared" ref="H30:H43" ca="1" si="10">IF(F30="","",IF(F30&lt;=StartSchedullingDate,"Applied or Planned","Suggested"))</f>
        <v/>
      </c>
      <c r="I30" s="122"/>
      <c r="J30" s="122"/>
      <c r="K30" s="122"/>
      <c r="L30" s="122"/>
      <c r="M30" s="122"/>
      <c r="N30" s="122"/>
      <c r="O30" s="122"/>
      <c r="P30" s="122"/>
      <c r="R30" s="93" t="str">
        <f ca="1"/>
        <v/>
      </c>
      <c r="S30" s="62" t="str">
        <f t="shared" ca="1" si="6"/>
        <v/>
      </c>
      <c r="T30" s="62" t="e">
        <f t="shared" ca="1" si="0"/>
        <v>#N/A</v>
      </c>
      <c r="U30" s="62" t="e">
        <f t="shared" ca="1" si="1"/>
        <v>#N/A</v>
      </c>
      <c r="V30" s="62" t="e">
        <f t="shared" ca="1" si="2"/>
        <v>#N/A</v>
      </c>
      <c r="W30" s="60" t="e">
        <f t="shared" ca="1" si="3"/>
        <v>#N/A</v>
      </c>
      <c r="X30" s="60" t="e">
        <f t="shared" ca="1" si="7"/>
        <v>#N/A</v>
      </c>
      <c r="Y30" s="60" t="e">
        <f t="shared" ca="1" si="4"/>
        <v>#N/A</v>
      </c>
      <c r="Z30" s="60" t="e">
        <f t="shared" ca="1" si="5"/>
        <v>#N/A</v>
      </c>
    </row>
    <row r="31" spans="1:26" s="62" customFormat="1" x14ac:dyDescent="0.25">
      <c r="A31" s="93" t="str">
        <f ca="1"/>
        <v/>
      </c>
      <c r="B31" s="62">
        <f t="shared" ca="1" si="8"/>
        <v>0</v>
      </c>
      <c r="C31" s="88"/>
      <c r="D31" s="91"/>
      <c r="E31" s="68"/>
      <c r="F31" s="83" t="str">
        <f t="shared" ca="1" si="9"/>
        <v/>
      </c>
      <c r="G31" s="85" t="str">
        <f ca="1">IFERROR(VLOOKUP(F31,'Model Interface'!$P$6:$U$495,6,FALSE),"")</f>
        <v/>
      </c>
      <c r="H31" s="62" t="str">
        <f t="shared" ca="1" si="10"/>
        <v/>
      </c>
      <c r="I31" s="122"/>
      <c r="J31" s="122"/>
      <c r="K31" s="122"/>
      <c r="L31" s="122"/>
      <c r="M31" s="122"/>
      <c r="N31" s="122"/>
      <c r="O31" s="122"/>
      <c r="P31" s="122"/>
      <c r="R31" s="93" t="str">
        <f ca="1"/>
        <v/>
      </c>
      <c r="S31" s="62" t="str">
        <f t="shared" ca="1" si="6"/>
        <v/>
      </c>
      <c r="T31" s="62" t="e">
        <f t="shared" ca="1" si="0"/>
        <v>#N/A</v>
      </c>
      <c r="U31" s="62" t="e">
        <f t="shared" ca="1" si="1"/>
        <v>#N/A</v>
      </c>
      <c r="V31" s="62" t="e">
        <f t="shared" ca="1" si="2"/>
        <v>#N/A</v>
      </c>
      <c r="W31" s="60" t="e">
        <f t="shared" ca="1" si="3"/>
        <v>#N/A</v>
      </c>
      <c r="X31" s="60" t="e">
        <f t="shared" ca="1" si="7"/>
        <v>#N/A</v>
      </c>
      <c r="Y31" s="60" t="e">
        <f t="shared" ca="1" si="4"/>
        <v>#N/A</v>
      </c>
      <c r="Z31" s="60" t="e">
        <f t="shared" ca="1" si="5"/>
        <v>#N/A</v>
      </c>
    </row>
    <row r="32" spans="1:26" s="62" customFormat="1" x14ac:dyDescent="0.25">
      <c r="A32" s="93" t="str">
        <f ca="1"/>
        <v/>
      </c>
      <c r="B32" s="62">
        <f t="shared" ca="1" si="8"/>
        <v>0</v>
      </c>
      <c r="C32" s="88"/>
      <c r="D32" s="91"/>
      <c r="E32" s="68"/>
      <c r="F32" s="83" t="str">
        <f t="shared" ca="1" si="9"/>
        <v/>
      </c>
      <c r="G32" s="85" t="str">
        <f ca="1">IFERROR(VLOOKUP(F32,'Model Interface'!$P$6:$U$495,6,FALSE),"")</f>
        <v/>
      </c>
      <c r="H32" s="62" t="str">
        <f t="shared" ca="1" si="10"/>
        <v/>
      </c>
      <c r="I32" s="122"/>
      <c r="J32" s="122"/>
      <c r="K32" s="122"/>
      <c r="L32" s="122"/>
      <c r="M32" s="122"/>
      <c r="N32" s="122"/>
      <c r="O32" s="122"/>
      <c r="P32" s="122"/>
      <c r="R32" s="93" t="str">
        <f ca="1"/>
        <v/>
      </c>
      <c r="S32" s="62" t="str">
        <f t="shared" ca="1" si="6"/>
        <v/>
      </c>
      <c r="T32" s="62" t="e">
        <f t="shared" ca="1" si="0"/>
        <v>#N/A</v>
      </c>
      <c r="U32" s="62" t="e">
        <f t="shared" ca="1" si="1"/>
        <v>#N/A</v>
      </c>
      <c r="V32" s="62" t="e">
        <f t="shared" ca="1" si="2"/>
        <v>#N/A</v>
      </c>
      <c r="W32" s="60" t="e">
        <f t="shared" ca="1" si="3"/>
        <v>#N/A</v>
      </c>
      <c r="X32" s="60" t="e">
        <f t="shared" ca="1" si="7"/>
        <v>#N/A</v>
      </c>
      <c r="Y32" s="60" t="e">
        <f t="shared" ca="1" si="4"/>
        <v>#N/A</v>
      </c>
      <c r="Z32" s="60" t="e">
        <f t="shared" ca="1" si="5"/>
        <v>#N/A</v>
      </c>
    </row>
    <row r="33" spans="1:26" s="62" customFormat="1" x14ac:dyDescent="0.25">
      <c r="A33" s="93" t="str">
        <f ca="1"/>
        <v/>
      </c>
      <c r="B33" s="62">
        <f t="shared" ca="1" si="8"/>
        <v>0</v>
      </c>
      <c r="C33" s="88"/>
      <c r="D33" s="91"/>
      <c r="E33" s="68"/>
      <c r="F33" s="83" t="str">
        <f t="shared" ca="1" si="9"/>
        <v/>
      </c>
      <c r="G33" s="85" t="str">
        <f ca="1">IFERROR(VLOOKUP(F33,'Model Interface'!$P$6:$U$495,6,FALSE),"")</f>
        <v/>
      </c>
      <c r="H33" s="62" t="str">
        <f t="shared" ca="1" si="10"/>
        <v/>
      </c>
      <c r="I33" s="122"/>
      <c r="J33" s="122"/>
      <c r="K33" s="122"/>
      <c r="L33" s="122"/>
      <c r="M33" s="122"/>
      <c r="N33" s="122"/>
      <c r="O33" s="122"/>
      <c r="P33" s="122"/>
      <c r="R33" s="93" t="str">
        <f ca="1"/>
        <v/>
      </c>
      <c r="S33" s="62" t="str">
        <f t="shared" ca="1" si="6"/>
        <v/>
      </c>
      <c r="T33" s="62" t="e">
        <f t="shared" ca="1" si="0"/>
        <v>#N/A</v>
      </c>
      <c r="U33" s="62" t="e">
        <f t="shared" ca="1" si="1"/>
        <v>#N/A</v>
      </c>
      <c r="V33" s="62" t="e">
        <f t="shared" ca="1" si="2"/>
        <v>#N/A</v>
      </c>
      <c r="W33" s="60" t="e">
        <f t="shared" ca="1" si="3"/>
        <v>#N/A</v>
      </c>
      <c r="X33" s="60" t="e">
        <f t="shared" ca="1" si="7"/>
        <v>#N/A</v>
      </c>
      <c r="Y33" s="60" t="e">
        <f t="shared" ca="1" si="4"/>
        <v>#N/A</v>
      </c>
      <c r="Z33" s="60" t="e">
        <f t="shared" ca="1" si="5"/>
        <v>#N/A</v>
      </c>
    </row>
    <row r="34" spans="1:26" s="62" customFormat="1" ht="15.75" thickBot="1" x14ac:dyDescent="0.3">
      <c r="A34" s="93" t="str">
        <f ca="1"/>
        <v/>
      </c>
      <c r="B34" s="62">
        <f t="shared" ca="1" si="8"/>
        <v>0</v>
      </c>
      <c r="C34" s="89"/>
      <c r="D34" s="92"/>
      <c r="E34" s="68"/>
      <c r="F34" s="83" t="str">
        <f t="shared" ca="1" si="9"/>
        <v/>
      </c>
      <c r="G34" s="85" t="str">
        <f ca="1">IFERROR(VLOOKUP(F34,'Model Interface'!$P$6:$U$495,6,FALSE),"")</f>
        <v/>
      </c>
      <c r="H34" s="62" t="str">
        <f t="shared" ca="1" si="10"/>
        <v/>
      </c>
      <c r="I34" s="122"/>
      <c r="J34" s="122"/>
      <c r="K34" s="122"/>
      <c r="L34" s="122"/>
      <c r="M34" s="122"/>
      <c r="N34" s="122"/>
      <c r="O34" s="122"/>
      <c r="P34" s="122"/>
      <c r="R34" s="93" t="str">
        <f ca="1"/>
        <v/>
      </c>
      <c r="S34" s="62" t="str">
        <f t="shared" ca="1" si="6"/>
        <v/>
      </c>
      <c r="T34" s="62" t="e">
        <f t="shared" ca="1" si="0"/>
        <v>#N/A</v>
      </c>
      <c r="U34" s="62" t="e">
        <f t="shared" ca="1" si="1"/>
        <v>#N/A</v>
      </c>
      <c r="V34" s="62" t="e">
        <f t="shared" ca="1" si="2"/>
        <v>#N/A</v>
      </c>
      <c r="W34" s="60" t="e">
        <f t="shared" ca="1" si="3"/>
        <v>#N/A</v>
      </c>
      <c r="X34" s="60" t="e">
        <f t="shared" ca="1" si="7"/>
        <v>#N/A</v>
      </c>
      <c r="Y34" s="60" t="e">
        <f t="shared" ca="1" si="4"/>
        <v>#N/A</v>
      </c>
      <c r="Z34" s="60" t="e">
        <f t="shared" ca="1" si="5"/>
        <v>#N/A</v>
      </c>
    </row>
    <row r="35" spans="1:26" s="62" customFormat="1" ht="15.75" thickBot="1" x14ac:dyDescent="0.3">
      <c r="A35" s="93" t="str">
        <f ca="1"/>
        <v/>
      </c>
      <c r="B35" s="62">
        <f t="shared" ca="1" si="8"/>
        <v>0</v>
      </c>
      <c r="F35" s="83" t="str">
        <f t="shared" ca="1" si="9"/>
        <v/>
      </c>
      <c r="G35" s="85" t="str">
        <f ca="1">IFERROR(VLOOKUP(F35,'Model Interface'!$P$6:$U$495,6,FALSE),"")</f>
        <v/>
      </c>
      <c r="H35" s="62" t="str">
        <f t="shared" ca="1" si="10"/>
        <v/>
      </c>
      <c r="I35" s="122"/>
      <c r="J35" s="122"/>
      <c r="K35" s="122"/>
      <c r="L35" s="122"/>
      <c r="M35" s="122"/>
      <c r="N35" s="122"/>
      <c r="O35" s="122"/>
      <c r="P35" s="122"/>
      <c r="R35" s="93" t="str">
        <f ca="1"/>
        <v/>
      </c>
      <c r="S35" s="62" t="str">
        <f t="shared" ca="1" si="6"/>
        <v/>
      </c>
      <c r="T35" s="62" t="e">
        <f t="shared" ca="1" si="0"/>
        <v>#N/A</v>
      </c>
      <c r="U35" s="62" t="e">
        <f t="shared" ca="1" si="1"/>
        <v>#N/A</v>
      </c>
      <c r="V35" s="62" t="e">
        <f t="shared" ca="1" si="2"/>
        <v>#N/A</v>
      </c>
      <c r="W35" s="60" t="e">
        <f t="shared" ca="1" si="3"/>
        <v>#N/A</v>
      </c>
      <c r="X35" s="60" t="e">
        <f t="shared" ca="1" si="7"/>
        <v>#N/A</v>
      </c>
      <c r="Y35" s="60" t="e">
        <f t="shared" ca="1" si="4"/>
        <v>#N/A</v>
      </c>
      <c r="Z35" s="60" t="e">
        <f t="shared" ca="1" si="5"/>
        <v>#N/A</v>
      </c>
    </row>
    <row r="36" spans="1:26" s="62" customFormat="1" ht="15.75" thickBot="1" x14ac:dyDescent="0.3">
      <c r="A36" s="93" t="str">
        <f ca="1"/>
        <v/>
      </c>
      <c r="B36" s="62">
        <f t="shared" ca="1" si="8"/>
        <v>0</v>
      </c>
      <c r="C36" s="147" t="s">
        <v>147</v>
      </c>
      <c r="D36" s="148"/>
      <c r="F36" s="83" t="str">
        <f t="shared" ca="1" si="9"/>
        <v/>
      </c>
      <c r="G36" s="85" t="str">
        <f ca="1">IFERROR(VLOOKUP(F36,'Model Interface'!$P$6:$U$495,6,FALSE),"")</f>
        <v/>
      </c>
      <c r="H36" s="62" t="str">
        <f t="shared" ca="1" si="10"/>
        <v/>
      </c>
      <c r="I36" s="122"/>
      <c r="J36" s="122"/>
      <c r="K36" s="122"/>
      <c r="L36" s="122"/>
      <c r="M36" s="122"/>
      <c r="N36" s="122"/>
      <c r="O36" s="122"/>
      <c r="P36" s="122"/>
      <c r="R36" s="93" t="str">
        <f ca="1"/>
        <v/>
      </c>
      <c r="S36" s="62" t="str">
        <f t="shared" ca="1" si="6"/>
        <v/>
      </c>
      <c r="T36" s="62" t="e">
        <f t="shared" ca="1" si="0"/>
        <v>#N/A</v>
      </c>
      <c r="U36" s="62" t="e">
        <f t="shared" ca="1" si="1"/>
        <v>#N/A</v>
      </c>
      <c r="V36" s="62" t="e">
        <f t="shared" ca="1" si="2"/>
        <v>#N/A</v>
      </c>
      <c r="W36" s="60" t="e">
        <f t="shared" ca="1" si="3"/>
        <v>#N/A</v>
      </c>
      <c r="X36" s="60" t="e">
        <f t="shared" ca="1" si="7"/>
        <v>#N/A</v>
      </c>
      <c r="Y36" s="60" t="e">
        <f t="shared" ca="1" si="4"/>
        <v>#N/A</v>
      </c>
      <c r="Z36" s="60" t="e">
        <f t="shared" ca="1" si="5"/>
        <v>#N/A</v>
      </c>
    </row>
    <row r="37" spans="1:26" s="62" customFormat="1" ht="15.75" thickBot="1" x14ac:dyDescent="0.3">
      <c r="A37" s="93" t="str">
        <f ca="1"/>
        <v/>
      </c>
      <c r="B37" s="62">
        <f t="shared" ca="1" si="8"/>
        <v>0</v>
      </c>
      <c r="C37" s="126" t="s">
        <v>14</v>
      </c>
      <c r="D37" s="127" t="s">
        <v>19</v>
      </c>
      <c r="F37" s="83" t="str">
        <f t="shared" ca="1" si="9"/>
        <v/>
      </c>
      <c r="G37" s="85" t="str">
        <f ca="1">IFERROR(VLOOKUP(F37,'Model Interface'!$P$6:$U$495,6,FALSE),"")</f>
        <v/>
      </c>
      <c r="H37" s="62" t="str">
        <f t="shared" ca="1" si="10"/>
        <v/>
      </c>
      <c r="I37" s="122"/>
      <c r="J37" s="122"/>
      <c r="K37" s="122"/>
      <c r="L37" s="122"/>
      <c r="M37" s="122"/>
      <c r="N37" s="122"/>
      <c r="O37" s="122"/>
      <c r="P37" s="122"/>
      <c r="R37" s="93" t="str">
        <f ca="1"/>
        <v/>
      </c>
      <c r="S37" s="62" t="str">
        <f t="shared" ca="1" si="6"/>
        <v/>
      </c>
      <c r="T37" s="62" t="e">
        <f t="shared" ca="1" si="0"/>
        <v>#N/A</v>
      </c>
      <c r="U37" s="62" t="e">
        <f t="shared" ca="1" si="1"/>
        <v>#N/A</v>
      </c>
      <c r="V37" s="62" t="e">
        <f t="shared" ca="1" si="2"/>
        <v>#N/A</v>
      </c>
      <c r="W37" s="60" t="e">
        <f t="shared" ca="1" si="3"/>
        <v>#N/A</v>
      </c>
      <c r="X37" s="60" t="e">
        <f t="shared" ca="1" si="7"/>
        <v>#N/A</v>
      </c>
      <c r="Y37" s="60" t="e">
        <f t="shared" ca="1" si="4"/>
        <v>#N/A</v>
      </c>
      <c r="Z37" s="60" t="e">
        <f t="shared" ca="1" si="5"/>
        <v>#N/A</v>
      </c>
    </row>
    <row r="38" spans="1:26" s="62" customFormat="1" x14ac:dyDescent="0.25">
      <c r="A38" s="93" t="str">
        <f ca="1"/>
        <v/>
      </c>
      <c r="B38" s="62">
        <f t="shared" ca="1" si="8"/>
        <v>0</v>
      </c>
      <c r="C38" s="87"/>
      <c r="D38" s="90"/>
      <c r="F38" s="83" t="str">
        <f t="shared" ca="1" si="9"/>
        <v/>
      </c>
      <c r="G38" s="85" t="str">
        <f ca="1">IFERROR(VLOOKUP(F38,'Model Interface'!$P$6:$U$495,6,FALSE),"")</f>
        <v/>
      </c>
      <c r="H38" s="62" t="str">
        <f t="shared" ca="1" si="10"/>
        <v/>
      </c>
      <c r="I38" s="122"/>
      <c r="J38" s="122"/>
      <c r="K38" s="122"/>
      <c r="L38" s="122"/>
      <c r="M38" s="122"/>
      <c r="N38" s="122"/>
      <c r="O38" s="122"/>
      <c r="P38" s="122"/>
      <c r="R38" s="93" t="str">
        <f ca="1"/>
        <v/>
      </c>
      <c r="S38" s="62" t="str">
        <f t="shared" ca="1" si="6"/>
        <v/>
      </c>
      <c r="T38" s="62" t="e">
        <f t="shared" ca="1" si="0"/>
        <v>#N/A</v>
      </c>
      <c r="U38" s="62" t="e">
        <f t="shared" ca="1" si="1"/>
        <v>#N/A</v>
      </c>
      <c r="V38" s="62" t="e">
        <f t="shared" ca="1" si="2"/>
        <v>#N/A</v>
      </c>
      <c r="W38" s="60" t="e">
        <f t="shared" ca="1" si="3"/>
        <v>#N/A</v>
      </c>
      <c r="X38" s="60" t="e">
        <f t="shared" ca="1" si="7"/>
        <v>#N/A</v>
      </c>
      <c r="Y38" s="60" t="e">
        <f t="shared" ca="1" si="4"/>
        <v>#N/A</v>
      </c>
      <c r="Z38" s="60" t="e">
        <f t="shared" ca="1" si="5"/>
        <v>#N/A</v>
      </c>
    </row>
    <row r="39" spans="1:26" s="62" customFormat="1" x14ac:dyDescent="0.25">
      <c r="B39" s="62">
        <f ca="1">IF(C38="",CurrentEstablishDate,IF(AND(C38&gt;CurrentEstablishDate,(C38-CurrentEstablishDate)&lt;10),C38,CurrentEstablishDate))</f>
        <v>44973</v>
      </c>
      <c r="C39" s="88"/>
      <c r="D39" s="91"/>
      <c r="F39" s="83" t="str">
        <f t="shared" ca="1" si="9"/>
        <v/>
      </c>
      <c r="G39" s="85" t="str">
        <f ca="1">IFERROR(VLOOKUP(F39,'Model Interface'!$P$6:$U$495,6,FALSE),"")</f>
        <v/>
      </c>
      <c r="H39" s="62" t="str">
        <f t="shared" ca="1" si="10"/>
        <v/>
      </c>
      <c r="I39" s="122"/>
      <c r="J39" s="122"/>
      <c r="K39" s="122"/>
      <c r="L39" s="122"/>
      <c r="M39" s="122"/>
      <c r="N39" s="122"/>
      <c r="O39" s="122"/>
      <c r="P39" s="122"/>
      <c r="R39" s="93" t="str">
        <f ca="1"/>
        <v/>
      </c>
      <c r="S39" s="62" t="str">
        <f t="shared" ca="1" si="6"/>
        <v/>
      </c>
      <c r="T39" s="62" t="e">
        <f t="shared" ca="1" si="0"/>
        <v>#N/A</v>
      </c>
      <c r="U39" s="62" t="e">
        <f t="shared" ca="1" si="1"/>
        <v>#N/A</v>
      </c>
      <c r="V39" s="62" t="e">
        <f t="shared" ca="1" si="2"/>
        <v>#N/A</v>
      </c>
      <c r="W39" s="60" t="e">
        <f t="shared" ca="1" si="3"/>
        <v>#N/A</v>
      </c>
      <c r="X39" s="60" t="e">
        <f t="shared" ca="1" si="7"/>
        <v>#N/A</v>
      </c>
      <c r="Y39" s="60" t="e">
        <f t="shared" ca="1" si="4"/>
        <v>#N/A</v>
      </c>
      <c r="Z39" s="60" t="e">
        <f t="shared" ca="1" si="5"/>
        <v>#N/A</v>
      </c>
    </row>
    <row r="40" spans="1:26" s="62" customFormat="1" ht="6.75" customHeight="1" x14ac:dyDescent="0.25">
      <c r="C40" s="88"/>
      <c r="D40" s="91"/>
      <c r="F40" s="83" t="str">
        <f t="shared" ca="1" si="9"/>
        <v/>
      </c>
      <c r="G40" s="85" t="str">
        <f ca="1">IFERROR(VLOOKUP(F40,'Model Interface'!$P$6:$U$495,6,FALSE),"")</f>
        <v/>
      </c>
      <c r="H40" s="62" t="str">
        <f t="shared" ca="1" si="10"/>
        <v/>
      </c>
      <c r="I40" s="122"/>
      <c r="J40" s="122"/>
      <c r="K40" s="122"/>
      <c r="L40" s="122"/>
      <c r="M40" s="122"/>
      <c r="N40" s="122"/>
      <c r="O40" s="122"/>
      <c r="P40" s="122"/>
      <c r="R40" s="93" t="str">
        <f ca="1"/>
        <v/>
      </c>
      <c r="S40" s="62" t="str">
        <f t="shared" ca="1" si="6"/>
        <v/>
      </c>
      <c r="T40" s="62" t="e">
        <f t="shared" ca="1" si="0"/>
        <v>#N/A</v>
      </c>
      <c r="U40" s="62" t="e">
        <f t="shared" ca="1" si="1"/>
        <v>#N/A</v>
      </c>
      <c r="V40" s="62" t="e">
        <f t="shared" ca="1" si="2"/>
        <v>#N/A</v>
      </c>
      <c r="W40" s="60" t="e">
        <f t="shared" ca="1" si="3"/>
        <v>#N/A</v>
      </c>
      <c r="X40" s="60" t="e">
        <f t="shared" ca="1" si="7"/>
        <v>#N/A</v>
      </c>
      <c r="Y40" s="60" t="e">
        <f t="shared" ca="1" si="4"/>
        <v>#N/A</v>
      </c>
      <c r="Z40" s="60" t="e">
        <f t="shared" ca="1" si="5"/>
        <v>#N/A</v>
      </c>
    </row>
    <row r="41" spans="1:26" s="62" customFormat="1" x14ac:dyDescent="0.25">
      <c r="C41" s="88"/>
      <c r="D41" s="91"/>
      <c r="F41" s="83" t="str">
        <f t="shared" ca="1" si="9"/>
        <v/>
      </c>
      <c r="G41" s="85" t="str">
        <f ca="1">IFERROR(VLOOKUP(F41,'Model Interface'!$P$6:$U$495,6,FALSE),"")</f>
        <v/>
      </c>
      <c r="H41" s="62" t="str">
        <f t="shared" ca="1" si="10"/>
        <v/>
      </c>
      <c r="I41" s="122"/>
      <c r="J41" s="122"/>
      <c r="K41" s="122"/>
      <c r="L41" s="122"/>
      <c r="M41" s="122"/>
      <c r="N41" s="122"/>
      <c r="O41" s="122"/>
      <c r="P41" s="122"/>
      <c r="R41" s="93" t="str">
        <f ca="1"/>
        <v/>
      </c>
      <c r="S41" s="62" t="str">
        <f t="shared" ca="1" si="6"/>
        <v/>
      </c>
      <c r="T41" s="62" t="e">
        <f t="shared" ca="1" si="0"/>
        <v>#N/A</v>
      </c>
      <c r="U41" s="62" t="e">
        <f t="shared" ca="1" si="1"/>
        <v>#N/A</v>
      </c>
      <c r="V41" s="62" t="e">
        <f t="shared" ca="1" si="2"/>
        <v>#N/A</v>
      </c>
      <c r="W41" s="60" t="e">
        <f t="shared" ca="1" si="3"/>
        <v>#N/A</v>
      </c>
      <c r="X41" s="60" t="e">
        <f t="shared" ca="1" si="7"/>
        <v>#N/A</v>
      </c>
      <c r="Y41" s="60" t="e">
        <f t="shared" ca="1" si="4"/>
        <v>#N/A</v>
      </c>
      <c r="Z41" s="60" t="e">
        <f t="shared" ca="1" si="5"/>
        <v>#N/A</v>
      </c>
    </row>
    <row r="42" spans="1:26" s="62" customFormat="1" x14ac:dyDescent="0.25">
      <c r="C42" s="88"/>
      <c r="D42" s="91"/>
      <c r="F42" s="83" t="str">
        <f t="shared" ca="1" si="9"/>
        <v/>
      </c>
      <c r="G42" s="85" t="str">
        <f ca="1">IFERROR(VLOOKUP(F42,'Model Interface'!$P$6:$U$495,6,FALSE),"")</f>
        <v/>
      </c>
      <c r="H42" s="62" t="str">
        <f t="shared" ca="1" si="10"/>
        <v/>
      </c>
      <c r="I42" s="122"/>
      <c r="J42" s="122"/>
      <c r="K42" s="122"/>
      <c r="L42" s="122"/>
      <c r="M42" s="122"/>
      <c r="N42" s="122"/>
      <c r="O42" s="122"/>
      <c r="P42" s="122"/>
      <c r="R42" s="93" t="str">
        <f ca="1"/>
        <v/>
      </c>
      <c r="S42" s="62" t="str">
        <f t="shared" ca="1" si="6"/>
        <v/>
      </c>
      <c r="T42" s="62" t="e">
        <f t="shared" ca="1" si="0"/>
        <v>#N/A</v>
      </c>
      <c r="U42" s="62" t="e">
        <f t="shared" ca="1" si="1"/>
        <v>#N/A</v>
      </c>
      <c r="V42" s="62" t="e">
        <f t="shared" ca="1" si="2"/>
        <v>#N/A</v>
      </c>
      <c r="W42" s="60" t="e">
        <f t="shared" ca="1" si="3"/>
        <v>#N/A</v>
      </c>
      <c r="X42" s="60" t="e">
        <f t="shared" ca="1" si="7"/>
        <v>#N/A</v>
      </c>
      <c r="Y42" s="60" t="e">
        <f t="shared" ca="1" si="4"/>
        <v>#N/A</v>
      </c>
      <c r="Z42" s="60" t="e">
        <f t="shared" ca="1" si="5"/>
        <v>#N/A</v>
      </c>
    </row>
    <row r="43" spans="1:26" s="62" customFormat="1" ht="15.75" thickBot="1" x14ac:dyDescent="0.3">
      <c r="C43" s="89"/>
      <c r="D43" s="92"/>
      <c r="F43" s="84" t="str">
        <f t="shared" ca="1" si="9"/>
        <v/>
      </c>
      <c r="G43" s="86" t="str">
        <f ca="1">IFERROR(VLOOKUP(F43,'Model Interface'!$P$6:$U$495,6,FALSE),"")</f>
        <v/>
      </c>
      <c r="H43" s="62" t="str">
        <f t="shared" ca="1" si="10"/>
        <v/>
      </c>
      <c r="I43" s="122"/>
      <c r="J43" s="122"/>
      <c r="K43" s="122"/>
      <c r="L43" s="122"/>
      <c r="M43" s="122"/>
      <c r="N43" s="122"/>
      <c r="O43" s="122"/>
      <c r="P43" s="122"/>
      <c r="R43" s="93" t="str">
        <f ca="1"/>
        <v/>
      </c>
      <c r="S43" s="62" t="str">
        <f t="shared" ca="1" si="6"/>
        <v/>
      </c>
      <c r="T43" s="62" t="e">
        <f t="shared" ca="1" si="0"/>
        <v>#N/A</v>
      </c>
      <c r="U43" s="62" t="e">
        <f t="shared" ca="1" si="1"/>
        <v>#N/A</v>
      </c>
      <c r="V43" s="62" t="e">
        <f t="shared" ca="1" si="2"/>
        <v>#N/A</v>
      </c>
      <c r="W43" s="60" t="e">
        <f t="shared" ca="1" si="3"/>
        <v>#N/A</v>
      </c>
      <c r="X43" s="60" t="e">
        <f t="shared" ca="1" si="7"/>
        <v>#N/A</v>
      </c>
      <c r="Y43" s="60" t="e">
        <f t="shared" ca="1" si="4"/>
        <v>#N/A</v>
      </c>
      <c r="Z43" s="60" t="e">
        <f t="shared" ca="1" si="5"/>
        <v>#N/A</v>
      </c>
    </row>
    <row r="44" spans="1:26" s="61" customFormat="1" x14ac:dyDescent="0.25">
      <c r="B44" s="62"/>
      <c r="C44" s="110" t="s">
        <v>158</v>
      </c>
      <c r="D44" s="112">
        <f ca="1">MAX(CurrentEstablishDate,C38:C43,MAX(C29:C34)+1)</f>
        <v>44973</v>
      </c>
      <c r="E44" s="62"/>
      <c r="F44" s="62"/>
      <c r="G44" s="62"/>
      <c r="H44" s="62"/>
      <c r="I44" s="122"/>
      <c r="J44" s="122"/>
      <c r="K44" s="122"/>
      <c r="L44" s="122"/>
      <c r="M44" s="122"/>
      <c r="N44" s="122"/>
      <c r="O44" s="122"/>
      <c r="P44" s="122"/>
      <c r="Q44" s="62"/>
      <c r="R44" s="93" t="str">
        <f ca="1"/>
        <v/>
      </c>
      <c r="S44" s="62" t="str">
        <f t="shared" ca="1" si="6"/>
        <v/>
      </c>
      <c r="T44" s="62" t="e">
        <f t="shared" ca="1" si="0"/>
        <v>#N/A</v>
      </c>
      <c r="U44" s="62" t="e">
        <f t="shared" ca="1" si="1"/>
        <v>#N/A</v>
      </c>
      <c r="V44" s="62" t="e">
        <f t="shared" ca="1" si="2"/>
        <v>#N/A</v>
      </c>
      <c r="W44" s="60" t="e">
        <f t="shared" ca="1" si="3"/>
        <v>#N/A</v>
      </c>
      <c r="X44" s="60" t="e">
        <f t="shared" ca="1" si="7"/>
        <v>#N/A</v>
      </c>
      <c r="Y44" s="60" t="e">
        <f t="shared" ca="1" si="4"/>
        <v>#N/A</v>
      </c>
      <c r="Z44" s="60" t="e">
        <f t="shared" ca="1" si="5"/>
        <v>#N/A</v>
      </c>
    </row>
    <row r="45" spans="1:26" s="62" customFormat="1" x14ac:dyDescent="0.25">
      <c r="I45" s="122"/>
      <c r="J45" s="122"/>
      <c r="K45" s="122"/>
      <c r="L45" s="122"/>
      <c r="M45" s="122"/>
      <c r="N45" s="122"/>
      <c r="O45" s="122"/>
      <c r="P45" s="122"/>
      <c r="R45" s="93" t="str">
        <f ca="1"/>
        <v/>
      </c>
      <c r="S45" s="62" t="str">
        <f t="shared" ca="1" si="6"/>
        <v/>
      </c>
      <c r="T45" s="62" t="e">
        <f t="shared" ca="1" si="0"/>
        <v>#N/A</v>
      </c>
      <c r="U45" s="62" t="e">
        <f t="shared" ca="1" si="1"/>
        <v>#N/A</v>
      </c>
      <c r="V45" s="62" t="e">
        <f t="shared" ca="1" si="2"/>
        <v>#N/A</v>
      </c>
      <c r="W45" s="60" t="e">
        <f t="shared" ca="1" si="3"/>
        <v>#N/A</v>
      </c>
      <c r="X45" s="60" t="e">
        <f t="shared" ca="1" si="7"/>
        <v>#N/A</v>
      </c>
      <c r="Y45" s="60" t="e">
        <f t="shared" ca="1" si="4"/>
        <v>#N/A</v>
      </c>
      <c r="Z45" s="60" t="e">
        <f t="shared" ca="1" si="5"/>
        <v>#N/A</v>
      </c>
    </row>
    <row r="46" spans="1:26" s="62" customFormat="1" ht="15.75" thickBot="1" x14ac:dyDescent="0.3">
      <c r="C46" s="144" t="s">
        <v>165</v>
      </c>
      <c r="D46" s="144"/>
      <c r="E46" s="144"/>
      <c r="F46" s="144"/>
      <c r="G46" s="144"/>
      <c r="H46" s="144"/>
      <c r="I46" s="122"/>
      <c r="J46" s="122"/>
      <c r="K46" s="122"/>
      <c r="L46" s="122"/>
      <c r="M46" s="122"/>
      <c r="N46" s="122"/>
      <c r="O46" s="122"/>
      <c r="P46" s="122"/>
      <c r="R46" s="93" t="str">
        <f ca="1"/>
        <v/>
      </c>
      <c r="S46" s="62" t="str">
        <f t="shared" ca="1" si="6"/>
        <v/>
      </c>
      <c r="T46" s="62" t="e">
        <f t="shared" ca="1" si="0"/>
        <v>#N/A</v>
      </c>
      <c r="U46" s="62" t="e">
        <f t="shared" ca="1" si="1"/>
        <v>#N/A</v>
      </c>
      <c r="V46" s="62" t="e">
        <f t="shared" ca="1" si="2"/>
        <v>#N/A</v>
      </c>
      <c r="W46" s="60" t="e">
        <f t="shared" ca="1" si="3"/>
        <v>#N/A</v>
      </c>
      <c r="X46" s="60" t="e">
        <f t="shared" ca="1" si="7"/>
        <v>#N/A</v>
      </c>
      <c r="Y46" s="60" t="e">
        <f t="shared" ca="1" si="4"/>
        <v>#N/A</v>
      </c>
      <c r="Z46" s="60" t="e">
        <f t="shared" ca="1" si="5"/>
        <v>#N/A</v>
      </c>
    </row>
    <row r="47" spans="1:26" s="62" customFormat="1" x14ac:dyDescent="0.25">
      <c r="C47" s="69" t="s">
        <v>30</v>
      </c>
      <c r="D47" s="98" t="str">
        <f>IF(E47="","Fodder",E47)</f>
        <v>Fodder</v>
      </c>
      <c r="E47" s="97"/>
      <c r="F47" s="69" t="s">
        <v>142</v>
      </c>
      <c r="G47" s="98">
        <f>IF(H47="",VLOOKUP(PriorCropNameFull,CropCoefficients,23,FALSE),H47)</f>
        <v>0</v>
      </c>
      <c r="H47" s="99"/>
      <c r="I47" s="122"/>
      <c r="J47" s="122"/>
      <c r="K47" s="122"/>
      <c r="L47" s="122"/>
      <c r="M47" s="122"/>
      <c r="N47" s="122"/>
      <c r="O47" s="122"/>
      <c r="P47" s="122"/>
      <c r="R47" s="93" t="str">
        <f ca="1"/>
        <v/>
      </c>
      <c r="S47" s="62" t="str">
        <f t="shared" ca="1" si="6"/>
        <v/>
      </c>
      <c r="T47" s="62" t="e">
        <f t="shared" ca="1" si="0"/>
        <v>#N/A</v>
      </c>
      <c r="U47" s="62" t="e">
        <f t="shared" ca="1" si="1"/>
        <v>#N/A</v>
      </c>
      <c r="V47" s="62" t="e">
        <f t="shared" ca="1" si="2"/>
        <v>#N/A</v>
      </c>
      <c r="W47" s="60" t="e">
        <f t="shared" ca="1" si="3"/>
        <v>#N/A</v>
      </c>
      <c r="X47" s="60" t="e">
        <f t="shared" ca="1" si="7"/>
        <v>#N/A</v>
      </c>
      <c r="Y47" s="60" t="e">
        <f t="shared" ca="1" si="4"/>
        <v>#N/A</v>
      </c>
      <c r="Z47" s="60" t="e">
        <f t="shared" ca="1" si="5"/>
        <v>#N/A</v>
      </c>
    </row>
    <row r="48" spans="1:26" s="62" customFormat="1" x14ac:dyDescent="0.25">
      <c r="C48" s="69" t="s">
        <v>100</v>
      </c>
      <c r="D48" s="94" t="str">
        <f>IF(E48="","Barley",E48)</f>
        <v>Barley</v>
      </c>
      <c r="E48" s="75"/>
      <c r="F48" s="69" t="s">
        <v>144</v>
      </c>
      <c r="G48" s="94">
        <f>IF(H48="",VLOOKUP(PriorCropNameFull,CropCoefficients,22,FALSE),H48)</f>
        <v>0</v>
      </c>
      <c r="H48" s="81"/>
      <c r="I48" s="122"/>
      <c r="J48" s="122"/>
      <c r="K48" s="122"/>
      <c r="L48" s="122"/>
      <c r="M48" s="122"/>
      <c r="N48" s="122"/>
      <c r="O48" s="122"/>
      <c r="P48" s="122"/>
      <c r="R48" s="93" t="str">
        <f ca="1"/>
        <v/>
      </c>
      <c r="S48" s="62" t="str">
        <f t="shared" ca="1" si="6"/>
        <v/>
      </c>
      <c r="T48" s="62" t="e">
        <f t="shared" ca="1" si="0"/>
        <v>#N/A</v>
      </c>
      <c r="U48" s="62" t="e">
        <f t="shared" ca="1" si="1"/>
        <v>#N/A</v>
      </c>
      <c r="V48" s="62" t="e">
        <f t="shared" ca="1" si="2"/>
        <v>#N/A</v>
      </c>
      <c r="W48" s="60" t="e">
        <f t="shared" ca="1" si="3"/>
        <v>#N/A</v>
      </c>
      <c r="X48" s="60" t="e">
        <f t="shared" ca="1" si="7"/>
        <v>#N/A</v>
      </c>
      <c r="Y48" s="60" t="e">
        <f t="shared" ca="1" si="4"/>
        <v>#N/A</v>
      </c>
      <c r="Z48" s="60" t="e">
        <f t="shared" ca="1" si="5"/>
        <v>#N/A</v>
      </c>
    </row>
    <row r="49" spans="2:26" s="62" customFormat="1" x14ac:dyDescent="0.25">
      <c r="C49" s="69" t="s">
        <v>101</v>
      </c>
      <c r="D49" s="94" t="str">
        <f>IF(E49="","General",E49)</f>
        <v>General</v>
      </c>
      <c r="E49" s="75"/>
      <c r="F49" s="69" t="s">
        <v>143</v>
      </c>
      <c r="G49" s="94">
        <f>IF(H49="",VLOOKUP(PriorCropNameFull,CropCoefficients,26,FALSE),H49)</f>
        <v>80</v>
      </c>
      <c r="H49" s="81"/>
      <c r="I49" s="122"/>
      <c r="J49" s="122"/>
      <c r="K49" s="122"/>
      <c r="L49" s="122"/>
      <c r="M49" s="122"/>
      <c r="N49" s="122"/>
      <c r="O49" s="122"/>
      <c r="P49" s="122"/>
      <c r="R49" s="93" t="str">
        <f ca="1"/>
        <v/>
      </c>
      <c r="S49" s="62" t="str">
        <f t="shared" ca="1" si="6"/>
        <v/>
      </c>
      <c r="T49" s="62" t="e">
        <f t="shared" ca="1" si="0"/>
        <v>#N/A</v>
      </c>
      <c r="U49" s="62" t="e">
        <f t="shared" ca="1" si="1"/>
        <v>#N/A</v>
      </c>
      <c r="V49" s="62" t="e">
        <f t="shared" ca="1" si="2"/>
        <v>#N/A</v>
      </c>
      <c r="W49" s="60" t="e">
        <f t="shared" ca="1" si="3"/>
        <v>#N/A</v>
      </c>
      <c r="X49" s="60" t="e">
        <f t="shared" ca="1" si="7"/>
        <v>#N/A</v>
      </c>
      <c r="Y49" s="60" t="e">
        <f t="shared" ca="1" si="4"/>
        <v>#N/A</v>
      </c>
      <c r="Z49" s="60" t="e">
        <f t="shared" ca="1" si="5"/>
        <v>#N/A</v>
      </c>
    </row>
    <row r="50" spans="2:26" s="62" customFormat="1" x14ac:dyDescent="0.25">
      <c r="B50" s="100">
        <f>IF(PriorUnits="kg/head",PriorYield*PriorPopulation,IF(PriorUnits="kg/ha",PriorYield/1000,PriorYield))</f>
        <v>8</v>
      </c>
      <c r="C50" s="73" t="s">
        <v>159</v>
      </c>
      <c r="D50" s="74" t="str">
        <f>PriorCropName&amp;" "&amp;PriorCropType&amp;" "&amp;PriorCropVariety</f>
        <v>Barley Fodder General</v>
      </c>
      <c r="F50" s="63"/>
      <c r="I50" s="122"/>
      <c r="J50" s="122"/>
      <c r="K50" s="122"/>
      <c r="L50" s="122"/>
      <c r="M50" s="122"/>
      <c r="N50" s="122"/>
      <c r="O50" s="122"/>
      <c r="P50" s="122"/>
      <c r="R50" s="93" t="str">
        <f ca="1"/>
        <v/>
      </c>
      <c r="S50" s="62" t="str">
        <f t="shared" ca="1" si="6"/>
        <v/>
      </c>
      <c r="T50" s="62" t="e">
        <f t="shared" ca="1" si="0"/>
        <v>#N/A</v>
      </c>
      <c r="U50" s="62" t="e">
        <f t="shared" ca="1" si="1"/>
        <v>#N/A</v>
      </c>
      <c r="V50" s="62" t="e">
        <f t="shared" ca="1" si="2"/>
        <v>#N/A</v>
      </c>
      <c r="W50" s="60" t="e">
        <f t="shared" ca="1" si="3"/>
        <v>#N/A</v>
      </c>
      <c r="X50" s="60" t="e">
        <f t="shared" ca="1" si="7"/>
        <v>#N/A</v>
      </c>
      <c r="Y50" s="60" t="e">
        <f t="shared" ca="1" si="4"/>
        <v>#N/A</v>
      </c>
      <c r="Z50" s="60" t="e">
        <f t="shared" ca="1" si="5"/>
        <v>#N/A</v>
      </c>
    </row>
    <row r="51" spans="2:26" s="62" customFormat="1" x14ac:dyDescent="0.25">
      <c r="C51" s="69" t="s">
        <v>4</v>
      </c>
      <c r="D51" s="77">
        <f ca="1">IF(E51="",CurrentEstablishDate-60,E51)</f>
        <v>44913</v>
      </c>
      <c r="E51" s="76"/>
      <c r="F51" s="69" t="s">
        <v>154</v>
      </c>
      <c r="G51" s="94" t="str">
        <f>IF(H51="",VLOOKUP(PriorCropNameFull,CropCoefficients,13,FALSE),H51)</f>
        <v>Seed</v>
      </c>
      <c r="H51" s="81"/>
      <c r="I51" s="122"/>
      <c r="J51" s="122"/>
      <c r="K51" s="122"/>
      <c r="L51" s="122"/>
      <c r="M51" s="122"/>
      <c r="N51" s="122"/>
      <c r="O51" s="122"/>
      <c r="P51" s="122"/>
      <c r="R51" s="93" t="str">
        <f ca="1"/>
        <v/>
      </c>
      <c r="S51" s="62" t="str">
        <f t="shared" ca="1" si="6"/>
        <v/>
      </c>
      <c r="T51" s="62" t="e">
        <f t="shared" ca="1" si="0"/>
        <v>#N/A</v>
      </c>
      <c r="U51" s="62" t="e">
        <f t="shared" ca="1" si="1"/>
        <v>#N/A</v>
      </c>
      <c r="V51" s="62" t="e">
        <f t="shared" ca="1" si="2"/>
        <v>#N/A</v>
      </c>
      <c r="W51" s="60" t="e">
        <f t="shared" ca="1" si="3"/>
        <v>#N/A</v>
      </c>
      <c r="X51" s="60" t="e">
        <f t="shared" ca="1" si="7"/>
        <v>#N/A</v>
      </c>
      <c r="Y51" s="60" t="e">
        <f t="shared" ca="1" si="4"/>
        <v>#N/A</v>
      </c>
      <c r="Z51" s="60" t="e">
        <f t="shared" ca="1" si="5"/>
        <v>#N/A</v>
      </c>
    </row>
    <row r="52" spans="2:26" s="62" customFormat="1" x14ac:dyDescent="0.25">
      <c r="C52" s="69" t="s">
        <v>5</v>
      </c>
      <c r="D52" s="77">
        <f ca="1">IF(E52="",CurrentEstablishDate-15,E52)</f>
        <v>44958</v>
      </c>
      <c r="E52" s="76"/>
      <c r="F52" s="69" t="s">
        <v>155</v>
      </c>
      <c r="G52" s="94" t="str">
        <f>IF(H52="",VLOOKUP(PriorCropNameFull,CropCoefficients,15,FALSE),H52)</f>
        <v>EarlyReproductive</v>
      </c>
      <c r="H52" s="81"/>
      <c r="I52" s="122"/>
      <c r="J52" s="122"/>
      <c r="K52" s="122"/>
      <c r="L52" s="122"/>
      <c r="M52" s="122"/>
      <c r="N52" s="122"/>
      <c r="O52" s="122"/>
      <c r="P52" s="122"/>
      <c r="R52" s="93" t="str">
        <f ca="1"/>
        <v/>
      </c>
      <c r="S52" s="62" t="str">
        <f t="shared" ca="1" si="6"/>
        <v/>
      </c>
      <c r="T52" s="62" t="e">
        <f t="shared" ca="1" si="0"/>
        <v>#N/A</v>
      </c>
      <c r="U52" s="62" t="e">
        <f t="shared" ca="1" si="1"/>
        <v>#N/A</v>
      </c>
      <c r="V52" s="62" t="e">
        <f t="shared" ca="1" si="2"/>
        <v>#N/A</v>
      </c>
      <c r="W52" s="60" t="e">
        <f t="shared" ca="1" si="3"/>
        <v>#N/A</v>
      </c>
      <c r="X52" s="60" t="e">
        <f t="shared" ca="1" si="7"/>
        <v>#N/A</v>
      </c>
      <c r="Y52" s="60" t="e">
        <f t="shared" ca="1" si="4"/>
        <v>#N/A</v>
      </c>
      <c r="Z52" s="60" t="e">
        <f t="shared" ca="1" si="5"/>
        <v>#N/A</v>
      </c>
    </row>
    <row r="53" spans="2:26" s="62" customFormat="1" x14ac:dyDescent="0.25">
      <c r="C53" s="69" t="s">
        <v>145</v>
      </c>
      <c r="D53" s="82" t="str">
        <f>IF(PriorUnits="kg/head",IF(E11="",VLOOKUP(PriorCropNameFull,CropCoefficients,20,FALSE),E11),"")</f>
        <v/>
      </c>
      <c r="E53" s="81"/>
      <c r="F53" s="69"/>
      <c r="G53" s="69"/>
      <c r="H53" s="69"/>
      <c r="I53" s="122"/>
      <c r="J53" s="122"/>
      <c r="K53" s="122"/>
      <c r="L53" s="122"/>
      <c r="M53" s="122"/>
      <c r="N53" s="122"/>
      <c r="O53" s="122"/>
      <c r="P53" s="122"/>
      <c r="R53" s="93" t="str">
        <f ca="1"/>
        <v/>
      </c>
      <c r="S53" s="62" t="str">
        <f t="shared" ca="1" si="6"/>
        <v/>
      </c>
      <c r="T53" s="62" t="e">
        <f t="shared" ca="1" si="0"/>
        <v>#N/A</v>
      </c>
      <c r="U53" s="62" t="e">
        <f t="shared" ca="1" si="1"/>
        <v>#N/A</v>
      </c>
      <c r="V53" s="62" t="e">
        <f t="shared" ca="1" si="2"/>
        <v>#N/A</v>
      </c>
      <c r="W53" s="60" t="e">
        <f t="shared" ca="1" si="3"/>
        <v>#N/A</v>
      </c>
      <c r="X53" s="60" t="e">
        <f t="shared" ca="1" si="7"/>
        <v>#N/A</v>
      </c>
      <c r="Y53" s="60" t="e">
        <f t="shared" ca="1" si="4"/>
        <v>#N/A</v>
      </c>
      <c r="Z53" s="60" t="e">
        <f t="shared" ca="1" si="5"/>
        <v>#N/A</v>
      </c>
    </row>
    <row r="54" spans="2:26" s="61" customFormat="1" x14ac:dyDescent="0.25">
      <c r="B54" s="62"/>
      <c r="C54" s="69" t="s">
        <v>106</v>
      </c>
      <c r="D54" s="79">
        <f>IF(E54="",VLOOKUP(PriorCropNameFull,CropCoefficients,17,FALSE),E54)</f>
        <v>8</v>
      </c>
      <c r="E54" s="78"/>
      <c r="F54" s="69" t="s">
        <v>157</v>
      </c>
      <c r="G54" s="95" t="str">
        <f>IF(H54="","None removed",H54)</f>
        <v>None removed</v>
      </c>
      <c r="H54" s="81"/>
      <c r="I54" s="122"/>
      <c r="J54" s="122"/>
      <c r="K54" s="122"/>
      <c r="L54" s="122"/>
      <c r="M54" s="122"/>
      <c r="N54" s="122"/>
      <c r="O54" s="122"/>
      <c r="P54" s="122"/>
      <c r="Q54" s="62"/>
      <c r="R54" s="93" t="str">
        <f ca="1"/>
        <v/>
      </c>
      <c r="S54" s="62" t="str">
        <f t="shared" ca="1" si="6"/>
        <v/>
      </c>
      <c r="T54" s="62" t="e">
        <f t="shared" ca="1" si="0"/>
        <v>#N/A</v>
      </c>
      <c r="U54" s="62" t="e">
        <f t="shared" ca="1" si="1"/>
        <v>#N/A</v>
      </c>
      <c r="V54" s="62" t="e">
        <f t="shared" ca="1" si="2"/>
        <v>#N/A</v>
      </c>
      <c r="W54" s="60" t="e">
        <f t="shared" ca="1" si="3"/>
        <v>#N/A</v>
      </c>
      <c r="X54" s="60" t="e">
        <f t="shared" ca="1" si="7"/>
        <v>#N/A</v>
      </c>
      <c r="Y54" s="60" t="e">
        <f t="shared" ca="1" si="4"/>
        <v>#N/A</v>
      </c>
      <c r="Z54" s="60" t="e">
        <f t="shared" ca="1" si="5"/>
        <v>#N/A</v>
      </c>
    </row>
    <row r="55" spans="2:26" s="62" customFormat="1" x14ac:dyDescent="0.25">
      <c r="C55" s="69" t="s">
        <v>15</v>
      </c>
      <c r="D55" s="94" t="str">
        <f>IF(E55="",VLOOKUP(PriorCropNameFull,CropCoefficients,18,FALSE),E55)</f>
        <v>t/ha</v>
      </c>
      <c r="E55" s="80"/>
      <c r="F55" s="65" t="s">
        <v>171</v>
      </c>
      <c r="G55" s="95" t="str">
        <f>IF(H55="","Full (Plough)",H55)</f>
        <v>Full (Plough)</v>
      </c>
      <c r="H55" s="81"/>
      <c r="I55" s="122"/>
      <c r="J55" s="122"/>
      <c r="K55" s="122"/>
      <c r="L55" s="122"/>
      <c r="M55" s="122"/>
      <c r="N55" s="122"/>
      <c r="O55" s="122"/>
      <c r="P55" s="122"/>
      <c r="R55" s="93" t="str">
        <f ca="1"/>
        <v/>
      </c>
      <c r="S55" s="62" t="str">
        <f t="shared" ca="1" si="6"/>
        <v/>
      </c>
      <c r="T55" s="62" t="e">
        <f t="shared" ca="1" si="0"/>
        <v>#N/A</v>
      </c>
      <c r="U55" s="62" t="e">
        <f t="shared" ca="1" si="1"/>
        <v>#N/A</v>
      </c>
      <c r="V55" s="62" t="e">
        <f t="shared" ca="1" si="2"/>
        <v>#N/A</v>
      </c>
      <c r="W55" s="60" t="e">
        <f t="shared" ca="1" si="3"/>
        <v>#N/A</v>
      </c>
      <c r="X55" s="60" t="e">
        <f t="shared" ca="1" si="7"/>
        <v>#N/A</v>
      </c>
      <c r="Y55" s="60" t="e">
        <f t="shared" ca="1" si="4"/>
        <v>#N/A</v>
      </c>
      <c r="Z55" s="60" t="e">
        <f t="shared" ca="1" si="5"/>
        <v>#N/A</v>
      </c>
    </row>
    <row r="56" spans="2:26" s="62" customFormat="1" x14ac:dyDescent="0.25">
      <c r="C56" s="73" t="str">
        <f>"Yield "&amp;ROUND(PriorYield_tperHa,0)&amp;" (t/ha)"</f>
        <v>Yield 8 (t/ha)</v>
      </c>
      <c r="D56" s="100" t="str">
        <f ca="1">"Previous crop residues are providing "&amp;ROUND('Model Interface'!S4,0)&amp;" kg N/ha to the current crop"</f>
        <v>Previous crop residues are providing 0 kg N/ha to the current crop</v>
      </c>
      <c r="I56" s="122"/>
      <c r="J56" s="122"/>
      <c r="K56" s="122"/>
      <c r="L56" s="122"/>
      <c r="M56" s="122"/>
      <c r="N56" s="122"/>
      <c r="O56" s="122"/>
      <c r="P56" s="122"/>
      <c r="R56" s="93" t="str">
        <f ca="1"/>
        <v/>
      </c>
      <c r="S56" s="62" t="str">
        <f t="shared" ca="1" si="6"/>
        <v/>
      </c>
      <c r="T56" s="62" t="e">
        <f t="shared" ca="1" si="0"/>
        <v>#N/A</v>
      </c>
      <c r="U56" s="62" t="e">
        <f t="shared" ca="1" si="1"/>
        <v>#N/A</v>
      </c>
      <c r="V56" s="62" t="e">
        <f t="shared" ca="1" si="2"/>
        <v>#N/A</v>
      </c>
      <c r="W56" s="60" t="e">
        <f t="shared" ca="1" si="3"/>
        <v>#N/A</v>
      </c>
      <c r="X56" s="60" t="e">
        <f t="shared" ca="1" si="7"/>
        <v>#N/A</v>
      </c>
      <c r="Y56" s="60" t="e">
        <f t="shared" ca="1" si="4"/>
        <v>#N/A</v>
      </c>
      <c r="Z56" s="60" t="e">
        <f t="shared" ca="1" si="5"/>
        <v>#N/A</v>
      </c>
    </row>
    <row r="57" spans="2:26" s="62" customFormat="1" ht="15.75" thickBot="1" x14ac:dyDescent="0.3">
      <c r="C57" s="144" t="s">
        <v>166</v>
      </c>
      <c r="D57" s="144"/>
      <c r="E57" s="144"/>
      <c r="F57" s="144"/>
      <c r="G57" s="144"/>
      <c r="H57" s="144"/>
      <c r="I57" s="122"/>
      <c r="J57" s="122"/>
      <c r="K57" s="122"/>
      <c r="L57" s="122"/>
      <c r="M57" s="122"/>
      <c r="N57" s="122"/>
      <c r="O57" s="122"/>
      <c r="P57" s="122"/>
      <c r="R57" s="93" t="str">
        <f ca="1"/>
        <v/>
      </c>
      <c r="S57" s="62" t="str">
        <f t="shared" ca="1" si="6"/>
        <v/>
      </c>
      <c r="T57" s="62" t="e">
        <f t="shared" ca="1" si="0"/>
        <v>#N/A</v>
      </c>
      <c r="U57" s="62" t="e">
        <f t="shared" ca="1" si="1"/>
        <v>#N/A</v>
      </c>
      <c r="V57" s="62" t="e">
        <f t="shared" ca="1" si="2"/>
        <v>#N/A</v>
      </c>
      <c r="W57" s="60" t="e">
        <f t="shared" ca="1" si="3"/>
        <v>#N/A</v>
      </c>
      <c r="X57" s="60" t="e">
        <f t="shared" ca="1" si="7"/>
        <v>#N/A</v>
      </c>
      <c r="Y57" s="60" t="e">
        <f t="shared" ca="1" si="4"/>
        <v>#N/A</v>
      </c>
      <c r="Z57" s="60" t="e">
        <f t="shared" ca="1" si="5"/>
        <v>#N/A</v>
      </c>
    </row>
    <row r="58" spans="2:26" s="62" customFormat="1" x14ac:dyDescent="0.25">
      <c r="C58" s="69" t="s">
        <v>30</v>
      </c>
      <c r="D58" s="98" t="str">
        <f>IF(E58="","Fodder",E58)</f>
        <v>Fodder</v>
      </c>
      <c r="E58" s="97"/>
      <c r="F58" s="69" t="s">
        <v>142</v>
      </c>
      <c r="G58" s="98">
        <f>IF(H58="",VLOOKUP(FollowingCropFullName,CropCoefficients,23,FALSE),H58)</f>
        <v>0</v>
      </c>
      <c r="H58" s="99"/>
      <c r="I58" s="122"/>
      <c r="J58" s="122"/>
      <c r="K58" s="122"/>
      <c r="L58" s="122"/>
      <c r="M58" s="122"/>
      <c r="N58" s="122"/>
      <c r="O58" s="122"/>
      <c r="P58" s="122"/>
      <c r="R58" s="93" t="str">
        <f ca="1"/>
        <v/>
      </c>
      <c r="S58" s="62" t="str">
        <f t="shared" ca="1" si="6"/>
        <v/>
      </c>
      <c r="T58" s="62" t="e">
        <f t="shared" ca="1" si="0"/>
        <v>#N/A</v>
      </c>
      <c r="U58" s="62" t="e">
        <f t="shared" ca="1" si="1"/>
        <v>#N/A</v>
      </c>
      <c r="V58" s="62" t="e">
        <f t="shared" ca="1" si="2"/>
        <v>#N/A</v>
      </c>
      <c r="W58" s="60" t="e">
        <f t="shared" ca="1" si="3"/>
        <v>#N/A</v>
      </c>
      <c r="X58" s="60" t="e">
        <f t="shared" ca="1" si="7"/>
        <v>#N/A</v>
      </c>
      <c r="Y58" s="60" t="e">
        <f t="shared" ca="1" si="4"/>
        <v>#N/A</v>
      </c>
      <c r="Z58" s="60" t="e">
        <f t="shared" ca="1" si="5"/>
        <v>#N/A</v>
      </c>
    </row>
    <row r="59" spans="2:26" s="62" customFormat="1" x14ac:dyDescent="0.25">
      <c r="C59" s="69" t="s">
        <v>100</v>
      </c>
      <c r="D59" s="94" t="str">
        <f>IF(E59="","Oat",E59)</f>
        <v>Oat</v>
      </c>
      <c r="E59" s="75"/>
      <c r="F59" s="69" t="s">
        <v>144</v>
      </c>
      <c r="G59" s="94">
        <f>IF(H59="",VLOOKUP(FollowingCropFullName,CropCoefficients,22,FALSE),H59)</f>
        <v>0</v>
      </c>
      <c r="H59" s="81"/>
      <c r="I59" s="122"/>
      <c r="J59" s="122"/>
      <c r="K59" s="122"/>
      <c r="L59" s="122"/>
      <c r="M59" s="122"/>
      <c r="N59" s="122"/>
      <c r="O59" s="122"/>
      <c r="P59" s="122"/>
      <c r="R59" s="93" t="str">
        <f ca="1"/>
        <v/>
      </c>
      <c r="S59" s="62" t="str">
        <f t="shared" ca="1" si="6"/>
        <v/>
      </c>
      <c r="T59" s="62" t="e">
        <f t="shared" ca="1" si="0"/>
        <v>#N/A</v>
      </c>
      <c r="U59" s="62" t="e">
        <f t="shared" ca="1" si="1"/>
        <v>#N/A</v>
      </c>
      <c r="V59" s="62" t="e">
        <f t="shared" ca="1" si="2"/>
        <v>#N/A</v>
      </c>
      <c r="W59" s="60" t="e">
        <f t="shared" ca="1" si="3"/>
        <v>#N/A</v>
      </c>
      <c r="X59" s="60" t="e">
        <f t="shared" ca="1" si="7"/>
        <v>#N/A</v>
      </c>
      <c r="Y59" s="60" t="e">
        <f t="shared" ca="1" si="4"/>
        <v>#N/A</v>
      </c>
      <c r="Z59" s="60" t="e">
        <f t="shared" ca="1" si="5"/>
        <v>#N/A</v>
      </c>
    </row>
    <row r="60" spans="2:26" s="62" customFormat="1" x14ac:dyDescent="0.25">
      <c r="C60" s="69" t="s">
        <v>101</v>
      </c>
      <c r="D60" s="94" t="str">
        <f>IF(E60="","General",E60)</f>
        <v>General</v>
      </c>
      <c r="E60" s="75"/>
      <c r="F60" s="69" t="s">
        <v>143</v>
      </c>
      <c r="G60" s="94">
        <f>IF(H60="",VLOOKUP(FollowingCropFullName,CropCoefficients,26,FALSE),H60)</f>
        <v>80</v>
      </c>
      <c r="H60" s="81"/>
      <c r="I60" s="122"/>
      <c r="J60" s="122"/>
      <c r="K60" s="122"/>
      <c r="L60" s="122"/>
      <c r="M60" s="122"/>
      <c r="N60" s="122"/>
      <c r="O60" s="122"/>
      <c r="P60" s="122"/>
      <c r="R60" s="93" t="str">
        <f ca="1"/>
        <v/>
      </c>
      <c r="S60" s="62" t="str">
        <f t="shared" ca="1" si="6"/>
        <v/>
      </c>
      <c r="T60" s="62" t="e">
        <f t="shared" ca="1" si="0"/>
        <v>#N/A</v>
      </c>
      <c r="U60" s="62" t="e">
        <f t="shared" ca="1" si="1"/>
        <v>#N/A</v>
      </c>
      <c r="V60" s="62" t="e">
        <f t="shared" ca="1" si="2"/>
        <v>#N/A</v>
      </c>
      <c r="W60" s="60" t="e">
        <f t="shared" ca="1" si="3"/>
        <v>#N/A</v>
      </c>
      <c r="X60" s="60" t="e">
        <f t="shared" ca="1" si="7"/>
        <v>#N/A</v>
      </c>
      <c r="Y60" s="60" t="e">
        <f t="shared" ca="1" si="4"/>
        <v>#N/A</v>
      </c>
      <c r="Z60" s="60" t="e">
        <f t="shared" ca="1" si="5"/>
        <v>#N/A</v>
      </c>
    </row>
    <row r="61" spans="2:26" s="62" customFormat="1" x14ac:dyDescent="0.25">
      <c r="B61" s="100">
        <f>IF(FollowingUnits="kg/head",FollowingYIeld*FollowingPopulation,IF(FollowingUnits="kg/ha",FollowingYIeld/1000,FollowingYIeld))</f>
        <v>10</v>
      </c>
      <c r="C61" s="73" t="s">
        <v>159</v>
      </c>
      <c r="D61" s="74" t="str">
        <f>FollowingCropName&amp;" "&amp;FollowingCropType&amp;" "&amp;FollowingCropVariety</f>
        <v>Oat Fodder General</v>
      </c>
      <c r="F61" s="63"/>
      <c r="I61" s="122"/>
      <c r="J61" s="122"/>
      <c r="K61" s="122"/>
      <c r="L61" s="122"/>
      <c r="M61" s="122"/>
      <c r="N61" s="122"/>
      <c r="O61" s="122"/>
      <c r="P61" s="122"/>
      <c r="R61" s="93" t="str">
        <f ca="1"/>
        <v/>
      </c>
      <c r="S61" s="62" t="str">
        <f t="shared" ca="1" si="6"/>
        <v/>
      </c>
      <c r="T61" s="62" t="e">
        <f t="shared" ca="1" si="0"/>
        <v>#N/A</v>
      </c>
      <c r="U61" s="62" t="e">
        <f t="shared" ca="1" si="1"/>
        <v>#N/A</v>
      </c>
      <c r="V61" s="62" t="e">
        <f t="shared" ca="1" si="2"/>
        <v>#N/A</v>
      </c>
      <c r="W61" s="60" t="e">
        <f t="shared" ca="1" si="3"/>
        <v>#N/A</v>
      </c>
      <c r="X61" s="60" t="e">
        <f t="shared" ca="1" si="7"/>
        <v>#N/A</v>
      </c>
      <c r="Y61" s="60" t="e">
        <f t="shared" ca="1" si="4"/>
        <v>#N/A</v>
      </c>
      <c r="Z61" s="60" t="e">
        <f t="shared" ca="1" si="5"/>
        <v>#N/A</v>
      </c>
    </row>
    <row r="62" spans="2:26" s="62" customFormat="1" x14ac:dyDescent="0.25">
      <c r="C62" s="69" t="s">
        <v>4</v>
      </c>
      <c r="D62" s="77">
        <f ca="1">IF(E62="",CurrentHarvestDate+15,E62)</f>
        <v>45113</v>
      </c>
      <c r="E62" s="76"/>
      <c r="F62" s="69" t="s">
        <v>154</v>
      </c>
      <c r="G62" s="94" t="str">
        <f>IF(H62="",VLOOKUP(FollowingCropFullName,CropCoefficients,13,FALSE),H62)</f>
        <v>Seed</v>
      </c>
      <c r="H62" s="81"/>
      <c r="I62" s="122"/>
      <c r="J62" s="122"/>
      <c r="K62" s="122"/>
      <c r="L62" s="122"/>
      <c r="M62" s="122"/>
      <c r="N62" s="122"/>
      <c r="O62" s="122"/>
      <c r="P62" s="122"/>
      <c r="R62" s="93" t="str">
        <f ca="1"/>
        <v/>
      </c>
      <c r="S62" s="62" t="str">
        <f t="shared" ca="1" si="6"/>
        <v/>
      </c>
      <c r="T62" s="62" t="e">
        <f t="shared" ca="1" si="0"/>
        <v>#N/A</v>
      </c>
      <c r="U62" s="62" t="e">
        <f t="shared" ca="1" si="1"/>
        <v>#N/A</v>
      </c>
      <c r="V62" s="62" t="e">
        <f t="shared" ca="1" si="2"/>
        <v>#N/A</v>
      </c>
      <c r="W62" s="60" t="e">
        <f t="shared" ca="1" si="3"/>
        <v>#N/A</v>
      </c>
      <c r="X62" s="60" t="e">
        <f t="shared" ca="1" si="7"/>
        <v>#N/A</v>
      </c>
      <c r="Y62" s="60" t="e">
        <f t="shared" ca="1" si="4"/>
        <v>#N/A</v>
      </c>
      <c r="Z62" s="60" t="e">
        <f t="shared" ca="1" si="5"/>
        <v>#N/A</v>
      </c>
    </row>
    <row r="63" spans="2:26" s="62" customFormat="1" x14ac:dyDescent="0.25">
      <c r="C63" s="69" t="s">
        <v>5</v>
      </c>
      <c r="D63" s="77">
        <f ca="1">IF(E63="",FollowingEstablishDate+120,E63)</f>
        <v>45233</v>
      </c>
      <c r="E63" s="76"/>
      <c r="F63" s="69" t="s">
        <v>155</v>
      </c>
      <c r="G63" s="94" t="str">
        <f>IF(H63="",VLOOKUP(FollowingCropFullName,CropCoefficients,15,FALSE),H63)</f>
        <v>EarlyReproductive</v>
      </c>
      <c r="H63" s="81"/>
      <c r="I63" s="122"/>
      <c r="J63" s="122"/>
      <c r="K63" s="122"/>
      <c r="L63" s="122"/>
      <c r="M63" s="122"/>
      <c r="N63" s="122"/>
      <c r="O63" s="122"/>
      <c r="P63" s="122"/>
      <c r="R63" s="93" t="str">
        <f ca="1"/>
        <v/>
      </c>
      <c r="S63" s="62" t="str">
        <f t="shared" ca="1" si="6"/>
        <v/>
      </c>
      <c r="T63" s="62" t="e">
        <f t="shared" ca="1" si="0"/>
        <v>#N/A</v>
      </c>
      <c r="U63" s="62" t="e">
        <f t="shared" ca="1" si="1"/>
        <v>#N/A</v>
      </c>
      <c r="V63" s="62" t="e">
        <f t="shared" ca="1" si="2"/>
        <v>#N/A</v>
      </c>
      <c r="W63" s="60" t="e">
        <f t="shared" ca="1" si="3"/>
        <v>#N/A</v>
      </c>
      <c r="X63" s="60" t="e">
        <f t="shared" ca="1" si="7"/>
        <v>#N/A</v>
      </c>
      <c r="Y63" s="60" t="e">
        <f t="shared" ca="1" si="4"/>
        <v>#N/A</v>
      </c>
      <c r="Z63" s="60" t="e">
        <f t="shared" ca="1" si="5"/>
        <v>#N/A</v>
      </c>
    </row>
    <row r="64" spans="2:26" s="61" customFormat="1" x14ac:dyDescent="0.25">
      <c r="B64" s="62"/>
      <c r="C64" s="69" t="s">
        <v>145</v>
      </c>
      <c r="D64" s="82" t="str" cm="1">
        <f t="array" ref="D64">IF(FollowingUnits="kg/head",IF(G25="",VLOOKUP(FollowingCropNameFull,CropCoefficients,20,FALSE),G25),"")</f>
        <v/>
      </c>
      <c r="E64" s="81"/>
      <c r="F64" s="62"/>
      <c r="G64" s="62"/>
      <c r="H64" s="62"/>
      <c r="I64" s="122"/>
      <c r="J64" s="122"/>
      <c r="K64" s="122"/>
      <c r="L64" s="122"/>
      <c r="M64" s="122"/>
      <c r="N64" s="122"/>
      <c r="O64" s="122"/>
      <c r="P64" s="122"/>
      <c r="Q64" s="62"/>
      <c r="R64" s="93" t="str">
        <f ca="1"/>
        <v/>
      </c>
      <c r="S64" s="62" t="str">
        <f t="shared" ca="1" si="6"/>
        <v/>
      </c>
      <c r="T64" s="62" t="e">
        <f t="shared" ca="1" si="0"/>
        <v>#N/A</v>
      </c>
      <c r="U64" s="62" t="e">
        <f t="shared" ca="1" si="1"/>
        <v>#N/A</v>
      </c>
      <c r="V64" s="62" t="e">
        <f t="shared" ca="1" si="2"/>
        <v>#N/A</v>
      </c>
      <c r="W64" s="60" t="e">
        <f t="shared" ca="1" si="3"/>
        <v>#N/A</v>
      </c>
      <c r="X64" s="60" t="e">
        <f t="shared" ca="1" si="7"/>
        <v>#N/A</v>
      </c>
      <c r="Y64" s="60" t="e">
        <f t="shared" ca="1" si="4"/>
        <v>#N/A</v>
      </c>
      <c r="Z64" s="60" t="e">
        <f t="shared" ca="1" si="5"/>
        <v>#N/A</v>
      </c>
    </row>
    <row r="65" spans="2:26" s="62" customFormat="1" x14ac:dyDescent="0.25">
      <c r="C65" s="69" t="s">
        <v>106</v>
      </c>
      <c r="D65" s="79">
        <f>IF(E65="",VLOOKUP(FollowingCropFullName,CropCoefficients,17,FALSE),E65)</f>
        <v>10</v>
      </c>
      <c r="E65" s="78"/>
      <c r="F65" s="69" t="s">
        <v>157</v>
      </c>
      <c r="G65" s="95" t="str">
        <f>IF(H65="","None removed",H65)</f>
        <v>None removed</v>
      </c>
      <c r="H65" s="81"/>
      <c r="I65" s="122"/>
      <c r="J65" s="122"/>
      <c r="K65" s="122"/>
      <c r="L65" s="122"/>
      <c r="M65" s="122"/>
      <c r="N65" s="122"/>
      <c r="O65" s="122"/>
      <c r="P65" s="122"/>
      <c r="R65" s="93" t="str">
        <f ca="1"/>
        <v/>
      </c>
      <c r="S65" s="62" t="str">
        <f t="shared" ca="1" si="6"/>
        <v/>
      </c>
      <c r="T65" s="62" t="e">
        <f t="shared" ca="1" si="0"/>
        <v>#N/A</v>
      </c>
      <c r="U65" s="62" t="e">
        <f t="shared" ca="1" si="1"/>
        <v>#N/A</v>
      </c>
      <c r="V65" s="62" t="e">
        <f t="shared" ca="1" si="2"/>
        <v>#N/A</v>
      </c>
      <c r="W65" s="60" t="e">
        <f t="shared" ca="1" si="3"/>
        <v>#N/A</v>
      </c>
      <c r="X65" s="60" t="e">
        <f t="shared" ca="1" si="7"/>
        <v>#N/A</v>
      </c>
      <c r="Y65" s="60" t="e">
        <f t="shared" ca="1" si="4"/>
        <v>#N/A</v>
      </c>
      <c r="Z65" s="60" t="e">
        <f t="shared" ca="1" si="5"/>
        <v>#N/A</v>
      </c>
    </row>
    <row r="66" spans="2:26" s="62" customFormat="1" x14ac:dyDescent="0.25">
      <c r="C66" s="69" t="s">
        <v>15</v>
      </c>
      <c r="D66" s="94" t="str">
        <f>IF(E66="",VLOOKUP(FollowingCropFullName,CropCoefficients,18,FALSE),E66)</f>
        <v>t/ha</v>
      </c>
      <c r="E66" s="80"/>
      <c r="F66" s="64" t="s">
        <v>171</v>
      </c>
      <c r="G66" s="95" t="str">
        <f>IF(H66="","Full (Plough)",H66)</f>
        <v>Full (Plough)</v>
      </c>
      <c r="H66" s="81"/>
      <c r="I66" s="122"/>
      <c r="J66" s="122"/>
      <c r="K66" s="122"/>
      <c r="L66" s="122"/>
      <c r="M66" s="122"/>
      <c r="N66" s="122"/>
      <c r="O66" s="122"/>
      <c r="P66" s="122"/>
      <c r="R66" s="93" t="str">
        <f ca="1"/>
        <v/>
      </c>
      <c r="S66" s="62" t="str">
        <f t="shared" ca="1" si="6"/>
        <v/>
      </c>
      <c r="T66" s="62" t="e">
        <f t="shared" ca="1" si="0"/>
        <v>#N/A</v>
      </c>
      <c r="U66" s="62" t="e">
        <f t="shared" ca="1" si="1"/>
        <v>#N/A</v>
      </c>
      <c r="V66" s="62" t="e">
        <f t="shared" ca="1" si="2"/>
        <v>#N/A</v>
      </c>
      <c r="W66" s="60" t="e">
        <f t="shared" ca="1" si="3"/>
        <v>#N/A</v>
      </c>
      <c r="X66" s="60" t="e">
        <f t="shared" ca="1" si="7"/>
        <v>#N/A</v>
      </c>
      <c r="Y66" s="60" t="e">
        <f t="shared" ca="1" si="4"/>
        <v>#N/A</v>
      </c>
      <c r="Z66" s="60" t="e">
        <f t="shared" ca="1" si="5"/>
        <v>#N/A</v>
      </c>
    </row>
    <row r="67" spans="2:26" x14ac:dyDescent="0.25">
      <c r="B67" s="62"/>
      <c r="C67" s="73" t="str">
        <f>"Yield "&amp;ROUND(FollowingYield_tperHa,0)&amp;" (t/ha)"</f>
        <v>Yield 10 (t/ha)</v>
      </c>
      <c r="D67" s="118" t="str">
        <f ca="1">"Following crop will take up "&amp;ROUND('Model Interface'!R4,0)&amp;" kg N/ha"</f>
        <v>Following crop will take up 0 kg N/ha</v>
      </c>
      <c r="R67" s="93" t="str">
        <f ca="1"/>
        <v/>
      </c>
      <c r="S67" s="62" t="str">
        <f t="shared" ca="1" si="6"/>
        <v/>
      </c>
      <c r="T67" s="62" t="e">
        <f t="shared" ca="1" si="0"/>
        <v>#N/A</v>
      </c>
      <c r="U67" s="62" t="e">
        <f t="shared" ca="1" si="1"/>
        <v>#N/A</v>
      </c>
      <c r="V67" s="62" t="e">
        <f t="shared" ca="1" si="2"/>
        <v>#N/A</v>
      </c>
      <c r="W67" s="60" t="e">
        <f t="shared" ca="1" si="3"/>
        <v>#N/A</v>
      </c>
      <c r="X67" s="60" t="e">
        <f t="shared" ca="1" si="7"/>
        <v>#N/A</v>
      </c>
      <c r="Y67" s="60" t="e">
        <f t="shared" ca="1" si="4"/>
        <v>#N/A</v>
      </c>
      <c r="Z67" s="60" t="e">
        <f t="shared" ca="1" si="5"/>
        <v>#N/A</v>
      </c>
    </row>
    <row r="68" spans="2:26" ht="15.75" thickBot="1" x14ac:dyDescent="0.3">
      <c r="C68" s="146" t="s">
        <v>199</v>
      </c>
      <c r="D68" s="146"/>
      <c r="E68" s="146"/>
      <c r="F68" s="146"/>
      <c r="G68" s="146"/>
      <c r="H68" s="146"/>
      <c r="R68" s="93" t="str">
        <f ca="1"/>
        <v/>
      </c>
      <c r="S68" s="62" t="str">
        <f t="shared" ca="1" si="6"/>
        <v/>
      </c>
      <c r="T68" s="62" t="e">
        <f t="shared" ca="1" si="0"/>
        <v>#N/A</v>
      </c>
      <c r="U68" s="62" t="e">
        <f t="shared" ca="1" si="1"/>
        <v>#N/A</v>
      </c>
      <c r="V68" s="62" t="e">
        <f t="shared" ca="1" si="2"/>
        <v>#N/A</v>
      </c>
      <c r="W68" s="60" t="e">
        <f t="shared" ca="1" si="3"/>
        <v>#N/A</v>
      </c>
      <c r="X68" s="60" t="e">
        <f t="shared" ca="1" si="7"/>
        <v>#N/A</v>
      </c>
      <c r="Y68" s="60" t="e">
        <f t="shared" ca="1" si="4"/>
        <v>#N/A</v>
      </c>
      <c r="Z68" s="60" t="e">
        <f t="shared" ca="1" si="5"/>
        <v>#N/A</v>
      </c>
    </row>
    <row r="69" spans="2:26" x14ac:dyDescent="0.25">
      <c r="C69" s="69" t="s">
        <v>160</v>
      </c>
      <c r="D69" s="98">
        <v>50</v>
      </c>
      <c r="E69" s="115"/>
      <c r="R69" s="93" t="str">
        <f ca="1"/>
        <v/>
      </c>
      <c r="S69" s="62" t="str">
        <f t="shared" ca="1" si="6"/>
        <v/>
      </c>
      <c r="T69" s="62" t="e">
        <f t="shared" ca="1" si="0"/>
        <v>#N/A</v>
      </c>
      <c r="U69" s="62" t="e">
        <f t="shared" ca="1" si="1"/>
        <v>#N/A</v>
      </c>
      <c r="V69" s="62" t="e">
        <f t="shared" ca="1" si="2"/>
        <v>#N/A</v>
      </c>
      <c r="W69" s="60" t="e">
        <f t="shared" ca="1" si="3"/>
        <v>#N/A</v>
      </c>
      <c r="X69" s="60" t="e">
        <f t="shared" ca="1" si="7"/>
        <v>#N/A</v>
      </c>
      <c r="Y69" s="60" t="e">
        <f t="shared" ca="1" si="4"/>
        <v>#N/A</v>
      </c>
      <c r="Z69" s="60" t="e">
        <f t="shared" ca="1" si="5"/>
        <v>#N/A</v>
      </c>
    </row>
    <row r="70" spans="2:26" x14ac:dyDescent="0.25">
      <c r="C70" s="69" t="s">
        <v>161</v>
      </c>
      <c r="D70" s="94">
        <f>IF(E70="",30,E70)</f>
        <v>30</v>
      </c>
      <c r="E70" s="78"/>
      <c r="R70" s="93" t="str">
        <f ca="1"/>
        <v/>
      </c>
      <c r="S70" s="62" t="str">
        <f t="shared" ca="1" si="6"/>
        <v/>
      </c>
      <c r="T70" s="62" t="e">
        <f t="shared" ca="1" si="0"/>
        <v>#N/A</v>
      </c>
      <c r="U70" s="62" t="e">
        <f t="shared" ca="1" si="1"/>
        <v>#N/A</v>
      </c>
      <c r="V70" s="62" t="e">
        <f t="shared" ca="1" si="2"/>
        <v>#N/A</v>
      </c>
      <c r="W70" s="60" t="e">
        <f t="shared" ca="1" si="3"/>
        <v>#N/A</v>
      </c>
      <c r="X70" s="60" t="e">
        <f t="shared" ca="1" si="7"/>
        <v>#N/A</v>
      </c>
      <c r="Y70" s="60" t="e">
        <f t="shared" ca="1" si="4"/>
        <v>#N/A</v>
      </c>
      <c r="Z70" s="60" t="e">
        <f t="shared" ca="1" si="5"/>
        <v>#N/A</v>
      </c>
    </row>
    <row r="71" spans="2:26" x14ac:dyDescent="0.25">
      <c r="C71" s="69" t="s">
        <v>162</v>
      </c>
      <c r="D71" s="94">
        <f>IF(E71="",80,E71)</f>
        <v>80</v>
      </c>
      <c r="E71" s="78"/>
      <c r="R71" s="93" t="str">
        <f ca="1"/>
        <v/>
      </c>
      <c r="S71" s="62" t="str">
        <f t="shared" ca="1" si="6"/>
        <v/>
      </c>
      <c r="T71" s="62" t="e">
        <f t="shared" ca="1" si="0"/>
        <v>#N/A</v>
      </c>
      <c r="U71" s="62" t="e">
        <f t="shared" ca="1" si="1"/>
        <v>#N/A</v>
      </c>
      <c r="V71" s="62" t="e">
        <f t="shared" ca="1" si="2"/>
        <v>#N/A</v>
      </c>
      <c r="W71" s="60" t="e">
        <f t="shared" ca="1" si="3"/>
        <v>#N/A</v>
      </c>
      <c r="X71" s="60" t="e">
        <f t="shared" ca="1" si="7"/>
        <v>#N/A</v>
      </c>
      <c r="Y71" s="60" t="e">
        <f t="shared" ca="1" si="4"/>
        <v>#N/A</v>
      </c>
      <c r="Z71" s="60" t="e">
        <f t="shared" ca="1" si="5"/>
        <v>#N/A</v>
      </c>
    </row>
    <row r="72" spans="2:26" x14ac:dyDescent="0.25">
      <c r="C72" s="69" t="s">
        <v>216</v>
      </c>
      <c r="D72" s="94">
        <f>IF(E72="",120,E72)</f>
        <v>120</v>
      </c>
      <c r="E72" s="78"/>
      <c r="R72" s="93" t="str">
        <f ca="1"/>
        <v/>
      </c>
      <c r="S72" s="62" t="str">
        <f t="shared" ca="1" si="6"/>
        <v/>
      </c>
      <c r="T72" s="62" t="e">
        <f t="shared" ca="1" si="0"/>
        <v>#N/A</v>
      </c>
      <c r="U72" s="62" t="e">
        <f t="shared" ca="1" si="1"/>
        <v>#N/A</v>
      </c>
      <c r="V72" s="62" t="e">
        <f t="shared" ca="1" si="2"/>
        <v>#N/A</v>
      </c>
      <c r="W72" s="60" t="e">
        <f t="shared" ca="1" si="3"/>
        <v>#N/A</v>
      </c>
      <c r="X72" s="60" t="e">
        <f t="shared" ca="1" si="7"/>
        <v>#N/A</v>
      </c>
      <c r="Y72" s="60" t="e">
        <f t="shared" ca="1" si="4"/>
        <v>#N/A</v>
      </c>
      <c r="Z72" s="60" t="e">
        <f t="shared" ca="1" si="5"/>
        <v>#N/A</v>
      </c>
    </row>
    <row r="73" spans="2:26" x14ac:dyDescent="0.25">
      <c r="R73" s="93" t="str">
        <f ca="1"/>
        <v/>
      </c>
      <c r="S73" s="62" t="str">
        <f t="shared" ca="1" si="6"/>
        <v/>
      </c>
      <c r="T73" s="62" t="e">
        <f t="shared" ca="1" si="0"/>
        <v>#N/A</v>
      </c>
      <c r="U73" s="62" t="e">
        <f t="shared" ca="1" si="1"/>
        <v>#N/A</v>
      </c>
      <c r="V73" s="62" t="e">
        <f t="shared" ca="1" si="2"/>
        <v>#N/A</v>
      </c>
      <c r="W73" s="60" t="e">
        <f t="shared" ca="1" si="3"/>
        <v>#N/A</v>
      </c>
      <c r="X73" s="60" t="e">
        <f t="shared" ca="1" si="7"/>
        <v>#N/A</v>
      </c>
      <c r="Y73" s="60" t="e">
        <f t="shared" ca="1" si="4"/>
        <v>#N/A</v>
      </c>
      <c r="Z73" s="60" t="e">
        <f t="shared" ca="1" si="5"/>
        <v>#N/A</v>
      </c>
    </row>
    <row r="74" spans="2:26" x14ac:dyDescent="0.25">
      <c r="R74" s="93" t="str">
        <f ca="1"/>
        <v/>
      </c>
      <c r="S74" s="62" t="str">
        <f t="shared" ca="1" si="6"/>
        <v/>
      </c>
      <c r="T74" s="62" t="e">
        <f t="shared" ca="1" si="0"/>
        <v>#N/A</v>
      </c>
      <c r="U74" s="62" t="e">
        <f t="shared" ca="1" si="1"/>
        <v>#N/A</v>
      </c>
      <c r="V74" s="62" t="e">
        <f t="shared" ca="1" si="2"/>
        <v>#N/A</v>
      </c>
      <c r="W74" s="60" t="e">
        <f t="shared" ca="1" si="3"/>
        <v>#N/A</v>
      </c>
      <c r="X74" s="60" t="e">
        <f t="shared" ca="1" si="7"/>
        <v>#N/A</v>
      </c>
      <c r="Y74" s="60" t="e">
        <f t="shared" ca="1" si="4"/>
        <v>#N/A</v>
      </c>
      <c r="Z74" s="60" t="e">
        <f t="shared" ca="1" si="5"/>
        <v>#N/A</v>
      </c>
    </row>
    <row r="75" spans="2:26" x14ac:dyDescent="0.25">
      <c r="R75" s="93" t="str">
        <f ca="1"/>
        <v/>
      </c>
      <c r="S75" s="62" t="str">
        <f t="shared" ca="1" si="6"/>
        <v/>
      </c>
      <c r="T75" s="62" t="e">
        <f t="shared" ca="1" si="0"/>
        <v>#N/A</v>
      </c>
      <c r="U75" s="62" t="e">
        <f t="shared" ca="1" si="1"/>
        <v>#N/A</v>
      </c>
      <c r="V75" s="62" t="e">
        <f t="shared" ca="1" si="2"/>
        <v>#N/A</v>
      </c>
      <c r="W75" s="60" t="e">
        <f t="shared" ca="1" si="3"/>
        <v>#N/A</v>
      </c>
      <c r="X75" s="60" t="e">
        <f t="shared" ca="1" si="7"/>
        <v>#N/A</v>
      </c>
      <c r="Y75" s="60" t="e">
        <f t="shared" ca="1" si="4"/>
        <v>#N/A</v>
      </c>
      <c r="Z75" s="60" t="e">
        <f t="shared" ca="1" si="5"/>
        <v>#N/A</v>
      </c>
    </row>
    <row r="76" spans="2:26" x14ac:dyDescent="0.25">
      <c r="R76" s="93" t="str">
        <f ca="1"/>
        <v/>
      </c>
      <c r="S76" s="62" t="str">
        <f t="shared" ca="1" si="6"/>
        <v/>
      </c>
      <c r="T76" s="62" t="e">
        <f t="shared" ca="1" si="0"/>
        <v>#N/A</v>
      </c>
      <c r="U76" s="62" t="e">
        <f t="shared" ca="1" si="1"/>
        <v>#N/A</v>
      </c>
      <c r="V76" s="62" t="e">
        <f t="shared" ca="1" si="2"/>
        <v>#N/A</v>
      </c>
      <c r="W76" s="60" t="e">
        <f t="shared" ca="1" si="3"/>
        <v>#N/A</v>
      </c>
      <c r="X76" s="60" t="e">
        <f t="shared" ca="1" si="7"/>
        <v>#N/A</v>
      </c>
      <c r="Y76" s="60" t="e">
        <f t="shared" ca="1" si="4"/>
        <v>#N/A</v>
      </c>
      <c r="Z76" s="60" t="e">
        <f t="shared" ca="1" si="5"/>
        <v>#N/A</v>
      </c>
    </row>
    <row r="77" spans="2:26" x14ac:dyDescent="0.25">
      <c r="R77" s="93" t="str">
        <f ca="1"/>
        <v/>
      </c>
      <c r="S77" s="62" t="str">
        <f t="shared" ca="1" si="6"/>
        <v/>
      </c>
      <c r="T77" s="62" t="e">
        <f t="shared" ca="1" si="0"/>
        <v>#N/A</v>
      </c>
      <c r="U77" s="62" t="e">
        <f t="shared" ca="1" si="1"/>
        <v>#N/A</v>
      </c>
      <c r="V77" s="62" t="e">
        <f t="shared" ca="1" si="2"/>
        <v>#N/A</v>
      </c>
      <c r="W77" s="60" t="e">
        <f t="shared" ca="1" si="3"/>
        <v>#N/A</v>
      </c>
      <c r="X77" s="60" t="e">
        <f t="shared" ca="1" si="7"/>
        <v>#N/A</v>
      </c>
      <c r="Y77" s="60" t="e">
        <f t="shared" ca="1" si="4"/>
        <v>#N/A</v>
      </c>
      <c r="Z77" s="60" t="e">
        <f t="shared" ca="1" si="5"/>
        <v>#N/A</v>
      </c>
    </row>
    <row r="78" spans="2:26" x14ac:dyDescent="0.25">
      <c r="R78" s="93" t="str">
        <f ca="1"/>
        <v/>
      </c>
      <c r="S78" s="62" t="str">
        <f t="shared" ca="1" si="6"/>
        <v/>
      </c>
      <c r="T78" s="62" t="e">
        <f t="shared" ca="1" si="0"/>
        <v>#N/A</v>
      </c>
      <c r="U78" s="62" t="e">
        <f t="shared" ca="1" si="1"/>
        <v>#N/A</v>
      </c>
      <c r="V78" s="62" t="e">
        <f t="shared" ca="1" si="2"/>
        <v>#N/A</v>
      </c>
      <c r="W78" s="60" t="e">
        <f t="shared" ca="1" si="3"/>
        <v>#N/A</v>
      </c>
      <c r="X78" s="60" t="e">
        <f t="shared" ca="1" si="7"/>
        <v>#N/A</v>
      </c>
      <c r="Y78" s="60" t="e">
        <f t="shared" ca="1" si="4"/>
        <v>#N/A</v>
      </c>
      <c r="Z78" s="60" t="e">
        <f t="shared" ca="1" si="5"/>
        <v>#N/A</v>
      </c>
    </row>
    <row r="79" spans="2:26" x14ac:dyDescent="0.25">
      <c r="R79" s="93" t="str">
        <f ca="1"/>
        <v/>
      </c>
      <c r="S79" s="62" t="str">
        <f t="shared" ca="1" si="6"/>
        <v/>
      </c>
      <c r="T79" s="62" t="e">
        <f t="shared" ca="1" si="0"/>
        <v>#N/A</v>
      </c>
      <c r="U79" s="62" t="e">
        <f t="shared" ca="1" si="1"/>
        <v>#N/A</v>
      </c>
      <c r="V79" s="62" t="e">
        <f t="shared" ca="1" si="2"/>
        <v>#N/A</v>
      </c>
      <c r="W79" s="60" t="e">
        <f t="shared" ca="1" si="3"/>
        <v>#N/A</v>
      </c>
      <c r="X79" s="60" t="e">
        <f t="shared" ca="1" si="7"/>
        <v>#N/A</v>
      </c>
      <c r="Y79" s="60" t="e">
        <f t="shared" ca="1" si="4"/>
        <v>#N/A</v>
      </c>
      <c r="Z79" s="60" t="e">
        <f t="shared" ca="1" si="5"/>
        <v>#N/A</v>
      </c>
    </row>
    <row r="80" spans="2:26" x14ac:dyDescent="0.25">
      <c r="R80" s="93" t="str">
        <f ca="1"/>
        <v/>
      </c>
      <c r="S80" s="62" t="str">
        <f t="shared" ca="1" si="6"/>
        <v/>
      </c>
      <c r="T80" s="62" t="e">
        <f t="shared" ca="1" si="0"/>
        <v>#N/A</v>
      </c>
      <c r="U80" s="62" t="e">
        <f t="shared" ca="1" si="1"/>
        <v>#N/A</v>
      </c>
      <c r="V80" s="62" t="e">
        <f t="shared" ca="1" si="2"/>
        <v>#N/A</v>
      </c>
      <c r="W80" s="60" t="e">
        <f t="shared" ca="1" si="3"/>
        <v>#N/A</v>
      </c>
      <c r="X80" s="60" t="e">
        <f t="shared" ca="1" si="7"/>
        <v>#N/A</v>
      </c>
      <c r="Y80" s="60" t="e">
        <f t="shared" ca="1" si="4"/>
        <v>#N/A</v>
      </c>
      <c r="Z80" s="60" t="e">
        <f t="shared" ca="1" si="5"/>
        <v>#N/A</v>
      </c>
    </row>
    <row r="81" spans="18:26" x14ac:dyDescent="0.25">
      <c r="R81" s="93" t="str">
        <f ca="1"/>
        <v/>
      </c>
      <c r="S81" s="62" t="str">
        <f t="shared" ca="1" si="6"/>
        <v/>
      </c>
      <c r="T81" s="62" t="e">
        <f t="shared" ca="1" si="0"/>
        <v>#N/A</v>
      </c>
      <c r="U81" s="62" t="e">
        <f t="shared" ca="1" si="1"/>
        <v>#N/A</v>
      </c>
      <c r="V81" s="62" t="e">
        <f t="shared" ca="1" si="2"/>
        <v>#N/A</v>
      </c>
      <c r="W81" s="60" t="e">
        <f t="shared" ca="1" si="3"/>
        <v>#N/A</v>
      </c>
      <c r="X81" s="60" t="e">
        <f t="shared" ca="1" si="7"/>
        <v>#N/A</v>
      </c>
      <c r="Y81" s="60" t="e">
        <f t="shared" ca="1" si="4"/>
        <v>#N/A</v>
      </c>
      <c r="Z81" s="60" t="e">
        <f t="shared" ca="1" si="5"/>
        <v>#N/A</v>
      </c>
    </row>
    <row r="82" spans="18:26" x14ac:dyDescent="0.25">
      <c r="R82" s="93" t="str">
        <f ca="1"/>
        <v/>
      </c>
      <c r="S82" s="62" t="str">
        <f t="shared" ca="1" si="6"/>
        <v/>
      </c>
      <c r="T82" s="62" t="e">
        <f t="shared" ref="T82:T145" ca="1" si="11">VLOOKUP(S82,ModelOutputs,2,FALSE)</f>
        <v>#N/A</v>
      </c>
      <c r="U82" s="62" t="e">
        <f t="shared" ref="U82:U145" ca="1" si="12">VLOOKUP(S82,ModelOutputs,7,FALSE)</f>
        <v>#N/A</v>
      </c>
      <c r="V82" s="62" t="e">
        <f t="shared" ref="V82:V145" ca="1" si="13">VLOOKUP(S82,ModelOutputs,6,FALSE)</f>
        <v>#N/A</v>
      </c>
      <c r="W82" s="60" t="e">
        <f t="shared" ref="W82:W145" ca="1" si="14">VLOOKUP(S82,ModelOutputs,10,FALSE)*AWC</f>
        <v>#N/A</v>
      </c>
      <c r="X82" s="60" t="e">
        <f t="shared" ca="1" si="7"/>
        <v>#N/A</v>
      </c>
      <c r="Y82" s="60" t="e">
        <f t="shared" ref="Y82:Y145" ca="1" si="15">VLOOKUP(S82,ModelOutputs,12,FALSE)</f>
        <v>#N/A</v>
      </c>
      <c r="Z82" s="60" t="e">
        <f t="shared" ref="Z82:Z145" ca="1" si="16">VLOOKUP(S82,ModelOutputs,13,FALSE)</f>
        <v>#N/A</v>
      </c>
    </row>
    <row r="83" spans="18:26" x14ac:dyDescent="0.25">
      <c r="R83" s="93" t="str">
        <f ca="1"/>
        <v/>
      </c>
      <c r="S83" s="62" t="str">
        <f t="shared" ref="S83:S146" ca="1" si="17">IF(R83&gt;1,R83,"")</f>
        <v/>
      </c>
      <c r="T83" s="62" t="e">
        <f t="shared" ca="1" si="11"/>
        <v>#N/A</v>
      </c>
      <c r="U83" s="62" t="e">
        <f t="shared" ca="1" si="12"/>
        <v>#N/A</v>
      </c>
      <c r="V83" s="62" t="e">
        <f t="shared" ca="1" si="13"/>
        <v>#N/A</v>
      </c>
      <c r="W83" s="60" t="e">
        <f t="shared" ca="1" si="14"/>
        <v>#N/A</v>
      </c>
      <c r="X83" s="60" t="e">
        <f t="shared" ref="X83:X146" ca="1" si="18">VLOOKUP(S83,ModelOutputs,11,FALSE)+X82</f>
        <v>#N/A</v>
      </c>
      <c r="Y83" s="60" t="e">
        <f t="shared" ca="1" si="15"/>
        <v>#N/A</v>
      </c>
      <c r="Z83" s="60" t="e">
        <f t="shared" ca="1" si="16"/>
        <v>#N/A</v>
      </c>
    </row>
    <row r="84" spans="18:26" x14ac:dyDescent="0.25">
      <c r="R84" s="93" t="str">
        <f ca="1"/>
        <v/>
      </c>
      <c r="S84" s="62" t="str">
        <f t="shared" ca="1" si="17"/>
        <v/>
      </c>
      <c r="T84" s="62" t="e">
        <f t="shared" ca="1" si="11"/>
        <v>#N/A</v>
      </c>
      <c r="U84" s="62" t="e">
        <f t="shared" ca="1" si="12"/>
        <v>#N/A</v>
      </c>
      <c r="V84" s="62" t="e">
        <f t="shared" ca="1" si="13"/>
        <v>#N/A</v>
      </c>
      <c r="W84" s="60" t="e">
        <f t="shared" ca="1" si="14"/>
        <v>#N/A</v>
      </c>
      <c r="X84" s="60" t="e">
        <f t="shared" ca="1" si="18"/>
        <v>#N/A</v>
      </c>
      <c r="Y84" s="60" t="e">
        <f t="shared" ca="1" si="15"/>
        <v>#N/A</v>
      </c>
      <c r="Z84" s="60" t="e">
        <f t="shared" ca="1" si="16"/>
        <v>#N/A</v>
      </c>
    </row>
    <row r="85" spans="18:26" x14ac:dyDescent="0.25">
      <c r="R85" s="93" t="str">
        <f ca="1"/>
        <v/>
      </c>
      <c r="S85" s="62" t="str">
        <f t="shared" ca="1" si="17"/>
        <v/>
      </c>
      <c r="T85" s="62" t="e">
        <f t="shared" ca="1" si="11"/>
        <v>#N/A</v>
      </c>
      <c r="U85" s="62" t="e">
        <f t="shared" ca="1" si="12"/>
        <v>#N/A</v>
      </c>
      <c r="V85" s="62" t="e">
        <f t="shared" ca="1" si="13"/>
        <v>#N/A</v>
      </c>
      <c r="W85" s="60" t="e">
        <f t="shared" ca="1" si="14"/>
        <v>#N/A</v>
      </c>
      <c r="X85" s="60" t="e">
        <f t="shared" ca="1" si="18"/>
        <v>#N/A</v>
      </c>
      <c r="Y85" s="60" t="e">
        <f t="shared" ca="1" si="15"/>
        <v>#N/A</v>
      </c>
      <c r="Z85" s="60" t="e">
        <f t="shared" ca="1" si="16"/>
        <v>#N/A</v>
      </c>
    </row>
    <row r="86" spans="18:26" x14ac:dyDescent="0.25">
      <c r="R86" s="93" t="str">
        <f ca="1"/>
        <v/>
      </c>
      <c r="S86" s="62" t="str">
        <f t="shared" ca="1" si="17"/>
        <v/>
      </c>
      <c r="T86" s="62" t="e">
        <f t="shared" ca="1" si="11"/>
        <v>#N/A</v>
      </c>
      <c r="U86" s="62" t="e">
        <f t="shared" ca="1" si="12"/>
        <v>#N/A</v>
      </c>
      <c r="V86" s="62" t="e">
        <f t="shared" ca="1" si="13"/>
        <v>#N/A</v>
      </c>
      <c r="W86" s="60" t="e">
        <f t="shared" ca="1" si="14"/>
        <v>#N/A</v>
      </c>
      <c r="X86" s="60" t="e">
        <f t="shared" ca="1" si="18"/>
        <v>#N/A</v>
      </c>
      <c r="Y86" s="60" t="e">
        <f t="shared" ca="1" si="15"/>
        <v>#N/A</v>
      </c>
      <c r="Z86" s="60" t="e">
        <f t="shared" ca="1" si="16"/>
        <v>#N/A</v>
      </c>
    </row>
    <row r="87" spans="18:26" x14ac:dyDescent="0.25">
      <c r="R87" s="93" t="str">
        <f ca="1"/>
        <v/>
      </c>
      <c r="S87" s="62" t="str">
        <f t="shared" ca="1" si="17"/>
        <v/>
      </c>
      <c r="T87" s="62" t="e">
        <f t="shared" ca="1" si="11"/>
        <v>#N/A</v>
      </c>
      <c r="U87" s="62" t="e">
        <f t="shared" ca="1" si="12"/>
        <v>#N/A</v>
      </c>
      <c r="V87" s="62" t="e">
        <f t="shared" ca="1" si="13"/>
        <v>#N/A</v>
      </c>
      <c r="W87" s="60" t="e">
        <f t="shared" ca="1" si="14"/>
        <v>#N/A</v>
      </c>
      <c r="X87" s="60" t="e">
        <f t="shared" ca="1" si="18"/>
        <v>#N/A</v>
      </c>
      <c r="Y87" s="60" t="e">
        <f t="shared" ca="1" si="15"/>
        <v>#N/A</v>
      </c>
      <c r="Z87" s="60" t="e">
        <f t="shared" ca="1" si="16"/>
        <v>#N/A</v>
      </c>
    </row>
    <row r="88" spans="18:26" x14ac:dyDescent="0.25">
      <c r="R88" s="93" t="str">
        <f ca="1"/>
        <v/>
      </c>
      <c r="S88" s="62" t="str">
        <f t="shared" ca="1" si="17"/>
        <v/>
      </c>
      <c r="T88" s="62" t="e">
        <f t="shared" ca="1" si="11"/>
        <v>#N/A</v>
      </c>
      <c r="U88" s="62" t="e">
        <f t="shared" ca="1" si="12"/>
        <v>#N/A</v>
      </c>
      <c r="V88" s="62" t="e">
        <f t="shared" ca="1" si="13"/>
        <v>#N/A</v>
      </c>
      <c r="W88" s="60" t="e">
        <f t="shared" ca="1" si="14"/>
        <v>#N/A</v>
      </c>
      <c r="X88" s="60" t="e">
        <f t="shared" ca="1" si="18"/>
        <v>#N/A</v>
      </c>
      <c r="Y88" s="60" t="e">
        <f t="shared" ca="1" si="15"/>
        <v>#N/A</v>
      </c>
      <c r="Z88" s="60" t="e">
        <f t="shared" ca="1" si="16"/>
        <v>#N/A</v>
      </c>
    </row>
    <row r="89" spans="18:26" x14ac:dyDescent="0.25">
      <c r="R89" s="93" t="str">
        <f ca="1"/>
        <v/>
      </c>
      <c r="S89" s="62" t="str">
        <f t="shared" ca="1" si="17"/>
        <v/>
      </c>
      <c r="T89" s="62" t="e">
        <f t="shared" ca="1" si="11"/>
        <v>#N/A</v>
      </c>
      <c r="U89" s="62" t="e">
        <f t="shared" ca="1" si="12"/>
        <v>#N/A</v>
      </c>
      <c r="V89" s="62" t="e">
        <f t="shared" ca="1" si="13"/>
        <v>#N/A</v>
      </c>
      <c r="W89" s="60" t="e">
        <f t="shared" ca="1" si="14"/>
        <v>#N/A</v>
      </c>
      <c r="X89" s="60" t="e">
        <f t="shared" ca="1" si="18"/>
        <v>#N/A</v>
      </c>
      <c r="Y89" s="60" t="e">
        <f t="shared" ca="1" si="15"/>
        <v>#N/A</v>
      </c>
      <c r="Z89" s="60" t="e">
        <f t="shared" ca="1" si="16"/>
        <v>#N/A</v>
      </c>
    </row>
    <row r="90" spans="18:26" x14ac:dyDescent="0.25">
      <c r="R90" s="93" t="str">
        <f ca="1"/>
        <v/>
      </c>
      <c r="S90" s="62" t="str">
        <f t="shared" ca="1" si="17"/>
        <v/>
      </c>
      <c r="T90" s="62" t="e">
        <f t="shared" ca="1" si="11"/>
        <v>#N/A</v>
      </c>
      <c r="U90" s="62" t="e">
        <f t="shared" ca="1" si="12"/>
        <v>#N/A</v>
      </c>
      <c r="V90" s="62" t="e">
        <f t="shared" ca="1" si="13"/>
        <v>#N/A</v>
      </c>
      <c r="W90" s="60" t="e">
        <f t="shared" ca="1" si="14"/>
        <v>#N/A</v>
      </c>
      <c r="X90" s="60" t="e">
        <f t="shared" ca="1" si="18"/>
        <v>#N/A</v>
      </c>
      <c r="Y90" s="60" t="e">
        <f t="shared" ca="1" si="15"/>
        <v>#N/A</v>
      </c>
      <c r="Z90" s="60" t="e">
        <f t="shared" ca="1" si="16"/>
        <v>#N/A</v>
      </c>
    </row>
    <row r="91" spans="18:26" x14ac:dyDescent="0.25">
      <c r="R91" s="93" t="str">
        <f ca="1"/>
        <v/>
      </c>
      <c r="S91" s="62" t="str">
        <f t="shared" ca="1" si="17"/>
        <v/>
      </c>
      <c r="T91" s="62" t="e">
        <f t="shared" ca="1" si="11"/>
        <v>#N/A</v>
      </c>
      <c r="U91" s="62" t="e">
        <f t="shared" ca="1" si="12"/>
        <v>#N/A</v>
      </c>
      <c r="V91" s="62" t="e">
        <f t="shared" ca="1" si="13"/>
        <v>#N/A</v>
      </c>
      <c r="W91" s="60" t="e">
        <f t="shared" ca="1" si="14"/>
        <v>#N/A</v>
      </c>
      <c r="X91" s="60" t="e">
        <f t="shared" ca="1" si="18"/>
        <v>#N/A</v>
      </c>
      <c r="Y91" s="60" t="e">
        <f t="shared" ca="1" si="15"/>
        <v>#N/A</v>
      </c>
      <c r="Z91" s="60" t="e">
        <f t="shared" ca="1" si="16"/>
        <v>#N/A</v>
      </c>
    </row>
    <row r="92" spans="18:26" x14ac:dyDescent="0.25">
      <c r="R92" s="93" t="str">
        <f ca="1"/>
        <v/>
      </c>
      <c r="S92" s="62" t="str">
        <f t="shared" ca="1" si="17"/>
        <v/>
      </c>
      <c r="T92" s="62" t="e">
        <f t="shared" ca="1" si="11"/>
        <v>#N/A</v>
      </c>
      <c r="U92" s="62" t="e">
        <f t="shared" ca="1" si="12"/>
        <v>#N/A</v>
      </c>
      <c r="V92" s="62" t="e">
        <f t="shared" ca="1" si="13"/>
        <v>#N/A</v>
      </c>
      <c r="W92" s="60" t="e">
        <f t="shared" ca="1" si="14"/>
        <v>#N/A</v>
      </c>
      <c r="X92" s="60" t="e">
        <f t="shared" ca="1" si="18"/>
        <v>#N/A</v>
      </c>
      <c r="Y92" s="60" t="e">
        <f t="shared" ca="1" si="15"/>
        <v>#N/A</v>
      </c>
      <c r="Z92" s="60" t="e">
        <f t="shared" ca="1" si="16"/>
        <v>#N/A</v>
      </c>
    </row>
    <row r="93" spans="18:26" x14ac:dyDescent="0.25">
      <c r="R93" s="93" t="str">
        <f ca="1"/>
        <v/>
      </c>
      <c r="S93" s="62" t="str">
        <f t="shared" ca="1" si="17"/>
        <v/>
      </c>
      <c r="T93" s="62" t="e">
        <f t="shared" ca="1" si="11"/>
        <v>#N/A</v>
      </c>
      <c r="U93" s="62" t="e">
        <f t="shared" ca="1" si="12"/>
        <v>#N/A</v>
      </c>
      <c r="V93" s="62" t="e">
        <f t="shared" ca="1" si="13"/>
        <v>#N/A</v>
      </c>
      <c r="W93" s="60" t="e">
        <f t="shared" ca="1" si="14"/>
        <v>#N/A</v>
      </c>
      <c r="X93" s="60" t="e">
        <f t="shared" ca="1" si="18"/>
        <v>#N/A</v>
      </c>
      <c r="Y93" s="60" t="e">
        <f t="shared" ca="1" si="15"/>
        <v>#N/A</v>
      </c>
      <c r="Z93" s="60" t="e">
        <f t="shared" ca="1" si="16"/>
        <v>#N/A</v>
      </c>
    </row>
    <row r="94" spans="18:26" x14ac:dyDescent="0.25">
      <c r="R94" s="93" t="str">
        <f ca="1"/>
        <v/>
      </c>
      <c r="S94" s="62" t="str">
        <f t="shared" ca="1" si="17"/>
        <v/>
      </c>
      <c r="T94" s="62" t="e">
        <f t="shared" ca="1" si="11"/>
        <v>#N/A</v>
      </c>
      <c r="U94" s="62" t="e">
        <f t="shared" ca="1" si="12"/>
        <v>#N/A</v>
      </c>
      <c r="V94" s="62" t="e">
        <f t="shared" ca="1" si="13"/>
        <v>#N/A</v>
      </c>
      <c r="W94" s="60" t="e">
        <f t="shared" ca="1" si="14"/>
        <v>#N/A</v>
      </c>
      <c r="X94" s="60" t="e">
        <f t="shared" ca="1" si="18"/>
        <v>#N/A</v>
      </c>
      <c r="Y94" s="60" t="e">
        <f t="shared" ca="1" si="15"/>
        <v>#N/A</v>
      </c>
      <c r="Z94" s="60" t="e">
        <f t="shared" ca="1" si="16"/>
        <v>#N/A</v>
      </c>
    </row>
    <row r="95" spans="18:26" x14ac:dyDescent="0.25">
      <c r="R95" s="93" t="str">
        <f ca="1"/>
        <v/>
      </c>
      <c r="S95" s="62" t="str">
        <f t="shared" ca="1" si="17"/>
        <v/>
      </c>
      <c r="T95" s="62" t="e">
        <f t="shared" ca="1" si="11"/>
        <v>#N/A</v>
      </c>
      <c r="U95" s="62" t="e">
        <f t="shared" ca="1" si="12"/>
        <v>#N/A</v>
      </c>
      <c r="V95" s="62" t="e">
        <f t="shared" ca="1" si="13"/>
        <v>#N/A</v>
      </c>
      <c r="W95" s="60" t="e">
        <f t="shared" ca="1" si="14"/>
        <v>#N/A</v>
      </c>
      <c r="X95" s="60" t="e">
        <f t="shared" ca="1" si="18"/>
        <v>#N/A</v>
      </c>
      <c r="Y95" s="60" t="e">
        <f t="shared" ca="1" si="15"/>
        <v>#N/A</v>
      </c>
      <c r="Z95" s="60" t="e">
        <f t="shared" ca="1" si="16"/>
        <v>#N/A</v>
      </c>
    </row>
    <row r="96" spans="18:26" x14ac:dyDescent="0.25">
      <c r="R96" s="93" t="str">
        <f ca="1"/>
        <v/>
      </c>
      <c r="S96" s="62" t="str">
        <f t="shared" ca="1" si="17"/>
        <v/>
      </c>
      <c r="T96" s="62" t="e">
        <f t="shared" ca="1" si="11"/>
        <v>#N/A</v>
      </c>
      <c r="U96" s="62" t="e">
        <f t="shared" ca="1" si="12"/>
        <v>#N/A</v>
      </c>
      <c r="V96" s="62" t="e">
        <f t="shared" ca="1" si="13"/>
        <v>#N/A</v>
      </c>
      <c r="W96" s="60" t="e">
        <f t="shared" ca="1" si="14"/>
        <v>#N/A</v>
      </c>
      <c r="X96" s="60" t="e">
        <f t="shared" ca="1" si="18"/>
        <v>#N/A</v>
      </c>
      <c r="Y96" s="60" t="e">
        <f t="shared" ca="1" si="15"/>
        <v>#N/A</v>
      </c>
      <c r="Z96" s="60" t="e">
        <f t="shared" ca="1" si="16"/>
        <v>#N/A</v>
      </c>
    </row>
    <row r="97" spans="18:26" x14ac:dyDescent="0.25">
      <c r="R97" s="93" t="str">
        <f ca="1"/>
        <v/>
      </c>
      <c r="S97" s="62" t="str">
        <f t="shared" ca="1" si="17"/>
        <v/>
      </c>
      <c r="T97" s="62" t="e">
        <f t="shared" ca="1" si="11"/>
        <v>#N/A</v>
      </c>
      <c r="U97" s="62" t="e">
        <f t="shared" ca="1" si="12"/>
        <v>#N/A</v>
      </c>
      <c r="V97" s="62" t="e">
        <f t="shared" ca="1" si="13"/>
        <v>#N/A</v>
      </c>
      <c r="W97" s="60" t="e">
        <f t="shared" ca="1" si="14"/>
        <v>#N/A</v>
      </c>
      <c r="X97" s="60" t="e">
        <f t="shared" ca="1" si="18"/>
        <v>#N/A</v>
      </c>
      <c r="Y97" s="60" t="e">
        <f t="shared" ca="1" si="15"/>
        <v>#N/A</v>
      </c>
      <c r="Z97" s="60" t="e">
        <f t="shared" ca="1" si="16"/>
        <v>#N/A</v>
      </c>
    </row>
    <row r="98" spans="18:26" x14ac:dyDescent="0.25">
      <c r="R98" s="93" t="str">
        <f ca="1"/>
        <v/>
      </c>
      <c r="S98" s="62" t="str">
        <f t="shared" ca="1" si="17"/>
        <v/>
      </c>
      <c r="T98" s="62" t="e">
        <f t="shared" ca="1" si="11"/>
        <v>#N/A</v>
      </c>
      <c r="U98" s="62" t="e">
        <f t="shared" ca="1" si="12"/>
        <v>#N/A</v>
      </c>
      <c r="V98" s="62" t="e">
        <f t="shared" ca="1" si="13"/>
        <v>#N/A</v>
      </c>
      <c r="W98" s="60" t="e">
        <f t="shared" ca="1" si="14"/>
        <v>#N/A</v>
      </c>
      <c r="X98" s="60" t="e">
        <f t="shared" ca="1" si="18"/>
        <v>#N/A</v>
      </c>
      <c r="Y98" s="60" t="e">
        <f t="shared" ca="1" si="15"/>
        <v>#N/A</v>
      </c>
      <c r="Z98" s="60" t="e">
        <f t="shared" ca="1" si="16"/>
        <v>#N/A</v>
      </c>
    </row>
    <row r="99" spans="18:26" x14ac:dyDescent="0.25">
      <c r="R99" s="93" t="str">
        <f ca="1"/>
        <v/>
      </c>
      <c r="S99" s="62" t="str">
        <f t="shared" ca="1" si="17"/>
        <v/>
      </c>
      <c r="T99" s="62" t="e">
        <f t="shared" ca="1" si="11"/>
        <v>#N/A</v>
      </c>
      <c r="U99" s="62" t="e">
        <f t="shared" ca="1" si="12"/>
        <v>#N/A</v>
      </c>
      <c r="V99" s="62" t="e">
        <f t="shared" ca="1" si="13"/>
        <v>#N/A</v>
      </c>
      <c r="W99" s="60" t="e">
        <f t="shared" ca="1" si="14"/>
        <v>#N/A</v>
      </c>
      <c r="X99" s="60" t="e">
        <f t="shared" ca="1" si="18"/>
        <v>#N/A</v>
      </c>
      <c r="Y99" s="60" t="e">
        <f t="shared" ca="1" si="15"/>
        <v>#N/A</v>
      </c>
      <c r="Z99" s="60" t="e">
        <f t="shared" ca="1" si="16"/>
        <v>#N/A</v>
      </c>
    </row>
    <row r="100" spans="18:26" x14ac:dyDescent="0.25">
      <c r="R100" s="93" t="str">
        <f ca="1"/>
        <v/>
      </c>
      <c r="S100" s="62" t="str">
        <f t="shared" ca="1" si="17"/>
        <v/>
      </c>
      <c r="T100" s="62" t="e">
        <f t="shared" ca="1" si="11"/>
        <v>#N/A</v>
      </c>
      <c r="U100" s="62" t="e">
        <f t="shared" ca="1" si="12"/>
        <v>#N/A</v>
      </c>
      <c r="V100" s="62" t="e">
        <f t="shared" ca="1" si="13"/>
        <v>#N/A</v>
      </c>
      <c r="W100" s="60" t="e">
        <f t="shared" ca="1" si="14"/>
        <v>#N/A</v>
      </c>
      <c r="X100" s="60" t="e">
        <f t="shared" ca="1" si="18"/>
        <v>#N/A</v>
      </c>
      <c r="Y100" s="60" t="e">
        <f t="shared" ca="1" si="15"/>
        <v>#N/A</v>
      </c>
      <c r="Z100" s="60" t="e">
        <f t="shared" ca="1" si="16"/>
        <v>#N/A</v>
      </c>
    </row>
    <row r="101" spans="18:26" x14ac:dyDescent="0.25">
      <c r="R101" s="93" t="str">
        <f ca="1"/>
        <v/>
      </c>
      <c r="S101" s="62" t="str">
        <f t="shared" ca="1" si="17"/>
        <v/>
      </c>
      <c r="T101" s="62" t="e">
        <f t="shared" ca="1" si="11"/>
        <v>#N/A</v>
      </c>
      <c r="U101" s="62" t="e">
        <f t="shared" ca="1" si="12"/>
        <v>#N/A</v>
      </c>
      <c r="V101" s="62" t="e">
        <f t="shared" ca="1" si="13"/>
        <v>#N/A</v>
      </c>
      <c r="W101" s="60" t="e">
        <f t="shared" ca="1" si="14"/>
        <v>#N/A</v>
      </c>
      <c r="X101" s="60" t="e">
        <f t="shared" ca="1" si="18"/>
        <v>#N/A</v>
      </c>
      <c r="Y101" s="60" t="e">
        <f t="shared" ca="1" si="15"/>
        <v>#N/A</v>
      </c>
      <c r="Z101" s="60" t="e">
        <f t="shared" ca="1" si="16"/>
        <v>#N/A</v>
      </c>
    </row>
    <row r="102" spans="18:26" x14ac:dyDescent="0.25">
      <c r="R102" s="93" t="str">
        <f ca="1"/>
        <v/>
      </c>
      <c r="S102" s="62" t="str">
        <f t="shared" ca="1" si="17"/>
        <v/>
      </c>
      <c r="T102" s="62" t="e">
        <f t="shared" ca="1" si="11"/>
        <v>#N/A</v>
      </c>
      <c r="U102" s="62" t="e">
        <f t="shared" ca="1" si="12"/>
        <v>#N/A</v>
      </c>
      <c r="V102" s="62" t="e">
        <f t="shared" ca="1" si="13"/>
        <v>#N/A</v>
      </c>
      <c r="W102" s="60" t="e">
        <f t="shared" ca="1" si="14"/>
        <v>#N/A</v>
      </c>
      <c r="X102" s="60" t="e">
        <f t="shared" ca="1" si="18"/>
        <v>#N/A</v>
      </c>
      <c r="Y102" s="60" t="e">
        <f t="shared" ca="1" si="15"/>
        <v>#N/A</v>
      </c>
      <c r="Z102" s="60" t="e">
        <f t="shared" ca="1" si="16"/>
        <v>#N/A</v>
      </c>
    </row>
    <row r="103" spans="18:26" x14ac:dyDescent="0.25">
      <c r="R103" s="93" t="str">
        <f ca="1"/>
        <v/>
      </c>
      <c r="S103" s="62" t="str">
        <f t="shared" ca="1" si="17"/>
        <v/>
      </c>
      <c r="T103" s="62" t="e">
        <f t="shared" ca="1" si="11"/>
        <v>#N/A</v>
      </c>
      <c r="U103" s="62" t="e">
        <f t="shared" ca="1" si="12"/>
        <v>#N/A</v>
      </c>
      <c r="V103" s="62" t="e">
        <f t="shared" ca="1" si="13"/>
        <v>#N/A</v>
      </c>
      <c r="W103" s="60" t="e">
        <f t="shared" ca="1" si="14"/>
        <v>#N/A</v>
      </c>
      <c r="X103" s="60" t="e">
        <f t="shared" ca="1" si="18"/>
        <v>#N/A</v>
      </c>
      <c r="Y103" s="60" t="e">
        <f t="shared" ca="1" si="15"/>
        <v>#N/A</v>
      </c>
      <c r="Z103" s="60" t="e">
        <f t="shared" ca="1" si="16"/>
        <v>#N/A</v>
      </c>
    </row>
    <row r="104" spans="18:26" x14ac:dyDescent="0.25">
      <c r="R104" s="93" t="str">
        <f ca="1"/>
        <v/>
      </c>
      <c r="S104" s="62" t="str">
        <f t="shared" ca="1" si="17"/>
        <v/>
      </c>
      <c r="T104" s="62" t="e">
        <f t="shared" ca="1" si="11"/>
        <v>#N/A</v>
      </c>
      <c r="U104" s="62" t="e">
        <f t="shared" ca="1" si="12"/>
        <v>#N/A</v>
      </c>
      <c r="V104" s="62" t="e">
        <f t="shared" ca="1" si="13"/>
        <v>#N/A</v>
      </c>
      <c r="W104" s="60" t="e">
        <f t="shared" ca="1" si="14"/>
        <v>#N/A</v>
      </c>
      <c r="X104" s="60" t="e">
        <f t="shared" ca="1" si="18"/>
        <v>#N/A</v>
      </c>
      <c r="Y104" s="60" t="e">
        <f t="shared" ca="1" si="15"/>
        <v>#N/A</v>
      </c>
      <c r="Z104" s="60" t="e">
        <f t="shared" ca="1" si="16"/>
        <v>#N/A</v>
      </c>
    </row>
    <row r="105" spans="18:26" x14ac:dyDescent="0.25">
      <c r="R105" s="93" t="str">
        <f ca="1"/>
        <v/>
      </c>
      <c r="S105" s="62" t="str">
        <f t="shared" ca="1" si="17"/>
        <v/>
      </c>
      <c r="T105" s="62" t="e">
        <f t="shared" ca="1" si="11"/>
        <v>#N/A</v>
      </c>
      <c r="U105" s="62" t="e">
        <f t="shared" ca="1" si="12"/>
        <v>#N/A</v>
      </c>
      <c r="V105" s="62" t="e">
        <f t="shared" ca="1" si="13"/>
        <v>#N/A</v>
      </c>
      <c r="W105" s="60" t="e">
        <f t="shared" ca="1" si="14"/>
        <v>#N/A</v>
      </c>
      <c r="X105" s="60" t="e">
        <f t="shared" ca="1" si="18"/>
        <v>#N/A</v>
      </c>
      <c r="Y105" s="60" t="e">
        <f t="shared" ca="1" si="15"/>
        <v>#N/A</v>
      </c>
      <c r="Z105" s="60" t="e">
        <f t="shared" ca="1" si="16"/>
        <v>#N/A</v>
      </c>
    </row>
    <row r="106" spans="18:26" x14ac:dyDescent="0.25">
      <c r="R106" s="93" t="str">
        <f ca="1"/>
        <v/>
      </c>
      <c r="S106" s="62" t="str">
        <f t="shared" ca="1" si="17"/>
        <v/>
      </c>
      <c r="T106" s="62" t="e">
        <f t="shared" ca="1" si="11"/>
        <v>#N/A</v>
      </c>
      <c r="U106" s="62" t="e">
        <f t="shared" ca="1" si="12"/>
        <v>#N/A</v>
      </c>
      <c r="V106" s="62" t="e">
        <f t="shared" ca="1" si="13"/>
        <v>#N/A</v>
      </c>
      <c r="W106" s="60" t="e">
        <f t="shared" ca="1" si="14"/>
        <v>#N/A</v>
      </c>
      <c r="X106" s="60" t="e">
        <f t="shared" ca="1" si="18"/>
        <v>#N/A</v>
      </c>
      <c r="Y106" s="60" t="e">
        <f t="shared" ca="1" si="15"/>
        <v>#N/A</v>
      </c>
      <c r="Z106" s="60" t="e">
        <f t="shared" ca="1" si="16"/>
        <v>#N/A</v>
      </c>
    </row>
    <row r="107" spans="18:26" x14ac:dyDescent="0.25">
      <c r="R107" s="93" t="str">
        <f ca="1"/>
        <v/>
      </c>
      <c r="S107" s="62" t="str">
        <f t="shared" ca="1" si="17"/>
        <v/>
      </c>
      <c r="T107" s="62" t="e">
        <f t="shared" ca="1" si="11"/>
        <v>#N/A</v>
      </c>
      <c r="U107" s="62" t="e">
        <f t="shared" ca="1" si="12"/>
        <v>#N/A</v>
      </c>
      <c r="V107" s="62" t="e">
        <f t="shared" ca="1" si="13"/>
        <v>#N/A</v>
      </c>
      <c r="W107" s="60" t="e">
        <f t="shared" ca="1" si="14"/>
        <v>#N/A</v>
      </c>
      <c r="X107" s="60" t="e">
        <f t="shared" ca="1" si="18"/>
        <v>#N/A</v>
      </c>
      <c r="Y107" s="60" t="e">
        <f t="shared" ca="1" si="15"/>
        <v>#N/A</v>
      </c>
      <c r="Z107" s="60" t="e">
        <f t="shared" ca="1" si="16"/>
        <v>#N/A</v>
      </c>
    </row>
    <row r="108" spans="18:26" x14ac:dyDescent="0.25">
      <c r="R108" s="93" t="str">
        <f ca="1"/>
        <v/>
      </c>
      <c r="S108" s="62" t="str">
        <f t="shared" ca="1" si="17"/>
        <v/>
      </c>
      <c r="T108" s="62" t="e">
        <f t="shared" ca="1" si="11"/>
        <v>#N/A</v>
      </c>
      <c r="U108" s="62" t="e">
        <f t="shared" ca="1" si="12"/>
        <v>#N/A</v>
      </c>
      <c r="V108" s="62" t="e">
        <f t="shared" ca="1" si="13"/>
        <v>#N/A</v>
      </c>
      <c r="W108" s="60" t="e">
        <f t="shared" ca="1" si="14"/>
        <v>#N/A</v>
      </c>
      <c r="X108" s="60" t="e">
        <f t="shared" ca="1" si="18"/>
        <v>#N/A</v>
      </c>
      <c r="Y108" s="60" t="e">
        <f t="shared" ca="1" si="15"/>
        <v>#N/A</v>
      </c>
      <c r="Z108" s="60" t="e">
        <f t="shared" ca="1" si="16"/>
        <v>#N/A</v>
      </c>
    </row>
    <row r="109" spans="18:26" x14ac:dyDescent="0.25">
      <c r="R109" s="93" t="str">
        <f ca="1"/>
        <v/>
      </c>
      <c r="S109" s="62" t="str">
        <f t="shared" ca="1" si="17"/>
        <v/>
      </c>
      <c r="T109" s="62" t="e">
        <f t="shared" ca="1" si="11"/>
        <v>#N/A</v>
      </c>
      <c r="U109" s="62" t="e">
        <f t="shared" ca="1" si="12"/>
        <v>#N/A</v>
      </c>
      <c r="V109" s="62" t="e">
        <f t="shared" ca="1" si="13"/>
        <v>#N/A</v>
      </c>
      <c r="W109" s="60" t="e">
        <f t="shared" ca="1" si="14"/>
        <v>#N/A</v>
      </c>
      <c r="X109" s="60" t="e">
        <f t="shared" ca="1" si="18"/>
        <v>#N/A</v>
      </c>
      <c r="Y109" s="60" t="e">
        <f t="shared" ca="1" si="15"/>
        <v>#N/A</v>
      </c>
      <c r="Z109" s="60" t="e">
        <f t="shared" ca="1" si="16"/>
        <v>#N/A</v>
      </c>
    </row>
    <row r="110" spans="18:26" x14ac:dyDescent="0.25">
      <c r="R110" s="93" t="str">
        <f ca="1"/>
        <v/>
      </c>
      <c r="S110" s="62" t="str">
        <f t="shared" ca="1" si="17"/>
        <v/>
      </c>
      <c r="T110" s="62" t="e">
        <f t="shared" ca="1" si="11"/>
        <v>#N/A</v>
      </c>
      <c r="U110" s="62" t="e">
        <f t="shared" ca="1" si="12"/>
        <v>#N/A</v>
      </c>
      <c r="V110" s="62" t="e">
        <f t="shared" ca="1" si="13"/>
        <v>#N/A</v>
      </c>
      <c r="W110" s="60" t="e">
        <f t="shared" ca="1" si="14"/>
        <v>#N/A</v>
      </c>
      <c r="X110" s="60" t="e">
        <f t="shared" ca="1" si="18"/>
        <v>#N/A</v>
      </c>
      <c r="Y110" s="60" t="e">
        <f t="shared" ca="1" si="15"/>
        <v>#N/A</v>
      </c>
      <c r="Z110" s="60" t="e">
        <f t="shared" ca="1" si="16"/>
        <v>#N/A</v>
      </c>
    </row>
    <row r="111" spans="18:26" x14ac:dyDescent="0.25">
      <c r="R111" s="93" t="str">
        <f ca="1"/>
        <v/>
      </c>
      <c r="S111" s="62" t="str">
        <f t="shared" ca="1" si="17"/>
        <v/>
      </c>
      <c r="T111" s="62" t="e">
        <f t="shared" ca="1" si="11"/>
        <v>#N/A</v>
      </c>
      <c r="U111" s="62" t="e">
        <f t="shared" ca="1" si="12"/>
        <v>#N/A</v>
      </c>
      <c r="V111" s="62" t="e">
        <f t="shared" ca="1" si="13"/>
        <v>#N/A</v>
      </c>
      <c r="W111" s="60" t="e">
        <f t="shared" ca="1" si="14"/>
        <v>#N/A</v>
      </c>
      <c r="X111" s="60" t="e">
        <f t="shared" ca="1" si="18"/>
        <v>#N/A</v>
      </c>
      <c r="Y111" s="60" t="e">
        <f t="shared" ca="1" si="15"/>
        <v>#N/A</v>
      </c>
      <c r="Z111" s="60" t="e">
        <f t="shared" ca="1" si="16"/>
        <v>#N/A</v>
      </c>
    </row>
    <row r="112" spans="18:26" x14ac:dyDescent="0.25">
      <c r="R112" s="93" t="str">
        <f ca="1"/>
        <v/>
      </c>
      <c r="S112" s="62" t="str">
        <f t="shared" ca="1" si="17"/>
        <v/>
      </c>
      <c r="T112" s="62" t="e">
        <f t="shared" ca="1" si="11"/>
        <v>#N/A</v>
      </c>
      <c r="U112" s="62" t="e">
        <f t="shared" ca="1" si="12"/>
        <v>#N/A</v>
      </c>
      <c r="V112" s="62" t="e">
        <f t="shared" ca="1" si="13"/>
        <v>#N/A</v>
      </c>
      <c r="W112" s="60" t="e">
        <f t="shared" ca="1" si="14"/>
        <v>#N/A</v>
      </c>
      <c r="X112" s="60" t="e">
        <f t="shared" ca="1" si="18"/>
        <v>#N/A</v>
      </c>
      <c r="Y112" s="60" t="e">
        <f t="shared" ca="1" si="15"/>
        <v>#N/A</v>
      </c>
      <c r="Z112" s="60" t="e">
        <f t="shared" ca="1" si="16"/>
        <v>#N/A</v>
      </c>
    </row>
    <row r="113" spans="18:26" x14ac:dyDescent="0.25">
      <c r="R113" s="93" t="str">
        <f ca="1"/>
        <v/>
      </c>
      <c r="S113" s="62" t="str">
        <f t="shared" ca="1" si="17"/>
        <v/>
      </c>
      <c r="T113" s="62" t="e">
        <f t="shared" ca="1" si="11"/>
        <v>#N/A</v>
      </c>
      <c r="U113" s="62" t="e">
        <f t="shared" ca="1" si="12"/>
        <v>#N/A</v>
      </c>
      <c r="V113" s="62" t="e">
        <f t="shared" ca="1" si="13"/>
        <v>#N/A</v>
      </c>
      <c r="W113" s="60" t="e">
        <f t="shared" ca="1" si="14"/>
        <v>#N/A</v>
      </c>
      <c r="X113" s="60" t="e">
        <f t="shared" ca="1" si="18"/>
        <v>#N/A</v>
      </c>
      <c r="Y113" s="60" t="e">
        <f t="shared" ca="1" si="15"/>
        <v>#N/A</v>
      </c>
      <c r="Z113" s="60" t="e">
        <f t="shared" ca="1" si="16"/>
        <v>#N/A</v>
      </c>
    </row>
    <row r="114" spans="18:26" x14ac:dyDescent="0.25">
      <c r="R114" s="93" t="str">
        <f ca="1"/>
        <v/>
      </c>
      <c r="S114" s="62" t="str">
        <f t="shared" ca="1" si="17"/>
        <v/>
      </c>
      <c r="T114" s="62" t="e">
        <f t="shared" ca="1" si="11"/>
        <v>#N/A</v>
      </c>
      <c r="U114" s="62" t="e">
        <f t="shared" ca="1" si="12"/>
        <v>#N/A</v>
      </c>
      <c r="V114" s="62" t="e">
        <f t="shared" ca="1" si="13"/>
        <v>#N/A</v>
      </c>
      <c r="W114" s="60" t="e">
        <f t="shared" ca="1" si="14"/>
        <v>#N/A</v>
      </c>
      <c r="X114" s="60" t="e">
        <f t="shared" ca="1" si="18"/>
        <v>#N/A</v>
      </c>
      <c r="Y114" s="60" t="e">
        <f t="shared" ca="1" si="15"/>
        <v>#N/A</v>
      </c>
      <c r="Z114" s="60" t="e">
        <f t="shared" ca="1" si="16"/>
        <v>#N/A</v>
      </c>
    </row>
    <row r="115" spans="18:26" x14ac:dyDescent="0.25">
      <c r="R115" s="93" t="str">
        <f ca="1"/>
        <v/>
      </c>
      <c r="S115" s="62" t="str">
        <f t="shared" ca="1" si="17"/>
        <v/>
      </c>
      <c r="T115" s="62" t="e">
        <f t="shared" ca="1" si="11"/>
        <v>#N/A</v>
      </c>
      <c r="U115" s="62" t="e">
        <f t="shared" ca="1" si="12"/>
        <v>#N/A</v>
      </c>
      <c r="V115" s="62" t="e">
        <f t="shared" ca="1" si="13"/>
        <v>#N/A</v>
      </c>
      <c r="W115" s="60" t="e">
        <f t="shared" ca="1" si="14"/>
        <v>#N/A</v>
      </c>
      <c r="X115" s="60" t="e">
        <f t="shared" ca="1" si="18"/>
        <v>#N/A</v>
      </c>
      <c r="Y115" s="60" t="e">
        <f t="shared" ca="1" si="15"/>
        <v>#N/A</v>
      </c>
      <c r="Z115" s="60" t="e">
        <f t="shared" ca="1" si="16"/>
        <v>#N/A</v>
      </c>
    </row>
    <row r="116" spans="18:26" x14ac:dyDescent="0.25">
      <c r="R116" s="93" t="str">
        <f ca="1"/>
        <v/>
      </c>
      <c r="S116" s="62" t="str">
        <f t="shared" ca="1" si="17"/>
        <v/>
      </c>
      <c r="T116" s="62" t="e">
        <f t="shared" ca="1" si="11"/>
        <v>#N/A</v>
      </c>
      <c r="U116" s="62" t="e">
        <f t="shared" ca="1" si="12"/>
        <v>#N/A</v>
      </c>
      <c r="V116" s="62" t="e">
        <f t="shared" ca="1" si="13"/>
        <v>#N/A</v>
      </c>
      <c r="W116" s="60" t="e">
        <f t="shared" ca="1" si="14"/>
        <v>#N/A</v>
      </c>
      <c r="X116" s="60" t="e">
        <f t="shared" ca="1" si="18"/>
        <v>#N/A</v>
      </c>
      <c r="Y116" s="60" t="e">
        <f t="shared" ca="1" si="15"/>
        <v>#N/A</v>
      </c>
      <c r="Z116" s="60" t="e">
        <f t="shared" ca="1" si="16"/>
        <v>#N/A</v>
      </c>
    </row>
    <row r="117" spans="18:26" x14ac:dyDescent="0.25">
      <c r="R117" s="93" t="str">
        <f ca="1"/>
        <v/>
      </c>
      <c r="S117" s="62" t="str">
        <f t="shared" ca="1" si="17"/>
        <v/>
      </c>
      <c r="T117" s="62" t="e">
        <f t="shared" ca="1" si="11"/>
        <v>#N/A</v>
      </c>
      <c r="U117" s="62" t="e">
        <f t="shared" ca="1" si="12"/>
        <v>#N/A</v>
      </c>
      <c r="V117" s="62" t="e">
        <f t="shared" ca="1" si="13"/>
        <v>#N/A</v>
      </c>
      <c r="W117" s="60" t="e">
        <f t="shared" ca="1" si="14"/>
        <v>#N/A</v>
      </c>
      <c r="X117" s="60" t="e">
        <f t="shared" ca="1" si="18"/>
        <v>#N/A</v>
      </c>
      <c r="Y117" s="60" t="e">
        <f t="shared" ca="1" si="15"/>
        <v>#N/A</v>
      </c>
      <c r="Z117" s="60" t="e">
        <f t="shared" ca="1" si="16"/>
        <v>#N/A</v>
      </c>
    </row>
    <row r="118" spans="18:26" x14ac:dyDescent="0.25">
      <c r="R118" s="93" t="str">
        <f ca="1"/>
        <v/>
      </c>
      <c r="S118" s="62" t="str">
        <f t="shared" ca="1" si="17"/>
        <v/>
      </c>
      <c r="T118" s="62" t="e">
        <f t="shared" ca="1" si="11"/>
        <v>#N/A</v>
      </c>
      <c r="U118" s="62" t="e">
        <f t="shared" ca="1" si="12"/>
        <v>#N/A</v>
      </c>
      <c r="V118" s="62" t="e">
        <f t="shared" ca="1" si="13"/>
        <v>#N/A</v>
      </c>
      <c r="W118" s="60" t="e">
        <f t="shared" ca="1" si="14"/>
        <v>#N/A</v>
      </c>
      <c r="X118" s="60" t="e">
        <f t="shared" ca="1" si="18"/>
        <v>#N/A</v>
      </c>
      <c r="Y118" s="60" t="e">
        <f t="shared" ca="1" si="15"/>
        <v>#N/A</v>
      </c>
      <c r="Z118" s="60" t="e">
        <f t="shared" ca="1" si="16"/>
        <v>#N/A</v>
      </c>
    </row>
    <row r="119" spans="18:26" x14ac:dyDescent="0.25">
      <c r="R119" s="93" t="str">
        <f ca="1"/>
        <v/>
      </c>
      <c r="S119" s="62" t="str">
        <f t="shared" ca="1" si="17"/>
        <v/>
      </c>
      <c r="T119" s="62" t="e">
        <f t="shared" ca="1" si="11"/>
        <v>#N/A</v>
      </c>
      <c r="U119" s="62" t="e">
        <f t="shared" ca="1" si="12"/>
        <v>#N/A</v>
      </c>
      <c r="V119" s="62" t="e">
        <f t="shared" ca="1" si="13"/>
        <v>#N/A</v>
      </c>
      <c r="W119" s="60" t="e">
        <f t="shared" ca="1" si="14"/>
        <v>#N/A</v>
      </c>
      <c r="X119" s="60" t="e">
        <f t="shared" ca="1" si="18"/>
        <v>#N/A</v>
      </c>
      <c r="Y119" s="60" t="e">
        <f t="shared" ca="1" si="15"/>
        <v>#N/A</v>
      </c>
      <c r="Z119" s="60" t="e">
        <f t="shared" ca="1" si="16"/>
        <v>#N/A</v>
      </c>
    </row>
    <row r="120" spans="18:26" x14ac:dyDescent="0.25">
      <c r="R120" s="93" t="str">
        <f ca="1"/>
        <v/>
      </c>
      <c r="S120" s="62" t="str">
        <f t="shared" ca="1" si="17"/>
        <v/>
      </c>
      <c r="T120" s="62" t="e">
        <f t="shared" ca="1" si="11"/>
        <v>#N/A</v>
      </c>
      <c r="U120" s="62" t="e">
        <f t="shared" ca="1" si="12"/>
        <v>#N/A</v>
      </c>
      <c r="V120" s="62" t="e">
        <f t="shared" ca="1" si="13"/>
        <v>#N/A</v>
      </c>
      <c r="W120" s="60" t="e">
        <f t="shared" ca="1" si="14"/>
        <v>#N/A</v>
      </c>
      <c r="X120" s="60" t="e">
        <f t="shared" ca="1" si="18"/>
        <v>#N/A</v>
      </c>
      <c r="Y120" s="60" t="e">
        <f t="shared" ca="1" si="15"/>
        <v>#N/A</v>
      </c>
      <c r="Z120" s="60" t="e">
        <f t="shared" ca="1" si="16"/>
        <v>#N/A</v>
      </c>
    </row>
    <row r="121" spans="18:26" x14ac:dyDescent="0.25">
      <c r="R121" s="93" t="str">
        <f ca="1"/>
        <v/>
      </c>
      <c r="S121" s="62" t="str">
        <f t="shared" ca="1" si="17"/>
        <v/>
      </c>
      <c r="T121" s="62" t="e">
        <f t="shared" ca="1" si="11"/>
        <v>#N/A</v>
      </c>
      <c r="U121" s="62" t="e">
        <f t="shared" ca="1" si="12"/>
        <v>#N/A</v>
      </c>
      <c r="V121" s="62" t="e">
        <f t="shared" ca="1" si="13"/>
        <v>#N/A</v>
      </c>
      <c r="W121" s="60" t="e">
        <f t="shared" ca="1" si="14"/>
        <v>#N/A</v>
      </c>
      <c r="X121" s="60" t="e">
        <f t="shared" ca="1" si="18"/>
        <v>#N/A</v>
      </c>
      <c r="Y121" s="60" t="e">
        <f t="shared" ca="1" si="15"/>
        <v>#N/A</v>
      </c>
      <c r="Z121" s="60" t="e">
        <f t="shared" ca="1" si="16"/>
        <v>#N/A</v>
      </c>
    </row>
    <row r="122" spans="18:26" x14ac:dyDescent="0.25">
      <c r="R122" s="93" t="str">
        <f ca="1"/>
        <v/>
      </c>
      <c r="S122" s="62" t="str">
        <f t="shared" ca="1" si="17"/>
        <v/>
      </c>
      <c r="T122" s="62" t="e">
        <f t="shared" ca="1" si="11"/>
        <v>#N/A</v>
      </c>
      <c r="U122" s="62" t="e">
        <f t="shared" ca="1" si="12"/>
        <v>#N/A</v>
      </c>
      <c r="V122" s="62" t="e">
        <f t="shared" ca="1" si="13"/>
        <v>#N/A</v>
      </c>
      <c r="W122" s="60" t="e">
        <f t="shared" ca="1" si="14"/>
        <v>#N/A</v>
      </c>
      <c r="X122" s="60" t="e">
        <f t="shared" ca="1" si="18"/>
        <v>#N/A</v>
      </c>
      <c r="Y122" s="60" t="e">
        <f t="shared" ca="1" si="15"/>
        <v>#N/A</v>
      </c>
      <c r="Z122" s="60" t="e">
        <f t="shared" ca="1" si="16"/>
        <v>#N/A</v>
      </c>
    </row>
    <row r="123" spans="18:26" x14ac:dyDescent="0.25">
      <c r="R123" s="93" t="str">
        <f ca="1"/>
        <v/>
      </c>
      <c r="S123" s="62" t="str">
        <f t="shared" ca="1" si="17"/>
        <v/>
      </c>
      <c r="T123" s="62" t="e">
        <f t="shared" ca="1" si="11"/>
        <v>#N/A</v>
      </c>
      <c r="U123" s="62" t="e">
        <f t="shared" ca="1" si="12"/>
        <v>#N/A</v>
      </c>
      <c r="V123" s="62" t="e">
        <f t="shared" ca="1" si="13"/>
        <v>#N/A</v>
      </c>
      <c r="W123" s="60" t="e">
        <f t="shared" ca="1" si="14"/>
        <v>#N/A</v>
      </c>
      <c r="X123" s="60" t="e">
        <f t="shared" ca="1" si="18"/>
        <v>#N/A</v>
      </c>
      <c r="Y123" s="60" t="e">
        <f t="shared" ca="1" si="15"/>
        <v>#N/A</v>
      </c>
      <c r="Z123" s="60" t="e">
        <f t="shared" ca="1" si="16"/>
        <v>#N/A</v>
      </c>
    </row>
    <row r="124" spans="18:26" x14ac:dyDescent="0.25">
      <c r="R124" s="93" t="str">
        <f ca="1"/>
        <v/>
      </c>
      <c r="S124" s="62" t="str">
        <f t="shared" ca="1" si="17"/>
        <v/>
      </c>
      <c r="T124" s="62" t="e">
        <f t="shared" ca="1" si="11"/>
        <v>#N/A</v>
      </c>
      <c r="U124" s="62" t="e">
        <f t="shared" ca="1" si="12"/>
        <v>#N/A</v>
      </c>
      <c r="V124" s="62" t="e">
        <f t="shared" ca="1" si="13"/>
        <v>#N/A</v>
      </c>
      <c r="W124" s="60" t="e">
        <f t="shared" ca="1" si="14"/>
        <v>#N/A</v>
      </c>
      <c r="X124" s="60" t="e">
        <f t="shared" ca="1" si="18"/>
        <v>#N/A</v>
      </c>
      <c r="Y124" s="60" t="e">
        <f t="shared" ca="1" si="15"/>
        <v>#N/A</v>
      </c>
      <c r="Z124" s="60" t="e">
        <f t="shared" ca="1" si="16"/>
        <v>#N/A</v>
      </c>
    </row>
    <row r="125" spans="18:26" x14ac:dyDescent="0.25">
      <c r="R125" s="93" t="str">
        <f ca="1"/>
        <v/>
      </c>
      <c r="S125" s="62" t="str">
        <f t="shared" ca="1" si="17"/>
        <v/>
      </c>
      <c r="T125" s="62" t="e">
        <f t="shared" ca="1" si="11"/>
        <v>#N/A</v>
      </c>
      <c r="U125" s="62" t="e">
        <f t="shared" ca="1" si="12"/>
        <v>#N/A</v>
      </c>
      <c r="V125" s="62" t="e">
        <f t="shared" ca="1" si="13"/>
        <v>#N/A</v>
      </c>
      <c r="W125" s="60" t="e">
        <f t="shared" ca="1" si="14"/>
        <v>#N/A</v>
      </c>
      <c r="X125" s="60" t="e">
        <f t="shared" ca="1" si="18"/>
        <v>#N/A</v>
      </c>
      <c r="Y125" s="60" t="e">
        <f t="shared" ca="1" si="15"/>
        <v>#N/A</v>
      </c>
      <c r="Z125" s="60" t="e">
        <f t="shared" ca="1" si="16"/>
        <v>#N/A</v>
      </c>
    </row>
    <row r="126" spans="18:26" x14ac:dyDescent="0.25">
      <c r="R126" s="93" t="str">
        <f ca="1"/>
        <v/>
      </c>
      <c r="S126" s="62" t="str">
        <f t="shared" ca="1" si="17"/>
        <v/>
      </c>
      <c r="T126" s="62" t="e">
        <f t="shared" ca="1" si="11"/>
        <v>#N/A</v>
      </c>
      <c r="U126" s="62" t="e">
        <f t="shared" ca="1" si="12"/>
        <v>#N/A</v>
      </c>
      <c r="V126" s="62" t="e">
        <f t="shared" ca="1" si="13"/>
        <v>#N/A</v>
      </c>
      <c r="W126" s="60" t="e">
        <f t="shared" ca="1" si="14"/>
        <v>#N/A</v>
      </c>
      <c r="X126" s="60" t="e">
        <f t="shared" ca="1" si="18"/>
        <v>#N/A</v>
      </c>
      <c r="Y126" s="60" t="e">
        <f t="shared" ca="1" si="15"/>
        <v>#N/A</v>
      </c>
      <c r="Z126" s="60" t="e">
        <f t="shared" ca="1" si="16"/>
        <v>#N/A</v>
      </c>
    </row>
    <row r="127" spans="18:26" x14ac:dyDescent="0.25">
      <c r="R127" s="93" t="str">
        <f ca="1"/>
        <v/>
      </c>
      <c r="S127" s="62" t="str">
        <f t="shared" ca="1" si="17"/>
        <v/>
      </c>
      <c r="T127" s="62" t="e">
        <f t="shared" ca="1" si="11"/>
        <v>#N/A</v>
      </c>
      <c r="U127" s="62" t="e">
        <f t="shared" ca="1" si="12"/>
        <v>#N/A</v>
      </c>
      <c r="V127" s="62" t="e">
        <f t="shared" ca="1" si="13"/>
        <v>#N/A</v>
      </c>
      <c r="W127" s="60" t="e">
        <f t="shared" ca="1" si="14"/>
        <v>#N/A</v>
      </c>
      <c r="X127" s="60" t="e">
        <f t="shared" ca="1" si="18"/>
        <v>#N/A</v>
      </c>
      <c r="Y127" s="60" t="e">
        <f t="shared" ca="1" si="15"/>
        <v>#N/A</v>
      </c>
      <c r="Z127" s="60" t="e">
        <f t="shared" ca="1" si="16"/>
        <v>#N/A</v>
      </c>
    </row>
    <row r="128" spans="18:26" x14ac:dyDescent="0.25">
      <c r="R128" s="93" t="str">
        <f ca="1"/>
        <v/>
      </c>
      <c r="S128" s="62" t="str">
        <f t="shared" ca="1" si="17"/>
        <v/>
      </c>
      <c r="T128" s="62" t="e">
        <f t="shared" ca="1" si="11"/>
        <v>#N/A</v>
      </c>
      <c r="U128" s="62" t="e">
        <f t="shared" ca="1" si="12"/>
        <v>#N/A</v>
      </c>
      <c r="V128" s="62" t="e">
        <f t="shared" ca="1" si="13"/>
        <v>#N/A</v>
      </c>
      <c r="W128" s="60" t="e">
        <f t="shared" ca="1" si="14"/>
        <v>#N/A</v>
      </c>
      <c r="X128" s="60" t="e">
        <f t="shared" ca="1" si="18"/>
        <v>#N/A</v>
      </c>
      <c r="Y128" s="60" t="e">
        <f t="shared" ca="1" si="15"/>
        <v>#N/A</v>
      </c>
      <c r="Z128" s="60" t="e">
        <f t="shared" ca="1" si="16"/>
        <v>#N/A</v>
      </c>
    </row>
    <row r="129" spans="18:26" x14ac:dyDescent="0.25">
      <c r="R129" s="93" t="str">
        <f ca="1"/>
        <v/>
      </c>
      <c r="S129" s="62" t="str">
        <f t="shared" ca="1" si="17"/>
        <v/>
      </c>
      <c r="T129" s="62" t="e">
        <f t="shared" ca="1" si="11"/>
        <v>#N/A</v>
      </c>
      <c r="U129" s="62" t="e">
        <f t="shared" ca="1" si="12"/>
        <v>#N/A</v>
      </c>
      <c r="V129" s="62" t="e">
        <f t="shared" ca="1" si="13"/>
        <v>#N/A</v>
      </c>
      <c r="W129" s="60" t="e">
        <f t="shared" ca="1" si="14"/>
        <v>#N/A</v>
      </c>
      <c r="X129" s="60" t="e">
        <f t="shared" ca="1" si="18"/>
        <v>#N/A</v>
      </c>
      <c r="Y129" s="60" t="e">
        <f t="shared" ca="1" si="15"/>
        <v>#N/A</v>
      </c>
      <c r="Z129" s="60" t="e">
        <f t="shared" ca="1" si="16"/>
        <v>#N/A</v>
      </c>
    </row>
    <row r="130" spans="18:26" x14ac:dyDescent="0.25">
      <c r="R130" s="93" t="str">
        <f ca="1"/>
        <v/>
      </c>
      <c r="S130" s="62" t="str">
        <f t="shared" ca="1" si="17"/>
        <v/>
      </c>
      <c r="T130" s="62" t="e">
        <f t="shared" ca="1" si="11"/>
        <v>#N/A</v>
      </c>
      <c r="U130" s="62" t="e">
        <f t="shared" ca="1" si="12"/>
        <v>#N/A</v>
      </c>
      <c r="V130" s="62" t="e">
        <f t="shared" ca="1" si="13"/>
        <v>#N/A</v>
      </c>
      <c r="W130" s="60" t="e">
        <f t="shared" ca="1" si="14"/>
        <v>#N/A</v>
      </c>
      <c r="X130" s="60" t="e">
        <f t="shared" ca="1" si="18"/>
        <v>#N/A</v>
      </c>
      <c r="Y130" s="60" t="e">
        <f t="shared" ca="1" si="15"/>
        <v>#N/A</v>
      </c>
      <c r="Z130" s="60" t="e">
        <f t="shared" ca="1" si="16"/>
        <v>#N/A</v>
      </c>
    </row>
    <row r="131" spans="18:26" x14ac:dyDescent="0.25">
      <c r="R131" s="93" t="str">
        <f ca="1"/>
        <v/>
      </c>
      <c r="S131" s="62" t="str">
        <f t="shared" ca="1" si="17"/>
        <v/>
      </c>
      <c r="T131" s="62" t="e">
        <f t="shared" ca="1" si="11"/>
        <v>#N/A</v>
      </c>
      <c r="U131" s="62" t="e">
        <f t="shared" ca="1" si="12"/>
        <v>#N/A</v>
      </c>
      <c r="V131" s="62" t="e">
        <f t="shared" ca="1" si="13"/>
        <v>#N/A</v>
      </c>
      <c r="W131" s="60" t="e">
        <f t="shared" ca="1" si="14"/>
        <v>#N/A</v>
      </c>
      <c r="X131" s="60" t="e">
        <f t="shared" ca="1" si="18"/>
        <v>#N/A</v>
      </c>
      <c r="Y131" s="60" t="e">
        <f t="shared" ca="1" si="15"/>
        <v>#N/A</v>
      </c>
      <c r="Z131" s="60" t="e">
        <f t="shared" ca="1" si="16"/>
        <v>#N/A</v>
      </c>
    </row>
    <row r="132" spans="18:26" x14ac:dyDescent="0.25">
      <c r="R132" s="93" t="str">
        <f ca="1"/>
        <v/>
      </c>
      <c r="S132" s="62" t="str">
        <f t="shared" ca="1" si="17"/>
        <v/>
      </c>
      <c r="T132" s="62" t="e">
        <f t="shared" ca="1" si="11"/>
        <v>#N/A</v>
      </c>
      <c r="U132" s="62" t="e">
        <f t="shared" ca="1" si="12"/>
        <v>#N/A</v>
      </c>
      <c r="V132" s="62" t="e">
        <f t="shared" ca="1" si="13"/>
        <v>#N/A</v>
      </c>
      <c r="W132" s="60" t="e">
        <f t="shared" ca="1" si="14"/>
        <v>#N/A</v>
      </c>
      <c r="X132" s="60" t="e">
        <f t="shared" ca="1" si="18"/>
        <v>#N/A</v>
      </c>
      <c r="Y132" s="60" t="e">
        <f t="shared" ca="1" si="15"/>
        <v>#N/A</v>
      </c>
      <c r="Z132" s="60" t="e">
        <f t="shared" ca="1" si="16"/>
        <v>#N/A</v>
      </c>
    </row>
    <row r="133" spans="18:26" x14ac:dyDescent="0.25">
      <c r="R133" s="93" t="str">
        <f ca="1"/>
        <v/>
      </c>
      <c r="S133" s="62" t="str">
        <f t="shared" ca="1" si="17"/>
        <v/>
      </c>
      <c r="T133" s="62" t="e">
        <f t="shared" ca="1" si="11"/>
        <v>#N/A</v>
      </c>
      <c r="U133" s="62" t="e">
        <f t="shared" ca="1" si="12"/>
        <v>#N/A</v>
      </c>
      <c r="V133" s="62" t="e">
        <f t="shared" ca="1" si="13"/>
        <v>#N/A</v>
      </c>
      <c r="W133" s="60" t="e">
        <f t="shared" ca="1" si="14"/>
        <v>#N/A</v>
      </c>
      <c r="X133" s="60" t="e">
        <f t="shared" ca="1" si="18"/>
        <v>#N/A</v>
      </c>
      <c r="Y133" s="60" t="e">
        <f t="shared" ca="1" si="15"/>
        <v>#N/A</v>
      </c>
      <c r="Z133" s="60" t="e">
        <f t="shared" ca="1" si="16"/>
        <v>#N/A</v>
      </c>
    </row>
    <row r="134" spans="18:26" x14ac:dyDescent="0.25">
      <c r="R134" s="93" t="str">
        <f ca="1"/>
        <v/>
      </c>
      <c r="S134" s="62" t="str">
        <f t="shared" ca="1" si="17"/>
        <v/>
      </c>
      <c r="T134" s="62" t="e">
        <f t="shared" ca="1" si="11"/>
        <v>#N/A</v>
      </c>
      <c r="U134" s="62" t="e">
        <f t="shared" ca="1" si="12"/>
        <v>#N/A</v>
      </c>
      <c r="V134" s="62" t="e">
        <f t="shared" ca="1" si="13"/>
        <v>#N/A</v>
      </c>
      <c r="W134" s="60" t="e">
        <f t="shared" ca="1" si="14"/>
        <v>#N/A</v>
      </c>
      <c r="X134" s="60" t="e">
        <f t="shared" ca="1" si="18"/>
        <v>#N/A</v>
      </c>
      <c r="Y134" s="60" t="e">
        <f t="shared" ca="1" si="15"/>
        <v>#N/A</v>
      </c>
      <c r="Z134" s="60" t="e">
        <f t="shared" ca="1" si="16"/>
        <v>#N/A</v>
      </c>
    </row>
    <row r="135" spans="18:26" x14ac:dyDescent="0.25">
      <c r="R135" s="93" t="str">
        <f ca="1"/>
        <v/>
      </c>
      <c r="S135" s="62" t="str">
        <f t="shared" ca="1" si="17"/>
        <v/>
      </c>
      <c r="T135" s="62" t="e">
        <f t="shared" ca="1" si="11"/>
        <v>#N/A</v>
      </c>
      <c r="U135" s="62" t="e">
        <f t="shared" ca="1" si="12"/>
        <v>#N/A</v>
      </c>
      <c r="V135" s="62" t="e">
        <f t="shared" ca="1" si="13"/>
        <v>#N/A</v>
      </c>
      <c r="W135" s="60" t="e">
        <f t="shared" ca="1" si="14"/>
        <v>#N/A</v>
      </c>
      <c r="X135" s="60" t="e">
        <f t="shared" ca="1" si="18"/>
        <v>#N/A</v>
      </c>
      <c r="Y135" s="60" t="e">
        <f t="shared" ca="1" si="15"/>
        <v>#N/A</v>
      </c>
      <c r="Z135" s="60" t="e">
        <f t="shared" ca="1" si="16"/>
        <v>#N/A</v>
      </c>
    </row>
    <row r="136" spans="18:26" x14ac:dyDescent="0.25">
      <c r="R136" s="93" t="str">
        <f ca="1"/>
        <v/>
      </c>
      <c r="S136" s="62" t="str">
        <f t="shared" ca="1" si="17"/>
        <v/>
      </c>
      <c r="T136" s="62" t="e">
        <f t="shared" ca="1" si="11"/>
        <v>#N/A</v>
      </c>
      <c r="U136" s="62" t="e">
        <f t="shared" ca="1" si="12"/>
        <v>#N/A</v>
      </c>
      <c r="V136" s="62" t="e">
        <f t="shared" ca="1" si="13"/>
        <v>#N/A</v>
      </c>
      <c r="W136" s="60" t="e">
        <f t="shared" ca="1" si="14"/>
        <v>#N/A</v>
      </c>
      <c r="X136" s="60" t="e">
        <f t="shared" ca="1" si="18"/>
        <v>#N/A</v>
      </c>
      <c r="Y136" s="60" t="e">
        <f t="shared" ca="1" si="15"/>
        <v>#N/A</v>
      </c>
      <c r="Z136" s="60" t="e">
        <f t="shared" ca="1" si="16"/>
        <v>#N/A</v>
      </c>
    </row>
    <row r="137" spans="18:26" x14ac:dyDescent="0.25">
      <c r="R137" s="93" t="str">
        <f ca="1"/>
        <v/>
      </c>
      <c r="S137" s="62" t="str">
        <f t="shared" ca="1" si="17"/>
        <v/>
      </c>
      <c r="T137" s="62" t="e">
        <f t="shared" ca="1" si="11"/>
        <v>#N/A</v>
      </c>
      <c r="U137" s="62" t="e">
        <f t="shared" ca="1" si="12"/>
        <v>#N/A</v>
      </c>
      <c r="V137" s="62" t="e">
        <f t="shared" ca="1" si="13"/>
        <v>#N/A</v>
      </c>
      <c r="W137" s="60" t="e">
        <f t="shared" ca="1" si="14"/>
        <v>#N/A</v>
      </c>
      <c r="X137" s="60" t="e">
        <f t="shared" ca="1" si="18"/>
        <v>#N/A</v>
      </c>
      <c r="Y137" s="60" t="e">
        <f t="shared" ca="1" si="15"/>
        <v>#N/A</v>
      </c>
      <c r="Z137" s="60" t="e">
        <f t="shared" ca="1" si="16"/>
        <v>#N/A</v>
      </c>
    </row>
    <row r="138" spans="18:26" x14ac:dyDescent="0.25">
      <c r="R138" s="93" t="str">
        <f ca="1"/>
        <v/>
      </c>
      <c r="S138" s="62" t="str">
        <f t="shared" ca="1" si="17"/>
        <v/>
      </c>
      <c r="T138" s="62" t="e">
        <f t="shared" ca="1" si="11"/>
        <v>#N/A</v>
      </c>
      <c r="U138" s="62" t="e">
        <f t="shared" ca="1" si="12"/>
        <v>#N/A</v>
      </c>
      <c r="V138" s="62" t="e">
        <f t="shared" ca="1" si="13"/>
        <v>#N/A</v>
      </c>
      <c r="W138" s="60" t="e">
        <f t="shared" ca="1" si="14"/>
        <v>#N/A</v>
      </c>
      <c r="X138" s="60" t="e">
        <f t="shared" ca="1" si="18"/>
        <v>#N/A</v>
      </c>
      <c r="Y138" s="60" t="e">
        <f t="shared" ca="1" si="15"/>
        <v>#N/A</v>
      </c>
      <c r="Z138" s="60" t="e">
        <f t="shared" ca="1" si="16"/>
        <v>#N/A</v>
      </c>
    </row>
    <row r="139" spans="18:26" x14ac:dyDescent="0.25">
      <c r="R139" s="93" t="str">
        <f ca="1"/>
        <v/>
      </c>
      <c r="S139" s="62" t="str">
        <f t="shared" ca="1" si="17"/>
        <v/>
      </c>
      <c r="T139" s="62" t="e">
        <f t="shared" ca="1" si="11"/>
        <v>#N/A</v>
      </c>
      <c r="U139" s="62" t="e">
        <f t="shared" ca="1" si="12"/>
        <v>#N/A</v>
      </c>
      <c r="V139" s="62" t="e">
        <f t="shared" ca="1" si="13"/>
        <v>#N/A</v>
      </c>
      <c r="W139" s="60" t="e">
        <f t="shared" ca="1" si="14"/>
        <v>#N/A</v>
      </c>
      <c r="X139" s="60" t="e">
        <f t="shared" ca="1" si="18"/>
        <v>#N/A</v>
      </c>
      <c r="Y139" s="60" t="e">
        <f t="shared" ca="1" si="15"/>
        <v>#N/A</v>
      </c>
      <c r="Z139" s="60" t="e">
        <f t="shared" ca="1" si="16"/>
        <v>#N/A</v>
      </c>
    </row>
    <row r="140" spans="18:26" x14ac:dyDescent="0.25">
      <c r="R140" s="93" t="str">
        <f ca="1"/>
        <v/>
      </c>
      <c r="S140" s="62" t="str">
        <f t="shared" ca="1" si="17"/>
        <v/>
      </c>
      <c r="T140" s="62" t="e">
        <f t="shared" ca="1" si="11"/>
        <v>#N/A</v>
      </c>
      <c r="U140" s="62" t="e">
        <f t="shared" ca="1" si="12"/>
        <v>#N/A</v>
      </c>
      <c r="V140" s="62" t="e">
        <f t="shared" ca="1" si="13"/>
        <v>#N/A</v>
      </c>
      <c r="W140" s="60" t="e">
        <f t="shared" ca="1" si="14"/>
        <v>#N/A</v>
      </c>
      <c r="X140" s="60" t="e">
        <f t="shared" ca="1" si="18"/>
        <v>#N/A</v>
      </c>
      <c r="Y140" s="60" t="e">
        <f t="shared" ca="1" si="15"/>
        <v>#N/A</v>
      </c>
      <c r="Z140" s="60" t="e">
        <f t="shared" ca="1" si="16"/>
        <v>#N/A</v>
      </c>
    </row>
    <row r="141" spans="18:26" x14ac:dyDescent="0.25">
      <c r="R141" s="93" t="str">
        <f ca="1"/>
        <v/>
      </c>
      <c r="S141" s="62" t="str">
        <f t="shared" ca="1" si="17"/>
        <v/>
      </c>
      <c r="T141" s="62" t="e">
        <f t="shared" ca="1" si="11"/>
        <v>#N/A</v>
      </c>
      <c r="U141" s="62" t="e">
        <f t="shared" ca="1" si="12"/>
        <v>#N/A</v>
      </c>
      <c r="V141" s="62" t="e">
        <f t="shared" ca="1" si="13"/>
        <v>#N/A</v>
      </c>
      <c r="W141" s="60" t="e">
        <f t="shared" ca="1" si="14"/>
        <v>#N/A</v>
      </c>
      <c r="X141" s="60" t="e">
        <f t="shared" ca="1" si="18"/>
        <v>#N/A</v>
      </c>
      <c r="Y141" s="60" t="e">
        <f t="shared" ca="1" si="15"/>
        <v>#N/A</v>
      </c>
      <c r="Z141" s="60" t="e">
        <f t="shared" ca="1" si="16"/>
        <v>#N/A</v>
      </c>
    </row>
    <row r="142" spans="18:26" x14ac:dyDescent="0.25">
      <c r="R142" s="93" t="str">
        <f ca="1"/>
        <v/>
      </c>
      <c r="S142" s="62" t="str">
        <f t="shared" ca="1" si="17"/>
        <v/>
      </c>
      <c r="T142" s="62" t="e">
        <f t="shared" ca="1" si="11"/>
        <v>#N/A</v>
      </c>
      <c r="U142" s="62" t="e">
        <f t="shared" ca="1" si="12"/>
        <v>#N/A</v>
      </c>
      <c r="V142" s="62" t="e">
        <f t="shared" ca="1" si="13"/>
        <v>#N/A</v>
      </c>
      <c r="W142" s="60" t="e">
        <f t="shared" ca="1" si="14"/>
        <v>#N/A</v>
      </c>
      <c r="X142" s="60" t="e">
        <f t="shared" ca="1" si="18"/>
        <v>#N/A</v>
      </c>
      <c r="Y142" s="60" t="e">
        <f t="shared" ca="1" si="15"/>
        <v>#N/A</v>
      </c>
      <c r="Z142" s="60" t="e">
        <f t="shared" ca="1" si="16"/>
        <v>#N/A</v>
      </c>
    </row>
    <row r="143" spans="18:26" x14ac:dyDescent="0.25">
      <c r="R143" s="93" t="str">
        <f ca="1"/>
        <v/>
      </c>
      <c r="S143" s="62" t="str">
        <f t="shared" ca="1" si="17"/>
        <v/>
      </c>
      <c r="T143" s="62" t="e">
        <f t="shared" ca="1" si="11"/>
        <v>#N/A</v>
      </c>
      <c r="U143" s="62" t="e">
        <f t="shared" ca="1" si="12"/>
        <v>#N/A</v>
      </c>
      <c r="V143" s="62" t="e">
        <f t="shared" ca="1" si="13"/>
        <v>#N/A</v>
      </c>
      <c r="W143" s="60" t="e">
        <f t="shared" ca="1" si="14"/>
        <v>#N/A</v>
      </c>
      <c r="X143" s="60" t="e">
        <f t="shared" ca="1" si="18"/>
        <v>#N/A</v>
      </c>
      <c r="Y143" s="60" t="e">
        <f t="shared" ca="1" si="15"/>
        <v>#N/A</v>
      </c>
      <c r="Z143" s="60" t="e">
        <f t="shared" ca="1" si="16"/>
        <v>#N/A</v>
      </c>
    </row>
    <row r="144" spans="18:26" x14ac:dyDescent="0.25">
      <c r="R144" s="93" t="str">
        <f ca="1"/>
        <v/>
      </c>
      <c r="S144" s="62" t="str">
        <f t="shared" ca="1" si="17"/>
        <v/>
      </c>
      <c r="T144" s="62" t="e">
        <f t="shared" ca="1" si="11"/>
        <v>#N/A</v>
      </c>
      <c r="U144" s="62" t="e">
        <f t="shared" ca="1" si="12"/>
        <v>#N/A</v>
      </c>
      <c r="V144" s="62" t="e">
        <f t="shared" ca="1" si="13"/>
        <v>#N/A</v>
      </c>
      <c r="W144" s="60" t="e">
        <f t="shared" ca="1" si="14"/>
        <v>#N/A</v>
      </c>
      <c r="X144" s="60" t="e">
        <f t="shared" ca="1" si="18"/>
        <v>#N/A</v>
      </c>
      <c r="Y144" s="60" t="e">
        <f t="shared" ca="1" si="15"/>
        <v>#N/A</v>
      </c>
      <c r="Z144" s="60" t="e">
        <f t="shared" ca="1" si="16"/>
        <v>#N/A</v>
      </c>
    </row>
    <row r="145" spans="18:26" x14ac:dyDescent="0.25">
      <c r="R145" s="93" t="str">
        <f ca="1"/>
        <v/>
      </c>
      <c r="S145" s="62" t="str">
        <f t="shared" ca="1" si="17"/>
        <v/>
      </c>
      <c r="T145" s="62" t="e">
        <f t="shared" ca="1" si="11"/>
        <v>#N/A</v>
      </c>
      <c r="U145" s="62" t="e">
        <f t="shared" ca="1" si="12"/>
        <v>#N/A</v>
      </c>
      <c r="V145" s="62" t="e">
        <f t="shared" ca="1" si="13"/>
        <v>#N/A</v>
      </c>
      <c r="W145" s="60" t="e">
        <f t="shared" ca="1" si="14"/>
        <v>#N/A</v>
      </c>
      <c r="X145" s="60" t="e">
        <f t="shared" ca="1" si="18"/>
        <v>#N/A</v>
      </c>
      <c r="Y145" s="60" t="e">
        <f t="shared" ca="1" si="15"/>
        <v>#N/A</v>
      </c>
      <c r="Z145" s="60" t="e">
        <f t="shared" ca="1" si="16"/>
        <v>#N/A</v>
      </c>
    </row>
    <row r="146" spans="18:26" x14ac:dyDescent="0.25">
      <c r="R146" s="93" t="str">
        <f ca="1"/>
        <v/>
      </c>
      <c r="S146" s="62" t="str">
        <f t="shared" ca="1" si="17"/>
        <v/>
      </c>
      <c r="T146" s="62" t="e">
        <f t="shared" ref="T146:T209" ca="1" si="19">VLOOKUP(S146,ModelOutputs,2,FALSE)</f>
        <v>#N/A</v>
      </c>
      <c r="U146" s="62" t="e">
        <f t="shared" ref="U146:U209" ca="1" si="20">VLOOKUP(S146,ModelOutputs,7,FALSE)</f>
        <v>#N/A</v>
      </c>
      <c r="V146" s="62" t="e">
        <f t="shared" ref="V146:V209" ca="1" si="21">VLOOKUP(S146,ModelOutputs,6,FALSE)</f>
        <v>#N/A</v>
      </c>
      <c r="W146" s="60" t="e">
        <f t="shared" ref="W146:W209" ca="1" si="22">VLOOKUP(S146,ModelOutputs,10,FALSE)*AWC</f>
        <v>#N/A</v>
      </c>
      <c r="X146" s="60" t="e">
        <f t="shared" ca="1" si="18"/>
        <v>#N/A</v>
      </c>
      <c r="Y146" s="60" t="e">
        <f t="shared" ref="Y146:Y209" ca="1" si="23">VLOOKUP(S146,ModelOutputs,12,FALSE)</f>
        <v>#N/A</v>
      </c>
      <c r="Z146" s="60" t="e">
        <f t="shared" ref="Z146:Z209" ca="1" si="24">VLOOKUP(S146,ModelOutputs,13,FALSE)</f>
        <v>#N/A</v>
      </c>
    </row>
    <row r="147" spans="18:26" x14ac:dyDescent="0.25">
      <c r="R147" s="93" t="str">
        <f ca="1"/>
        <v/>
      </c>
      <c r="S147" s="62" t="str">
        <f t="shared" ref="S147:S210" ca="1" si="25">IF(R147&gt;1,R147,"")</f>
        <v/>
      </c>
      <c r="T147" s="62" t="e">
        <f t="shared" ca="1" si="19"/>
        <v>#N/A</v>
      </c>
      <c r="U147" s="62" t="e">
        <f t="shared" ca="1" si="20"/>
        <v>#N/A</v>
      </c>
      <c r="V147" s="62" t="e">
        <f t="shared" ca="1" si="21"/>
        <v>#N/A</v>
      </c>
      <c r="W147" s="60" t="e">
        <f t="shared" ca="1" si="22"/>
        <v>#N/A</v>
      </c>
      <c r="X147" s="60" t="e">
        <f t="shared" ref="X147:X210" ca="1" si="26">VLOOKUP(S147,ModelOutputs,11,FALSE)+X146</f>
        <v>#N/A</v>
      </c>
      <c r="Y147" s="60" t="e">
        <f t="shared" ca="1" si="23"/>
        <v>#N/A</v>
      </c>
      <c r="Z147" s="60" t="e">
        <f t="shared" ca="1" si="24"/>
        <v>#N/A</v>
      </c>
    </row>
    <row r="148" spans="18:26" x14ac:dyDescent="0.25">
      <c r="R148" s="93" t="str">
        <f ca="1"/>
        <v/>
      </c>
      <c r="S148" s="62" t="str">
        <f t="shared" ca="1" si="25"/>
        <v/>
      </c>
      <c r="T148" s="62" t="e">
        <f t="shared" ca="1" si="19"/>
        <v>#N/A</v>
      </c>
      <c r="U148" s="62" t="e">
        <f t="shared" ca="1" si="20"/>
        <v>#N/A</v>
      </c>
      <c r="V148" s="62" t="e">
        <f t="shared" ca="1" si="21"/>
        <v>#N/A</v>
      </c>
      <c r="W148" s="60" t="e">
        <f t="shared" ca="1" si="22"/>
        <v>#N/A</v>
      </c>
      <c r="X148" s="60" t="e">
        <f t="shared" ca="1" si="26"/>
        <v>#N/A</v>
      </c>
      <c r="Y148" s="60" t="e">
        <f t="shared" ca="1" si="23"/>
        <v>#N/A</v>
      </c>
      <c r="Z148" s="60" t="e">
        <f t="shared" ca="1" si="24"/>
        <v>#N/A</v>
      </c>
    </row>
    <row r="149" spans="18:26" x14ac:dyDescent="0.25">
      <c r="R149" s="93" t="str">
        <f ca="1"/>
        <v/>
      </c>
      <c r="S149" s="62" t="str">
        <f t="shared" ca="1" si="25"/>
        <v/>
      </c>
      <c r="T149" s="62" t="e">
        <f t="shared" ca="1" si="19"/>
        <v>#N/A</v>
      </c>
      <c r="U149" s="62" t="e">
        <f t="shared" ca="1" si="20"/>
        <v>#N/A</v>
      </c>
      <c r="V149" s="62" t="e">
        <f t="shared" ca="1" si="21"/>
        <v>#N/A</v>
      </c>
      <c r="W149" s="60" t="e">
        <f t="shared" ca="1" si="22"/>
        <v>#N/A</v>
      </c>
      <c r="X149" s="60" t="e">
        <f t="shared" ca="1" si="26"/>
        <v>#N/A</v>
      </c>
      <c r="Y149" s="60" t="e">
        <f t="shared" ca="1" si="23"/>
        <v>#N/A</v>
      </c>
      <c r="Z149" s="60" t="e">
        <f t="shared" ca="1" si="24"/>
        <v>#N/A</v>
      </c>
    </row>
    <row r="150" spans="18:26" x14ac:dyDescent="0.25">
      <c r="R150" s="93" t="str">
        <f ca="1"/>
        <v/>
      </c>
      <c r="S150" s="62" t="str">
        <f t="shared" ca="1" si="25"/>
        <v/>
      </c>
      <c r="T150" s="62" t="e">
        <f t="shared" ca="1" si="19"/>
        <v>#N/A</v>
      </c>
      <c r="U150" s="62" t="e">
        <f t="shared" ca="1" si="20"/>
        <v>#N/A</v>
      </c>
      <c r="V150" s="62" t="e">
        <f t="shared" ca="1" si="21"/>
        <v>#N/A</v>
      </c>
      <c r="W150" s="60" t="e">
        <f t="shared" ca="1" si="22"/>
        <v>#N/A</v>
      </c>
      <c r="X150" s="60" t="e">
        <f t="shared" ca="1" si="26"/>
        <v>#N/A</v>
      </c>
      <c r="Y150" s="60" t="e">
        <f t="shared" ca="1" si="23"/>
        <v>#N/A</v>
      </c>
      <c r="Z150" s="60" t="e">
        <f t="shared" ca="1" si="24"/>
        <v>#N/A</v>
      </c>
    </row>
    <row r="151" spans="18:26" x14ac:dyDescent="0.25">
      <c r="R151" s="93" t="str">
        <f ca="1"/>
        <v/>
      </c>
      <c r="S151" s="62" t="str">
        <f t="shared" ca="1" si="25"/>
        <v/>
      </c>
      <c r="T151" s="62" t="e">
        <f t="shared" ca="1" si="19"/>
        <v>#N/A</v>
      </c>
      <c r="U151" s="62" t="e">
        <f t="shared" ca="1" si="20"/>
        <v>#N/A</v>
      </c>
      <c r="V151" s="62" t="e">
        <f t="shared" ca="1" si="21"/>
        <v>#N/A</v>
      </c>
      <c r="W151" s="60" t="e">
        <f t="shared" ca="1" si="22"/>
        <v>#N/A</v>
      </c>
      <c r="X151" s="60" t="e">
        <f t="shared" ca="1" si="26"/>
        <v>#N/A</v>
      </c>
      <c r="Y151" s="60" t="e">
        <f t="shared" ca="1" si="23"/>
        <v>#N/A</v>
      </c>
      <c r="Z151" s="60" t="e">
        <f t="shared" ca="1" si="24"/>
        <v>#N/A</v>
      </c>
    </row>
    <row r="152" spans="18:26" x14ac:dyDescent="0.25">
      <c r="R152" s="93" t="str">
        <f ca="1"/>
        <v/>
      </c>
      <c r="S152" s="62" t="str">
        <f t="shared" ca="1" si="25"/>
        <v/>
      </c>
      <c r="T152" s="62" t="e">
        <f t="shared" ca="1" si="19"/>
        <v>#N/A</v>
      </c>
      <c r="U152" s="62" t="e">
        <f t="shared" ca="1" si="20"/>
        <v>#N/A</v>
      </c>
      <c r="V152" s="62" t="e">
        <f t="shared" ca="1" si="21"/>
        <v>#N/A</v>
      </c>
      <c r="W152" s="60" t="e">
        <f t="shared" ca="1" si="22"/>
        <v>#N/A</v>
      </c>
      <c r="X152" s="60" t="e">
        <f t="shared" ca="1" si="26"/>
        <v>#N/A</v>
      </c>
      <c r="Y152" s="60" t="e">
        <f t="shared" ca="1" si="23"/>
        <v>#N/A</v>
      </c>
      <c r="Z152" s="60" t="e">
        <f t="shared" ca="1" si="24"/>
        <v>#N/A</v>
      </c>
    </row>
    <row r="153" spans="18:26" x14ac:dyDescent="0.25">
      <c r="R153" s="93" t="str">
        <f ca="1"/>
        <v/>
      </c>
      <c r="S153" s="62" t="str">
        <f t="shared" ca="1" si="25"/>
        <v/>
      </c>
      <c r="T153" s="62" t="e">
        <f t="shared" ca="1" si="19"/>
        <v>#N/A</v>
      </c>
      <c r="U153" s="62" t="e">
        <f t="shared" ca="1" si="20"/>
        <v>#N/A</v>
      </c>
      <c r="V153" s="62" t="e">
        <f t="shared" ca="1" si="21"/>
        <v>#N/A</v>
      </c>
      <c r="W153" s="60" t="e">
        <f t="shared" ca="1" si="22"/>
        <v>#N/A</v>
      </c>
      <c r="X153" s="60" t="e">
        <f t="shared" ca="1" si="26"/>
        <v>#N/A</v>
      </c>
      <c r="Y153" s="60" t="e">
        <f t="shared" ca="1" si="23"/>
        <v>#N/A</v>
      </c>
      <c r="Z153" s="60" t="e">
        <f t="shared" ca="1" si="24"/>
        <v>#N/A</v>
      </c>
    </row>
    <row r="154" spans="18:26" x14ac:dyDescent="0.25">
      <c r="R154" s="93" t="str">
        <f ca="1"/>
        <v/>
      </c>
      <c r="S154" s="62" t="str">
        <f t="shared" ca="1" si="25"/>
        <v/>
      </c>
      <c r="T154" s="62" t="e">
        <f t="shared" ca="1" si="19"/>
        <v>#N/A</v>
      </c>
      <c r="U154" s="62" t="e">
        <f t="shared" ca="1" si="20"/>
        <v>#N/A</v>
      </c>
      <c r="V154" s="62" t="e">
        <f t="shared" ca="1" si="21"/>
        <v>#N/A</v>
      </c>
      <c r="W154" s="60" t="e">
        <f t="shared" ca="1" si="22"/>
        <v>#N/A</v>
      </c>
      <c r="X154" s="60" t="e">
        <f t="shared" ca="1" si="26"/>
        <v>#N/A</v>
      </c>
      <c r="Y154" s="60" t="e">
        <f t="shared" ca="1" si="23"/>
        <v>#N/A</v>
      </c>
      <c r="Z154" s="60" t="e">
        <f t="shared" ca="1" si="24"/>
        <v>#N/A</v>
      </c>
    </row>
    <row r="155" spans="18:26" x14ac:dyDescent="0.25">
      <c r="R155" s="93" t="str">
        <f ca="1"/>
        <v/>
      </c>
      <c r="S155" s="62" t="str">
        <f t="shared" ca="1" si="25"/>
        <v/>
      </c>
      <c r="T155" s="62" t="e">
        <f t="shared" ca="1" si="19"/>
        <v>#N/A</v>
      </c>
      <c r="U155" s="62" t="e">
        <f t="shared" ca="1" si="20"/>
        <v>#N/A</v>
      </c>
      <c r="V155" s="62" t="e">
        <f t="shared" ca="1" si="21"/>
        <v>#N/A</v>
      </c>
      <c r="W155" s="60" t="e">
        <f t="shared" ca="1" si="22"/>
        <v>#N/A</v>
      </c>
      <c r="X155" s="60" t="e">
        <f t="shared" ca="1" si="26"/>
        <v>#N/A</v>
      </c>
      <c r="Y155" s="60" t="e">
        <f t="shared" ca="1" si="23"/>
        <v>#N/A</v>
      </c>
      <c r="Z155" s="60" t="e">
        <f t="shared" ca="1" si="24"/>
        <v>#N/A</v>
      </c>
    </row>
    <row r="156" spans="18:26" x14ac:dyDescent="0.25">
      <c r="R156" s="93" t="str">
        <f ca="1"/>
        <v/>
      </c>
      <c r="S156" s="62" t="str">
        <f t="shared" ca="1" si="25"/>
        <v/>
      </c>
      <c r="T156" s="62" t="e">
        <f t="shared" ca="1" si="19"/>
        <v>#N/A</v>
      </c>
      <c r="U156" s="62" t="e">
        <f t="shared" ca="1" si="20"/>
        <v>#N/A</v>
      </c>
      <c r="V156" s="62" t="e">
        <f t="shared" ca="1" si="21"/>
        <v>#N/A</v>
      </c>
      <c r="W156" s="60" t="e">
        <f t="shared" ca="1" si="22"/>
        <v>#N/A</v>
      </c>
      <c r="X156" s="60" t="e">
        <f t="shared" ca="1" si="26"/>
        <v>#N/A</v>
      </c>
      <c r="Y156" s="60" t="e">
        <f t="shared" ca="1" si="23"/>
        <v>#N/A</v>
      </c>
      <c r="Z156" s="60" t="e">
        <f t="shared" ca="1" si="24"/>
        <v>#N/A</v>
      </c>
    </row>
    <row r="157" spans="18:26" x14ac:dyDescent="0.25">
      <c r="R157" s="93" t="str">
        <f ca="1"/>
        <v/>
      </c>
      <c r="S157" s="62" t="str">
        <f t="shared" ca="1" si="25"/>
        <v/>
      </c>
      <c r="T157" s="62" t="e">
        <f t="shared" ca="1" si="19"/>
        <v>#N/A</v>
      </c>
      <c r="U157" s="62" t="e">
        <f t="shared" ca="1" si="20"/>
        <v>#N/A</v>
      </c>
      <c r="V157" s="62" t="e">
        <f t="shared" ca="1" si="21"/>
        <v>#N/A</v>
      </c>
      <c r="W157" s="60" t="e">
        <f t="shared" ca="1" si="22"/>
        <v>#N/A</v>
      </c>
      <c r="X157" s="60" t="e">
        <f t="shared" ca="1" si="26"/>
        <v>#N/A</v>
      </c>
      <c r="Y157" s="60" t="e">
        <f t="shared" ca="1" si="23"/>
        <v>#N/A</v>
      </c>
      <c r="Z157" s="60" t="e">
        <f t="shared" ca="1" si="24"/>
        <v>#N/A</v>
      </c>
    </row>
    <row r="158" spans="18:26" x14ac:dyDescent="0.25">
      <c r="R158" s="93" t="str">
        <f ca="1"/>
        <v/>
      </c>
      <c r="S158" s="62" t="str">
        <f t="shared" ca="1" si="25"/>
        <v/>
      </c>
      <c r="T158" s="62" t="e">
        <f t="shared" ca="1" si="19"/>
        <v>#N/A</v>
      </c>
      <c r="U158" s="62" t="e">
        <f t="shared" ca="1" si="20"/>
        <v>#N/A</v>
      </c>
      <c r="V158" s="62" t="e">
        <f t="shared" ca="1" si="21"/>
        <v>#N/A</v>
      </c>
      <c r="W158" s="60" t="e">
        <f t="shared" ca="1" si="22"/>
        <v>#N/A</v>
      </c>
      <c r="X158" s="60" t="e">
        <f t="shared" ca="1" si="26"/>
        <v>#N/A</v>
      </c>
      <c r="Y158" s="60" t="e">
        <f t="shared" ca="1" si="23"/>
        <v>#N/A</v>
      </c>
      <c r="Z158" s="60" t="e">
        <f t="shared" ca="1" si="24"/>
        <v>#N/A</v>
      </c>
    </row>
    <row r="159" spans="18:26" x14ac:dyDescent="0.25">
      <c r="R159" s="93" t="str">
        <f ca="1"/>
        <v/>
      </c>
      <c r="S159" s="62" t="str">
        <f t="shared" ca="1" si="25"/>
        <v/>
      </c>
      <c r="T159" s="62" t="e">
        <f t="shared" ca="1" si="19"/>
        <v>#N/A</v>
      </c>
      <c r="U159" s="62" t="e">
        <f t="shared" ca="1" si="20"/>
        <v>#N/A</v>
      </c>
      <c r="V159" s="62" t="e">
        <f t="shared" ca="1" si="21"/>
        <v>#N/A</v>
      </c>
      <c r="W159" s="60" t="e">
        <f t="shared" ca="1" si="22"/>
        <v>#N/A</v>
      </c>
      <c r="X159" s="60" t="e">
        <f t="shared" ca="1" si="26"/>
        <v>#N/A</v>
      </c>
      <c r="Y159" s="60" t="e">
        <f t="shared" ca="1" si="23"/>
        <v>#N/A</v>
      </c>
      <c r="Z159" s="60" t="e">
        <f t="shared" ca="1" si="24"/>
        <v>#N/A</v>
      </c>
    </row>
    <row r="160" spans="18:26" x14ac:dyDescent="0.25">
      <c r="R160" s="93" t="str">
        <f ca="1"/>
        <v/>
      </c>
      <c r="S160" s="62" t="str">
        <f t="shared" ca="1" si="25"/>
        <v/>
      </c>
      <c r="T160" s="62" t="e">
        <f t="shared" ca="1" si="19"/>
        <v>#N/A</v>
      </c>
      <c r="U160" s="62" t="e">
        <f t="shared" ca="1" si="20"/>
        <v>#N/A</v>
      </c>
      <c r="V160" s="62" t="e">
        <f t="shared" ca="1" si="21"/>
        <v>#N/A</v>
      </c>
      <c r="W160" s="60" t="e">
        <f t="shared" ca="1" si="22"/>
        <v>#N/A</v>
      </c>
      <c r="X160" s="60" t="e">
        <f t="shared" ca="1" si="26"/>
        <v>#N/A</v>
      </c>
      <c r="Y160" s="60" t="e">
        <f t="shared" ca="1" si="23"/>
        <v>#N/A</v>
      </c>
      <c r="Z160" s="60" t="e">
        <f t="shared" ca="1" si="24"/>
        <v>#N/A</v>
      </c>
    </row>
    <row r="161" spans="18:26" x14ac:dyDescent="0.25">
      <c r="R161" s="93" t="str">
        <f ca="1"/>
        <v/>
      </c>
      <c r="S161" s="62" t="str">
        <f t="shared" ca="1" si="25"/>
        <v/>
      </c>
      <c r="T161" s="62" t="e">
        <f t="shared" ca="1" si="19"/>
        <v>#N/A</v>
      </c>
      <c r="U161" s="62" t="e">
        <f t="shared" ca="1" si="20"/>
        <v>#N/A</v>
      </c>
      <c r="V161" s="62" t="e">
        <f t="shared" ca="1" si="21"/>
        <v>#N/A</v>
      </c>
      <c r="W161" s="60" t="e">
        <f t="shared" ca="1" si="22"/>
        <v>#N/A</v>
      </c>
      <c r="X161" s="60" t="e">
        <f t="shared" ca="1" si="26"/>
        <v>#N/A</v>
      </c>
      <c r="Y161" s="60" t="e">
        <f t="shared" ca="1" si="23"/>
        <v>#N/A</v>
      </c>
      <c r="Z161" s="60" t="e">
        <f t="shared" ca="1" si="24"/>
        <v>#N/A</v>
      </c>
    </row>
    <row r="162" spans="18:26" x14ac:dyDescent="0.25">
      <c r="R162" s="93" t="str">
        <f ca="1"/>
        <v/>
      </c>
      <c r="S162" s="62" t="str">
        <f t="shared" ca="1" si="25"/>
        <v/>
      </c>
      <c r="T162" s="62" t="e">
        <f t="shared" ca="1" si="19"/>
        <v>#N/A</v>
      </c>
      <c r="U162" s="62" t="e">
        <f t="shared" ca="1" si="20"/>
        <v>#N/A</v>
      </c>
      <c r="V162" s="62" t="e">
        <f t="shared" ca="1" si="21"/>
        <v>#N/A</v>
      </c>
      <c r="W162" s="60" t="e">
        <f t="shared" ca="1" si="22"/>
        <v>#N/A</v>
      </c>
      <c r="X162" s="60" t="e">
        <f t="shared" ca="1" si="26"/>
        <v>#N/A</v>
      </c>
      <c r="Y162" s="60" t="e">
        <f t="shared" ca="1" si="23"/>
        <v>#N/A</v>
      </c>
      <c r="Z162" s="60" t="e">
        <f t="shared" ca="1" si="24"/>
        <v>#N/A</v>
      </c>
    </row>
    <row r="163" spans="18:26" x14ac:dyDescent="0.25">
      <c r="R163" s="93" t="str">
        <f ca="1"/>
        <v/>
      </c>
      <c r="S163" s="62" t="str">
        <f t="shared" ca="1" si="25"/>
        <v/>
      </c>
      <c r="T163" s="62" t="e">
        <f t="shared" ca="1" si="19"/>
        <v>#N/A</v>
      </c>
      <c r="U163" s="62" t="e">
        <f t="shared" ca="1" si="20"/>
        <v>#N/A</v>
      </c>
      <c r="V163" s="62" t="e">
        <f t="shared" ca="1" si="21"/>
        <v>#N/A</v>
      </c>
      <c r="W163" s="60" t="e">
        <f t="shared" ca="1" si="22"/>
        <v>#N/A</v>
      </c>
      <c r="X163" s="60" t="e">
        <f t="shared" ca="1" si="26"/>
        <v>#N/A</v>
      </c>
      <c r="Y163" s="60" t="e">
        <f t="shared" ca="1" si="23"/>
        <v>#N/A</v>
      </c>
      <c r="Z163" s="60" t="e">
        <f t="shared" ca="1" si="24"/>
        <v>#N/A</v>
      </c>
    </row>
    <row r="164" spans="18:26" x14ac:dyDescent="0.25">
      <c r="R164" s="93" t="str">
        <f ca="1"/>
        <v/>
      </c>
      <c r="S164" s="62" t="str">
        <f t="shared" ca="1" si="25"/>
        <v/>
      </c>
      <c r="T164" s="62" t="e">
        <f t="shared" ca="1" si="19"/>
        <v>#N/A</v>
      </c>
      <c r="U164" s="62" t="e">
        <f t="shared" ca="1" si="20"/>
        <v>#N/A</v>
      </c>
      <c r="V164" s="62" t="e">
        <f t="shared" ca="1" si="21"/>
        <v>#N/A</v>
      </c>
      <c r="W164" s="60" t="e">
        <f t="shared" ca="1" si="22"/>
        <v>#N/A</v>
      </c>
      <c r="X164" s="60" t="e">
        <f t="shared" ca="1" si="26"/>
        <v>#N/A</v>
      </c>
      <c r="Y164" s="60" t="e">
        <f t="shared" ca="1" si="23"/>
        <v>#N/A</v>
      </c>
      <c r="Z164" s="60" t="e">
        <f t="shared" ca="1" si="24"/>
        <v>#N/A</v>
      </c>
    </row>
    <row r="165" spans="18:26" x14ac:dyDescent="0.25">
      <c r="R165" s="93" t="str">
        <f ca="1"/>
        <v/>
      </c>
      <c r="S165" s="62" t="str">
        <f t="shared" ca="1" si="25"/>
        <v/>
      </c>
      <c r="T165" s="62" t="e">
        <f t="shared" ca="1" si="19"/>
        <v>#N/A</v>
      </c>
      <c r="U165" s="62" t="e">
        <f t="shared" ca="1" si="20"/>
        <v>#N/A</v>
      </c>
      <c r="V165" s="62" t="e">
        <f t="shared" ca="1" si="21"/>
        <v>#N/A</v>
      </c>
      <c r="W165" s="60" t="e">
        <f t="shared" ca="1" si="22"/>
        <v>#N/A</v>
      </c>
      <c r="X165" s="60" t="e">
        <f t="shared" ca="1" si="26"/>
        <v>#N/A</v>
      </c>
      <c r="Y165" s="60" t="e">
        <f t="shared" ca="1" si="23"/>
        <v>#N/A</v>
      </c>
      <c r="Z165" s="60" t="e">
        <f t="shared" ca="1" si="24"/>
        <v>#N/A</v>
      </c>
    </row>
    <row r="166" spans="18:26" x14ac:dyDescent="0.25">
      <c r="R166" s="93" t="str">
        <f ca="1"/>
        <v/>
      </c>
      <c r="S166" s="62" t="str">
        <f t="shared" ca="1" si="25"/>
        <v/>
      </c>
      <c r="T166" s="62" t="e">
        <f t="shared" ca="1" si="19"/>
        <v>#N/A</v>
      </c>
      <c r="U166" s="62" t="e">
        <f t="shared" ca="1" si="20"/>
        <v>#N/A</v>
      </c>
      <c r="V166" s="62" t="e">
        <f t="shared" ca="1" si="21"/>
        <v>#N/A</v>
      </c>
      <c r="W166" s="60" t="e">
        <f t="shared" ca="1" si="22"/>
        <v>#N/A</v>
      </c>
      <c r="X166" s="60" t="e">
        <f t="shared" ca="1" si="26"/>
        <v>#N/A</v>
      </c>
      <c r="Y166" s="60" t="e">
        <f t="shared" ca="1" si="23"/>
        <v>#N/A</v>
      </c>
      <c r="Z166" s="60" t="e">
        <f t="shared" ca="1" si="24"/>
        <v>#N/A</v>
      </c>
    </row>
    <row r="167" spans="18:26" x14ac:dyDescent="0.25">
      <c r="R167" s="93" t="str">
        <f ca="1"/>
        <v/>
      </c>
      <c r="S167" s="62" t="str">
        <f t="shared" ca="1" si="25"/>
        <v/>
      </c>
      <c r="T167" s="62" t="e">
        <f t="shared" ca="1" si="19"/>
        <v>#N/A</v>
      </c>
      <c r="U167" s="62" t="e">
        <f t="shared" ca="1" si="20"/>
        <v>#N/A</v>
      </c>
      <c r="V167" s="62" t="e">
        <f t="shared" ca="1" si="21"/>
        <v>#N/A</v>
      </c>
      <c r="W167" s="60" t="e">
        <f t="shared" ca="1" si="22"/>
        <v>#N/A</v>
      </c>
      <c r="X167" s="60" t="e">
        <f t="shared" ca="1" si="26"/>
        <v>#N/A</v>
      </c>
      <c r="Y167" s="60" t="e">
        <f t="shared" ca="1" si="23"/>
        <v>#N/A</v>
      </c>
      <c r="Z167" s="60" t="e">
        <f t="shared" ca="1" si="24"/>
        <v>#N/A</v>
      </c>
    </row>
    <row r="168" spans="18:26" x14ac:dyDescent="0.25">
      <c r="R168" s="93" t="str">
        <f ca="1"/>
        <v/>
      </c>
      <c r="S168" s="62" t="str">
        <f t="shared" ca="1" si="25"/>
        <v/>
      </c>
      <c r="T168" s="62" t="e">
        <f t="shared" ca="1" si="19"/>
        <v>#N/A</v>
      </c>
      <c r="U168" s="62" t="e">
        <f t="shared" ca="1" si="20"/>
        <v>#N/A</v>
      </c>
      <c r="V168" s="62" t="e">
        <f t="shared" ca="1" si="21"/>
        <v>#N/A</v>
      </c>
      <c r="W168" s="60" t="e">
        <f t="shared" ca="1" si="22"/>
        <v>#N/A</v>
      </c>
      <c r="X168" s="60" t="e">
        <f t="shared" ca="1" si="26"/>
        <v>#N/A</v>
      </c>
      <c r="Y168" s="60" t="e">
        <f t="shared" ca="1" si="23"/>
        <v>#N/A</v>
      </c>
      <c r="Z168" s="60" t="e">
        <f t="shared" ca="1" si="24"/>
        <v>#N/A</v>
      </c>
    </row>
    <row r="169" spans="18:26" x14ac:dyDescent="0.25">
      <c r="R169" s="93" t="str">
        <f ca="1"/>
        <v/>
      </c>
      <c r="S169" s="62" t="str">
        <f t="shared" ca="1" si="25"/>
        <v/>
      </c>
      <c r="T169" s="62" t="e">
        <f t="shared" ca="1" si="19"/>
        <v>#N/A</v>
      </c>
      <c r="U169" s="62" t="e">
        <f t="shared" ca="1" si="20"/>
        <v>#N/A</v>
      </c>
      <c r="V169" s="62" t="e">
        <f t="shared" ca="1" si="21"/>
        <v>#N/A</v>
      </c>
      <c r="W169" s="60" t="e">
        <f t="shared" ca="1" si="22"/>
        <v>#N/A</v>
      </c>
      <c r="X169" s="60" t="e">
        <f t="shared" ca="1" si="26"/>
        <v>#N/A</v>
      </c>
      <c r="Y169" s="60" t="e">
        <f t="shared" ca="1" si="23"/>
        <v>#N/A</v>
      </c>
      <c r="Z169" s="60" t="e">
        <f t="shared" ca="1" si="24"/>
        <v>#N/A</v>
      </c>
    </row>
    <row r="170" spans="18:26" x14ac:dyDescent="0.25">
      <c r="R170" s="93" t="str">
        <f ca="1"/>
        <v/>
      </c>
      <c r="S170" s="62" t="str">
        <f t="shared" ca="1" si="25"/>
        <v/>
      </c>
      <c r="T170" s="62" t="e">
        <f t="shared" ca="1" si="19"/>
        <v>#N/A</v>
      </c>
      <c r="U170" s="62" t="e">
        <f t="shared" ca="1" si="20"/>
        <v>#N/A</v>
      </c>
      <c r="V170" s="62" t="e">
        <f t="shared" ca="1" si="21"/>
        <v>#N/A</v>
      </c>
      <c r="W170" s="60" t="e">
        <f t="shared" ca="1" si="22"/>
        <v>#N/A</v>
      </c>
      <c r="X170" s="60" t="e">
        <f t="shared" ca="1" si="26"/>
        <v>#N/A</v>
      </c>
      <c r="Y170" s="60" t="e">
        <f t="shared" ca="1" si="23"/>
        <v>#N/A</v>
      </c>
      <c r="Z170" s="60" t="e">
        <f t="shared" ca="1" si="24"/>
        <v>#N/A</v>
      </c>
    </row>
    <row r="171" spans="18:26" x14ac:dyDescent="0.25">
      <c r="R171" s="93" t="str">
        <f ca="1"/>
        <v/>
      </c>
      <c r="S171" s="62" t="str">
        <f t="shared" ca="1" si="25"/>
        <v/>
      </c>
      <c r="T171" s="62" t="e">
        <f t="shared" ca="1" si="19"/>
        <v>#N/A</v>
      </c>
      <c r="U171" s="62" t="e">
        <f t="shared" ca="1" si="20"/>
        <v>#N/A</v>
      </c>
      <c r="V171" s="62" t="e">
        <f t="shared" ca="1" si="21"/>
        <v>#N/A</v>
      </c>
      <c r="W171" s="60" t="e">
        <f t="shared" ca="1" si="22"/>
        <v>#N/A</v>
      </c>
      <c r="X171" s="60" t="e">
        <f t="shared" ca="1" si="26"/>
        <v>#N/A</v>
      </c>
      <c r="Y171" s="60" t="e">
        <f t="shared" ca="1" si="23"/>
        <v>#N/A</v>
      </c>
      <c r="Z171" s="60" t="e">
        <f t="shared" ca="1" si="24"/>
        <v>#N/A</v>
      </c>
    </row>
    <row r="172" spans="18:26" x14ac:dyDescent="0.25">
      <c r="R172" s="93" t="str">
        <f ca="1"/>
        <v/>
      </c>
      <c r="S172" s="62" t="str">
        <f t="shared" ca="1" si="25"/>
        <v/>
      </c>
      <c r="T172" s="62" t="e">
        <f t="shared" ca="1" si="19"/>
        <v>#N/A</v>
      </c>
      <c r="U172" s="62" t="e">
        <f t="shared" ca="1" si="20"/>
        <v>#N/A</v>
      </c>
      <c r="V172" s="62" t="e">
        <f t="shared" ca="1" si="21"/>
        <v>#N/A</v>
      </c>
      <c r="W172" s="60" t="e">
        <f t="shared" ca="1" si="22"/>
        <v>#N/A</v>
      </c>
      <c r="X172" s="60" t="e">
        <f t="shared" ca="1" si="26"/>
        <v>#N/A</v>
      </c>
      <c r="Y172" s="60" t="e">
        <f t="shared" ca="1" si="23"/>
        <v>#N/A</v>
      </c>
      <c r="Z172" s="60" t="e">
        <f t="shared" ca="1" si="24"/>
        <v>#N/A</v>
      </c>
    </row>
    <row r="173" spans="18:26" x14ac:dyDescent="0.25">
      <c r="R173" s="93" t="str">
        <f ca="1"/>
        <v/>
      </c>
      <c r="S173" s="62" t="str">
        <f t="shared" ca="1" si="25"/>
        <v/>
      </c>
      <c r="T173" s="62" t="e">
        <f t="shared" ca="1" si="19"/>
        <v>#N/A</v>
      </c>
      <c r="U173" s="62" t="e">
        <f t="shared" ca="1" si="20"/>
        <v>#N/A</v>
      </c>
      <c r="V173" s="62" t="e">
        <f t="shared" ca="1" si="21"/>
        <v>#N/A</v>
      </c>
      <c r="W173" s="60" t="e">
        <f t="shared" ca="1" si="22"/>
        <v>#N/A</v>
      </c>
      <c r="X173" s="60" t="e">
        <f t="shared" ca="1" si="26"/>
        <v>#N/A</v>
      </c>
      <c r="Y173" s="60" t="e">
        <f t="shared" ca="1" si="23"/>
        <v>#N/A</v>
      </c>
      <c r="Z173" s="60" t="e">
        <f t="shared" ca="1" si="24"/>
        <v>#N/A</v>
      </c>
    </row>
    <row r="174" spans="18:26" x14ac:dyDescent="0.25">
      <c r="R174" s="93" t="str">
        <f ca="1"/>
        <v/>
      </c>
      <c r="S174" s="62" t="str">
        <f t="shared" ca="1" si="25"/>
        <v/>
      </c>
      <c r="T174" s="62" t="e">
        <f t="shared" ca="1" si="19"/>
        <v>#N/A</v>
      </c>
      <c r="U174" s="62" t="e">
        <f t="shared" ca="1" si="20"/>
        <v>#N/A</v>
      </c>
      <c r="V174" s="62" t="e">
        <f t="shared" ca="1" si="21"/>
        <v>#N/A</v>
      </c>
      <c r="W174" s="60" t="e">
        <f t="shared" ca="1" si="22"/>
        <v>#N/A</v>
      </c>
      <c r="X174" s="60" t="e">
        <f t="shared" ca="1" si="26"/>
        <v>#N/A</v>
      </c>
      <c r="Y174" s="60" t="e">
        <f t="shared" ca="1" si="23"/>
        <v>#N/A</v>
      </c>
      <c r="Z174" s="60" t="e">
        <f t="shared" ca="1" si="24"/>
        <v>#N/A</v>
      </c>
    </row>
    <row r="175" spans="18:26" x14ac:dyDescent="0.25">
      <c r="R175" s="93" t="str">
        <f ca="1"/>
        <v/>
      </c>
      <c r="S175" s="62" t="str">
        <f t="shared" ca="1" si="25"/>
        <v/>
      </c>
      <c r="T175" s="62" t="e">
        <f t="shared" ca="1" si="19"/>
        <v>#N/A</v>
      </c>
      <c r="U175" s="62" t="e">
        <f t="shared" ca="1" si="20"/>
        <v>#N/A</v>
      </c>
      <c r="V175" s="62" t="e">
        <f t="shared" ca="1" si="21"/>
        <v>#N/A</v>
      </c>
      <c r="W175" s="60" t="e">
        <f t="shared" ca="1" si="22"/>
        <v>#N/A</v>
      </c>
      <c r="X175" s="60" t="e">
        <f t="shared" ca="1" si="26"/>
        <v>#N/A</v>
      </c>
      <c r="Y175" s="60" t="e">
        <f t="shared" ca="1" si="23"/>
        <v>#N/A</v>
      </c>
      <c r="Z175" s="60" t="e">
        <f t="shared" ca="1" si="24"/>
        <v>#N/A</v>
      </c>
    </row>
    <row r="176" spans="18:26" x14ac:dyDescent="0.25">
      <c r="R176" s="93" t="str">
        <f ca="1"/>
        <v/>
      </c>
      <c r="S176" s="62" t="str">
        <f t="shared" ca="1" si="25"/>
        <v/>
      </c>
      <c r="T176" s="62" t="e">
        <f t="shared" ca="1" si="19"/>
        <v>#N/A</v>
      </c>
      <c r="U176" s="62" t="e">
        <f t="shared" ca="1" si="20"/>
        <v>#N/A</v>
      </c>
      <c r="V176" s="62" t="e">
        <f t="shared" ca="1" si="21"/>
        <v>#N/A</v>
      </c>
      <c r="W176" s="60" t="e">
        <f t="shared" ca="1" si="22"/>
        <v>#N/A</v>
      </c>
      <c r="X176" s="60" t="e">
        <f t="shared" ca="1" si="26"/>
        <v>#N/A</v>
      </c>
      <c r="Y176" s="60" t="e">
        <f t="shared" ca="1" si="23"/>
        <v>#N/A</v>
      </c>
      <c r="Z176" s="60" t="e">
        <f t="shared" ca="1" si="24"/>
        <v>#N/A</v>
      </c>
    </row>
    <row r="177" spans="18:26" x14ac:dyDescent="0.25">
      <c r="R177" s="93" t="str">
        <f ca="1"/>
        <v/>
      </c>
      <c r="S177" s="62" t="str">
        <f t="shared" ca="1" si="25"/>
        <v/>
      </c>
      <c r="T177" s="62" t="e">
        <f t="shared" ca="1" si="19"/>
        <v>#N/A</v>
      </c>
      <c r="U177" s="62" t="e">
        <f t="shared" ca="1" si="20"/>
        <v>#N/A</v>
      </c>
      <c r="V177" s="62" t="e">
        <f t="shared" ca="1" si="21"/>
        <v>#N/A</v>
      </c>
      <c r="W177" s="60" t="e">
        <f t="shared" ca="1" si="22"/>
        <v>#N/A</v>
      </c>
      <c r="X177" s="60" t="e">
        <f t="shared" ca="1" si="26"/>
        <v>#N/A</v>
      </c>
      <c r="Y177" s="60" t="e">
        <f t="shared" ca="1" si="23"/>
        <v>#N/A</v>
      </c>
      <c r="Z177" s="60" t="e">
        <f t="shared" ca="1" si="24"/>
        <v>#N/A</v>
      </c>
    </row>
    <row r="178" spans="18:26" x14ac:dyDescent="0.25">
      <c r="R178" s="93" t="str">
        <f ca="1"/>
        <v/>
      </c>
      <c r="S178" s="62" t="str">
        <f t="shared" ca="1" si="25"/>
        <v/>
      </c>
      <c r="T178" s="62" t="e">
        <f t="shared" ca="1" si="19"/>
        <v>#N/A</v>
      </c>
      <c r="U178" s="62" t="e">
        <f t="shared" ca="1" si="20"/>
        <v>#N/A</v>
      </c>
      <c r="V178" s="62" t="e">
        <f t="shared" ca="1" si="21"/>
        <v>#N/A</v>
      </c>
      <c r="W178" s="60" t="e">
        <f t="shared" ca="1" si="22"/>
        <v>#N/A</v>
      </c>
      <c r="X178" s="60" t="e">
        <f t="shared" ca="1" si="26"/>
        <v>#N/A</v>
      </c>
      <c r="Y178" s="60" t="e">
        <f t="shared" ca="1" si="23"/>
        <v>#N/A</v>
      </c>
      <c r="Z178" s="60" t="e">
        <f t="shared" ca="1" si="24"/>
        <v>#N/A</v>
      </c>
    </row>
    <row r="179" spans="18:26" x14ac:dyDescent="0.25">
      <c r="R179" s="93" t="str">
        <f ca="1"/>
        <v/>
      </c>
      <c r="S179" s="62" t="str">
        <f t="shared" ca="1" si="25"/>
        <v/>
      </c>
      <c r="T179" s="62" t="e">
        <f t="shared" ca="1" si="19"/>
        <v>#N/A</v>
      </c>
      <c r="U179" s="62" t="e">
        <f t="shared" ca="1" si="20"/>
        <v>#N/A</v>
      </c>
      <c r="V179" s="62" t="e">
        <f t="shared" ca="1" si="21"/>
        <v>#N/A</v>
      </c>
      <c r="W179" s="60" t="e">
        <f t="shared" ca="1" si="22"/>
        <v>#N/A</v>
      </c>
      <c r="X179" s="60" t="e">
        <f t="shared" ca="1" si="26"/>
        <v>#N/A</v>
      </c>
      <c r="Y179" s="60" t="e">
        <f t="shared" ca="1" si="23"/>
        <v>#N/A</v>
      </c>
      <c r="Z179" s="60" t="e">
        <f t="shared" ca="1" si="24"/>
        <v>#N/A</v>
      </c>
    </row>
    <row r="180" spans="18:26" x14ac:dyDescent="0.25">
      <c r="R180" s="93" t="str">
        <f ca="1"/>
        <v/>
      </c>
      <c r="S180" s="62" t="str">
        <f t="shared" ca="1" si="25"/>
        <v/>
      </c>
      <c r="T180" s="62" t="e">
        <f t="shared" ca="1" si="19"/>
        <v>#N/A</v>
      </c>
      <c r="U180" s="62" t="e">
        <f t="shared" ca="1" si="20"/>
        <v>#N/A</v>
      </c>
      <c r="V180" s="62" t="e">
        <f t="shared" ca="1" si="21"/>
        <v>#N/A</v>
      </c>
      <c r="W180" s="60" t="e">
        <f t="shared" ca="1" si="22"/>
        <v>#N/A</v>
      </c>
      <c r="X180" s="60" t="e">
        <f t="shared" ca="1" si="26"/>
        <v>#N/A</v>
      </c>
      <c r="Y180" s="60" t="e">
        <f t="shared" ca="1" si="23"/>
        <v>#N/A</v>
      </c>
      <c r="Z180" s="60" t="e">
        <f t="shared" ca="1" si="24"/>
        <v>#N/A</v>
      </c>
    </row>
    <row r="181" spans="18:26" x14ac:dyDescent="0.25">
      <c r="R181" s="93" t="str">
        <f ca="1"/>
        <v/>
      </c>
      <c r="S181" s="62" t="str">
        <f t="shared" ca="1" si="25"/>
        <v/>
      </c>
      <c r="T181" s="62" t="e">
        <f t="shared" ca="1" si="19"/>
        <v>#N/A</v>
      </c>
      <c r="U181" s="62" t="e">
        <f t="shared" ca="1" si="20"/>
        <v>#N/A</v>
      </c>
      <c r="V181" s="62" t="e">
        <f t="shared" ca="1" si="21"/>
        <v>#N/A</v>
      </c>
      <c r="W181" s="60" t="e">
        <f t="shared" ca="1" si="22"/>
        <v>#N/A</v>
      </c>
      <c r="X181" s="60" t="e">
        <f t="shared" ca="1" si="26"/>
        <v>#N/A</v>
      </c>
      <c r="Y181" s="60" t="e">
        <f t="shared" ca="1" si="23"/>
        <v>#N/A</v>
      </c>
      <c r="Z181" s="60" t="e">
        <f t="shared" ca="1" si="24"/>
        <v>#N/A</v>
      </c>
    </row>
    <row r="182" spans="18:26" x14ac:dyDescent="0.25">
      <c r="R182" s="93" t="str">
        <f ca="1"/>
        <v/>
      </c>
      <c r="S182" s="62" t="str">
        <f t="shared" ca="1" si="25"/>
        <v/>
      </c>
      <c r="T182" s="62" t="e">
        <f t="shared" ca="1" si="19"/>
        <v>#N/A</v>
      </c>
      <c r="U182" s="62" t="e">
        <f t="shared" ca="1" si="20"/>
        <v>#N/A</v>
      </c>
      <c r="V182" s="62" t="e">
        <f t="shared" ca="1" si="21"/>
        <v>#N/A</v>
      </c>
      <c r="W182" s="60" t="e">
        <f t="shared" ca="1" si="22"/>
        <v>#N/A</v>
      </c>
      <c r="X182" s="60" t="e">
        <f t="shared" ca="1" si="26"/>
        <v>#N/A</v>
      </c>
      <c r="Y182" s="60" t="e">
        <f t="shared" ca="1" si="23"/>
        <v>#N/A</v>
      </c>
      <c r="Z182" s="60" t="e">
        <f t="shared" ca="1" si="24"/>
        <v>#N/A</v>
      </c>
    </row>
    <row r="183" spans="18:26" x14ac:dyDescent="0.25">
      <c r="R183" s="93" t="str">
        <f ca="1"/>
        <v/>
      </c>
      <c r="S183" s="62" t="str">
        <f t="shared" ca="1" si="25"/>
        <v/>
      </c>
      <c r="T183" s="62" t="e">
        <f t="shared" ca="1" si="19"/>
        <v>#N/A</v>
      </c>
      <c r="U183" s="62" t="e">
        <f t="shared" ca="1" si="20"/>
        <v>#N/A</v>
      </c>
      <c r="V183" s="62" t="e">
        <f t="shared" ca="1" si="21"/>
        <v>#N/A</v>
      </c>
      <c r="W183" s="60" t="e">
        <f t="shared" ca="1" si="22"/>
        <v>#N/A</v>
      </c>
      <c r="X183" s="60" t="e">
        <f t="shared" ca="1" si="26"/>
        <v>#N/A</v>
      </c>
      <c r="Y183" s="60" t="e">
        <f t="shared" ca="1" si="23"/>
        <v>#N/A</v>
      </c>
      <c r="Z183" s="60" t="e">
        <f t="shared" ca="1" si="24"/>
        <v>#N/A</v>
      </c>
    </row>
    <row r="184" spans="18:26" x14ac:dyDescent="0.25">
      <c r="R184" s="93" t="str">
        <f ca="1"/>
        <v/>
      </c>
      <c r="S184" s="62" t="str">
        <f t="shared" ca="1" si="25"/>
        <v/>
      </c>
      <c r="T184" s="62" t="e">
        <f t="shared" ca="1" si="19"/>
        <v>#N/A</v>
      </c>
      <c r="U184" s="62" t="e">
        <f t="shared" ca="1" si="20"/>
        <v>#N/A</v>
      </c>
      <c r="V184" s="62" t="e">
        <f t="shared" ca="1" si="21"/>
        <v>#N/A</v>
      </c>
      <c r="W184" s="60" t="e">
        <f t="shared" ca="1" si="22"/>
        <v>#N/A</v>
      </c>
      <c r="X184" s="60" t="e">
        <f t="shared" ca="1" si="26"/>
        <v>#N/A</v>
      </c>
      <c r="Y184" s="60" t="e">
        <f t="shared" ca="1" si="23"/>
        <v>#N/A</v>
      </c>
      <c r="Z184" s="60" t="e">
        <f t="shared" ca="1" si="24"/>
        <v>#N/A</v>
      </c>
    </row>
    <row r="185" spans="18:26" x14ac:dyDescent="0.25">
      <c r="R185" s="93" t="str">
        <f ca="1"/>
        <v/>
      </c>
      <c r="S185" s="62" t="str">
        <f t="shared" ca="1" si="25"/>
        <v/>
      </c>
      <c r="T185" s="62" t="e">
        <f t="shared" ca="1" si="19"/>
        <v>#N/A</v>
      </c>
      <c r="U185" s="62" t="e">
        <f t="shared" ca="1" si="20"/>
        <v>#N/A</v>
      </c>
      <c r="V185" s="62" t="e">
        <f t="shared" ca="1" si="21"/>
        <v>#N/A</v>
      </c>
      <c r="W185" s="60" t="e">
        <f t="shared" ca="1" si="22"/>
        <v>#N/A</v>
      </c>
      <c r="X185" s="60" t="e">
        <f t="shared" ca="1" si="26"/>
        <v>#N/A</v>
      </c>
      <c r="Y185" s="60" t="e">
        <f t="shared" ca="1" si="23"/>
        <v>#N/A</v>
      </c>
      <c r="Z185" s="60" t="e">
        <f t="shared" ca="1" si="24"/>
        <v>#N/A</v>
      </c>
    </row>
    <row r="186" spans="18:26" x14ac:dyDescent="0.25">
      <c r="R186" s="93" t="str">
        <f ca="1"/>
        <v/>
      </c>
      <c r="S186" s="62" t="str">
        <f t="shared" ca="1" si="25"/>
        <v/>
      </c>
      <c r="T186" s="62" t="e">
        <f t="shared" ca="1" si="19"/>
        <v>#N/A</v>
      </c>
      <c r="U186" s="62" t="e">
        <f t="shared" ca="1" si="20"/>
        <v>#N/A</v>
      </c>
      <c r="V186" s="62" t="e">
        <f t="shared" ca="1" si="21"/>
        <v>#N/A</v>
      </c>
      <c r="W186" s="60" t="e">
        <f t="shared" ca="1" si="22"/>
        <v>#N/A</v>
      </c>
      <c r="X186" s="60" t="e">
        <f t="shared" ca="1" si="26"/>
        <v>#N/A</v>
      </c>
      <c r="Y186" s="60" t="e">
        <f t="shared" ca="1" si="23"/>
        <v>#N/A</v>
      </c>
      <c r="Z186" s="60" t="e">
        <f t="shared" ca="1" si="24"/>
        <v>#N/A</v>
      </c>
    </row>
    <row r="187" spans="18:26" x14ac:dyDescent="0.25">
      <c r="R187" s="93" t="str">
        <f ca="1"/>
        <v/>
      </c>
      <c r="S187" s="62" t="str">
        <f t="shared" ca="1" si="25"/>
        <v/>
      </c>
      <c r="T187" s="62" t="e">
        <f t="shared" ca="1" si="19"/>
        <v>#N/A</v>
      </c>
      <c r="U187" s="62" t="e">
        <f t="shared" ca="1" si="20"/>
        <v>#N/A</v>
      </c>
      <c r="V187" s="62" t="e">
        <f t="shared" ca="1" si="21"/>
        <v>#N/A</v>
      </c>
      <c r="W187" s="60" t="e">
        <f t="shared" ca="1" si="22"/>
        <v>#N/A</v>
      </c>
      <c r="X187" s="60" t="e">
        <f t="shared" ca="1" si="26"/>
        <v>#N/A</v>
      </c>
      <c r="Y187" s="60" t="e">
        <f t="shared" ca="1" si="23"/>
        <v>#N/A</v>
      </c>
      <c r="Z187" s="60" t="e">
        <f t="shared" ca="1" si="24"/>
        <v>#N/A</v>
      </c>
    </row>
    <row r="188" spans="18:26" x14ac:dyDescent="0.25">
      <c r="R188" s="93" t="str">
        <f ca="1"/>
        <v/>
      </c>
      <c r="S188" s="62" t="str">
        <f t="shared" ca="1" si="25"/>
        <v/>
      </c>
      <c r="T188" s="62" t="e">
        <f t="shared" ca="1" si="19"/>
        <v>#N/A</v>
      </c>
      <c r="U188" s="62" t="e">
        <f t="shared" ca="1" si="20"/>
        <v>#N/A</v>
      </c>
      <c r="V188" s="62" t="e">
        <f t="shared" ca="1" si="21"/>
        <v>#N/A</v>
      </c>
      <c r="W188" s="60" t="e">
        <f t="shared" ca="1" si="22"/>
        <v>#N/A</v>
      </c>
      <c r="X188" s="60" t="e">
        <f t="shared" ca="1" si="26"/>
        <v>#N/A</v>
      </c>
      <c r="Y188" s="60" t="e">
        <f t="shared" ca="1" si="23"/>
        <v>#N/A</v>
      </c>
      <c r="Z188" s="60" t="e">
        <f t="shared" ca="1" si="24"/>
        <v>#N/A</v>
      </c>
    </row>
    <row r="189" spans="18:26" x14ac:dyDescent="0.25">
      <c r="R189" s="93" t="str">
        <f ca="1"/>
        <v/>
      </c>
      <c r="S189" s="62" t="str">
        <f t="shared" ca="1" si="25"/>
        <v/>
      </c>
      <c r="T189" s="62" t="e">
        <f t="shared" ca="1" si="19"/>
        <v>#N/A</v>
      </c>
      <c r="U189" s="62" t="e">
        <f t="shared" ca="1" si="20"/>
        <v>#N/A</v>
      </c>
      <c r="V189" s="62" t="e">
        <f t="shared" ca="1" si="21"/>
        <v>#N/A</v>
      </c>
      <c r="W189" s="60" t="e">
        <f t="shared" ca="1" si="22"/>
        <v>#N/A</v>
      </c>
      <c r="X189" s="60" t="e">
        <f t="shared" ca="1" si="26"/>
        <v>#N/A</v>
      </c>
      <c r="Y189" s="60" t="e">
        <f t="shared" ca="1" si="23"/>
        <v>#N/A</v>
      </c>
      <c r="Z189" s="60" t="e">
        <f t="shared" ca="1" si="24"/>
        <v>#N/A</v>
      </c>
    </row>
    <row r="190" spans="18:26" x14ac:dyDescent="0.25">
      <c r="R190" s="93" t="str">
        <f ca="1"/>
        <v/>
      </c>
      <c r="S190" s="62" t="str">
        <f t="shared" ca="1" si="25"/>
        <v/>
      </c>
      <c r="T190" s="62" t="e">
        <f t="shared" ca="1" si="19"/>
        <v>#N/A</v>
      </c>
      <c r="U190" s="62" t="e">
        <f t="shared" ca="1" si="20"/>
        <v>#N/A</v>
      </c>
      <c r="V190" s="62" t="e">
        <f t="shared" ca="1" si="21"/>
        <v>#N/A</v>
      </c>
      <c r="W190" s="60" t="e">
        <f t="shared" ca="1" si="22"/>
        <v>#N/A</v>
      </c>
      <c r="X190" s="60" t="e">
        <f t="shared" ca="1" si="26"/>
        <v>#N/A</v>
      </c>
      <c r="Y190" s="60" t="e">
        <f t="shared" ca="1" si="23"/>
        <v>#N/A</v>
      </c>
      <c r="Z190" s="60" t="e">
        <f t="shared" ca="1" si="24"/>
        <v>#N/A</v>
      </c>
    </row>
    <row r="191" spans="18:26" x14ac:dyDescent="0.25">
      <c r="R191" s="93" t="str">
        <f ca="1"/>
        <v/>
      </c>
      <c r="S191" s="62" t="str">
        <f t="shared" ca="1" si="25"/>
        <v/>
      </c>
      <c r="T191" s="62" t="e">
        <f t="shared" ca="1" si="19"/>
        <v>#N/A</v>
      </c>
      <c r="U191" s="62" t="e">
        <f t="shared" ca="1" si="20"/>
        <v>#N/A</v>
      </c>
      <c r="V191" s="62" t="e">
        <f t="shared" ca="1" si="21"/>
        <v>#N/A</v>
      </c>
      <c r="W191" s="60" t="e">
        <f t="shared" ca="1" si="22"/>
        <v>#N/A</v>
      </c>
      <c r="X191" s="60" t="e">
        <f t="shared" ca="1" si="26"/>
        <v>#N/A</v>
      </c>
      <c r="Y191" s="60" t="e">
        <f t="shared" ca="1" si="23"/>
        <v>#N/A</v>
      </c>
      <c r="Z191" s="60" t="e">
        <f t="shared" ca="1" si="24"/>
        <v>#N/A</v>
      </c>
    </row>
    <row r="192" spans="18:26" x14ac:dyDescent="0.25">
      <c r="R192" s="93" t="str">
        <f ca="1"/>
        <v/>
      </c>
      <c r="S192" s="62" t="str">
        <f t="shared" ca="1" si="25"/>
        <v/>
      </c>
      <c r="T192" s="62" t="e">
        <f t="shared" ca="1" si="19"/>
        <v>#N/A</v>
      </c>
      <c r="U192" s="62" t="e">
        <f t="shared" ca="1" si="20"/>
        <v>#N/A</v>
      </c>
      <c r="V192" s="62" t="e">
        <f t="shared" ca="1" si="21"/>
        <v>#N/A</v>
      </c>
      <c r="W192" s="60" t="e">
        <f t="shared" ca="1" si="22"/>
        <v>#N/A</v>
      </c>
      <c r="X192" s="60" t="e">
        <f t="shared" ca="1" si="26"/>
        <v>#N/A</v>
      </c>
      <c r="Y192" s="60" t="e">
        <f t="shared" ca="1" si="23"/>
        <v>#N/A</v>
      </c>
      <c r="Z192" s="60" t="e">
        <f t="shared" ca="1" si="24"/>
        <v>#N/A</v>
      </c>
    </row>
    <row r="193" spans="18:26" x14ac:dyDescent="0.25">
      <c r="R193" s="93" t="str">
        <f ca="1"/>
        <v/>
      </c>
      <c r="S193" s="62" t="str">
        <f t="shared" ca="1" si="25"/>
        <v/>
      </c>
      <c r="T193" s="62" t="e">
        <f t="shared" ca="1" si="19"/>
        <v>#N/A</v>
      </c>
      <c r="U193" s="62" t="e">
        <f t="shared" ca="1" si="20"/>
        <v>#N/A</v>
      </c>
      <c r="V193" s="62" t="e">
        <f t="shared" ca="1" si="21"/>
        <v>#N/A</v>
      </c>
      <c r="W193" s="60" t="e">
        <f t="shared" ca="1" si="22"/>
        <v>#N/A</v>
      </c>
      <c r="X193" s="60" t="e">
        <f t="shared" ca="1" si="26"/>
        <v>#N/A</v>
      </c>
      <c r="Y193" s="60" t="e">
        <f t="shared" ca="1" si="23"/>
        <v>#N/A</v>
      </c>
      <c r="Z193" s="60" t="e">
        <f t="shared" ca="1" si="24"/>
        <v>#N/A</v>
      </c>
    </row>
    <row r="194" spans="18:26" x14ac:dyDescent="0.25">
      <c r="R194" s="93" t="str">
        <f ca="1"/>
        <v/>
      </c>
      <c r="S194" s="62" t="str">
        <f t="shared" ca="1" si="25"/>
        <v/>
      </c>
      <c r="T194" s="62" t="e">
        <f t="shared" ca="1" si="19"/>
        <v>#N/A</v>
      </c>
      <c r="U194" s="62" t="e">
        <f t="shared" ca="1" si="20"/>
        <v>#N/A</v>
      </c>
      <c r="V194" s="62" t="e">
        <f t="shared" ca="1" si="21"/>
        <v>#N/A</v>
      </c>
      <c r="W194" s="60" t="e">
        <f t="shared" ca="1" si="22"/>
        <v>#N/A</v>
      </c>
      <c r="X194" s="60" t="e">
        <f t="shared" ca="1" si="26"/>
        <v>#N/A</v>
      </c>
      <c r="Y194" s="60" t="e">
        <f t="shared" ca="1" si="23"/>
        <v>#N/A</v>
      </c>
      <c r="Z194" s="60" t="e">
        <f t="shared" ca="1" si="24"/>
        <v>#N/A</v>
      </c>
    </row>
    <row r="195" spans="18:26" x14ac:dyDescent="0.25">
      <c r="R195" s="93" t="str">
        <f ca="1"/>
        <v/>
      </c>
      <c r="S195" s="62" t="str">
        <f t="shared" ca="1" si="25"/>
        <v/>
      </c>
      <c r="T195" s="62" t="e">
        <f t="shared" ca="1" si="19"/>
        <v>#N/A</v>
      </c>
      <c r="U195" s="62" t="e">
        <f t="shared" ca="1" si="20"/>
        <v>#N/A</v>
      </c>
      <c r="V195" s="62" t="e">
        <f t="shared" ca="1" si="21"/>
        <v>#N/A</v>
      </c>
      <c r="W195" s="60" t="e">
        <f t="shared" ca="1" si="22"/>
        <v>#N/A</v>
      </c>
      <c r="X195" s="60" t="e">
        <f t="shared" ca="1" si="26"/>
        <v>#N/A</v>
      </c>
      <c r="Y195" s="60" t="e">
        <f t="shared" ca="1" si="23"/>
        <v>#N/A</v>
      </c>
      <c r="Z195" s="60" t="e">
        <f t="shared" ca="1" si="24"/>
        <v>#N/A</v>
      </c>
    </row>
    <row r="196" spans="18:26" x14ac:dyDescent="0.25">
      <c r="R196" s="93" t="str">
        <f ca="1"/>
        <v/>
      </c>
      <c r="S196" s="62" t="str">
        <f t="shared" ca="1" si="25"/>
        <v/>
      </c>
      <c r="T196" s="62" t="e">
        <f t="shared" ca="1" si="19"/>
        <v>#N/A</v>
      </c>
      <c r="U196" s="62" t="e">
        <f t="shared" ca="1" si="20"/>
        <v>#N/A</v>
      </c>
      <c r="V196" s="62" t="e">
        <f t="shared" ca="1" si="21"/>
        <v>#N/A</v>
      </c>
      <c r="W196" s="60" t="e">
        <f t="shared" ca="1" si="22"/>
        <v>#N/A</v>
      </c>
      <c r="X196" s="60" t="e">
        <f t="shared" ca="1" si="26"/>
        <v>#N/A</v>
      </c>
      <c r="Y196" s="60" t="e">
        <f t="shared" ca="1" si="23"/>
        <v>#N/A</v>
      </c>
      <c r="Z196" s="60" t="e">
        <f t="shared" ca="1" si="24"/>
        <v>#N/A</v>
      </c>
    </row>
    <row r="197" spans="18:26" x14ac:dyDescent="0.25">
      <c r="R197" s="93" t="str">
        <f ca="1"/>
        <v/>
      </c>
      <c r="S197" s="62" t="str">
        <f t="shared" ca="1" si="25"/>
        <v/>
      </c>
      <c r="T197" s="62" t="e">
        <f t="shared" ca="1" si="19"/>
        <v>#N/A</v>
      </c>
      <c r="U197" s="62" t="e">
        <f t="shared" ca="1" si="20"/>
        <v>#N/A</v>
      </c>
      <c r="V197" s="62" t="e">
        <f t="shared" ca="1" si="21"/>
        <v>#N/A</v>
      </c>
      <c r="W197" s="60" t="e">
        <f t="shared" ca="1" si="22"/>
        <v>#N/A</v>
      </c>
      <c r="X197" s="60" t="e">
        <f t="shared" ca="1" si="26"/>
        <v>#N/A</v>
      </c>
      <c r="Y197" s="60" t="e">
        <f t="shared" ca="1" si="23"/>
        <v>#N/A</v>
      </c>
      <c r="Z197" s="60" t="e">
        <f t="shared" ca="1" si="24"/>
        <v>#N/A</v>
      </c>
    </row>
    <row r="198" spans="18:26" x14ac:dyDescent="0.25">
      <c r="R198" s="93" t="str">
        <f ca="1"/>
        <v/>
      </c>
      <c r="S198" s="62" t="str">
        <f t="shared" ca="1" si="25"/>
        <v/>
      </c>
      <c r="T198" s="62" t="e">
        <f t="shared" ca="1" si="19"/>
        <v>#N/A</v>
      </c>
      <c r="U198" s="62" t="e">
        <f t="shared" ca="1" si="20"/>
        <v>#N/A</v>
      </c>
      <c r="V198" s="62" t="e">
        <f t="shared" ca="1" si="21"/>
        <v>#N/A</v>
      </c>
      <c r="W198" s="60" t="e">
        <f t="shared" ca="1" si="22"/>
        <v>#N/A</v>
      </c>
      <c r="X198" s="60" t="e">
        <f t="shared" ca="1" si="26"/>
        <v>#N/A</v>
      </c>
      <c r="Y198" s="60" t="e">
        <f t="shared" ca="1" si="23"/>
        <v>#N/A</v>
      </c>
      <c r="Z198" s="60" t="e">
        <f t="shared" ca="1" si="24"/>
        <v>#N/A</v>
      </c>
    </row>
    <row r="199" spans="18:26" x14ac:dyDescent="0.25">
      <c r="R199" s="93" t="str">
        <f ca="1"/>
        <v/>
      </c>
      <c r="S199" s="62" t="str">
        <f t="shared" ca="1" si="25"/>
        <v/>
      </c>
      <c r="T199" s="62" t="e">
        <f t="shared" ca="1" si="19"/>
        <v>#N/A</v>
      </c>
      <c r="U199" s="62" t="e">
        <f t="shared" ca="1" si="20"/>
        <v>#N/A</v>
      </c>
      <c r="V199" s="62" t="e">
        <f t="shared" ca="1" si="21"/>
        <v>#N/A</v>
      </c>
      <c r="W199" s="60" t="e">
        <f t="shared" ca="1" si="22"/>
        <v>#N/A</v>
      </c>
      <c r="X199" s="60" t="e">
        <f t="shared" ca="1" si="26"/>
        <v>#N/A</v>
      </c>
      <c r="Y199" s="60" t="e">
        <f t="shared" ca="1" si="23"/>
        <v>#N/A</v>
      </c>
      <c r="Z199" s="60" t="e">
        <f t="shared" ca="1" si="24"/>
        <v>#N/A</v>
      </c>
    </row>
    <row r="200" spans="18:26" x14ac:dyDescent="0.25">
      <c r="R200" s="93" t="str">
        <f ca="1"/>
        <v/>
      </c>
      <c r="S200" s="62" t="str">
        <f t="shared" ca="1" si="25"/>
        <v/>
      </c>
      <c r="T200" s="62" t="e">
        <f t="shared" ca="1" si="19"/>
        <v>#N/A</v>
      </c>
      <c r="U200" s="62" t="e">
        <f t="shared" ca="1" si="20"/>
        <v>#N/A</v>
      </c>
      <c r="V200" s="62" t="e">
        <f t="shared" ca="1" si="21"/>
        <v>#N/A</v>
      </c>
      <c r="W200" s="60" t="e">
        <f t="shared" ca="1" si="22"/>
        <v>#N/A</v>
      </c>
      <c r="X200" s="60" t="e">
        <f t="shared" ca="1" si="26"/>
        <v>#N/A</v>
      </c>
      <c r="Y200" s="60" t="e">
        <f t="shared" ca="1" si="23"/>
        <v>#N/A</v>
      </c>
      <c r="Z200" s="60" t="e">
        <f t="shared" ca="1" si="24"/>
        <v>#N/A</v>
      </c>
    </row>
    <row r="201" spans="18:26" x14ac:dyDescent="0.25">
      <c r="R201" s="93" t="str">
        <f ca="1"/>
        <v/>
      </c>
      <c r="S201" s="62" t="str">
        <f t="shared" ca="1" si="25"/>
        <v/>
      </c>
      <c r="T201" s="62" t="e">
        <f t="shared" ca="1" si="19"/>
        <v>#N/A</v>
      </c>
      <c r="U201" s="62" t="e">
        <f t="shared" ca="1" si="20"/>
        <v>#N/A</v>
      </c>
      <c r="V201" s="62" t="e">
        <f t="shared" ca="1" si="21"/>
        <v>#N/A</v>
      </c>
      <c r="W201" s="60" t="e">
        <f t="shared" ca="1" si="22"/>
        <v>#N/A</v>
      </c>
      <c r="X201" s="60" t="e">
        <f t="shared" ca="1" si="26"/>
        <v>#N/A</v>
      </c>
      <c r="Y201" s="60" t="e">
        <f t="shared" ca="1" si="23"/>
        <v>#N/A</v>
      </c>
      <c r="Z201" s="60" t="e">
        <f t="shared" ca="1" si="24"/>
        <v>#N/A</v>
      </c>
    </row>
    <row r="202" spans="18:26" x14ac:dyDescent="0.25">
      <c r="R202" s="93" t="str">
        <f ca="1"/>
        <v/>
      </c>
      <c r="S202" s="62" t="str">
        <f t="shared" ca="1" si="25"/>
        <v/>
      </c>
      <c r="T202" s="62" t="e">
        <f t="shared" ca="1" si="19"/>
        <v>#N/A</v>
      </c>
      <c r="U202" s="62" t="e">
        <f t="shared" ca="1" si="20"/>
        <v>#N/A</v>
      </c>
      <c r="V202" s="62" t="e">
        <f t="shared" ca="1" si="21"/>
        <v>#N/A</v>
      </c>
      <c r="W202" s="60" t="e">
        <f t="shared" ca="1" si="22"/>
        <v>#N/A</v>
      </c>
      <c r="X202" s="60" t="e">
        <f t="shared" ca="1" si="26"/>
        <v>#N/A</v>
      </c>
      <c r="Y202" s="60" t="e">
        <f t="shared" ca="1" si="23"/>
        <v>#N/A</v>
      </c>
      <c r="Z202" s="60" t="e">
        <f t="shared" ca="1" si="24"/>
        <v>#N/A</v>
      </c>
    </row>
    <row r="203" spans="18:26" x14ac:dyDescent="0.25">
      <c r="R203" s="93" t="str">
        <f ca="1"/>
        <v/>
      </c>
      <c r="S203" s="62" t="str">
        <f t="shared" ca="1" si="25"/>
        <v/>
      </c>
      <c r="T203" s="62" t="e">
        <f t="shared" ca="1" si="19"/>
        <v>#N/A</v>
      </c>
      <c r="U203" s="62" t="e">
        <f t="shared" ca="1" si="20"/>
        <v>#N/A</v>
      </c>
      <c r="V203" s="62" t="e">
        <f t="shared" ca="1" si="21"/>
        <v>#N/A</v>
      </c>
      <c r="W203" s="60" t="e">
        <f t="shared" ca="1" si="22"/>
        <v>#N/A</v>
      </c>
      <c r="X203" s="60" t="e">
        <f t="shared" ca="1" si="26"/>
        <v>#N/A</v>
      </c>
      <c r="Y203" s="60" t="e">
        <f t="shared" ca="1" si="23"/>
        <v>#N/A</v>
      </c>
      <c r="Z203" s="60" t="e">
        <f t="shared" ca="1" si="24"/>
        <v>#N/A</v>
      </c>
    </row>
    <row r="204" spans="18:26" x14ac:dyDescent="0.25">
      <c r="R204" s="93" t="str">
        <f ca="1"/>
        <v/>
      </c>
      <c r="S204" s="62" t="str">
        <f t="shared" ca="1" si="25"/>
        <v/>
      </c>
      <c r="T204" s="62" t="e">
        <f t="shared" ca="1" si="19"/>
        <v>#N/A</v>
      </c>
      <c r="U204" s="62" t="e">
        <f t="shared" ca="1" si="20"/>
        <v>#N/A</v>
      </c>
      <c r="V204" s="62" t="e">
        <f t="shared" ca="1" si="21"/>
        <v>#N/A</v>
      </c>
      <c r="W204" s="60" t="e">
        <f t="shared" ca="1" si="22"/>
        <v>#N/A</v>
      </c>
      <c r="X204" s="60" t="e">
        <f t="shared" ca="1" si="26"/>
        <v>#N/A</v>
      </c>
      <c r="Y204" s="60" t="e">
        <f t="shared" ca="1" si="23"/>
        <v>#N/A</v>
      </c>
      <c r="Z204" s="60" t="e">
        <f t="shared" ca="1" si="24"/>
        <v>#N/A</v>
      </c>
    </row>
    <row r="205" spans="18:26" x14ac:dyDescent="0.25">
      <c r="R205" s="93" t="str">
        <f ca="1"/>
        <v/>
      </c>
      <c r="S205" s="62" t="str">
        <f t="shared" ca="1" si="25"/>
        <v/>
      </c>
      <c r="T205" s="62" t="e">
        <f t="shared" ca="1" si="19"/>
        <v>#N/A</v>
      </c>
      <c r="U205" s="62" t="e">
        <f t="shared" ca="1" si="20"/>
        <v>#N/A</v>
      </c>
      <c r="V205" s="62" t="e">
        <f t="shared" ca="1" si="21"/>
        <v>#N/A</v>
      </c>
      <c r="W205" s="60" t="e">
        <f t="shared" ca="1" si="22"/>
        <v>#N/A</v>
      </c>
      <c r="X205" s="60" t="e">
        <f t="shared" ca="1" si="26"/>
        <v>#N/A</v>
      </c>
      <c r="Y205" s="60" t="e">
        <f t="shared" ca="1" si="23"/>
        <v>#N/A</v>
      </c>
      <c r="Z205" s="60" t="e">
        <f t="shared" ca="1" si="24"/>
        <v>#N/A</v>
      </c>
    </row>
    <row r="206" spans="18:26" x14ac:dyDescent="0.25">
      <c r="R206" s="93" t="str">
        <f ca="1"/>
        <v/>
      </c>
      <c r="S206" s="62" t="str">
        <f t="shared" ca="1" si="25"/>
        <v/>
      </c>
      <c r="T206" s="62" t="e">
        <f t="shared" ca="1" si="19"/>
        <v>#N/A</v>
      </c>
      <c r="U206" s="62" t="e">
        <f t="shared" ca="1" si="20"/>
        <v>#N/A</v>
      </c>
      <c r="V206" s="62" t="e">
        <f t="shared" ca="1" si="21"/>
        <v>#N/A</v>
      </c>
      <c r="W206" s="60" t="e">
        <f t="shared" ca="1" si="22"/>
        <v>#N/A</v>
      </c>
      <c r="X206" s="60" t="e">
        <f t="shared" ca="1" si="26"/>
        <v>#N/A</v>
      </c>
      <c r="Y206" s="60" t="e">
        <f t="shared" ca="1" si="23"/>
        <v>#N/A</v>
      </c>
      <c r="Z206" s="60" t="e">
        <f t="shared" ca="1" si="24"/>
        <v>#N/A</v>
      </c>
    </row>
    <row r="207" spans="18:26" x14ac:dyDescent="0.25">
      <c r="R207" s="93" t="str">
        <f ca="1"/>
        <v/>
      </c>
      <c r="S207" s="62" t="str">
        <f t="shared" ca="1" si="25"/>
        <v/>
      </c>
      <c r="T207" s="62" t="e">
        <f t="shared" ca="1" si="19"/>
        <v>#N/A</v>
      </c>
      <c r="U207" s="62" t="e">
        <f t="shared" ca="1" si="20"/>
        <v>#N/A</v>
      </c>
      <c r="V207" s="62" t="e">
        <f t="shared" ca="1" si="21"/>
        <v>#N/A</v>
      </c>
      <c r="W207" s="60" t="e">
        <f t="shared" ca="1" si="22"/>
        <v>#N/A</v>
      </c>
      <c r="X207" s="60" t="e">
        <f t="shared" ca="1" si="26"/>
        <v>#N/A</v>
      </c>
      <c r="Y207" s="60" t="e">
        <f t="shared" ca="1" si="23"/>
        <v>#N/A</v>
      </c>
      <c r="Z207" s="60" t="e">
        <f t="shared" ca="1" si="24"/>
        <v>#N/A</v>
      </c>
    </row>
    <row r="208" spans="18:26" x14ac:dyDescent="0.25">
      <c r="R208" s="93" t="str">
        <f ca="1"/>
        <v/>
      </c>
      <c r="S208" s="62" t="str">
        <f t="shared" ca="1" si="25"/>
        <v/>
      </c>
      <c r="T208" s="62" t="e">
        <f t="shared" ca="1" si="19"/>
        <v>#N/A</v>
      </c>
      <c r="U208" s="62" t="e">
        <f t="shared" ca="1" si="20"/>
        <v>#N/A</v>
      </c>
      <c r="V208" s="62" t="e">
        <f t="shared" ca="1" si="21"/>
        <v>#N/A</v>
      </c>
      <c r="W208" s="60" t="e">
        <f t="shared" ca="1" si="22"/>
        <v>#N/A</v>
      </c>
      <c r="X208" s="60" t="e">
        <f t="shared" ca="1" si="26"/>
        <v>#N/A</v>
      </c>
      <c r="Y208" s="60" t="e">
        <f t="shared" ca="1" si="23"/>
        <v>#N/A</v>
      </c>
      <c r="Z208" s="60" t="e">
        <f t="shared" ca="1" si="24"/>
        <v>#N/A</v>
      </c>
    </row>
    <row r="209" spans="18:26" x14ac:dyDescent="0.25">
      <c r="R209" s="93" t="str">
        <f ca="1"/>
        <v/>
      </c>
      <c r="S209" s="62" t="str">
        <f t="shared" ca="1" si="25"/>
        <v/>
      </c>
      <c r="T209" s="62" t="e">
        <f t="shared" ca="1" si="19"/>
        <v>#N/A</v>
      </c>
      <c r="U209" s="62" t="e">
        <f t="shared" ca="1" si="20"/>
        <v>#N/A</v>
      </c>
      <c r="V209" s="62" t="e">
        <f t="shared" ca="1" si="21"/>
        <v>#N/A</v>
      </c>
      <c r="W209" s="60" t="e">
        <f t="shared" ca="1" si="22"/>
        <v>#N/A</v>
      </c>
      <c r="X209" s="60" t="e">
        <f t="shared" ca="1" si="26"/>
        <v>#N/A</v>
      </c>
      <c r="Y209" s="60" t="e">
        <f t="shared" ca="1" si="23"/>
        <v>#N/A</v>
      </c>
      <c r="Z209" s="60" t="e">
        <f t="shared" ca="1" si="24"/>
        <v>#N/A</v>
      </c>
    </row>
    <row r="210" spans="18:26" x14ac:dyDescent="0.25">
      <c r="R210" s="93" t="str">
        <f ca="1"/>
        <v/>
      </c>
      <c r="S210" s="62" t="str">
        <f t="shared" ca="1" si="25"/>
        <v/>
      </c>
      <c r="T210" s="62" t="e">
        <f t="shared" ref="T210:T273" ca="1" si="27">VLOOKUP(S210,ModelOutputs,2,FALSE)</f>
        <v>#N/A</v>
      </c>
      <c r="U210" s="62" t="e">
        <f t="shared" ref="U210:U273" ca="1" si="28">VLOOKUP(S210,ModelOutputs,7,FALSE)</f>
        <v>#N/A</v>
      </c>
      <c r="V210" s="62" t="e">
        <f t="shared" ref="V210:V273" ca="1" si="29">VLOOKUP(S210,ModelOutputs,6,FALSE)</f>
        <v>#N/A</v>
      </c>
      <c r="W210" s="60" t="e">
        <f t="shared" ref="W210:W273" ca="1" si="30">VLOOKUP(S210,ModelOutputs,10,FALSE)*AWC</f>
        <v>#N/A</v>
      </c>
      <c r="X210" s="60" t="e">
        <f t="shared" ca="1" si="26"/>
        <v>#N/A</v>
      </c>
      <c r="Y210" s="60" t="e">
        <f t="shared" ref="Y210:Y273" ca="1" si="31">VLOOKUP(S210,ModelOutputs,12,FALSE)</f>
        <v>#N/A</v>
      </c>
      <c r="Z210" s="60" t="e">
        <f t="shared" ref="Z210:Z273" ca="1" si="32">VLOOKUP(S210,ModelOutputs,13,FALSE)</f>
        <v>#N/A</v>
      </c>
    </row>
    <row r="211" spans="18:26" x14ac:dyDescent="0.25">
      <c r="R211" s="93" t="str">
        <f ca="1"/>
        <v/>
      </c>
      <c r="S211" s="62" t="str">
        <f t="shared" ref="S211:S274" ca="1" si="33">IF(R211&gt;1,R211,"")</f>
        <v/>
      </c>
      <c r="T211" s="62" t="e">
        <f t="shared" ca="1" si="27"/>
        <v>#N/A</v>
      </c>
      <c r="U211" s="62" t="e">
        <f t="shared" ca="1" si="28"/>
        <v>#N/A</v>
      </c>
      <c r="V211" s="62" t="e">
        <f t="shared" ca="1" si="29"/>
        <v>#N/A</v>
      </c>
      <c r="W211" s="60" t="e">
        <f t="shared" ca="1" si="30"/>
        <v>#N/A</v>
      </c>
      <c r="X211" s="60" t="e">
        <f t="shared" ref="X211:X274" ca="1" si="34">VLOOKUP(S211,ModelOutputs,11,FALSE)+X210</f>
        <v>#N/A</v>
      </c>
      <c r="Y211" s="60" t="e">
        <f t="shared" ca="1" si="31"/>
        <v>#N/A</v>
      </c>
      <c r="Z211" s="60" t="e">
        <f t="shared" ca="1" si="32"/>
        <v>#N/A</v>
      </c>
    </row>
    <row r="212" spans="18:26" x14ac:dyDescent="0.25">
      <c r="R212" s="93" t="str">
        <f ca="1"/>
        <v/>
      </c>
      <c r="S212" s="62" t="str">
        <f t="shared" ca="1" si="33"/>
        <v/>
      </c>
      <c r="T212" s="62" t="e">
        <f t="shared" ca="1" si="27"/>
        <v>#N/A</v>
      </c>
      <c r="U212" s="62" t="e">
        <f t="shared" ca="1" si="28"/>
        <v>#N/A</v>
      </c>
      <c r="V212" s="62" t="e">
        <f t="shared" ca="1" si="29"/>
        <v>#N/A</v>
      </c>
      <c r="W212" s="60" t="e">
        <f t="shared" ca="1" si="30"/>
        <v>#N/A</v>
      </c>
      <c r="X212" s="60" t="e">
        <f t="shared" ca="1" si="34"/>
        <v>#N/A</v>
      </c>
      <c r="Y212" s="60" t="e">
        <f t="shared" ca="1" si="31"/>
        <v>#N/A</v>
      </c>
      <c r="Z212" s="60" t="e">
        <f t="shared" ca="1" si="32"/>
        <v>#N/A</v>
      </c>
    </row>
    <row r="213" spans="18:26" x14ac:dyDescent="0.25">
      <c r="R213" s="93" t="str">
        <f ca="1"/>
        <v/>
      </c>
      <c r="S213" s="62" t="str">
        <f t="shared" ca="1" si="33"/>
        <v/>
      </c>
      <c r="T213" s="62" t="e">
        <f t="shared" ca="1" si="27"/>
        <v>#N/A</v>
      </c>
      <c r="U213" s="62" t="e">
        <f t="shared" ca="1" si="28"/>
        <v>#N/A</v>
      </c>
      <c r="V213" s="62" t="e">
        <f t="shared" ca="1" si="29"/>
        <v>#N/A</v>
      </c>
      <c r="W213" s="60" t="e">
        <f t="shared" ca="1" si="30"/>
        <v>#N/A</v>
      </c>
      <c r="X213" s="60" t="e">
        <f t="shared" ca="1" si="34"/>
        <v>#N/A</v>
      </c>
      <c r="Y213" s="60" t="e">
        <f t="shared" ca="1" si="31"/>
        <v>#N/A</v>
      </c>
      <c r="Z213" s="60" t="e">
        <f t="shared" ca="1" si="32"/>
        <v>#N/A</v>
      </c>
    </row>
    <row r="214" spans="18:26" x14ac:dyDescent="0.25">
      <c r="R214" s="93" t="str">
        <f ca="1"/>
        <v/>
      </c>
      <c r="S214" s="62" t="str">
        <f t="shared" ca="1" si="33"/>
        <v/>
      </c>
      <c r="T214" s="62" t="e">
        <f t="shared" ca="1" si="27"/>
        <v>#N/A</v>
      </c>
      <c r="U214" s="62" t="e">
        <f t="shared" ca="1" si="28"/>
        <v>#N/A</v>
      </c>
      <c r="V214" s="62" t="e">
        <f t="shared" ca="1" si="29"/>
        <v>#N/A</v>
      </c>
      <c r="W214" s="60" t="e">
        <f t="shared" ca="1" si="30"/>
        <v>#N/A</v>
      </c>
      <c r="X214" s="60" t="e">
        <f t="shared" ca="1" si="34"/>
        <v>#N/A</v>
      </c>
      <c r="Y214" s="60" t="e">
        <f t="shared" ca="1" si="31"/>
        <v>#N/A</v>
      </c>
      <c r="Z214" s="60" t="e">
        <f t="shared" ca="1" si="32"/>
        <v>#N/A</v>
      </c>
    </row>
    <row r="215" spans="18:26" x14ac:dyDescent="0.25">
      <c r="R215" s="93" t="str">
        <f ca="1"/>
        <v/>
      </c>
      <c r="S215" s="62" t="str">
        <f t="shared" ca="1" si="33"/>
        <v/>
      </c>
      <c r="T215" s="62" t="e">
        <f t="shared" ca="1" si="27"/>
        <v>#N/A</v>
      </c>
      <c r="U215" s="62" t="e">
        <f t="shared" ca="1" si="28"/>
        <v>#N/A</v>
      </c>
      <c r="V215" s="62" t="e">
        <f t="shared" ca="1" si="29"/>
        <v>#N/A</v>
      </c>
      <c r="W215" s="60" t="e">
        <f t="shared" ca="1" si="30"/>
        <v>#N/A</v>
      </c>
      <c r="X215" s="60" t="e">
        <f t="shared" ca="1" si="34"/>
        <v>#N/A</v>
      </c>
      <c r="Y215" s="60" t="e">
        <f t="shared" ca="1" si="31"/>
        <v>#N/A</v>
      </c>
      <c r="Z215" s="60" t="e">
        <f t="shared" ca="1" si="32"/>
        <v>#N/A</v>
      </c>
    </row>
    <row r="216" spans="18:26" x14ac:dyDescent="0.25">
      <c r="R216" s="93" t="str">
        <f ca="1"/>
        <v/>
      </c>
      <c r="S216" s="62" t="str">
        <f t="shared" ca="1" si="33"/>
        <v/>
      </c>
      <c r="T216" s="62" t="e">
        <f t="shared" ca="1" si="27"/>
        <v>#N/A</v>
      </c>
      <c r="U216" s="62" t="e">
        <f t="shared" ca="1" si="28"/>
        <v>#N/A</v>
      </c>
      <c r="V216" s="62" t="e">
        <f t="shared" ca="1" si="29"/>
        <v>#N/A</v>
      </c>
      <c r="W216" s="60" t="e">
        <f t="shared" ca="1" si="30"/>
        <v>#N/A</v>
      </c>
      <c r="X216" s="60" t="e">
        <f t="shared" ca="1" si="34"/>
        <v>#N/A</v>
      </c>
      <c r="Y216" s="60" t="e">
        <f t="shared" ca="1" si="31"/>
        <v>#N/A</v>
      </c>
      <c r="Z216" s="60" t="e">
        <f t="shared" ca="1" si="32"/>
        <v>#N/A</v>
      </c>
    </row>
    <row r="217" spans="18:26" x14ac:dyDescent="0.25">
      <c r="R217" s="93" t="str">
        <f ca="1"/>
        <v/>
      </c>
      <c r="S217" s="62" t="str">
        <f t="shared" ca="1" si="33"/>
        <v/>
      </c>
      <c r="T217" s="62" t="e">
        <f t="shared" ca="1" si="27"/>
        <v>#N/A</v>
      </c>
      <c r="U217" s="62" t="e">
        <f t="shared" ca="1" si="28"/>
        <v>#N/A</v>
      </c>
      <c r="V217" s="62" t="e">
        <f t="shared" ca="1" si="29"/>
        <v>#N/A</v>
      </c>
      <c r="W217" s="60" t="e">
        <f t="shared" ca="1" si="30"/>
        <v>#N/A</v>
      </c>
      <c r="X217" s="60" t="e">
        <f t="shared" ca="1" si="34"/>
        <v>#N/A</v>
      </c>
      <c r="Y217" s="60" t="e">
        <f t="shared" ca="1" si="31"/>
        <v>#N/A</v>
      </c>
      <c r="Z217" s="60" t="e">
        <f t="shared" ca="1" si="32"/>
        <v>#N/A</v>
      </c>
    </row>
    <row r="218" spans="18:26" x14ac:dyDescent="0.25">
      <c r="R218" s="93" t="str">
        <f ca="1"/>
        <v/>
      </c>
      <c r="S218" s="62" t="str">
        <f t="shared" ca="1" si="33"/>
        <v/>
      </c>
      <c r="T218" s="62" t="e">
        <f t="shared" ca="1" si="27"/>
        <v>#N/A</v>
      </c>
      <c r="U218" s="62" t="e">
        <f t="shared" ca="1" si="28"/>
        <v>#N/A</v>
      </c>
      <c r="V218" s="62" t="e">
        <f t="shared" ca="1" si="29"/>
        <v>#N/A</v>
      </c>
      <c r="W218" s="60" t="e">
        <f t="shared" ca="1" si="30"/>
        <v>#N/A</v>
      </c>
      <c r="X218" s="60" t="e">
        <f t="shared" ca="1" si="34"/>
        <v>#N/A</v>
      </c>
      <c r="Y218" s="60" t="e">
        <f t="shared" ca="1" si="31"/>
        <v>#N/A</v>
      </c>
      <c r="Z218" s="60" t="e">
        <f t="shared" ca="1" si="32"/>
        <v>#N/A</v>
      </c>
    </row>
    <row r="219" spans="18:26" x14ac:dyDescent="0.25">
      <c r="R219" s="93" t="str">
        <f ca="1"/>
        <v/>
      </c>
      <c r="S219" s="62" t="str">
        <f t="shared" ca="1" si="33"/>
        <v/>
      </c>
      <c r="T219" s="62" t="e">
        <f t="shared" ca="1" si="27"/>
        <v>#N/A</v>
      </c>
      <c r="U219" s="62" t="e">
        <f t="shared" ca="1" si="28"/>
        <v>#N/A</v>
      </c>
      <c r="V219" s="62" t="e">
        <f t="shared" ca="1" si="29"/>
        <v>#N/A</v>
      </c>
      <c r="W219" s="60" t="e">
        <f t="shared" ca="1" si="30"/>
        <v>#N/A</v>
      </c>
      <c r="X219" s="60" t="e">
        <f t="shared" ca="1" si="34"/>
        <v>#N/A</v>
      </c>
      <c r="Y219" s="60" t="e">
        <f t="shared" ca="1" si="31"/>
        <v>#N/A</v>
      </c>
      <c r="Z219" s="60" t="e">
        <f t="shared" ca="1" si="32"/>
        <v>#N/A</v>
      </c>
    </row>
    <row r="220" spans="18:26" x14ac:dyDescent="0.25">
      <c r="R220" s="93" t="str">
        <f ca="1"/>
        <v/>
      </c>
      <c r="S220" s="62" t="str">
        <f t="shared" ca="1" si="33"/>
        <v/>
      </c>
      <c r="T220" s="62" t="e">
        <f t="shared" ca="1" si="27"/>
        <v>#N/A</v>
      </c>
      <c r="U220" s="62" t="e">
        <f t="shared" ca="1" si="28"/>
        <v>#N/A</v>
      </c>
      <c r="V220" s="62" t="e">
        <f t="shared" ca="1" si="29"/>
        <v>#N/A</v>
      </c>
      <c r="W220" s="60" t="e">
        <f t="shared" ca="1" si="30"/>
        <v>#N/A</v>
      </c>
      <c r="X220" s="60" t="e">
        <f t="shared" ca="1" si="34"/>
        <v>#N/A</v>
      </c>
      <c r="Y220" s="60" t="e">
        <f t="shared" ca="1" si="31"/>
        <v>#N/A</v>
      </c>
      <c r="Z220" s="60" t="e">
        <f t="shared" ca="1" si="32"/>
        <v>#N/A</v>
      </c>
    </row>
    <row r="221" spans="18:26" x14ac:dyDescent="0.25">
      <c r="R221" s="93" t="str">
        <f ca="1"/>
        <v/>
      </c>
      <c r="S221" s="62" t="str">
        <f t="shared" ca="1" si="33"/>
        <v/>
      </c>
      <c r="T221" s="62" t="e">
        <f t="shared" ca="1" si="27"/>
        <v>#N/A</v>
      </c>
      <c r="U221" s="62" t="e">
        <f t="shared" ca="1" si="28"/>
        <v>#N/A</v>
      </c>
      <c r="V221" s="62" t="e">
        <f t="shared" ca="1" si="29"/>
        <v>#N/A</v>
      </c>
      <c r="W221" s="60" t="e">
        <f t="shared" ca="1" si="30"/>
        <v>#N/A</v>
      </c>
      <c r="X221" s="60" t="e">
        <f t="shared" ca="1" si="34"/>
        <v>#N/A</v>
      </c>
      <c r="Y221" s="60" t="e">
        <f t="shared" ca="1" si="31"/>
        <v>#N/A</v>
      </c>
      <c r="Z221" s="60" t="e">
        <f t="shared" ca="1" si="32"/>
        <v>#N/A</v>
      </c>
    </row>
    <row r="222" spans="18:26" x14ac:dyDescent="0.25">
      <c r="R222" s="93" t="str">
        <f ca="1"/>
        <v/>
      </c>
      <c r="S222" s="62" t="str">
        <f t="shared" ca="1" si="33"/>
        <v/>
      </c>
      <c r="T222" s="62" t="e">
        <f t="shared" ca="1" si="27"/>
        <v>#N/A</v>
      </c>
      <c r="U222" s="62" t="e">
        <f t="shared" ca="1" si="28"/>
        <v>#N/A</v>
      </c>
      <c r="V222" s="62" t="e">
        <f t="shared" ca="1" si="29"/>
        <v>#N/A</v>
      </c>
      <c r="W222" s="60" t="e">
        <f t="shared" ca="1" si="30"/>
        <v>#N/A</v>
      </c>
      <c r="X222" s="60" t="e">
        <f t="shared" ca="1" si="34"/>
        <v>#N/A</v>
      </c>
      <c r="Y222" s="60" t="e">
        <f t="shared" ca="1" si="31"/>
        <v>#N/A</v>
      </c>
      <c r="Z222" s="60" t="e">
        <f t="shared" ca="1" si="32"/>
        <v>#N/A</v>
      </c>
    </row>
    <row r="223" spans="18:26" x14ac:dyDescent="0.25">
      <c r="R223" s="93" t="str">
        <f ca="1"/>
        <v/>
      </c>
      <c r="S223" s="62" t="str">
        <f t="shared" ca="1" si="33"/>
        <v/>
      </c>
      <c r="T223" s="62" t="e">
        <f t="shared" ca="1" si="27"/>
        <v>#N/A</v>
      </c>
      <c r="U223" s="62" t="e">
        <f t="shared" ca="1" si="28"/>
        <v>#N/A</v>
      </c>
      <c r="V223" s="62" t="e">
        <f t="shared" ca="1" si="29"/>
        <v>#N/A</v>
      </c>
      <c r="W223" s="60" t="e">
        <f t="shared" ca="1" si="30"/>
        <v>#N/A</v>
      </c>
      <c r="X223" s="60" t="e">
        <f t="shared" ca="1" si="34"/>
        <v>#N/A</v>
      </c>
      <c r="Y223" s="60" t="e">
        <f t="shared" ca="1" si="31"/>
        <v>#N/A</v>
      </c>
      <c r="Z223" s="60" t="e">
        <f t="shared" ca="1" si="32"/>
        <v>#N/A</v>
      </c>
    </row>
    <row r="224" spans="18:26" x14ac:dyDescent="0.25">
      <c r="R224" s="93" t="str">
        <f ca="1"/>
        <v/>
      </c>
      <c r="S224" s="62" t="str">
        <f t="shared" ca="1" si="33"/>
        <v/>
      </c>
      <c r="T224" s="62" t="e">
        <f t="shared" ca="1" si="27"/>
        <v>#N/A</v>
      </c>
      <c r="U224" s="62" t="e">
        <f t="shared" ca="1" si="28"/>
        <v>#N/A</v>
      </c>
      <c r="V224" s="62" t="e">
        <f t="shared" ca="1" si="29"/>
        <v>#N/A</v>
      </c>
      <c r="W224" s="60" t="e">
        <f t="shared" ca="1" si="30"/>
        <v>#N/A</v>
      </c>
      <c r="X224" s="60" t="e">
        <f t="shared" ca="1" si="34"/>
        <v>#N/A</v>
      </c>
      <c r="Y224" s="60" t="e">
        <f t="shared" ca="1" si="31"/>
        <v>#N/A</v>
      </c>
      <c r="Z224" s="60" t="e">
        <f t="shared" ca="1" si="32"/>
        <v>#N/A</v>
      </c>
    </row>
    <row r="225" spans="18:26" x14ac:dyDescent="0.25">
      <c r="R225" s="93" t="str">
        <f ca="1"/>
        <v/>
      </c>
      <c r="S225" s="62" t="str">
        <f t="shared" ca="1" si="33"/>
        <v/>
      </c>
      <c r="T225" s="62" t="e">
        <f t="shared" ca="1" si="27"/>
        <v>#N/A</v>
      </c>
      <c r="U225" s="62" t="e">
        <f t="shared" ca="1" si="28"/>
        <v>#N/A</v>
      </c>
      <c r="V225" s="62" t="e">
        <f t="shared" ca="1" si="29"/>
        <v>#N/A</v>
      </c>
      <c r="W225" s="60" t="e">
        <f t="shared" ca="1" si="30"/>
        <v>#N/A</v>
      </c>
      <c r="X225" s="60" t="e">
        <f t="shared" ca="1" si="34"/>
        <v>#N/A</v>
      </c>
      <c r="Y225" s="60" t="e">
        <f t="shared" ca="1" si="31"/>
        <v>#N/A</v>
      </c>
      <c r="Z225" s="60" t="e">
        <f t="shared" ca="1" si="32"/>
        <v>#N/A</v>
      </c>
    </row>
    <row r="226" spans="18:26" x14ac:dyDescent="0.25">
      <c r="R226" s="93" t="str">
        <f ca="1"/>
        <v/>
      </c>
      <c r="S226" s="62" t="str">
        <f t="shared" ca="1" si="33"/>
        <v/>
      </c>
      <c r="T226" s="62" t="e">
        <f t="shared" ca="1" si="27"/>
        <v>#N/A</v>
      </c>
      <c r="U226" s="62" t="e">
        <f t="shared" ca="1" si="28"/>
        <v>#N/A</v>
      </c>
      <c r="V226" s="62" t="e">
        <f t="shared" ca="1" si="29"/>
        <v>#N/A</v>
      </c>
      <c r="W226" s="60" t="e">
        <f t="shared" ca="1" si="30"/>
        <v>#N/A</v>
      </c>
      <c r="X226" s="60" t="e">
        <f t="shared" ca="1" si="34"/>
        <v>#N/A</v>
      </c>
      <c r="Y226" s="60" t="e">
        <f t="shared" ca="1" si="31"/>
        <v>#N/A</v>
      </c>
      <c r="Z226" s="60" t="e">
        <f t="shared" ca="1" si="32"/>
        <v>#N/A</v>
      </c>
    </row>
    <row r="227" spans="18:26" x14ac:dyDescent="0.25">
      <c r="R227" s="93" t="str">
        <f ca="1"/>
        <v/>
      </c>
      <c r="S227" s="62" t="str">
        <f t="shared" ca="1" si="33"/>
        <v/>
      </c>
      <c r="T227" s="62" t="e">
        <f t="shared" ca="1" si="27"/>
        <v>#N/A</v>
      </c>
      <c r="U227" s="62" t="e">
        <f t="shared" ca="1" si="28"/>
        <v>#N/A</v>
      </c>
      <c r="V227" s="62" t="e">
        <f t="shared" ca="1" si="29"/>
        <v>#N/A</v>
      </c>
      <c r="W227" s="60" t="e">
        <f t="shared" ca="1" si="30"/>
        <v>#N/A</v>
      </c>
      <c r="X227" s="60" t="e">
        <f t="shared" ca="1" si="34"/>
        <v>#N/A</v>
      </c>
      <c r="Y227" s="60" t="e">
        <f t="shared" ca="1" si="31"/>
        <v>#N/A</v>
      </c>
      <c r="Z227" s="60" t="e">
        <f t="shared" ca="1" si="32"/>
        <v>#N/A</v>
      </c>
    </row>
    <row r="228" spans="18:26" x14ac:dyDescent="0.25">
      <c r="R228" s="93" t="str">
        <f ca="1"/>
        <v/>
      </c>
      <c r="S228" s="62" t="str">
        <f t="shared" ca="1" si="33"/>
        <v/>
      </c>
      <c r="T228" s="62" t="e">
        <f t="shared" ca="1" si="27"/>
        <v>#N/A</v>
      </c>
      <c r="U228" s="62" t="e">
        <f t="shared" ca="1" si="28"/>
        <v>#N/A</v>
      </c>
      <c r="V228" s="62" t="e">
        <f t="shared" ca="1" si="29"/>
        <v>#N/A</v>
      </c>
      <c r="W228" s="60" t="e">
        <f t="shared" ca="1" si="30"/>
        <v>#N/A</v>
      </c>
      <c r="X228" s="60" t="e">
        <f t="shared" ca="1" si="34"/>
        <v>#N/A</v>
      </c>
      <c r="Y228" s="60" t="e">
        <f t="shared" ca="1" si="31"/>
        <v>#N/A</v>
      </c>
      <c r="Z228" s="60" t="e">
        <f t="shared" ca="1" si="32"/>
        <v>#N/A</v>
      </c>
    </row>
    <row r="229" spans="18:26" x14ac:dyDescent="0.25">
      <c r="R229" s="93" t="str">
        <f ca="1"/>
        <v/>
      </c>
      <c r="S229" s="62" t="str">
        <f t="shared" ca="1" si="33"/>
        <v/>
      </c>
      <c r="T229" s="62" t="e">
        <f t="shared" ca="1" si="27"/>
        <v>#N/A</v>
      </c>
      <c r="U229" s="62" t="e">
        <f t="shared" ca="1" si="28"/>
        <v>#N/A</v>
      </c>
      <c r="V229" s="62" t="e">
        <f t="shared" ca="1" si="29"/>
        <v>#N/A</v>
      </c>
      <c r="W229" s="60" t="e">
        <f t="shared" ca="1" si="30"/>
        <v>#N/A</v>
      </c>
      <c r="X229" s="60" t="e">
        <f t="shared" ca="1" si="34"/>
        <v>#N/A</v>
      </c>
      <c r="Y229" s="60" t="e">
        <f t="shared" ca="1" si="31"/>
        <v>#N/A</v>
      </c>
      <c r="Z229" s="60" t="e">
        <f t="shared" ca="1" si="32"/>
        <v>#N/A</v>
      </c>
    </row>
    <row r="230" spans="18:26" x14ac:dyDescent="0.25">
      <c r="R230" s="93" t="str">
        <f ca="1"/>
        <v/>
      </c>
      <c r="S230" s="62" t="str">
        <f t="shared" ca="1" si="33"/>
        <v/>
      </c>
      <c r="T230" s="62" t="e">
        <f t="shared" ca="1" si="27"/>
        <v>#N/A</v>
      </c>
      <c r="U230" s="62" t="e">
        <f t="shared" ca="1" si="28"/>
        <v>#N/A</v>
      </c>
      <c r="V230" s="62" t="e">
        <f t="shared" ca="1" si="29"/>
        <v>#N/A</v>
      </c>
      <c r="W230" s="60" t="e">
        <f t="shared" ca="1" si="30"/>
        <v>#N/A</v>
      </c>
      <c r="X230" s="60" t="e">
        <f t="shared" ca="1" si="34"/>
        <v>#N/A</v>
      </c>
      <c r="Y230" s="60" t="e">
        <f t="shared" ca="1" si="31"/>
        <v>#N/A</v>
      </c>
      <c r="Z230" s="60" t="e">
        <f t="shared" ca="1" si="32"/>
        <v>#N/A</v>
      </c>
    </row>
    <row r="231" spans="18:26" x14ac:dyDescent="0.25">
      <c r="R231" s="93" t="str">
        <f ca="1"/>
        <v/>
      </c>
      <c r="S231" s="62" t="str">
        <f t="shared" ca="1" si="33"/>
        <v/>
      </c>
      <c r="T231" s="62" t="e">
        <f t="shared" ca="1" si="27"/>
        <v>#N/A</v>
      </c>
      <c r="U231" s="62" t="e">
        <f t="shared" ca="1" si="28"/>
        <v>#N/A</v>
      </c>
      <c r="V231" s="62" t="e">
        <f t="shared" ca="1" si="29"/>
        <v>#N/A</v>
      </c>
      <c r="W231" s="60" t="e">
        <f t="shared" ca="1" si="30"/>
        <v>#N/A</v>
      </c>
      <c r="X231" s="60" t="e">
        <f t="shared" ca="1" si="34"/>
        <v>#N/A</v>
      </c>
      <c r="Y231" s="60" t="e">
        <f t="shared" ca="1" si="31"/>
        <v>#N/A</v>
      </c>
      <c r="Z231" s="60" t="e">
        <f t="shared" ca="1" si="32"/>
        <v>#N/A</v>
      </c>
    </row>
    <row r="232" spans="18:26" x14ac:dyDescent="0.25">
      <c r="R232" s="93" t="str">
        <f ca="1"/>
        <v/>
      </c>
      <c r="S232" s="62" t="str">
        <f t="shared" ca="1" si="33"/>
        <v/>
      </c>
      <c r="T232" s="62" t="e">
        <f t="shared" ca="1" si="27"/>
        <v>#N/A</v>
      </c>
      <c r="U232" s="62" t="e">
        <f t="shared" ca="1" si="28"/>
        <v>#N/A</v>
      </c>
      <c r="V232" s="62" t="e">
        <f t="shared" ca="1" si="29"/>
        <v>#N/A</v>
      </c>
      <c r="W232" s="60" t="e">
        <f t="shared" ca="1" si="30"/>
        <v>#N/A</v>
      </c>
      <c r="X232" s="60" t="e">
        <f t="shared" ca="1" si="34"/>
        <v>#N/A</v>
      </c>
      <c r="Y232" s="60" t="e">
        <f t="shared" ca="1" si="31"/>
        <v>#N/A</v>
      </c>
      <c r="Z232" s="60" t="e">
        <f t="shared" ca="1" si="32"/>
        <v>#N/A</v>
      </c>
    </row>
    <row r="233" spans="18:26" x14ac:dyDescent="0.25">
      <c r="R233" s="93" t="str">
        <f ca="1"/>
        <v/>
      </c>
      <c r="S233" s="62" t="str">
        <f t="shared" ca="1" si="33"/>
        <v/>
      </c>
      <c r="T233" s="62" t="e">
        <f t="shared" ca="1" si="27"/>
        <v>#N/A</v>
      </c>
      <c r="U233" s="62" t="e">
        <f t="shared" ca="1" si="28"/>
        <v>#N/A</v>
      </c>
      <c r="V233" s="62" t="e">
        <f t="shared" ca="1" si="29"/>
        <v>#N/A</v>
      </c>
      <c r="W233" s="60" t="e">
        <f t="shared" ca="1" si="30"/>
        <v>#N/A</v>
      </c>
      <c r="X233" s="60" t="e">
        <f t="shared" ca="1" si="34"/>
        <v>#N/A</v>
      </c>
      <c r="Y233" s="60" t="e">
        <f t="shared" ca="1" si="31"/>
        <v>#N/A</v>
      </c>
      <c r="Z233" s="60" t="e">
        <f t="shared" ca="1" si="32"/>
        <v>#N/A</v>
      </c>
    </row>
    <row r="234" spans="18:26" x14ac:dyDescent="0.25">
      <c r="R234" s="93" t="str">
        <f ca="1"/>
        <v/>
      </c>
      <c r="S234" s="62" t="str">
        <f t="shared" ca="1" si="33"/>
        <v/>
      </c>
      <c r="T234" s="62" t="e">
        <f t="shared" ca="1" si="27"/>
        <v>#N/A</v>
      </c>
      <c r="U234" s="62" t="e">
        <f t="shared" ca="1" si="28"/>
        <v>#N/A</v>
      </c>
      <c r="V234" s="62" t="e">
        <f t="shared" ca="1" si="29"/>
        <v>#N/A</v>
      </c>
      <c r="W234" s="60" t="e">
        <f t="shared" ca="1" si="30"/>
        <v>#N/A</v>
      </c>
      <c r="X234" s="60" t="e">
        <f t="shared" ca="1" si="34"/>
        <v>#N/A</v>
      </c>
      <c r="Y234" s="60" t="e">
        <f t="shared" ca="1" si="31"/>
        <v>#N/A</v>
      </c>
      <c r="Z234" s="60" t="e">
        <f t="shared" ca="1" si="32"/>
        <v>#N/A</v>
      </c>
    </row>
    <row r="235" spans="18:26" x14ac:dyDescent="0.25">
      <c r="R235" s="93" t="str">
        <f ca="1"/>
        <v/>
      </c>
      <c r="S235" s="62" t="str">
        <f t="shared" ca="1" si="33"/>
        <v/>
      </c>
      <c r="T235" s="62" t="e">
        <f t="shared" ca="1" si="27"/>
        <v>#N/A</v>
      </c>
      <c r="U235" s="62" t="e">
        <f t="shared" ca="1" si="28"/>
        <v>#N/A</v>
      </c>
      <c r="V235" s="62" t="e">
        <f t="shared" ca="1" si="29"/>
        <v>#N/A</v>
      </c>
      <c r="W235" s="60" t="e">
        <f t="shared" ca="1" si="30"/>
        <v>#N/A</v>
      </c>
      <c r="X235" s="60" t="e">
        <f t="shared" ca="1" si="34"/>
        <v>#N/A</v>
      </c>
      <c r="Y235" s="60" t="e">
        <f t="shared" ca="1" si="31"/>
        <v>#N/A</v>
      </c>
      <c r="Z235" s="60" t="e">
        <f t="shared" ca="1" si="32"/>
        <v>#N/A</v>
      </c>
    </row>
    <row r="236" spans="18:26" x14ac:dyDescent="0.25">
      <c r="R236" s="93" t="str">
        <f ca="1"/>
        <v/>
      </c>
      <c r="S236" s="62" t="str">
        <f t="shared" ca="1" si="33"/>
        <v/>
      </c>
      <c r="T236" s="62" t="e">
        <f t="shared" ca="1" si="27"/>
        <v>#N/A</v>
      </c>
      <c r="U236" s="62" t="e">
        <f t="shared" ca="1" si="28"/>
        <v>#N/A</v>
      </c>
      <c r="V236" s="62" t="e">
        <f t="shared" ca="1" si="29"/>
        <v>#N/A</v>
      </c>
      <c r="W236" s="60" t="e">
        <f t="shared" ca="1" si="30"/>
        <v>#N/A</v>
      </c>
      <c r="X236" s="60" t="e">
        <f t="shared" ca="1" si="34"/>
        <v>#N/A</v>
      </c>
      <c r="Y236" s="60" t="e">
        <f t="shared" ca="1" si="31"/>
        <v>#N/A</v>
      </c>
      <c r="Z236" s="60" t="e">
        <f t="shared" ca="1" si="32"/>
        <v>#N/A</v>
      </c>
    </row>
    <row r="237" spans="18:26" x14ac:dyDescent="0.25">
      <c r="R237" s="93" t="str">
        <f ca="1"/>
        <v/>
      </c>
      <c r="S237" s="62" t="str">
        <f t="shared" ca="1" si="33"/>
        <v/>
      </c>
      <c r="T237" s="62" t="e">
        <f t="shared" ca="1" si="27"/>
        <v>#N/A</v>
      </c>
      <c r="U237" s="62" t="e">
        <f t="shared" ca="1" si="28"/>
        <v>#N/A</v>
      </c>
      <c r="V237" s="62" t="e">
        <f t="shared" ca="1" si="29"/>
        <v>#N/A</v>
      </c>
      <c r="W237" s="60" t="e">
        <f t="shared" ca="1" si="30"/>
        <v>#N/A</v>
      </c>
      <c r="X237" s="60" t="e">
        <f t="shared" ca="1" si="34"/>
        <v>#N/A</v>
      </c>
      <c r="Y237" s="60" t="e">
        <f t="shared" ca="1" si="31"/>
        <v>#N/A</v>
      </c>
      <c r="Z237" s="60" t="e">
        <f t="shared" ca="1" si="32"/>
        <v>#N/A</v>
      </c>
    </row>
    <row r="238" spans="18:26" x14ac:dyDescent="0.25">
      <c r="R238" s="93" t="str">
        <f ca="1"/>
        <v/>
      </c>
      <c r="S238" s="62" t="str">
        <f t="shared" ca="1" si="33"/>
        <v/>
      </c>
      <c r="T238" s="62" t="e">
        <f t="shared" ca="1" si="27"/>
        <v>#N/A</v>
      </c>
      <c r="U238" s="62" t="e">
        <f t="shared" ca="1" si="28"/>
        <v>#N/A</v>
      </c>
      <c r="V238" s="62" t="e">
        <f t="shared" ca="1" si="29"/>
        <v>#N/A</v>
      </c>
      <c r="W238" s="60" t="e">
        <f t="shared" ca="1" si="30"/>
        <v>#N/A</v>
      </c>
      <c r="X238" s="60" t="e">
        <f t="shared" ca="1" si="34"/>
        <v>#N/A</v>
      </c>
      <c r="Y238" s="60" t="e">
        <f t="shared" ca="1" si="31"/>
        <v>#N/A</v>
      </c>
      <c r="Z238" s="60" t="e">
        <f t="shared" ca="1" si="32"/>
        <v>#N/A</v>
      </c>
    </row>
    <row r="239" spans="18:26" x14ac:dyDescent="0.25">
      <c r="R239" s="93" t="str">
        <f ca="1"/>
        <v/>
      </c>
      <c r="S239" s="62" t="str">
        <f t="shared" ca="1" si="33"/>
        <v/>
      </c>
      <c r="T239" s="62" t="e">
        <f t="shared" ca="1" si="27"/>
        <v>#N/A</v>
      </c>
      <c r="U239" s="62" t="e">
        <f t="shared" ca="1" si="28"/>
        <v>#N/A</v>
      </c>
      <c r="V239" s="62" t="e">
        <f t="shared" ca="1" si="29"/>
        <v>#N/A</v>
      </c>
      <c r="W239" s="60" t="e">
        <f t="shared" ca="1" si="30"/>
        <v>#N/A</v>
      </c>
      <c r="X239" s="60" t="e">
        <f t="shared" ca="1" si="34"/>
        <v>#N/A</v>
      </c>
      <c r="Y239" s="60" t="e">
        <f t="shared" ca="1" si="31"/>
        <v>#N/A</v>
      </c>
      <c r="Z239" s="60" t="e">
        <f t="shared" ca="1" si="32"/>
        <v>#N/A</v>
      </c>
    </row>
    <row r="240" spans="18:26" x14ac:dyDescent="0.25">
      <c r="R240" s="93" t="str">
        <f ca="1"/>
        <v/>
      </c>
      <c r="S240" s="62" t="str">
        <f t="shared" ca="1" si="33"/>
        <v/>
      </c>
      <c r="T240" s="62" t="e">
        <f t="shared" ca="1" si="27"/>
        <v>#N/A</v>
      </c>
      <c r="U240" s="62" t="e">
        <f t="shared" ca="1" si="28"/>
        <v>#N/A</v>
      </c>
      <c r="V240" s="62" t="e">
        <f t="shared" ca="1" si="29"/>
        <v>#N/A</v>
      </c>
      <c r="W240" s="60" t="e">
        <f t="shared" ca="1" si="30"/>
        <v>#N/A</v>
      </c>
      <c r="X240" s="60" t="e">
        <f t="shared" ca="1" si="34"/>
        <v>#N/A</v>
      </c>
      <c r="Y240" s="60" t="e">
        <f t="shared" ca="1" si="31"/>
        <v>#N/A</v>
      </c>
      <c r="Z240" s="60" t="e">
        <f t="shared" ca="1" si="32"/>
        <v>#N/A</v>
      </c>
    </row>
    <row r="241" spans="18:26" x14ac:dyDescent="0.25">
      <c r="R241" s="93" t="str">
        <f ca="1"/>
        <v/>
      </c>
      <c r="S241" s="62" t="str">
        <f t="shared" ca="1" si="33"/>
        <v/>
      </c>
      <c r="T241" s="62" t="e">
        <f t="shared" ca="1" si="27"/>
        <v>#N/A</v>
      </c>
      <c r="U241" s="62" t="e">
        <f t="shared" ca="1" si="28"/>
        <v>#N/A</v>
      </c>
      <c r="V241" s="62" t="e">
        <f t="shared" ca="1" si="29"/>
        <v>#N/A</v>
      </c>
      <c r="W241" s="60" t="e">
        <f t="shared" ca="1" si="30"/>
        <v>#N/A</v>
      </c>
      <c r="X241" s="60" t="e">
        <f t="shared" ca="1" si="34"/>
        <v>#N/A</v>
      </c>
      <c r="Y241" s="60" t="e">
        <f t="shared" ca="1" si="31"/>
        <v>#N/A</v>
      </c>
      <c r="Z241" s="60" t="e">
        <f t="shared" ca="1" si="32"/>
        <v>#N/A</v>
      </c>
    </row>
    <row r="242" spans="18:26" x14ac:dyDescent="0.25">
      <c r="R242" s="93" t="str">
        <f ca="1"/>
        <v/>
      </c>
      <c r="S242" s="62" t="str">
        <f t="shared" ca="1" si="33"/>
        <v/>
      </c>
      <c r="T242" s="62" t="e">
        <f t="shared" ca="1" si="27"/>
        <v>#N/A</v>
      </c>
      <c r="U242" s="62" t="e">
        <f t="shared" ca="1" si="28"/>
        <v>#N/A</v>
      </c>
      <c r="V242" s="62" t="e">
        <f t="shared" ca="1" si="29"/>
        <v>#N/A</v>
      </c>
      <c r="W242" s="60" t="e">
        <f t="shared" ca="1" si="30"/>
        <v>#N/A</v>
      </c>
      <c r="X242" s="60" t="e">
        <f t="shared" ca="1" si="34"/>
        <v>#N/A</v>
      </c>
      <c r="Y242" s="60" t="e">
        <f t="shared" ca="1" si="31"/>
        <v>#N/A</v>
      </c>
      <c r="Z242" s="60" t="e">
        <f t="shared" ca="1" si="32"/>
        <v>#N/A</v>
      </c>
    </row>
    <row r="243" spans="18:26" x14ac:dyDescent="0.25">
      <c r="R243" s="93" t="str">
        <f ca="1"/>
        <v/>
      </c>
      <c r="S243" s="62" t="str">
        <f t="shared" ca="1" si="33"/>
        <v/>
      </c>
      <c r="T243" s="62" t="e">
        <f t="shared" ca="1" si="27"/>
        <v>#N/A</v>
      </c>
      <c r="U243" s="62" t="e">
        <f t="shared" ca="1" si="28"/>
        <v>#N/A</v>
      </c>
      <c r="V243" s="62" t="e">
        <f t="shared" ca="1" si="29"/>
        <v>#N/A</v>
      </c>
      <c r="W243" s="60" t="e">
        <f t="shared" ca="1" si="30"/>
        <v>#N/A</v>
      </c>
      <c r="X243" s="60" t="e">
        <f t="shared" ca="1" si="34"/>
        <v>#N/A</v>
      </c>
      <c r="Y243" s="60" t="e">
        <f t="shared" ca="1" si="31"/>
        <v>#N/A</v>
      </c>
      <c r="Z243" s="60" t="e">
        <f t="shared" ca="1" si="32"/>
        <v>#N/A</v>
      </c>
    </row>
    <row r="244" spans="18:26" x14ac:dyDescent="0.25">
      <c r="R244" s="93" t="str">
        <f ca="1"/>
        <v/>
      </c>
      <c r="S244" s="62" t="str">
        <f t="shared" ca="1" si="33"/>
        <v/>
      </c>
      <c r="T244" s="62" t="e">
        <f t="shared" ca="1" si="27"/>
        <v>#N/A</v>
      </c>
      <c r="U244" s="62" t="e">
        <f t="shared" ca="1" si="28"/>
        <v>#N/A</v>
      </c>
      <c r="V244" s="62" t="e">
        <f t="shared" ca="1" si="29"/>
        <v>#N/A</v>
      </c>
      <c r="W244" s="60" t="e">
        <f t="shared" ca="1" si="30"/>
        <v>#N/A</v>
      </c>
      <c r="X244" s="60" t="e">
        <f t="shared" ca="1" si="34"/>
        <v>#N/A</v>
      </c>
      <c r="Y244" s="60" t="e">
        <f t="shared" ca="1" si="31"/>
        <v>#N/A</v>
      </c>
      <c r="Z244" s="60" t="e">
        <f t="shared" ca="1" si="32"/>
        <v>#N/A</v>
      </c>
    </row>
    <row r="245" spans="18:26" x14ac:dyDescent="0.25">
      <c r="R245" s="93" t="str">
        <f ca="1"/>
        <v/>
      </c>
      <c r="S245" s="62" t="str">
        <f t="shared" ca="1" si="33"/>
        <v/>
      </c>
      <c r="T245" s="62" t="e">
        <f t="shared" ca="1" si="27"/>
        <v>#N/A</v>
      </c>
      <c r="U245" s="62" t="e">
        <f t="shared" ca="1" si="28"/>
        <v>#N/A</v>
      </c>
      <c r="V245" s="62" t="e">
        <f t="shared" ca="1" si="29"/>
        <v>#N/A</v>
      </c>
      <c r="W245" s="60" t="e">
        <f t="shared" ca="1" si="30"/>
        <v>#N/A</v>
      </c>
      <c r="X245" s="60" t="e">
        <f t="shared" ca="1" si="34"/>
        <v>#N/A</v>
      </c>
      <c r="Y245" s="60" t="e">
        <f t="shared" ca="1" si="31"/>
        <v>#N/A</v>
      </c>
      <c r="Z245" s="60" t="e">
        <f t="shared" ca="1" si="32"/>
        <v>#N/A</v>
      </c>
    </row>
    <row r="246" spans="18:26" x14ac:dyDescent="0.25">
      <c r="R246" s="93" t="str">
        <f ca="1"/>
        <v/>
      </c>
      <c r="S246" s="62" t="str">
        <f t="shared" ca="1" si="33"/>
        <v/>
      </c>
      <c r="T246" s="62" t="e">
        <f t="shared" ca="1" si="27"/>
        <v>#N/A</v>
      </c>
      <c r="U246" s="62" t="e">
        <f t="shared" ca="1" si="28"/>
        <v>#N/A</v>
      </c>
      <c r="V246" s="62" t="e">
        <f t="shared" ca="1" si="29"/>
        <v>#N/A</v>
      </c>
      <c r="W246" s="60" t="e">
        <f t="shared" ca="1" si="30"/>
        <v>#N/A</v>
      </c>
      <c r="X246" s="60" t="e">
        <f t="shared" ca="1" si="34"/>
        <v>#N/A</v>
      </c>
      <c r="Y246" s="60" t="e">
        <f t="shared" ca="1" si="31"/>
        <v>#N/A</v>
      </c>
      <c r="Z246" s="60" t="e">
        <f t="shared" ca="1" si="32"/>
        <v>#N/A</v>
      </c>
    </row>
    <row r="247" spans="18:26" x14ac:dyDescent="0.25">
      <c r="R247" s="93" t="str">
        <f ca="1"/>
        <v/>
      </c>
      <c r="S247" s="62" t="str">
        <f t="shared" ca="1" si="33"/>
        <v/>
      </c>
      <c r="T247" s="62" t="e">
        <f t="shared" ca="1" si="27"/>
        <v>#N/A</v>
      </c>
      <c r="U247" s="62" t="e">
        <f t="shared" ca="1" si="28"/>
        <v>#N/A</v>
      </c>
      <c r="V247" s="62" t="e">
        <f t="shared" ca="1" si="29"/>
        <v>#N/A</v>
      </c>
      <c r="W247" s="60" t="e">
        <f t="shared" ca="1" si="30"/>
        <v>#N/A</v>
      </c>
      <c r="X247" s="60" t="e">
        <f t="shared" ca="1" si="34"/>
        <v>#N/A</v>
      </c>
      <c r="Y247" s="60" t="e">
        <f t="shared" ca="1" si="31"/>
        <v>#N/A</v>
      </c>
      <c r="Z247" s="60" t="e">
        <f t="shared" ca="1" si="32"/>
        <v>#N/A</v>
      </c>
    </row>
    <row r="248" spans="18:26" x14ac:dyDescent="0.25">
      <c r="R248" s="93" t="str">
        <f ca="1"/>
        <v/>
      </c>
      <c r="S248" s="62" t="str">
        <f t="shared" ca="1" si="33"/>
        <v/>
      </c>
      <c r="T248" s="62" t="e">
        <f t="shared" ca="1" si="27"/>
        <v>#N/A</v>
      </c>
      <c r="U248" s="62" t="e">
        <f t="shared" ca="1" si="28"/>
        <v>#N/A</v>
      </c>
      <c r="V248" s="62" t="e">
        <f t="shared" ca="1" si="29"/>
        <v>#N/A</v>
      </c>
      <c r="W248" s="60" t="e">
        <f t="shared" ca="1" si="30"/>
        <v>#N/A</v>
      </c>
      <c r="X248" s="60" t="e">
        <f t="shared" ca="1" si="34"/>
        <v>#N/A</v>
      </c>
      <c r="Y248" s="60" t="e">
        <f t="shared" ca="1" si="31"/>
        <v>#N/A</v>
      </c>
      <c r="Z248" s="60" t="e">
        <f t="shared" ca="1" si="32"/>
        <v>#N/A</v>
      </c>
    </row>
    <row r="249" spans="18:26" x14ac:dyDescent="0.25">
      <c r="R249" s="93" t="str">
        <f ca="1"/>
        <v/>
      </c>
      <c r="S249" s="62" t="str">
        <f t="shared" ca="1" si="33"/>
        <v/>
      </c>
      <c r="T249" s="62" t="e">
        <f t="shared" ca="1" si="27"/>
        <v>#N/A</v>
      </c>
      <c r="U249" s="62" t="e">
        <f t="shared" ca="1" si="28"/>
        <v>#N/A</v>
      </c>
      <c r="V249" s="62" t="e">
        <f t="shared" ca="1" si="29"/>
        <v>#N/A</v>
      </c>
      <c r="W249" s="60" t="e">
        <f t="shared" ca="1" si="30"/>
        <v>#N/A</v>
      </c>
      <c r="X249" s="60" t="e">
        <f t="shared" ca="1" si="34"/>
        <v>#N/A</v>
      </c>
      <c r="Y249" s="60" t="e">
        <f t="shared" ca="1" si="31"/>
        <v>#N/A</v>
      </c>
      <c r="Z249" s="60" t="e">
        <f t="shared" ca="1" si="32"/>
        <v>#N/A</v>
      </c>
    </row>
    <row r="250" spans="18:26" x14ac:dyDescent="0.25">
      <c r="R250" s="93" t="str">
        <f ca="1"/>
        <v/>
      </c>
      <c r="S250" s="62" t="str">
        <f t="shared" ca="1" si="33"/>
        <v/>
      </c>
      <c r="T250" s="62" t="e">
        <f t="shared" ca="1" si="27"/>
        <v>#N/A</v>
      </c>
      <c r="U250" s="62" t="e">
        <f t="shared" ca="1" si="28"/>
        <v>#N/A</v>
      </c>
      <c r="V250" s="62" t="e">
        <f t="shared" ca="1" si="29"/>
        <v>#N/A</v>
      </c>
      <c r="W250" s="60" t="e">
        <f t="shared" ca="1" si="30"/>
        <v>#N/A</v>
      </c>
      <c r="X250" s="60" t="e">
        <f t="shared" ca="1" si="34"/>
        <v>#N/A</v>
      </c>
      <c r="Y250" s="60" t="e">
        <f t="shared" ca="1" si="31"/>
        <v>#N/A</v>
      </c>
      <c r="Z250" s="60" t="e">
        <f t="shared" ca="1" si="32"/>
        <v>#N/A</v>
      </c>
    </row>
    <row r="251" spans="18:26" x14ac:dyDescent="0.25">
      <c r="R251" s="93" t="str">
        <f ca="1"/>
        <v/>
      </c>
      <c r="S251" s="62" t="str">
        <f t="shared" ca="1" si="33"/>
        <v/>
      </c>
      <c r="T251" s="62" t="e">
        <f t="shared" ca="1" si="27"/>
        <v>#N/A</v>
      </c>
      <c r="U251" s="62" t="e">
        <f t="shared" ca="1" si="28"/>
        <v>#N/A</v>
      </c>
      <c r="V251" s="62" t="e">
        <f t="shared" ca="1" si="29"/>
        <v>#N/A</v>
      </c>
      <c r="W251" s="60" t="e">
        <f t="shared" ca="1" si="30"/>
        <v>#N/A</v>
      </c>
      <c r="X251" s="60" t="e">
        <f t="shared" ca="1" si="34"/>
        <v>#N/A</v>
      </c>
      <c r="Y251" s="60" t="e">
        <f t="shared" ca="1" si="31"/>
        <v>#N/A</v>
      </c>
      <c r="Z251" s="60" t="e">
        <f t="shared" ca="1" si="32"/>
        <v>#N/A</v>
      </c>
    </row>
    <row r="252" spans="18:26" x14ac:dyDescent="0.25">
      <c r="R252" s="93" t="str">
        <f ca="1"/>
        <v/>
      </c>
      <c r="S252" s="62" t="str">
        <f t="shared" ca="1" si="33"/>
        <v/>
      </c>
      <c r="T252" s="62" t="e">
        <f t="shared" ca="1" si="27"/>
        <v>#N/A</v>
      </c>
      <c r="U252" s="62" t="e">
        <f t="shared" ca="1" si="28"/>
        <v>#N/A</v>
      </c>
      <c r="V252" s="62" t="e">
        <f t="shared" ca="1" si="29"/>
        <v>#N/A</v>
      </c>
      <c r="W252" s="60" t="e">
        <f t="shared" ca="1" si="30"/>
        <v>#N/A</v>
      </c>
      <c r="X252" s="60" t="e">
        <f t="shared" ca="1" si="34"/>
        <v>#N/A</v>
      </c>
      <c r="Y252" s="60" t="e">
        <f t="shared" ca="1" si="31"/>
        <v>#N/A</v>
      </c>
      <c r="Z252" s="60" t="e">
        <f t="shared" ca="1" si="32"/>
        <v>#N/A</v>
      </c>
    </row>
    <row r="253" spans="18:26" x14ac:dyDescent="0.25">
      <c r="R253" s="93" t="str">
        <f ca="1"/>
        <v/>
      </c>
      <c r="S253" s="62" t="str">
        <f t="shared" ca="1" si="33"/>
        <v/>
      </c>
      <c r="T253" s="62" t="e">
        <f t="shared" ca="1" si="27"/>
        <v>#N/A</v>
      </c>
      <c r="U253" s="62" t="e">
        <f t="shared" ca="1" si="28"/>
        <v>#N/A</v>
      </c>
      <c r="V253" s="62" t="e">
        <f t="shared" ca="1" si="29"/>
        <v>#N/A</v>
      </c>
      <c r="W253" s="60" t="e">
        <f t="shared" ca="1" si="30"/>
        <v>#N/A</v>
      </c>
      <c r="X253" s="60" t="e">
        <f t="shared" ca="1" si="34"/>
        <v>#N/A</v>
      </c>
      <c r="Y253" s="60" t="e">
        <f t="shared" ca="1" si="31"/>
        <v>#N/A</v>
      </c>
      <c r="Z253" s="60" t="e">
        <f t="shared" ca="1" si="32"/>
        <v>#N/A</v>
      </c>
    </row>
    <row r="254" spans="18:26" x14ac:dyDescent="0.25">
      <c r="R254" s="93" t="str">
        <f ca="1"/>
        <v/>
      </c>
      <c r="S254" s="62" t="str">
        <f t="shared" ca="1" si="33"/>
        <v/>
      </c>
      <c r="T254" s="62" t="e">
        <f t="shared" ca="1" si="27"/>
        <v>#N/A</v>
      </c>
      <c r="U254" s="62" t="e">
        <f t="shared" ca="1" si="28"/>
        <v>#N/A</v>
      </c>
      <c r="V254" s="62" t="e">
        <f t="shared" ca="1" si="29"/>
        <v>#N/A</v>
      </c>
      <c r="W254" s="60" t="e">
        <f t="shared" ca="1" si="30"/>
        <v>#N/A</v>
      </c>
      <c r="X254" s="60" t="e">
        <f t="shared" ca="1" si="34"/>
        <v>#N/A</v>
      </c>
      <c r="Y254" s="60" t="e">
        <f t="shared" ca="1" si="31"/>
        <v>#N/A</v>
      </c>
      <c r="Z254" s="60" t="e">
        <f t="shared" ca="1" si="32"/>
        <v>#N/A</v>
      </c>
    </row>
    <row r="255" spans="18:26" x14ac:dyDescent="0.25">
      <c r="R255" s="93" t="str">
        <f ca="1"/>
        <v/>
      </c>
      <c r="S255" s="62" t="str">
        <f t="shared" ca="1" si="33"/>
        <v/>
      </c>
      <c r="T255" s="62" t="e">
        <f t="shared" ca="1" si="27"/>
        <v>#N/A</v>
      </c>
      <c r="U255" s="62" t="e">
        <f t="shared" ca="1" si="28"/>
        <v>#N/A</v>
      </c>
      <c r="V255" s="62" t="e">
        <f t="shared" ca="1" si="29"/>
        <v>#N/A</v>
      </c>
      <c r="W255" s="60" t="e">
        <f t="shared" ca="1" si="30"/>
        <v>#N/A</v>
      </c>
      <c r="X255" s="60" t="e">
        <f t="shared" ca="1" si="34"/>
        <v>#N/A</v>
      </c>
      <c r="Y255" s="60" t="e">
        <f t="shared" ca="1" si="31"/>
        <v>#N/A</v>
      </c>
      <c r="Z255" s="60" t="e">
        <f t="shared" ca="1" si="32"/>
        <v>#N/A</v>
      </c>
    </row>
    <row r="256" spans="18:26" x14ac:dyDescent="0.25">
      <c r="R256" s="93" t="str">
        <f ca="1"/>
        <v/>
      </c>
      <c r="S256" s="62" t="str">
        <f t="shared" ca="1" si="33"/>
        <v/>
      </c>
      <c r="T256" s="62" t="e">
        <f t="shared" ca="1" si="27"/>
        <v>#N/A</v>
      </c>
      <c r="U256" s="62" t="e">
        <f t="shared" ca="1" si="28"/>
        <v>#N/A</v>
      </c>
      <c r="V256" s="62" t="e">
        <f t="shared" ca="1" si="29"/>
        <v>#N/A</v>
      </c>
      <c r="W256" s="60" t="e">
        <f t="shared" ca="1" si="30"/>
        <v>#N/A</v>
      </c>
      <c r="X256" s="60" t="e">
        <f t="shared" ca="1" si="34"/>
        <v>#N/A</v>
      </c>
      <c r="Y256" s="60" t="e">
        <f t="shared" ca="1" si="31"/>
        <v>#N/A</v>
      </c>
      <c r="Z256" s="60" t="e">
        <f t="shared" ca="1" si="32"/>
        <v>#N/A</v>
      </c>
    </row>
    <row r="257" spans="18:26" x14ac:dyDescent="0.25">
      <c r="R257" s="93" t="str">
        <f ca="1"/>
        <v/>
      </c>
      <c r="S257" s="62" t="str">
        <f t="shared" ca="1" si="33"/>
        <v/>
      </c>
      <c r="T257" s="62" t="e">
        <f t="shared" ca="1" si="27"/>
        <v>#N/A</v>
      </c>
      <c r="U257" s="62" t="e">
        <f t="shared" ca="1" si="28"/>
        <v>#N/A</v>
      </c>
      <c r="V257" s="62" t="e">
        <f t="shared" ca="1" si="29"/>
        <v>#N/A</v>
      </c>
      <c r="W257" s="60" t="e">
        <f t="shared" ca="1" si="30"/>
        <v>#N/A</v>
      </c>
      <c r="X257" s="60" t="e">
        <f t="shared" ca="1" si="34"/>
        <v>#N/A</v>
      </c>
      <c r="Y257" s="60" t="e">
        <f t="shared" ca="1" si="31"/>
        <v>#N/A</v>
      </c>
      <c r="Z257" s="60" t="e">
        <f t="shared" ca="1" si="32"/>
        <v>#N/A</v>
      </c>
    </row>
    <row r="258" spans="18:26" x14ac:dyDescent="0.25">
      <c r="R258" s="93" t="str">
        <f ca="1"/>
        <v/>
      </c>
      <c r="S258" s="62" t="str">
        <f t="shared" ca="1" si="33"/>
        <v/>
      </c>
      <c r="T258" s="62" t="e">
        <f t="shared" ca="1" si="27"/>
        <v>#N/A</v>
      </c>
      <c r="U258" s="62" t="e">
        <f t="shared" ca="1" si="28"/>
        <v>#N/A</v>
      </c>
      <c r="V258" s="62" t="e">
        <f t="shared" ca="1" si="29"/>
        <v>#N/A</v>
      </c>
      <c r="W258" s="60" t="e">
        <f t="shared" ca="1" si="30"/>
        <v>#N/A</v>
      </c>
      <c r="X258" s="60" t="e">
        <f t="shared" ca="1" si="34"/>
        <v>#N/A</v>
      </c>
      <c r="Y258" s="60" t="e">
        <f t="shared" ca="1" si="31"/>
        <v>#N/A</v>
      </c>
      <c r="Z258" s="60" t="e">
        <f t="shared" ca="1" si="32"/>
        <v>#N/A</v>
      </c>
    </row>
    <row r="259" spans="18:26" x14ac:dyDescent="0.25">
      <c r="R259" s="93" t="str">
        <f ca="1"/>
        <v/>
      </c>
      <c r="S259" s="62" t="str">
        <f t="shared" ca="1" si="33"/>
        <v/>
      </c>
      <c r="T259" s="62" t="e">
        <f t="shared" ca="1" si="27"/>
        <v>#N/A</v>
      </c>
      <c r="U259" s="62" t="e">
        <f t="shared" ca="1" si="28"/>
        <v>#N/A</v>
      </c>
      <c r="V259" s="62" t="e">
        <f t="shared" ca="1" si="29"/>
        <v>#N/A</v>
      </c>
      <c r="W259" s="60" t="e">
        <f t="shared" ca="1" si="30"/>
        <v>#N/A</v>
      </c>
      <c r="X259" s="60" t="e">
        <f t="shared" ca="1" si="34"/>
        <v>#N/A</v>
      </c>
      <c r="Y259" s="60" t="e">
        <f t="shared" ca="1" si="31"/>
        <v>#N/A</v>
      </c>
      <c r="Z259" s="60" t="e">
        <f t="shared" ca="1" si="32"/>
        <v>#N/A</v>
      </c>
    </row>
    <row r="260" spans="18:26" x14ac:dyDescent="0.25">
      <c r="R260" s="93" t="str">
        <f ca="1"/>
        <v/>
      </c>
      <c r="S260" s="62" t="str">
        <f t="shared" ca="1" si="33"/>
        <v/>
      </c>
      <c r="T260" s="62" t="e">
        <f t="shared" ca="1" si="27"/>
        <v>#N/A</v>
      </c>
      <c r="U260" s="62" t="e">
        <f t="shared" ca="1" si="28"/>
        <v>#N/A</v>
      </c>
      <c r="V260" s="62" t="e">
        <f t="shared" ca="1" si="29"/>
        <v>#N/A</v>
      </c>
      <c r="W260" s="60" t="e">
        <f t="shared" ca="1" si="30"/>
        <v>#N/A</v>
      </c>
      <c r="X260" s="60" t="e">
        <f t="shared" ca="1" si="34"/>
        <v>#N/A</v>
      </c>
      <c r="Y260" s="60" t="e">
        <f t="shared" ca="1" si="31"/>
        <v>#N/A</v>
      </c>
      <c r="Z260" s="60" t="e">
        <f t="shared" ca="1" si="32"/>
        <v>#N/A</v>
      </c>
    </row>
    <row r="261" spans="18:26" x14ac:dyDescent="0.25">
      <c r="R261" s="93" t="str">
        <f ca="1"/>
        <v/>
      </c>
      <c r="S261" s="62" t="str">
        <f t="shared" ca="1" si="33"/>
        <v/>
      </c>
      <c r="T261" s="62" t="e">
        <f t="shared" ca="1" si="27"/>
        <v>#N/A</v>
      </c>
      <c r="U261" s="62" t="e">
        <f t="shared" ca="1" si="28"/>
        <v>#N/A</v>
      </c>
      <c r="V261" s="62" t="e">
        <f t="shared" ca="1" si="29"/>
        <v>#N/A</v>
      </c>
      <c r="W261" s="60" t="e">
        <f t="shared" ca="1" si="30"/>
        <v>#N/A</v>
      </c>
      <c r="X261" s="60" t="e">
        <f t="shared" ca="1" si="34"/>
        <v>#N/A</v>
      </c>
      <c r="Y261" s="60" t="e">
        <f t="shared" ca="1" si="31"/>
        <v>#N/A</v>
      </c>
      <c r="Z261" s="60" t="e">
        <f t="shared" ca="1" si="32"/>
        <v>#N/A</v>
      </c>
    </row>
    <row r="262" spans="18:26" x14ac:dyDescent="0.25">
      <c r="R262" s="93" t="str">
        <f ca="1"/>
        <v/>
      </c>
      <c r="S262" s="62" t="str">
        <f t="shared" ca="1" si="33"/>
        <v/>
      </c>
      <c r="T262" s="62" t="e">
        <f t="shared" ca="1" si="27"/>
        <v>#N/A</v>
      </c>
      <c r="U262" s="62" t="e">
        <f t="shared" ca="1" si="28"/>
        <v>#N/A</v>
      </c>
      <c r="V262" s="62" t="e">
        <f t="shared" ca="1" si="29"/>
        <v>#N/A</v>
      </c>
      <c r="W262" s="60" t="e">
        <f t="shared" ca="1" si="30"/>
        <v>#N/A</v>
      </c>
      <c r="X262" s="60" t="e">
        <f t="shared" ca="1" si="34"/>
        <v>#N/A</v>
      </c>
      <c r="Y262" s="60" t="e">
        <f t="shared" ca="1" si="31"/>
        <v>#N/A</v>
      </c>
      <c r="Z262" s="60" t="e">
        <f t="shared" ca="1" si="32"/>
        <v>#N/A</v>
      </c>
    </row>
    <row r="263" spans="18:26" x14ac:dyDescent="0.25">
      <c r="R263" s="93" t="str">
        <f ca="1"/>
        <v/>
      </c>
      <c r="S263" s="62" t="str">
        <f t="shared" ca="1" si="33"/>
        <v/>
      </c>
      <c r="T263" s="62" t="e">
        <f t="shared" ca="1" si="27"/>
        <v>#N/A</v>
      </c>
      <c r="U263" s="62" t="e">
        <f t="shared" ca="1" si="28"/>
        <v>#N/A</v>
      </c>
      <c r="V263" s="62" t="e">
        <f t="shared" ca="1" si="29"/>
        <v>#N/A</v>
      </c>
      <c r="W263" s="60" t="e">
        <f t="shared" ca="1" si="30"/>
        <v>#N/A</v>
      </c>
      <c r="X263" s="60" t="e">
        <f t="shared" ca="1" si="34"/>
        <v>#N/A</v>
      </c>
      <c r="Y263" s="60" t="e">
        <f t="shared" ca="1" si="31"/>
        <v>#N/A</v>
      </c>
      <c r="Z263" s="60" t="e">
        <f t="shared" ca="1" si="32"/>
        <v>#N/A</v>
      </c>
    </row>
    <row r="264" spans="18:26" x14ac:dyDescent="0.25">
      <c r="R264" s="93" t="str">
        <f ca="1"/>
        <v/>
      </c>
      <c r="S264" s="62" t="str">
        <f t="shared" ca="1" si="33"/>
        <v/>
      </c>
      <c r="T264" s="62" t="e">
        <f t="shared" ca="1" si="27"/>
        <v>#N/A</v>
      </c>
      <c r="U264" s="62" t="e">
        <f t="shared" ca="1" si="28"/>
        <v>#N/A</v>
      </c>
      <c r="V264" s="62" t="e">
        <f t="shared" ca="1" si="29"/>
        <v>#N/A</v>
      </c>
      <c r="W264" s="60" t="e">
        <f t="shared" ca="1" si="30"/>
        <v>#N/A</v>
      </c>
      <c r="X264" s="60" t="e">
        <f t="shared" ca="1" si="34"/>
        <v>#N/A</v>
      </c>
      <c r="Y264" s="60" t="e">
        <f t="shared" ca="1" si="31"/>
        <v>#N/A</v>
      </c>
      <c r="Z264" s="60" t="e">
        <f t="shared" ca="1" si="32"/>
        <v>#N/A</v>
      </c>
    </row>
    <row r="265" spans="18:26" x14ac:dyDescent="0.25">
      <c r="R265" s="93" t="str">
        <f ca="1"/>
        <v/>
      </c>
      <c r="S265" s="62" t="str">
        <f t="shared" ca="1" si="33"/>
        <v/>
      </c>
      <c r="T265" s="62" t="e">
        <f t="shared" ca="1" si="27"/>
        <v>#N/A</v>
      </c>
      <c r="U265" s="62" t="e">
        <f t="shared" ca="1" si="28"/>
        <v>#N/A</v>
      </c>
      <c r="V265" s="62" t="e">
        <f t="shared" ca="1" si="29"/>
        <v>#N/A</v>
      </c>
      <c r="W265" s="60" t="e">
        <f t="shared" ca="1" si="30"/>
        <v>#N/A</v>
      </c>
      <c r="X265" s="60" t="e">
        <f t="shared" ca="1" si="34"/>
        <v>#N/A</v>
      </c>
      <c r="Y265" s="60" t="e">
        <f t="shared" ca="1" si="31"/>
        <v>#N/A</v>
      </c>
      <c r="Z265" s="60" t="e">
        <f t="shared" ca="1" si="32"/>
        <v>#N/A</v>
      </c>
    </row>
    <row r="266" spans="18:26" x14ac:dyDescent="0.25">
      <c r="R266" s="93" t="str">
        <f ca="1"/>
        <v/>
      </c>
      <c r="S266" s="62" t="str">
        <f t="shared" ca="1" si="33"/>
        <v/>
      </c>
      <c r="T266" s="62" t="e">
        <f t="shared" ca="1" si="27"/>
        <v>#N/A</v>
      </c>
      <c r="U266" s="62" t="e">
        <f t="shared" ca="1" si="28"/>
        <v>#N/A</v>
      </c>
      <c r="V266" s="62" t="e">
        <f t="shared" ca="1" si="29"/>
        <v>#N/A</v>
      </c>
      <c r="W266" s="60" t="e">
        <f t="shared" ca="1" si="30"/>
        <v>#N/A</v>
      </c>
      <c r="X266" s="60" t="e">
        <f t="shared" ca="1" si="34"/>
        <v>#N/A</v>
      </c>
      <c r="Y266" s="60" t="e">
        <f t="shared" ca="1" si="31"/>
        <v>#N/A</v>
      </c>
      <c r="Z266" s="60" t="e">
        <f t="shared" ca="1" si="32"/>
        <v>#N/A</v>
      </c>
    </row>
    <row r="267" spans="18:26" x14ac:dyDescent="0.25">
      <c r="R267" s="93" t="str">
        <f ca="1"/>
        <v/>
      </c>
      <c r="S267" s="62" t="str">
        <f t="shared" ca="1" si="33"/>
        <v/>
      </c>
      <c r="T267" s="62" t="e">
        <f t="shared" ca="1" si="27"/>
        <v>#N/A</v>
      </c>
      <c r="U267" s="62" t="e">
        <f t="shared" ca="1" si="28"/>
        <v>#N/A</v>
      </c>
      <c r="V267" s="62" t="e">
        <f t="shared" ca="1" si="29"/>
        <v>#N/A</v>
      </c>
      <c r="W267" s="60" t="e">
        <f t="shared" ca="1" si="30"/>
        <v>#N/A</v>
      </c>
      <c r="X267" s="60" t="e">
        <f t="shared" ca="1" si="34"/>
        <v>#N/A</v>
      </c>
      <c r="Y267" s="60" t="e">
        <f t="shared" ca="1" si="31"/>
        <v>#N/A</v>
      </c>
      <c r="Z267" s="60" t="e">
        <f t="shared" ca="1" si="32"/>
        <v>#N/A</v>
      </c>
    </row>
    <row r="268" spans="18:26" x14ac:dyDescent="0.25">
      <c r="R268" s="93" t="str">
        <f ca="1"/>
        <v/>
      </c>
      <c r="S268" s="62" t="str">
        <f t="shared" ca="1" si="33"/>
        <v/>
      </c>
      <c r="T268" s="62" t="e">
        <f t="shared" ca="1" si="27"/>
        <v>#N/A</v>
      </c>
      <c r="U268" s="62" t="e">
        <f t="shared" ca="1" si="28"/>
        <v>#N/A</v>
      </c>
      <c r="V268" s="62" t="e">
        <f t="shared" ca="1" si="29"/>
        <v>#N/A</v>
      </c>
      <c r="W268" s="60" t="e">
        <f t="shared" ca="1" si="30"/>
        <v>#N/A</v>
      </c>
      <c r="X268" s="60" t="e">
        <f t="shared" ca="1" si="34"/>
        <v>#N/A</v>
      </c>
      <c r="Y268" s="60" t="e">
        <f t="shared" ca="1" si="31"/>
        <v>#N/A</v>
      </c>
      <c r="Z268" s="60" t="e">
        <f t="shared" ca="1" si="32"/>
        <v>#N/A</v>
      </c>
    </row>
    <row r="269" spans="18:26" x14ac:dyDescent="0.25">
      <c r="R269" s="93" t="str">
        <f ca="1"/>
        <v/>
      </c>
      <c r="S269" s="62" t="str">
        <f t="shared" ca="1" si="33"/>
        <v/>
      </c>
      <c r="T269" s="62" t="e">
        <f t="shared" ca="1" si="27"/>
        <v>#N/A</v>
      </c>
      <c r="U269" s="62" t="e">
        <f t="shared" ca="1" si="28"/>
        <v>#N/A</v>
      </c>
      <c r="V269" s="62" t="e">
        <f t="shared" ca="1" si="29"/>
        <v>#N/A</v>
      </c>
      <c r="W269" s="60" t="e">
        <f t="shared" ca="1" si="30"/>
        <v>#N/A</v>
      </c>
      <c r="X269" s="60" t="e">
        <f t="shared" ca="1" si="34"/>
        <v>#N/A</v>
      </c>
      <c r="Y269" s="60" t="e">
        <f t="shared" ca="1" si="31"/>
        <v>#N/A</v>
      </c>
      <c r="Z269" s="60" t="e">
        <f t="shared" ca="1" si="32"/>
        <v>#N/A</v>
      </c>
    </row>
    <row r="270" spans="18:26" x14ac:dyDescent="0.25">
      <c r="R270" s="93" t="str">
        <f ca="1"/>
        <v/>
      </c>
      <c r="S270" s="62" t="str">
        <f t="shared" ca="1" si="33"/>
        <v/>
      </c>
      <c r="T270" s="62" t="e">
        <f t="shared" ca="1" si="27"/>
        <v>#N/A</v>
      </c>
      <c r="U270" s="62" t="e">
        <f t="shared" ca="1" si="28"/>
        <v>#N/A</v>
      </c>
      <c r="V270" s="62" t="e">
        <f t="shared" ca="1" si="29"/>
        <v>#N/A</v>
      </c>
      <c r="W270" s="60" t="e">
        <f t="shared" ca="1" si="30"/>
        <v>#N/A</v>
      </c>
      <c r="X270" s="60" t="e">
        <f t="shared" ca="1" si="34"/>
        <v>#N/A</v>
      </c>
      <c r="Y270" s="60" t="e">
        <f t="shared" ca="1" si="31"/>
        <v>#N/A</v>
      </c>
      <c r="Z270" s="60" t="e">
        <f t="shared" ca="1" si="32"/>
        <v>#N/A</v>
      </c>
    </row>
    <row r="271" spans="18:26" x14ac:dyDescent="0.25">
      <c r="R271" s="93" t="str">
        <f ca="1"/>
        <v/>
      </c>
      <c r="S271" s="62" t="str">
        <f t="shared" ca="1" si="33"/>
        <v/>
      </c>
      <c r="T271" s="62" t="e">
        <f t="shared" ca="1" si="27"/>
        <v>#N/A</v>
      </c>
      <c r="U271" s="62" t="e">
        <f t="shared" ca="1" si="28"/>
        <v>#N/A</v>
      </c>
      <c r="V271" s="62" t="e">
        <f t="shared" ca="1" si="29"/>
        <v>#N/A</v>
      </c>
      <c r="W271" s="60" t="e">
        <f t="shared" ca="1" si="30"/>
        <v>#N/A</v>
      </c>
      <c r="X271" s="60" t="e">
        <f t="shared" ca="1" si="34"/>
        <v>#N/A</v>
      </c>
      <c r="Y271" s="60" t="e">
        <f t="shared" ca="1" si="31"/>
        <v>#N/A</v>
      </c>
      <c r="Z271" s="60" t="e">
        <f t="shared" ca="1" si="32"/>
        <v>#N/A</v>
      </c>
    </row>
    <row r="272" spans="18:26" x14ac:dyDescent="0.25">
      <c r="R272" s="93" t="str">
        <f ca="1"/>
        <v/>
      </c>
      <c r="S272" s="62" t="str">
        <f t="shared" ca="1" si="33"/>
        <v/>
      </c>
      <c r="T272" s="62" t="e">
        <f t="shared" ca="1" si="27"/>
        <v>#N/A</v>
      </c>
      <c r="U272" s="62" t="e">
        <f t="shared" ca="1" si="28"/>
        <v>#N/A</v>
      </c>
      <c r="V272" s="62" t="e">
        <f t="shared" ca="1" si="29"/>
        <v>#N/A</v>
      </c>
      <c r="W272" s="60" t="e">
        <f t="shared" ca="1" si="30"/>
        <v>#N/A</v>
      </c>
      <c r="X272" s="60" t="e">
        <f t="shared" ca="1" si="34"/>
        <v>#N/A</v>
      </c>
      <c r="Y272" s="60" t="e">
        <f t="shared" ca="1" si="31"/>
        <v>#N/A</v>
      </c>
      <c r="Z272" s="60" t="e">
        <f t="shared" ca="1" si="32"/>
        <v>#N/A</v>
      </c>
    </row>
    <row r="273" spans="18:26" x14ac:dyDescent="0.25">
      <c r="R273" s="93" t="str">
        <f ca="1"/>
        <v/>
      </c>
      <c r="S273" s="62" t="str">
        <f t="shared" ca="1" si="33"/>
        <v/>
      </c>
      <c r="T273" s="62" t="e">
        <f t="shared" ca="1" si="27"/>
        <v>#N/A</v>
      </c>
      <c r="U273" s="62" t="e">
        <f t="shared" ca="1" si="28"/>
        <v>#N/A</v>
      </c>
      <c r="V273" s="62" t="e">
        <f t="shared" ca="1" si="29"/>
        <v>#N/A</v>
      </c>
      <c r="W273" s="60" t="e">
        <f t="shared" ca="1" si="30"/>
        <v>#N/A</v>
      </c>
      <c r="X273" s="60" t="e">
        <f t="shared" ca="1" si="34"/>
        <v>#N/A</v>
      </c>
      <c r="Y273" s="60" t="e">
        <f t="shared" ca="1" si="31"/>
        <v>#N/A</v>
      </c>
      <c r="Z273" s="60" t="e">
        <f t="shared" ca="1" si="32"/>
        <v>#N/A</v>
      </c>
    </row>
    <row r="274" spans="18:26" x14ac:dyDescent="0.25">
      <c r="R274" s="93" t="str">
        <f ca="1"/>
        <v/>
      </c>
      <c r="S274" s="62" t="str">
        <f t="shared" ca="1" si="33"/>
        <v/>
      </c>
      <c r="T274" s="62" t="e">
        <f t="shared" ref="T274:T337" ca="1" si="35">VLOOKUP(S274,ModelOutputs,2,FALSE)</f>
        <v>#N/A</v>
      </c>
      <c r="U274" s="62" t="e">
        <f t="shared" ref="U274:U337" ca="1" si="36">VLOOKUP(S274,ModelOutputs,7,FALSE)</f>
        <v>#N/A</v>
      </c>
      <c r="V274" s="62" t="e">
        <f t="shared" ref="V274:V337" ca="1" si="37">VLOOKUP(S274,ModelOutputs,6,FALSE)</f>
        <v>#N/A</v>
      </c>
      <c r="W274" s="60" t="e">
        <f t="shared" ref="W274:W337" ca="1" si="38">VLOOKUP(S274,ModelOutputs,10,FALSE)*AWC</f>
        <v>#N/A</v>
      </c>
      <c r="X274" s="60" t="e">
        <f t="shared" ca="1" si="34"/>
        <v>#N/A</v>
      </c>
      <c r="Y274" s="60" t="e">
        <f t="shared" ref="Y274:Y337" ca="1" si="39">VLOOKUP(S274,ModelOutputs,12,FALSE)</f>
        <v>#N/A</v>
      </c>
      <c r="Z274" s="60" t="e">
        <f t="shared" ref="Z274:Z337" ca="1" si="40">VLOOKUP(S274,ModelOutputs,13,FALSE)</f>
        <v>#N/A</v>
      </c>
    </row>
    <row r="275" spans="18:26" x14ac:dyDescent="0.25">
      <c r="R275" s="93" t="str">
        <f ca="1"/>
        <v/>
      </c>
      <c r="S275" s="62" t="str">
        <f t="shared" ref="S275:S338" ca="1" si="41">IF(R275&gt;1,R275,"")</f>
        <v/>
      </c>
      <c r="T275" s="62" t="e">
        <f t="shared" ca="1" si="35"/>
        <v>#N/A</v>
      </c>
      <c r="U275" s="62" t="e">
        <f t="shared" ca="1" si="36"/>
        <v>#N/A</v>
      </c>
      <c r="V275" s="62" t="e">
        <f t="shared" ca="1" si="37"/>
        <v>#N/A</v>
      </c>
      <c r="W275" s="60" t="e">
        <f t="shared" ca="1" si="38"/>
        <v>#N/A</v>
      </c>
      <c r="X275" s="60" t="e">
        <f t="shared" ref="X275:X338" ca="1" si="42">VLOOKUP(S275,ModelOutputs,11,FALSE)+X274</f>
        <v>#N/A</v>
      </c>
      <c r="Y275" s="60" t="e">
        <f t="shared" ca="1" si="39"/>
        <v>#N/A</v>
      </c>
      <c r="Z275" s="60" t="e">
        <f t="shared" ca="1" si="40"/>
        <v>#N/A</v>
      </c>
    </row>
    <row r="276" spans="18:26" x14ac:dyDescent="0.25">
      <c r="R276" s="93" t="str">
        <f ca="1"/>
        <v/>
      </c>
      <c r="S276" s="62" t="str">
        <f t="shared" ca="1" si="41"/>
        <v/>
      </c>
      <c r="T276" s="62" t="e">
        <f t="shared" ca="1" si="35"/>
        <v>#N/A</v>
      </c>
      <c r="U276" s="62" t="e">
        <f t="shared" ca="1" si="36"/>
        <v>#N/A</v>
      </c>
      <c r="V276" s="62" t="e">
        <f t="shared" ca="1" si="37"/>
        <v>#N/A</v>
      </c>
      <c r="W276" s="60" t="e">
        <f t="shared" ca="1" si="38"/>
        <v>#N/A</v>
      </c>
      <c r="X276" s="60" t="e">
        <f t="shared" ca="1" si="42"/>
        <v>#N/A</v>
      </c>
      <c r="Y276" s="60" t="e">
        <f t="shared" ca="1" si="39"/>
        <v>#N/A</v>
      </c>
      <c r="Z276" s="60" t="e">
        <f t="shared" ca="1" si="40"/>
        <v>#N/A</v>
      </c>
    </row>
    <row r="277" spans="18:26" x14ac:dyDescent="0.25">
      <c r="R277" s="93" t="str">
        <f ca="1"/>
        <v/>
      </c>
      <c r="S277" s="62" t="str">
        <f t="shared" ca="1" si="41"/>
        <v/>
      </c>
      <c r="T277" s="62" t="e">
        <f t="shared" ca="1" si="35"/>
        <v>#N/A</v>
      </c>
      <c r="U277" s="62" t="e">
        <f t="shared" ca="1" si="36"/>
        <v>#N/A</v>
      </c>
      <c r="V277" s="62" t="e">
        <f t="shared" ca="1" si="37"/>
        <v>#N/A</v>
      </c>
      <c r="W277" s="60" t="e">
        <f t="shared" ca="1" si="38"/>
        <v>#N/A</v>
      </c>
      <c r="X277" s="60" t="e">
        <f t="shared" ca="1" si="42"/>
        <v>#N/A</v>
      </c>
      <c r="Y277" s="60" t="e">
        <f t="shared" ca="1" si="39"/>
        <v>#N/A</v>
      </c>
      <c r="Z277" s="60" t="e">
        <f t="shared" ca="1" si="40"/>
        <v>#N/A</v>
      </c>
    </row>
    <row r="278" spans="18:26" x14ac:dyDescent="0.25">
      <c r="R278" s="93" t="str">
        <f ca="1"/>
        <v/>
      </c>
      <c r="S278" s="62" t="str">
        <f t="shared" ca="1" si="41"/>
        <v/>
      </c>
      <c r="T278" s="62" t="e">
        <f t="shared" ca="1" si="35"/>
        <v>#N/A</v>
      </c>
      <c r="U278" s="62" t="e">
        <f t="shared" ca="1" si="36"/>
        <v>#N/A</v>
      </c>
      <c r="V278" s="62" t="e">
        <f t="shared" ca="1" si="37"/>
        <v>#N/A</v>
      </c>
      <c r="W278" s="60" t="e">
        <f t="shared" ca="1" si="38"/>
        <v>#N/A</v>
      </c>
      <c r="X278" s="60" t="e">
        <f t="shared" ca="1" si="42"/>
        <v>#N/A</v>
      </c>
      <c r="Y278" s="60" t="e">
        <f t="shared" ca="1" si="39"/>
        <v>#N/A</v>
      </c>
      <c r="Z278" s="60" t="e">
        <f t="shared" ca="1" si="40"/>
        <v>#N/A</v>
      </c>
    </row>
    <row r="279" spans="18:26" x14ac:dyDescent="0.25">
      <c r="R279" s="93" t="str">
        <f ca="1"/>
        <v/>
      </c>
      <c r="S279" s="62" t="str">
        <f t="shared" ca="1" si="41"/>
        <v/>
      </c>
      <c r="T279" s="62" t="e">
        <f t="shared" ca="1" si="35"/>
        <v>#N/A</v>
      </c>
      <c r="U279" s="62" t="e">
        <f t="shared" ca="1" si="36"/>
        <v>#N/A</v>
      </c>
      <c r="V279" s="62" t="e">
        <f t="shared" ca="1" si="37"/>
        <v>#N/A</v>
      </c>
      <c r="W279" s="60" t="e">
        <f t="shared" ca="1" si="38"/>
        <v>#N/A</v>
      </c>
      <c r="X279" s="60" t="e">
        <f t="shared" ca="1" si="42"/>
        <v>#N/A</v>
      </c>
      <c r="Y279" s="60" t="e">
        <f t="shared" ca="1" si="39"/>
        <v>#N/A</v>
      </c>
      <c r="Z279" s="60" t="e">
        <f t="shared" ca="1" si="40"/>
        <v>#N/A</v>
      </c>
    </row>
    <row r="280" spans="18:26" x14ac:dyDescent="0.25">
      <c r="R280" s="93" t="str">
        <f ca="1"/>
        <v/>
      </c>
      <c r="S280" s="62" t="str">
        <f t="shared" ca="1" si="41"/>
        <v/>
      </c>
      <c r="T280" s="62" t="e">
        <f t="shared" ca="1" si="35"/>
        <v>#N/A</v>
      </c>
      <c r="U280" s="62" t="e">
        <f t="shared" ca="1" si="36"/>
        <v>#N/A</v>
      </c>
      <c r="V280" s="62" t="e">
        <f t="shared" ca="1" si="37"/>
        <v>#N/A</v>
      </c>
      <c r="W280" s="60" t="e">
        <f t="shared" ca="1" si="38"/>
        <v>#N/A</v>
      </c>
      <c r="X280" s="60" t="e">
        <f t="shared" ca="1" si="42"/>
        <v>#N/A</v>
      </c>
      <c r="Y280" s="60" t="e">
        <f t="shared" ca="1" si="39"/>
        <v>#N/A</v>
      </c>
      <c r="Z280" s="60" t="e">
        <f t="shared" ca="1" si="40"/>
        <v>#N/A</v>
      </c>
    </row>
    <row r="281" spans="18:26" x14ac:dyDescent="0.25">
      <c r="R281" s="93" t="str">
        <f ca="1"/>
        <v/>
      </c>
      <c r="S281" s="62" t="str">
        <f t="shared" ca="1" si="41"/>
        <v/>
      </c>
      <c r="T281" s="62" t="e">
        <f t="shared" ca="1" si="35"/>
        <v>#N/A</v>
      </c>
      <c r="U281" s="62" t="e">
        <f t="shared" ca="1" si="36"/>
        <v>#N/A</v>
      </c>
      <c r="V281" s="62" t="e">
        <f t="shared" ca="1" si="37"/>
        <v>#N/A</v>
      </c>
      <c r="W281" s="60" t="e">
        <f t="shared" ca="1" si="38"/>
        <v>#N/A</v>
      </c>
      <c r="X281" s="60" t="e">
        <f t="shared" ca="1" si="42"/>
        <v>#N/A</v>
      </c>
      <c r="Y281" s="60" t="e">
        <f t="shared" ca="1" si="39"/>
        <v>#N/A</v>
      </c>
      <c r="Z281" s="60" t="e">
        <f t="shared" ca="1" si="40"/>
        <v>#N/A</v>
      </c>
    </row>
    <row r="282" spans="18:26" x14ac:dyDescent="0.25">
      <c r="R282" s="93" t="str">
        <f ca="1"/>
        <v/>
      </c>
      <c r="S282" s="62" t="str">
        <f t="shared" ca="1" si="41"/>
        <v/>
      </c>
      <c r="T282" s="62" t="e">
        <f t="shared" ca="1" si="35"/>
        <v>#N/A</v>
      </c>
      <c r="U282" s="62" t="e">
        <f t="shared" ca="1" si="36"/>
        <v>#N/A</v>
      </c>
      <c r="V282" s="62" t="e">
        <f t="shared" ca="1" si="37"/>
        <v>#N/A</v>
      </c>
      <c r="W282" s="60" t="e">
        <f t="shared" ca="1" si="38"/>
        <v>#N/A</v>
      </c>
      <c r="X282" s="60" t="e">
        <f t="shared" ca="1" si="42"/>
        <v>#N/A</v>
      </c>
      <c r="Y282" s="60" t="e">
        <f t="shared" ca="1" si="39"/>
        <v>#N/A</v>
      </c>
      <c r="Z282" s="60" t="e">
        <f t="shared" ca="1" si="40"/>
        <v>#N/A</v>
      </c>
    </row>
    <row r="283" spans="18:26" x14ac:dyDescent="0.25">
      <c r="R283" s="93" t="str">
        <f ca="1"/>
        <v/>
      </c>
      <c r="S283" s="62" t="str">
        <f t="shared" ca="1" si="41"/>
        <v/>
      </c>
      <c r="T283" s="62" t="e">
        <f t="shared" ca="1" si="35"/>
        <v>#N/A</v>
      </c>
      <c r="U283" s="62" t="e">
        <f t="shared" ca="1" si="36"/>
        <v>#N/A</v>
      </c>
      <c r="V283" s="62" t="e">
        <f t="shared" ca="1" si="37"/>
        <v>#N/A</v>
      </c>
      <c r="W283" s="60" t="e">
        <f t="shared" ca="1" si="38"/>
        <v>#N/A</v>
      </c>
      <c r="X283" s="60" t="e">
        <f t="shared" ca="1" si="42"/>
        <v>#N/A</v>
      </c>
      <c r="Y283" s="60" t="e">
        <f t="shared" ca="1" si="39"/>
        <v>#N/A</v>
      </c>
      <c r="Z283" s="60" t="e">
        <f t="shared" ca="1" si="40"/>
        <v>#N/A</v>
      </c>
    </row>
    <row r="284" spans="18:26" x14ac:dyDescent="0.25">
      <c r="R284" s="93" t="str">
        <f ca="1"/>
        <v/>
      </c>
      <c r="S284" s="62" t="str">
        <f t="shared" ca="1" si="41"/>
        <v/>
      </c>
      <c r="T284" s="62" t="e">
        <f t="shared" ca="1" si="35"/>
        <v>#N/A</v>
      </c>
      <c r="U284" s="62" t="e">
        <f t="shared" ca="1" si="36"/>
        <v>#N/A</v>
      </c>
      <c r="V284" s="62" t="e">
        <f t="shared" ca="1" si="37"/>
        <v>#N/A</v>
      </c>
      <c r="W284" s="60" t="e">
        <f t="shared" ca="1" si="38"/>
        <v>#N/A</v>
      </c>
      <c r="X284" s="60" t="e">
        <f t="shared" ca="1" si="42"/>
        <v>#N/A</v>
      </c>
      <c r="Y284" s="60" t="e">
        <f t="shared" ca="1" si="39"/>
        <v>#N/A</v>
      </c>
      <c r="Z284" s="60" t="e">
        <f t="shared" ca="1" si="40"/>
        <v>#N/A</v>
      </c>
    </row>
    <row r="285" spans="18:26" x14ac:dyDescent="0.25">
      <c r="R285" s="93" t="str">
        <f ca="1"/>
        <v/>
      </c>
      <c r="S285" s="62" t="str">
        <f t="shared" ca="1" si="41"/>
        <v/>
      </c>
      <c r="T285" s="62" t="e">
        <f t="shared" ca="1" si="35"/>
        <v>#N/A</v>
      </c>
      <c r="U285" s="62" t="e">
        <f t="shared" ca="1" si="36"/>
        <v>#N/A</v>
      </c>
      <c r="V285" s="62" t="e">
        <f t="shared" ca="1" si="37"/>
        <v>#N/A</v>
      </c>
      <c r="W285" s="60" t="e">
        <f t="shared" ca="1" si="38"/>
        <v>#N/A</v>
      </c>
      <c r="X285" s="60" t="e">
        <f t="shared" ca="1" si="42"/>
        <v>#N/A</v>
      </c>
      <c r="Y285" s="60" t="e">
        <f t="shared" ca="1" si="39"/>
        <v>#N/A</v>
      </c>
      <c r="Z285" s="60" t="e">
        <f t="shared" ca="1" si="40"/>
        <v>#N/A</v>
      </c>
    </row>
    <row r="286" spans="18:26" x14ac:dyDescent="0.25">
      <c r="R286" s="93" t="str">
        <f ca="1"/>
        <v/>
      </c>
      <c r="S286" s="62" t="str">
        <f t="shared" ca="1" si="41"/>
        <v/>
      </c>
      <c r="T286" s="62" t="e">
        <f t="shared" ca="1" si="35"/>
        <v>#N/A</v>
      </c>
      <c r="U286" s="62" t="e">
        <f t="shared" ca="1" si="36"/>
        <v>#N/A</v>
      </c>
      <c r="V286" s="62" t="e">
        <f t="shared" ca="1" si="37"/>
        <v>#N/A</v>
      </c>
      <c r="W286" s="60" t="e">
        <f t="shared" ca="1" si="38"/>
        <v>#N/A</v>
      </c>
      <c r="X286" s="60" t="e">
        <f t="shared" ca="1" si="42"/>
        <v>#N/A</v>
      </c>
      <c r="Y286" s="60" t="e">
        <f t="shared" ca="1" si="39"/>
        <v>#N/A</v>
      </c>
      <c r="Z286" s="60" t="e">
        <f t="shared" ca="1" si="40"/>
        <v>#N/A</v>
      </c>
    </row>
    <row r="287" spans="18:26" x14ac:dyDescent="0.25">
      <c r="R287" s="93" t="str">
        <f ca="1"/>
        <v/>
      </c>
      <c r="S287" s="62" t="str">
        <f t="shared" ca="1" si="41"/>
        <v/>
      </c>
      <c r="T287" s="62" t="e">
        <f t="shared" ca="1" si="35"/>
        <v>#N/A</v>
      </c>
      <c r="U287" s="62" t="e">
        <f t="shared" ca="1" si="36"/>
        <v>#N/A</v>
      </c>
      <c r="V287" s="62" t="e">
        <f t="shared" ca="1" si="37"/>
        <v>#N/A</v>
      </c>
      <c r="W287" s="60" t="e">
        <f t="shared" ca="1" si="38"/>
        <v>#N/A</v>
      </c>
      <c r="X287" s="60" t="e">
        <f t="shared" ca="1" si="42"/>
        <v>#N/A</v>
      </c>
      <c r="Y287" s="60" t="e">
        <f t="shared" ca="1" si="39"/>
        <v>#N/A</v>
      </c>
      <c r="Z287" s="60" t="e">
        <f t="shared" ca="1" si="40"/>
        <v>#N/A</v>
      </c>
    </row>
    <row r="288" spans="18:26" x14ac:dyDescent="0.25">
      <c r="R288" s="93" t="str">
        <f ca="1"/>
        <v/>
      </c>
      <c r="S288" s="62" t="str">
        <f t="shared" ca="1" si="41"/>
        <v/>
      </c>
      <c r="T288" s="62" t="e">
        <f t="shared" ca="1" si="35"/>
        <v>#N/A</v>
      </c>
      <c r="U288" s="62" t="e">
        <f t="shared" ca="1" si="36"/>
        <v>#N/A</v>
      </c>
      <c r="V288" s="62" t="e">
        <f t="shared" ca="1" si="37"/>
        <v>#N/A</v>
      </c>
      <c r="W288" s="60" t="e">
        <f t="shared" ca="1" si="38"/>
        <v>#N/A</v>
      </c>
      <c r="X288" s="60" t="e">
        <f t="shared" ca="1" si="42"/>
        <v>#N/A</v>
      </c>
      <c r="Y288" s="60" t="e">
        <f t="shared" ca="1" si="39"/>
        <v>#N/A</v>
      </c>
      <c r="Z288" s="60" t="e">
        <f t="shared" ca="1" si="40"/>
        <v>#N/A</v>
      </c>
    </row>
    <row r="289" spans="18:26" x14ac:dyDescent="0.25">
      <c r="R289" s="93" t="str">
        <f ca="1"/>
        <v/>
      </c>
      <c r="S289" s="62" t="str">
        <f t="shared" ca="1" si="41"/>
        <v/>
      </c>
      <c r="T289" s="62" t="e">
        <f t="shared" ca="1" si="35"/>
        <v>#N/A</v>
      </c>
      <c r="U289" s="62" t="e">
        <f t="shared" ca="1" si="36"/>
        <v>#N/A</v>
      </c>
      <c r="V289" s="62" t="e">
        <f t="shared" ca="1" si="37"/>
        <v>#N/A</v>
      </c>
      <c r="W289" s="60" t="e">
        <f t="shared" ca="1" si="38"/>
        <v>#N/A</v>
      </c>
      <c r="X289" s="60" t="e">
        <f t="shared" ca="1" si="42"/>
        <v>#N/A</v>
      </c>
      <c r="Y289" s="60" t="e">
        <f t="shared" ca="1" si="39"/>
        <v>#N/A</v>
      </c>
      <c r="Z289" s="60" t="e">
        <f t="shared" ca="1" si="40"/>
        <v>#N/A</v>
      </c>
    </row>
    <row r="290" spans="18:26" x14ac:dyDescent="0.25">
      <c r="R290" s="93" t="str">
        <f ca="1"/>
        <v/>
      </c>
      <c r="S290" s="62" t="str">
        <f t="shared" ca="1" si="41"/>
        <v/>
      </c>
      <c r="T290" s="62" t="e">
        <f t="shared" ca="1" si="35"/>
        <v>#N/A</v>
      </c>
      <c r="U290" s="62" t="e">
        <f t="shared" ca="1" si="36"/>
        <v>#N/A</v>
      </c>
      <c r="V290" s="62" t="e">
        <f t="shared" ca="1" si="37"/>
        <v>#N/A</v>
      </c>
      <c r="W290" s="60" t="e">
        <f t="shared" ca="1" si="38"/>
        <v>#N/A</v>
      </c>
      <c r="X290" s="60" t="e">
        <f t="shared" ca="1" si="42"/>
        <v>#N/A</v>
      </c>
      <c r="Y290" s="60" t="e">
        <f t="shared" ca="1" si="39"/>
        <v>#N/A</v>
      </c>
      <c r="Z290" s="60" t="e">
        <f t="shared" ca="1" si="40"/>
        <v>#N/A</v>
      </c>
    </row>
    <row r="291" spans="18:26" x14ac:dyDescent="0.25">
      <c r="R291" s="93" t="str">
        <f ca="1"/>
        <v/>
      </c>
      <c r="S291" s="62" t="str">
        <f t="shared" ca="1" si="41"/>
        <v/>
      </c>
      <c r="T291" s="62" t="e">
        <f t="shared" ca="1" si="35"/>
        <v>#N/A</v>
      </c>
      <c r="U291" s="62" t="e">
        <f t="shared" ca="1" si="36"/>
        <v>#N/A</v>
      </c>
      <c r="V291" s="62" t="e">
        <f t="shared" ca="1" si="37"/>
        <v>#N/A</v>
      </c>
      <c r="W291" s="60" t="e">
        <f t="shared" ca="1" si="38"/>
        <v>#N/A</v>
      </c>
      <c r="X291" s="60" t="e">
        <f t="shared" ca="1" si="42"/>
        <v>#N/A</v>
      </c>
      <c r="Y291" s="60" t="e">
        <f t="shared" ca="1" si="39"/>
        <v>#N/A</v>
      </c>
      <c r="Z291" s="60" t="e">
        <f t="shared" ca="1" si="40"/>
        <v>#N/A</v>
      </c>
    </row>
    <row r="292" spans="18:26" x14ac:dyDescent="0.25">
      <c r="R292" s="93" t="str">
        <f ca="1"/>
        <v/>
      </c>
      <c r="S292" s="62" t="str">
        <f t="shared" ca="1" si="41"/>
        <v/>
      </c>
      <c r="T292" s="62" t="e">
        <f t="shared" ca="1" si="35"/>
        <v>#N/A</v>
      </c>
      <c r="U292" s="62" t="e">
        <f t="shared" ca="1" si="36"/>
        <v>#N/A</v>
      </c>
      <c r="V292" s="62" t="e">
        <f t="shared" ca="1" si="37"/>
        <v>#N/A</v>
      </c>
      <c r="W292" s="60" t="e">
        <f t="shared" ca="1" si="38"/>
        <v>#N/A</v>
      </c>
      <c r="X292" s="60" t="e">
        <f t="shared" ca="1" si="42"/>
        <v>#N/A</v>
      </c>
      <c r="Y292" s="60" t="e">
        <f t="shared" ca="1" si="39"/>
        <v>#N/A</v>
      </c>
      <c r="Z292" s="60" t="e">
        <f t="shared" ca="1" si="40"/>
        <v>#N/A</v>
      </c>
    </row>
    <row r="293" spans="18:26" x14ac:dyDescent="0.25">
      <c r="R293" s="93" t="str">
        <f ca="1"/>
        <v/>
      </c>
      <c r="S293" s="62" t="str">
        <f t="shared" ca="1" si="41"/>
        <v/>
      </c>
      <c r="T293" s="62" t="e">
        <f t="shared" ca="1" si="35"/>
        <v>#N/A</v>
      </c>
      <c r="U293" s="62" t="e">
        <f t="shared" ca="1" si="36"/>
        <v>#N/A</v>
      </c>
      <c r="V293" s="62" t="e">
        <f t="shared" ca="1" si="37"/>
        <v>#N/A</v>
      </c>
      <c r="W293" s="60" t="e">
        <f t="shared" ca="1" si="38"/>
        <v>#N/A</v>
      </c>
      <c r="X293" s="60" t="e">
        <f t="shared" ca="1" si="42"/>
        <v>#N/A</v>
      </c>
      <c r="Y293" s="60" t="e">
        <f t="shared" ca="1" si="39"/>
        <v>#N/A</v>
      </c>
      <c r="Z293" s="60" t="e">
        <f t="shared" ca="1" si="40"/>
        <v>#N/A</v>
      </c>
    </row>
    <row r="294" spans="18:26" x14ac:dyDescent="0.25">
      <c r="R294" s="93" t="str">
        <f ca="1"/>
        <v/>
      </c>
      <c r="S294" s="62" t="str">
        <f t="shared" ca="1" si="41"/>
        <v/>
      </c>
      <c r="T294" s="62" t="e">
        <f t="shared" ca="1" si="35"/>
        <v>#N/A</v>
      </c>
      <c r="U294" s="62" t="e">
        <f t="shared" ca="1" si="36"/>
        <v>#N/A</v>
      </c>
      <c r="V294" s="62" t="e">
        <f t="shared" ca="1" si="37"/>
        <v>#N/A</v>
      </c>
      <c r="W294" s="60" t="e">
        <f t="shared" ca="1" si="38"/>
        <v>#N/A</v>
      </c>
      <c r="X294" s="60" t="e">
        <f t="shared" ca="1" si="42"/>
        <v>#N/A</v>
      </c>
      <c r="Y294" s="60" t="e">
        <f t="shared" ca="1" si="39"/>
        <v>#N/A</v>
      </c>
      <c r="Z294" s="60" t="e">
        <f t="shared" ca="1" si="40"/>
        <v>#N/A</v>
      </c>
    </row>
    <row r="295" spans="18:26" x14ac:dyDescent="0.25">
      <c r="R295" s="93" t="str">
        <f ca="1"/>
        <v/>
      </c>
      <c r="S295" s="62" t="str">
        <f t="shared" ca="1" si="41"/>
        <v/>
      </c>
      <c r="T295" s="62" t="e">
        <f t="shared" ca="1" si="35"/>
        <v>#N/A</v>
      </c>
      <c r="U295" s="62" t="e">
        <f t="shared" ca="1" si="36"/>
        <v>#N/A</v>
      </c>
      <c r="V295" s="62" t="e">
        <f t="shared" ca="1" si="37"/>
        <v>#N/A</v>
      </c>
      <c r="W295" s="60" t="e">
        <f t="shared" ca="1" si="38"/>
        <v>#N/A</v>
      </c>
      <c r="X295" s="60" t="e">
        <f t="shared" ca="1" si="42"/>
        <v>#N/A</v>
      </c>
      <c r="Y295" s="60" t="e">
        <f t="shared" ca="1" si="39"/>
        <v>#N/A</v>
      </c>
      <c r="Z295" s="60" t="e">
        <f t="shared" ca="1" si="40"/>
        <v>#N/A</v>
      </c>
    </row>
    <row r="296" spans="18:26" x14ac:dyDescent="0.25">
      <c r="R296" s="93" t="str">
        <f ca="1"/>
        <v/>
      </c>
      <c r="S296" s="62" t="str">
        <f t="shared" ca="1" si="41"/>
        <v/>
      </c>
      <c r="T296" s="62" t="e">
        <f t="shared" ca="1" si="35"/>
        <v>#N/A</v>
      </c>
      <c r="U296" s="62" t="e">
        <f t="shared" ca="1" si="36"/>
        <v>#N/A</v>
      </c>
      <c r="V296" s="62" t="e">
        <f t="shared" ca="1" si="37"/>
        <v>#N/A</v>
      </c>
      <c r="W296" s="60" t="e">
        <f t="shared" ca="1" si="38"/>
        <v>#N/A</v>
      </c>
      <c r="X296" s="60" t="e">
        <f t="shared" ca="1" si="42"/>
        <v>#N/A</v>
      </c>
      <c r="Y296" s="60" t="e">
        <f t="shared" ca="1" si="39"/>
        <v>#N/A</v>
      </c>
      <c r="Z296" s="60" t="e">
        <f t="shared" ca="1" si="40"/>
        <v>#N/A</v>
      </c>
    </row>
    <row r="297" spans="18:26" x14ac:dyDescent="0.25">
      <c r="R297" s="93" t="str">
        <f ca="1"/>
        <v/>
      </c>
      <c r="S297" s="62" t="str">
        <f t="shared" ca="1" si="41"/>
        <v/>
      </c>
      <c r="T297" s="62" t="e">
        <f t="shared" ca="1" si="35"/>
        <v>#N/A</v>
      </c>
      <c r="U297" s="62" t="e">
        <f t="shared" ca="1" si="36"/>
        <v>#N/A</v>
      </c>
      <c r="V297" s="62" t="e">
        <f t="shared" ca="1" si="37"/>
        <v>#N/A</v>
      </c>
      <c r="W297" s="60" t="e">
        <f t="shared" ca="1" si="38"/>
        <v>#N/A</v>
      </c>
      <c r="X297" s="60" t="e">
        <f t="shared" ca="1" si="42"/>
        <v>#N/A</v>
      </c>
      <c r="Y297" s="60" t="e">
        <f t="shared" ca="1" si="39"/>
        <v>#N/A</v>
      </c>
      <c r="Z297" s="60" t="e">
        <f t="shared" ca="1" si="40"/>
        <v>#N/A</v>
      </c>
    </row>
    <row r="298" spans="18:26" x14ac:dyDescent="0.25">
      <c r="R298" s="93" t="str">
        <f ca="1"/>
        <v/>
      </c>
      <c r="S298" s="62" t="str">
        <f t="shared" ca="1" si="41"/>
        <v/>
      </c>
      <c r="T298" s="62" t="e">
        <f t="shared" ca="1" si="35"/>
        <v>#N/A</v>
      </c>
      <c r="U298" s="62" t="e">
        <f t="shared" ca="1" si="36"/>
        <v>#N/A</v>
      </c>
      <c r="V298" s="62" t="e">
        <f t="shared" ca="1" si="37"/>
        <v>#N/A</v>
      </c>
      <c r="W298" s="60" t="e">
        <f t="shared" ca="1" si="38"/>
        <v>#N/A</v>
      </c>
      <c r="X298" s="60" t="e">
        <f t="shared" ca="1" si="42"/>
        <v>#N/A</v>
      </c>
      <c r="Y298" s="60" t="e">
        <f t="shared" ca="1" si="39"/>
        <v>#N/A</v>
      </c>
      <c r="Z298" s="60" t="e">
        <f t="shared" ca="1" si="40"/>
        <v>#N/A</v>
      </c>
    </row>
    <row r="299" spans="18:26" x14ac:dyDescent="0.25">
      <c r="R299" s="93" t="str">
        <f ca="1"/>
        <v/>
      </c>
      <c r="S299" s="62" t="str">
        <f t="shared" ca="1" si="41"/>
        <v/>
      </c>
      <c r="T299" s="62" t="e">
        <f t="shared" ca="1" si="35"/>
        <v>#N/A</v>
      </c>
      <c r="U299" s="62" t="e">
        <f t="shared" ca="1" si="36"/>
        <v>#N/A</v>
      </c>
      <c r="V299" s="62" t="e">
        <f t="shared" ca="1" si="37"/>
        <v>#N/A</v>
      </c>
      <c r="W299" s="60" t="e">
        <f t="shared" ca="1" si="38"/>
        <v>#N/A</v>
      </c>
      <c r="X299" s="60" t="e">
        <f t="shared" ca="1" si="42"/>
        <v>#N/A</v>
      </c>
      <c r="Y299" s="60" t="e">
        <f t="shared" ca="1" si="39"/>
        <v>#N/A</v>
      </c>
      <c r="Z299" s="60" t="e">
        <f t="shared" ca="1" si="40"/>
        <v>#N/A</v>
      </c>
    </row>
    <row r="300" spans="18:26" x14ac:dyDescent="0.25">
      <c r="R300" s="93" t="str">
        <f ca="1"/>
        <v/>
      </c>
      <c r="S300" s="62" t="str">
        <f t="shared" ca="1" si="41"/>
        <v/>
      </c>
      <c r="T300" s="62" t="e">
        <f t="shared" ca="1" si="35"/>
        <v>#N/A</v>
      </c>
      <c r="U300" s="62" t="e">
        <f t="shared" ca="1" si="36"/>
        <v>#N/A</v>
      </c>
      <c r="V300" s="62" t="e">
        <f t="shared" ca="1" si="37"/>
        <v>#N/A</v>
      </c>
      <c r="W300" s="60" t="e">
        <f t="shared" ca="1" si="38"/>
        <v>#N/A</v>
      </c>
      <c r="X300" s="60" t="e">
        <f t="shared" ca="1" si="42"/>
        <v>#N/A</v>
      </c>
      <c r="Y300" s="60" t="e">
        <f t="shared" ca="1" si="39"/>
        <v>#N/A</v>
      </c>
      <c r="Z300" s="60" t="e">
        <f t="shared" ca="1" si="40"/>
        <v>#N/A</v>
      </c>
    </row>
    <row r="301" spans="18:26" x14ac:dyDescent="0.25">
      <c r="R301" s="93" t="str">
        <f ca="1"/>
        <v/>
      </c>
      <c r="S301" s="62" t="str">
        <f t="shared" ca="1" si="41"/>
        <v/>
      </c>
      <c r="T301" s="62" t="e">
        <f t="shared" ca="1" si="35"/>
        <v>#N/A</v>
      </c>
      <c r="U301" s="62" t="e">
        <f t="shared" ca="1" si="36"/>
        <v>#N/A</v>
      </c>
      <c r="V301" s="62" t="e">
        <f t="shared" ca="1" si="37"/>
        <v>#N/A</v>
      </c>
      <c r="W301" s="60" t="e">
        <f t="shared" ca="1" si="38"/>
        <v>#N/A</v>
      </c>
      <c r="X301" s="60" t="e">
        <f t="shared" ca="1" si="42"/>
        <v>#N/A</v>
      </c>
      <c r="Y301" s="60" t="e">
        <f t="shared" ca="1" si="39"/>
        <v>#N/A</v>
      </c>
      <c r="Z301" s="60" t="e">
        <f t="shared" ca="1" si="40"/>
        <v>#N/A</v>
      </c>
    </row>
    <row r="302" spans="18:26" x14ac:dyDescent="0.25">
      <c r="R302" s="93" t="str">
        <f ca="1"/>
        <v/>
      </c>
      <c r="S302" s="62" t="str">
        <f t="shared" ca="1" si="41"/>
        <v/>
      </c>
      <c r="T302" s="62" t="e">
        <f t="shared" ca="1" si="35"/>
        <v>#N/A</v>
      </c>
      <c r="U302" s="62" t="e">
        <f t="shared" ca="1" si="36"/>
        <v>#N/A</v>
      </c>
      <c r="V302" s="62" t="e">
        <f t="shared" ca="1" si="37"/>
        <v>#N/A</v>
      </c>
      <c r="W302" s="60" t="e">
        <f t="shared" ca="1" si="38"/>
        <v>#N/A</v>
      </c>
      <c r="X302" s="60" t="e">
        <f t="shared" ca="1" si="42"/>
        <v>#N/A</v>
      </c>
      <c r="Y302" s="60" t="e">
        <f t="shared" ca="1" si="39"/>
        <v>#N/A</v>
      </c>
      <c r="Z302" s="60" t="e">
        <f t="shared" ca="1" si="40"/>
        <v>#N/A</v>
      </c>
    </row>
    <row r="303" spans="18:26" x14ac:dyDescent="0.25">
      <c r="R303" s="93" t="str">
        <f ca="1"/>
        <v/>
      </c>
      <c r="S303" s="62" t="str">
        <f t="shared" ca="1" si="41"/>
        <v/>
      </c>
      <c r="T303" s="62" t="e">
        <f t="shared" ca="1" si="35"/>
        <v>#N/A</v>
      </c>
      <c r="U303" s="62" t="e">
        <f t="shared" ca="1" si="36"/>
        <v>#N/A</v>
      </c>
      <c r="V303" s="62" t="e">
        <f t="shared" ca="1" si="37"/>
        <v>#N/A</v>
      </c>
      <c r="W303" s="60" t="e">
        <f t="shared" ca="1" si="38"/>
        <v>#N/A</v>
      </c>
      <c r="X303" s="60" t="e">
        <f t="shared" ca="1" si="42"/>
        <v>#N/A</v>
      </c>
      <c r="Y303" s="60" t="e">
        <f t="shared" ca="1" si="39"/>
        <v>#N/A</v>
      </c>
      <c r="Z303" s="60" t="e">
        <f t="shared" ca="1" si="40"/>
        <v>#N/A</v>
      </c>
    </row>
    <row r="304" spans="18:26" x14ac:dyDescent="0.25">
      <c r="R304" s="93" t="str">
        <f ca="1"/>
        <v/>
      </c>
      <c r="S304" s="62" t="str">
        <f t="shared" ca="1" si="41"/>
        <v/>
      </c>
      <c r="T304" s="62" t="e">
        <f t="shared" ca="1" si="35"/>
        <v>#N/A</v>
      </c>
      <c r="U304" s="62" t="e">
        <f t="shared" ca="1" si="36"/>
        <v>#N/A</v>
      </c>
      <c r="V304" s="62" t="e">
        <f t="shared" ca="1" si="37"/>
        <v>#N/A</v>
      </c>
      <c r="W304" s="60" t="e">
        <f t="shared" ca="1" si="38"/>
        <v>#N/A</v>
      </c>
      <c r="X304" s="60" t="e">
        <f t="shared" ca="1" si="42"/>
        <v>#N/A</v>
      </c>
      <c r="Y304" s="60" t="e">
        <f t="shared" ca="1" si="39"/>
        <v>#N/A</v>
      </c>
      <c r="Z304" s="60" t="e">
        <f t="shared" ca="1" si="40"/>
        <v>#N/A</v>
      </c>
    </row>
    <row r="305" spans="18:26" x14ac:dyDescent="0.25">
      <c r="R305" s="93" t="str">
        <f ca="1"/>
        <v/>
      </c>
      <c r="S305" s="62" t="str">
        <f t="shared" ca="1" si="41"/>
        <v/>
      </c>
      <c r="T305" s="62" t="e">
        <f t="shared" ca="1" si="35"/>
        <v>#N/A</v>
      </c>
      <c r="U305" s="62" t="e">
        <f t="shared" ca="1" si="36"/>
        <v>#N/A</v>
      </c>
      <c r="V305" s="62" t="e">
        <f t="shared" ca="1" si="37"/>
        <v>#N/A</v>
      </c>
      <c r="W305" s="60" t="e">
        <f t="shared" ca="1" si="38"/>
        <v>#N/A</v>
      </c>
      <c r="X305" s="60" t="e">
        <f t="shared" ca="1" si="42"/>
        <v>#N/A</v>
      </c>
      <c r="Y305" s="60" t="e">
        <f t="shared" ca="1" si="39"/>
        <v>#N/A</v>
      </c>
      <c r="Z305" s="60" t="e">
        <f t="shared" ca="1" si="40"/>
        <v>#N/A</v>
      </c>
    </row>
    <row r="306" spans="18:26" x14ac:dyDescent="0.25">
      <c r="R306" s="93" t="str">
        <f ca="1"/>
        <v/>
      </c>
      <c r="S306" s="62" t="str">
        <f t="shared" ca="1" si="41"/>
        <v/>
      </c>
      <c r="T306" s="62" t="e">
        <f t="shared" ca="1" si="35"/>
        <v>#N/A</v>
      </c>
      <c r="U306" s="62" t="e">
        <f t="shared" ca="1" si="36"/>
        <v>#N/A</v>
      </c>
      <c r="V306" s="62" t="e">
        <f t="shared" ca="1" si="37"/>
        <v>#N/A</v>
      </c>
      <c r="W306" s="60" t="e">
        <f t="shared" ca="1" si="38"/>
        <v>#N/A</v>
      </c>
      <c r="X306" s="60" t="e">
        <f t="shared" ca="1" si="42"/>
        <v>#N/A</v>
      </c>
      <c r="Y306" s="60" t="e">
        <f t="shared" ca="1" si="39"/>
        <v>#N/A</v>
      </c>
      <c r="Z306" s="60" t="e">
        <f t="shared" ca="1" si="40"/>
        <v>#N/A</v>
      </c>
    </row>
    <row r="307" spans="18:26" x14ac:dyDescent="0.25">
      <c r="R307" s="93" t="str">
        <f ca="1"/>
        <v/>
      </c>
      <c r="S307" s="62" t="str">
        <f t="shared" ca="1" si="41"/>
        <v/>
      </c>
      <c r="T307" s="62" t="e">
        <f t="shared" ca="1" si="35"/>
        <v>#N/A</v>
      </c>
      <c r="U307" s="62" t="e">
        <f t="shared" ca="1" si="36"/>
        <v>#N/A</v>
      </c>
      <c r="V307" s="62" t="e">
        <f t="shared" ca="1" si="37"/>
        <v>#N/A</v>
      </c>
      <c r="W307" s="60" t="e">
        <f t="shared" ca="1" si="38"/>
        <v>#N/A</v>
      </c>
      <c r="X307" s="60" t="e">
        <f t="shared" ca="1" si="42"/>
        <v>#N/A</v>
      </c>
      <c r="Y307" s="60" t="e">
        <f t="shared" ca="1" si="39"/>
        <v>#N/A</v>
      </c>
      <c r="Z307" s="60" t="e">
        <f t="shared" ca="1" si="40"/>
        <v>#N/A</v>
      </c>
    </row>
    <row r="308" spans="18:26" x14ac:dyDescent="0.25">
      <c r="R308" s="93" t="str">
        <f ca="1"/>
        <v/>
      </c>
      <c r="S308" s="62" t="str">
        <f t="shared" ca="1" si="41"/>
        <v/>
      </c>
      <c r="T308" s="62" t="e">
        <f t="shared" ca="1" si="35"/>
        <v>#N/A</v>
      </c>
      <c r="U308" s="62" t="e">
        <f t="shared" ca="1" si="36"/>
        <v>#N/A</v>
      </c>
      <c r="V308" s="62" t="e">
        <f t="shared" ca="1" si="37"/>
        <v>#N/A</v>
      </c>
      <c r="W308" s="60" t="e">
        <f t="shared" ca="1" si="38"/>
        <v>#N/A</v>
      </c>
      <c r="X308" s="60" t="e">
        <f t="shared" ca="1" si="42"/>
        <v>#N/A</v>
      </c>
      <c r="Y308" s="60" t="e">
        <f t="shared" ca="1" si="39"/>
        <v>#N/A</v>
      </c>
      <c r="Z308" s="60" t="e">
        <f t="shared" ca="1" si="40"/>
        <v>#N/A</v>
      </c>
    </row>
    <row r="309" spans="18:26" x14ac:dyDescent="0.25">
      <c r="R309" s="93" t="str">
        <f ca="1"/>
        <v/>
      </c>
      <c r="S309" s="62" t="str">
        <f t="shared" ca="1" si="41"/>
        <v/>
      </c>
      <c r="T309" s="62" t="e">
        <f t="shared" ca="1" si="35"/>
        <v>#N/A</v>
      </c>
      <c r="U309" s="62" t="e">
        <f t="shared" ca="1" si="36"/>
        <v>#N/A</v>
      </c>
      <c r="V309" s="62" t="e">
        <f t="shared" ca="1" si="37"/>
        <v>#N/A</v>
      </c>
      <c r="W309" s="60" t="e">
        <f t="shared" ca="1" si="38"/>
        <v>#N/A</v>
      </c>
      <c r="X309" s="60" t="e">
        <f t="shared" ca="1" si="42"/>
        <v>#N/A</v>
      </c>
      <c r="Y309" s="60" t="e">
        <f t="shared" ca="1" si="39"/>
        <v>#N/A</v>
      </c>
      <c r="Z309" s="60" t="e">
        <f t="shared" ca="1" si="40"/>
        <v>#N/A</v>
      </c>
    </row>
    <row r="310" spans="18:26" x14ac:dyDescent="0.25">
      <c r="R310" s="93" t="str">
        <f ca="1"/>
        <v/>
      </c>
      <c r="S310" s="62" t="str">
        <f t="shared" ca="1" si="41"/>
        <v/>
      </c>
      <c r="T310" s="62" t="e">
        <f t="shared" ca="1" si="35"/>
        <v>#N/A</v>
      </c>
      <c r="U310" s="62" t="e">
        <f t="shared" ca="1" si="36"/>
        <v>#N/A</v>
      </c>
      <c r="V310" s="62" t="e">
        <f t="shared" ca="1" si="37"/>
        <v>#N/A</v>
      </c>
      <c r="W310" s="60" t="e">
        <f t="shared" ca="1" si="38"/>
        <v>#N/A</v>
      </c>
      <c r="X310" s="60" t="e">
        <f t="shared" ca="1" si="42"/>
        <v>#N/A</v>
      </c>
      <c r="Y310" s="60" t="e">
        <f t="shared" ca="1" si="39"/>
        <v>#N/A</v>
      </c>
      <c r="Z310" s="60" t="e">
        <f t="shared" ca="1" si="40"/>
        <v>#N/A</v>
      </c>
    </row>
    <row r="311" spans="18:26" x14ac:dyDescent="0.25">
      <c r="R311" s="93" t="str">
        <f ca="1"/>
        <v/>
      </c>
      <c r="S311" s="62" t="str">
        <f t="shared" ca="1" si="41"/>
        <v/>
      </c>
      <c r="T311" s="62" t="e">
        <f t="shared" ca="1" si="35"/>
        <v>#N/A</v>
      </c>
      <c r="U311" s="62" t="e">
        <f t="shared" ca="1" si="36"/>
        <v>#N/A</v>
      </c>
      <c r="V311" s="62" t="e">
        <f t="shared" ca="1" si="37"/>
        <v>#N/A</v>
      </c>
      <c r="W311" s="60" t="e">
        <f t="shared" ca="1" si="38"/>
        <v>#N/A</v>
      </c>
      <c r="X311" s="60" t="e">
        <f t="shared" ca="1" si="42"/>
        <v>#N/A</v>
      </c>
      <c r="Y311" s="60" t="e">
        <f t="shared" ca="1" si="39"/>
        <v>#N/A</v>
      </c>
      <c r="Z311" s="60" t="e">
        <f t="shared" ca="1" si="40"/>
        <v>#N/A</v>
      </c>
    </row>
    <row r="312" spans="18:26" x14ac:dyDescent="0.25">
      <c r="R312" s="93" t="str">
        <f ca="1"/>
        <v/>
      </c>
      <c r="S312" s="62" t="str">
        <f t="shared" ca="1" si="41"/>
        <v/>
      </c>
      <c r="T312" s="62" t="e">
        <f t="shared" ca="1" si="35"/>
        <v>#N/A</v>
      </c>
      <c r="U312" s="62" t="e">
        <f t="shared" ca="1" si="36"/>
        <v>#N/A</v>
      </c>
      <c r="V312" s="62" t="e">
        <f t="shared" ca="1" si="37"/>
        <v>#N/A</v>
      </c>
      <c r="W312" s="60" t="e">
        <f t="shared" ca="1" si="38"/>
        <v>#N/A</v>
      </c>
      <c r="X312" s="60" t="e">
        <f t="shared" ca="1" si="42"/>
        <v>#N/A</v>
      </c>
      <c r="Y312" s="60" t="e">
        <f t="shared" ca="1" si="39"/>
        <v>#N/A</v>
      </c>
      <c r="Z312" s="60" t="e">
        <f t="shared" ca="1" si="40"/>
        <v>#N/A</v>
      </c>
    </row>
    <row r="313" spans="18:26" x14ac:dyDescent="0.25">
      <c r="R313" s="93" t="str">
        <f ca="1"/>
        <v/>
      </c>
      <c r="S313" s="62" t="str">
        <f t="shared" ca="1" si="41"/>
        <v/>
      </c>
      <c r="T313" s="62" t="e">
        <f t="shared" ca="1" si="35"/>
        <v>#N/A</v>
      </c>
      <c r="U313" s="62" t="e">
        <f t="shared" ca="1" si="36"/>
        <v>#N/A</v>
      </c>
      <c r="V313" s="62" t="e">
        <f t="shared" ca="1" si="37"/>
        <v>#N/A</v>
      </c>
      <c r="W313" s="60" t="e">
        <f t="shared" ca="1" si="38"/>
        <v>#N/A</v>
      </c>
      <c r="X313" s="60" t="e">
        <f t="shared" ca="1" si="42"/>
        <v>#N/A</v>
      </c>
      <c r="Y313" s="60" t="e">
        <f t="shared" ca="1" si="39"/>
        <v>#N/A</v>
      </c>
      <c r="Z313" s="60" t="e">
        <f t="shared" ca="1" si="40"/>
        <v>#N/A</v>
      </c>
    </row>
    <row r="314" spans="18:26" x14ac:dyDescent="0.25">
      <c r="R314" s="93" t="str">
        <f ca="1"/>
        <v/>
      </c>
      <c r="S314" s="62" t="str">
        <f t="shared" ca="1" si="41"/>
        <v/>
      </c>
      <c r="T314" s="62" t="e">
        <f t="shared" ca="1" si="35"/>
        <v>#N/A</v>
      </c>
      <c r="U314" s="62" t="e">
        <f t="shared" ca="1" si="36"/>
        <v>#N/A</v>
      </c>
      <c r="V314" s="62" t="e">
        <f t="shared" ca="1" si="37"/>
        <v>#N/A</v>
      </c>
      <c r="W314" s="60" t="e">
        <f t="shared" ca="1" si="38"/>
        <v>#N/A</v>
      </c>
      <c r="X314" s="60" t="e">
        <f t="shared" ca="1" si="42"/>
        <v>#N/A</v>
      </c>
      <c r="Y314" s="60" t="e">
        <f t="shared" ca="1" si="39"/>
        <v>#N/A</v>
      </c>
      <c r="Z314" s="60" t="e">
        <f t="shared" ca="1" si="40"/>
        <v>#N/A</v>
      </c>
    </row>
    <row r="315" spans="18:26" x14ac:dyDescent="0.25">
      <c r="R315" s="93" t="str">
        <f ca="1"/>
        <v/>
      </c>
      <c r="S315" s="62" t="str">
        <f t="shared" ca="1" si="41"/>
        <v/>
      </c>
      <c r="T315" s="62" t="e">
        <f t="shared" ca="1" si="35"/>
        <v>#N/A</v>
      </c>
      <c r="U315" s="62" t="e">
        <f t="shared" ca="1" si="36"/>
        <v>#N/A</v>
      </c>
      <c r="V315" s="62" t="e">
        <f t="shared" ca="1" si="37"/>
        <v>#N/A</v>
      </c>
      <c r="W315" s="60" t="e">
        <f t="shared" ca="1" si="38"/>
        <v>#N/A</v>
      </c>
      <c r="X315" s="60" t="e">
        <f t="shared" ca="1" si="42"/>
        <v>#N/A</v>
      </c>
      <c r="Y315" s="60" t="e">
        <f t="shared" ca="1" si="39"/>
        <v>#N/A</v>
      </c>
      <c r="Z315" s="60" t="e">
        <f t="shared" ca="1" si="40"/>
        <v>#N/A</v>
      </c>
    </row>
    <row r="316" spans="18:26" x14ac:dyDescent="0.25">
      <c r="R316" s="93" t="str">
        <f ca="1"/>
        <v/>
      </c>
      <c r="S316" s="62" t="str">
        <f t="shared" ca="1" si="41"/>
        <v/>
      </c>
      <c r="T316" s="62" t="e">
        <f t="shared" ca="1" si="35"/>
        <v>#N/A</v>
      </c>
      <c r="U316" s="62" t="e">
        <f t="shared" ca="1" si="36"/>
        <v>#N/A</v>
      </c>
      <c r="V316" s="62" t="e">
        <f t="shared" ca="1" si="37"/>
        <v>#N/A</v>
      </c>
      <c r="W316" s="60" t="e">
        <f t="shared" ca="1" si="38"/>
        <v>#N/A</v>
      </c>
      <c r="X316" s="60" t="e">
        <f t="shared" ca="1" si="42"/>
        <v>#N/A</v>
      </c>
      <c r="Y316" s="60" t="e">
        <f t="shared" ca="1" si="39"/>
        <v>#N/A</v>
      </c>
      <c r="Z316" s="60" t="e">
        <f t="shared" ca="1" si="40"/>
        <v>#N/A</v>
      </c>
    </row>
    <row r="317" spans="18:26" x14ac:dyDescent="0.25">
      <c r="R317" s="93" t="str">
        <f ca="1"/>
        <v/>
      </c>
      <c r="S317" s="62" t="str">
        <f t="shared" ca="1" si="41"/>
        <v/>
      </c>
      <c r="T317" s="62" t="e">
        <f t="shared" ca="1" si="35"/>
        <v>#N/A</v>
      </c>
      <c r="U317" s="62" t="e">
        <f t="shared" ca="1" si="36"/>
        <v>#N/A</v>
      </c>
      <c r="V317" s="62" t="e">
        <f t="shared" ca="1" si="37"/>
        <v>#N/A</v>
      </c>
      <c r="W317" s="60" t="e">
        <f t="shared" ca="1" si="38"/>
        <v>#N/A</v>
      </c>
      <c r="X317" s="60" t="e">
        <f t="shared" ca="1" si="42"/>
        <v>#N/A</v>
      </c>
      <c r="Y317" s="60" t="e">
        <f t="shared" ca="1" si="39"/>
        <v>#N/A</v>
      </c>
      <c r="Z317" s="60" t="e">
        <f t="shared" ca="1" si="40"/>
        <v>#N/A</v>
      </c>
    </row>
    <row r="318" spans="18:26" x14ac:dyDescent="0.25">
      <c r="R318" s="93" t="str">
        <f ca="1"/>
        <v/>
      </c>
      <c r="S318" s="62" t="str">
        <f t="shared" ca="1" si="41"/>
        <v/>
      </c>
      <c r="T318" s="62" t="e">
        <f t="shared" ca="1" si="35"/>
        <v>#N/A</v>
      </c>
      <c r="U318" s="62" t="e">
        <f t="shared" ca="1" si="36"/>
        <v>#N/A</v>
      </c>
      <c r="V318" s="62" t="e">
        <f t="shared" ca="1" si="37"/>
        <v>#N/A</v>
      </c>
      <c r="W318" s="60" t="e">
        <f t="shared" ca="1" si="38"/>
        <v>#N/A</v>
      </c>
      <c r="X318" s="60" t="e">
        <f t="shared" ca="1" si="42"/>
        <v>#N/A</v>
      </c>
      <c r="Y318" s="60" t="e">
        <f t="shared" ca="1" si="39"/>
        <v>#N/A</v>
      </c>
      <c r="Z318" s="60" t="e">
        <f t="shared" ca="1" si="40"/>
        <v>#N/A</v>
      </c>
    </row>
    <row r="319" spans="18:26" x14ac:dyDescent="0.25">
      <c r="R319" s="93" t="str">
        <f ca="1"/>
        <v/>
      </c>
      <c r="S319" s="62" t="str">
        <f t="shared" ca="1" si="41"/>
        <v/>
      </c>
      <c r="T319" s="62" t="e">
        <f t="shared" ca="1" si="35"/>
        <v>#N/A</v>
      </c>
      <c r="U319" s="62" t="e">
        <f t="shared" ca="1" si="36"/>
        <v>#N/A</v>
      </c>
      <c r="V319" s="62" t="e">
        <f t="shared" ca="1" si="37"/>
        <v>#N/A</v>
      </c>
      <c r="W319" s="60" t="e">
        <f t="shared" ca="1" si="38"/>
        <v>#N/A</v>
      </c>
      <c r="X319" s="60" t="e">
        <f t="shared" ca="1" si="42"/>
        <v>#N/A</v>
      </c>
      <c r="Y319" s="60" t="e">
        <f t="shared" ca="1" si="39"/>
        <v>#N/A</v>
      </c>
      <c r="Z319" s="60" t="e">
        <f t="shared" ca="1" si="40"/>
        <v>#N/A</v>
      </c>
    </row>
    <row r="320" spans="18:26" x14ac:dyDescent="0.25">
      <c r="R320" s="93" t="str">
        <f ca="1"/>
        <v/>
      </c>
      <c r="S320" s="62" t="str">
        <f t="shared" ca="1" si="41"/>
        <v/>
      </c>
      <c r="T320" s="62" t="e">
        <f t="shared" ca="1" si="35"/>
        <v>#N/A</v>
      </c>
      <c r="U320" s="62" t="e">
        <f t="shared" ca="1" si="36"/>
        <v>#N/A</v>
      </c>
      <c r="V320" s="62" t="e">
        <f t="shared" ca="1" si="37"/>
        <v>#N/A</v>
      </c>
      <c r="W320" s="60" t="e">
        <f t="shared" ca="1" si="38"/>
        <v>#N/A</v>
      </c>
      <c r="X320" s="60" t="e">
        <f t="shared" ca="1" si="42"/>
        <v>#N/A</v>
      </c>
      <c r="Y320" s="60" t="e">
        <f t="shared" ca="1" si="39"/>
        <v>#N/A</v>
      </c>
      <c r="Z320" s="60" t="e">
        <f t="shared" ca="1" si="40"/>
        <v>#N/A</v>
      </c>
    </row>
    <row r="321" spans="18:26" x14ac:dyDescent="0.25">
      <c r="R321" s="93" t="str">
        <f ca="1"/>
        <v/>
      </c>
      <c r="S321" s="62" t="str">
        <f t="shared" ca="1" si="41"/>
        <v/>
      </c>
      <c r="T321" s="62" t="e">
        <f t="shared" ca="1" si="35"/>
        <v>#N/A</v>
      </c>
      <c r="U321" s="62" t="e">
        <f t="shared" ca="1" si="36"/>
        <v>#N/A</v>
      </c>
      <c r="V321" s="62" t="e">
        <f t="shared" ca="1" si="37"/>
        <v>#N/A</v>
      </c>
      <c r="W321" s="60" t="e">
        <f t="shared" ca="1" si="38"/>
        <v>#N/A</v>
      </c>
      <c r="X321" s="60" t="e">
        <f t="shared" ca="1" si="42"/>
        <v>#N/A</v>
      </c>
      <c r="Y321" s="60" t="e">
        <f t="shared" ca="1" si="39"/>
        <v>#N/A</v>
      </c>
      <c r="Z321" s="60" t="e">
        <f t="shared" ca="1" si="40"/>
        <v>#N/A</v>
      </c>
    </row>
    <row r="322" spans="18:26" x14ac:dyDescent="0.25">
      <c r="R322" s="93" t="str">
        <f ca="1"/>
        <v/>
      </c>
      <c r="S322" s="62" t="str">
        <f t="shared" ca="1" si="41"/>
        <v/>
      </c>
      <c r="T322" s="62" t="e">
        <f t="shared" ca="1" si="35"/>
        <v>#N/A</v>
      </c>
      <c r="U322" s="62" t="e">
        <f t="shared" ca="1" si="36"/>
        <v>#N/A</v>
      </c>
      <c r="V322" s="62" t="e">
        <f t="shared" ca="1" si="37"/>
        <v>#N/A</v>
      </c>
      <c r="W322" s="60" t="e">
        <f t="shared" ca="1" si="38"/>
        <v>#N/A</v>
      </c>
      <c r="X322" s="60" t="e">
        <f t="shared" ca="1" si="42"/>
        <v>#N/A</v>
      </c>
      <c r="Y322" s="60" t="e">
        <f t="shared" ca="1" si="39"/>
        <v>#N/A</v>
      </c>
      <c r="Z322" s="60" t="e">
        <f t="shared" ca="1" si="40"/>
        <v>#N/A</v>
      </c>
    </row>
    <row r="323" spans="18:26" x14ac:dyDescent="0.25">
      <c r="R323" s="93" t="str">
        <f ca="1"/>
        <v/>
      </c>
      <c r="S323" s="62" t="str">
        <f t="shared" ca="1" si="41"/>
        <v/>
      </c>
      <c r="T323" s="62" t="e">
        <f t="shared" ca="1" si="35"/>
        <v>#N/A</v>
      </c>
      <c r="U323" s="62" t="e">
        <f t="shared" ca="1" si="36"/>
        <v>#N/A</v>
      </c>
      <c r="V323" s="62" t="e">
        <f t="shared" ca="1" si="37"/>
        <v>#N/A</v>
      </c>
      <c r="W323" s="60" t="e">
        <f t="shared" ca="1" si="38"/>
        <v>#N/A</v>
      </c>
      <c r="X323" s="60" t="e">
        <f t="shared" ca="1" si="42"/>
        <v>#N/A</v>
      </c>
      <c r="Y323" s="60" t="e">
        <f t="shared" ca="1" si="39"/>
        <v>#N/A</v>
      </c>
      <c r="Z323" s="60" t="e">
        <f t="shared" ca="1" si="40"/>
        <v>#N/A</v>
      </c>
    </row>
    <row r="324" spans="18:26" x14ac:dyDescent="0.25">
      <c r="R324" s="93" t="str">
        <f ca="1"/>
        <v/>
      </c>
      <c r="S324" s="62" t="str">
        <f t="shared" ca="1" si="41"/>
        <v/>
      </c>
      <c r="T324" s="62" t="e">
        <f t="shared" ca="1" si="35"/>
        <v>#N/A</v>
      </c>
      <c r="U324" s="62" t="e">
        <f t="shared" ca="1" si="36"/>
        <v>#N/A</v>
      </c>
      <c r="V324" s="62" t="e">
        <f t="shared" ca="1" si="37"/>
        <v>#N/A</v>
      </c>
      <c r="W324" s="60" t="e">
        <f t="shared" ca="1" si="38"/>
        <v>#N/A</v>
      </c>
      <c r="X324" s="60" t="e">
        <f t="shared" ca="1" si="42"/>
        <v>#N/A</v>
      </c>
      <c r="Y324" s="60" t="e">
        <f t="shared" ca="1" si="39"/>
        <v>#N/A</v>
      </c>
      <c r="Z324" s="60" t="e">
        <f t="shared" ca="1" si="40"/>
        <v>#N/A</v>
      </c>
    </row>
    <row r="325" spans="18:26" x14ac:dyDescent="0.25">
      <c r="R325" s="93" t="str">
        <f ca="1"/>
        <v/>
      </c>
      <c r="S325" s="62" t="str">
        <f t="shared" ca="1" si="41"/>
        <v/>
      </c>
      <c r="T325" s="62" t="e">
        <f t="shared" ca="1" si="35"/>
        <v>#N/A</v>
      </c>
      <c r="U325" s="62" t="e">
        <f t="shared" ca="1" si="36"/>
        <v>#N/A</v>
      </c>
      <c r="V325" s="62" t="e">
        <f t="shared" ca="1" si="37"/>
        <v>#N/A</v>
      </c>
      <c r="W325" s="60" t="e">
        <f t="shared" ca="1" si="38"/>
        <v>#N/A</v>
      </c>
      <c r="X325" s="60" t="e">
        <f t="shared" ca="1" si="42"/>
        <v>#N/A</v>
      </c>
      <c r="Y325" s="60" t="e">
        <f t="shared" ca="1" si="39"/>
        <v>#N/A</v>
      </c>
      <c r="Z325" s="60" t="e">
        <f t="shared" ca="1" si="40"/>
        <v>#N/A</v>
      </c>
    </row>
    <row r="326" spans="18:26" x14ac:dyDescent="0.25">
      <c r="R326" s="93" t="str">
        <f ca="1"/>
        <v/>
      </c>
      <c r="S326" s="62" t="str">
        <f t="shared" ca="1" si="41"/>
        <v/>
      </c>
      <c r="T326" s="62" t="e">
        <f t="shared" ca="1" si="35"/>
        <v>#N/A</v>
      </c>
      <c r="U326" s="62" t="e">
        <f t="shared" ca="1" si="36"/>
        <v>#N/A</v>
      </c>
      <c r="V326" s="62" t="e">
        <f t="shared" ca="1" si="37"/>
        <v>#N/A</v>
      </c>
      <c r="W326" s="60" t="e">
        <f t="shared" ca="1" si="38"/>
        <v>#N/A</v>
      </c>
      <c r="X326" s="60" t="e">
        <f t="shared" ca="1" si="42"/>
        <v>#N/A</v>
      </c>
      <c r="Y326" s="60" t="e">
        <f t="shared" ca="1" si="39"/>
        <v>#N/A</v>
      </c>
      <c r="Z326" s="60" t="e">
        <f t="shared" ca="1" si="40"/>
        <v>#N/A</v>
      </c>
    </row>
    <row r="327" spans="18:26" x14ac:dyDescent="0.25">
      <c r="R327" s="93" t="str">
        <f ca="1"/>
        <v/>
      </c>
      <c r="S327" s="62" t="str">
        <f t="shared" ca="1" si="41"/>
        <v/>
      </c>
      <c r="T327" s="62" t="e">
        <f t="shared" ca="1" si="35"/>
        <v>#N/A</v>
      </c>
      <c r="U327" s="62" t="e">
        <f t="shared" ca="1" si="36"/>
        <v>#N/A</v>
      </c>
      <c r="V327" s="62" t="e">
        <f t="shared" ca="1" si="37"/>
        <v>#N/A</v>
      </c>
      <c r="W327" s="60" t="e">
        <f t="shared" ca="1" si="38"/>
        <v>#N/A</v>
      </c>
      <c r="X327" s="60" t="e">
        <f t="shared" ca="1" si="42"/>
        <v>#N/A</v>
      </c>
      <c r="Y327" s="60" t="e">
        <f t="shared" ca="1" si="39"/>
        <v>#N/A</v>
      </c>
      <c r="Z327" s="60" t="e">
        <f t="shared" ca="1" si="40"/>
        <v>#N/A</v>
      </c>
    </row>
    <row r="328" spans="18:26" x14ac:dyDescent="0.25">
      <c r="R328" s="93" t="str">
        <f ca="1"/>
        <v/>
      </c>
      <c r="S328" s="62" t="str">
        <f t="shared" ca="1" si="41"/>
        <v/>
      </c>
      <c r="T328" s="62" t="e">
        <f t="shared" ca="1" si="35"/>
        <v>#N/A</v>
      </c>
      <c r="U328" s="62" t="e">
        <f t="shared" ca="1" si="36"/>
        <v>#N/A</v>
      </c>
      <c r="V328" s="62" t="e">
        <f t="shared" ca="1" si="37"/>
        <v>#N/A</v>
      </c>
      <c r="W328" s="60" t="e">
        <f t="shared" ca="1" si="38"/>
        <v>#N/A</v>
      </c>
      <c r="X328" s="60" t="e">
        <f t="shared" ca="1" si="42"/>
        <v>#N/A</v>
      </c>
      <c r="Y328" s="60" t="e">
        <f t="shared" ca="1" si="39"/>
        <v>#N/A</v>
      </c>
      <c r="Z328" s="60" t="e">
        <f t="shared" ca="1" si="40"/>
        <v>#N/A</v>
      </c>
    </row>
    <row r="329" spans="18:26" x14ac:dyDescent="0.25">
      <c r="R329" s="93" t="str">
        <f ca="1"/>
        <v/>
      </c>
      <c r="S329" s="62" t="str">
        <f t="shared" ca="1" si="41"/>
        <v/>
      </c>
      <c r="T329" s="62" t="e">
        <f t="shared" ca="1" si="35"/>
        <v>#N/A</v>
      </c>
      <c r="U329" s="62" t="e">
        <f t="shared" ca="1" si="36"/>
        <v>#N/A</v>
      </c>
      <c r="V329" s="62" t="e">
        <f t="shared" ca="1" si="37"/>
        <v>#N/A</v>
      </c>
      <c r="W329" s="60" t="e">
        <f t="shared" ca="1" si="38"/>
        <v>#N/A</v>
      </c>
      <c r="X329" s="60" t="e">
        <f t="shared" ca="1" si="42"/>
        <v>#N/A</v>
      </c>
      <c r="Y329" s="60" t="e">
        <f t="shared" ca="1" si="39"/>
        <v>#N/A</v>
      </c>
      <c r="Z329" s="60" t="e">
        <f t="shared" ca="1" si="40"/>
        <v>#N/A</v>
      </c>
    </row>
    <row r="330" spans="18:26" x14ac:dyDescent="0.25">
      <c r="R330" s="93" t="str">
        <f ca="1"/>
        <v/>
      </c>
      <c r="S330" s="62" t="str">
        <f t="shared" ca="1" si="41"/>
        <v/>
      </c>
      <c r="T330" s="62" t="e">
        <f t="shared" ca="1" si="35"/>
        <v>#N/A</v>
      </c>
      <c r="U330" s="62" t="e">
        <f t="shared" ca="1" si="36"/>
        <v>#N/A</v>
      </c>
      <c r="V330" s="62" t="e">
        <f t="shared" ca="1" si="37"/>
        <v>#N/A</v>
      </c>
      <c r="W330" s="60" t="e">
        <f t="shared" ca="1" si="38"/>
        <v>#N/A</v>
      </c>
      <c r="X330" s="60" t="e">
        <f t="shared" ca="1" si="42"/>
        <v>#N/A</v>
      </c>
      <c r="Y330" s="60" t="e">
        <f t="shared" ca="1" si="39"/>
        <v>#N/A</v>
      </c>
      <c r="Z330" s="60" t="e">
        <f t="shared" ca="1" si="40"/>
        <v>#N/A</v>
      </c>
    </row>
    <row r="331" spans="18:26" x14ac:dyDescent="0.25">
      <c r="R331" s="93" t="str">
        <f ca="1"/>
        <v/>
      </c>
      <c r="S331" s="62" t="str">
        <f t="shared" ca="1" si="41"/>
        <v/>
      </c>
      <c r="T331" s="62" t="e">
        <f t="shared" ca="1" si="35"/>
        <v>#N/A</v>
      </c>
      <c r="U331" s="62" t="e">
        <f t="shared" ca="1" si="36"/>
        <v>#N/A</v>
      </c>
      <c r="V331" s="62" t="e">
        <f t="shared" ca="1" si="37"/>
        <v>#N/A</v>
      </c>
      <c r="W331" s="60" t="e">
        <f t="shared" ca="1" si="38"/>
        <v>#N/A</v>
      </c>
      <c r="X331" s="60" t="e">
        <f t="shared" ca="1" si="42"/>
        <v>#N/A</v>
      </c>
      <c r="Y331" s="60" t="e">
        <f t="shared" ca="1" si="39"/>
        <v>#N/A</v>
      </c>
      <c r="Z331" s="60" t="e">
        <f t="shared" ca="1" si="40"/>
        <v>#N/A</v>
      </c>
    </row>
    <row r="332" spans="18:26" x14ac:dyDescent="0.25">
      <c r="R332" s="93" t="str">
        <f ca="1"/>
        <v/>
      </c>
      <c r="S332" s="62" t="str">
        <f t="shared" ca="1" si="41"/>
        <v/>
      </c>
      <c r="T332" s="62" t="e">
        <f t="shared" ca="1" si="35"/>
        <v>#N/A</v>
      </c>
      <c r="U332" s="62" t="e">
        <f t="shared" ca="1" si="36"/>
        <v>#N/A</v>
      </c>
      <c r="V332" s="62" t="e">
        <f t="shared" ca="1" si="37"/>
        <v>#N/A</v>
      </c>
      <c r="W332" s="60" t="e">
        <f t="shared" ca="1" si="38"/>
        <v>#N/A</v>
      </c>
      <c r="X332" s="60" t="e">
        <f t="shared" ca="1" si="42"/>
        <v>#N/A</v>
      </c>
      <c r="Y332" s="60" t="e">
        <f t="shared" ca="1" si="39"/>
        <v>#N/A</v>
      </c>
      <c r="Z332" s="60" t="e">
        <f t="shared" ca="1" si="40"/>
        <v>#N/A</v>
      </c>
    </row>
    <row r="333" spans="18:26" x14ac:dyDescent="0.25">
      <c r="R333" s="93" t="str">
        <f ca="1"/>
        <v/>
      </c>
      <c r="S333" s="62" t="str">
        <f t="shared" ca="1" si="41"/>
        <v/>
      </c>
      <c r="T333" s="62" t="e">
        <f t="shared" ca="1" si="35"/>
        <v>#N/A</v>
      </c>
      <c r="U333" s="62" t="e">
        <f t="shared" ca="1" si="36"/>
        <v>#N/A</v>
      </c>
      <c r="V333" s="62" t="e">
        <f t="shared" ca="1" si="37"/>
        <v>#N/A</v>
      </c>
      <c r="W333" s="60" t="e">
        <f t="shared" ca="1" si="38"/>
        <v>#N/A</v>
      </c>
      <c r="X333" s="60" t="e">
        <f t="shared" ca="1" si="42"/>
        <v>#N/A</v>
      </c>
      <c r="Y333" s="60" t="e">
        <f t="shared" ca="1" si="39"/>
        <v>#N/A</v>
      </c>
      <c r="Z333" s="60" t="e">
        <f t="shared" ca="1" si="40"/>
        <v>#N/A</v>
      </c>
    </row>
    <row r="334" spans="18:26" x14ac:dyDescent="0.25">
      <c r="R334" s="93" t="str">
        <f ca="1"/>
        <v/>
      </c>
      <c r="S334" s="62" t="str">
        <f t="shared" ca="1" si="41"/>
        <v/>
      </c>
      <c r="T334" s="62" t="e">
        <f t="shared" ca="1" si="35"/>
        <v>#N/A</v>
      </c>
      <c r="U334" s="62" t="e">
        <f t="shared" ca="1" si="36"/>
        <v>#N/A</v>
      </c>
      <c r="V334" s="62" t="e">
        <f t="shared" ca="1" si="37"/>
        <v>#N/A</v>
      </c>
      <c r="W334" s="60" t="e">
        <f t="shared" ca="1" si="38"/>
        <v>#N/A</v>
      </c>
      <c r="X334" s="60" t="e">
        <f t="shared" ca="1" si="42"/>
        <v>#N/A</v>
      </c>
      <c r="Y334" s="60" t="e">
        <f t="shared" ca="1" si="39"/>
        <v>#N/A</v>
      </c>
      <c r="Z334" s="60" t="e">
        <f t="shared" ca="1" si="40"/>
        <v>#N/A</v>
      </c>
    </row>
    <row r="335" spans="18:26" x14ac:dyDescent="0.25">
      <c r="R335" s="93" t="str">
        <f ca="1"/>
        <v/>
      </c>
      <c r="S335" s="62" t="str">
        <f t="shared" ca="1" si="41"/>
        <v/>
      </c>
      <c r="T335" s="62" t="e">
        <f t="shared" ca="1" si="35"/>
        <v>#N/A</v>
      </c>
      <c r="U335" s="62" t="e">
        <f t="shared" ca="1" si="36"/>
        <v>#N/A</v>
      </c>
      <c r="V335" s="62" t="e">
        <f t="shared" ca="1" si="37"/>
        <v>#N/A</v>
      </c>
      <c r="W335" s="60" t="e">
        <f t="shared" ca="1" si="38"/>
        <v>#N/A</v>
      </c>
      <c r="X335" s="60" t="e">
        <f t="shared" ca="1" si="42"/>
        <v>#N/A</v>
      </c>
      <c r="Y335" s="60" t="e">
        <f t="shared" ca="1" si="39"/>
        <v>#N/A</v>
      </c>
      <c r="Z335" s="60" t="e">
        <f t="shared" ca="1" si="40"/>
        <v>#N/A</v>
      </c>
    </row>
    <row r="336" spans="18:26" x14ac:dyDescent="0.25">
      <c r="R336" s="93" t="str">
        <f ca="1"/>
        <v/>
      </c>
      <c r="S336" s="62" t="str">
        <f t="shared" ca="1" si="41"/>
        <v/>
      </c>
      <c r="T336" s="62" t="e">
        <f t="shared" ca="1" si="35"/>
        <v>#N/A</v>
      </c>
      <c r="U336" s="62" t="e">
        <f t="shared" ca="1" si="36"/>
        <v>#N/A</v>
      </c>
      <c r="V336" s="62" t="e">
        <f t="shared" ca="1" si="37"/>
        <v>#N/A</v>
      </c>
      <c r="W336" s="60" t="e">
        <f t="shared" ca="1" si="38"/>
        <v>#N/A</v>
      </c>
      <c r="X336" s="60" t="e">
        <f t="shared" ca="1" si="42"/>
        <v>#N/A</v>
      </c>
      <c r="Y336" s="60" t="e">
        <f t="shared" ca="1" si="39"/>
        <v>#N/A</v>
      </c>
      <c r="Z336" s="60" t="e">
        <f t="shared" ca="1" si="40"/>
        <v>#N/A</v>
      </c>
    </row>
    <row r="337" spans="18:26" x14ac:dyDescent="0.25">
      <c r="R337" s="93" t="str">
        <f ca="1"/>
        <v/>
      </c>
      <c r="S337" s="62" t="str">
        <f t="shared" ca="1" si="41"/>
        <v/>
      </c>
      <c r="T337" s="62" t="e">
        <f t="shared" ca="1" si="35"/>
        <v>#N/A</v>
      </c>
      <c r="U337" s="62" t="e">
        <f t="shared" ca="1" si="36"/>
        <v>#N/A</v>
      </c>
      <c r="V337" s="62" t="e">
        <f t="shared" ca="1" si="37"/>
        <v>#N/A</v>
      </c>
      <c r="W337" s="60" t="e">
        <f t="shared" ca="1" si="38"/>
        <v>#N/A</v>
      </c>
      <c r="X337" s="60" t="e">
        <f t="shared" ca="1" si="42"/>
        <v>#N/A</v>
      </c>
      <c r="Y337" s="60" t="e">
        <f t="shared" ca="1" si="39"/>
        <v>#N/A</v>
      </c>
      <c r="Z337" s="60" t="e">
        <f t="shared" ca="1" si="40"/>
        <v>#N/A</v>
      </c>
    </row>
    <row r="338" spans="18:26" x14ac:dyDescent="0.25">
      <c r="R338" s="93" t="str">
        <f ca="1"/>
        <v/>
      </c>
      <c r="S338" s="62" t="str">
        <f t="shared" ca="1" si="41"/>
        <v/>
      </c>
      <c r="T338" s="62" t="e">
        <f t="shared" ref="T338:T395" ca="1" si="43">VLOOKUP(S338,ModelOutputs,2,FALSE)</f>
        <v>#N/A</v>
      </c>
      <c r="U338" s="62" t="e">
        <f t="shared" ref="U338:U395" ca="1" si="44">VLOOKUP(S338,ModelOutputs,7,FALSE)</f>
        <v>#N/A</v>
      </c>
      <c r="V338" s="62" t="e">
        <f t="shared" ref="V338:V395" ca="1" si="45">VLOOKUP(S338,ModelOutputs,6,FALSE)</f>
        <v>#N/A</v>
      </c>
      <c r="W338" s="60" t="e">
        <f t="shared" ref="W338:W395" ca="1" si="46">VLOOKUP(S338,ModelOutputs,10,FALSE)*AWC</f>
        <v>#N/A</v>
      </c>
      <c r="X338" s="60" t="e">
        <f t="shared" ca="1" si="42"/>
        <v>#N/A</v>
      </c>
      <c r="Y338" s="60" t="e">
        <f t="shared" ref="Y338:Y395" ca="1" si="47">VLOOKUP(S338,ModelOutputs,12,FALSE)</f>
        <v>#N/A</v>
      </c>
      <c r="Z338" s="60" t="e">
        <f t="shared" ref="Z338:Z395" ca="1" si="48">VLOOKUP(S338,ModelOutputs,13,FALSE)</f>
        <v>#N/A</v>
      </c>
    </row>
    <row r="339" spans="18:26" x14ac:dyDescent="0.25">
      <c r="R339" s="93" t="str">
        <f ca="1"/>
        <v/>
      </c>
      <c r="S339" s="62" t="str">
        <f t="shared" ref="S339:S395" ca="1" si="49">IF(R339&gt;1,R339,"")</f>
        <v/>
      </c>
      <c r="T339" s="62" t="e">
        <f t="shared" ca="1" si="43"/>
        <v>#N/A</v>
      </c>
      <c r="U339" s="62" t="e">
        <f t="shared" ca="1" si="44"/>
        <v>#N/A</v>
      </c>
      <c r="V339" s="62" t="e">
        <f t="shared" ca="1" si="45"/>
        <v>#N/A</v>
      </c>
      <c r="W339" s="60" t="e">
        <f t="shared" ca="1" si="46"/>
        <v>#N/A</v>
      </c>
      <c r="X339" s="60" t="e">
        <f t="shared" ref="X339:X395" ca="1" si="50">VLOOKUP(S339,ModelOutputs,11,FALSE)+X338</f>
        <v>#N/A</v>
      </c>
      <c r="Y339" s="60" t="e">
        <f t="shared" ca="1" si="47"/>
        <v>#N/A</v>
      </c>
      <c r="Z339" s="60" t="e">
        <f t="shared" ca="1" si="48"/>
        <v>#N/A</v>
      </c>
    </row>
    <row r="340" spans="18:26" x14ac:dyDescent="0.25">
      <c r="R340" s="93" t="str">
        <f ca="1"/>
        <v/>
      </c>
      <c r="S340" s="62" t="str">
        <f t="shared" ca="1" si="49"/>
        <v/>
      </c>
      <c r="T340" s="62" t="e">
        <f t="shared" ca="1" si="43"/>
        <v>#N/A</v>
      </c>
      <c r="U340" s="62" t="e">
        <f t="shared" ca="1" si="44"/>
        <v>#N/A</v>
      </c>
      <c r="V340" s="62" t="e">
        <f t="shared" ca="1" si="45"/>
        <v>#N/A</v>
      </c>
      <c r="W340" s="60" t="e">
        <f t="shared" ca="1" si="46"/>
        <v>#N/A</v>
      </c>
      <c r="X340" s="60" t="e">
        <f t="shared" ca="1" si="50"/>
        <v>#N/A</v>
      </c>
      <c r="Y340" s="60" t="e">
        <f t="shared" ca="1" si="47"/>
        <v>#N/A</v>
      </c>
      <c r="Z340" s="60" t="e">
        <f t="shared" ca="1" si="48"/>
        <v>#N/A</v>
      </c>
    </row>
    <row r="341" spans="18:26" x14ac:dyDescent="0.25">
      <c r="R341" s="93" t="str">
        <f ca="1"/>
        <v/>
      </c>
      <c r="S341" s="62" t="str">
        <f t="shared" ca="1" si="49"/>
        <v/>
      </c>
      <c r="T341" s="62" t="e">
        <f t="shared" ca="1" si="43"/>
        <v>#N/A</v>
      </c>
      <c r="U341" s="62" t="e">
        <f t="shared" ca="1" si="44"/>
        <v>#N/A</v>
      </c>
      <c r="V341" s="62" t="e">
        <f t="shared" ca="1" si="45"/>
        <v>#N/A</v>
      </c>
      <c r="W341" s="60" t="e">
        <f t="shared" ca="1" si="46"/>
        <v>#N/A</v>
      </c>
      <c r="X341" s="60" t="e">
        <f t="shared" ca="1" si="50"/>
        <v>#N/A</v>
      </c>
      <c r="Y341" s="60" t="e">
        <f t="shared" ca="1" si="47"/>
        <v>#N/A</v>
      </c>
      <c r="Z341" s="60" t="e">
        <f t="shared" ca="1" si="48"/>
        <v>#N/A</v>
      </c>
    </row>
    <row r="342" spans="18:26" x14ac:dyDescent="0.25">
      <c r="R342" s="93" t="str">
        <f ca="1"/>
        <v/>
      </c>
      <c r="S342" s="62" t="str">
        <f t="shared" ca="1" si="49"/>
        <v/>
      </c>
      <c r="T342" s="62" t="e">
        <f t="shared" ca="1" si="43"/>
        <v>#N/A</v>
      </c>
      <c r="U342" s="62" t="e">
        <f t="shared" ca="1" si="44"/>
        <v>#N/A</v>
      </c>
      <c r="V342" s="62" t="e">
        <f t="shared" ca="1" si="45"/>
        <v>#N/A</v>
      </c>
      <c r="W342" s="60" t="e">
        <f t="shared" ca="1" si="46"/>
        <v>#N/A</v>
      </c>
      <c r="X342" s="60" t="e">
        <f t="shared" ca="1" si="50"/>
        <v>#N/A</v>
      </c>
      <c r="Y342" s="60" t="e">
        <f t="shared" ca="1" si="47"/>
        <v>#N/A</v>
      </c>
      <c r="Z342" s="60" t="e">
        <f t="shared" ca="1" si="48"/>
        <v>#N/A</v>
      </c>
    </row>
    <row r="343" spans="18:26" x14ac:dyDescent="0.25">
      <c r="R343" s="93" t="str">
        <f ca="1"/>
        <v/>
      </c>
      <c r="S343" s="62" t="str">
        <f t="shared" ca="1" si="49"/>
        <v/>
      </c>
      <c r="T343" s="62" t="e">
        <f t="shared" ca="1" si="43"/>
        <v>#N/A</v>
      </c>
      <c r="U343" s="62" t="e">
        <f t="shared" ca="1" si="44"/>
        <v>#N/A</v>
      </c>
      <c r="V343" s="62" t="e">
        <f t="shared" ca="1" si="45"/>
        <v>#N/A</v>
      </c>
      <c r="W343" s="60" t="e">
        <f t="shared" ca="1" si="46"/>
        <v>#N/A</v>
      </c>
      <c r="X343" s="60" t="e">
        <f t="shared" ca="1" si="50"/>
        <v>#N/A</v>
      </c>
      <c r="Y343" s="60" t="e">
        <f t="shared" ca="1" si="47"/>
        <v>#N/A</v>
      </c>
      <c r="Z343" s="60" t="e">
        <f t="shared" ca="1" si="48"/>
        <v>#N/A</v>
      </c>
    </row>
    <row r="344" spans="18:26" x14ac:dyDescent="0.25">
      <c r="R344" s="93" t="str">
        <f ca="1"/>
        <v/>
      </c>
      <c r="S344" s="62" t="str">
        <f t="shared" ca="1" si="49"/>
        <v/>
      </c>
      <c r="T344" s="62" t="e">
        <f t="shared" ca="1" si="43"/>
        <v>#N/A</v>
      </c>
      <c r="U344" s="62" t="e">
        <f t="shared" ca="1" si="44"/>
        <v>#N/A</v>
      </c>
      <c r="V344" s="62" t="e">
        <f t="shared" ca="1" si="45"/>
        <v>#N/A</v>
      </c>
      <c r="W344" s="60" t="e">
        <f t="shared" ca="1" si="46"/>
        <v>#N/A</v>
      </c>
      <c r="X344" s="60" t="e">
        <f t="shared" ca="1" si="50"/>
        <v>#N/A</v>
      </c>
      <c r="Y344" s="60" t="e">
        <f t="shared" ca="1" si="47"/>
        <v>#N/A</v>
      </c>
      <c r="Z344" s="60" t="e">
        <f t="shared" ca="1" si="48"/>
        <v>#N/A</v>
      </c>
    </row>
    <row r="345" spans="18:26" x14ac:dyDescent="0.25">
      <c r="R345" s="93" t="str">
        <f ca="1"/>
        <v/>
      </c>
      <c r="S345" s="62" t="str">
        <f t="shared" ca="1" si="49"/>
        <v/>
      </c>
      <c r="T345" s="62" t="e">
        <f t="shared" ca="1" si="43"/>
        <v>#N/A</v>
      </c>
      <c r="U345" s="62" t="e">
        <f t="shared" ca="1" si="44"/>
        <v>#N/A</v>
      </c>
      <c r="V345" s="62" t="e">
        <f t="shared" ca="1" si="45"/>
        <v>#N/A</v>
      </c>
      <c r="W345" s="60" t="e">
        <f t="shared" ca="1" si="46"/>
        <v>#N/A</v>
      </c>
      <c r="X345" s="60" t="e">
        <f t="shared" ca="1" si="50"/>
        <v>#N/A</v>
      </c>
      <c r="Y345" s="60" t="e">
        <f t="shared" ca="1" si="47"/>
        <v>#N/A</v>
      </c>
      <c r="Z345" s="60" t="e">
        <f t="shared" ca="1" si="48"/>
        <v>#N/A</v>
      </c>
    </row>
    <row r="346" spans="18:26" x14ac:dyDescent="0.25">
      <c r="R346" s="93" t="str">
        <f ca="1"/>
        <v/>
      </c>
      <c r="S346" s="62" t="str">
        <f t="shared" ca="1" si="49"/>
        <v/>
      </c>
      <c r="T346" s="62" t="e">
        <f t="shared" ca="1" si="43"/>
        <v>#N/A</v>
      </c>
      <c r="U346" s="62" t="e">
        <f t="shared" ca="1" si="44"/>
        <v>#N/A</v>
      </c>
      <c r="V346" s="62" t="e">
        <f t="shared" ca="1" si="45"/>
        <v>#N/A</v>
      </c>
      <c r="W346" s="60" t="e">
        <f t="shared" ca="1" si="46"/>
        <v>#N/A</v>
      </c>
      <c r="X346" s="60" t="e">
        <f t="shared" ca="1" si="50"/>
        <v>#N/A</v>
      </c>
      <c r="Y346" s="60" t="e">
        <f t="shared" ca="1" si="47"/>
        <v>#N/A</v>
      </c>
      <c r="Z346" s="60" t="e">
        <f t="shared" ca="1" si="48"/>
        <v>#N/A</v>
      </c>
    </row>
    <row r="347" spans="18:26" x14ac:dyDescent="0.25">
      <c r="R347" s="93" t="str">
        <f ca="1"/>
        <v/>
      </c>
      <c r="S347" s="62" t="str">
        <f t="shared" ca="1" si="49"/>
        <v/>
      </c>
      <c r="T347" s="62" t="e">
        <f t="shared" ca="1" si="43"/>
        <v>#N/A</v>
      </c>
      <c r="U347" s="62" t="e">
        <f t="shared" ca="1" si="44"/>
        <v>#N/A</v>
      </c>
      <c r="V347" s="62" t="e">
        <f t="shared" ca="1" si="45"/>
        <v>#N/A</v>
      </c>
      <c r="W347" s="60" t="e">
        <f t="shared" ca="1" si="46"/>
        <v>#N/A</v>
      </c>
      <c r="X347" s="60" t="e">
        <f t="shared" ca="1" si="50"/>
        <v>#N/A</v>
      </c>
      <c r="Y347" s="60" t="e">
        <f t="shared" ca="1" si="47"/>
        <v>#N/A</v>
      </c>
      <c r="Z347" s="60" t="e">
        <f t="shared" ca="1" si="48"/>
        <v>#N/A</v>
      </c>
    </row>
    <row r="348" spans="18:26" x14ac:dyDescent="0.25">
      <c r="R348" s="93" t="str">
        <f ca="1"/>
        <v/>
      </c>
      <c r="S348" s="62" t="str">
        <f t="shared" ca="1" si="49"/>
        <v/>
      </c>
      <c r="T348" s="62" t="e">
        <f t="shared" ca="1" si="43"/>
        <v>#N/A</v>
      </c>
      <c r="U348" s="62" t="e">
        <f t="shared" ca="1" si="44"/>
        <v>#N/A</v>
      </c>
      <c r="V348" s="62" t="e">
        <f t="shared" ca="1" si="45"/>
        <v>#N/A</v>
      </c>
      <c r="W348" s="60" t="e">
        <f t="shared" ca="1" si="46"/>
        <v>#N/A</v>
      </c>
      <c r="X348" s="60" t="e">
        <f t="shared" ca="1" si="50"/>
        <v>#N/A</v>
      </c>
      <c r="Y348" s="60" t="e">
        <f t="shared" ca="1" si="47"/>
        <v>#N/A</v>
      </c>
      <c r="Z348" s="60" t="e">
        <f t="shared" ca="1" si="48"/>
        <v>#N/A</v>
      </c>
    </row>
    <row r="349" spans="18:26" x14ac:dyDescent="0.25">
      <c r="R349" s="93" t="str">
        <f ca="1"/>
        <v/>
      </c>
      <c r="S349" s="62" t="str">
        <f t="shared" ca="1" si="49"/>
        <v/>
      </c>
      <c r="T349" s="62" t="e">
        <f t="shared" ca="1" si="43"/>
        <v>#N/A</v>
      </c>
      <c r="U349" s="62" t="e">
        <f t="shared" ca="1" si="44"/>
        <v>#N/A</v>
      </c>
      <c r="V349" s="62" t="e">
        <f t="shared" ca="1" si="45"/>
        <v>#N/A</v>
      </c>
      <c r="W349" s="60" t="e">
        <f t="shared" ca="1" si="46"/>
        <v>#N/A</v>
      </c>
      <c r="X349" s="60" t="e">
        <f t="shared" ca="1" si="50"/>
        <v>#N/A</v>
      </c>
      <c r="Y349" s="60" t="e">
        <f t="shared" ca="1" si="47"/>
        <v>#N/A</v>
      </c>
      <c r="Z349" s="60" t="e">
        <f t="shared" ca="1" si="48"/>
        <v>#N/A</v>
      </c>
    </row>
    <row r="350" spans="18:26" x14ac:dyDescent="0.25">
      <c r="R350" s="93" t="str">
        <f ca="1"/>
        <v/>
      </c>
      <c r="S350" s="62" t="str">
        <f t="shared" ca="1" si="49"/>
        <v/>
      </c>
      <c r="T350" s="62" t="e">
        <f t="shared" ca="1" si="43"/>
        <v>#N/A</v>
      </c>
      <c r="U350" s="62" t="e">
        <f t="shared" ca="1" si="44"/>
        <v>#N/A</v>
      </c>
      <c r="V350" s="62" t="e">
        <f t="shared" ca="1" si="45"/>
        <v>#N/A</v>
      </c>
      <c r="W350" s="60" t="e">
        <f t="shared" ca="1" si="46"/>
        <v>#N/A</v>
      </c>
      <c r="X350" s="60" t="e">
        <f t="shared" ca="1" si="50"/>
        <v>#N/A</v>
      </c>
      <c r="Y350" s="60" t="e">
        <f t="shared" ca="1" si="47"/>
        <v>#N/A</v>
      </c>
      <c r="Z350" s="60" t="e">
        <f t="shared" ca="1" si="48"/>
        <v>#N/A</v>
      </c>
    </row>
    <row r="351" spans="18:26" x14ac:dyDescent="0.25">
      <c r="R351" s="93" t="str">
        <f ca="1"/>
        <v/>
      </c>
      <c r="S351" s="62" t="str">
        <f t="shared" ca="1" si="49"/>
        <v/>
      </c>
      <c r="T351" s="62" t="e">
        <f t="shared" ca="1" si="43"/>
        <v>#N/A</v>
      </c>
      <c r="U351" s="62" t="e">
        <f t="shared" ca="1" si="44"/>
        <v>#N/A</v>
      </c>
      <c r="V351" s="62" t="e">
        <f t="shared" ca="1" si="45"/>
        <v>#N/A</v>
      </c>
      <c r="W351" s="60" t="e">
        <f t="shared" ca="1" si="46"/>
        <v>#N/A</v>
      </c>
      <c r="X351" s="60" t="e">
        <f t="shared" ca="1" si="50"/>
        <v>#N/A</v>
      </c>
      <c r="Y351" s="60" t="e">
        <f t="shared" ca="1" si="47"/>
        <v>#N/A</v>
      </c>
      <c r="Z351" s="60" t="e">
        <f t="shared" ca="1" si="48"/>
        <v>#N/A</v>
      </c>
    </row>
    <row r="352" spans="18:26" x14ac:dyDescent="0.25">
      <c r="R352" s="93" t="str">
        <f ca="1"/>
        <v/>
      </c>
      <c r="S352" s="62" t="str">
        <f t="shared" ca="1" si="49"/>
        <v/>
      </c>
      <c r="T352" s="62" t="e">
        <f t="shared" ca="1" si="43"/>
        <v>#N/A</v>
      </c>
      <c r="U352" s="62" t="e">
        <f t="shared" ca="1" si="44"/>
        <v>#N/A</v>
      </c>
      <c r="V352" s="62" t="e">
        <f t="shared" ca="1" si="45"/>
        <v>#N/A</v>
      </c>
      <c r="W352" s="60" t="e">
        <f t="shared" ca="1" si="46"/>
        <v>#N/A</v>
      </c>
      <c r="X352" s="60" t="e">
        <f t="shared" ca="1" si="50"/>
        <v>#N/A</v>
      </c>
      <c r="Y352" s="60" t="e">
        <f t="shared" ca="1" si="47"/>
        <v>#N/A</v>
      </c>
      <c r="Z352" s="60" t="e">
        <f t="shared" ca="1" si="48"/>
        <v>#N/A</v>
      </c>
    </row>
    <row r="353" spans="18:26" x14ac:dyDescent="0.25">
      <c r="R353" s="93" t="str">
        <f ca="1"/>
        <v/>
      </c>
      <c r="S353" s="62" t="str">
        <f t="shared" ca="1" si="49"/>
        <v/>
      </c>
      <c r="T353" s="62" t="e">
        <f t="shared" ca="1" si="43"/>
        <v>#N/A</v>
      </c>
      <c r="U353" s="62" t="e">
        <f t="shared" ca="1" si="44"/>
        <v>#N/A</v>
      </c>
      <c r="V353" s="62" t="e">
        <f t="shared" ca="1" si="45"/>
        <v>#N/A</v>
      </c>
      <c r="W353" s="60" t="e">
        <f t="shared" ca="1" si="46"/>
        <v>#N/A</v>
      </c>
      <c r="X353" s="60" t="e">
        <f t="shared" ca="1" si="50"/>
        <v>#N/A</v>
      </c>
      <c r="Y353" s="60" t="e">
        <f t="shared" ca="1" si="47"/>
        <v>#N/A</v>
      </c>
      <c r="Z353" s="60" t="e">
        <f t="shared" ca="1" si="48"/>
        <v>#N/A</v>
      </c>
    </row>
    <row r="354" spans="18:26" x14ac:dyDescent="0.25">
      <c r="R354" s="93" t="str">
        <f ca="1"/>
        <v/>
      </c>
      <c r="S354" s="62" t="str">
        <f t="shared" ca="1" si="49"/>
        <v/>
      </c>
      <c r="T354" s="62" t="e">
        <f t="shared" ca="1" si="43"/>
        <v>#N/A</v>
      </c>
      <c r="U354" s="62" t="e">
        <f t="shared" ca="1" si="44"/>
        <v>#N/A</v>
      </c>
      <c r="V354" s="62" t="e">
        <f t="shared" ca="1" si="45"/>
        <v>#N/A</v>
      </c>
      <c r="W354" s="60" t="e">
        <f t="shared" ca="1" si="46"/>
        <v>#N/A</v>
      </c>
      <c r="X354" s="60" t="e">
        <f t="shared" ca="1" si="50"/>
        <v>#N/A</v>
      </c>
      <c r="Y354" s="60" t="e">
        <f t="shared" ca="1" si="47"/>
        <v>#N/A</v>
      </c>
      <c r="Z354" s="60" t="e">
        <f t="shared" ca="1" si="48"/>
        <v>#N/A</v>
      </c>
    </row>
    <row r="355" spans="18:26" x14ac:dyDescent="0.25">
      <c r="R355" s="93" t="str">
        <f ca="1"/>
        <v/>
      </c>
      <c r="S355" s="62" t="str">
        <f t="shared" ca="1" si="49"/>
        <v/>
      </c>
      <c r="T355" s="62" t="e">
        <f t="shared" ca="1" si="43"/>
        <v>#N/A</v>
      </c>
      <c r="U355" s="62" t="e">
        <f t="shared" ca="1" si="44"/>
        <v>#N/A</v>
      </c>
      <c r="V355" s="62" t="e">
        <f t="shared" ca="1" si="45"/>
        <v>#N/A</v>
      </c>
      <c r="W355" s="60" t="e">
        <f t="shared" ca="1" si="46"/>
        <v>#N/A</v>
      </c>
      <c r="X355" s="60" t="e">
        <f t="shared" ca="1" si="50"/>
        <v>#N/A</v>
      </c>
      <c r="Y355" s="60" t="e">
        <f t="shared" ca="1" si="47"/>
        <v>#N/A</v>
      </c>
      <c r="Z355" s="60" t="e">
        <f t="shared" ca="1" si="48"/>
        <v>#N/A</v>
      </c>
    </row>
    <row r="356" spans="18:26" x14ac:dyDescent="0.25">
      <c r="R356" s="93" t="str">
        <f ca="1"/>
        <v/>
      </c>
      <c r="S356" s="62" t="str">
        <f t="shared" ca="1" si="49"/>
        <v/>
      </c>
      <c r="T356" s="62" t="e">
        <f t="shared" ca="1" si="43"/>
        <v>#N/A</v>
      </c>
      <c r="U356" s="62" t="e">
        <f t="shared" ca="1" si="44"/>
        <v>#N/A</v>
      </c>
      <c r="V356" s="62" t="e">
        <f t="shared" ca="1" si="45"/>
        <v>#N/A</v>
      </c>
      <c r="W356" s="60" t="e">
        <f t="shared" ca="1" si="46"/>
        <v>#N/A</v>
      </c>
      <c r="X356" s="60" t="e">
        <f t="shared" ca="1" si="50"/>
        <v>#N/A</v>
      </c>
      <c r="Y356" s="60" t="e">
        <f t="shared" ca="1" si="47"/>
        <v>#N/A</v>
      </c>
      <c r="Z356" s="60" t="e">
        <f t="shared" ca="1" si="48"/>
        <v>#N/A</v>
      </c>
    </row>
    <row r="357" spans="18:26" x14ac:dyDescent="0.25">
      <c r="R357" s="93" t="str">
        <f ca="1"/>
        <v/>
      </c>
      <c r="S357" s="62" t="str">
        <f t="shared" ca="1" si="49"/>
        <v/>
      </c>
      <c r="T357" s="62" t="e">
        <f t="shared" ca="1" si="43"/>
        <v>#N/A</v>
      </c>
      <c r="U357" s="62" t="e">
        <f t="shared" ca="1" si="44"/>
        <v>#N/A</v>
      </c>
      <c r="V357" s="62" t="e">
        <f t="shared" ca="1" si="45"/>
        <v>#N/A</v>
      </c>
      <c r="W357" s="60" t="e">
        <f t="shared" ca="1" si="46"/>
        <v>#N/A</v>
      </c>
      <c r="X357" s="60" t="e">
        <f t="shared" ca="1" si="50"/>
        <v>#N/A</v>
      </c>
      <c r="Y357" s="60" t="e">
        <f t="shared" ca="1" si="47"/>
        <v>#N/A</v>
      </c>
      <c r="Z357" s="60" t="e">
        <f t="shared" ca="1" si="48"/>
        <v>#N/A</v>
      </c>
    </row>
    <row r="358" spans="18:26" x14ac:dyDescent="0.25">
      <c r="R358" s="93" t="str">
        <f ca="1"/>
        <v/>
      </c>
      <c r="S358" s="62" t="str">
        <f t="shared" ca="1" si="49"/>
        <v/>
      </c>
      <c r="T358" s="62" t="e">
        <f t="shared" ca="1" si="43"/>
        <v>#N/A</v>
      </c>
      <c r="U358" s="62" t="e">
        <f t="shared" ca="1" si="44"/>
        <v>#N/A</v>
      </c>
      <c r="V358" s="62" t="e">
        <f t="shared" ca="1" si="45"/>
        <v>#N/A</v>
      </c>
      <c r="W358" s="60" t="e">
        <f t="shared" ca="1" si="46"/>
        <v>#N/A</v>
      </c>
      <c r="X358" s="60" t="e">
        <f t="shared" ca="1" si="50"/>
        <v>#N/A</v>
      </c>
      <c r="Y358" s="60" t="e">
        <f t="shared" ca="1" si="47"/>
        <v>#N/A</v>
      </c>
      <c r="Z358" s="60" t="e">
        <f t="shared" ca="1" si="48"/>
        <v>#N/A</v>
      </c>
    </row>
    <row r="359" spans="18:26" x14ac:dyDescent="0.25">
      <c r="R359" s="93" t="str">
        <f ca="1"/>
        <v/>
      </c>
      <c r="S359" s="62" t="str">
        <f t="shared" ca="1" si="49"/>
        <v/>
      </c>
      <c r="T359" s="62" t="e">
        <f t="shared" ca="1" si="43"/>
        <v>#N/A</v>
      </c>
      <c r="U359" s="62" t="e">
        <f t="shared" ca="1" si="44"/>
        <v>#N/A</v>
      </c>
      <c r="V359" s="62" t="e">
        <f t="shared" ca="1" si="45"/>
        <v>#N/A</v>
      </c>
      <c r="W359" s="60" t="e">
        <f t="shared" ca="1" si="46"/>
        <v>#N/A</v>
      </c>
      <c r="X359" s="60" t="e">
        <f t="shared" ca="1" si="50"/>
        <v>#N/A</v>
      </c>
      <c r="Y359" s="60" t="e">
        <f t="shared" ca="1" si="47"/>
        <v>#N/A</v>
      </c>
      <c r="Z359" s="60" t="e">
        <f t="shared" ca="1" si="48"/>
        <v>#N/A</v>
      </c>
    </row>
    <row r="360" spans="18:26" x14ac:dyDescent="0.25">
      <c r="R360" s="93" t="str">
        <f ca="1"/>
        <v/>
      </c>
      <c r="S360" s="62" t="str">
        <f t="shared" ca="1" si="49"/>
        <v/>
      </c>
      <c r="T360" s="62" t="e">
        <f t="shared" ca="1" si="43"/>
        <v>#N/A</v>
      </c>
      <c r="U360" s="62" t="e">
        <f t="shared" ca="1" si="44"/>
        <v>#N/A</v>
      </c>
      <c r="V360" s="62" t="e">
        <f t="shared" ca="1" si="45"/>
        <v>#N/A</v>
      </c>
      <c r="W360" s="60" t="e">
        <f t="shared" ca="1" si="46"/>
        <v>#N/A</v>
      </c>
      <c r="X360" s="60" t="e">
        <f t="shared" ca="1" si="50"/>
        <v>#N/A</v>
      </c>
      <c r="Y360" s="60" t="e">
        <f t="shared" ca="1" si="47"/>
        <v>#N/A</v>
      </c>
      <c r="Z360" s="60" t="e">
        <f t="shared" ca="1" si="48"/>
        <v>#N/A</v>
      </c>
    </row>
    <row r="361" spans="18:26" x14ac:dyDescent="0.25">
      <c r="R361" s="93" t="str">
        <f ca="1"/>
        <v/>
      </c>
      <c r="S361" s="62" t="str">
        <f t="shared" ca="1" si="49"/>
        <v/>
      </c>
      <c r="T361" s="62" t="e">
        <f t="shared" ca="1" si="43"/>
        <v>#N/A</v>
      </c>
      <c r="U361" s="62" t="e">
        <f t="shared" ca="1" si="44"/>
        <v>#N/A</v>
      </c>
      <c r="V361" s="62" t="e">
        <f t="shared" ca="1" si="45"/>
        <v>#N/A</v>
      </c>
      <c r="W361" s="60" t="e">
        <f t="shared" ca="1" si="46"/>
        <v>#N/A</v>
      </c>
      <c r="X361" s="60" t="e">
        <f t="shared" ca="1" si="50"/>
        <v>#N/A</v>
      </c>
      <c r="Y361" s="60" t="e">
        <f t="shared" ca="1" si="47"/>
        <v>#N/A</v>
      </c>
      <c r="Z361" s="60" t="e">
        <f t="shared" ca="1" si="48"/>
        <v>#N/A</v>
      </c>
    </row>
    <row r="362" spans="18:26" x14ac:dyDescent="0.25">
      <c r="R362" s="93" t="str">
        <f ca="1"/>
        <v/>
      </c>
      <c r="S362" s="62" t="str">
        <f t="shared" ca="1" si="49"/>
        <v/>
      </c>
      <c r="T362" s="62" t="e">
        <f t="shared" ca="1" si="43"/>
        <v>#N/A</v>
      </c>
      <c r="U362" s="62" t="e">
        <f t="shared" ca="1" si="44"/>
        <v>#N/A</v>
      </c>
      <c r="V362" s="62" t="e">
        <f t="shared" ca="1" si="45"/>
        <v>#N/A</v>
      </c>
      <c r="W362" s="60" t="e">
        <f t="shared" ca="1" si="46"/>
        <v>#N/A</v>
      </c>
      <c r="X362" s="60" t="e">
        <f t="shared" ca="1" si="50"/>
        <v>#N/A</v>
      </c>
      <c r="Y362" s="60" t="e">
        <f t="shared" ca="1" si="47"/>
        <v>#N/A</v>
      </c>
      <c r="Z362" s="60" t="e">
        <f t="shared" ca="1" si="48"/>
        <v>#N/A</v>
      </c>
    </row>
    <row r="363" spans="18:26" x14ac:dyDescent="0.25">
      <c r="R363" s="93" t="str">
        <f ca="1"/>
        <v/>
      </c>
      <c r="S363" s="62" t="str">
        <f t="shared" ca="1" si="49"/>
        <v/>
      </c>
      <c r="T363" s="62" t="e">
        <f t="shared" ca="1" si="43"/>
        <v>#N/A</v>
      </c>
      <c r="U363" s="62" t="e">
        <f t="shared" ca="1" si="44"/>
        <v>#N/A</v>
      </c>
      <c r="V363" s="62" t="e">
        <f t="shared" ca="1" si="45"/>
        <v>#N/A</v>
      </c>
      <c r="W363" s="60" t="e">
        <f t="shared" ca="1" si="46"/>
        <v>#N/A</v>
      </c>
      <c r="X363" s="60" t="e">
        <f t="shared" ca="1" si="50"/>
        <v>#N/A</v>
      </c>
      <c r="Y363" s="60" t="e">
        <f t="shared" ca="1" si="47"/>
        <v>#N/A</v>
      </c>
      <c r="Z363" s="60" t="e">
        <f t="shared" ca="1" si="48"/>
        <v>#N/A</v>
      </c>
    </row>
    <row r="364" spans="18:26" x14ac:dyDescent="0.25">
      <c r="R364" s="93" t="str">
        <f ca="1"/>
        <v/>
      </c>
      <c r="S364" s="62" t="str">
        <f t="shared" ca="1" si="49"/>
        <v/>
      </c>
      <c r="T364" s="62" t="e">
        <f t="shared" ca="1" si="43"/>
        <v>#N/A</v>
      </c>
      <c r="U364" s="62" t="e">
        <f t="shared" ca="1" si="44"/>
        <v>#N/A</v>
      </c>
      <c r="V364" s="62" t="e">
        <f t="shared" ca="1" si="45"/>
        <v>#N/A</v>
      </c>
      <c r="W364" s="60" t="e">
        <f t="shared" ca="1" si="46"/>
        <v>#N/A</v>
      </c>
      <c r="X364" s="60" t="e">
        <f t="shared" ca="1" si="50"/>
        <v>#N/A</v>
      </c>
      <c r="Y364" s="60" t="e">
        <f t="shared" ca="1" si="47"/>
        <v>#N/A</v>
      </c>
      <c r="Z364" s="60" t="e">
        <f t="shared" ca="1" si="48"/>
        <v>#N/A</v>
      </c>
    </row>
    <row r="365" spans="18:26" x14ac:dyDescent="0.25">
      <c r="R365" s="93" t="str">
        <f ca="1"/>
        <v/>
      </c>
      <c r="S365" s="62" t="str">
        <f t="shared" ca="1" si="49"/>
        <v/>
      </c>
      <c r="T365" s="62" t="e">
        <f t="shared" ca="1" si="43"/>
        <v>#N/A</v>
      </c>
      <c r="U365" s="62" t="e">
        <f t="shared" ca="1" si="44"/>
        <v>#N/A</v>
      </c>
      <c r="V365" s="62" t="e">
        <f t="shared" ca="1" si="45"/>
        <v>#N/A</v>
      </c>
      <c r="W365" s="60" t="e">
        <f t="shared" ca="1" si="46"/>
        <v>#N/A</v>
      </c>
      <c r="X365" s="60" t="e">
        <f t="shared" ca="1" si="50"/>
        <v>#N/A</v>
      </c>
      <c r="Y365" s="60" t="e">
        <f t="shared" ca="1" si="47"/>
        <v>#N/A</v>
      </c>
      <c r="Z365" s="60" t="e">
        <f t="shared" ca="1" si="48"/>
        <v>#N/A</v>
      </c>
    </row>
    <row r="366" spans="18:26" x14ac:dyDescent="0.25">
      <c r="R366" s="93" t="str">
        <f ca="1"/>
        <v/>
      </c>
      <c r="S366" s="62" t="str">
        <f t="shared" ca="1" si="49"/>
        <v/>
      </c>
      <c r="T366" s="62" t="e">
        <f t="shared" ca="1" si="43"/>
        <v>#N/A</v>
      </c>
      <c r="U366" s="62" t="e">
        <f t="shared" ca="1" si="44"/>
        <v>#N/A</v>
      </c>
      <c r="V366" s="62" t="e">
        <f t="shared" ca="1" si="45"/>
        <v>#N/A</v>
      </c>
      <c r="W366" s="60" t="e">
        <f t="shared" ca="1" si="46"/>
        <v>#N/A</v>
      </c>
      <c r="X366" s="60" t="e">
        <f t="shared" ca="1" si="50"/>
        <v>#N/A</v>
      </c>
      <c r="Y366" s="60" t="e">
        <f t="shared" ca="1" si="47"/>
        <v>#N/A</v>
      </c>
      <c r="Z366" s="60" t="e">
        <f t="shared" ca="1" si="48"/>
        <v>#N/A</v>
      </c>
    </row>
    <row r="367" spans="18:26" x14ac:dyDescent="0.25">
      <c r="R367" s="93" t="str">
        <f ca="1"/>
        <v/>
      </c>
      <c r="S367" s="62" t="str">
        <f t="shared" ca="1" si="49"/>
        <v/>
      </c>
      <c r="T367" s="62" t="e">
        <f t="shared" ca="1" si="43"/>
        <v>#N/A</v>
      </c>
      <c r="U367" s="62" t="e">
        <f t="shared" ca="1" si="44"/>
        <v>#N/A</v>
      </c>
      <c r="V367" s="62" t="e">
        <f t="shared" ca="1" si="45"/>
        <v>#N/A</v>
      </c>
      <c r="W367" s="60" t="e">
        <f t="shared" ca="1" si="46"/>
        <v>#N/A</v>
      </c>
      <c r="X367" s="60" t="e">
        <f t="shared" ca="1" si="50"/>
        <v>#N/A</v>
      </c>
      <c r="Y367" s="60" t="e">
        <f t="shared" ca="1" si="47"/>
        <v>#N/A</v>
      </c>
      <c r="Z367" s="60" t="e">
        <f t="shared" ca="1" si="48"/>
        <v>#N/A</v>
      </c>
    </row>
    <row r="368" spans="18:26" x14ac:dyDescent="0.25">
      <c r="R368" s="93" t="str">
        <f ca="1"/>
        <v/>
      </c>
      <c r="S368" s="62" t="str">
        <f t="shared" ca="1" si="49"/>
        <v/>
      </c>
      <c r="T368" s="62" t="e">
        <f t="shared" ca="1" si="43"/>
        <v>#N/A</v>
      </c>
      <c r="U368" s="62" t="e">
        <f t="shared" ca="1" si="44"/>
        <v>#N/A</v>
      </c>
      <c r="V368" s="62" t="e">
        <f t="shared" ca="1" si="45"/>
        <v>#N/A</v>
      </c>
      <c r="W368" s="60" t="e">
        <f t="shared" ca="1" si="46"/>
        <v>#N/A</v>
      </c>
      <c r="X368" s="60" t="e">
        <f t="shared" ca="1" si="50"/>
        <v>#N/A</v>
      </c>
      <c r="Y368" s="60" t="e">
        <f t="shared" ca="1" si="47"/>
        <v>#N/A</v>
      </c>
      <c r="Z368" s="60" t="e">
        <f t="shared" ca="1" si="48"/>
        <v>#N/A</v>
      </c>
    </row>
    <row r="369" spans="18:26" x14ac:dyDescent="0.25">
      <c r="R369" s="93" t="str">
        <f ca="1"/>
        <v/>
      </c>
      <c r="S369" s="62" t="str">
        <f t="shared" ca="1" si="49"/>
        <v/>
      </c>
      <c r="T369" s="62" t="e">
        <f t="shared" ca="1" si="43"/>
        <v>#N/A</v>
      </c>
      <c r="U369" s="62" t="e">
        <f t="shared" ca="1" si="44"/>
        <v>#N/A</v>
      </c>
      <c r="V369" s="62" t="e">
        <f t="shared" ca="1" si="45"/>
        <v>#N/A</v>
      </c>
      <c r="W369" s="60" t="e">
        <f t="shared" ca="1" si="46"/>
        <v>#N/A</v>
      </c>
      <c r="X369" s="60" t="e">
        <f t="shared" ca="1" si="50"/>
        <v>#N/A</v>
      </c>
      <c r="Y369" s="60" t="e">
        <f t="shared" ca="1" si="47"/>
        <v>#N/A</v>
      </c>
      <c r="Z369" s="60" t="e">
        <f t="shared" ca="1" si="48"/>
        <v>#N/A</v>
      </c>
    </row>
    <row r="370" spans="18:26" x14ac:dyDescent="0.25">
      <c r="R370" s="93" t="str">
        <f ca="1"/>
        <v/>
      </c>
      <c r="S370" s="62" t="str">
        <f t="shared" ca="1" si="49"/>
        <v/>
      </c>
      <c r="T370" s="62" t="e">
        <f t="shared" ca="1" si="43"/>
        <v>#N/A</v>
      </c>
      <c r="U370" s="62" t="e">
        <f t="shared" ca="1" si="44"/>
        <v>#N/A</v>
      </c>
      <c r="V370" s="62" t="e">
        <f t="shared" ca="1" si="45"/>
        <v>#N/A</v>
      </c>
      <c r="W370" s="60" t="e">
        <f t="shared" ca="1" si="46"/>
        <v>#N/A</v>
      </c>
      <c r="X370" s="60" t="e">
        <f t="shared" ca="1" si="50"/>
        <v>#N/A</v>
      </c>
      <c r="Y370" s="60" t="e">
        <f t="shared" ca="1" si="47"/>
        <v>#N/A</v>
      </c>
      <c r="Z370" s="60" t="e">
        <f t="shared" ca="1" si="48"/>
        <v>#N/A</v>
      </c>
    </row>
    <row r="371" spans="18:26" x14ac:dyDescent="0.25">
      <c r="R371" s="93" t="str">
        <f ca="1"/>
        <v/>
      </c>
      <c r="S371" s="62" t="str">
        <f t="shared" ca="1" si="49"/>
        <v/>
      </c>
      <c r="T371" s="62" t="e">
        <f t="shared" ca="1" si="43"/>
        <v>#N/A</v>
      </c>
      <c r="U371" s="62" t="e">
        <f t="shared" ca="1" si="44"/>
        <v>#N/A</v>
      </c>
      <c r="V371" s="62" t="e">
        <f t="shared" ca="1" si="45"/>
        <v>#N/A</v>
      </c>
      <c r="W371" s="60" t="e">
        <f t="shared" ca="1" si="46"/>
        <v>#N/A</v>
      </c>
      <c r="X371" s="60" t="e">
        <f t="shared" ca="1" si="50"/>
        <v>#N/A</v>
      </c>
      <c r="Y371" s="60" t="e">
        <f t="shared" ca="1" si="47"/>
        <v>#N/A</v>
      </c>
      <c r="Z371" s="60" t="e">
        <f t="shared" ca="1" si="48"/>
        <v>#N/A</v>
      </c>
    </row>
    <row r="372" spans="18:26" x14ac:dyDescent="0.25">
      <c r="R372" s="93" t="str">
        <f ca="1"/>
        <v/>
      </c>
      <c r="S372" s="62" t="str">
        <f t="shared" ca="1" si="49"/>
        <v/>
      </c>
      <c r="T372" s="62" t="e">
        <f t="shared" ca="1" si="43"/>
        <v>#N/A</v>
      </c>
      <c r="U372" s="62" t="e">
        <f t="shared" ca="1" si="44"/>
        <v>#N/A</v>
      </c>
      <c r="V372" s="62" t="e">
        <f t="shared" ca="1" si="45"/>
        <v>#N/A</v>
      </c>
      <c r="W372" s="60" t="e">
        <f t="shared" ca="1" si="46"/>
        <v>#N/A</v>
      </c>
      <c r="X372" s="60" t="e">
        <f t="shared" ca="1" si="50"/>
        <v>#N/A</v>
      </c>
      <c r="Y372" s="60" t="e">
        <f t="shared" ca="1" si="47"/>
        <v>#N/A</v>
      </c>
      <c r="Z372" s="60" t="e">
        <f t="shared" ca="1" si="48"/>
        <v>#N/A</v>
      </c>
    </row>
    <row r="373" spans="18:26" x14ac:dyDescent="0.25">
      <c r="R373" s="93" t="str">
        <f ca="1"/>
        <v/>
      </c>
      <c r="S373" s="62" t="str">
        <f t="shared" ca="1" si="49"/>
        <v/>
      </c>
      <c r="T373" s="62" t="e">
        <f t="shared" ca="1" si="43"/>
        <v>#N/A</v>
      </c>
      <c r="U373" s="62" t="e">
        <f t="shared" ca="1" si="44"/>
        <v>#N/A</v>
      </c>
      <c r="V373" s="62" t="e">
        <f t="shared" ca="1" si="45"/>
        <v>#N/A</v>
      </c>
      <c r="W373" s="60" t="e">
        <f t="shared" ca="1" si="46"/>
        <v>#N/A</v>
      </c>
      <c r="X373" s="60" t="e">
        <f t="shared" ca="1" si="50"/>
        <v>#N/A</v>
      </c>
      <c r="Y373" s="60" t="e">
        <f t="shared" ca="1" si="47"/>
        <v>#N/A</v>
      </c>
      <c r="Z373" s="60" t="e">
        <f t="shared" ca="1" si="48"/>
        <v>#N/A</v>
      </c>
    </row>
    <row r="374" spans="18:26" x14ac:dyDescent="0.25">
      <c r="R374" s="93" t="str">
        <f ca="1"/>
        <v/>
      </c>
      <c r="S374" s="62" t="str">
        <f t="shared" ca="1" si="49"/>
        <v/>
      </c>
      <c r="T374" s="62" t="e">
        <f t="shared" ca="1" si="43"/>
        <v>#N/A</v>
      </c>
      <c r="U374" s="62" t="e">
        <f t="shared" ca="1" si="44"/>
        <v>#N/A</v>
      </c>
      <c r="V374" s="62" t="e">
        <f t="shared" ca="1" si="45"/>
        <v>#N/A</v>
      </c>
      <c r="W374" s="60" t="e">
        <f t="shared" ca="1" si="46"/>
        <v>#N/A</v>
      </c>
      <c r="X374" s="60" t="e">
        <f t="shared" ca="1" si="50"/>
        <v>#N/A</v>
      </c>
      <c r="Y374" s="60" t="e">
        <f t="shared" ca="1" si="47"/>
        <v>#N/A</v>
      </c>
      <c r="Z374" s="60" t="e">
        <f t="shared" ca="1" si="48"/>
        <v>#N/A</v>
      </c>
    </row>
    <row r="375" spans="18:26" x14ac:dyDescent="0.25">
      <c r="R375" s="93" t="str">
        <f ca="1"/>
        <v/>
      </c>
      <c r="S375" s="62" t="str">
        <f t="shared" ca="1" si="49"/>
        <v/>
      </c>
      <c r="T375" s="62" t="e">
        <f t="shared" ca="1" si="43"/>
        <v>#N/A</v>
      </c>
      <c r="U375" s="62" t="e">
        <f t="shared" ca="1" si="44"/>
        <v>#N/A</v>
      </c>
      <c r="V375" s="62" t="e">
        <f t="shared" ca="1" si="45"/>
        <v>#N/A</v>
      </c>
      <c r="W375" s="60" t="e">
        <f t="shared" ca="1" si="46"/>
        <v>#N/A</v>
      </c>
      <c r="X375" s="60" t="e">
        <f t="shared" ca="1" si="50"/>
        <v>#N/A</v>
      </c>
      <c r="Y375" s="60" t="e">
        <f t="shared" ca="1" si="47"/>
        <v>#N/A</v>
      </c>
      <c r="Z375" s="60" t="e">
        <f t="shared" ca="1" si="48"/>
        <v>#N/A</v>
      </c>
    </row>
    <row r="376" spans="18:26" x14ac:dyDescent="0.25">
      <c r="R376" s="93" t="str">
        <f ca="1"/>
        <v/>
      </c>
      <c r="S376" s="62" t="str">
        <f t="shared" ca="1" si="49"/>
        <v/>
      </c>
      <c r="T376" s="62" t="e">
        <f t="shared" ca="1" si="43"/>
        <v>#N/A</v>
      </c>
      <c r="U376" s="62" t="e">
        <f t="shared" ca="1" si="44"/>
        <v>#N/A</v>
      </c>
      <c r="V376" s="62" t="e">
        <f t="shared" ca="1" si="45"/>
        <v>#N/A</v>
      </c>
      <c r="W376" s="60" t="e">
        <f t="shared" ca="1" si="46"/>
        <v>#N/A</v>
      </c>
      <c r="X376" s="60" t="e">
        <f t="shared" ca="1" si="50"/>
        <v>#N/A</v>
      </c>
      <c r="Y376" s="60" t="e">
        <f t="shared" ca="1" si="47"/>
        <v>#N/A</v>
      </c>
      <c r="Z376" s="60" t="e">
        <f t="shared" ca="1" si="48"/>
        <v>#N/A</v>
      </c>
    </row>
    <row r="377" spans="18:26" x14ac:dyDescent="0.25">
      <c r="R377" s="93" t="str">
        <f ca="1"/>
        <v/>
      </c>
      <c r="S377" s="62" t="str">
        <f t="shared" ca="1" si="49"/>
        <v/>
      </c>
      <c r="T377" s="62" t="e">
        <f t="shared" ca="1" si="43"/>
        <v>#N/A</v>
      </c>
      <c r="U377" s="62" t="e">
        <f t="shared" ca="1" si="44"/>
        <v>#N/A</v>
      </c>
      <c r="V377" s="62" t="e">
        <f t="shared" ca="1" si="45"/>
        <v>#N/A</v>
      </c>
      <c r="W377" s="60" t="e">
        <f t="shared" ca="1" si="46"/>
        <v>#N/A</v>
      </c>
      <c r="X377" s="60" t="e">
        <f t="shared" ca="1" si="50"/>
        <v>#N/A</v>
      </c>
      <c r="Y377" s="60" t="e">
        <f t="shared" ca="1" si="47"/>
        <v>#N/A</v>
      </c>
      <c r="Z377" s="60" t="e">
        <f t="shared" ca="1" si="48"/>
        <v>#N/A</v>
      </c>
    </row>
    <row r="378" spans="18:26" x14ac:dyDescent="0.25">
      <c r="R378" s="93" t="str">
        <f ca="1"/>
        <v/>
      </c>
      <c r="S378" s="62" t="str">
        <f t="shared" ca="1" si="49"/>
        <v/>
      </c>
      <c r="T378" s="62" t="e">
        <f t="shared" ca="1" si="43"/>
        <v>#N/A</v>
      </c>
      <c r="U378" s="62" t="e">
        <f t="shared" ca="1" si="44"/>
        <v>#N/A</v>
      </c>
      <c r="V378" s="62" t="e">
        <f t="shared" ca="1" si="45"/>
        <v>#N/A</v>
      </c>
      <c r="W378" s="60" t="e">
        <f t="shared" ca="1" si="46"/>
        <v>#N/A</v>
      </c>
      <c r="X378" s="60" t="e">
        <f t="shared" ca="1" si="50"/>
        <v>#N/A</v>
      </c>
      <c r="Y378" s="60" t="e">
        <f t="shared" ca="1" si="47"/>
        <v>#N/A</v>
      </c>
      <c r="Z378" s="60" t="e">
        <f t="shared" ca="1" si="48"/>
        <v>#N/A</v>
      </c>
    </row>
    <row r="379" spans="18:26" x14ac:dyDescent="0.25">
      <c r="R379" s="93" t="str">
        <f ca="1"/>
        <v/>
      </c>
      <c r="S379" s="62" t="str">
        <f t="shared" ca="1" si="49"/>
        <v/>
      </c>
      <c r="T379" s="62" t="e">
        <f t="shared" ca="1" si="43"/>
        <v>#N/A</v>
      </c>
      <c r="U379" s="62" t="e">
        <f t="shared" ca="1" si="44"/>
        <v>#N/A</v>
      </c>
      <c r="V379" s="62" t="e">
        <f t="shared" ca="1" si="45"/>
        <v>#N/A</v>
      </c>
      <c r="W379" s="60" t="e">
        <f t="shared" ca="1" si="46"/>
        <v>#N/A</v>
      </c>
      <c r="X379" s="60" t="e">
        <f t="shared" ca="1" si="50"/>
        <v>#N/A</v>
      </c>
      <c r="Y379" s="60" t="e">
        <f t="shared" ca="1" si="47"/>
        <v>#N/A</v>
      </c>
      <c r="Z379" s="60" t="e">
        <f t="shared" ca="1" si="48"/>
        <v>#N/A</v>
      </c>
    </row>
    <row r="380" spans="18:26" x14ac:dyDescent="0.25">
      <c r="R380" s="93" t="str">
        <f ca="1"/>
        <v/>
      </c>
      <c r="S380" s="62" t="str">
        <f t="shared" ca="1" si="49"/>
        <v/>
      </c>
      <c r="T380" s="62" t="e">
        <f t="shared" ca="1" si="43"/>
        <v>#N/A</v>
      </c>
      <c r="U380" s="62" t="e">
        <f t="shared" ca="1" si="44"/>
        <v>#N/A</v>
      </c>
      <c r="V380" s="62" t="e">
        <f t="shared" ca="1" si="45"/>
        <v>#N/A</v>
      </c>
      <c r="W380" s="60" t="e">
        <f t="shared" ca="1" si="46"/>
        <v>#N/A</v>
      </c>
      <c r="X380" s="60" t="e">
        <f t="shared" ca="1" si="50"/>
        <v>#N/A</v>
      </c>
      <c r="Y380" s="60" t="e">
        <f t="shared" ca="1" si="47"/>
        <v>#N/A</v>
      </c>
      <c r="Z380" s="60" t="e">
        <f t="shared" ca="1" si="48"/>
        <v>#N/A</v>
      </c>
    </row>
    <row r="381" spans="18:26" x14ac:dyDescent="0.25">
      <c r="R381" s="93" t="str">
        <f ca="1"/>
        <v/>
      </c>
      <c r="S381" s="62" t="str">
        <f t="shared" ca="1" si="49"/>
        <v/>
      </c>
      <c r="T381" s="62" t="e">
        <f t="shared" ca="1" si="43"/>
        <v>#N/A</v>
      </c>
      <c r="U381" s="62" t="e">
        <f t="shared" ca="1" si="44"/>
        <v>#N/A</v>
      </c>
      <c r="V381" s="62" t="e">
        <f t="shared" ca="1" si="45"/>
        <v>#N/A</v>
      </c>
      <c r="W381" s="60" t="e">
        <f t="shared" ca="1" si="46"/>
        <v>#N/A</v>
      </c>
      <c r="X381" s="60" t="e">
        <f t="shared" ca="1" si="50"/>
        <v>#N/A</v>
      </c>
      <c r="Y381" s="60" t="e">
        <f t="shared" ca="1" si="47"/>
        <v>#N/A</v>
      </c>
      <c r="Z381" s="60" t="e">
        <f t="shared" ca="1" si="48"/>
        <v>#N/A</v>
      </c>
    </row>
    <row r="382" spans="18:26" x14ac:dyDescent="0.25">
      <c r="R382" s="93" t="str">
        <f ca="1"/>
        <v/>
      </c>
      <c r="S382" s="62" t="str">
        <f t="shared" ca="1" si="49"/>
        <v/>
      </c>
      <c r="T382" s="62" t="e">
        <f t="shared" ca="1" si="43"/>
        <v>#N/A</v>
      </c>
      <c r="U382" s="62" t="e">
        <f t="shared" ca="1" si="44"/>
        <v>#N/A</v>
      </c>
      <c r="V382" s="62" t="e">
        <f t="shared" ca="1" si="45"/>
        <v>#N/A</v>
      </c>
      <c r="W382" s="60" t="e">
        <f t="shared" ca="1" si="46"/>
        <v>#N/A</v>
      </c>
      <c r="X382" s="60" t="e">
        <f t="shared" ca="1" si="50"/>
        <v>#N/A</v>
      </c>
      <c r="Y382" s="60" t="e">
        <f t="shared" ca="1" si="47"/>
        <v>#N/A</v>
      </c>
      <c r="Z382" s="60" t="e">
        <f t="shared" ca="1" si="48"/>
        <v>#N/A</v>
      </c>
    </row>
    <row r="383" spans="18:26" x14ac:dyDescent="0.25">
      <c r="R383" s="93" t="str">
        <f ca="1"/>
        <v/>
      </c>
      <c r="S383" s="62" t="str">
        <f t="shared" ca="1" si="49"/>
        <v/>
      </c>
      <c r="T383" s="62" t="e">
        <f t="shared" ca="1" si="43"/>
        <v>#N/A</v>
      </c>
      <c r="U383" s="62" t="e">
        <f t="shared" ca="1" si="44"/>
        <v>#N/A</v>
      </c>
      <c r="V383" s="62" t="e">
        <f t="shared" ca="1" si="45"/>
        <v>#N/A</v>
      </c>
      <c r="W383" s="60" t="e">
        <f t="shared" ca="1" si="46"/>
        <v>#N/A</v>
      </c>
      <c r="X383" s="60" t="e">
        <f t="shared" ca="1" si="50"/>
        <v>#N/A</v>
      </c>
      <c r="Y383" s="60" t="e">
        <f t="shared" ca="1" si="47"/>
        <v>#N/A</v>
      </c>
      <c r="Z383" s="60" t="e">
        <f t="shared" ca="1" si="48"/>
        <v>#N/A</v>
      </c>
    </row>
    <row r="384" spans="18:26" x14ac:dyDescent="0.25">
      <c r="R384" s="93" t="str">
        <f ca="1"/>
        <v/>
      </c>
      <c r="S384" s="62" t="str">
        <f t="shared" ca="1" si="49"/>
        <v/>
      </c>
      <c r="T384" s="62" t="e">
        <f t="shared" ca="1" si="43"/>
        <v>#N/A</v>
      </c>
      <c r="U384" s="62" t="e">
        <f t="shared" ca="1" si="44"/>
        <v>#N/A</v>
      </c>
      <c r="V384" s="62" t="e">
        <f t="shared" ca="1" si="45"/>
        <v>#N/A</v>
      </c>
      <c r="W384" s="60" t="e">
        <f t="shared" ca="1" si="46"/>
        <v>#N/A</v>
      </c>
      <c r="X384" s="60" t="e">
        <f t="shared" ca="1" si="50"/>
        <v>#N/A</v>
      </c>
      <c r="Y384" s="60" t="e">
        <f t="shared" ca="1" si="47"/>
        <v>#N/A</v>
      </c>
      <c r="Z384" s="60" t="e">
        <f t="shared" ca="1" si="48"/>
        <v>#N/A</v>
      </c>
    </row>
    <row r="385" spans="18:26" x14ac:dyDescent="0.25">
      <c r="R385" s="93" t="str">
        <f ca="1"/>
        <v/>
      </c>
      <c r="S385" s="62" t="str">
        <f t="shared" ca="1" si="49"/>
        <v/>
      </c>
      <c r="T385" s="62" t="e">
        <f t="shared" ca="1" si="43"/>
        <v>#N/A</v>
      </c>
      <c r="U385" s="62" t="e">
        <f t="shared" ca="1" si="44"/>
        <v>#N/A</v>
      </c>
      <c r="V385" s="62" t="e">
        <f t="shared" ca="1" si="45"/>
        <v>#N/A</v>
      </c>
      <c r="W385" s="60" t="e">
        <f t="shared" ca="1" si="46"/>
        <v>#N/A</v>
      </c>
      <c r="X385" s="60" t="e">
        <f t="shared" ca="1" si="50"/>
        <v>#N/A</v>
      </c>
      <c r="Y385" s="60" t="e">
        <f t="shared" ca="1" si="47"/>
        <v>#N/A</v>
      </c>
      <c r="Z385" s="60" t="e">
        <f t="shared" ca="1" si="48"/>
        <v>#N/A</v>
      </c>
    </row>
    <row r="386" spans="18:26" x14ac:dyDescent="0.25">
      <c r="R386" s="93" t="str">
        <f ca="1"/>
        <v/>
      </c>
      <c r="S386" s="62" t="str">
        <f t="shared" ca="1" si="49"/>
        <v/>
      </c>
      <c r="T386" s="62" t="e">
        <f t="shared" ca="1" si="43"/>
        <v>#N/A</v>
      </c>
      <c r="U386" s="62" t="e">
        <f t="shared" ca="1" si="44"/>
        <v>#N/A</v>
      </c>
      <c r="V386" s="62" t="e">
        <f t="shared" ca="1" si="45"/>
        <v>#N/A</v>
      </c>
      <c r="W386" s="60" t="e">
        <f t="shared" ca="1" si="46"/>
        <v>#N/A</v>
      </c>
      <c r="X386" s="60" t="e">
        <f t="shared" ca="1" si="50"/>
        <v>#N/A</v>
      </c>
      <c r="Y386" s="60" t="e">
        <f t="shared" ca="1" si="47"/>
        <v>#N/A</v>
      </c>
      <c r="Z386" s="60" t="e">
        <f t="shared" ca="1" si="48"/>
        <v>#N/A</v>
      </c>
    </row>
    <row r="387" spans="18:26" x14ac:dyDescent="0.25">
      <c r="R387" s="93" t="str">
        <f ca="1"/>
        <v/>
      </c>
      <c r="S387" s="62" t="str">
        <f t="shared" ca="1" si="49"/>
        <v/>
      </c>
      <c r="T387" s="62" t="e">
        <f t="shared" ca="1" si="43"/>
        <v>#N/A</v>
      </c>
      <c r="U387" s="62" t="e">
        <f t="shared" ca="1" si="44"/>
        <v>#N/A</v>
      </c>
      <c r="V387" s="62" t="e">
        <f t="shared" ca="1" si="45"/>
        <v>#N/A</v>
      </c>
      <c r="W387" s="60" t="e">
        <f t="shared" ca="1" si="46"/>
        <v>#N/A</v>
      </c>
      <c r="X387" s="60" t="e">
        <f t="shared" ca="1" si="50"/>
        <v>#N/A</v>
      </c>
      <c r="Y387" s="60" t="e">
        <f t="shared" ca="1" si="47"/>
        <v>#N/A</v>
      </c>
      <c r="Z387" s="60" t="e">
        <f t="shared" ca="1" si="48"/>
        <v>#N/A</v>
      </c>
    </row>
    <row r="388" spans="18:26" x14ac:dyDescent="0.25">
      <c r="R388" s="93" t="str">
        <f ca="1"/>
        <v/>
      </c>
      <c r="S388" s="62" t="str">
        <f t="shared" ca="1" si="49"/>
        <v/>
      </c>
      <c r="T388" s="62" t="e">
        <f t="shared" ca="1" si="43"/>
        <v>#N/A</v>
      </c>
      <c r="U388" s="62" t="e">
        <f t="shared" ca="1" si="44"/>
        <v>#N/A</v>
      </c>
      <c r="V388" s="62" t="e">
        <f t="shared" ca="1" si="45"/>
        <v>#N/A</v>
      </c>
      <c r="W388" s="60" t="e">
        <f t="shared" ca="1" si="46"/>
        <v>#N/A</v>
      </c>
      <c r="X388" s="60" t="e">
        <f t="shared" ca="1" si="50"/>
        <v>#N/A</v>
      </c>
      <c r="Y388" s="60" t="e">
        <f t="shared" ca="1" si="47"/>
        <v>#N/A</v>
      </c>
      <c r="Z388" s="60" t="e">
        <f t="shared" ca="1" si="48"/>
        <v>#N/A</v>
      </c>
    </row>
    <row r="389" spans="18:26" x14ac:dyDescent="0.25">
      <c r="R389" s="93" t="str">
        <f ca="1"/>
        <v/>
      </c>
      <c r="S389" s="62" t="str">
        <f t="shared" ca="1" si="49"/>
        <v/>
      </c>
      <c r="T389" s="62" t="e">
        <f t="shared" ca="1" si="43"/>
        <v>#N/A</v>
      </c>
      <c r="U389" s="62" t="e">
        <f t="shared" ca="1" si="44"/>
        <v>#N/A</v>
      </c>
      <c r="V389" s="62" t="e">
        <f t="shared" ca="1" si="45"/>
        <v>#N/A</v>
      </c>
      <c r="W389" s="60" t="e">
        <f t="shared" ca="1" si="46"/>
        <v>#N/A</v>
      </c>
      <c r="X389" s="60" t="e">
        <f t="shared" ca="1" si="50"/>
        <v>#N/A</v>
      </c>
      <c r="Y389" s="60" t="e">
        <f t="shared" ca="1" si="47"/>
        <v>#N/A</v>
      </c>
      <c r="Z389" s="60" t="e">
        <f t="shared" ca="1" si="48"/>
        <v>#N/A</v>
      </c>
    </row>
    <row r="390" spans="18:26" x14ac:dyDescent="0.25">
      <c r="R390" s="93" t="str">
        <f ca="1"/>
        <v/>
      </c>
      <c r="S390" s="62" t="str">
        <f t="shared" ca="1" si="49"/>
        <v/>
      </c>
      <c r="T390" s="62" t="e">
        <f t="shared" ca="1" si="43"/>
        <v>#N/A</v>
      </c>
      <c r="U390" s="62" t="e">
        <f t="shared" ca="1" si="44"/>
        <v>#N/A</v>
      </c>
      <c r="V390" s="62" t="e">
        <f t="shared" ca="1" si="45"/>
        <v>#N/A</v>
      </c>
      <c r="W390" s="60" t="e">
        <f t="shared" ca="1" si="46"/>
        <v>#N/A</v>
      </c>
      <c r="X390" s="60" t="e">
        <f t="shared" ca="1" si="50"/>
        <v>#N/A</v>
      </c>
      <c r="Y390" s="60" t="e">
        <f t="shared" ca="1" si="47"/>
        <v>#N/A</v>
      </c>
      <c r="Z390" s="60" t="e">
        <f t="shared" ca="1" si="48"/>
        <v>#N/A</v>
      </c>
    </row>
    <row r="391" spans="18:26" x14ac:dyDescent="0.25">
      <c r="R391" s="93" t="str">
        <f ca="1"/>
        <v/>
      </c>
      <c r="S391" s="62" t="str">
        <f t="shared" ca="1" si="49"/>
        <v/>
      </c>
      <c r="T391" s="62" t="e">
        <f t="shared" ca="1" si="43"/>
        <v>#N/A</v>
      </c>
      <c r="U391" s="62" t="e">
        <f t="shared" ca="1" si="44"/>
        <v>#N/A</v>
      </c>
      <c r="V391" s="62" t="e">
        <f t="shared" ca="1" si="45"/>
        <v>#N/A</v>
      </c>
      <c r="W391" s="60" t="e">
        <f t="shared" ca="1" si="46"/>
        <v>#N/A</v>
      </c>
      <c r="X391" s="60" t="e">
        <f t="shared" ca="1" si="50"/>
        <v>#N/A</v>
      </c>
      <c r="Y391" s="60" t="e">
        <f t="shared" ca="1" si="47"/>
        <v>#N/A</v>
      </c>
      <c r="Z391" s="60" t="e">
        <f t="shared" ca="1" si="48"/>
        <v>#N/A</v>
      </c>
    </row>
    <row r="392" spans="18:26" x14ac:dyDescent="0.25">
      <c r="R392" s="93" t="str">
        <f ca="1"/>
        <v/>
      </c>
      <c r="S392" s="62" t="str">
        <f t="shared" ca="1" si="49"/>
        <v/>
      </c>
      <c r="T392" s="62" t="e">
        <f t="shared" ca="1" si="43"/>
        <v>#N/A</v>
      </c>
      <c r="U392" s="62" t="e">
        <f t="shared" ca="1" si="44"/>
        <v>#N/A</v>
      </c>
      <c r="V392" s="62" t="e">
        <f t="shared" ca="1" si="45"/>
        <v>#N/A</v>
      </c>
      <c r="W392" s="60" t="e">
        <f t="shared" ca="1" si="46"/>
        <v>#N/A</v>
      </c>
      <c r="X392" s="60" t="e">
        <f t="shared" ca="1" si="50"/>
        <v>#N/A</v>
      </c>
      <c r="Y392" s="60" t="e">
        <f t="shared" ca="1" si="47"/>
        <v>#N/A</v>
      </c>
      <c r="Z392" s="60" t="e">
        <f t="shared" ca="1" si="48"/>
        <v>#N/A</v>
      </c>
    </row>
    <row r="393" spans="18:26" x14ac:dyDescent="0.25">
      <c r="R393" s="93" t="str">
        <f ca="1"/>
        <v/>
      </c>
      <c r="S393" s="62" t="str">
        <f t="shared" ca="1" si="49"/>
        <v/>
      </c>
      <c r="T393" s="62" t="e">
        <f t="shared" ca="1" si="43"/>
        <v>#N/A</v>
      </c>
      <c r="U393" s="62" t="e">
        <f t="shared" ca="1" si="44"/>
        <v>#N/A</v>
      </c>
      <c r="V393" s="62" t="e">
        <f t="shared" ca="1" si="45"/>
        <v>#N/A</v>
      </c>
      <c r="W393" s="60" t="e">
        <f t="shared" ca="1" si="46"/>
        <v>#N/A</v>
      </c>
      <c r="X393" s="60" t="e">
        <f t="shared" ca="1" si="50"/>
        <v>#N/A</v>
      </c>
      <c r="Y393" s="60" t="e">
        <f t="shared" ca="1" si="47"/>
        <v>#N/A</v>
      </c>
      <c r="Z393" s="60" t="e">
        <f t="shared" ca="1" si="48"/>
        <v>#N/A</v>
      </c>
    </row>
    <row r="394" spans="18:26" x14ac:dyDescent="0.25">
      <c r="R394" s="93" t="str">
        <f ca="1"/>
        <v/>
      </c>
      <c r="S394" s="62" t="str">
        <f t="shared" ca="1" si="49"/>
        <v/>
      </c>
      <c r="T394" s="62" t="e">
        <f t="shared" ca="1" si="43"/>
        <v>#N/A</v>
      </c>
      <c r="U394" s="62" t="e">
        <f t="shared" ca="1" si="44"/>
        <v>#N/A</v>
      </c>
      <c r="V394" s="62" t="e">
        <f t="shared" ca="1" si="45"/>
        <v>#N/A</v>
      </c>
      <c r="W394" s="60" t="e">
        <f t="shared" ca="1" si="46"/>
        <v>#N/A</v>
      </c>
      <c r="X394" s="60" t="e">
        <f t="shared" ca="1" si="50"/>
        <v>#N/A</v>
      </c>
      <c r="Y394" s="60" t="e">
        <f t="shared" ca="1" si="47"/>
        <v>#N/A</v>
      </c>
      <c r="Z394" s="60" t="e">
        <f t="shared" ca="1" si="48"/>
        <v>#N/A</v>
      </c>
    </row>
    <row r="395" spans="18:26" x14ac:dyDescent="0.25">
      <c r="R395" s="93" t="str">
        <f ca="1"/>
        <v/>
      </c>
      <c r="S395" s="62" t="str">
        <f t="shared" ca="1" si="49"/>
        <v/>
      </c>
      <c r="T395" s="62" t="e">
        <f t="shared" ca="1" si="43"/>
        <v>#N/A</v>
      </c>
      <c r="U395" s="62" t="e">
        <f t="shared" ca="1" si="44"/>
        <v>#N/A</v>
      </c>
      <c r="V395" s="62" t="e">
        <f t="shared" ca="1" si="45"/>
        <v>#N/A</v>
      </c>
      <c r="W395" s="60" t="e">
        <f t="shared" ca="1" si="46"/>
        <v>#N/A</v>
      </c>
      <c r="X395" s="60" t="e">
        <f t="shared" ca="1" si="50"/>
        <v>#N/A</v>
      </c>
      <c r="Y395" s="60" t="e">
        <f t="shared" ca="1" si="47"/>
        <v>#N/A</v>
      </c>
      <c r="Z395" s="60" t="e">
        <f t="shared" ca="1" si="48"/>
        <v>#N/A</v>
      </c>
    </row>
  </sheetData>
  <sheetProtection sheet="1" selectLockedCells="1"/>
  <mergeCells count="11">
    <mergeCell ref="C68:H68"/>
    <mergeCell ref="C57:H57"/>
    <mergeCell ref="C27:D27"/>
    <mergeCell ref="C36:D36"/>
    <mergeCell ref="F27:G27"/>
    <mergeCell ref="R15:V15"/>
    <mergeCell ref="D1:H1"/>
    <mergeCell ref="D2:H2"/>
    <mergeCell ref="C46:H46"/>
    <mergeCell ref="C17:H17"/>
    <mergeCell ref="C3:H3"/>
  </mergeCells>
  <conditionalFormatting sqref="H29:H43">
    <cfRule type="containsText" dxfId="21" priority="46" operator="containsText" text="Suggested">
      <formula>NOT(ISERROR(SEARCH("Suggested",H29)))</formula>
    </cfRule>
  </conditionalFormatting>
  <conditionalFormatting sqref="F33:G33">
    <cfRule type="expression" dxfId="20" priority="47">
      <formula>$B$28=1</formula>
    </cfRule>
  </conditionalFormatting>
  <conditionalFormatting sqref="F29:G29">
    <cfRule type="expression" dxfId="19" priority="48">
      <formula>$B$24=1</formula>
    </cfRule>
  </conditionalFormatting>
  <conditionalFormatting sqref="F30:G30">
    <cfRule type="expression" dxfId="18" priority="49">
      <formula>$B$25=1</formula>
    </cfRule>
  </conditionalFormatting>
  <conditionalFormatting sqref="F31:G31">
    <cfRule type="expression" dxfId="17" priority="50">
      <formula>$B$26=1</formula>
    </cfRule>
  </conditionalFormatting>
  <conditionalFormatting sqref="F32:G32">
    <cfRule type="expression" dxfId="16" priority="51">
      <formula>$B$27=1</formula>
    </cfRule>
  </conditionalFormatting>
  <conditionalFormatting sqref="F34:G34">
    <cfRule type="expression" dxfId="15" priority="52">
      <formula>$B$29=1</formula>
    </cfRule>
  </conditionalFormatting>
  <conditionalFormatting sqref="F35:G35">
    <cfRule type="expression" dxfId="14" priority="59">
      <formula>$B$30=1</formula>
    </cfRule>
  </conditionalFormatting>
  <conditionalFormatting sqref="F36">
    <cfRule type="expression" dxfId="13" priority="61">
      <formula>$B$31=1</formula>
    </cfRule>
  </conditionalFormatting>
  <conditionalFormatting sqref="G36">
    <cfRule type="expression" dxfId="12" priority="62">
      <formula>$B$31</formula>
    </cfRule>
  </conditionalFormatting>
  <conditionalFormatting sqref="F37:G37">
    <cfRule type="expression" dxfId="11" priority="63">
      <formula>$B$32=1</formula>
    </cfRule>
  </conditionalFormatting>
  <conditionalFormatting sqref="F38:G38">
    <cfRule type="expression" dxfId="10" priority="65">
      <formula>$B$33=1</formula>
    </cfRule>
  </conditionalFormatting>
  <conditionalFormatting sqref="F39:G39">
    <cfRule type="expression" dxfId="9" priority="67">
      <formula>$B$34=1</formula>
    </cfRule>
  </conditionalFormatting>
  <conditionalFormatting sqref="F40:G40">
    <cfRule type="expression" dxfId="8" priority="69">
      <formula>$B$35=1</formula>
    </cfRule>
  </conditionalFormatting>
  <conditionalFormatting sqref="F41:G41">
    <cfRule type="expression" dxfId="7" priority="71">
      <formula>$B$36=1</formula>
    </cfRule>
  </conditionalFormatting>
  <conditionalFormatting sqref="F42:G42">
    <cfRule type="expression" dxfId="6" priority="73">
      <formula>$B$37=1</formula>
    </cfRule>
  </conditionalFormatting>
  <conditionalFormatting sqref="F43:G43">
    <cfRule type="expression" dxfId="5" priority="75">
      <formula>$B$38=1</formula>
    </cfRule>
  </conditionalFormatting>
  <conditionalFormatting sqref="C25:H45 F22:H24 C22:E23 C17:H21">
    <cfRule type="expression" dxfId="4" priority="6">
      <formula>$B$1=1</formula>
    </cfRule>
  </conditionalFormatting>
  <conditionalFormatting sqref="C54:E56 F54:H55 C46:H53 C57:H63 C68:H71 C64:E67 F65:H66 F8:H15">
    <cfRule type="expression" dxfId="3" priority="5">
      <formula>NOT($B$1=3)</formula>
    </cfRule>
  </conditionalFormatting>
  <conditionalFormatting sqref="E15">
    <cfRule type="expression" dxfId="2" priority="3">
      <formula>NOT($B$1=1)</formula>
    </cfRule>
  </conditionalFormatting>
  <conditionalFormatting sqref="D72:E72">
    <cfRule type="expression" dxfId="1" priority="2">
      <formula>NOT($B$1=3)</formula>
    </cfRule>
  </conditionalFormatting>
  <conditionalFormatting sqref="C72">
    <cfRule type="expression" dxfId="0" priority="1">
      <formula>NOT($B$1=3)</formula>
    </cfRule>
  </conditionalFormatting>
  <dataValidations count="4">
    <dataValidation type="list" allowBlank="1" showInputMessage="1" showErrorMessage="1" sqref="E59:E60 E48:E49 D6" xr:uid="{F7066995-07A6-4604-9C29-9BAAA59B1CB1}">
      <formula1>INDIRECT(D5)</formula1>
    </dataValidation>
    <dataValidation type="date" allowBlank="1" showInputMessage="1" showErrorMessage="1" sqref="E9" xr:uid="{B60EB941-A597-4A55-8C4F-621E11D4DA3E}">
      <formula1>44197</formula1>
      <formula2>45658</formula2>
    </dataValidation>
    <dataValidation type="list" allowBlank="1" showInputMessage="1" showErrorMessage="1" sqref="E7" xr:uid="{07B5D134-A977-4BCE-B784-D201F29122FC}">
      <formula1>INDIRECT(D6)</formula1>
    </dataValidation>
    <dataValidation type="list" allowBlank="1" showInputMessage="1" showErrorMessage="1" sqref="E20" xr:uid="{DAD4E7B4-BD77-4FB4-95BC-F77E60930145}">
      <formula1>PMNtypes</formula1>
    </dataValidation>
  </dataValidations>
  <pageMargins left="0.36" right="0.48" top="0.48" bottom="0.75" header="0.3" footer="0.3"/>
  <pageSetup paperSize="9" scale="50" orientation="landscape" r:id="rId1"/>
  <ignoredErrors>
    <ignoredError sqref="G9:G13 D56 D11:D13 C12 C14:D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1E89A85C-A2D1-49B8-A629-F465098813D2}">
          <x14:formula1>
            <xm:f>'Met Data'!$B$2:$F$2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ListMembers!$A$7:$G$7</xm:f>
          </x14:formula1>
          <xm:sqref>E58 E47 D5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E13 E55 B50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ListMembers!$AH$7:$AH$12</xm:f>
          </x14:formula1>
          <xm:sqref>E22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K495"/>
  <sheetViews>
    <sheetView zoomScale="105" workbookViewId="0">
      <selection activeCell="B9" sqref="B9"/>
    </sheetView>
  </sheetViews>
  <sheetFormatPr defaultRowHeight="15" x14ac:dyDescent="0.25"/>
  <cols>
    <col min="1" max="1" width="26.7109375" bestFit="1" customWidth="1"/>
    <col min="2" max="2" width="23" customWidth="1"/>
    <col min="3" max="3" width="5" customWidth="1"/>
    <col min="6" max="6" width="4.85546875" customWidth="1"/>
    <col min="12" max="13" width="7.5703125" customWidth="1"/>
    <col min="14" max="14" width="22.28515625" bestFit="1" customWidth="1"/>
    <col min="16" max="16" width="13.7109375" customWidth="1"/>
    <col min="17" max="17" width="12.5703125" bestFit="1" customWidth="1"/>
    <col min="18" max="18" width="11.7109375" bestFit="1" customWidth="1"/>
    <col min="19" max="29" width="11.7109375" customWidth="1"/>
    <col min="30" max="30" width="10.7109375" bestFit="1" customWidth="1"/>
    <col min="31" max="31" width="10.7109375" customWidth="1"/>
    <col min="32" max="33" width="11.7109375" customWidth="1"/>
    <col min="34" max="34" width="10.7109375" bestFit="1" customWidth="1"/>
    <col min="37" max="37" width="6.140625" customWidth="1"/>
    <col min="44" max="44" width="3.7109375" customWidth="1"/>
    <col min="45" max="45" width="14.140625" customWidth="1"/>
    <col min="46" max="46" width="12.5703125" customWidth="1"/>
    <col min="47" max="47" width="6.28515625" customWidth="1"/>
    <col min="48" max="48" width="15.140625" bestFit="1" customWidth="1"/>
    <col min="49" max="49" width="17.42578125" bestFit="1" customWidth="1"/>
    <col min="50" max="50" width="12.42578125" bestFit="1" customWidth="1"/>
    <col min="51" max="51" width="6" bestFit="1" customWidth="1"/>
  </cols>
  <sheetData>
    <row r="1" spans="1:37" ht="27" thickBot="1" x14ac:dyDescent="0.45">
      <c r="A1" s="153" t="s">
        <v>116</v>
      </c>
      <c r="B1" s="154"/>
      <c r="O1" s="35" t="s">
        <v>115</v>
      </c>
      <c r="P1" s="24"/>
      <c r="Q1" s="23" t="s">
        <v>192</v>
      </c>
      <c r="R1" s="24"/>
      <c r="S1" s="23" t="s">
        <v>189</v>
      </c>
      <c r="T1" s="25" t="s">
        <v>190</v>
      </c>
      <c r="U1" s="25" t="s">
        <v>13</v>
      </c>
      <c r="V1" s="23" t="s">
        <v>189</v>
      </c>
      <c r="W1" s="23" t="s">
        <v>191</v>
      </c>
      <c r="X1" s="26" t="s">
        <v>186</v>
      </c>
      <c r="Y1" s="131"/>
      <c r="Z1" s="131"/>
      <c r="AA1" s="131"/>
      <c r="AB1" s="131"/>
      <c r="AC1" s="113" t="s">
        <v>188</v>
      </c>
      <c r="AD1" s="113" t="s">
        <v>187</v>
      </c>
      <c r="AG1" s="113"/>
    </row>
    <row r="2" spans="1:37" ht="15.75" thickBot="1" x14ac:dyDescent="0.3">
      <c r="A2" s="5" t="s">
        <v>18</v>
      </c>
      <c r="B2" s="6">
        <f>ConceptDemo!D69</f>
        <v>50</v>
      </c>
      <c r="D2" s="44" t="str">
        <f>ConceptDemo!C27</f>
        <v>Fertiliser already applied or planned</v>
      </c>
      <c r="E2" s="45"/>
      <c r="O2" s="14" t="s">
        <v>0</v>
      </c>
      <c r="P2" s="33">
        <f ca="1">InitialDate</f>
        <v>44973</v>
      </c>
      <c r="Q2" s="27" t="e">
        <f ca="1">VLOOKUP(P2-1,ModelOutputs,2,FALSE)</f>
        <v>#N/A</v>
      </c>
      <c r="R2" s="27"/>
      <c r="S2" s="27">
        <f ca="1">SUMIF($O$6:$O$495,TRUE,S6:S495)</f>
        <v>0</v>
      </c>
      <c r="T2" s="27">
        <f ca="1">SUMIF($O$6:$O$495,TRUE,T6:T495)</f>
        <v>0</v>
      </c>
      <c r="U2" s="27">
        <f ca="1">SUMIF($O$6:$O$495,TRUE,U6:U495)</f>
        <v>0</v>
      </c>
      <c r="V2" s="27"/>
      <c r="W2" s="28"/>
      <c r="X2" s="15"/>
      <c r="Y2" s="28"/>
      <c r="Z2" s="28"/>
      <c r="AA2" s="28"/>
      <c r="AB2" s="28"/>
      <c r="AC2" s="3" t="e">
        <f ca="1">MAX(0,AD3-AD2)</f>
        <v>#N/A</v>
      </c>
      <c r="AD2" s="3" t="e">
        <f ca="1">SUM(Q2:X2)</f>
        <v>#N/A</v>
      </c>
      <c r="AG2" s="3"/>
    </row>
    <row r="3" spans="1:37" ht="15.75" thickBot="1" x14ac:dyDescent="0.3">
      <c r="A3" s="14" t="s">
        <v>224</v>
      </c>
      <c r="B3" s="15" t="str">
        <f>SoilOrder</f>
        <v>Brown</v>
      </c>
      <c r="D3" s="21" t="str">
        <f>ConceptDemo!C28</f>
        <v>Date</v>
      </c>
      <c r="E3" s="22" t="str">
        <f>ConceptDemo!D28</f>
        <v>Amount</v>
      </c>
      <c r="I3" t="s">
        <v>214</v>
      </c>
      <c r="J3">
        <f>VLOOKUP(PrePlantRain,ListMembers!$Z$7:$AA$11,2,FALSE)</f>
        <v>1</v>
      </c>
      <c r="O3" s="16" t="s">
        <v>12</v>
      </c>
      <c r="P3" s="34">
        <f ca="1">B33</f>
        <v>45098</v>
      </c>
      <c r="Q3" s="29" t="e">
        <f ca="1">VLOOKUP(P3,ModelOutputs,2,FALSE)</f>
        <v>#N/A</v>
      </c>
      <c r="R3" s="32"/>
      <c r="S3" s="30"/>
      <c r="T3" s="30"/>
      <c r="U3" s="30"/>
      <c r="V3" s="29" t="e">
        <f ca="1">(VLOOKUP($P$3,ModelOutputs,V4,FALSE)-VLOOKUP($P$2+1,ModelOutputs,V4,FALSE))-W3</f>
        <v>#N/A</v>
      </c>
      <c r="W3" s="31" t="e">
        <f ca="1">VLOOKUP($P$3,ModelOutputs,W4,FALSE)-VLOOKUP($P$2+1,ModelOutputs,W4,FALSE)</f>
        <v>#N/A</v>
      </c>
      <c r="X3" s="32">
        <f ca="1">SUMIF($O$6:$O$495,TRUE,X6:X495)</f>
        <v>0</v>
      </c>
      <c r="Y3" s="27"/>
      <c r="Z3" s="27"/>
      <c r="AA3" s="27"/>
      <c r="AB3" s="27"/>
      <c r="AC3" s="3" t="e">
        <f ca="1">MAX(0,AD2-AD3)</f>
        <v>#N/A</v>
      </c>
      <c r="AD3" s="3" t="e">
        <f ca="1">SUM(Q3:X3)</f>
        <v>#N/A</v>
      </c>
    </row>
    <row r="4" spans="1:37" ht="15.75" thickBot="1" x14ac:dyDescent="0.3">
      <c r="A4" s="14" t="s">
        <v>225</v>
      </c>
      <c r="B4" s="15" t="str">
        <f>SampleDepth</f>
        <v>0-30cm</v>
      </c>
      <c r="D4" s="42" t="str">
        <f>IF(ConceptDemo!C29="","",ConceptDemo!C29)</f>
        <v/>
      </c>
      <c r="E4" s="43" t="str">
        <f>IF(ConceptDemo!D29="","",ConceptDemo!D29)</f>
        <v/>
      </c>
      <c r="H4">
        <f>ConceptDemo!D4</f>
        <v>0</v>
      </c>
      <c r="I4" t="s">
        <v>215</v>
      </c>
      <c r="J4">
        <f>VLOOKUP(InCropRain,ListMembers!$Z$7:$AA$11,2,FALSE)</f>
        <v>1</v>
      </c>
      <c r="R4">
        <f ca="1">SUMIF(N6:N495,FALSE,R6:R495)</f>
        <v>0</v>
      </c>
      <c r="S4">
        <f ca="1">SUMIF(N6:N495,TRUE,S6:S495)</f>
        <v>0</v>
      </c>
      <c r="V4">
        <v>7</v>
      </c>
      <c r="W4">
        <v>8</v>
      </c>
      <c r="AC4" s="3"/>
      <c r="AG4" s="3"/>
    </row>
    <row r="5" spans="1:37" x14ac:dyDescent="0.25">
      <c r="A5" s="14" t="s">
        <v>226</v>
      </c>
      <c r="B5" s="15">
        <f>BulkDensity</f>
        <v>1.22</v>
      </c>
      <c r="D5" s="20" t="str">
        <f>IF(ConceptDemo!C30="","",ConceptDemo!C30)</f>
        <v/>
      </c>
      <c r="E5" s="19" t="str">
        <f>IF(ConceptDemo!D30="","",ConceptDemo!D30)</f>
        <v/>
      </c>
      <c r="G5" t="s">
        <v>102</v>
      </c>
      <c r="H5" s="103" t="s">
        <v>14</v>
      </c>
      <c r="I5" s="133" t="s">
        <v>17</v>
      </c>
      <c r="J5" s="133" t="s">
        <v>211</v>
      </c>
      <c r="K5" s="104" t="s">
        <v>213</v>
      </c>
      <c r="N5" t="s">
        <v>185</v>
      </c>
      <c r="O5" t="s">
        <v>114</v>
      </c>
      <c r="P5" t="e">
        <f t="array" aca="1" ref="P5:AB495" ca="1">_xll.GetDailyNBalance(H5:K495,A2:B47,D12:E18,D3:E9)</f>
        <v>#NAME?</v>
      </c>
      <c r="Q5" s="2" t="e">
        <f ca="1"/>
        <v>#NAME?</v>
      </c>
      <c r="R5" t="e">
        <f ca="1"/>
        <v>#NAME?</v>
      </c>
      <c r="S5" t="e">
        <f ca="1"/>
        <v>#NAME?</v>
      </c>
      <c r="T5" t="e">
        <f ca="1"/>
        <v>#NAME?</v>
      </c>
      <c r="U5" t="e">
        <f ca="1"/>
        <v>#NAME?</v>
      </c>
      <c r="V5" t="e">
        <f ca="1"/>
        <v>#NAME?</v>
      </c>
      <c r="W5" t="e">
        <f ca="1"/>
        <v>#NAME?</v>
      </c>
      <c r="X5" t="e">
        <f ca="1"/>
        <v>#NAME?</v>
      </c>
      <c r="Y5" t="e">
        <f ca="1"/>
        <v>#NAME?</v>
      </c>
      <c r="Z5" t="e">
        <f ca="1"/>
        <v>#NAME?</v>
      </c>
      <c r="AA5" t="e">
        <f ca="1"/>
        <v>#NAME?</v>
      </c>
      <c r="AB5" t="e">
        <f ca="1"/>
        <v>#NAME?</v>
      </c>
      <c r="AD5" t="s">
        <v>151</v>
      </c>
      <c r="AE5" t="s">
        <v>152</v>
      </c>
    </row>
    <row r="6" spans="1:37" x14ac:dyDescent="0.25">
      <c r="A6" s="14" t="s">
        <v>227</v>
      </c>
      <c r="B6" s="15" t="str">
        <f>PMNtype</f>
        <v>PMN</v>
      </c>
      <c r="D6" s="20" t="str">
        <f>IF(ConceptDemo!C31="","",ConceptDemo!C31)</f>
        <v/>
      </c>
      <c r="E6" s="19" t="str">
        <f>IF(ConceptDemo!D31="","",ConceptDemo!D31)</f>
        <v/>
      </c>
      <c r="G6" s="3">
        <f ca="1">H6-DATE(YEAR(H6),1,0)+1</f>
        <v>352</v>
      </c>
      <c r="H6" s="105">
        <f ca="1">B20-1</f>
        <v>44912</v>
      </c>
      <c r="I6" s="132" t="e">
        <f>HLOOKUP($H$4,'Met Data'!$A$2:$F$368,G6,FALSE)</f>
        <v>#N/A</v>
      </c>
      <c r="J6" s="132" t="e">
        <f ca="1">HLOOKUP($H$4,'Met Data'!$H$2:$M$368,G6,FALSE)*L6</f>
        <v>#N/A</v>
      </c>
      <c r="K6" s="106" t="e">
        <f>HLOOKUP($H$4,'Met Data'!$O$2:$T$368,G6,FALSE)</f>
        <v>#N/A</v>
      </c>
      <c r="L6">
        <f t="shared" ref="L6:L69" ca="1" si="0">IF(H6&lt;$B$31,$J$3,$J$4)</f>
        <v>1</v>
      </c>
      <c r="N6" t="e">
        <f ca="1">IF(P6&lt;$P$3,TRUE,FALSE)</f>
        <v>#NAME?</v>
      </c>
      <c r="O6" t="e">
        <f t="shared" ref="O6:O69" ca="1" si="1">AND(IF(P6&gt;($P$2-1),TRUE,FALSE),IF(P6&lt;($P$3+1),TRUE,FALSE))</f>
        <v>#NAME?</v>
      </c>
      <c r="P6" s="2" t="e">
        <f ca="1"/>
        <v>#NAME?</v>
      </c>
      <c r="Q6" t="e">
        <f ca="1"/>
        <v>#NAME?</v>
      </c>
      <c r="R6" t="e">
        <f ca="1"/>
        <v>#NAME?</v>
      </c>
      <c r="S6" t="e">
        <f ca="1"/>
        <v>#NAME?</v>
      </c>
      <c r="T6" s="4" t="e">
        <f ca="1"/>
        <v>#NAME?</v>
      </c>
      <c r="U6" t="e">
        <f ca="1"/>
        <v>#NAME?</v>
      </c>
      <c r="V6" t="e">
        <f ca="1"/>
        <v>#NAME?</v>
      </c>
      <c r="W6" t="e">
        <f ca="1"/>
        <v>#NAME?</v>
      </c>
      <c r="X6" t="e">
        <f ca="1"/>
        <v>#NAME?</v>
      </c>
      <c r="Y6" t="e">
        <f ca="1"/>
        <v>#NAME?</v>
      </c>
      <c r="Z6" t="e">
        <f ca="1"/>
        <v>#NAME?</v>
      </c>
      <c r="AA6" t="e">
        <f ca="1"/>
        <v>#NAME?</v>
      </c>
      <c r="AB6" t="e">
        <f ca="1"/>
        <v>#NAME?</v>
      </c>
      <c r="AD6" s="2">
        <f t="shared" ref="AD6:AD69" ca="1" si="2">IFERROR(P6,$AD$4)</f>
        <v>0</v>
      </c>
      <c r="AE6" s="46">
        <f t="shared" ref="AE6:AE69" ca="1" si="3">IFERROR(U6,0)</f>
        <v>0</v>
      </c>
      <c r="AG6" s="3"/>
      <c r="AH6" s="3"/>
      <c r="AJ6" s="3"/>
      <c r="AK6" s="3"/>
    </row>
    <row r="7" spans="1:37" x14ac:dyDescent="0.25">
      <c r="A7" s="14" t="s">
        <v>223</v>
      </c>
      <c r="B7" s="15">
        <f>HWEON</f>
        <v>60</v>
      </c>
      <c r="D7" s="20" t="str">
        <f>IF(ConceptDemo!C32="","",ConceptDemo!C32)</f>
        <v/>
      </c>
      <c r="E7" s="19" t="str">
        <f>IF(ConceptDemo!D32="","",ConceptDemo!D32)</f>
        <v/>
      </c>
      <c r="G7" s="3">
        <f t="shared" ref="G7:G70" ca="1" si="4">H7-DATE(YEAR(H7),1,0)+1</f>
        <v>353</v>
      </c>
      <c r="H7" s="105">
        <f ca="1">H6+1</f>
        <v>44913</v>
      </c>
      <c r="I7" s="132" t="e">
        <f>HLOOKUP($H$4,'Met Data'!$A$2:$F$368,G7,FALSE)</f>
        <v>#N/A</v>
      </c>
      <c r="J7" s="132" t="e">
        <f ca="1">HLOOKUP($H$4,'Met Data'!$H$2:$M$368,G7,FALSE)*L7</f>
        <v>#N/A</v>
      </c>
      <c r="K7" s="106" t="e">
        <f>HLOOKUP($H$4,'Met Data'!$O$2:$T$368,G7,FALSE)</f>
        <v>#N/A</v>
      </c>
      <c r="L7">
        <f t="shared" ca="1" si="0"/>
        <v>1</v>
      </c>
      <c r="N7" t="e">
        <f t="shared" ref="N7:N70" ca="1" si="5">IF(P7&lt;$P$3,TRUE,FALSE)</f>
        <v>#NAME?</v>
      </c>
      <c r="O7" t="e">
        <f t="shared" ca="1" si="1"/>
        <v>#NAME?</v>
      </c>
      <c r="P7" s="2" t="e">
        <f ca="1"/>
        <v>#NAME?</v>
      </c>
      <c r="Q7" t="e">
        <f ca="1"/>
        <v>#NAME?</v>
      </c>
      <c r="R7" t="e">
        <f ca="1"/>
        <v>#NAME?</v>
      </c>
      <c r="S7" t="e">
        <f ca="1"/>
        <v>#NAME?</v>
      </c>
      <c r="T7" s="4" t="e">
        <f ca="1"/>
        <v>#NAME?</v>
      </c>
      <c r="U7" t="e">
        <f ca="1"/>
        <v>#NAME?</v>
      </c>
      <c r="V7" t="e">
        <f ca="1"/>
        <v>#NAME?</v>
      </c>
      <c r="W7" t="e">
        <f ca="1"/>
        <v>#NAME?</v>
      </c>
      <c r="X7" t="e">
        <f ca="1"/>
        <v>#NAME?</v>
      </c>
      <c r="Y7" t="e">
        <f ca="1"/>
        <v>#NAME?</v>
      </c>
      <c r="Z7" t="e">
        <f ca="1"/>
        <v>#NAME?</v>
      </c>
      <c r="AA7" t="e">
        <f ca="1"/>
        <v>#NAME?</v>
      </c>
      <c r="AB7" t="e">
        <f ca="1"/>
        <v>#NAME?</v>
      </c>
      <c r="AD7" s="2">
        <f t="shared" ca="1" si="2"/>
        <v>0</v>
      </c>
      <c r="AE7" s="46">
        <f t="shared" ca="1" si="3"/>
        <v>0</v>
      </c>
      <c r="AF7" s="3"/>
      <c r="AG7" s="72" t="e">
        <f ca="1">Q6+S7+T7+U7</f>
        <v>#NAME?</v>
      </c>
      <c r="AH7" s="72" t="e">
        <f ca="1">Q7+R7+X7</f>
        <v>#NAME?</v>
      </c>
      <c r="AI7" s="3" t="e">
        <f ca="1">AH7-AG7</f>
        <v>#NAME?</v>
      </c>
      <c r="AK7" s="3"/>
    </row>
    <row r="8" spans="1:37" x14ac:dyDescent="0.25">
      <c r="A8" s="14" t="s">
        <v>27</v>
      </c>
      <c r="B8" s="15">
        <f>ConceptDemo!D70</f>
        <v>30</v>
      </c>
      <c r="D8" s="20" t="str">
        <f>IF(ConceptDemo!C33="","",ConceptDemo!C33)</f>
        <v/>
      </c>
      <c r="E8" s="19" t="str">
        <f>IF(ConceptDemo!D33="","",ConceptDemo!D33)</f>
        <v/>
      </c>
      <c r="G8" s="3">
        <f t="shared" ca="1" si="4"/>
        <v>354</v>
      </c>
      <c r="H8" s="105">
        <f t="shared" ref="H8:H71" ca="1" si="6">H7+1</f>
        <v>44914</v>
      </c>
      <c r="I8" s="132" t="e">
        <f>HLOOKUP($H$4,'Met Data'!$A$2:$F$368,G8,FALSE)</f>
        <v>#N/A</v>
      </c>
      <c r="J8" s="132" t="e">
        <f ca="1">HLOOKUP($H$4,'Met Data'!$H$2:$M$368,G8,FALSE)*L8</f>
        <v>#N/A</v>
      </c>
      <c r="K8" s="106" t="e">
        <f>HLOOKUP($H$4,'Met Data'!$O$2:$T$368,G8,FALSE)</f>
        <v>#N/A</v>
      </c>
      <c r="L8">
        <f t="shared" ca="1" si="0"/>
        <v>1</v>
      </c>
      <c r="N8" t="e">
        <f t="shared" ca="1" si="5"/>
        <v>#NAME?</v>
      </c>
      <c r="O8" t="e">
        <f t="shared" ca="1" si="1"/>
        <v>#NAME?</v>
      </c>
      <c r="P8" s="2" t="e">
        <f ca="1"/>
        <v>#NAME?</v>
      </c>
      <c r="Q8" t="e">
        <f ca="1"/>
        <v>#NAME?</v>
      </c>
      <c r="R8" t="e">
        <f ca="1"/>
        <v>#NAME?</v>
      </c>
      <c r="S8" t="e">
        <f ca="1"/>
        <v>#NAME?</v>
      </c>
      <c r="T8" s="4" t="e">
        <f ca="1"/>
        <v>#NAME?</v>
      </c>
      <c r="U8" t="e">
        <f ca="1"/>
        <v>#NAME?</v>
      </c>
      <c r="V8" t="e">
        <f ca="1"/>
        <v>#NAME?</v>
      </c>
      <c r="W8" t="e">
        <f ca="1"/>
        <v>#NAME?</v>
      </c>
      <c r="X8" t="e">
        <f ca="1"/>
        <v>#NAME?</v>
      </c>
      <c r="Y8" t="e">
        <f ca="1"/>
        <v>#NAME?</v>
      </c>
      <c r="Z8" t="e">
        <f ca="1"/>
        <v>#NAME?</v>
      </c>
      <c r="AA8" t="e">
        <f ca="1"/>
        <v>#NAME?</v>
      </c>
      <c r="AB8" t="e">
        <f ca="1"/>
        <v>#NAME?</v>
      </c>
      <c r="AD8" s="2">
        <f t="shared" ca="1" si="2"/>
        <v>0</v>
      </c>
      <c r="AE8" s="46">
        <f t="shared" ca="1" si="3"/>
        <v>0</v>
      </c>
      <c r="AG8" s="72" t="e">
        <f t="shared" ref="AG8:AG71" ca="1" si="7">Q7+S8+T8+U8</f>
        <v>#NAME?</v>
      </c>
      <c r="AH8" s="72" t="e">
        <f t="shared" ref="AH8:AH71" ca="1" si="8">Q8+R8+X8</f>
        <v>#NAME?</v>
      </c>
      <c r="AI8" s="3" t="e">
        <f t="shared" ref="AI8:AI71" ca="1" si="9">AH8-AG8</f>
        <v>#NAME?</v>
      </c>
    </row>
    <row r="9" spans="1:37" ht="15.75" thickBot="1" x14ac:dyDescent="0.3">
      <c r="A9" s="14" t="s">
        <v>28</v>
      </c>
      <c r="B9" s="15">
        <f>ConceptDemo!D71</f>
        <v>80</v>
      </c>
      <c r="D9" s="40" t="str">
        <f>IF(ConceptDemo!C34="","",ConceptDemo!C34)</f>
        <v/>
      </c>
      <c r="E9" s="22" t="str">
        <f>IF(ConceptDemo!D34="","",ConceptDemo!D34)</f>
        <v/>
      </c>
      <c r="G9" s="3">
        <f t="shared" ca="1" si="4"/>
        <v>355</v>
      </c>
      <c r="H9" s="105">
        <f t="shared" ca="1" si="6"/>
        <v>44915</v>
      </c>
      <c r="I9" s="132" t="e">
        <f>HLOOKUP($H$4,'Met Data'!$A$2:$F$368,G9,FALSE)</f>
        <v>#N/A</v>
      </c>
      <c r="J9" s="132" t="e">
        <f ca="1">HLOOKUP($H$4,'Met Data'!$H$2:$M$368,G9,FALSE)*L9</f>
        <v>#N/A</v>
      </c>
      <c r="K9" s="106" t="e">
        <f>HLOOKUP($H$4,'Met Data'!$O$2:$T$368,G9,FALSE)</f>
        <v>#N/A</v>
      </c>
      <c r="L9">
        <f t="shared" ca="1" si="0"/>
        <v>1</v>
      </c>
      <c r="N9" t="e">
        <f t="shared" ca="1" si="5"/>
        <v>#NAME?</v>
      </c>
      <c r="O9" t="e">
        <f t="shared" ca="1" si="1"/>
        <v>#NAME?</v>
      </c>
      <c r="P9" s="2" t="e">
        <f ca="1"/>
        <v>#NAME?</v>
      </c>
      <c r="Q9" t="e">
        <f ca="1"/>
        <v>#NAME?</v>
      </c>
      <c r="R9" t="e">
        <f ca="1"/>
        <v>#NAME?</v>
      </c>
      <c r="S9" t="e">
        <f ca="1"/>
        <v>#NAME?</v>
      </c>
      <c r="T9" s="4" t="e">
        <f ca="1"/>
        <v>#NAME?</v>
      </c>
      <c r="U9" t="e">
        <f ca="1"/>
        <v>#NAME?</v>
      </c>
      <c r="V9" t="e">
        <f ca="1"/>
        <v>#NAME?</v>
      </c>
      <c r="W9" t="e">
        <f ca="1"/>
        <v>#NAME?</v>
      </c>
      <c r="X9" t="e">
        <f ca="1"/>
        <v>#NAME?</v>
      </c>
      <c r="Y9" t="e">
        <f ca="1"/>
        <v>#NAME?</v>
      </c>
      <c r="Z9" t="e">
        <f ca="1"/>
        <v>#NAME?</v>
      </c>
      <c r="AA9" t="e">
        <f ca="1"/>
        <v>#NAME?</v>
      </c>
      <c r="AB9" t="e">
        <f ca="1"/>
        <v>#NAME?</v>
      </c>
      <c r="AD9" s="2">
        <f t="shared" ca="1" si="2"/>
        <v>0</v>
      </c>
      <c r="AE9" s="46">
        <f t="shared" ca="1" si="3"/>
        <v>0</v>
      </c>
      <c r="AG9" s="72" t="e">
        <f t="shared" ca="1" si="7"/>
        <v>#NAME?</v>
      </c>
      <c r="AH9" s="72" t="e">
        <f t="shared" ca="1" si="8"/>
        <v>#NAME?</v>
      </c>
      <c r="AI9" s="3" t="e">
        <f t="shared" ca="1" si="9"/>
        <v>#NAME?</v>
      </c>
    </row>
    <row r="10" spans="1:37" ht="15.75" thickBot="1" x14ac:dyDescent="0.3">
      <c r="A10" s="14" t="s">
        <v>29</v>
      </c>
      <c r="B10" s="15">
        <f>Splits</f>
        <v>1</v>
      </c>
      <c r="G10" s="3">
        <f t="shared" ca="1" si="4"/>
        <v>356</v>
      </c>
      <c r="H10" s="105">
        <f t="shared" ca="1" si="6"/>
        <v>44916</v>
      </c>
      <c r="I10" s="132" t="e">
        <f>HLOOKUP($H$4,'Met Data'!$A$2:$F$368,G10,FALSE)</f>
        <v>#N/A</v>
      </c>
      <c r="J10" s="132" t="e">
        <f ca="1">HLOOKUP($H$4,'Met Data'!$H$2:$M$368,G10,FALSE)*L10</f>
        <v>#N/A</v>
      </c>
      <c r="K10" s="106" t="e">
        <f>HLOOKUP($H$4,'Met Data'!$O$2:$T$368,G10,FALSE)</f>
        <v>#N/A</v>
      </c>
      <c r="L10">
        <f t="shared" ca="1" si="0"/>
        <v>1</v>
      </c>
      <c r="N10" t="e">
        <f t="shared" ca="1" si="5"/>
        <v>#NAME?</v>
      </c>
      <c r="O10" t="e">
        <f t="shared" ca="1" si="1"/>
        <v>#NAME?</v>
      </c>
      <c r="P10" s="2" t="e">
        <f ca="1"/>
        <v>#NAME?</v>
      </c>
      <c r="Q10" t="e">
        <f ca="1"/>
        <v>#NAME?</v>
      </c>
      <c r="R10" t="e">
        <f ca="1"/>
        <v>#NAME?</v>
      </c>
      <c r="S10" t="e">
        <f ca="1"/>
        <v>#NAME?</v>
      </c>
      <c r="T10" s="4" t="e">
        <f ca="1"/>
        <v>#NAME?</v>
      </c>
      <c r="U10" t="e">
        <f ca="1"/>
        <v>#NAME?</v>
      </c>
      <c r="V10" t="e">
        <f ca="1"/>
        <v>#NAME?</v>
      </c>
      <c r="W10" t="e">
        <f ca="1"/>
        <v>#NAME?</v>
      </c>
      <c r="X10" t="e">
        <f ca="1"/>
        <v>#NAME?</v>
      </c>
      <c r="Y10" t="e">
        <f ca="1"/>
        <v>#NAME?</v>
      </c>
      <c r="Z10" t="e">
        <f ca="1"/>
        <v>#NAME?</v>
      </c>
      <c r="AA10" t="e">
        <f ca="1"/>
        <v>#NAME?</v>
      </c>
      <c r="AB10" t="e">
        <f ca="1"/>
        <v>#NAME?</v>
      </c>
      <c r="AD10" s="2">
        <f t="shared" ca="1" si="2"/>
        <v>0</v>
      </c>
      <c r="AE10" s="46">
        <f t="shared" ca="1" si="3"/>
        <v>0</v>
      </c>
      <c r="AG10" s="72" t="e">
        <f t="shared" ca="1" si="7"/>
        <v>#NAME?</v>
      </c>
      <c r="AH10" s="72" t="e">
        <f t="shared" ca="1" si="8"/>
        <v>#NAME?</v>
      </c>
      <c r="AI10" s="3" t="e">
        <f t="shared" ca="1" si="9"/>
        <v>#NAME?</v>
      </c>
    </row>
    <row r="11" spans="1:37" x14ac:dyDescent="0.25">
      <c r="A11" s="14" t="s">
        <v>217</v>
      </c>
      <c r="B11" s="15">
        <f>AWC</f>
        <v>120</v>
      </c>
      <c r="D11" s="151" t="str">
        <f>ConceptDemo!C36</f>
        <v>Soil Mineral N Test Results</v>
      </c>
      <c r="E11" s="152"/>
      <c r="G11" s="3">
        <f t="shared" ca="1" si="4"/>
        <v>357</v>
      </c>
      <c r="H11" s="105">
        <f t="shared" ca="1" si="6"/>
        <v>44917</v>
      </c>
      <c r="I11" s="132" t="e">
        <f>HLOOKUP($H$4,'Met Data'!$A$2:$F$368,G11,FALSE)</f>
        <v>#N/A</v>
      </c>
      <c r="J11" s="132" t="e">
        <f ca="1">HLOOKUP($H$4,'Met Data'!$H$2:$M$368,G11,FALSE)*L11</f>
        <v>#N/A</v>
      </c>
      <c r="K11" s="106" t="e">
        <f>HLOOKUP($H$4,'Met Data'!$O$2:$T$368,G11,FALSE)</f>
        <v>#N/A</v>
      </c>
      <c r="L11">
        <f t="shared" ca="1" si="0"/>
        <v>1</v>
      </c>
      <c r="N11" t="e">
        <f t="shared" ca="1" si="5"/>
        <v>#NAME?</v>
      </c>
      <c r="O11" t="e">
        <f t="shared" ca="1" si="1"/>
        <v>#NAME?</v>
      </c>
      <c r="P11" s="2" t="e">
        <f ca="1"/>
        <v>#NAME?</v>
      </c>
      <c r="Q11" t="e">
        <f ca="1"/>
        <v>#NAME?</v>
      </c>
      <c r="R11" t="e">
        <f ca="1"/>
        <v>#NAME?</v>
      </c>
      <c r="S11" t="e">
        <f ca="1"/>
        <v>#NAME?</v>
      </c>
      <c r="T11" s="4" t="e">
        <f ca="1"/>
        <v>#NAME?</v>
      </c>
      <c r="U11" t="e">
        <f ca="1"/>
        <v>#NAME?</v>
      </c>
      <c r="V11" t="e">
        <f ca="1"/>
        <v>#NAME?</v>
      </c>
      <c r="W11" t="e">
        <f ca="1"/>
        <v>#NAME?</v>
      </c>
      <c r="X11" t="e">
        <f ca="1"/>
        <v>#NAME?</v>
      </c>
      <c r="Y11" t="e">
        <f ca="1"/>
        <v>#NAME?</v>
      </c>
      <c r="Z11" t="e">
        <f ca="1"/>
        <v>#NAME?</v>
      </c>
      <c r="AA11" t="e">
        <f ca="1"/>
        <v>#NAME?</v>
      </c>
      <c r="AB11" t="e">
        <f ca="1"/>
        <v>#NAME?</v>
      </c>
      <c r="AD11" s="2">
        <f t="shared" ca="1" si="2"/>
        <v>0</v>
      </c>
      <c r="AE11" s="46">
        <f t="shared" ca="1" si="3"/>
        <v>0</v>
      </c>
      <c r="AG11" s="72" t="e">
        <f t="shared" ca="1" si="7"/>
        <v>#NAME?</v>
      </c>
      <c r="AH11" s="72" t="e">
        <f t="shared" ca="1" si="8"/>
        <v>#NAME?</v>
      </c>
      <c r="AI11" s="3" t="e">
        <f t="shared" ca="1" si="9"/>
        <v>#NAME?</v>
      </c>
    </row>
    <row r="12" spans="1:37" ht="15.75" thickBot="1" x14ac:dyDescent="0.3">
      <c r="A12" s="14" t="s">
        <v>214</v>
      </c>
      <c r="B12" s="15" t="str">
        <f>PrePlantRain</f>
        <v>Typical</v>
      </c>
      <c r="D12" s="21" t="str">
        <f>ConceptDemo!C37</f>
        <v>Date</v>
      </c>
      <c r="E12" s="22" t="str">
        <f>ConceptDemo!D37</f>
        <v>Value</v>
      </c>
      <c r="G12" s="3">
        <f t="shared" ca="1" si="4"/>
        <v>358</v>
      </c>
      <c r="H12" s="105">
        <f t="shared" ca="1" si="6"/>
        <v>44918</v>
      </c>
      <c r="I12" s="132" t="e">
        <f>HLOOKUP($H$4,'Met Data'!$A$2:$F$368,G12,FALSE)</f>
        <v>#N/A</v>
      </c>
      <c r="J12" s="132" t="e">
        <f ca="1">HLOOKUP($H$4,'Met Data'!$H$2:$M$368,G12,FALSE)*L12</f>
        <v>#N/A</v>
      </c>
      <c r="K12" s="106" t="e">
        <f>HLOOKUP($H$4,'Met Data'!$O$2:$T$368,G12,FALSE)</f>
        <v>#N/A</v>
      </c>
      <c r="L12">
        <f t="shared" ca="1" si="0"/>
        <v>1</v>
      </c>
      <c r="N12" t="e">
        <f t="shared" ca="1" si="5"/>
        <v>#NAME?</v>
      </c>
      <c r="O12" t="e">
        <f t="shared" ca="1" si="1"/>
        <v>#NAME?</v>
      </c>
      <c r="P12" s="2" t="e">
        <f ca="1"/>
        <v>#NAME?</v>
      </c>
      <c r="Q12" t="e">
        <f ca="1"/>
        <v>#NAME?</v>
      </c>
      <c r="R12" t="e">
        <f ca="1"/>
        <v>#NAME?</v>
      </c>
      <c r="S12" t="e">
        <f ca="1"/>
        <v>#NAME?</v>
      </c>
      <c r="T12" s="4" t="e">
        <f ca="1"/>
        <v>#NAME?</v>
      </c>
      <c r="U12" t="e">
        <f ca="1"/>
        <v>#NAME?</v>
      </c>
      <c r="V12" t="e">
        <f ca="1"/>
        <v>#NAME?</v>
      </c>
      <c r="W12" t="e">
        <f ca="1"/>
        <v>#NAME?</v>
      </c>
      <c r="X12" t="e">
        <f ca="1"/>
        <v>#NAME?</v>
      </c>
      <c r="Y12" t="e">
        <f ca="1"/>
        <v>#NAME?</v>
      </c>
      <c r="Z12" t="e">
        <f ca="1"/>
        <v>#NAME?</v>
      </c>
      <c r="AA12" t="e">
        <f ca="1"/>
        <v>#NAME?</v>
      </c>
      <c r="AB12" t="e">
        <f ca="1"/>
        <v>#NAME?</v>
      </c>
      <c r="AD12" s="2">
        <f t="shared" ca="1" si="2"/>
        <v>0</v>
      </c>
      <c r="AE12" s="46">
        <f t="shared" ca="1" si="3"/>
        <v>0</v>
      </c>
      <c r="AG12" s="72" t="e">
        <f t="shared" ca="1" si="7"/>
        <v>#NAME?</v>
      </c>
      <c r="AH12" s="72" t="e">
        <f t="shared" ca="1" si="8"/>
        <v>#NAME?</v>
      </c>
      <c r="AI12" s="3" t="e">
        <f t="shared" ca="1" si="9"/>
        <v>#NAME?</v>
      </c>
    </row>
    <row r="13" spans="1:37" x14ac:dyDescent="0.25">
      <c r="A13" s="14" t="s">
        <v>215</v>
      </c>
      <c r="B13" s="15" t="str">
        <f>InCropRain</f>
        <v>Typical</v>
      </c>
      <c r="D13" s="20" t="str">
        <f>IF(ConceptDemo!C38="","",ConceptDemo!C38)</f>
        <v/>
      </c>
      <c r="E13" s="19" t="str">
        <f>IF(ConceptDemo!D38="","",ConceptDemo!D38)</f>
        <v/>
      </c>
      <c r="G13" s="3">
        <f t="shared" ca="1" si="4"/>
        <v>359</v>
      </c>
      <c r="H13" s="105">
        <f t="shared" ca="1" si="6"/>
        <v>44919</v>
      </c>
      <c r="I13" s="132" t="e">
        <f>HLOOKUP($H$4,'Met Data'!$A$2:$F$368,G13,FALSE)</f>
        <v>#N/A</v>
      </c>
      <c r="J13" s="132" t="e">
        <f ca="1">HLOOKUP($H$4,'Met Data'!$H$2:$M$368,G13,FALSE)*L13</f>
        <v>#N/A</v>
      </c>
      <c r="K13" s="106" t="e">
        <f>HLOOKUP($H$4,'Met Data'!$O$2:$T$368,G13,FALSE)</f>
        <v>#N/A</v>
      </c>
      <c r="L13">
        <f t="shared" ca="1" si="0"/>
        <v>1</v>
      </c>
      <c r="N13" t="e">
        <f t="shared" ca="1" si="5"/>
        <v>#NAME?</v>
      </c>
      <c r="O13" t="e">
        <f t="shared" ca="1" si="1"/>
        <v>#NAME?</v>
      </c>
      <c r="P13" s="2" t="e">
        <f ca="1"/>
        <v>#NAME?</v>
      </c>
      <c r="Q13" t="e">
        <f ca="1"/>
        <v>#NAME?</v>
      </c>
      <c r="R13" t="e">
        <f ca="1"/>
        <v>#NAME?</v>
      </c>
      <c r="S13" t="e">
        <f ca="1"/>
        <v>#NAME?</v>
      </c>
      <c r="T13" s="4" t="e">
        <f ca="1"/>
        <v>#NAME?</v>
      </c>
      <c r="U13" t="e">
        <f ca="1"/>
        <v>#NAME?</v>
      </c>
      <c r="V13" t="e">
        <f ca="1"/>
        <v>#NAME?</v>
      </c>
      <c r="W13" t="e">
        <f ca="1"/>
        <v>#NAME?</v>
      </c>
      <c r="X13" t="e">
        <f ca="1"/>
        <v>#NAME?</v>
      </c>
      <c r="Y13" t="e">
        <f ca="1"/>
        <v>#NAME?</v>
      </c>
      <c r="Z13" t="e">
        <f ca="1"/>
        <v>#NAME?</v>
      </c>
      <c r="AA13" t="e">
        <f ca="1"/>
        <v>#NAME?</v>
      </c>
      <c r="AB13" t="e">
        <f ca="1"/>
        <v>#NAME?</v>
      </c>
      <c r="AD13" s="2">
        <f t="shared" ca="1" si="2"/>
        <v>0</v>
      </c>
      <c r="AE13" s="46">
        <f t="shared" ca="1" si="3"/>
        <v>0</v>
      </c>
      <c r="AG13" s="72" t="e">
        <f t="shared" ca="1" si="7"/>
        <v>#NAME?</v>
      </c>
      <c r="AH13" s="72" t="e">
        <f t="shared" ca="1" si="8"/>
        <v>#NAME?</v>
      </c>
      <c r="AI13" s="3" t="e">
        <f t="shared" ca="1" si="9"/>
        <v>#NAME?</v>
      </c>
    </row>
    <row r="14" spans="1:37" ht="15.75" thickBot="1" x14ac:dyDescent="0.3">
      <c r="A14" s="14" t="s">
        <v>201</v>
      </c>
      <c r="B14" s="15" t="str">
        <f>Irrigation</f>
        <v>None</v>
      </c>
      <c r="D14" s="20" t="str">
        <f>IF(ConceptDemo!C39="","",ConceptDemo!C39)</f>
        <v/>
      </c>
      <c r="E14" s="19" t="str">
        <f>IF(ConceptDemo!D39="","",ConceptDemo!D39)</f>
        <v/>
      </c>
      <c r="G14" s="3">
        <f t="shared" ca="1" si="4"/>
        <v>360</v>
      </c>
      <c r="H14" s="105">
        <f t="shared" ca="1" si="6"/>
        <v>44920</v>
      </c>
      <c r="I14" s="132" t="e">
        <f>HLOOKUP($H$4,'Met Data'!$A$2:$F$368,G14,FALSE)</f>
        <v>#N/A</v>
      </c>
      <c r="J14" s="132" t="e">
        <f ca="1">HLOOKUP($H$4,'Met Data'!$H$2:$M$368,G14,FALSE)*L14</f>
        <v>#N/A</v>
      </c>
      <c r="K14" s="106" t="e">
        <f>HLOOKUP($H$4,'Met Data'!$O$2:$T$368,G14,FALSE)</f>
        <v>#N/A</v>
      </c>
      <c r="L14">
        <f t="shared" ca="1" si="0"/>
        <v>1</v>
      </c>
      <c r="N14" t="e">
        <f t="shared" ca="1" si="5"/>
        <v>#NAME?</v>
      </c>
      <c r="O14" t="e">
        <f t="shared" ca="1" si="1"/>
        <v>#NAME?</v>
      </c>
      <c r="P14" s="2" t="e">
        <f ca="1"/>
        <v>#NAME?</v>
      </c>
      <c r="Q14" t="e">
        <f ca="1"/>
        <v>#NAME?</v>
      </c>
      <c r="R14" t="e">
        <f ca="1"/>
        <v>#NAME?</v>
      </c>
      <c r="S14" t="e">
        <f ca="1"/>
        <v>#NAME?</v>
      </c>
      <c r="T14" s="4" t="e">
        <f ca="1"/>
        <v>#NAME?</v>
      </c>
      <c r="U14" t="e">
        <f ca="1"/>
        <v>#NAME?</v>
      </c>
      <c r="V14" t="e">
        <f ca="1"/>
        <v>#NAME?</v>
      </c>
      <c r="W14" t="e">
        <f ca="1"/>
        <v>#NAME?</v>
      </c>
      <c r="X14" t="e">
        <f ca="1"/>
        <v>#NAME?</v>
      </c>
      <c r="Y14" t="e">
        <f ca="1"/>
        <v>#NAME?</v>
      </c>
      <c r="Z14" t="e">
        <f ca="1"/>
        <v>#NAME?</v>
      </c>
      <c r="AA14" t="e">
        <f ca="1"/>
        <v>#NAME?</v>
      </c>
      <c r="AB14" t="e">
        <f ca="1"/>
        <v>#NAME?</v>
      </c>
      <c r="AD14" s="2">
        <f t="shared" ca="1" si="2"/>
        <v>0</v>
      </c>
      <c r="AE14" s="46">
        <f t="shared" ca="1" si="3"/>
        <v>0</v>
      </c>
      <c r="AG14" s="72" t="e">
        <f t="shared" ca="1" si="7"/>
        <v>#NAME?</v>
      </c>
      <c r="AH14" s="72" t="e">
        <f t="shared" ca="1" si="8"/>
        <v>#NAME?</v>
      </c>
      <c r="AI14" s="3" t="e">
        <f t="shared" ca="1" si="9"/>
        <v>#NAME?</v>
      </c>
    </row>
    <row r="15" spans="1:37" x14ac:dyDescent="0.25">
      <c r="A15" s="7" t="s">
        <v>148</v>
      </c>
      <c r="B15" s="36" t="str">
        <f>PriorCropNameFull</f>
        <v>Barley Fodder General</v>
      </c>
      <c r="D15" s="20" t="str">
        <f>IF(ConceptDemo!C40="","",ConceptDemo!C40)</f>
        <v/>
      </c>
      <c r="E15" s="19" t="str">
        <f>IF(ConceptDemo!D40="","",ConceptDemo!D40)</f>
        <v/>
      </c>
      <c r="G15" s="3">
        <f t="shared" ca="1" si="4"/>
        <v>361</v>
      </c>
      <c r="H15" s="105">
        <f t="shared" ca="1" si="6"/>
        <v>44921</v>
      </c>
      <c r="I15" s="132" t="e">
        <f>HLOOKUP($H$4,'Met Data'!$A$2:$F$368,G15,FALSE)</f>
        <v>#N/A</v>
      </c>
      <c r="J15" s="132" t="e">
        <f ca="1">HLOOKUP($H$4,'Met Data'!$H$2:$M$368,G15,FALSE)*L15</f>
        <v>#N/A</v>
      </c>
      <c r="K15" s="106" t="e">
        <f>HLOOKUP($H$4,'Met Data'!$O$2:$T$368,G15,FALSE)</f>
        <v>#N/A</v>
      </c>
      <c r="L15">
        <f t="shared" ca="1" si="0"/>
        <v>1</v>
      </c>
      <c r="N15" t="e">
        <f t="shared" ca="1" si="5"/>
        <v>#NAME?</v>
      </c>
      <c r="O15" t="e">
        <f t="shared" ca="1" si="1"/>
        <v>#NAME?</v>
      </c>
      <c r="P15" s="2" t="e">
        <f ca="1"/>
        <v>#NAME?</v>
      </c>
      <c r="Q15" t="e">
        <f ca="1"/>
        <v>#NAME?</v>
      </c>
      <c r="R15" t="e">
        <f ca="1"/>
        <v>#NAME?</v>
      </c>
      <c r="S15" t="e">
        <f ca="1"/>
        <v>#NAME?</v>
      </c>
      <c r="T15" s="4" t="e">
        <f ca="1"/>
        <v>#NAME?</v>
      </c>
      <c r="U15" t="e">
        <f ca="1"/>
        <v>#NAME?</v>
      </c>
      <c r="V15" t="e">
        <f ca="1"/>
        <v>#NAME?</v>
      </c>
      <c r="W15" t="e">
        <f ca="1"/>
        <v>#NAME?</v>
      </c>
      <c r="X15" t="e">
        <f ca="1"/>
        <v>#NAME?</v>
      </c>
      <c r="Y15" t="e">
        <f ca="1"/>
        <v>#NAME?</v>
      </c>
      <c r="Z15" t="e">
        <f ca="1"/>
        <v>#NAME?</v>
      </c>
      <c r="AA15" t="e">
        <f ca="1"/>
        <v>#NAME?</v>
      </c>
      <c r="AB15" t="e">
        <f ca="1"/>
        <v>#NAME?</v>
      </c>
      <c r="AD15" s="2">
        <f t="shared" ca="1" si="2"/>
        <v>0</v>
      </c>
      <c r="AE15" s="46">
        <f t="shared" ca="1" si="3"/>
        <v>0</v>
      </c>
      <c r="AG15" s="72" t="e">
        <f t="shared" ca="1" si="7"/>
        <v>#NAME?</v>
      </c>
      <c r="AH15" s="72" t="e">
        <f t="shared" ca="1" si="8"/>
        <v>#NAME?</v>
      </c>
      <c r="AI15" s="3" t="e">
        <f t="shared" ca="1" si="9"/>
        <v>#NAME?</v>
      </c>
    </row>
    <row r="16" spans="1:37" x14ac:dyDescent="0.25">
      <c r="A16" s="8" t="s">
        <v>118</v>
      </c>
      <c r="B16" s="37">
        <f>PriorYield_tperHa</f>
        <v>8</v>
      </c>
      <c r="D16" s="20" t="str">
        <f>IF(ConceptDemo!C41="","",ConceptDemo!C41)</f>
        <v/>
      </c>
      <c r="E16" s="19" t="str">
        <f>IF(ConceptDemo!D41="","",ConceptDemo!D41)</f>
        <v/>
      </c>
      <c r="G16" s="3">
        <f t="shared" ca="1" si="4"/>
        <v>362</v>
      </c>
      <c r="H16" s="105">
        <f t="shared" ca="1" si="6"/>
        <v>44922</v>
      </c>
      <c r="I16" s="132" t="e">
        <f>HLOOKUP($H$4,'Met Data'!$A$2:$F$368,G16,FALSE)</f>
        <v>#N/A</v>
      </c>
      <c r="J16" s="132" t="e">
        <f ca="1">HLOOKUP($H$4,'Met Data'!$H$2:$M$368,G16,FALSE)*L16</f>
        <v>#N/A</v>
      </c>
      <c r="K16" s="106" t="e">
        <f>HLOOKUP($H$4,'Met Data'!$O$2:$T$368,G16,FALSE)</f>
        <v>#N/A</v>
      </c>
      <c r="L16">
        <f t="shared" ca="1" si="0"/>
        <v>1</v>
      </c>
      <c r="N16" t="e">
        <f t="shared" ca="1" si="5"/>
        <v>#NAME?</v>
      </c>
      <c r="O16" t="e">
        <f t="shared" ca="1" si="1"/>
        <v>#NAME?</v>
      </c>
      <c r="P16" s="2" t="e">
        <f ca="1"/>
        <v>#NAME?</v>
      </c>
      <c r="Q16" t="e">
        <f ca="1"/>
        <v>#NAME?</v>
      </c>
      <c r="R16" t="e">
        <f ca="1"/>
        <v>#NAME?</v>
      </c>
      <c r="S16" t="e">
        <f ca="1"/>
        <v>#NAME?</v>
      </c>
      <c r="T16" s="4" t="e">
        <f ca="1"/>
        <v>#NAME?</v>
      </c>
      <c r="U16" t="e">
        <f ca="1"/>
        <v>#NAME?</v>
      </c>
      <c r="V16" t="e">
        <f ca="1"/>
        <v>#NAME?</v>
      </c>
      <c r="W16" t="e">
        <f ca="1"/>
        <v>#NAME?</v>
      </c>
      <c r="X16" t="e">
        <f ca="1"/>
        <v>#NAME?</v>
      </c>
      <c r="Y16" t="e">
        <f ca="1"/>
        <v>#NAME?</v>
      </c>
      <c r="Z16" t="e">
        <f ca="1"/>
        <v>#NAME?</v>
      </c>
      <c r="AA16" t="e">
        <f ca="1"/>
        <v>#NAME?</v>
      </c>
      <c r="AB16" t="e">
        <f ca="1"/>
        <v>#NAME?</v>
      </c>
      <c r="AD16" s="2">
        <f t="shared" ca="1" si="2"/>
        <v>0</v>
      </c>
      <c r="AE16" s="46">
        <f t="shared" ca="1" si="3"/>
        <v>0</v>
      </c>
      <c r="AG16" s="72" t="e">
        <f t="shared" ca="1" si="7"/>
        <v>#NAME?</v>
      </c>
      <c r="AH16" s="72" t="e">
        <f t="shared" ca="1" si="8"/>
        <v>#NAME?</v>
      </c>
      <c r="AI16" s="3" t="e">
        <f t="shared" ca="1" si="9"/>
        <v>#NAME?</v>
      </c>
    </row>
    <row r="17" spans="1:35" x14ac:dyDescent="0.25">
      <c r="A17" s="8" t="s">
        <v>119</v>
      </c>
      <c r="B17" s="37">
        <f>PriorFieldLoss</f>
        <v>0</v>
      </c>
      <c r="D17" s="20" t="str">
        <f>IF(ConceptDemo!C42="","",ConceptDemo!C42)</f>
        <v/>
      </c>
      <c r="E17" s="19" t="str">
        <f>IF(ConceptDemo!D42="","",ConceptDemo!D42)</f>
        <v/>
      </c>
      <c r="G17" s="3">
        <f t="shared" ca="1" si="4"/>
        <v>363</v>
      </c>
      <c r="H17" s="105">
        <f t="shared" ca="1" si="6"/>
        <v>44923</v>
      </c>
      <c r="I17" s="132" t="e">
        <f>HLOOKUP($H$4,'Met Data'!$A$2:$F$368,G17,FALSE)</f>
        <v>#N/A</v>
      </c>
      <c r="J17" s="132" t="e">
        <f ca="1">HLOOKUP($H$4,'Met Data'!$H$2:$M$368,G17,FALSE)*L17</f>
        <v>#N/A</v>
      </c>
      <c r="K17" s="106" t="e">
        <f>HLOOKUP($H$4,'Met Data'!$O$2:$T$368,G17,FALSE)</f>
        <v>#N/A</v>
      </c>
      <c r="L17">
        <f t="shared" ca="1" si="0"/>
        <v>1</v>
      </c>
      <c r="N17" t="e">
        <f t="shared" ca="1" si="5"/>
        <v>#NAME?</v>
      </c>
      <c r="O17" t="e">
        <f t="shared" ca="1" si="1"/>
        <v>#NAME?</v>
      </c>
      <c r="P17" s="2" t="e">
        <f ca="1"/>
        <v>#NAME?</v>
      </c>
      <c r="Q17" t="e">
        <f ca="1"/>
        <v>#NAME?</v>
      </c>
      <c r="R17" t="e">
        <f ca="1"/>
        <v>#NAME?</v>
      </c>
      <c r="S17" t="e">
        <f ca="1"/>
        <v>#NAME?</v>
      </c>
      <c r="T17" s="4" t="e">
        <f ca="1"/>
        <v>#NAME?</v>
      </c>
      <c r="U17" t="e">
        <f ca="1"/>
        <v>#NAME?</v>
      </c>
      <c r="V17" t="e">
        <f ca="1"/>
        <v>#NAME?</v>
      </c>
      <c r="W17" t="e">
        <f ca="1"/>
        <v>#NAME?</v>
      </c>
      <c r="X17" t="e">
        <f ca="1"/>
        <v>#NAME?</v>
      </c>
      <c r="Y17" t="e">
        <f ca="1"/>
        <v>#NAME?</v>
      </c>
      <c r="Z17" t="e">
        <f ca="1"/>
        <v>#NAME?</v>
      </c>
      <c r="AA17" t="e">
        <f ca="1"/>
        <v>#NAME?</v>
      </c>
      <c r="AB17" t="e">
        <f ca="1"/>
        <v>#NAME?</v>
      </c>
      <c r="AD17" s="2">
        <f t="shared" ca="1" si="2"/>
        <v>0</v>
      </c>
      <c r="AE17" s="46">
        <f t="shared" ca="1" si="3"/>
        <v>0</v>
      </c>
      <c r="AG17" s="72" t="e">
        <f t="shared" ca="1" si="7"/>
        <v>#NAME?</v>
      </c>
      <c r="AH17" s="72" t="e">
        <f t="shared" ca="1" si="8"/>
        <v>#NAME?</v>
      </c>
      <c r="AI17" s="3" t="e">
        <f t="shared" ca="1" si="9"/>
        <v>#NAME?</v>
      </c>
    </row>
    <row r="18" spans="1:35" ht="15.75" thickBot="1" x14ac:dyDescent="0.3">
      <c r="A18" s="8" t="s">
        <v>120</v>
      </c>
      <c r="B18" s="37">
        <f>PriorDressingLoss</f>
        <v>0</v>
      </c>
      <c r="D18" s="40" t="str">
        <f>IF(ConceptDemo!C43="","",ConceptDemo!C43)</f>
        <v/>
      </c>
      <c r="E18" s="22" t="str">
        <f>IF(ConceptDemo!D43="","",ConceptDemo!D43)</f>
        <v/>
      </c>
      <c r="G18" s="3">
        <f t="shared" ca="1" si="4"/>
        <v>364</v>
      </c>
      <c r="H18" s="105">
        <f t="shared" ca="1" si="6"/>
        <v>44924</v>
      </c>
      <c r="I18" s="132" t="e">
        <f>HLOOKUP($H$4,'Met Data'!$A$2:$F$368,G18,FALSE)</f>
        <v>#N/A</v>
      </c>
      <c r="J18" s="132" t="e">
        <f ca="1">HLOOKUP($H$4,'Met Data'!$H$2:$M$368,G18,FALSE)*L18</f>
        <v>#N/A</v>
      </c>
      <c r="K18" s="106" t="e">
        <f>HLOOKUP($H$4,'Met Data'!$O$2:$T$368,G18,FALSE)</f>
        <v>#N/A</v>
      </c>
      <c r="L18">
        <f t="shared" ca="1" si="0"/>
        <v>1</v>
      </c>
      <c r="N18" t="e">
        <f t="shared" ca="1" si="5"/>
        <v>#NAME?</v>
      </c>
      <c r="O18" t="e">
        <f t="shared" ca="1" si="1"/>
        <v>#NAME?</v>
      </c>
      <c r="P18" s="2" t="e">
        <f ca="1"/>
        <v>#NAME?</v>
      </c>
      <c r="Q18" t="e">
        <f ca="1"/>
        <v>#NAME?</v>
      </c>
      <c r="R18" t="e">
        <f ca="1"/>
        <v>#NAME?</v>
      </c>
      <c r="S18" t="e">
        <f ca="1"/>
        <v>#NAME?</v>
      </c>
      <c r="T18" s="4" t="e">
        <f ca="1"/>
        <v>#NAME?</v>
      </c>
      <c r="U18" t="e">
        <f ca="1"/>
        <v>#NAME?</v>
      </c>
      <c r="V18" t="e">
        <f ca="1"/>
        <v>#NAME?</v>
      </c>
      <c r="W18" t="e">
        <f ca="1"/>
        <v>#NAME?</v>
      </c>
      <c r="X18" t="e">
        <f ca="1"/>
        <v>#NAME?</v>
      </c>
      <c r="Y18" t="e">
        <f ca="1"/>
        <v>#NAME?</v>
      </c>
      <c r="Z18" t="e">
        <f ca="1"/>
        <v>#NAME?</v>
      </c>
      <c r="AA18" t="e">
        <f ca="1"/>
        <v>#NAME?</v>
      </c>
      <c r="AB18" t="e">
        <f ca="1"/>
        <v>#NAME?</v>
      </c>
      <c r="AD18" s="2">
        <f t="shared" ca="1" si="2"/>
        <v>0</v>
      </c>
      <c r="AE18" s="46">
        <f t="shared" ca="1" si="3"/>
        <v>0</v>
      </c>
      <c r="AG18" s="72" t="e">
        <f t="shared" ca="1" si="7"/>
        <v>#NAME?</v>
      </c>
      <c r="AH18" s="72" t="e">
        <f t="shared" ca="1" si="8"/>
        <v>#NAME?</v>
      </c>
      <c r="AI18" s="3" t="e">
        <f t="shared" ca="1" si="9"/>
        <v>#NAME?</v>
      </c>
    </row>
    <row r="19" spans="1:35" x14ac:dyDescent="0.25">
      <c r="A19" s="8" t="s">
        <v>121</v>
      </c>
      <c r="B19" s="37">
        <f>PriorMoistureContent</f>
        <v>80</v>
      </c>
      <c r="G19" s="3">
        <f t="shared" ca="1" si="4"/>
        <v>365</v>
      </c>
      <c r="H19" s="105">
        <f t="shared" ca="1" si="6"/>
        <v>44925</v>
      </c>
      <c r="I19" s="132" t="e">
        <f>HLOOKUP($H$4,'Met Data'!$A$2:$F$368,G19,FALSE)</f>
        <v>#N/A</v>
      </c>
      <c r="J19" s="132" t="e">
        <f ca="1">HLOOKUP($H$4,'Met Data'!$H$2:$M$368,G19,FALSE)*L19</f>
        <v>#N/A</v>
      </c>
      <c r="K19" s="106" t="e">
        <f>HLOOKUP($H$4,'Met Data'!$O$2:$T$368,G19,FALSE)</f>
        <v>#N/A</v>
      </c>
      <c r="L19">
        <f t="shared" ca="1" si="0"/>
        <v>1</v>
      </c>
      <c r="N19" t="e">
        <f t="shared" ca="1" si="5"/>
        <v>#NAME?</v>
      </c>
      <c r="O19" t="e">
        <f t="shared" ca="1" si="1"/>
        <v>#NAME?</v>
      </c>
      <c r="P19" s="2" t="e">
        <f ca="1"/>
        <v>#NAME?</v>
      </c>
      <c r="Q19" t="e">
        <f ca="1"/>
        <v>#NAME?</v>
      </c>
      <c r="R19" t="e">
        <f ca="1"/>
        <v>#NAME?</v>
      </c>
      <c r="S19" t="e">
        <f ca="1"/>
        <v>#NAME?</v>
      </c>
      <c r="T19" s="4" t="e">
        <f ca="1"/>
        <v>#NAME?</v>
      </c>
      <c r="U19" t="e">
        <f ca="1"/>
        <v>#NAME?</v>
      </c>
      <c r="V19" t="e">
        <f ca="1"/>
        <v>#NAME?</v>
      </c>
      <c r="W19" t="e">
        <f ca="1"/>
        <v>#NAME?</v>
      </c>
      <c r="X19" t="e">
        <f ca="1"/>
        <v>#NAME?</v>
      </c>
      <c r="Y19" t="e">
        <f ca="1"/>
        <v>#NAME?</v>
      </c>
      <c r="Z19" t="e">
        <f ca="1"/>
        <v>#NAME?</v>
      </c>
      <c r="AA19" t="e">
        <f ca="1"/>
        <v>#NAME?</v>
      </c>
      <c r="AB19" t="e">
        <f ca="1"/>
        <v>#NAME?</v>
      </c>
      <c r="AD19" s="2">
        <f t="shared" ca="1" si="2"/>
        <v>0</v>
      </c>
      <c r="AE19" s="46">
        <f t="shared" ca="1" si="3"/>
        <v>0</v>
      </c>
      <c r="AG19" s="72" t="e">
        <f t="shared" ca="1" si="7"/>
        <v>#NAME?</v>
      </c>
      <c r="AH19" s="72" t="e">
        <f t="shared" ca="1" si="8"/>
        <v>#NAME?</v>
      </c>
      <c r="AI19" s="3" t="e">
        <f t="shared" ca="1" si="9"/>
        <v>#NAME?</v>
      </c>
    </row>
    <row r="20" spans="1:35" x14ac:dyDescent="0.25">
      <c r="A20" s="8" t="s">
        <v>122</v>
      </c>
      <c r="B20" s="39">
        <f ca="1">PriorEstablishDate</f>
        <v>44913</v>
      </c>
      <c r="G20" s="3">
        <f t="shared" ca="1" si="4"/>
        <v>366</v>
      </c>
      <c r="H20" s="105">
        <f t="shared" ca="1" si="6"/>
        <v>44926</v>
      </c>
      <c r="I20" s="132" t="e">
        <f>HLOOKUP($H$4,'Met Data'!$A$2:$F$368,G20,FALSE)</f>
        <v>#N/A</v>
      </c>
      <c r="J20" s="132" t="e">
        <f ca="1">HLOOKUP($H$4,'Met Data'!$H$2:$M$368,G20,FALSE)*L20</f>
        <v>#N/A</v>
      </c>
      <c r="K20" s="106" t="e">
        <f>HLOOKUP($H$4,'Met Data'!$O$2:$T$368,G20,FALSE)</f>
        <v>#N/A</v>
      </c>
      <c r="L20">
        <f t="shared" ca="1" si="0"/>
        <v>1</v>
      </c>
      <c r="N20" t="e">
        <f t="shared" ca="1" si="5"/>
        <v>#NAME?</v>
      </c>
      <c r="O20" t="e">
        <f t="shared" ca="1" si="1"/>
        <v>#NAME?</v>
      </c>
      <c r="P20" s="2" t="e">
        <f ca="1"/>
        <v>#NAME?</v>
      </c>
      <c r="Q20" t="e">
        <f ca="1"/>
        <v>#NAME?</v>
      </c>
      <c r="R20" t="e">
        <f ca="1"/>
        <v>#NAME?</v>
      </c>
      <c r="S20" t="e">
        <f ca="1"/>
        <v>#NAME?</v>
      </c>
      <c r="T20" s="4" t="e">
        <f ca="1"/>
        <v>#NAME?</v>
      </c>
      <c r="U20" t="e">
        <f ca="1"/>
        <v>#NAME?</v>
      </c>
      <c r="V20" t="e">
        <f ca="1"/>
        <v>#NAME?</v>
      </c>
      <c r="W20" t="e">
        <f ca="1"/>
        <v>#NAME?</v>
      </c>
      <c r="X20" t="e">
        <f ca="1"/>
        <v>#NAME?</v>
      </c>
      <c r="Y20" t="e">
        <f ca="1"/>
        <v>#NAME?</v>
      </c>
      <c r="Z20" t="e">
        <f ca="1"/>
        <v>#NAME?</v>
      </c>
      <c r="AA20" t="e">
        <f ca="1"/>
        <v>#NAME?</v>
      </c>
      <c r="AB20" t="e">
        <f ca="1"/>
        <v>#NAME?</v>
      </c>
      <c r="AD20" s="2">
        <f t="shared" ca="1" si="2"/>
        <v>0</v>
      </c>
      <c r="AE20" s="46">
        <f t="shared" ca="1" si="3"/>
        <v>0</v>
      </c>
      <c r="AG20" s="72" t="e">
        <f t="shared" ca="1" si="7"/>
        <v>#NAME?</v>
      </c>
      <c r="AH20" s="72" t="e">
        <f t="shared" ca="1" si="8"/>
        <v>#NAME?</v>
      </c>
      <c r="AI20" s="3" t="e">
        <f t="shared" ca="1" si="9"/>
        <v>#NAME?</v>
      </c>
    </row>
    <row r="21" spans="1:35" x14ac:dyDescent="0.25">
      <c r="A21" s="8" t="s">
        <v>123</v>
      </c>
      <c r="B21" s="37" t="str">
        <f>PriorEstablishStage</f>
        <v>Seed</v>
      </c>
      <c r="G21" s="3">
        <f t="shared" ca="1" si="4"/>
        <v>2</v>
      </c>
      <c r="H21" s="105">
        <f t="shared" ca="1" si="6"/>
        <v>44927</v>
      </c>
      <c r="I21" s="132" t="e">
        <f>HLOOKUP($H$4,'Met Data'!$A$2:$F$368,G21,FALSE)</f>
        <v>#N/A</v>
      </c>
      <c r="J21" s="132" t="e">
        <f ca="1">HLOOKUP($H$4,'Met Data'!$H$2:$M$368,G21,FALSE)*L21</f>
        <v>#N/A</v>
      </c>
      <c r="K21" s="106" t="e">
        <f>HLOOKUP($H$4,'Met Data'!$O$2:$T$368,G21,FALSE)</f>
        <v>#N/A</v>
      </c>
      <c r="L21">
        <f t="shared" ca="1" si="0"/>
        <v>1</v>
      </c>
      <c r="N21" t="e">
        <f t="shared" ca="1" si="5"/>
        <v>#NAME?</v>
      </c>
      <c r="O21" t="e">
        <f t="shared" ca="1" si="1"/>
        <v>#NAME?</v>
      </c>
      <c r="P21" s="2" t="e">
        <f ca="1"/>
        <v>#NAME?</v>
      </c>
      <c r="Q21" t="e">
        <f ca="1"/>
        <v>#NAME?</v>
      </c>
      <c r="R21" t="e">
        <f ca="1"/>
        <v>#NAME?</v>
      </c>
      <c r="S21" t="e">
        <f ca="1"/>
        <v>#NAME?</v>
      </c>
      <c r="T21" s="4" t="e">
        <f ca="1"/>
        <v>#NAME?</v>
      </c>
      <c r="U21" t="e">
        <f ca="1"/>
        <v>#NAME?</v>
      </c>
      <c r="V21" t="e">
        <f ca="1"/>
        <v>#NAME?</v>
      </c>
      <c r="W21" t="e">
        <f ca="1"/>
        <v>#NAME?</v>
      </c>
      <c r="X21" t="e">
        <f ca="1"/>
        <v>#NAME?</v>
      </c>
      <c r="Y21" t="e">
        <f ca="1"/>
        <v>#NAME?</v>
      </c>
      <c r="Z21" t="e">
        <f ca="1"/>
        <v>#NAME?</v>
      </c>
      <c r="AA21" t="e">
        <f ca="1"/>
        <v>#NAME?</v>
      </c>
      <c r="AB21" t="e">
        <f ca="1"/>
        <v>#NAME?</v>
      </c>
      <c r="AD21" s="2">
        <f t="shared" ca="1" si="2"/>
        <v>0</v>
      </c>
      <c r="AE21" s="46">
        <f t="shared" ca="1" si="3"/>
        <v>0</v>
      </c>
      <c r="AG21" s="72" t="e">
        <f t="shared" ca="1" si="7"/>
        <v>#NAME?</v>
      </c>
      <c r="AH21" s="72" t="e">
        <f t="shared" ca="1" si="8"/>
        <v>#NAME?</v>
      </c>
      <c r="AI21" s="3" t="e">
        <f t="shared" ca="1" si="9"/>
        <v>#NAME?</v>
      </c>
    </row>
    <row r="22" spans="1:35" x14ac:dyDescent="0.25">
      <c r="A22" s="8" t="s">
        <v>124</v>
      </c>
      <c r="B22" s="39">
        <f ca="1">PriorHarvestDate</f>
        <v>44958</v>
      </c>
      <c r="G22" s="3">
        <f t="shared" ca="1" si="4"/>
        <v>3</v>
      </c>
      <c r="H22" s="105">
        <f t="shared" ca="1" si="6"/>
        <v>44928</v>
      </c>
      <c r="I22" s="132" t="e">
        <f>HLOOKUP($H$4,'Met Data'!$A$2:$F$368,G22,FALSE)</f>
        <v>#N/A</v>
      </c>
      <c r="J22" s="132" t="e">
        <f ca="1">HLOOKUP($H$4,'Met Data'!$H$2:$M$368,G22,FALSE)*L22</f>
        <v>#N/A</v>
      </c>
      <c r="K22" s="106" t="e">
        <f>HLOOKUP($H$4,'Met Data'!$O$2:$T$368,G22,FALSE)</f>
        <v>#N/A</v>
      </c>
      <c r="L22">
        <f t="shared" ca="1" si="0"/>
        <v>1</v>
      </c>
      <c r="N22" t="e">
        <f t="shared" ca="1" si="5"/>
        <v>#NAME?</v>
      </c>
      <c r="O22" t="e">
        <f t="shared" ca="1" si="1"/>
        <v>#NAME?</v>
      </c>
      <c r="P22" s="2" t="e">
        <f ca="1"/>
        <v>#NAME?</v>
      </c>
      <c r="Q22" t="e">
        <f ca="1"/>
        <v>#NAME?</v>
      </c>
      <c r="R22" t="e">
        <f ca="1"/>
        <v>#NAME?</v>
      </c>
      <c r="S22" t="e">
        <f ca="1"/>
        <v>#NAME?</v>
      </c>
      <c r="T22" s="4" t="e">
        <f ca="1"/>
        <v>#NAME?</v>
      </c>
      <c r="U22" t="e">
        <f ca="1"/>
        <v>#NAME?</v>
      </c>
      <c r="V22" t="e">
        <f ca="1"/>
        <v>#NAME?</v>
      </c>
      <c r="W22" t="e">
        <f ca="1"/>
        <v>#NAME?</v>
      </c>
      <c r="X22" t="e">
        <f ca="1"/>
        <v>#NAME?</v>
      </c>
      <c r="Y22" t="e">
        <f ca="1"/>
        <v>#NAME?</v>
      </c>
      <c r="Z22" t="e">
        <f ca="1"/>
        <v>#NAME?</v>
      </c>
      <c r="AA22" t="e">
        <f ca="1"/>
        <v>#NAME?</v>
      </c>
      <c r="AB22" t="e">
        <f ca="1"/>
        <v>#NAME?</v>
      </c>
      <c r="AD22" s="2">
        <f t="shared" ca="1" si="2"/>
        <v>0</v>
      </c>
      <c r="AE22" s="46">
        <f t="shared" ca="1" si="3"/>
        <v>0</v>
      </c>
      <c r="AG22" s="72" t="e">
        <f t="shared" ca="1" si="7"/>
        <v>#NAME?</v>
      </c>
      <c r="AH22" s="72" t="e">
        <f t="shared" ca="1" si="8"/>
        <v>#NAME?</v>
      </c>
      <c r="AI22" s="3" t="e">
        <f t="shared" ca="1" si="9"/>
        <v>#NAME?</v>
      </c>
    </row>
    <row r="23" spans="1:35" x14ac:dyDescent="0.25">
      <c r="A23" s="8" t="s">
        <v>125</v>
      </c>
      <c r="B23" s="37" t="str">
        <f>PriorHarvestStage</f>
        <v>EarlyReproductive</v>
      </c>
      <c r="G23" s="3">
        <f t="shared" ca="1" si="4"/>
        <v>4</v>
      </c>
      <c r="H23" s="105">
        <f t="shared" ca="1" si="6"/>
        <v>44929</v>
      </c>
      <c r="I23" s="132" t="e">
        <f>HLOOKUP($H$4,'Met Data'!$A$2:$F$368,G23,FALSE)</f>
        <v>#N/A</v>
      </c>
      <c r="J23" s="132" t="e">
        <f ca="1">HLOOKUP($H$4,'Met Data'!$H$2:$M$368,G23,FALSE)*L23</f>
        <v>#N/A</v>
      </c>
      <c r="K23" s="106" t="e">
        <f>HLOOKUP($H$4,'Met Data'!$O$2:$T$368,G23,FALSE)</f>
        <v>#N/A</v>
      </c>
      <c r="L23">
        <f t="shared" ca="1" si="0"/>
        <v>1</v>
      </c>
      <c r="N23" t="e">
        <f t="shared" ca="1" si="5"/>
        <v>#NAME?</v>
      </c>
      <c r="O23" t="e">
        <f t="shared" ca="1" si="1"/>
        <v>#NAME?</v>
      </c>
      <c r="P23" s="2" t="e">
        <f ca="1"/>
        <v>#NAME?</v>
      </c>
      <c r="Q23" t="e">
        <f ca="1"/>
        <v>#NAME?</v>
      </c>
      <c r="R23" t="e">
        <f ca="1"/>
        <v>#NAME?</v>
      </c>
      <c r="S23" t="e">
        <f ca="1"/>
        <v>#NAME?</v>
      </c>
      <c r="T23" s="4" t="e">
        <f ca="1"/>
        <v>#NAME?</v>
      </c>
      <c r="U23" t="e">
        <f ca="1"/>
        <v>#NAME?</v>
      </c>
      <c r="V23" t="e">
        <f ca="1"/>
        <v>#NAME?</v>
      </c>
      <c r="W23" t="e">
        <f ca="1"/>
        <v>#NAME?</v>
      </c>
      <c r="X23" t="e">
        <f ca="1"/>
        <v>#NAME?</v>
      </c>
      <c r="Y23" t="e">
        <f ca="1"/>
        <v>#NAME?</v>
      </c>
      <c r="Z23" t="e">
        <f ca="1"/>
        <v>#NAME?</v>
      </c>
      <c r="AA23" t="e">
        <f ca="1"/>
        <v>#NAME?</v>
      </c>
      <c r="AB23" t="e">
        <f ca="1"/>
        <v>#NAME?</v>
      </c>
      <c r="AD23" s="2">
        <f t="shared" ca="1" si="2"/>
        <v>0</v>
      </c>
      <c r="AE23" s="46">
        <f t="shared" ca="1" si="3"/>
        <v>0</v>
      </c>
      <c r="AG23" s="72" t="e">
        <f t="shared" ca="1" si="7"/>
        <v>#NAME?</v>
      </c>
      <c r="AH23" s="72" t="e">
        <f t="shared" ca="1" si="8"/>
        <v>#NAME?</v>
      </c>
      <c r="AI23" s="3" t="e">
        <f t="shared" ca="1" si="9"/>
        <v>#NAME?</v>
      </c>
    </row>
    <row r="24" spans="1:35" x14ac:dyDescent="0.25">
      <c r="A24" s="8" t="s">
        <v>175</v>
      </c>
      <c r="B24" s="37" t="str">
        <f>PriorResidueRemoval</f>
        <v>None removed</v>
      </c>
      <c r="G24" s="3">
        <f t="shared" ca="1" si="4"/>
        <v>5</v>
      </c>
      <c r="H24" s="105">
        <f t="shared" ca="1" si="6"/>
        <v>44930</v>
      </c>
      <c r="I24" s="132" t="e">
        <f>HLOOKUP($H$4,'Met Data'!$A$2:$F$368,G24,FALSE)</f>
        <v>#N/A</v>
      </c>
      <c r="J24" s="132" t="e">
        <f ca="1">HLOOKUP($H$4,'Met Data'!$H$2:$M$368,G24,FALSE)*L24</f>
        <v>#N/A</v>
      </c>
      <c r="K24" s="106" t="e">
        <f>HLOOKUP($H$4,'Met Data'!$O$2:$T$368,G24,FALSE)</f>
        <v>#N/A</v>
      </c>
      <c r="L24">
        <f t="shared" ca="1" si="0"/>
        <v>1</v>
      </c>
      <c r="N24" t="e">
        <f t="shared" ca="1" si="5"/>
        <v>#NAME?</v>
      </c>
      <c r="O24" t="e">
        <f t="shared" ca="1" si="1"/>
        <v>#NAME?</v>
      </c>
      <c r="P24" s="2" t="e">
        <f ca="1"/>
        <v>#NAME?</v>
      </c>
      <c r="Q24" t="e">
        <f ca="1"/>
        <v>#NAME?</v>
      </c>
      <c r="R24" t="e">
        <f ca="1"/>
        <v>#NAME?</v>
      </c>
      <c r="S24" t="e">
        <f ca="1"/>
        <v>#NAME?</v>
      </c>
      <c r="T24" s="4" t="e">
        <f ca="1"/>
        <v>#NAME?</v>
      </c>
      <c r="U24" t="e">
        <f ca="1"/>
        <v>#NAME?</v>
      </c>
      <c r="V24" t="e">
        <f ca="1"/>
        <v>#NAME?</v>
      </c>
      <c r="W24" t="e">
        <f ca="1"/>
        <v>#NAME?</v>
      </c>
      <c r="X24" t="e">
        <f ca="1"/>
        <v>#NAME?</v>
      </c>
      <c r="Y24" t="e">
        <f ca="1"/>
        <v>#NAME?</v>
      </c>
      <c r="Z24" t="e">
        <f ca="1"/>
        <v>#NAME?</v>
      </c>
      <c r="AA24" t="e">
        <f ca="1"/>
        <v>#NAME?</v>
      </c>
      <c r="AB24" t="e">
        <f ca="1"/>
        <v>#NAME?</v>
      </c>
      <c r="AD24" s="2">
        <f t="shared" ca="1" si="2"/>
        <v>0</v>
      </c>
      <c r="AE24" s="46">
        <f t="shared" ca="1" si="3"/>
        <v>0</v>
      </c>
      <c r="AG24" s="72" t="e">
        <f t="shared" ca="1" si="7"/>
        <v>#NAME?</v>
      </c>
      <c r="AH24" s="72" t="e">
        <f t="shared" ca="1" si="8"/>
        <v>#NAME?</v>
      </c>
      <c r="AI24" s="3" t="e">
        <f t="shared" ca="1" si="9"/>
        <v>#NAME?</v>
      </c>
    </row>
    <row r="25" spans="1:35" ht="15.75" thickBot="1" x14ac:dyDescent="0.3">
      <c r="A25" s="8" t="s">
        <v>178</v>
      </c>
      <c r="B25" s="111" t="str">
        <f>PriorResidueIncorporation</f>
        <v>Full (Plough)</v>
      </c>
      <c r="G25" s="3">
        <f t="shared" ca="1" si="4"/>
        <v>6</v>
      </c>
      <c r="H25" s="105">
        <f t="shared" ca="1" si="6"/>
        <v>44931</v>
      </c>
      <c r="I25" s="132" t="e">
        <f>HLOOKUP($H$4,'Met Data'!$A$2:$F$368,G25,FALSE)</f>
        <v>#N/A</v>
      </c>
      <c r="J25" s="132" t="e">
        <f ca="1">HLOOKUP($H$4,'Met Data'!$H$2:$M$368,G25,FALSE)*L25</f>
        <v>#N/A</v>
      </c>
      <c r="K25" s="106" t="e">
        <f>HLOOKUP($H$4,'Met Data'!$O$2:$T$368,G25,FALSE)</f>
        <v>#N/A</v>
      </c>
      <c r="L25">
        <f t="shared" ca="1" si="0"/>
        <v>1</v>
      </c>
      <c r="N25" t="e">
        <f t="shared" ca="1" si="5"/>
        <v>#NAME?</v>
      </c>
      <c r="O25" t="e">
        <f t="shared" ca="1" si="1"/>
        <v>#NAME?</v>
      </c>
      <c r="P25" s="2" t="e">
        <f ca="1"/>
        <v>#NAME?</v>
      </c>
      <c r="Q25" t="e">
        <f ca="1"/>
        <v>#NAME?</v>
      </c>
      <c r="R25" t="e">
        <f ca="1"/>
        <v>#NAME?</v>
      </c>
      <c r="S25" t="e">
        <f ca="1"/>
        <v>#NAME?</v>
      </c>
      <c r="T25" s="4" t="e">
        <f ca="1"/>
        <v>#NAME?</v>
      </c>
      <c r="U25" t="e">
        <f ca="1"/>
        <v>#NAME?</v>
      </c>
      <c r="V25" t="e">
        <f ca="1"/>
        <v>#NAME?</v>
      </c>
      <c r="W25" t="e">
        <f ca="1"/>
        <v>#NAME?</v>
      </c>
      <c r="X25" t="e">
        <f ca="1"/>
        <v>#NAME?</v>
      </c>
      <c r="Y25" t="e">
        <f ca="1"/>
        <v>#NAME?</v>
      </c>
      <c r="Z25" t="e">
        <f ca="1"/>
        <v>#NAME?</v>
      </c>
      <c r="AA25" t="e">
        <f ca="1"/>
        <v>#NAME?</v>
      </c>
      <c r="AB25" t="e">
        <f ca="1"/>
        <v>#NAME?</v>
      </c>
      <c r="AD25" s="2">
        <f t="shared" ca="1" si="2"/>
        <v>0</v>
      </c>
      <c r="AE25" s="46">
        <f t="shared" ca="1" si="3"/>
        <v>0</v>
      </c>
      <c r="AG25" s="72" t="e">
        <f t="shared" ca="1" si="7"/>
        <v>#NAME?</v>
      </c>
      <c r="AH25" s="72" t="e">
        <f t="shared" ca="1" si="8"/>
        <v>#NAME?</v>
      </c>
      <c r="AI25" s="3" t="e">
        <f t="shared" ca="1" si="9"/>
        <v>#NAME?</v>
      </c>
    </row>
    <row r="26" spans="1:35" ht="15.75" thickBot="1" x14ac:dyDescent="0.3">
      <c r="A26" s="10" t="s">
        <v>149</v>
      </c>
      <c r="B26" s="13" t="str">
        <f>CurrentCropNameFull</f>
        <v xml:space="preserve">  General</v>
      </c>
      <c r="G26" s="3">
        <f t="shared" ca="1" si="4"/>
        <v>7</v>
      </c>
      <c r="H26" s="105">
        <f t="shared" ca="1" si="6"/>
        <v>44932</v>
      </c>
      <c r="I26" s="132" t="e">
        <f>HLOOKUP($H$4,'Met Data'!$A$2:$F$368,G26,FALSE)</f>
        <v>#N/A</v>
      </c>
      <c r="J26" s="132" t="e">
        <f ca="1">HLOOKUP($H$4,'Met Data'!$H$2:$M$368,G26,FALSE)*L26</f>
        <v>#N/A</v>
      </c>
      <c r="K26" s="106" t="e">
        <f>HLOOKUP($H$4,'Met Data'!$O$2:$T$368,G26,FALSE)</f>
        <v>#N/A</v>
      </c>
      <c r="L26">
        <f t="shared" ca="1" si="0"/>
        <v>1</v>
      </c>
      <c r="N26" t="e">
        <f t="shared" ca="1" si="5"/>
        <v>#NAME?</v>
      </c>
      <c r="O26" t="e">
        <f t="shared" ca="1" si="1"/>
        <v>#NAME?</v>
      </c>
      <c r="P26" s="2" t="e">
        <f ca="1"/>
        <v>#NAME?</v>
      </c>
      <c r="Q26" t="e">
        <f ca="1"/>
        <v>#NAME?</v>
      </c>
      <c r="R26" t="e">
        <f ca="1"/>
        <v>#NAME?</v>
      </c>
      <c r="S26" t="e">
        <f ca="1"/>
        <v>#NAME?</v>
      </c>
      <c r="T26" s="4" t="e">
        <f ca="1"/>
        <v>#NAME?</v>
      </c>
      <c r="U26" t="e">
        <f ca="1"/>
        <v>#NAME?</v>
      </c>
      <c r="V26" t="e">
        <f ca="1"/>
        <v>#NAME?</v>
      </c>
      <c r="W26" t="e">
        <f ca="1"/>
        <v>#NAME?</v>
      </c>
      <c r="X26" t="e">
        <f ca="1"/>
        <v>#NAME?</v>
      </c>
      <c r="Y26" t="e">
        <f ca="1"/>
        <v>#NAME?</v>
      </c>
      <c r="Z26" t="e">
        <f ca="1"/>
        <v>#NAME?</v>
      </c>
      <c r="AA26" t="e">
        <f ca="1"/>
        <v>#NAME?</v>
      </c>
      <c r="AB26" t="e">
        <f ca="1"/>
        <v>#NAME?</v>
      </c>
      <c r="AD26" s="2">
        <f t="shared" ca="1" si="2"/>
        <v>0</v>
      </c>
      <c r="AE26" s="46">
        <f t="shared" ca="1" si="3"/>
        <v>0</v>
      </c>
      <c r="AG26" s="72" t="e">
        <f t="shared" ca="1" si="7"/>
        <v>#NAME?</v>
      </c>
      <c r="AH26" s="72" t="e">
        <f t="shared" ca="1" si="8"/>
        <v>#NAME?</v>
      </c>
      <c r="AI26" s="3" t="e">
        <f t="shared" ca="1" si="9"/>
        <v>#NAME?</v>
      </c>
    </row>
    <row r="27" spans="1:35" x14ac:dyDescent="0.25">
      <c r="A27" s="11" t="s">
        <v>126</v>
      </c>
      <c r="B27" s="13" t="e">
        <f>CurrentYield_tperHa</f>
        <v>#N/A</v>
      </c>
      <c r="G27" s="3">
        <f t="shared" ca="1" si="4"/>
        <v>8</v>
      </c>
      <c r="H27" s="105">
        <f t="shared" ca="1" si="6"/>
        <v>44933</v>
      </c>
      <c r="I27" s="132" t="e">
        <f>HLOOKUP($H$4,'Met Data'!$A$2:$F$368,G27,FALSE)</f>
        <v>#N/A</v>
      </c>
      <c r="J27" s="132" t="e">
        <f ca="1">HLOOKUP($H$4,'Met Data'!$H$2:$M$368,G27,FALSE)*L27</f>
        <v>#N/A</v>
      </c>
      <c r="K27" s="106" t="e">
        <f>HLOOKUP($H$4,'Met Data'!$O$2:$T$368,G27,FALSE)</f>
        <v>#N/A</v>
      </c>
      <c r="L27">
        <f t="shared" ca="1" si="0"/>
        <v>1</v>
      </c>
      <c r="N27" t="e">
        <f t="shared" ca="1" si="5"/>
        <v>#NAME?</v>
      </c>
      <c r="O27" t="e">
        <f t="shared" ca="1" si="1"/>
        <v>#NAME?</v>
      </c>
      <c r="P27" s="2" t="e">
        <f ca="1"/>
        <v>#NAME?</v>
      </c>
      <c r="Q27" t="e">
        <f ca="1"/>
        <v>#NAME?</v>
      </c>
      <c r="R27" t="e">
        <f ca="1"/>
        <v>#NAME?</v>
      </c>
      <c r="S27" t="e">
        <f ca="1"/>
        <v>#NAME?</v>
      </c>
      <c r="T27" s="4" t="e">
        <f ca="1"/>
        <v>#NAME?</v>
      </c>
      <c r="U27" t="e">
        <f ca="1"/>
        <v>#NAME?</v>
      </c>
      <c r="V27" t="e">
        <f ca="1"/>
        <v>#NAME?</v>
      </c>
      <c r="W27" t="e">
        <f ca="1"/>
        <v>#NAME?</v>
      </c>
      <c r="X27" t="e">
        <f ca="1"/>
        <v>#NAME?</v>
      </c>
      <c r="Y27" t="e">
        <f ca="1"/>
        <v>#NAME?</v>
      </c>
      <c r="Z27" t="e">
        <f ca="1"/>
        <v>#NAME?</v>
      </c>
      <c r="AA27" t="e">
        <f ca="1"/>
        <v>#NAME?</v>
      </c>
      <c r="AB27" t="e">
        <f ca="1"/>
        <v>#NAME?</v>
      </c>
      <c r="AD27" s="2">
        <f t="shared" ca="1" si="2"/>
        <v>0</v>
      </c>
      <c r="AE27" s="46">
        <f t="shared" ca="1" si="3"/>
        <v>0</v>
      </c>
      <c r="AG27" s="72" t="e">
        <f t="shared" ca="1" si="7"/>
        <v>#NAME?</v>
      </c>
      <c r="AH27" s="72" t="e">
        <f t="shared" ca="1" si="8"/>
        <v>#NAME?</v>
      </c>
      <c r="AI27" s="3" t="e">
        <f t="shared" ca="1" si="9"/>
        <v>#NAME?</v>
      </c>
    </row>
    <row r="28" spans="1:35" x14ac:dyDescent="0.25">
      <c r="A28" s="11" t="s">
        <v>127</v>
      </c>
      <c r="B28" s="12" t="e">
        <f>CurrentFieldLoss</f>
        <v>#N/A</v>
      </c>
      <c r="G28" s="3">
        <f t="shared" ca="1" si="4"/>
        <v>9</v>
      </c>
      <c r="H28" s="105">
        <f t="shared" ca="1" si="6"/>
        <v>44934</v>
      </c>
      <c r="I28" s="132" t="e">
        <f>HLOOKUP($H$4,'Met Data'!$A$2:$F$368,G28,FALSE)</f>
        <v>#N/A</v>
      </c>
      <c r="J28" s="132" t="e">
        <f ca="1">HLOOKUP($H$4,'Met Data'!$H$2:$M$368,G28,FALSE)*L28</f>
        <v>#N/A</v>
      </c>
      <c r="K28" s="106" t="e">
        <f>HLOOKUP($H$4,'Met Data'!$O$2:$T$368,G28,FALSE)</f>
        <v>#N/A</v>
      </c>
      <c r="L28">
        <f t="shared" ca="1" si="0"/>
        <v>1</v>
      </c>
      <c r="N28" t="e">
        <f t="shared" ca="1" si="5"/>
        <v>#NAME?</v>
      </c>
      <c r="O28" t="e">
        <f t="shared" ca="1" si="1"/>
        <v>#NAME?</v>
      </c>
      <c r="P28" s="2" t="e">
        <f ca="1"/>
        <v>#NAME?</v>
      </c>
      <c r="Q28" t="e">
        <f ca="1"/>
        <v>#NAME?</v>
      </c>
      <c r="R28" t="e">
        <f ca="1"/>
        <v>#NAME?</v>
      </c>
      <c r="S28" t="e">
        <f ca="1"/>
        <v>#NAME?</v>
      </c>
      <c r="T28" s="4" t="e">
        <f ca="1"/>
        <v>#NAME?</v>
      </c>
      <c r="U28" t="e">
        <f ca="1"/>
        <v>#NAME?</v>
      </c>
      <c r="V28" t="e">
        <f ca="1"/>
        <v>#NAME?</v>
      </c>
      <c r="W28" t="e">
        <f ca="1"/>
        <v>#NAME?</v>
      </c>
      <c r="X28" t="e">
        <f ca="1"/>
        <v>#NAME?</v>
      </c>
      <c r="Y28" t="e">
        <f ca="1"/>
        <v>#NAME?</v>
      </c>
      <c r="Z28" t="e">
        <f ca="1"/>
        <v>#NAME?</v>
      </c>
      <c r="AA28" t="e">
        <f ca="1"/>
        <v>#NAME?</v>
      </c>
      <c r="AB28" t="e">
        <f ca="1"/>
        <v>#NAME?</v>
      </c>
      <c r="AD28" s="2">
        <f t="shared" ca="1" si="2"/>
        <v>0</v>
      </c>
      <c r="AE28" s="46">
        <f t="shared" ca="1" si="3"/>
        <v>0</v>
      </c>
      <c r="AG28" s="72" t="e">
        <f t="shared" ca="1" si="7"/>
        <v>#NAME?</v>
      </c>
      <c r="AH28" s="72" t="e">
        <f t="shared" ca="1" si="8"/>
        <v>#NAME?</v>
      </c>
      <c r="AI28" s="3" t="e">
        <f t="shared" ca="1" si="9"/>
        <v>#NAME?</v>
      </c>
    </row>
    <row r="29" spans="1:35" x14ac:dyDescent="0.25">
      <c r="A29" s="11" t="s">
        <v>128</v>
      </c>
      <c r="B29" s="12" t="e">
        <f>CurrentDressingLoss</f>
        <v>#N/A</v>
      </c>
      <c r="G29" s="3">
        <f t="shared" ca="1" si="4"/>
        <v>10</v>
      </c>
      <c r="H29" s="105">
        <f t="shared" ca="1" si="6"/>
        <v>44935</v>
      </c>
      <c r="I29" s="132" t="e">
        <f>HLOOKUP($H$4,'Met Data'!$A$2:$F$368,G29,FALSE)</f>
        <v>#N/A</v>
      </c>
      <c r="J29" s="132" t="e">
        <f ca="1">HLOOKUP($H$4,'Met Data'!$H$2:$M$368,G29,FALSE)*L29</f>
        <v>#N/A</v>
      </c>
      <c r="K29" s="106" t="e">
        <f>HLOOKUP($H$4,'Met Data'!$O$2:$T$368,G29,FALSE)</f>
        <v>#N/A</v>
      </c>
      <c r="L29">
        <f t="shared" ca="1" si="0"/>
        <v>1</v>
      </c>
      <c r="N29" t="e">
        <f t="shared" ca="1" si="5"/>
        <v>#NAME?</v>
      </c>
      <c r="O29" t="e">
        <f t="shared" ca="1" si="1"/>
        <v>#NAME?</v>
      </c>
      <c r="P29" s="2" t="e">
        <f ca="1"/>
        <v>#NAME?</v>
      </c>
      <c r="Q29" t="e">
        <f ca="1"/>
        <v>#NAME?</v>
      </c>
      <c r="R29" t="e">
        <f ca="1"/>
        <v>#NAME?</v>
      </c>
      <c r="S29" t="e">
        <f ca="1"/>
        <v>#NAME?</v>
      </c>
      <c r="T29" s="4" t="e">
        <f ca="1"/>
        <v>#NAME?</v>
      </c>
      <c r="U29" t="e">
        <f ca="1"/>
        <v>#NAME?</v>
      </c>
      <c r="V29" t="e">
        <f ca="1"/>
        <v>#NAME?</v>
      </c>
      <c r="W29" t="e">
        <f ca="1"/>
        <v>#NAME?</v>
      </c>
      <c r="X29" t="e">
        <f ca="1"/>
        <v>#NAME?</v>
      </c>
      <c r="Y29" t="e">
        <f ca="1"/>
        <v>#NAME?</v>
      </c>
      <c r="Z29" t="e">
        <f ca="1"/>
        <v>#NAME?</v>
      </c>
      <c r="AA29" t="e">
        <f ca="1"/>
        <v>#NAME?</v>
      </c>
      <c r="AB29" t="e">
        <f ca="1"/>
        <v>#NAME?</v>
      </c>
      <c r="AD29" s="2">
        <f t="shared" ca="1" si="2"/>
        <v>0</v>
      </c>
      <c r="AE29" s="46">
        <f t="shared" ca="1" si="3"/>
        <v>0</v>
      </c>
      <c r="AG29" s="72" t="e">
        <f t="shared" ca="1" si="7"/>
        <v>#NAME?</v>
      </c>
      <c r="AH29" s="72" t="e">
        <f t="shared" ca="1" si="8"/>
        <v>#NAME?</v>
      </c>
      <c r="AI29" s="3" t="e">
        <f t="shared" ca="1" si="9"/>
        <v>#NAME?</v>
      </c>
    </row>
    <row r="30" spans="1:35" x14ac:dyDescent="0.25">
      <c r="A30" s="11" t="s">
        <v>129</v>
      </c>
      <c r="B30" s="12" t="e">
        <f>CurrentMoistureContent</f>
        <v>#N/A</v>
      </c>
      <c r="G30" s="3">
        <f t="shared" ca="1" si="4"/>
        <v>11</v>
      </c>
      <c r="H30" s="105">
        <f t="shared" ca="1" si="6"/>
        <v>44936</v>
      </c>
      <c r="I30" s="132" t="e">
        <f>HLOOKUP($H$4,'Met Data'!$A$2:$F$368,G30,FALSE)</f>
        <v>#N/A</v>
      </c>
      <c r="J30" s="132" t="e">
        <f ca="1">HLOOKUP($H$4,'Met Data'!$H$2:$M$368,G30,FALSE)*L30</f>
        <v>#N/A</v>
      </c>
      <c r="K30" s="106" t="e">
        <f>HLOOKUP($H$4,'Met Data'!$O$2:$T$368,G30,FALSE)</f>
        <v>#N/A</v>
      </c>
      <c r="L30">
        <f t="shared" ca="1" si="0"/>
        <v>1</v>
      </c>
      <c r="N30" t="e">
        <f t="shared" ca="1" si="5"/>
        <v>#NAME?</v>
      </c>
      <c r="O30" t="e">
        <f t="shared" ca="1" si="1"/>
        <v>#NAME?</v>
      </c>
      <c r="P30" s="2" t="e">
        <f ca="1"/>
        <v>#NAME?</v>
      </c>
      <c r="Q30" t="e">
        <f ca="1"/>
        <v>#NAME?</v>
      </c>
      <c r="R30" t="e">
        <f ca="1"/>
        <v>#NAME?</v>
      </c>
      <c r="S30" t="e">
        <f ca="1"/>
        <v>#NAME?</v>
      </c>
      <c r="T30" s="4" t="e">
        <f ca="1"/>
        <v>#NAME?</v>
      </c>
      <c r="U30" t="e">
        <f ca="1"/>
        <v>#NAME?</v>
      </c>
      <c r="V30" t="e">
        <f ca="1"/>
        <v>#NAME?</v>
      </c>
      <c r="W30" t="e">
        <f ca="1"/>
        <v>#NAME?</v>
      </c>
      <c r="X30" t="e">
        <f ca="1"/>
        <v>#NAME?</v>
      </c>
      <c r="Y30" t="e">
        <f ca="1"/>
        <v>#NAME?</v>
      </c>
      <c r="Z30" t="e">
        <f ca="1"/>
        <v>#NAME?</v>
      </c>
      <c r="AA30" t="e">
        <f ca="1"/>
        <v>#NAME?</v>
      </c>
      <c r="AB30" t="e">
        <f ca="1"/>
        <v>#NAME?</v>
      </c>
      <c r="AD30" s="2">
        <f t="shared" ca="1" si="2"/>
        <v>0</v>
      </c>
      <c r="AE30" s="46">
        <f t="shared" ca="1" si="3"/>
        <v>0</v>
      </c>
      <c r="AG30" s="72" t="e">
        <f t="shared" ca="1" si="7"/>
        <v>#NAME?</v>
      </c>
      <c r="AH30" s="72" t="e">
        <f t="shared" ca="1" si="8"/>
        <v>#NAME?</v>
      </c>
      <c r="AI30" s="3" t="e">
        <f t="shared" ca="1" si="9"/>
        <v>#NAME?</v>
      </c>
    </row>
    <row r="31" spans="1:35" x14ac:dyDescent="0.25">
      <c r="A31" s="11" t="s">
        <v>130</v>
      </c>
      <c r="B31" s="41">
        <f ca="1">CurrentEstablishDate</f>
        <v>44973</v>
      </c>
      <c r="G31" s="3">
        <f t="shared" ca="1" si="4"/>
        <v>12</v>
      </c>
      <c r="H31" s="105">
        <f t="shared" ca="1" si="6"/>
        <v>44937</v>
      </c>
      <c r="I31" s="132" t="e">
        <f>HLOOKUP($H$4,'Met Data'!$A$2:$F$368,G31,FALSE)</f>
        <v>#N/A</v>
      </c>
      <c r="J31" s="132" t="e">
        <f ca="1">HLOOKUP($H$4,'Met Data'!$H$2:$M$368,G31,FALSE)*L31</f>
        <v>#N/A</v>
      </c>
      <c r="K31" s="106" t="e">
        <f>HLOOKUP($H$4,'Met Data'!$O$2:$T$368,G31,FALSE)</f>
        <v>#N/A</v>
      </c>
      <c r="L31">
        <f t="shared" ca="1" si="0"/>
        <v>1</v>
      </c>
      <c r="N31" t="e">
        <f t="shared" ca="1" si="5"/>
        <v>#NAME?</v>
      </c>
      <c r="O31" t="e">
        <f t="shared" ca="1" si="1"/>
        <v>#NAME?</v>
      </c>
      <c r="P31" s="2" t="e">
        <f ca="1"/>
        <v>#NAME?</v>
      </c>
      <c r="Q31" t="e">
        <f ca="1"/>
        <v>#NAME?</v>
      </c>
      <c r="R31" t="e">
        <f ca="1"/>
        <v>#NAME?</v>
      </c>
      <c r="S31" t="e">
        <f ca="1"/>
        <v>#NAME?</v>
      </c>
      <c r="T31" s="4" t="e">
        <f ca="1"/>
        <v>#NAME?</v>
      </c>
      <c r="U31" t="e">
        <f ca="1"/>
        <v>#NAME?</v>
      </c>
      <c r="V31" t="e">
        <f ca="1"/>
        <v>#NAME?</v>
      </c>
      <c r="W31" t="e">
        <f ca="1"/>
        <v>#NAME?</v>
      </c>
      <c r="X31" t="e">
        <f ca="1"/>
        <v>#NAME?</v>
      </c>
      <c r="Y31" t="e">
        <f ca="1"/>
        <v>#NAME?</v>
      </c>
      <c r="Z31" t="e">
        <f ca="1"/>
        <v>#NAME?</v>
      </c>
      <c r="AA31" t="e">
        <f ca="1"/>
        <v>#NAME?</v>
      </c>
      <c r="AB31" t="e">
        <f ca="1"/>
        <v>#NAME?</v>
      </c>
      <c r="AD31" s="2">
        <f t="shared" ca="1" si="2"/>
        <v>0</v>
      </c>
      <c r="AE31" s="46">
        <f t="shared" ca="1" si="3"/>
        <v>0</v>
      </c>
      <c r="AG31" s="72" t="e">
        <f t="shared" ca="1" si="7"/>
        <v>#NAME?</v>
      </c>
      <c r="AH31" s="72" t="e">
        <f t="shared" ca="1" si="8"/>
        <v>#NAME?</v>
      </c>
      <c r="AI31" s="3" t="e">
        <f t="shared" ca="1" si="9"/>
        <v>#NAME?</v>
      </c>
    </row>
    <row r="32" spans="1:35" x14ac:dyDescent="0.25">
      <c r="A32" s="11" t="s">
        <v>131</v>
      </c>
      <c r="B32" s="12" t="e">
        <f>CurrentEstablishStage</f>
        <v>#N/A</v>
      </c>
      <c r="G32" s="3">
        <f t="shared" ca="1" si="4"/>
        <v>13</v>
      </c>
      <c r="H32" s="105">
        <f t="shared" ca="1" si="6"/>
        <v>44938</v>
      </c>
      <c r="I32" s="132" t="e">
        <f>HLOOKUP($H$4,'Met Data'!$A$2:$F$368,G32,FALSE)</f>
        <v>#N/A</v>
      </c>
      <c r="J32" s="132" t="e">
        <f ca="1">HLOOKUP($H$4,'Met Data'!$H$2:$M$368,G32,FALSE)*L32</f>
        <v>#N/A</v>
      </c>
      <c r="K32" s="106" t="e">
        <f>HLOOKUP($H$4,'Met Data'!$O$2:$T$368,G32,FALSE)</f>
        <v>#N/A</v>
      </c>
      <c r="L32">
        <f t="shared" ca="1" si="0"/>
        <v>1</v>
      </c>
      <c r="N32" t="e">
        <f t="shared" ca="1" si="5"/>
        <v>#NAME?</v>
      </c>
      <c r="O32" t="e">
        <f t="shared" ca="1" si="1"/>
        <v>#NAME?</v>
      </c>
      <c r="P32" s="2" t="e">
        <f ca="1"/>
        <v>#NAME?</v>
      </c>
      <c r="Q32" t="e">
        <f ca="1"/>
        <v>#NAME?</v>
      </c>
      <c r="R32" t="e">
        <f ca="1"/>
        <v>#NAME?</v>
      </c>
      <c r="S32" t="e">
        <f ca="1"/>
        <v>#NAME?</v>
      </c>
      <c r="T32" s="4" t="e">
        <f ca="1"/>
        <v>#NAME?</v>
      </c>
      <c r="U32" t="e">
        <f ca="1"/>
        <v>#NAME?</v>
      </c>
      <c r="V32" t="e">
        <f ca="1"/>
        <v>#NAME?</v>
      </c>
      <c r="W32" t="e">
        <f ca="1"/>
        <v>#NAME?</v>
      </c>
      <c r="X32" t="e">
        <f ca="1"/>
        <v>#NAME?</v>
      </c>
      <c r="Y32" t="e">
        <f ca="1"/>
        <v>#NAME?</v>
      </c>
      <c r="Z32" t="e">
        <f ca="1"/>
        <v>#NAME?</v>
      </c>
      <c r="AA32" t="e">
        <f ca="1"/>
        <v>#NAME?</v>
      </c>
      <c r="AB32" t="e">
        <f ca="1"/>
        <v>#NAME?</v>
      </c>
      <c r="AD32" s="2">
        <f t="shared" ca="1" si="2"/>
        <v>0</v>
      </c>
      <c r="AE32" s="46">
        <f t="shared" ca="1" si="3"/>
        <v>0</v>
      </c>
      <c r="AG32" s="72" t="e">
        <f t="shared" ca="1" si="7"/>
        <v>#NAME?</v>
      </c>
      <c r="AH32" s="72" t="e">
        <f t="shared" ca="1" si="8"/>
        <v>#NAME?</v>
      </c>
      <c r="AI32" s="3" t="e">
        <f t="shared" ca="1" si="9"/>
        <v>#NAME?</v>
      </c>
    </row>
    <row r="33" spans="1:35" x14ac:dyDescent="0.25">
      <c r="A33" s="11" t="s">
        <v>132</v>
      </c>
      <c r="B33" s="41">
        <f ca="1">CurrentHarvestDate</f>
        <v>45098</v>
      </c>
      <c r="G33" s="3">
        <f t="shared" ca="1" si="4"/>
        <v>14</v>
      </c>
      <c r="H33" s="105">
        <f t="shared" ca="1" si="6"/>
        <v>44939</v>
      </c>
      <c r="I33" s="132" t="e">
        <f>HLOOKUP($H$4,'Met Data'!$A$2:$F$368,G33,FALSE)</f>
        <v>#N/A</v>
      </c>
      <c r="J33" s="132" t="e">
        <f ca="1">HLOOKUP($H$4,'Met Data'!$H$2:$M$368,G33,FALSE)*L33</f>
        <v>#N/A</v>
      </c>
      <c r="K33" s="106" t="e">
        <f>HLOOKUP($H$4,'Met Data'!$O$2:$T$368,G33,FALSE)</f>
        <v>#N/A</v>
      </c>
      <c r="L33">
        <f t="shared" ca="1" si="0"/>
        <v>1</v>
      </c>
      <c r="N33" t="e">
        <f t="shared" ca="1" si="5"/>
        <v>#NAME?</v>
      </c>
      <c r="O33" t="e">
        <f t="shared" ca="1" si="1"/>
        <v>#NAME?</v>
      </c>
      <c r="P33" s="2" t="e">
        <f ca="1"/>
        <v>#NAME?</v>
      </c>
      <c r="Q33" t="e">
        <f ca="1"/>
        <v>#NAME?</v>
      </c>
      <c r="R33" t="e">
        <f ca="1"/>
        <v>#NAME?</v>
      </c>
      <c r="S33" t="e">
        <f ca="1"/>
        <v>#NAME?</v>
      </c>
      <c r="T33" s="4" t="e">
        <f ca="1"/>
        <v>#NAME?</v>
      </c>
      <c r="U33" t="e">
        <f ca="1"/>
        <v>#NAME?</v>
      </c>
      <c r="V33" t="e">
        <f ca="1"/>
        <v>#NAME?</v>
      </c>
      <c r="W33" t="e">
        <f ca="1"/>
        <v>#NAME?</v>
      </c>
      <c r="X33" t="e">
        <f ca="1"/>
        <v>#NAME?</v>
      </c>
      <c r="Y33" t="e">
        <f ca="1"/>
        <v>#NAME?</v>
      </c>
      <c r="Z33" t="e">
        <f ca="1"/>
        <v>#NAME?</v>
      </c>
      <c r="AA33" t="e">
        <f ca="1"/>
        <v>#NAME?</v>
      </c>
      <c r="AB33" t="e">
        <f ca="1"/>
        <v>#NAME?</v>
      </c>
      <c r="AD33" s="2">
        <f t="shared" ca="1" si="2"/>
        <v>0</v>
      </c>
      <c r="AE33" s="46">
        <f t="shared" ca="1" si="3"/>
        <v>0</v>
      </c>
      <c r="AG33" s="72" t="e">
        <f t="shared" ca="1" si="7"/>
        <v>#NAME?</v>
      </c>
      <c r="AH33" s="72" t="e">
        <f t="shared" ca="1" si="8"/>
        <v>#NAME?</v>
      </c>
      <c r="AI33" s="3" t="e">
        <f t="shared" ca="1" si="9"/>
        <v>#NAME?</v>
      </c>
    </row>
    <row r="34" spans="1:35" x14ac:dyDescent="0.25">
      <c r="A34" s="11" t="s">
        <v>133</v>
      </c>
      <c r="B34" s="12" t="e">
        <f>CurrentHarvestStage</f>
        <v>#N/A</v>
      </c>
      <c r="G34" s="3">
        <f t="shared" ca="1" si="4"/>
        <v>15</v>
      </c>
      <c r="H34" s="105">
        <f t="shared" ca="1" si="6"/>
        <v>44940</v>
      </c>
      <c r="I34" s="132" t="e">
        <f>HLOOKUP($H$4,'Met Data'!$A$2:$F$368,G34,FALSE)</f>
        <v>#N/A</v>
      </c>
      <c r="J34" s="132" t="e">
        <f ca="1">HLOOKUP($H$4,'Met Data'!$H$2:$M$368,G34,FALSE)*L34</f>
        <v>#N/A</v>
      </c>
      <c r="K34" s="106" t="e">
        <f>HLOOKUP($H$4,'Met Data'!$O$2:$T$368,G34,FALSE)</f>
        <v>#N/A</v>
      </c>
      <c r="L34">
        <f t="shared" ca="1" si="0"/>
        <v>1</v>
      </c>
      <c r="N34" t="e">
        <f t="shared" ca="1" si="5"/>
        <v>#NAME?</v>
      </c>
      <c r="O34" t="e">
        <f t="shared" ca="1" si="1"/>
        <v>#NAME?</v>
      </c>
      <c r="P34" s="2" t="e">
        <f ca="1"/>
        <v>#NAME?</v>
      </c>
      <c r="Q34" t="e">
        <f ca="1"/>
        <v>#NAME?</v>
      </c>
      <c r="R34" t="e">
        <f ca="1"/>
        <v>#NAME?</v>
      </c>
      <c r="S34" t="e">
        <f ca="1"/>
        <v>#NAME?</v>
      </c>
      <c r="T34" s="4" t="e">
        <f ca="1"/>
        <v>#NAME?</v>
      </c>
      <c r="U34" t="e">
        <f ca="1"/>
        <v>#NAME?</v>
      </c>
      <c r="V34" t="e">
        <f ca="1"/>
        <v>#NAME?</v>
      </c>
      <c r="W34" t="e">
        <f ca="1"/>
        <v>#NAME?</v>
      </c>
      <c r="X34" t="e">
        <f ca="1"/>
        <v>#NAME?</v>
      </c>
      <c r="Y34" t="e">
        <f ca="1"/>
        <v>#NAME?</v>
      </c>
      <c r="Z34" t="e">
        <f ca="1"/>
        <v>#NAME?</v>
      </c>
      <c r="AA34" t="e">
        <f ca="1"/>
        <v>#NAME?</v>
      </c>
      <c r="AB34" t="e">
        <f ca="1"/>
        <v>#NAME?</v>
      </c>
      <c r="AD34" s="2">
        <f t="shared" ca="1" si="2"/>
        <v>0</v>
      </c>
      <c r="AE34" s="46">
        <f t="shared" ca="1" si="3"/>
        <v>0</v>
      </c>
      <c r="AG34" s="72" t="e">
        <f t="shared" ca="1" si="7"/>
        <v>#NAME?</v>
      </c>
      <c r="AH34" s="72" t="e">
        <f t="shared" ca="1" si="8"/>
        <v>#NAME?</v>
      </c>
      <c r="AI34" s="3" t="e">
        <f t="shared" ca="1" si="9"/>
        <v>#NAME?</v>
      </c>
    </row>
    <row r="35" spans="1:35" x14ac:dyDescent="0.25">
      <c r="A35" s="11" t="s">
        <v>176</v>
      </c>
      <c r="B35" s="12" t="str">
        <f>CurrentResidueRemoval</f>
        <v>None removed</v>
      </c>
      <c r="G35" s="3">
        <f t="shared" ca="1" si="4"/>
        <v>16</v>
      </c>
      <c r="H35" s="105">
        <f t="shared" ca="1" si="6"/>
        <v>44941</v>
      </c>
      <c r="I35" s="132" t="e">
        <f>HLOOKUP($H$4,'Met Data'!$A$2:$F$368,G35,FALSE)</f>
        <v>#N/A</v>
      </c>
      <c r="J35" s="132" t="e">
        <f ca="1">HLOOKUP($H$4,'Met Data'!$H$2:$M$368,G35,FALSE)*L35</f>
        <v>#N/A</v>
      </c>
      <c r="K35" s="106" t="e">
        <f>HLOOKUP($H$4,'Met Data'!$O$2:$T$368,G35,FALSE)</f>
        <v>#N/A</v>
      </c>
      <c r="L35">
        <f t="shared" ca="1" si="0"/>
        <v>1</v>
      </c>
      <c r="N35" t="e">
        <f t="shared" ca="1" si="5"/>
        <v>#NAME?</v>
      </c>
      <c r="O35" t="e">
        <f t="shared" ca="1" si="1"/>
        <v>#NAME?</v>
      </c>
      <c r="P35" s="2" t="e">
        <f ca="1"/>
        <v>#NAME?</v>
      </c>
      <c r="Q35" t="e">
        <f ca="1"/>
        <v>#NAME?</v>
      </c>
      <c r="R35" t="e">
        <f ca="1"/>
        <v>#NAME?</v>
      </c>
      <c r="S35" t="e">
        <f ca="1"/>
        <v>#NAME?</v>
      </c>
      <c r="T35" s="4" t="e">
        <f ca="1"/>
        <v>#NAME?</v>
      </c>
      <c r="U35" t="e">
        <f ca="1"/>
        <v>#NAME?</v>
      </c>
      <c r="V35" t="e">
        <f ca="1"/>
        <v>#NAME?</v>
      </c>
      <c r="W35" t="e">
        <f ca="1"/>
        <v>#NAME?</v>
      </c>
      <c r="X35" t="e">
        <f ca="1"/>
        <v>#NAME?</v>
      </c>
      <c r="Y35" t="e">
        <f ca="1"/>
        <v>#NAME?</v>
      </c>
      <c r="Z35" t="e">
        <f ca="1"/>
        <v>#NAME?</v>
      </c>
      <c r="AA35" t="e">
        <f ca="1"/>
        <v>#NAME?</v>
      </c>
      <c r="AB35" t="e">
        <f ca="1"/>
        <v>#NAME?</v>
      </c>
      <c r="AD35" s="2">
        <f t="shared" ca="1" si="2"/>
        <v>0</v>
      </c>
      <c r="AE35" s="46">
        <f t="shared" ca="1" si="3"/>
        <v>0</v>
      </c>
      <c r="AG35" s="72" t="e">
        <f t="shared" ca="1" si="7"/>
        <v>#NAME?</v>
      </c>
      <c r="AH35" s="72" t="e">
        <f t="shared" ca="1" si="8"/>
        <v>#NAME?</v>
      </c>
      <c r="AI35" s="3" t="e">
        <f t="shared" ca="1" si="9"/>
        <v>#NAME?</v>
      </c>
    </row>
    <row r="36" spans="1:35" ht="15.75" thickBot="1" x14ac:dyDescent="0.3">
      <c r="A36" s="11" t="s">
        <v>179</v>
      </c>
      <c r="B36" s="12" t="str">
        <f>CurrentResidueIncorporation</f>
        <v>Full (Plough)</v>
      </c>
      <c r="G36" s="3">
        <f t="shared" ca="1" si="4"/>
        <v>17</v>
      </c>
      <c r="H36" s="105">
        <f t="shared" ca="1" si="6"/>
        <v>44942</v>
      </c>
      <c r="I36" s="132" t="e">
        <f>HLOOKUP($H$4,'Met Data'!$A$2:$F$368,G36,FALSE)</f>
        <v>#N/A</v>
      </c>
      <c r="J36" s="132" t="e">
        <f ca="1">HLOOKUP($H$4,'Met Data'!$H$2:$M$368,G36,FALSE)*L36</f>
        <v>#N/A</v>
      </c>
      <c r="K36" s="106" t="e">
        <f>HLOOKUP($H$4,'Met Data'!$O$2:$T$368,G36,FALSE)</f>
        <v>#N/A</v>
      </c>
      <c r="L36">
        <f t="shared" ca="1" si="0"/>
        <v>1</v>
      </c>
      <c r="N36" t="e">
        <f t="shared" ca="1" si="5"/>
        <v>#NAME?</v>
      </c>
      <c r="O36" t="e">
        <f t="shared" ca="1" si="1"/>
        <v>#NAME?</v>
      </c>
      <c r="P36" s="2" t="e">
        <f ca="1"/>
        <v>#NAME?</v>
      </c>
      <c r="Q36" t="e">
        <f ca="1"/>
        <v>#NAME?</v>
      </c>
      <c r="R36" t="e">
        <f ca="1"/>
        <v>#NAME?</v>
      </c>
      <c r="S36" t="e">
        <f ca="1"/>
        <v>#NAME?</v>
      </c>
      <c r="T36" t="e">
        <f ca="1"/>
        <v>#NAME?</v>
      </c>
      <c r="U36" t="e">
        <f ca="1"/>
        <v>#NAME?</v>
      </c>
      <c r="V36" t="e">
        <f ca="1"/>
        <v>#NAME?</v>
      </c>
      <c r="W36" t="e">
        <f ca="1"/>
        <v>#NAME?</v>
      </c>
      <c r="X36" t="e">
        <f ca="1"/>
        <v>#NAME?</v>
      </c>
      <c r="Y36" t="e">
        <f ca="1"/>
        <v>#NAME?</v>
      </c>
      <c r="Z36" t="e">
        <f ca="1"/>
        <v>#NAME?</v>
      </c>
      <c r="AA36" t="e">
        <f ca="1"/>
        <v>#NAME?</v>
      </c>
      <c r="AB36" t="e">
        <f ca="1"/>
        <v>#NAME?</v>
      </c>
      <c r="AD36" s="2">
        <f t="shared" ca="1" si="2"/>
        <v>0</v>
      </c>
      <c r="AE36" s="46">
        <f t="shared" ca="1" si="3"/>
        <v>0</v>
      </c>
      <c r="AG36" s="72" t="e">
        <f t="shared" ca="1" si="7"/>
        <v>#NAME?</v>
      </c>
      <c r="AH36" s="72" t="e">
        <f t="shared" ca="1" si="8"/>
        <v>#NAME?</v>
      </c>
      <c r="AI36" s="3" t="e">
        <f t="shared" ca="1" si="9"/>
        <v>#NAME?</v>
      </c>
    </row>
    <row r="37" spans="1:35" x14ac:dyDescent="0.25">
      <c r="A37" s="7" t="s">
        <v>150</v>
      </c>
      <c r="B37" s="36" t="str">
        <f>FollowingCropFullName</f>
        <v>Oat Fodder General</v>
      </c>
      <c r="G37" s="3">
        <f t="shared" ca="1" si="4"/>
        <v>18</v>
      </c>
      <c r="H37" s="105">
        <f t="shared" ca="1" si="6"/>
        <v>44943</v>
      </c>
      <c r="I37" s="132" t="e">
        <f>HLOOKUP($H$4,'Met Data'!$A$2:$F$368,G37,FALSE)</f>
        <v>#N/A</v>
      </c>
      <c r="J37" s="132" t="e">
        <f ca="1">HLOOKUP($H$4,'Met Data'!$H$2:$M$368,G37,FALSE)*L37</f>
        <v>#N/A</v>
      </c>
      <c r="K37" s="106" t="e">
        <f>HLOOKUP($H$4,'Met Data'!$O$2:$T$368,G37,FALSE)</f>
        <v>#N/A</v>
      </c>
      <c r="L37">
        <f t="shared" ca="1" si="0"/>
        <v>1</v>
      </c>
      <c r="N37" t="e">
        <f t="shared" ca="1" si="5"/>
        <v>#NAME?</v>
      </c>
      <c r="O37" t="e">
        <f t="shared" ca="1" si="1"/>
        <v>#NAME?</v>
      </c>
      <c r="P37" s="2" t="e">
        <f ca="1"/>
        <v>#NAME?</v>
      </c>
      <c r="Q37" t="e">
        <f ca="1"/>
        <v>#NAME?</v>
      </c>
      <c r="R37" t="e">
        <f ca="1"/>
        <v>#NAME?</v>
      </c>
      <c r="S37" t="e">
        <f ca="1"/>
        <v>#NAME?</v>
      </c>
      <c r="T37" t="e">
        <f ca="1"/>
        <v>#NAME?</v>
      </c>
      <c r="U37" t="e">
        <f ca="1"/>
        <v>#NAME?</v>
      </c>
      <c r="V37" t="e">
        <f ca="1"/>
        <v>#NAME?</v>
      </c>
      <c r="W37" t="e">
        <f ca="1"/>
        <v>#NAME?</v>
      </c>
      <c r="X37" t="e">
        <f ca="1"/>
        <v>#NAME?</v>
      </c>
      <c r="Y37" t="e">
        <f ca="1"/>
        <v>#NAME?</v>
      </c>
      <c r="Z37" t="e">
        <f ca="1"/>
        <v>#NAME?</v>
      </c>
      <c r="AA37" t="e">
        <f ca="1"/>
        <v>#NAME?</v>
      </c>
      <c r="AB37" t="e">
        <f ca="1"/>
        <v>#NAME?</v>
      </c>
      <c r="AD37" s="2">
        <f t="shared" ca="1" si="2"/>
        <v>0</v>
      </c>
      <c r="AE37" s="46">
        <f t="shared" ca="1" si="3"/>
        <v>0</v>
      </c>
      <c r="AG37" s="72" t="e">
        <f t="shared" ca="1" si="7"/>
        <v>#NAME?</v>
      </c>
      <c r="AH37" s="72" t="e">
        <f t="shared" ca="1" si="8"/>
        <v>#NAME?</v>
      </c>
      <c r="AI37" s="3" t="e">
        <f t="shared" ca="1" si="9"/>
        <v>#NAME?</v>
      </c>
    </row>
    <row r="38" spans="1:35" x14ac:dyDescent="0.25">
      <c r="A38" s="8" t="s">
        <v>134</v>
      </c>
      <c r="B38" s="37">
        <f>FollowingYield_tperHa</f>
        <v>10</v>
      </c>
      <c r="G38" s="3">
        <f t="shared" ca="1" si="4"/>
        <v>19</v>
      </c>
      <c r="H38" s="105">
        <f t="shared" ca="1" si="6"/>
        <v>44944</v>
      </c>
      <c r="I38" s="132" t="e">
        <f>HLOOKUP($H$4,'Met Data'!$A$2:$F$368,G38,FALSE)</f>
        <v>#N/A</v>
      </c>
      <c r="J38" s="132" t="e">
        <f ca="1">HLOOKUP($H$4,'Met Data'!$H$2:$M$368,G38,FALSE)*L38</f>
        <v>#N/A</v>
      </c>
      <c r="K38" s="106" t="e">
        <f>HLOOKUP($H$4,'Met Data'!$O$2:$T$368,G38,FALSE)</f>
        <v>#N/A</v>
      </c>
      <c r="L38">
        <f t="shared" ca="1" si="0"/>
        <v>1</v>
      </c>
      <c r="N38" t="e">
        <f t="shared" ca="1" si="5"/>
        <v>#NAME?</v>
      </c>
      <c r="O38" t="e">
        <f t="shared" ca="1" si="1"/>
        <v>#NAME?</v>
      </c>
      <c r="P38" s="2" t="e">
        <f ca="1"/>
        <v>#NAME?</v>
      </c>
      <c r="Q38" t="e">
        <f ca="1"/>
        <v>#NAME?</v>
      </c>
      <c r="R38" t="e">
        <f ca="1"/>
        <v>#NAME?</v>
      </c>
      <c r="S38" t="e">
        <f ca="1"/>
        <v>#NAME?</v>
      </c>
      <c r="T38" t="e">
        <f ca="1"/>
        <v>#NAME?</v>
      </c>
      <c r="U38" t="e">
        <f ca="1"/>
        <v>#NAME?</v>
      </c>
      <c r="V38" t="e">
        <f ca="1"/>
        <v>#NAME?</v>
      </c>
      <c r="W38" t="e">
        <f ca="1"/>
        <v>#NAME?</v>
      </c>
      <c r="X38" t="e">
        <f ca="1"/>
        <v>#NAME?</v>
      </c>
      <c r="Y38" t="e">
        <f ca="1"/>
        <v>#NAME?</v>
      </c>
      <c r="Z38" t="e">
        <f ca="1"/>
        <v>#NAME?</v>
      </c>
      <c r="AA38" t="e">
        <f ca="1"/>
        <v>#NAME?</v>
      </c>
      <c r="AB38" t="e">
        <f ca="1"/>
        <v>#NAME?</v>
      </c>
      <c r="AD38" s="2">
        <f t="shared" ca="1" si="2"/>
        <v>0</v>
      </c>
      <c r="AE38" s="46">
        <f t="shared" ca="1" si="3"/>
        <v>0</v>
      </c>
      <c r="AG38" s="72" t="e">
        <f t="shared" ca="1" si="7"/>
        <v>#NAME?</v>
      </c>
      <c r="AH38" s="72" t="e">
        <f t="shared" ca="1" si="8"/>
        <v>#NAME?</v>
      </c>
      <c r="AI38" s="3" t="e">
        <f t="shared" ca="1" si="9"/>
        <v>#NAME?</v>
      </c>
    </row>
    <row r="39" spans="1:35" x14ac:dyDescent="0.25">
      <c r="A39" s="8" t="s">
        <v>135</v>
      </c>
      <c r="B39" s="37">
        <f>FollowingFieldLoss</f>
        <v>0</v>
      </c>
      <c r="G39" s="3">
        <f t="shared" ca="1" si="4"/>
        <v>20</v>
      </c>
      <c r="H39" s="105">
        <f t="shared" ca="1" si="6"/>
        <v>44945</v>
      </c>
      <c r="I39" s="132" t="e">
        <f>HLOOKUP($H$4,'Met Data'!$A$2:$F$368,G39,FALSE)</f>
        <v>#N/A</v>
      </c>
      <c r="J39" s="132" t="e">
        <f ca="1">HLOOKUP($H$4,'Met Data'!$H$2:$M$368,G39,FALSE)*L39</f>
        <v>#N/A</v>
      </c>
      <c r="K39" s="106" t="e">
        <f>HLOOKUP($H$4,'Met Data'!$O$2:$T$368,G39,FALSE)</f>
        <v>#N/A</v>
      </c>
      <c r="L39">
        <f t="shared" ca="1" si="0"/>
        <v>1</v>
      </c>
      <c r="N39" t="e">
        <f t="shared" ca="1" si="5"/>
        <v>#NAME?</v>
      </c>
      <c r="O39" t="e">
        <f t="shared" ca="1" si="1"/>
        <v>#NAME?</v>
      </c>
      <c r="P39" s="2" t="e">
        <f ca="1"/>
        <v>#NAME?</v>
      </c>
      <c r="Q39" t="e">
        <f ca="1"/>
        <v>#NAME?</v>
      </c>
      <c r="R39" t="e">
        <f ca="1"/>
        <v>#NAME?</v>
      </c>
      <c r="S39" t="e">
        <f ca="1"/>
        <v>#NAME?</v>
      </c>
      <c r="T39" t="e">
        <f ca="1"/>
        <v>#NAME?</v>
      </c>
      <c r="U39" t="e">
        <f ca="1"/>
        <v>#NAME?</v>
      </c>
      <c r="V39" t="e">
        <f ca="1"/>
        <v>#NAME?</v>
      </c>
      <c r="W39" t="e">
        <f ca="1"/>
        <v>#NAME?</v>
      </c>
      <c r="X39" t="e">
        <f ca="1"/>
        <v>#NAME?</v>
      </c>
      <c r="Y39" t="e">
        <f ca="1"/>
        <v>#NAME?</v>
      </c>
      <c r="Z39" t="e">
        <f ca="1"/>
        <v>#NAME?</v>
      </c>
      <c r="AA39" t="e">
        <f ca="1"/>
        <v>#NAME?</v>
      </c>
      <c r="AB39" t="e">
        <f ca="1"/>
        <v>#NAME?</v>
      </c>
      <c r="AD39" s="2">
        <f t="shared" ca="1" si="2"/>
        <v>0</v>
      </c>
      <c r="AE39" s="46">
        <f t="shared" ca="1" si="3"/>
        <v>0</v>
      </c>
      <c r="AG39" s="72" t="e">
        <f t="shared" ca="1" si="7"/>
        <v>#NAME?</v>
      </c>
      <c r="AH39" s="72" t="e">
        <f t="shared" ca="1" si="8"/>
        <v>#NAME?</v>
      </c>
      <c r="AI39" s="3" t="e">
        <f t="shared" ca="1" si="9"/>
        <v>#NAME?</v>
      </c>
    </row>
    <row r="40" spans="1:35" x14ac:dyDescent="0.25">
      <c r="A40" s="8" t="s">
        <v>136</v>
      </c>
      <c r="B40" s="37">
        <f>FollowingDressingLoss</f>
        <v>0</v>
      </c>
      <c r="G40" s="3">
        <f t="shared" ca="1" si="4"/>
        <v>21</v>
      </c>
      <c r="H40" s="105">
        <f t="shared" ca="1" si="6"/>
        <v>44946</v>
      </c>
      <c r="I40" s="132" t="e">
        <f>HLOOKUP($H$4,'Met Data'!$A$2:$F$368,G40,FALSE)</f>
        <v>#N/A</v>
      </c>
      <c r="J40" s="132" t="e">
        <f ca="1">HLOOKUP($H$4,'Met Data'!$H$2:$M$368,G40,FALSE)*L40</f>
        <v>#N/A</v>
      </c>
      <c r="K40" s="106" t="e">
        <f>HLOOKUP($H$4,'Met Data'!$O$2:$T$368,G40,FALSE)</f>
        <v>#N/A</v>
      </c>
      <c r="L40">
        <f t="shared" ca="1" si="0"/>
        <v>1</v>
      </c>
      <c r="N40" t="e">
        <f t="shared" ca="1" si="5"/>
        <v>#NAME?</v>
      </c>
      <c r="O40" t="e">
        <f t="shared" ca="1" si="1"/>
        <v>#NAME?</v>
      </c>
      <c r="P40" s="2" t="e">
        <f ca="1"/>
        <v>#NAME?</v>
      </c>
      <c r="Q40" t="e">
        <f ca="1"/>
        <v>#NAME?</v>
      </c>
      <c r="R40" t="e">
        <f ca="1"/>
        <v>#NAME?</v>
      </c>
      <c r="S40" t="e">
        <f ca="1"/>
        <v>#NAME?</v>
      </c>
      <c r="T40" t="e">
        <f ca="1"/>
        <v>#NAME?</v>
      </c>
      <c r="U40" t="e">
        <f ca="1"/>
        <v>#NAME?</v>
      </c>
      <c r="V40" t="e">
        <f ca="1"/>
        <v>#NAME?</v>
      </c>
      <c r="W40" t="e">
        <f ca="1"/>
        <v>#NAME?</v>
      </c>
      <c r="X40" t="e">
        <f ca="1"/>
        <v>#NAME?</v>
      </c>
      <c r="Y40" t="e">
        <f ca="1"/>
        <v>#NAME?</v>
      </c>
      <c r="Z40" t="e">
        <f ca="1"/>
        <v>#NAME?</v>
      </c>
      <c r="AA40" t="e">
        <f ca="1"/>
        <v>#NAME?</v>
      </c>
      <c r="AB40" t="e">
        <f ca="1"/>
        <v>#NAME?</v>
      </c>
      <c r="AD40" s="2">
        <f t="shared" ca="1" si="2"/>
        <v>0</v>
      </c>
      <c r="AE40" s="46">
        <f t="shared" ca="1" si="3"/>
        <v>0</v>
      </c>
      <c r="AG40" s="72" t="e">
        <f t="shared" ca="1" si="7"/>
        <v>#NAME?</v>
      </c>
      <c r="AH40" s="72" t="e">
        <f t="shared" ca="1" si="8"/>
        <v>#NAME?</v>
      </c>
      <c r="AI40" s="3" t="e">
        <f t="shared" ca="1" si="9"/>
        <v>#NAME?</v>
      </c>
    </row>
    <row r="41" spans="1:35" x14ac:dyDescent="0.25">
      <c r="A41" s="8" t="s">
        <v>137</v>
      </c>
      <c r="B41" s="37">
        <f>FollowingMoistureLoss</f>
        <v>80</v>
      </c>
      <c r="G41" s="3">
        <f t="shared" ca="1" si="4"/>
        <v>22</v>
      </c>
      <c r="H41" s="105">
        <f t="shared" ca="1" si="6"/>
        <v>44947</v>
      </c>
      <c r="I41" s="132" t="e">
        <f>HLOOKUP($H$4,'Met Data'!$A$2:$F$368,G41,FALSE)</f>
        <v>#N/A</v>
      </c>
      <c r="J41" s="132" t="e">
        <f ca="1">HLOOKUP($H$4,'Met Data'!$H$2:$M$368,G41,FALSE)*L41</f>
        <v>#N/A</v>
      </c>
      <c r="K41" s="106" t="e">
        <f>HLOOKUP($H$4,'Met Data'!$O$2:$T$368,G41,FALSE)</f>
        <v>#N/A</v>
      </c>
      <c r="L41">
        <f t="shared" ca="1" si="0"/>
        <v>1</v>
      </c>
      <c r="N41" t="e">
        <f t="shared" ca="1" si="5"/>
        <v>#NAME?</v>
      </c>
      <c r="O41" t="e">
        <f t="shared" ca="1" si="1"/>
        <v>#NAME?</v>
      </c>
      <c r="P41" s="2" t="e">
        <f ca="1"/>
        <v>#NAME?</v>
      </c>
      <c r="Q41" t="e">
        <f ca="1"/>
        <v>#NAME?</v>
      </c>
      <c r="R41" t="e">
        <f ca="1"/>
        <v>#NAME?</v>
      </c>
      <c r="S41" t="e">
        <f ca="1"/>
        <v>#NAME?</v>
      </c>
      <c r="T41" t="e">
        <f ca="1"/>
        <v>#NAME?</v>
      </c>
      <c r="U41" t="e">
        <f ca="1"/>
        <v>#NAME?</v>
      </c>
      <c r="V41" t="e">
        <f ca="1"/>
        <v>#NAME?</v>
      </c>
      <c r="W41" t="e">
        <f ca="1"/>
        <v>#NAME?</v>
      </c>
      <c r="X41" t="e">
        <f ca="1"/>
        <v>#NAME?</v>
      </c>
      <c r="Y41" t="e">
        <f ca="1"/>
        <v>#NAME?</v>
      </c>
      <c r="Z41" t="e">
        <f ca="1"/>
        <v>#NAME?</v>
      </c>
      <c r="AA41" t="e">
        <f ca="1"/>
        <v>#NAME?</v>
      </c>
      <c r="AB41" t="e">
        <f ca="1"/>
        <v>#NAME?</v>
      </c>
      <c r="AD41" s="2">
        <f t="shared" ca="1" si="2"/>
        <v>0</v>
      </c>
      <c r="AE41" s="46">
        <f t="shared" ca="1" si="3"/>
        <v>0</v>
      </c>
      <c r="AG41" s="72" t="e">
        <f t="shared" ca="1" si="7"/>
        <v>#NAME?</v>
      </c>
      <c r="AH41" s="72" t="e">
        <f t="shared" ca="1" si="8"/>
        <v>#NAME?</v>
      </c>
      <c r="AI41" s="3" t="e">
        <f t="shared" ca="1" si="9"/>
        <v>#NAME?</v>
      </c>
    </row>
    <row r="42" spans="1:35" x14ac:dyDescent="0.25">
      <c r="A42" s="8" t="s">
        <v>138</v>
      </c>
      <c r="B42" s="39">
        <f ca="1">FollowingEstablishDate</f>
        <v>45113</v>
      </c>
      <c r="G42" s="3">
        <f t="shared" ca="1" si="4"/>
        <v>23</v>
      </c>
      <c r="H42" s="105">
        <f t="shared" ca="1" si="6"/>
        <v>44948</v>
      </c>
      <c r="I42" s="132" t="e">
        <f>HLOOKUP($H$4,'Met Data'!$A$2:$F$368,G42,FALSE)</f>
        <v>#N/A</v>
      </c>
      <c r="J42" s="132" t="e">
        <f ca="1">HLOOKUP($H$4,'Met Data'!$H$2:$M$368,G42,FALSE)*L42</f>
        <v>#N/A</v>
      </c>
      <c r="K42" s="106" t="e">
        <f>HLOOKUP($H$4,'Met Data'!$O$2:$T$368,G42,FALSE)</f>
        <v>#N/A</v>
      </c>
      <c r="L42">
        <f t="shared" ca="1" si="0"/>
        <v>1</v>
      </c>
      <c r="N42" t="e">
        <f t="shared" ca="1" si="5"/>
        <v>#NAME?</v>
      </c>
      <c r="O42" t="e">
        <f t="shared" ca="1" si="1"/>
        <v>#NAME?</v>
      </c>
      <c r="P42" s="2" t="e">
        <f ca="1"/>
        <v>#NAME?</v>
      </c>
      <c r="Q42" t="e">
        <f ca="1"/>
        <v>#NAME?</v>
      </c>
      <c r="R42" t="e">
        <f ca="1"/>
        <v>#NAME?</v>
      </c>
      <c r="S42" t="e">
        <f ca="1"/>
        <v>#NAME?</v>
      </c>
      <c r="T42" t="e">
        <f ca="1"/>
        <v>#NAME?</v>
      </c>
      <c r="U42" t="e">
        <f ca="1"/>
        <v>#NAME?</v>
      </c>
      <c r="V42" t="e">
        <f ca="1"/>
        <v>#NAME?</v>
      </c>
      <c r="W42" t="e">
        <f ca="1"/>
        <v>#NAME?</v>
      </c>
      <c r="X42" t="e">
        <f ca="1"/>
        <v>#NAME?</v>
      </c>
      <c r="Y42" t="e">
        <f ca="1"/>
        <v>#NAME?</v>
      </c>
      <c r="Z42" t="e">
        <f ca="1"/>
        <v>#NAME?</v>
      </c>
      <c r="AA42" t="e">
        <f ca="1"/>
        <v>#NAME?</v>
      </c>
      <c r="AB42" t="e">
        <f ca="1"/>
        <v>#NAME?</v>
      </c>
      <c r="AD42" s="2">
        <f t="shared" ca="1" si="2"/>
        <v>0</v>
      </c>
      <c r="AE42" s="46">
        <f t="shared" ca="1" si="3"/>
        <v>0</v>
      </c>
      <c r="AG42" s="72" t="e">
        <f t="shared" ca="1" si="7"/>
        <v>#NAME?</v>
      </c>
      <c r="AH42" s="72" t="e">
        <f t="shared" ca="1" si="8"/>
        <v>#NAME?</v>
      </c>
      <c r="AI42" s="3" t="e">
        <f t="shared" ca="1" si="9"/>
        <v>#NAME?</v>
      </c>
    </row>
    <row r="43" spans="1:35" x14ac:dyDescent="0.25">
      <c r="A43" s="8" t="s">
        <v>139</v>
      </c>
      <c r="B43" s="37" t="str">
        <f>FollowingEstablishStage</f>
        <v>Seed</v>
      </c>
      <c r="G43" s="3">
        <f t="shared" ca="1" si="4"/>
        <v>24</v>
      </c>
      <c r="H43" s="105">
        <f t="shared" ca="1" si="6"/>
        <v>44949</v>
      </c>
      <c r="I43" s="132" t="e">
        <f>HLOOKUP($H$4,'Met Data'!$A$2:$F$368,G43,FALSE)</f>
        <v>#N/A</v>
      </c>
      <c r="J43" s="132" t="e">
        <f ca="1">HLOOKUP($H$4,'Met Data'!$H$2:$M$368,G43,FALSE)*L43</f>
        <v>#N/A</v>
      </c>
      <c r="K43" s="106" t="e">
        <f>HLOOKUP($H$4,'Met Data'!$O$2:$T$368,G43,FALSE)</f>
        <v>#N/A</v>
      </c>
      <c r="L43">
        <f t="shared" ca="1" si="0"/>
        <v>1</v>
      </c>
      <c r="N43" t="e">
        <f t="shared" ca="1" si="5"/>
        <v>#NAME?</v>
      </c>
      <c r="O43" t="e">
        <f t="shared" ca="1" si="1"/>
        <v>#NAME?</v>
      </c>
      <c r="P43" s="2" t="e">
        <f ca="1"/>
        <v>#NAME?</v>
      </c>
      <c r="Q43" t="e">
        <f ca="1"/>
        <v>#NAME?</v>
      </c>
      <c r="R43" t="e">
        <f ca="1"/>
        <v>#NAME?</v>
      </c>
      <c r="S43" t="e">
        <f ca="1"/>
        <v>#NAME?</v>
      </c>
      <c r="T43" t="e">
        <f ca="1"/>
        <v>#NAME?</v>
      </c>
      <c r="U43" t="e">
        <f ca="1"/>
        <v>#NAME?</v>
      </c>
      <c r="V43" t="e">
        <f ca="1"/>
        <v>#NAME?</v>
      </c>
      <c r="W43" t="e">
        <f ca="1"/>
        <v>#NAME?</v>
      </c>
      <c r="X43" t="e">
        <f ca="1"/>
        <v>#NAME?</v>
      </c>
      <c r="Y43" t="e">
        <f ca="1"/>
        <v>#NAME?</v>
      </c>
      <c r="Z43" t="e">
        <f ca="1"/>
        <v>#NAME?</v>
      </c>
      <c r="AA43" t="e">
        <f ca="1"/>
        <v>#NAME?</v>
      </c>
      <c r="AB43" t="e">
        <f ca="1"/>
        <v>#NAME?</v>
      </c>
      <c r="AD43" s="2">
        <f t="shared" ca="1" si="2"/>
        <v>0</v>
      </c>
      <c r="AE43" s="46">
        <f t="shared" ca="1" si="3"/>
        <v>0</v>
      </c>
      <c r="AG43" s="72" t="e">
        <f t="shared" ca="1" si="7"/>
        <v>#NAME?</v>
      </c>
      <c r="AH43" s="72" t="e">
        <f t="shared" ca="1" si="8"/>
        <v>#NAME?</v>
      </c>
      <c r="AI43" s="3" t="e">
        <f t="shared" ca="1" si="9"/>
        <v>#NAME?</v>
      </c>
    </row>
    <row r="44" spans="1:35" x14ac:dyDescent="0.25">
      <c r="A44" s="8" t="s">
        <v>140</v>
      </c>
      <c r="B44" s="39">
        <f ca="1">FollowingHarvestDate</f>
        <v>45233</v>
      </c>
      <c r="G44" s="3">
        <f t="shared" ca="1" si="4"/>
        <v>25</v>
      </c>
      <c r="H44" s="105">
        <f t="shared" ca="1" si="6"/>
        <v>44950</v>
      </c>
      <c r="I44" s="132" t="e">
        <f>HLOOKUP($H$4,'Met Data'!$A$2:$F$368,G44,FALSE)</f>
        <v>#N/A</v>
      </c>
      <c r="J44" s="132" t="e">
        <f ca="1">HLOOKUP($H$4,'Met Data'!$H$2:$M$368,G44,FALSE)*L44</f>
        <v>#N/A</v>
      </c>
      <c r="K44" s="106" t="e">
        <f>HLOOKUP($H$4,'Met Data'!$O$2:$T$368,G44,FALSE)</f>
        <v>#N/A</v>
      </c>
      <c r="L44">
        <f t="shared" ca="1" si="0"/>
        <v>1</v>
      </c>
      <c r="N44" t="e">
        <f t="shared" ca="1" si="5"/>
        <v>#NAME?</v>
      </c>
      <c r="O44" t="e">
        <f t="shared" ca="1" si="1"/>
        <v>#NAME?</v>
      </c>
      <c r="P44" s="2" t="e">
        <f ca="1"/>
        <v>#NAME?</v>
      </c>
      <c r="Q44" t="e">
        <f ca="1"/>
        <v>#NAME?</v>
      </c>
      <c r="R44" t="e">
        <f ca="1"/>
        <v>#NAME?</v>
      </c>
      <c r="S44" t="e">
        <f ca="1"/>
        <v>#NAME?</v>
      </c>
      <c r="T44" t="e">
        <f ca="1"/>
        <v>#NAME?</v>
      </c>
      <c r="U44" t="e">
        <f ca="1"/>
        <v>#NAME?</v>
      </c>
      <c r="V44" t="e">
        <f ca="1"/>
        <v>#NAME?</v>
      </c>
      <c r="W44" t="e">
        <f ca="1"/>
        <v>#NAME?</v>
      </c>
      <c r="X44" t="e">
        <f ca="1"/>
        <v>#NAME?</v>
      </c>
      <c r="Y44" t="e">
        <f ca="1"/>
        <v>#NAME?</v>
      </c>
      <c r="Z44" t="e">
        <f ca="1"/>
        <v>#NAME?</v>
      </c>
      <c r="AA44" t="e">
        <f ca="1"/>
        <v>#NAME?</v>
      </c>
      <c r="AB44" t="e">
        <f ca="1"/>
        <v>#NAME?</v>
      </c>
      <c r="AD44" s="2">
        <f t="shared" ca="1" si="2"/>
        <v>0</v>
      </c>
      <c r="AE44" s="46">
        <f t="shared" ca="1" si="3"/>
        <v>0</v>
      </c>
      <c r="AG44" s="72" t="e">
        <f t="shared" ca="1" si="7"/>
        <v>#NAME?</v>
      </c>
      <c r="AH44" s="72" t="e">
        <f t="shared" ca="1" si="8"/>
        <v>#NAME?</v>
      </c>
      <c r="AI44" s="3" t="e">
        <f t="shared" ca="1" si="9"/>
        <v>#NAME?</v>
      </c>
    </row>
    <row r="45" spans="1:35" x14ac:dyDescent="0.25">
      <c r="A45" s="8" t="s">
        <v>141</v>
      </c>
      <c r="B45" s="37" t="str">
        <f>FollowingHarvestStage</f>
        <v>EarlyReproductive</v>
      </c>
      <c r="G45" s="3">
        <f t="shared" ca="1" si="4"/>
        <v>26</v>
      </c>
      <c r="H45" s="105">
        <f t="shared" ca="1" si="6"/>
        <v>44951</v>
      </c>
      <c r="I45" s="132" t="e">
        <f>HLOOKUP($H$4,'Met Data'!$A$2:$F$368,G45,FALSE)</f>
        <v>#N/A</v>
      </c>
      <c r="J45" s="132" t="e">
        <f ca="1">HLOOKUP($H$4,'Met Data'!$H$2:$M$368,G45,FALSE)*L45</f>
        <v>#N/A</v>
      </c>
      <c r="K45" s="106" t="e">
        <f>HLOOKUP($H$4,'Met Data'!$O$2:$T$368,G45,FALSE)</f>
        <v>#N/A</v>
      </c>
      <c r="L45">
        <f t="shared" ca="1" si="0"/>
        <v>1</v>
      </c>
      <c r="N45" t="e">
        <f t="shared" ca="1" si="5"/>
        <v>#NAME?</v>
      </c>
      <c r="O45" t="e">
        <f t="shared" ca="1" si="1"/>
        <v>#NAME?</v>
      </c>
      <c r="P45" s="2" t="e">
        <f ca="1"/>
        <v>#NAME?</v>
      </c>
      <c r="Q45" t="e">
        <f ca="1"/>
        <v>#NAME?</v>
      </c>
      <c r="R45" t="e">
        <f ca="1"/>
        <v>#NAME?</v>
      </c>
      <c r="S45" t="e">
        <f ca="1"/>
        <v>#NAME?</v>
      </c>
      <c r="T45" t="e">
        <f ca="1"/>
        <v>#NAME?</v>
      </c>
      <c r="U45" t="e">
        <f ca="1"/>
        <v>#NAME?</v>
      </c>
      <c r="V45" t="e">
        <f ca="1"/>
        <v>#NAME?</v>
      </c>
      <c r="W45" t="e">
        <f ca="1"/>
        <v>#NAME?</v>
      </c>
      <c r="X45" t="e">
        <f ca="1"/>
        <v>#NAME?</v>
      </c>
      <c r="Y45" t="e">
        <f ca="1"/>
        <v>#NAME?</v>
      </c>
      <c r="Z45" t="e">
        <f ca="1"/>
        <v>#NAME?</v>
      </c>
      <c r="AA45" t="e">
        <f ca="1"/>
        <v>#NAME?</v>
      </c>
      <c r="AB45" t="e">
        <f ca="1"/>
        <v>#NAME?</v>
      </c>
      <c r="AD45" s="2">
        <f t="shared" ca="1" si="2"/>
        <v>0</v>
      </c>
      <c r="AE45" s="46">
        <f t="shared" ca="1" si="3"/>
        <v>0</v>
      </c>
      <c r="AG45" s="72" t="e">
        <f t="shared" ca="1" si="7"/>
        <v>#NAME?</v>
      </c>
      <c r="AH45" s="72" t="e">
        <f t="shared" ca="1" si="8"/>
        <v>#NAME?</v>
      </c>
      <c r="AI45" s="3" t="e">
        <f t="shared" ca="1" si="9"/>
        <v>#NAME?</v>
      </c>
    </row>
    <row r="46" spans="1:35" ht="15.75" thickBot="1" x14ac:dyDescent="0.3">
      <c r="A46" s="9" t="s">
        <v>177</v>
      </c>
      <c r="B46" s="38" t="str">
        <f>FollowingResidueRemoval</f>
        <v>None removed</v>
      </c>
      <c r="G46" s="3">
        <f t="shared" ca="1" si="4"/>
        <v>27</v>
      </c>
      <c r="H46" s="105">
        <f t="shared" ca="1" si="6"/>
        <v>44952</v>
      </c>
      <c r="I46" s="132" t="e">
        <f>HLOOKUP($H$4,'Met Data'!$A$2:$F$368,G46,FALSE)</f>
        <v>#N/A</v>
      </c>
      <c r="J46" s="132" t="e">
        <f ca="1">HLOOKUP($H$4,'Met Data'!$H$2:$M$368,G46,FALSE)*L46</f>
        <v>#N/A</v>
      </c>
      <c r="K46" s="106" t="e">
        <f>HLOOKUP($H$4,'Met Data'!$O$2:$T$368,G46,FALSE)</f>
        <v>#N/A</v>
      </c>
      <c r="L46">
        <f t="shared" ca="1" si="0"/>
        <v>1</v>
      </c>
      <c r="N46" t="e">
        <f t="shared" ca="1" si="5"/>
        <v>#NAME?</v>
      </c>
      <c r="O46" t="e">
        <f t="shared" ca="1" si="1"/>
        <v>#NAME?</v>
      </c>
      <c r="P46" s="2" t="e">
        <f ca="1"/>
        <v>#NAME?</v>
      </c>
      <c r="Q46" t="e">
        <f ca="1"/>
        <v>#NAME?</v>
      </c>
      <c r="R46" t="e">
        <f ca="1"/>
        <v>#NAME?</v>
      </c>
      <c r="S46" t="e">
        <f ca="1"/>
        <v>#NAME?</v>
      </c>
      <c r="T46" t="e">
        <f ca="1"/>
        <v>#NAME?</v>
      </c>
      <c r="U46" t="e">
        <f ca="1"/>
        <v>#NAME?</v>
      </c>
      <c r="V46" t="e">
        <f ca="1"/>
        <v>#NAME?</v>
      </c>
      <c r="W46" t="e">
        <f ca="1"/>
        <v>#NAME?</v>
      </c>
      <c r="X46" t="e">
        <f ca="1"/>
        <v>#NAME?</v>
      </c>
      <c r="Y46" t="e">
        <f ca="1"/>
        <v>#NAME?</v>
      </c>
      <c r="Z46" t="e">
        <f ca="1"/>
        <v>#NAME?</v>
      </c>
      <c r="AA46" t="e">
        <f ca="1"/>
        <v>#NAME?</v>
      </c>
      <c r="AB46" t="e">
        <f ca="1"/>
        <v>#NAME?</v>
      </c>
      <c r="AD46" s="2">
        <f t="shared" ca="1" si="2"/>
        <v>0</v>
      </c>
      <c r="AE46" s="46">
        <f t="shared" ca="1" si="3"/>
        <v>0</v>
      </c>
      <c r="AG46" s="72" t="e">
        <f t="shared" ca="1" si="7"/>
        <v>#NAME?</v>
      </c>
      <c r="AH46" s="72" t="e">
        <f t="shared" ca="1" si="8"/>
        <v>#NAME?</v>
      </c>
      <c r="AI46" s="3" t="e">
        <f t="shared" ca="1" si="9"/>
        <v>#NAME?</v>
      </c>
    </row>
    <row r="47" spans="1:35" x14ac:dyDescent="0.25">
      <c r="A47" s="8" t="s">
        <v>180</v>
      </c>
      <c r="B47" t="str">
        <f>FollowingResidueIncorporation</f>
        <v>Full (Plough)</v>
      </c>
      <c r="G47" s="3">
        <f t="shared" ca="1" si="4"/>
        <v>28</v>
      </c>
      <c r="H47" s="105">
        <f t="shared" ca="1" si="6"/>
        <v>44953</v>
      </c>
      <c r="I47" s="132" t="e">
        <f>HLOOKUP($H$4,'Met Data'!$A$2:$F$368,G47,FALSE)</f>
        <v>#N/A</v>
      </c>
      <c r="J47" s="132" t="e">
        <f ca="1">HLOOKUP($H$4,'Met Data'!$H$2:$M$368,G47,FALSE)*L47</f>
        <v>#N/A</v>
      </c>
      <c r="K47" s="106" t="e">
        <f>HLOOKUP($H$4,'Met Data'!$O$2:$T$368,G47,FALSE)</f>
        <v>#N/A</v>
      </c>
      <c r="L47">
        <f t="shared" ca="1" si="0"/>
        <v>1</v>
      </c>
      <c r="N47" t="e">
        <f t="shared" ca="1" si="5"/>
        <v>#NAME?</v>
      </c>
      <c r="O47" t="e">
        <f t="shared" ca="1" si="1"/>
        <v>#NAME?</v>
      </c>
      <c r="P47" s="2" t="e">
        <f ca="1"/>
        <v>#NAME?</v>
      </c>
      <c r="Q47" t="e">
        <f ca="1"/>
        <v>#NAME?</v>
      </c>
      <c r="R47" t="e">
        <f ca="1"/>
        <v>#NAME?</v>
      </c>
      <c r="S47" t="e">
        <f ca="1"/>
        <v>#NAME?</v>
      </c>
      <c r="T47" t="e">
        <f ca="1"/>
        <v>#NAME?</v>
      </c>
      <c r="U47" t="e">
        <f ca="1"/>
        <v>#NAME?</v>
      </c>
      <c r="V47" t="e">
        <f ca="1"/>
        <v>#NAME?</v>
      </c>
      <c r="W47" t="e">
        <f ca="1"/>
        <v>#NAME?</v>
      </c>
      <c r="X47" t="e">
        <f ca="1"/>
        <v>#NAME?</v>
      </c>
      <c r="Y47" t="e">
        <f ca="1"/>
        <v>#NAME?</v>
      </c>
      <c r="Z47" t="e">
        <f ca="1"/>
        <v>#NAME?</v>
      </c>
      <c r="AA47" t="e">
        <f ca="1"/>
        <v>#NAME?</v>
      </c>
      <c r="AB47" t="e">
        <f ca="1"/>
        <v>#NAME?</v>
      </c>
      <c r="AD47" s="2">
        <f t="shared" ca="1" si="2"/>
        <v>0</v>
      </c>
      <c r="AE47" s="46">
        <f t="shared" ca="1" si="3"/>
        <v>0</v>
      </c>
      <c r="AG47" s="72" t="e">
        <f t="shared" ca="1" si="7"/>
        <v>#NAME?</v>
      </c>
      <c r="AH47" s="72" t="e">
        <f t="shared" ca="1" si="8"/>
        <v>#NAME?</v>
      </c>
      <c r="AI47" s="3" t="e">
        <f t="shared" ca="1" si="9"/>
        <v>#NAME?</v>
      </c>
    </row>
    <row r="48" spans="1:35" x14ac:dyDescent="0.25">
      <c r="A48" s="14"/>
      <c r="B48" s="15"/>
      <c r="G48" s="3">
        <f t="shared" ca="1" si="4"/>
        <v>29</v>
      </c>
      <c r="H48" s="105">
        <f t="shared" ca="1" si="6"/>
        <v>44954</v>
      </c>
      <c r="I48" s="132" t="e">
        <f>HLOOKUP($H$4,'Met Data'!$A$2:$F$368,G48,FALSE)</f>
        <v>#N/A</v>
      </c>
      <c r="J48" s="132" t="e">
        <f ca="1">HLOOKUP($H$4,'Met Data'!$H$2:$M$368,G48,FALSE)*L48</f>
        <v>#N/A</v>
      </c>
      <c r="K48" s="106" t="e">
        <f>HLOOKUP($H$4,'Met Data'!$O$2:$T$368,G48,FALSE)</f>
        <v>#N/A</v>
      </c>
      <c r="L48">
        <f t="shared" ca="1" si="0"/>
        <v>1</v>
      </c>
      <c r="N48" t="e">
        <f t="shared" ca="1" si="5"/>
        <v>#NAME?</v>
      </c>
      <c r="O48" t="e">
        <f t="shared" ca="1" si="1"/>
        <v>#NAME?</v>
      </c>
      <c r="P48" s="2" t="e">
        <f ca="1"/>
        <v>#NAME?</v>
      </c>
      <c r="Q48" t="e">
        <f ca="1"/>
        <v>#NAME?</v>
      </c>
      <c r="R48" t="e">
        <f ca="1"/>
        <v>#NAME?</v>
      </c>
      <c r="S48" t="e">
        <f ca="1"/>
        <v>#NAME?</v>
      </c>
      <c r="T48" t="e">
        <f ca="1"/>
        <v>#NAME?</v>
      </c>
      <c r="U48" t="e">
        <f ca="1"/>
        <v>#NAME?</v>
      </c>
      <c r="V48" t="e">
        <f ca="1"/>
        <v>#NAME?</v>
      </c>
      <c r="W48" t="e">
        <f ca="1"/>
        <v>#NAME?</v>
      </c>
      <c r="X48" t="e">
        <f ca="1"/>
        <v>#NAME?</v>
      </c>
      <c r="Y48" t="e">
        <f ca="1"/>
        <v>#NAME?</v>
      </c>
      <c r="Z48" t="e">
        <f ca="1"/>
        <v>#NAME?</v>
      </c>
      <c r="AA48" t="e">
        <f ca="1"/>
        <v>#NAME?</v>
      </c>
      <c r="AB48" t="e">
        <f ca="1"/>
        <v>#NAME?</v>
      </c>
      <c r="AD48" s="2">
        <f t="shared" ca="1" si="2"/>
        <v>0</v>
      </c>
      <c r="AE48" s="46">
        <f t="shared" ca="1" si="3"/>
        <v>0</v>
      </c>
      <c r="AG48" s="72" t="e">
        <f t="shared" ca="1" si="7"/>
        <v>#NAME?</v>
      </c>
      <c r="AH48" s="72" t="e">
        <f t="shared" ca="1" si="8"/>
        <v>#NAME?</v>
      </c>
      <c r="AI48" s="3" t="e">
        <f t="shared" ca="1" si="9"/>
        <v>#NAME?</v>
      </c>
    </row>
    <row r="49" spans="1:35" ht="15.75" thickBot="1" x14ac:dyDescent="0.3">
      <c r="A49" s="16"/>
      <c r="B49" s="17"/>
      <c r="G49" s="3">
        <f t="shared" ca="1" si="4"/>
        <v>30</v>
      </c>
      <c r="H49" s="105">
        <f t="shared" ca="1" si="6"/>
        <v>44955</v>
      </c>
      <c r="I49" s="132" t="e">
        <f>HLOOKUP($H$4,'Met Data'!$A$2:$F$368,G49,FALSE)</f>
        <v>#N/A</v>
      </c>
      <c r="J49" s="132" t="e">
        <f ca="1">HLOOKUP($H$4,'Met Data'!$H$2:$M$368,G49,FALSE)*L49</f>
        <v>#N/A</v>
      </c>
      <c r="K49" s="106" t="e">
        <f>HLOOKUP($H$4,'Met Data'!$O$2:$T$368,G49,FALSE)</f>
        <v>#N/A</v>
      </c>
      <c r="L49">
        <f t="shared" ca="1" si="0"/>
        <v>1</v>
      </c>
      <c r="N49" t="e">
        <f t="shared" ca="1" si="5"/>
        <v>#NAME?</v>
      </c>
      <c r="O49" t="e">
        <f t="shared" ca="1" si="1"/>
        <v>#NAME?</v>
      </c>
      <c r="P49" s="2" t="e">
        <f ca="1"/>
        <v>#NAME?</v>
      </c>
      <c r="Q49" t="e">
        <f ca="1"/>
        <v>#NAME?</v>
      </c>
      <c r="R49" t="e">
        <f ca="1"/>
        <v>#NAME?</v>
      </c>
      <c r="S49" t="e">
        <f ca="1"/>
        <v>#NAME?</v>
      </c>
      <c r="T49" t="e">
        <f ca="1"/>
        <v>#NAME?</v>
      </c>
      <c r="U49" t="e">
        <f ca="1"/>
        <v>#NAME?</v>
      </c>
      <c r="V49" t="e">
        <f ca="1"/>
        <v>#NAME?</v>
      </c>
      <c r="W49" t="e">
        <f ca="1"/>
        <v>#NAME?</v>
      </c>
      <c r="X49" t="e">
        <f ca="1"/>
        <v>#NAME?</v>
      </c>
      <c r="Y49" t="e">
        <f ca="1"/>
        <v>#NAME?</v>
      </c>
      <c r="Z49" t="e">
        <f ca="1"/>
        <v>#NAME?</v>
      </c>
      <c r="AA49" t="e">
        <f ca="1"/>
        <v>#NAME?</v>
      </c>
      <c r="AB49" t="e">
        <f ca="1"/>
        <v>#NAME?</v>
      </c>
      <c r="AD49" s="2">
        <f t="shared" ca="1" si="2"/>
        <v>0</v>
      </c>
      <c r="AE49" s="46">
        <f t="shared" ca="1" si="3"/>
        <v>0</v>
      </c>
      <c r="AG49" s="72" t="e">
        <f t="shared" ca="1" si="7"/>
        <v>#NAME?</v>
      </c>
      <c r="AH49" s="72" t="e">
        <f t="shared" ca="1" si="8"/>
        <v>#NAME?</v>
      </c>
      <c r="AI49" s="3" t="e">
        <f t="shared" ca="1" si="9"/>
        <v>#NAME?</v>
      </c>
    </row>
    <row r="50" spans="1:35" x14ac:dyDescent="0.25">
      <c r="G50" s="3">
        <f t="shared" ca="1" si="4"/>
        <v>31</v>
      </c>
      <c r="H50" s="105">
        <f t="shared" ca="1" si="6"/>
        <v>44956</v>
      </c>
      <c r="I50" s="132" t="e">
        <f>HLOOKUP($H$4,'Met Data'!$A$2:$F$368,G50,FALSE)</f>
        <v>#N/A</v>
      </c>
      <c r="J50" s="132" t="e">
        <f ca="1">HLOOKUP($H$4,'Met Data'!$H$2:$M$368,G50,FALSE)*L50</f>
        <v>#N/A</v>
      </c>
      <c r="K50" s="106" t="e">
        <f>HLOOKUP($H$4,'Met Data'!$O$2:$T$368,G50,FALSE)</f>
        <v>#N/A</v>
      </c>
      <c r="L50">
        <f t="shared" ca="1" si="0"/>
        <v>1</v>
      </c>
      <c r="N50" t="e">
        <f t="shared" ca="1" si="5"/>
        <v>#NAME?</v>
      </c>
      <c r="O50" t="e">
        <f t="shared" ca="1" si="1"/>
        <v>#NAME?</v>
      </c>
      <c r="P50" s="2" t="e">
        <f ca="1"/>
        <v>#NAME?</v>
      </c>
      <c r="Q50" t="e">
        <f ca="1"/>
        <v>#NAME?</v>
      </c>
      <c r="R50" t="e">
        <f ca="1"/>
        <v>#NAME?</v>
      </c>
      <c r="S50" t="e">
        <f ca="1"/>
        <v>#NAME?</v>
      </c>
      <c r="T50" t="e">
        <f ca="1"/>
        <v>#NAME?</v>
      </c>
      <c r="U50" t="e">
        <f ca="1"/>
        <v>#NAME?</v>
      </c>
      <c r="V50" t="e">
        <f ca="1"/>
        <v>#NAME?</v>
      </c>
      <c r="W50" t="e">
        <f ca="1"/>
        <v>#NAME?</v>
      </c>
      <c r="X50" t="e">
        <f ca="1"/>
        <v>#NAME?</v>
      </c>
      <c r="Y50" t="e">
        <f ca="1"/>
        <v>#NAME?</v>
      </c>
      <c r="Z50" t="e">
        <f ca="1"/>
        <v>#NAME?</v>
      </c>
      <c r="AA50" t="e">
        <f ca="1"/>
        <v>#NAME?</v>
      </c>
      <c r="AB50" t="e">
        <f ca="1"/>
        <v>#NAME?</v>
      </c>
      <c r="AD50" s="2">
        <f t="shared" ca="1" si="2"/>
        <v>0</v>
      </c>
      <c r="AE50" s="46">
        <f t="shared" ca="1" si="3"/>
        <v>0</v>
      </c>
      <c r="AG50" s="72" t="e">
        <f t="shared" ca="1" si="7"/>
        <v>#NAME?</v>
      </c>
      <c r="AH50" s="72" t="e">
        <f t="shared" ca="1" si="8"/>
        <v>#NAME?</v>
      </c>
      <c r="AI50" s="3" t="e">
        <f t="shared" ca="1" si="9"/>
        <v>#NAME?</v>
      </c>
    </row>
    <row r="51" spans="1:35" x14ac:dyDescent="0.25">
      <c r="G51" s="3">
        <f t="shared" ca="1" si="4"/>
        <v>32</v>
      </c>
      <c r="H51" s="105">
        <f t="shared" ca="1" si="6"/>
        <v>44957</v>
      </c>
      <c r="I51" s="132" t="e">
        <f>HLOOKUP($H$4,'Met Data'!$A$2:$F$368,G51,FALSE)</f>
        <v>#N/A</v>
      </c>
      <c r="J51" s="132" t="e">
        <f ca="1">HLOOKUP($H$4,'Met Data'!$H$2:$M$368,G51,FALSE)*L51</f>
        <v>#N/A</v>
      </c>
      <c r="K51" s="106" t="e">
        <f>HLOOKUP($H$4,'Met Data'!$O$2:$T$368,G51,FALSE)</f>
        <v>#N/A</v>
      </c>
      <c r="L51">
        <f t="shared" ca="1" si="0"/>
        <v>1</v>
      </c>
      <c r="N51" t="e">
        <f t="shared" ca="1" si="5"/>
        <v>#NAME?</v>
      </c>
      <c r="O51" t="e">
        <f t="shared" ca="1" si="1"/>
        <v>#NAME?</v>
      </c>
      <c r="P51" s="2" t="e">
        <f ca="1"/>
        <v>#NAME?</v>
      </c>
      <c r="Q51" t="e">
        <f ca="1"/>
        <v>#NAME?</v>
      </c>
      <c r="R51" t="e">
        <f ca="1"/>
        <v>#NAME?</v>
      </c>
      <c r="S51" t="e">
        <f ca="1"/>
        <v>#NAME?</v>
      </c>
      <c r="T51" t="e">
        <f ca="1"/>
        <v>#NAME?</v>
      </c>
      <c r="U51" t="e">
        <f ca="1"/>
        <v>#NAME?</v>
      </c>
      <c r="V51" t="e">
        <f ca="1"/>
        <v>#NAME?</v>
      </c>
      <c r="W51" t="e">
        <f ca="1"/>
        <v>#NAME?</v>
      </c>
      <c r="X51" t="e">
        <f ca="1"/>
        <v>#NAME?</v>
      </c>
      <c r="Y51" t="e">
        <f ca="1"/>
        <v>#NAME?</v>
      </c>
      <c r="Z51" t="e">
        <f ca="1"/>
        <v>#NAME?</v>
      </c>
      <c r="AA51" t="e">
        <f ca="1"/>
        <v>#NAME?</v>
      </c>
      <c r="AB51" t="e">
        <f ca="1"/>
        <v>#NAME?</v>
      </c>
      <c r="AD51" s="2">
        <f t="shared" ca="1" si="2"/>
        <v>0</v>
      </c>
      <c r="AE51" s="46">
        <f t="shared" ca="1" si="3"/>
        <v>0</v>
      </c>
      <c r="AG51" s="72" t="e">
        <f t="shared" ca="1" si="7"/>
        <v>#NAME?</v>
      </c>
      <c r="AH51" s="72" t="e">
        <f t="shared" ca="1" si="8"/>
        <v>#NAME?</v>
      </c>
      <c r="AI51" s="3" t="e">
        <f t="shared" ca="1" si="9"/>
        <v>#NAME?</v>
      </c>
    </row>
    <row r="52" spans="1:35" x14ac:dyDescent="0.25">
      <c r="G52" s="3">
        <f t="shared" ca="1" si="4"/>
        <v>33</v>
      </c>
      <c r="H52" s="105">
        <f t="shared" ca="1" si="6"/>
        <v>44958</v>
      </c>
      <c r="I52" s="132" t="e">
        <f>HLOOKUP($H$4,'Met Data'!$A$2:$F$368,G52,FALSE)</f>
        <v>#N/A</v>
      </c>
      <c r="J52" s="132" t="e">
        <f ca="1">HLOOKUP($H$4,'Met Data'!$H$2:$M$368,G52,FALSE)*L52</f>
        <v>#N/A</v>
      </c>
      <c r="K52" s="106" t="e">
        <f>HLOOKUP($H$4,'Met Data'!$O$2:$T$368,G52,FALSE)</f>
        <v>#N/A</v>
      </c>
      <c r="L52">
        <f t="shared" ca="1" si="0"/>
        <v>1</v>
      </c>
      <c r="N52" t="e">
        <f t="shared" ca="1" si="5"/>
        <v>#NAME?</v>
      </c>
      <c r="O52" t="e">
        <f t="shared" ca="1" si="1"/>
        <v>#NAME?</v>
      </c>
      <c r="P52" s="2" t="e">
        <f ca="1"/>
        <v>#NAME?</v>
      </c>
      <c r="Q52" t="e">
        <f ca="1"/>
        <v>#NAME?</v>
      </c>
      <c r="R52" t="e">
        <f ca="1"/>
        <v>#NAME?</v>
      </c>
      <c r="S52" t="e">
        <f ca="1"/>
        <v>#NAME?</v>
      </c>
      <c r="T52" t="e">
        <f ca="1"/>
        <v>#NAME?</v>
      </c>
      <c r="U52" t="e">
        <f ca="1"/>
        <v>#NAME?</v>
      </c>
      <c r="V52" t="e">
        <f ca="1"/>
        <v>#NAME?</v>
      </c>
      <c r="W52" t="e">
        <f ca="1"/>
        <v>#NAME?</v>
      </c>
      <c r="X52" t="e">
        <f ca="1"/>
        <v>#NAME?</v>
      </c>
      <c r="Y52" t="e">
        <f ca="1"/>
        <v>#NAME?</v>
      </c>
      <c r="Z52" t="e">
        <f ca="1"/>
        <v>#NAME?</v>
      </c>
      <c r="AA52" t="e">
        <f ca="1"/>
        <v>#NAME?</v>
      </c>
      <c r="AB52" t="e">
        <f ca="1"/>
        <v>#NAME?</v>
      </c>
      <c r="AD52" s="2">
        <f t="shared" ca="1" si="2"/>
        <v>0</v>
      </c>
      <c r="AE52" s="46">
        <f t="shared" ca="1" si="3"/>
        <v>0</v>
      </c>
      <c r="AG52" s="72" t="e">
        <f t="shared" ca="1" si="7"/>
        <v>#NAME?</v>
      </c>
      <c r="AH52" s="72" t="e">
        <f t="shared" ca="1" si="8"/>
        <v>#NAME?</v>
      </c>
      <c r="AI52" s="3" t="e">
        <f t="shared" ca="1" si="9"/>
        <v>#NAME?</v>
      </c>
    </row>
    <row r="53" spans="1:35" x14ac:dyDescent="0.25">
      <c r="G53" s="3">
        <f t="shared" ca="1" si="4"/>
        <v>34</v>
      </c>
      <c r="H53" s="105">
        <f t="shared" ca="1" si="6"/>
        <v>44959</v>
      </c>
      <c r="I53" s="132" t="e">
        <f>HLOOKUP($H$4,'Met Data'!$A$2:$F$368,G53,FALSE)</f>
        <v>#N/A</v>
      </c>
      <c r="J53" s="132" t="e">
        <f ca="1">HLOOKUP($H$4,'Met Data'!$H$2:$M$368,G53,FALSE)*L53</f>
        <v>#N/A</v>
      </c>
      <c r="K53" s="106" t="e">
        <f>HLOOKUP($H$4,'Met Data'!$O$2:$T$368,G53,FALSE)</f>
        <v>#N/A</v>
      </c>
      <c r="L53">
        <f t="shared" ca="1" si="0"/>
        <v>1</v>
      </c>
      <c r="N53" t="e">
        <f t="shared" ca="1" si="5"/>
        <v>#NAME?</v>
      </c>
      <c r="O53" t="e">
        <f t="shared" ca="1" si="1"/>
        <v>#NAME?</v>
      </c>
      <c r="P53" s="2" t="e">
        <f ca="1"/>
        <v>#NAME?</v>
      </c>
      <c r="Q53" t="e">
        <f ca="1"/>
        <v>#NAME?</v>
      </c>
      <c r="R53" t="e">
        <f ca="1"/>
        <v>#NAME?</v>
      </c>
      <c r="S53" t="e">
        <f ca="1"/>
        <v>#NAME?</v>
      </c>
      <c r="T53" t="e">
        <f ca="1"/>
        <v>#NAME?</v>
      </c>
      <c r="U53" t="e">
        <f ca="1"/>
        <v>#NAME?</v>
      </c>
      <c r="V53" t="e">
        <f ca="1"/>
        <v>#NAME?</v>
      </c>
      <c r="W53" t="e">
        <f ca="1"/>
        <v>#NAME?</v>
      </c>
      <c r="X53" t="e">
        <f ca="1"/>
        <v>#NAME?</v>
      </c>
      <c r="Y53" t="e">
        <f ca="1"/>
        <v>#NAME?</v>
      </c>
      <c r="Z53" t="e">
        <f ca="1"/>
        <v>#NAME?</v>
      </c>
      <c r="AA53" t="e">
        <f ca="1"/>
        <v>#NAME?</v>
      </c>
      <c r="AB53" t="e">
        <f ca="1"/>
        <v>#NAME?</v>
      </c>
      <c r="AD53" s="2">
        <f t="shared" ca="1" si="2"/>
        <v>0</v>
      </c>
      <c r="AE53" s="46">
        <f t="shared" ca="1" si="3"/>
        <v>0</v>
      </c>
      <c r="AG53" s="72" t="e">
        <f t="shared" ca="1" si="7"/>
        <v>#NAME?</v>
      </c>
      <c r="AH53" s="72" t="e">
        <f t="shared" ca="1" si="8"/>
        <v>#NAME?</v>
      </c>
      <c r="AI53" s="3" t="e">
        <f t="shared" ca="1" si="9"/>
        <v>#NAME?</v>
      </c>
    </row>
    <row r="54" spans="1:35" x14ac:dyDescent="0.25">
      <c r="G54" s="3">
        <f t="shared" ca="1" si="4"/>
        <v>35</v>
      </c>
      <c r="H54" s="105">
        <f t="shared" ca="1" si="6"/>
        <v>44960</v>
      </c>
      <c r="I54" s="132" t="e">
        <f>HLOOKUP($H$4,'Met Data'!$A$2:$F$368,G54,FALSE)</f>
        <v>#N/A</v>
      </c>
      <c r="J54" s="132" t="e">
        <f ca="1">HLOOKUP($H$4,'Met Data'!$H$2:$M$368,G54,FALSE)*L54</f>
        <v>#N/A</v>
      </c>
      <c r="K54" s="106" t="e">
        <f>HLOOKUP($H$4,'Met Data'!$O$2:$T$368,G54,FALSE)</f>
        <v>#N/A</v>
      </c>
      <c r="L54">
        <f t="shared" ca="1" si="0"/>
        <v>1</v>
      </c>
      <c r="N54" t="e">
        <f t="shared" ca="1" si="5"/>
        <v>#NAME?</v>
      </c>
      <c r="O54" t="e">
        <f t="shared" ca="1" si="1"/>
        <v>#NAME?</v>
      </c>
      <c r="P54" s="2" t="e">
        <f ca="1"/>
        <v>#NAME?</v>
      </c>
      <c r="Q54" t="e">
        <f ca="1"/>
        <v>#NAME?</v>
      </c>
      <c r="R54" t="e">
        <f ca="1"/>
        <v>#NAME?</v>
      </c>
      <c r="S54" t="e">
        <f ca="1"/>
        <v>#NAME?</v>
      </c>
      <c r="T54" t="e">
        <f ca="1"/>
        <v>#NAME?</v>
      </c>
      <c r="U54" t="e">
        <f ca="1"/>
        <v>#NAME?</v>
      </c>
      <c r="V54" t="e">
        <f ca="1"/>
        <v>#NAME?</v>
      </c>
      <c r="W54" t="e">
        <f ca="1"/>
        <v>#NAME?</v>
      </c>
      <c r="X54" t="e">
        <f ca="1"/>
        <v>#NAME?</v>
      </c>
      <c r="Y54" t="e">
        <f ca="1"/>
        <v>#NAME?</v>
      </c>
      <c r="Z54" t="e">
        <f ca="1"/>
        <v>#NAME?</v>
      </c>
      <c r="AA54" t="e">
        <f ca="1"/>
        <v>#NAME?</v>
      </c>
      <c r="AB54" t="e">
        <f ca="1"/>
        <v>#NAME?</v>
      </c>
      <c r="AD54" s="2">
        <f t="shared" ca="1" si="2"/>
        <v>0</v>
      </c>
      <c r="AE54" s="46">
        <f t="shared" ca="1" si="3"/>
        <v>0</v>
      </c>
      <c r="AG54" s="72" t="e">
        <f t="shared" ca="1" si="7"/>
        <v>#NAME?</v>
      </c>
      <c r="AH54" s="72" t="e">
        <f t="shared" ca="1" si="8"/>
        <v>#NAME?</v>
      </c>
      <c r="AI54" s="3" t="e">
        <f t="shared" ca="1" si="9"/>
        <v>#NAME?</v>
      </c>
    </row>
    <row r="55" spans="1:35" x14ac:dyDescent="0.25">
      <c r="G55" s="3">
        <f t="shared" ca="1" si="4"/>
        <v>36</v>
      </c>
      <c r="H55" s="105">
        <f t="shared" ca="1" si="6"/>
        <v>44961</v>
      </c>
      <c r="I55" s="132" t="e">
        <f>HLOOKUP($H$4,'Met Data'!$A$2:$F$368,G55,FALSE)</f>
        <v>#N/A</v>
      </c>
      <c r="J55" s="132" t="e">
        <f ca="1">HLOOKUP($H$4,'Met Data'!$H$2:$M$368,G55,FALSE)*L55</f>
        <v>#N/A</v>
      </c>
      <c r="K55" s="106" t="e">
        <f>HLOOKUP($H$4,'Met Data'!$O$2:$T$368,G55,FALSE)</f>
        <v>#N/A</v>
      </c>
      <c r="L55">
        <f t="shared" ca="1" si="0"/>
        <v>1</v>
      </c>
      <c r="N55" t="e">
        <f t="shared" ca="1" si="5"/>
        <v>#NAME?</v>
      </c>
      <c r="O55" t="e">
        <f t="shared" ca="1" si="1"/>
        <v>#NAME?</v>
      </c>
      <c r="P55" s="2" t="e">
        <f ca="1"/>
        <v>#NAME?</v>
      </c>
      <c r="Q55" t="e">
        <f ca="1"/>
        <v>#NAME?</v>
      </c>
      <c r="R55" t="e">
        <f ca="1"/>
        <v>#NAME?</v>
      </c>
      <c r="S55" t="e">
        <f ca="1"/>
        <v>#NAME?</v>
      </c>
      <c r="T55" t="e">
        <f ca="1"/>
        <v>#NAME?</v>
      </c>
      <c r="U55" t="e">
        <f ca="1"/>
        <v>#NAME?</v>
      </c>
      <c r="V55" t="e">
        <f ca="1"/>
        <v>#NAME?</v>
      </c>
      <c r="W55" t="e">
        <f ca="1"/>
        <v>#NAME?</v>
      </c>
      <c r="X55" t="e">
        <f ca="1"/>
        <v>#NAME?</v>
      </c>
      <c r="Y55" t="e">
        <f ca="1"/>
        <v>#NAME?</v>
      </c>
      <c r="Z55" t="e">
        <f ca="1"/>
        <v>#NAME?</v>
      </c>
      <c r="AA55" t="e">
        <f ca="1"/>
        <v>#NAME?</v>
      </c>
      <c r="AB55" t="e">
        <f ca="1"/>
        <v>#NAME?</v>
      </c>
      <c r="AD55" s="2">
        <f t="shared" ca="1" si="2"/>
        <v>0</v>
      </c>
      <c r="AE55" s="46">
        <f t="shared" ca="1" si="3"/>
        <v>0</v>
      </c>
      <c r="AG55" s="72" t="e">
        <f t="shared" ca="1" si="7"/>
        <v>#NAME?</v>
      </c>
      <c r="AH55" s="72" t="e">
        <f t="shared" ca="1" si="8"/>
        <v>#NAME?</v>
      </c>
      <c r="AI55" s="3" t="e">
        <f t="shared" ca="1" si="9"/>
        <v>#NAME?</v>
      </c>
    </row>
    <row r="56" spans="1:35" x14ac:dyDescent="0.25">
      <c r="G56" s="3">
        <f t="shared" ca="1" si="4"/>
        <v>37</v>
      </c>
      <c r="H56" s="105">
        <f t="shared" ca="1" si="6"/>
        <v>44962</v>
      </c>
      <c r="I56" s="132" t="e">
        <f>HLOOKUP($H$4,'Met Data'!$A$2:$F$368,G56,FALSE)</f>
        <v>#N/A</v>
      </c>
      <c r="J56" s="132" t="e">
        <f ca="1">HLOOKUP($H$4,'Met Data'!$H$2:$M$368,G56,FALSE)*L56</f>
        <v>#N/A</v>
      </c>
      <c r="K56" s="106" t="e">
        <f>HLOOKUP($H$4,'Met Data'!$O$2:$T$368,G56,FALSE)</f>
        <v>#N/A</v>
      </c>
      <c r="L56">
        <f t="shared" ca="1" si="0"/>
        <v>1</v>
      </c>
      <c r="N56" t="e">
        <f t="shared" ca="1" si="5"/>
        <v>#NAME?</v>
      </c>
      <c r="O56" t="e">
        <f t="shared" ca="1" si="1"/>
        <v>#NAME?</v>
      </c>
      <c r="P56" s="2" t="e">
        <f ca="1"/>
        <v>#NAME?</v>
      </c>
      <c r="Q56" t="e">
        <f ca="1"/>
        <v>#NAME?</v>
      </c>
      <c r="R56" t="e">
        <f ca="1"/>
        <v>#NAME?</v>
      </c>
      <c r="S56" t="e">
        <f ca="1"/>
        <v>#NAME?</v>
      </c>
      <c r="T56" t="e">
        <f ca="1"/>
        <v>#NAME?</v>
      </c>
      <c r="U56" t="e">
        <f ca="1"/>
        <v>#NAME?</v>
      </c>
      <c r="V56" t="e">
        <f ca="1"/>
        <v>#NAME?</v>
      </c>
      <c r="W56" t="e">
        <f ca="1"/>
        <v>#NAME?</v>
      </c>
      <c r="X56" t="e">
        <f ca="1"/>
        <v>#NAME?</v>
      </c>
      <c r="Y56" t="e">
        <f ca="1"/>
        <v>#NAME?</v>
      </c>
      <c r="Z56" t="e">
        <f ca="1"/>
        <v>#NAME?</v>
      </c>
      <c r="AA56" t="e">
        <f ca="1"/>
        <v>#NAME?</v>
      </c>
      <c r="AB56" t="e">
        <f ca="1"/>
        <v>#NAME?</v>
      </c>
      <c r="AD56" s="2">
        <f t="shared" ca="1" si="2"/>
        <v>0</v>
      </c>
      <c r="AE56" s="46">
        <f t="shared" ca="1" si="3"/>
        <v>0</v>
      </c>
      <c r="AG56" s="72" t="e">
        <f t="shared" ca="1" si="7"/>
        <v>#NAME?</v>
      </c>
      <c r="AH56" s="72" t="e">
        <f t="shared" ca="1" si="8"/>
        <v>#NAME?</v>
      </c>
      <c r="AI56" s="3" t="e">
        <f t="shared" ca="1" si="9"/>
        <v>#NAME?</v>
      </c>
    </row>
    <row r="57" spans="1:35" x14ac:dyDescent="0.25">
      <c r="A57" s="1"/>
      <c r="B57" s="1"/>
      <c r="G57" s="3">
        <f t="shared" ca="1" si="4"/>
        <v>38</v>
      </c>
      <c r="H57" s="105">
        <f t="shared" ca="1" si="6"/>
        <v>44963</v>
      </c>
      <c r="I57" s="132" t="e">
        <f>HLOOKUP($H$4,'Met Data'!$A$2:$F$368,G57,FALSE)</f>
        <v>#N/A</v>
      </c>
      <c r="J57" s="132" t="e">
        <f ca="1">HLOOKUP($H$4,'Met Data'!$H$2:$M$368,G57,FALSE)*L57</f>
        <v>#N/A</v>
      </c>
      <c r="K57" s="106" t="e">
        <f>HLOOKUP($H$4,'Met Data'!$O$2:$T$368,G57,FALSE)</f>
        <v>#N/A</v>
      </c>
      <c r="L57">
        <f t="shared" ca="1" si="0"/>
        <v>1</v>
      </c>
      <c r="N57" t="e">
        <f t="shared" ca="1" si="5"/>
        <v>#NAME?</v>
      </c>
      <c r="O57" t="e">
        <f t="shared" ca="1" si="1"/>
        <v>#NAME?</v>
      </c>
      <c r="P57" s="2" t="e">
        <f ca="1"/>
        <v>#NAME?</v>
      </c>
      <c r="Q57" t="e">
        <f ca="1"/>
        <v>#NAME?</v>
      </c>
      <c r="R57" t="e">
        <f ca="1"/>
        <v>#NAME?</v>
      </c>
      <c r="S57" t="e">
        <f ca="1"/>
        <v>#NAME?</v>
      </c>
      <c r="T57" t="e">
        <f ca="1"/>
        <v>#NAME?</v>
      </c>
      <c r="U57" t="e">
        <f ca="1"/>
        <v>#NAME?</v>
      </c>
      <c r="V57" t="e">
        <f ca="1"/>
        <v>#NAME?</v>
      </c>
      <c r="W57" t="e">
        <f ca="1"/>
        <v>#NAME?</v>
      </c>
      <c r="X57" t="e">
        <f ca="1"/>
        <v>#NAME?</v>
      </c>
      <c r="Y57" t="e">
        <f ca="1"/>
        <v>#NAME?</v>
      </c>
      <c r="Z57" t="e">
        <f ca="1"/>
        <v>#NAME?</v>
      </c>
      <c r="AA57" t="e">
        <f ca="1"/>
        <v>#NAME?</v>
      </c>
      <c r="AB57" t="e">
        <f ca="1"/>
        <v>#NAME?</v>
      </c>
      <c r="AD57" s="2">
        <f t="shared" ca="1" si="2"/>
        <v>0</v>
      </c>
      <c r="AE57" s="46">
        <f t="shared" ca="1" si="3"/>
        <v>0</v>
      </c>
      <c r="AG57" s="72" t="e">
        <f t="shared" ca="1" si="7"/>
        <v>#NAME?</v>
      </c>
      <c r="AH57" s="72" t="e">
        <f t="shared" ca="1" si="8"/>
        <v>#NAME?</v>
      </c>
      <c r="AI57" s="3" t="e">
        <f t="shared" ca="1" si="9"/>
        <v>#NAME?</v>
      </c>
    </row>
    <row r="58" spans="1:35" x14ac:dyDescent="0.25">
      <c r="G58" s="3">
        <f t="shared" ca="1" si="4"/>
        <v>39</v>
      </c>
      <c r="H58" s="105">
        <f t="shared" ca="1" si="6"/>
        <v>44964</v>
      </c>
      <c r="I58" s="132" t="e">
        <f>HLOOKUP($H$4,'Met Data'!$A$2:$F$368,G58,FALSE)</f>
        <v>#N/A</v>
      </c>
      <c r="J58" s="132" t="e">
        <f ca="1">HLOOKUP($H$4,'Met Data'!$H$2:$M$368,G58,FALSE)*L58</f>
        <v>#N/A</v>
      </c>
      <c r="K58" s="106" t="e">
        <f>HLOOKUP($H$4,'Met Data'!$O$2:$T$368,G58,FALSE)</f>
        <v>#N/A</v>
      </c>
      <c r="L58">
        <f t="shared" ca="1" si="0"/>
        <v>1</v>
      </c>
      <c r="N58" t="e">
        <f t="shared" ca="1" si="5"/>
        <v>#NAME?</v>
      </c>
      <c r="O58" t="e">
        <f t="shared" ca="1" si="1"/>
        <v>#NAME?</v>
      </c>
      <c r="P58" s="2" t="e">
        <f ca="1"/>
        <v>#NAME?</v>
      </c>
      <c r="Q58" t="e">
        <f ca="1"/>
        <v>#NAME?</v>
      </c>
      <c r="R58" t="e">
        <f ca="1"/>
        <v>#NAME?</v>
      </c>
      <c r="S58" t="e">
        <f ca="1"/>
        <v>#NAME?</v>
      </c>
      <c r="T58" t="e">
        <f ca="1"/>
        <v>#NAME?</v>
      </c>
      <c r="U58" t="e">
        <f ca="1"/>
        <v>#NAME?</v>
      </c>
      <c r="V58" t="e">
        <f ca="1"/>
        <v>#NAME?</v>
      </c>
      <c r="W58" t="e">
        <f ca="1"/>
        <v>#NAME?</v>
      </c>
      <c r="X58" t="e">
        <f ca="1"/>
        <v>#NAME?</v>
      </c>
      <c r="Y58" t="e">
        <f ca="1"/>
        <v>#NAME?</v>
      </c>
      <c r="Z58" t="e">
        <f ca="1"/>
        <v>#NAME?</v>
      </c>
      <c r="AA58" t="e">
        <f ca="1"/>
        <v>#NAME?</v>
      </c>
      <c r="AB58" t="e">
        <f ca="1"/>
        <v>#NAME?</v>
      </c>
      <c r="AD58" s="2">
        <f t="shared" ca="1" si="2"/>
        <v>0</v>
      </c>
      <c r="AE58" s="46">
        <f t="shared" ca="1" si="3"/>
        <v>0</v>
      </c>
      <c r="AG58" s="72" t="e">
        <f t="shared" ca="1" si="7"/>
        <v>#NAME?</v>
      </c>
      <c r="AH58" s="72" t="e">
        <f t="shared" ca="1" si="8"/>
        <v>#NAME?</v>
      </c>
      <c r="AI58" s="3" t="e">
        <f t="shared" ca="1" si="9"/>
        <v>#NAME?</v>
      </c>
    </row>
    <row r="59" spans="1:35" x14ac:dyDescent="0.25">
      <c r="G59" s="3">
        <f t="shared" ca="1" si="4"/>
        <v>40</v>
      </c>
      <c r="H59" s="105">
        <f t="shared" ca="1" si="6"/>
        <v>44965</v>
      </c>
      <c r="I59" s="132" t="e">
        <f>HLOOKUP($H$4,'Met Data'!$A$2:$F$368,G59,FALSE)</f>
        <v>#N/A</v>
      </c>
      <c r="J59" s="132" t="e">
        <f ca="1">HLOOKUP($H$4,'Met Data'!$H$2:$M$368,G59,FALSE)*L59</f>
        <v>#N/A</v>
      </c>
      <c r="K59" s="106" t="e">
        <f>HLOOKUP($H$4,'Met Data'!$O$2:$T$368,G59,FALSE)</f>
        <v>#N/A</v>
      </c>
      <c r="L59">
        <f t="shared" ca="1" si="0"/>
        <v>1</v>
      </c>
      <c r="N59" t="e">
        <f t="shared" ca="1" si="5"/>
        <v>#NAME?</v>
      </c>
      <c r="O59" t="e">
        <f t="shared" ca="1" si="1"/>
        <v>#NAME?</v>
      </c>
      <c r="P59" s="2" t="e">
        <f ca="1"/>
        <v>#NAME?</v>
      </c>
      <c r="Q59" t="e">
        <f ca="1"/>
        <v>#NAME?</v>
      </c>
      <c r="R59" t="e">
        <f ca="1"/>
        <v>#NAME?</v>
      </c>
      <c r="S59" t="e">
        <f ca="1"/>
        <v>#NAME?</v>
      </c>
      <c r="T59" t="e">
        <f ca="1"/>
        <v>#NAME?</v>
      </c>
      <c r="U59" t="e">
        <f ca="1"/>
        <v>#NAME?</v>
      </c>
      <c r="V59" t="e">
        <f ca="1"/>
        <v>#NAME?</v>
      </c>
      <c r="W59" t="e">
        <f ca="1"/>
        <v>#NAME?</v>
      </c>
      <c r="X59" t="e">
        <f ca="1"/>
        <v>#NAME?</v>
      </c>
      <c r="Y59" t="e">
        <f ca="1"/>
        <v>#NAME?</v>
      </c>
      <c r="Z59" t="e">
        <f ca="1"/>
        <v>#NAME?</v>
      </c>
      <c r="AA59" t="e">
        <f ca="1"/>
        <v>#NAME?</v>
      </c>
      <c r="AB59" t="e">
        <f ca="1"/>
        <v>#NAME?</v>
      </c>
      <c r="AD59" s="2">
        <f t="shared" ca="1" si="2"/>
        <v>0</v>
      </c>
      <c r="AE59" s="46">
        <f t="shared" ca="1" si="3"/>
        <v>0</v>
      </c>
      <c r="AG59" s="72" t="e">
        <f t="shared" ca="1" si="7"/>
        <v>#NAME?</v>
      </c>
      <c r="AH59" s="72" t="e">
        <f t="shared" ca="1" si="8"/>
        <v>#NAME?</v>
      </c>
      <c r="AI59" s="3" t="e">
        <f t="shared" ca="1" si="9"/>
        <v>#NAME?</v>
      </c>
    </row>
    <row r="60" spans="1:35" x14ac:dyDescent="0.25">
      <c r="G60" s="3">
        <f t="shared" ca="1" si="4"/>
        <v>41</v>
      </c>
      <c r="H60" s="105">
        <f t="shared" ca="1" si="6"/>
        <v>44966</v>
      </c>
      <c r="I60" s="132" t="e">
        <f>HLOOKUP($H$4,'Met Data'!$A$2:$F$368,G60,FALSE)</f>
        <v>#N/A</v>
      </c>
      <c r="J60" s="132" t="e">
        <f ca="1">HLOOKUP($H$4,'Met Data'!$H$2:$M$368,G60,FALSE)*L60</f>
        <v>#N/A</v>
      </c>
      <c r="K60" s="106" t="e">
        <f>HLOOKUP($H$4,'Met Data'!$O$2:$T$368,G60,FALSE)</f>
        <v>#N/A</v>
      </c>
      <c r="L60">
        <f t="shared" ca="1" si="0"/>
        <v>1</v>
      </c>
      <c r="N60" t="e">
        <f t="shared" ca="1" si="5"/>
        <v>#NAME?</v>
      </c>
      <c r="O60" t="e">
        <f t="shared" ca="1" si="1"/>
        <v>#NAME?</v>
      </c>
      <c r="P60" s="2" t="e">
        <f ca="1"/>
        <v>#NAME?</v>
      </c>
      <c r="Q60" t="e">
        <f ca="1"/>
        <v>#NAME?</v>
      </c>
      <c r="R60" t="e">
        <f ca="1"/>
        <v>#NAME?</v>
      </c>
      <c r="S60" t="e">
        <f ca="1"/>
        <v>#NAME?</v>
      </c>
      <c r="T60" t="e">
        <f ca="1"/>
        <v>#NAME?</v>
      </c>
      <c r="U60" t="e">
        <f ca="1"/>
        <v>#NAME?</v>
      </c>
      <c r="V60" t="e">
        <f ca="1"/>
        <v>#NAME?</v>
      </c>
      <c r="W60" t="e">
        <f ca="1"/>
        <v>#NAME?</v>
      </c>
      <c r="X60" t="e">
        <f ca="1"/>
        <v>#NAME?</v>
      </c>
      <c r="Y60" t="e">
        <f ca="1"/>
        <v>#NAME?</v>
      </c>
      <c r="Z60" t="e">
        <f ca="1"/>
        <v>#NAME?</v>
      </c>
      <c r="AA60" t="e">
        <f ca="1"/>
        <v>#NAME?</v>
      </c>
      <c r="AB60" t="e">
        <f ca="1"/>
        <v>#NAME?</v>
      </c>
      <c r="AD60" s="2">
        <f t="shared" ca="1" si="2"/>
        <v>0</v>
      </c>
      <c r="AE60" s="46">
        <f t="shared" ca="1" si="3"/>
        <v>0</v>
      </c>
      <c r="AG60" s="72" t="e">
        <f t="shared" ca="1" si="7"/>
        <v>#NAME?</v>
      </c>
      <c r="AH60" s="72" t="e">
        <f t="shared" ca="1" si="8"/>
        <v>#NAME?</v>
      </c>
      <c r="AI60" s="3" t="e">
        <f t="shared" ca="1" si="9"/>
        <v>#NAME?</v>
      </c>
    </row>
    <row r="61" spans="1:35" x14ac:dyDescent="0.25">
      <c r="G61" s="3">
        <f t="shared" ca="1" si="4"/>
        <v>42</v>
      </c>
      <c r="H61" s="105">
        <f t="shared" ca="1" si="6"/>
        <v>44967</v>
      </c>
      <c r="I61" s="132" t="e">
        <f>HLOOKUP($H$4,'Met Data'!$A$2:$F$368,G61,FALSE)</f>
        <v>#N/A</v>
      </c>
      <c r="J61" s="132" t="e">
        <f ca="1">HLOOKUP($H$4,'Met Data'!$H$2:$M$368,G61,FALSE)*L61</f>
        <v>#N/A</v>
      </c>
      <c r="K61" s="106" t="e">
        <f>HLOOKUP($H$4,'Met Data'!$O$2:$T$368,G61,FALSE)</f>
        <v>#N/A</v>
      </c>
      <c r="L61">
        <f t="shared" ca="1" si="0"/>
        <v>1</v>
      </c>
      <c r="N61" t="e">
        <f t="shared" ca="1" si="5"/>
        <v>#NAME?</v>
      </c>
      <c r="O61" t="e">
        <f t="shared" ca="1" si="1"/>
        <v>#NAME?</v>
      </c>
      <c r="P61" s="2" t="e">
        <f ca="1"/>
        <v>#NAME?</v>
      </c>
      <c r="Q61" t="e">
        <f ca="1"/>
        <v>#NAME?</v>
      </c>
      <c r="R61" t="e">
        <f ca="1"/>
        <v>#NAME?</v>
      </c>
      <c r="S61" t="e">
        <f ca="1"/>
        <v>#NAME?</v>
      </c>
      <c r="T61" t="e">
        <f ca="1"/>
        <v>#NAME?</v>
      </c>
      <c r="U61" t="e">
        <f ca="1"/>
        <v>#NAME?</v>
      </c>
      <c r="V61" t="e">
        <f ca="1"/>
        <v>#NAME?</v>
      </c>
      <c r="W61" t="e">
        <f ca="1"/>
        <v>#NAME?</v>
      </c>
      <c r="X61" t="e">
        <f ca="1"/>
        <v>#NAME?</v>
      </c>
      <c r="Y61" t="e">
        <f ca="1"/>
        <v>#NAME?</v>
      </c>
      <c r="Z61" t="e">
        <f ca="1"/>
        <v>#NAME?</v>
      </c>
      <c r="AA61" t="e">
        <f ca="1"/>
        <v>#NAME?</v>
      </c>
      <c r="AB61" t="e">
        <f ca="1"/>
        <v>#NAME?</v>
      </c>
      <c r="AD61" s="2">
        <f t="shared" ca="1" si="2"/>
        <v>0</v>
      </c>
      <c r="AE61" s="46">
        <f t="shared" ca="1" si="3"/>
        <v>0</v>
      </c>
      <c r="AG61" s="72" t="e">
        <f t="shared" ca="1" si="7"/>
        <v>#NAME?</v>
      </c>
      <c r="AH61" s="72" t="e">
        <f t="shared" ca="1" si="8"/>
        <v>#NAME?</v>
      </c>
      <c r="AI61" s="3" t="e">
        <f t="shared" ca="1" si="9"/>
        <v>#NAME?</v>
      </c>
    </row>
    <row r="62" spans="1:35" x14ac:dyDescent="0.25">
      <c r="G62" s="3">
        <f t="shared" ca="1" si="4"/>
        <v>43</v>
      </c>
      <c r="H62" s="105">
        <f t="shared" ca="1" si="6"/>
        <v>44968</v>
      </c>
      <c r="I62" s="132" t="e">
        <f>HLOOKUP($H$4,'Met Data'!$A$2:$F$368,G62,FALSE)</f>
        <v>#N/A</v>
      </c>
      <c r="J62" s="132" t="e">
        <f ca="1">HLOOKUP($H$4,'Met Data'!$H$2:$M$368,G62,FALSE)*L62</f>
        <v>#N/A</v>
      </c>
      <c r="K62" s="106" t="e">
        <f>HLOOKUP($H$4,'Met Data'!$O$2:$T$368,G62,FALSE)</f>
        <v>#N/A</v>
      </c>
      <c r="L62">
        <f t="shared" ca="1" si="0"/>
        <v>1</v>
      </c>
      <c r="N62" t="e">
        <f t="shared" ca="1" si="5"/>
        <v>#NAME?</v>
      </c>
      <c r="O62" t="e">
        <f t="shared" ca="1" si="1"/>
        <v>#NAME?</v>
      </c>
      <c r="P62" s="2" t="e">
        <f ca="1"/>
        <v>#NAME?</v>
      </c>
      <c r="Q62" t="e">
        <f ca="1"/>
        <v>#NAME?</v>
      </c>
      <c r="R62" t="e">
        <f ca="1"/>
        <v>#NAME?</v>
      </c>
      <c r="S62" t="e">
        <f ca="1"/>
        <v>#NAME?</v>
      </c>
      <c r="T62" t="e">
        <f ca="1"/>
        <v>#NAME?</v>
      </c>
      <c r="U62" t="e">
        <f ca="1"/>
        <v>#NAME?</v>
      </c>
      <c r="V62" t="e">
        <f ca="1"/>
        <v>#NAME?</v>
      </c>
      <c r="W62" t="e">
        <f ca="1"/>
        <v>#NAME?</v>
      </c>
      <c r="X62" t="e">
        <f ca="1"/>
        <v>#NAME?</v>
      </c>
      <c r="Y62" t="e">
        <f ca="1"/>
        <v>#NAME?</v>
      </c>
      <c r="Z62" t="e">
        <f ca="1"/>
        <v>#NAME?</v>
      </c>
      <c r="AA62" t="e">
        <f ca="1"/>
        <v>#NAME?</v>
      </c>
      <c r="AB62" t="e">
        <f ca="1"/>
        <v>#NAME?</v>
      </c>
      <c r="AD62" s="2">
        <f t="shared" ca="1" si="2"/>
        <v>0</v>
      </c>
      <c r="AE62" s="46">
        <f t="shared" ca="1" si="3"/>
        <v>0</v>
      </c>
      <c r="AG62" s="72" t="e">
        <f t="shared" ca="1" si="7"/>
        <v>#NAME?</v>
      </c>
      <c r="AH62" s="72" t="e">
        <f t="shared" ca="1" si="8"/>
        <v>#NAME?</v>
      </c>
      <c r="AI62" s="3" t="e">
        <f t="shared" ca="1" si="9"/>
        <v>#NAME?</v>
      </c>
    </row>
    <row r="63" spans="1:35" x14ac:dyDescent="0.25">
      <c r="G63" s="3">
        <f t="shared" ca="1" si="4"/>
        <v>44</v>
      </c>
      <c r="H63" s="105">
        <f t="shared" ca="1" si="6"/>
        <v>44969</v>
      </c>
      <c r="I63" s="132" t="e">
        <f>HLOOKUP($H$4,'Met Data'!$A$2:$F$368,G63,FALSE)</f>
        <v>#N/A</v>
      </c>
      <c r="J63" s="132" t="e">
        <f ca="1">HLOOKUP($H$4,'Met Data'!$H$2:$M$368,G63,FALSE)*L63</f>
        <v>#N/A</v>
      </c>
      <c r="K63" s="106" t="e">
        <f>HLOOKUP($H$4,'Met Data'!$O$2:$T$368,G63,FALSE)</f>
        <v>#N/A</v>
      </c>
      <c r="L63">
        <f t="shared" ca="1" si="0"/>
        <v>1</v>
      </c>
      <c r="N63" t="e">
        <f t="shared" ca="1" si="5"/>
        <v>#NAME?</v>
      </c>
      <c r="O63" t="e">
        <f t="shared" ca="1" si="1"/>
        <v>#NAME?</v>
      </c>
      <c r="P63" s="2" t="e">
        <f ca="1"/>
        <v>#NAME?</v>
      </c>
      <c r="Q63" t="e">
        <f ca="1"/>
        <v>#NAME?</v>
      </c>
      <c r="R63" t="e">
        <f ca="1"/>
        <v>#NAME?</v>
      </c>
      <c r="S63" t="e">
        <f ca="1"/>
        <v>#NAME?</v>
      </c>
      <c r="T63" t="e">
        <f ca="1"/>
        <v>#NAME?</v>
      </c>
      <c r="U63" t="e">
        <f ca="1"/>
        <v>#NAME?</v>
      </c>
      <c r="V63" t="e">
        <f ca="1"/>
        <v>#NAME?</v>
      </c>
      <c r="W63" t="e">
        <f ca="1"/>
        <v>#NAME?</v>
      </c>
      <c r="X63" t="e">
        <f ca="1"/>
        <v>#NAME?</v>
      </c>
      <c r="Y63" t="e">
        <f ca="1"/>
        <v>#NAME?</v>
      </c>
      <c r="Z63" t="e">
        <f ca="1"/>
        <v>#NAME?</v>
      </c>
      <c r="AA63" t="e">
        <f ca="1"/>
        <v>#NAME?</v>
      </c>
      <c r="AB63" t="e">
        <f ca="1"/>
        <v>#NAME?</v>
      </c>
      <c r="AD63" s="2">
        <f t="shared" ca="1" si="2"/>
        <v>0</v>
      </c>
      <c r="AE63" s="46">
        <f t="shared" ca="1" si="3"/>
        <v>0</v>
      </c>
      <c r="AG63" s="72" t="e">
        <f t="shared" ca="1" si="7"/>
        <v>#NAME?</v>
      </c>
      <c r="AH63" s="72" t="e">
        <f t="shared" ca="1" si="8"/>
        <v>#NAME?</v>
      </c>
      <c r="AI63" s="3" t="e">
        <f t="shared" ca="1" si="9"/>
        <v>#NAME?</v>
      </c>
    </row>
    <row r="64" spans="1:35" x14ac:dyDescent="0.25">
      <c r="G64" s="3">
        <f t="shared" ca="1" si="4"/>
        <v>45</v>
      </c>
      <c r="H64" s="105">
        <f t="shared" ca="1" si="6"/>
        <v>44970</v>
      </c>
      <c r="I64" s="132" t="e">
        <f>HLOOKUP($H$4,'Met Data'!$A$2:$F$368,G64,FALSE)</f>
        <v>#N/A</v>
      </c>
      <c r="J64" s="132" t="e">
        <f ca="1">HLOOKUP($H$4,'Met Data'!$H$2:$M$368,G64,FALSE)*L64</f>
        <v>#N/A</v>
      </c>
      <c r="K64" s="106" t="e">
        <f>HLOOKUP($H$4,'Met Data'!$O$2:$T$368,G64,FALSE)</f>
        <v>#N/A</v>
      </c>
      <c r="L64">
        <f t="shared" ca="1" si="0"/>
        <v>1</v>
      </c>
      <c r="N64" t="e">
        <f t="shared" ca="1" si="5"/>
        <v>#NAME?</v>
      </c>
      <c r="O64" t="e">
        <f t="shared" ca="1" si="1"/>
        <v>#NAME?</v>
      </c>
      <c r="P64" s="2" t="e">
        <f ca="1"/>
        <v>#NAME?</v>
      </c>
      <c r="Q64" t="e">
        <f ca="1"/>
        <v>#NAME?</v>
      </c>
      <c r="R64" t="e">
        <f ca="1"/>
        <v>#NAME?</v>
      </c>
      <c r="S64" t="e">
        <f ca="1"/>
        <v>#NAME?</v>
      </c>
      <c r="T64" t="e">
        <f ca="1"/>
        <v>#NAME?</v>
      </c>
      <c r="U64" t="e">
        <f ca="1"/>
        <v>#NAME?</v>
      </c>
      <c r="V64" t="e">
        <f ca="1"/>
        <v>#NAME?</v>
      </c>
      <c r="W64" t="e">
        <f ca="1"/>
        <v>#NAME?</v>
      </c>
      <c r="X64" t="e">
        <f ca="1"/>
        <v>#NAME?</v>
      </c>
      <c r="Y64" t="e">
        <f ca="1"/>
        <v>#NAME?</v>
      </c>
      <c r="Z64" t="e">
        <f ca="1"/>
        <v>#NAME?</v>
      </c>
      <c r="AA64" t="e">
        <f ca="1"/>
        <v>#NAME?</v>
      </c>
      <c r="AB64" t="e">
        <f ca="1"/>
        <v>#NAME?</v>
      </c>
      <c r="AD64" s="2">
        <f t="shared" ca="1" si="2"/>
        <v>0</v>
      </c>
      <c r="AE64" s="46">
        <f t="shared" ca="1" si="3"/>
        <v>0</v>
      </c>
      <c r="AG64" s="72" t="e">
        <f t="shared" ca="1" si="7"/>
        <v>#NAME?</v>
      </c>
      <c r="AH64" s="72" t="e">
        <f t="shared" ca="1" si="8"/>
        <v>#NAME?</v>
      </c>
      <c r="AI64" s="3" t="e">
        <f t="shared" ca="1" si="9"/>
        <v>#NAME?</v>
      </c>
    </row>
    <row r="65" spans="7:35" x14ac:dyDescent="0.25">
      <c r="G65" s="3">
        <f t="shared" ca="1" si="4"/>
        <v>46</v>
      </c>
      <c r="H65" s="105">
        <f t="shared" ca="1" si="6"/>
        <v>44971</v>
      </c>
      <c r="I65" s="132" t="e">
        <f>HLOOKUP($H$4,'Met Data'!$A$2:$F$368,G65,FALSE)</f>
        <v>#N/A</v>
      </c>
      <c r="J65" s="132" t="e">
        <f ca="1">HLOOKUP($H$4,'Met Data'!$H$2:$M$368,G65,FALSE)*L65</f>
        <v>#N/A</v>
      </c>
      <c r="K65" s="106" t="e">
        <f>HLOOKUP($H$4,'Met Data'!$O$2:$T$368,G65,FALSE)</f>
        <v>#N/A</v>
      </c>
      <c r="L65">
        <f t="shared" ca="1" si="0"/>
        <v>1</v>
      </c>
      <c r="N65" t="e">
        <f t="shared" ca="1" si="5"/>
        <v>#NAME?</v>
      </c>
      <c r="O65" t="e">
        <f t="shared" ca="1" si="1"/>
        <v>#NAME?</v>
      </c>
      <c r="P65" s="2" t="e">
        <f ca="1"/>
        <v>#NAME?</v>
      </c>
      <c r="Q65" t="e">
        <f ca="1"/>
        <v>#NAME?</v>
      </c>
      <c r="R65" t="e">
        <f ca="1"/>
        <v>#NAME?</v>
      </c>
      <c r="S65" t="e">
        <f ca="1"/>
        <v>#NAME?</v>
      </c>
      <c r="T65" t="e">
        <f ca="1"/>
        <v>#NAME?</v>
      </c>
      <c r="U65" t="e">
        <f ca="1"/>
        <v>#NAME?</v>
      </c>
      <c r="V65" t="e">
        <f ca="1"/>
        <v>#NAME?</v>
      </c>
      <c r="W65" t="e">
        <f ca="1"/>
        <v>#NAME?</v>
      </c>
      <c r="X65" t="e">
        <f ca="1"/>
        <v>#NAME?</v>
      </c>
      <c r="Y65" t="e">
        <f ca="1"/>
        <v>#NAME?</v>
      </c>
      <c r="Z65" t="e">
        <f ca="1"/>
        <v>#NAME?</v>
      </c>
      <c r="AA65" t="e">
        <f ca="1"/>
        <v>#NAME?</v>
      </c>
      <c r="AB65" t="e">
        <f ca="1"/>
        <v>#NAME?</v>
      </c>
      <c r="AD65" s="2">
        <f t="shared" ca="1" si="2"/>
        <v>0</v>
      </c>
      <c r="AE65" s="46">
        <f t="shared" ca="1" si="3"/>
        <v>0</v>
      </c>
      <c r="AG65" s="72" t="e">
        <f t="shared" ca="1" si="7"/>
        <v>#NAME?</v>
      </c>
      <c r="AH65" s="72" t="e">
        <f t="shared" ca="1" si="8"/>
        <v>#NAME?</v>
      </c>
      <c r="AI65" s="3" t="e">
        <f t="shared" ca="1" si="9"/>
        <v>#NAME?</v>
      </c>
    </row>
    <row r="66" spans="7:35" x14ac:dyDescent="0.25">
      <c r="G66" s="3">
        <f t="shared" ca="1" si="4"/>
        <v>47</v>
      </c>
      <c r="H66" s="105">
        <f t="shared" ca="1" si="6"/>
        <v>44972</v>
      </c>
      <c r="I66" s="132" t="e">
        <f>HLOOKUP($H$4,'Met Data'!$A$2:$F$368,G66,FALSE)</f>
        <v>#N/A</v>
      </c>
      <c r="J66" s="132" t="e">
        <f ca="1">HLOOKUP($H$4,'Met Data'!$H$2:$M$368,G66,FALSE)*L66</f>
        <v>#N/A</v>
      </c>
      <c r="K66" s="106" t="e">
        <f>HLOOKUP($H$4,'Met Data'!$O$2:$T$368,G66,FALSE)</f>
        <v>#N/A</v>
      </c>
      <c r="L66">
        <f t="shared" ca="1" si="0"/>
        <v>1</v>
      </c>
      <c r="N66" t="e">
        <f t="shared" ca="1" si="5"/>
        <v>#NAME?</v>
      </c>
      <c r="O66" t="e">
        <f t="shared" ca="1" si="1"/>
        <v>#NAME?</v>
      </c>
      <c r="P66" s="2" t="e">
        <f ca="1"/>
        <v>#NAME?</v>
      </c>
      <c r="Q66" t="e">
        <f ca="1"/>
        <v>#NAME?</v>
      </c>
      <c r="R66" t="e">
        <f ca="1"/>
        <v>#NAME?</v>
      </c>
      <c r="S66" t="e">
        <f ca="1"/>
        <v>#NAME?</v>
      </c>
      <c r="T66" t="e">
        <f ca="1"/>
        <v>#NAME?</v>
      </c>
      <c r="U66" t="e">
        <f ca="1"/>
        <v>#NAME?</v>
      </c>
      <c r="V66" t="e">
        <f ca="1"/>
        <v>#NAME?</v>
      </c>
      <c r="W66" t="e">
        <f ca="1"/>
        <v>#NAME?</v>
      </c>
      <c r="X66" t="e">
        <f ca="1"/>
        <v>#NAME?</v>
      </c>
      <c r="Y66" t="e">
        <f ca="1"/>
        <v>#NAME?</v>
      </c>
      <c r="Z66" t="e">
        <f ca="1"/>
        <v>#NAME?</v>
      </c>
      <c r="AA66" t="e">
        <f ca="1"/>
        <v>#NAME?</v>
      </c>
      <c r="AB66" t="e">
        <f ca="1"/>
        <v>#NAME?</v>
      </c>
      <c r="AD66" s="2">
        <f t="shared" ca="1" si="2"/>
        <v>0</v>
      </c>
      <c r="AE66" s="46">
        <f t="shared" ca="1" si="3"/>
        <v>0</v>
      </c>
      <c r="AG66" s="72" t="e">
        <f t="shared" ca="1" si="7"/>
        <v>#NAME?</v>
      </c>
      <c r="AH66" s="72" t="e">
        <f t="shared" ca="1" si="8"/>
        <v>#NAME?</v>
      </c>
      <c r="AI66" s="3" t="e">
        <f t="shared" ca="1" si="9"/>
        <v>#NAME?</v>
      </c>
    </row>
    <row r="67" spans="7:35" x14ac:dyDescent="0.25">
      <c r="G67" s="3">
        <f t="shared" ca="1" si="4"/>
        <v>48</v>
      </c>
      <c r="H67" s="105">
        <f t="shared" ca="1" si="6"/>
        <v>44973</v>
      </c>
      <c r="I67" s="132" t="e">
        <f>HLOOKUP($H$4,'Met Data'!$A$2:$F$368,G67,FALSE)</f>
        <v>#N/A</v>
      </c>
      <c r="J67" s="132" t="e">
        <f ca="1">HLOOKUP($H$4,'Met Data'!$H$2:$M$368,G67,FALSE)*L67</f>
        <v>#N/A</v>
      </c>
      <c r="K67" s="106" t="e">
        <f>HLOOKUP($H$4,'Met Data'!$O$2:$T$368,G67,FALSE)</f>
        <v>#N/A</v>
      </c>
      <c r="L67">
        <f t="shared" ca="1" si="0"/>
        <v>1</v>
      </c>
      <c r="N67" t="e">
        <f t="shared" ca="1" si="5"/>
        <v>#NAME?</v>
      </c>
      <c r="O67" t="e">
        <f t="shared" ca="1" si="1"/>
        <v>#NAME?</v>
      </c>
      <c r="P67" s="2" t="e">
        <f ca="1"/>
        <v>#NAME?</v>
      </c>
      <c r="Q67" t="e">
        <f ca="1"/>
        <v>#NAME?</v>
      </c>
      <c r="R67" t="e">
        <f ca="1"/>
        <v>#NAME?</v>
      </c>
      <c r="S67" t="e">
        <f ca="1"/>
        <v>#NAME?</v>
      </c>
      <c r="T67" t="e">
        <f ca="1"/>
        <v>#NAME?</v>
      </c>
      <c r="U67" t="e">
        <f ca="1"/>
        <v>#NAME?</v>
      </c>
      <c r="V67" t="e">
        <f ca="1"/>
        <v>#NAME?</v>
      </c>
      <c r="W67" t="e">
        <f ca="1"/>
        <v>#NAME?</v>
      </c>
      <c r="X67" t="e">
        <f ca="1"/>
        <v>#NAME?</v>
      </c>
      <c r="Y67" t="e">
        <f ca="1"/>
        <v>#NAME?</v>
      </c>
      <c r="Z67" t="e">
        <f ca="1"/>
        <v>#NAME?</v>
      </c>
      <c r="AA67" t="e">
        <f ca="1"/>
        <v>#NAME?</v>
      </c>
      <c r="AB67" t="e">
        <f ca="1"/>
        <v>#NAME?</v>
      </c>
      <c r="AD67" s="2">
        <f t="shared" ca="1" si="2"/>
        <v>0</v>
      </c>
      <c r="AE67" s="46">
        <f t="shared" ca="1" si="3"/>
        <v>0</v>
      </c>
      <c r="AG67" s="72" t="e">
        <f t="shared" ca="1" si="7"/>
        <v>#NAME?</v>
      </c>
      <c r="AH67" s="72" t="e">
        <f t="shared" ca="1" si="8"/>
        <v>#NAME?</v>
      </c>
      <c r="AI67" s="3" t="e">
        <f t="shared" ca="1" si="9"/>
        <v>#NAME?</v>
      </c>
    </row>
    <row r="68" spans="7:35" x14ac:dyDescent="0.25">
      <c r="G68" s="3">
        <f t="shared" ca="1" si="4"/>
        <v>49</v>
      </c>
      <c r="H68" s="105">
        <f t="shared" ca="1" si="6"/>
        <v>44974</v>
      </c>
      <c r="I68" s="132" t="e">
        <f>HLOOKUP($H$4,'Met Data'!$A$2:$F$368,G68,FALSE)</f>
        <v>#N/A</v>
      </c>
      <c r="J68" s="132" t="e">
        <f ca="1">HLOOKUP($H$4,'Met Data'!$H$2:$M$368,G68,FALSE)*L68</f>
        <v>#N/A</v>
      </c>
      <c r="K68" s="106" t="e">
        <f>HLOOKUP($H$4,'Met Data'!$O$2:$T$368,G68,FALSE)</f>
        <v>#N/A</v>
      </c>
      <c r="L68">
        <f t="shared" ca="1" si="0"/>
        <v>1</v>
      </c>
      <c r="N68" t="e">
        <f t="shared" ca="1" si="5"/>
        <v>#NAME?</v>
      </c>
      <c r="O68" t="e">
        <f t="shared" ca="1" si="1"/>
        <v>#NAME?</v>
      </c>
      <c r="P68" s="2" t="e">
        <f ca="1"/>
        <v>#NAME?</v>
      </c>
      <c r="Q68" t="e">
        <f ca="1"/>
        <v>#NAME?</v>
      </c>
      <c r="R68" t="e">
        <f ca="1"/>
        <v>#NAME?</v>
      </c>
      <c r="S68" t="e">
        <f ca="1"/>
        <v>#NAME?</v>
      </c>
      <c r="T68" t="e">
        <f ca="1"/>
        <v>#NAME?</v>
      </c>
      <c r="U68" t="e">
        <f ca="1"/>
        <v>#NAME?</v>
      </c>
      <c r="V68" t="e">
        <f ca="1"/>
        <v>#NAME?</v>
      </c>
      <c r="W68" t="e">
        <f ca="1"/>
        <v>#NAME?</v>
      </c>
      <c r="X68" t="e">
        <f ca="1"/>
        <v>#NAME?</v>
      </c>
      <c r="Y68" t="e">
        <f ca="1"/>
        <v>#NAME?</v>
      </c>
      <c r="Z68" t="e">
        <f ca="1"/>
        <v>#NAME?</v>
      </c>
      <c r="AA68" t="e">
        <f ca="1"/>
        <v>#NAME?</v>
      </c>
      <c r="AB68" t="e">
        <f ca="1"/>
        <v>#NAME?</v>
      </c>
      <c r="AD68" s="2">
        <f t="shared" ca="1" si="2"/>
        <v>0</v>
      </c>
      <c r="AE68" s="46">
        <f t="shared" ca="1" si="3"/>
        <v>0</v>
      </c>
      <c r="AG68" s="72" t="e">
        <f t="shared" ca="1" si="7"/>
        <v>#NAME?</v>
      </c>
      <c r="AH68" s="72" t="e">
        <f t="shared" ca="1" si="8"/>
        <v>#NAME?</v>
      </c>
      <c r="AI68" s="3" t="e">
        <f t="shared" ca="1" si="9"/>
        <v>#NAME?</v>
      </c>
    </row>
    <row r="69" spans="7:35" x14ac:dyDescent="0.25">
      <c r="G69" s="3">
        <f t="shared" ca="1" si="4"/>
        <v>50</v>
      </c>
      <c r="H69" s="105">
        <f t="shared" ca="1" si="6"/>
        <v>44975</v>
      </c>
      <c r="I69" s="132" t="e">
        <f>HLOOKUP($H$4,'Met Data'!$A$2:$F$368,G69,FALSE)</f>
        <v>#N/A</v>
      </c>
      <c r="J69" s="132" t="e">
        <f ca="1">HLOOKUP($H$4,'Met Data'!$H$2:$M$368,G69,FALSE)*L69</f>
        <v>#N/A</v>
      </c>
      <c r="K69" s="106" t="e">
        <f>HLOOKUP($H$4,'Met Data'!$O$2:$T$368,G69,FALSE)</f>
        <v>#N/A</v>
      </c>
      <c r="L69">
        <f t="shared" ca="1" si="0"/>
        <v>1</v>
      </c>
      <c r="N69" t="e">
        <f t="shared" ca="1" si="5"/>
        <v>#NAME?</v>
      </c>
      <c r="O69" t="e">
        <f t="shared" ca="1" si="1"/>
        <v>#NAME?</v>
      </c>
      <c r="P69" s="2" t="e">
        <f ca="1"/>
        <v>#NAME?</v>
      </c>
      <c r="Q69" t="e">
        <f ca="1"/>
        <v>#NAME?</v>
      </c>
      <c r="R69" t="e">
        <f ca="1"/>
        <v>#NAME?</v>
      </c>
      <c r="S69" t="e">
        <f ca="1"/>
        <v>#NAME?</v>
      </c>
      <c r="T69" t="e">
        <f ca="1"/>
        <v>#NAME?</v>
      </c>
      <c r="U69" t="e">
        <f ca="1"/>
        <v>#NAME?</v>
      </c>
      <c r="V69" t="e">
        <f ca="1"/>
        <v>#NAME?</v>
      </c>
      <c r="W69" t="e">
        <f ca="1"/>
        <v>#NAME?</v>
      </c>
      <c r="X69" t="e">
        <f ca="1"/>
        <v>#NAME?</v>
      </c>
      <c r="Y69" t="e">
        <f ca="1"/>
        <v>#NAME?</v>
      </c>
      <c r="Z69" t="e">
        <f ca="1"/>
        <v>#NAME?</v>
      </c>
      <c r="AA69" t="e">
        <f ca="1"/>
        <v>#NAME?</v>
      </c>
      <c r="AB69" t="e">
        <f ca="1"/>
        <v>#NAME?</v>
      </c>
      <c r="AD69" s="2">
        <f t="shared" ca="1" si="2"/>
        <v>0</v>
      </c>
      <c r="AE69" s="46">
        <f t="shared" ca="1" si="3"/>
        <v>0</v>
      </c>
      <c r="AG69" s="72" t="e">
        <f t="shared" ca="1" si="7"/>
        <v>#NAME?</v>
      </c>
      <c r="AH69" s="72" t="e">
        <f t="shared" ca="1" si="8"/>
        <v>#NAME?</v>
      </c>
      <c r="AI69" s="3" t="e">
        <f t="shared" ca="1" si="9"/>
        <v>#NAME?</v>
      </c>
    </row>
    <row r="70" spans="7:35" x14ac:dyDescent="0.25">
      <c r="G70" s="3">
        <f t="shared" ca="1" si="4"/>
        <v>51</v>
      </c>
      <c r="H70" s="105">
        <f t="shared" ca="1" si="6"/>
        <v>44976</v>
      </c>
      <c r="I70" s="132" t="e">
        <f>HLOOKUP($H$4,'Met Data'!$A$2:$F$368,G70,FALSE)</f>
        <v>#N/A</v>
      </c>
      <c r="J70" s="132" t="e">
        <f ca="1">HLOOKUP($H$4,'Met Data'!$H$2:$M$368,G70,FALSE)*L70</f>
        <v>#N/A</v>
      </c>
      <c r="K70" s="106" t="e">
        <f>HLOOKUP($H$4,'Met Data'!$O$2:$T$368,G70,FALSE)</f>
        <v>#N/A</v>
      </c>
      <c r="L70">
        <f t="shared" ref="L70:L133" ca="1" si="10">IF(H70&lt;$B$31,$J$3,$J$4)</f>
        <v>1</v>
      </c>
      <c r="N70" t="e">
        <f t="shared" ca="1" si="5"/>
        <v>#NAME?</v>
      </c>
      <c r="O70" t="e">
        <f t="shared" ref="O70:O133" ca="1" si="11">AND(IF(P70&gt;($P$2-1),TRUE,FALSE),IF(P70&lt;($P$3+1),TRUE,FALSE))</f>
        <v>#NAME?</v>
      </c>
      <c r="P70" s="2" t="e">
        <f ca="1"/>
        <v>#NAME?</v>
      </c>
      <c r="Q70" t="e">
        <f ca="1"/>
        <v>#NAME?</v>
      </c>
      <c r="R70" t="e">
        <f ca="1"/>
        <v>#NAME?</v>
      </c>
      <c r="S70" t="e">
        <f ca="1"/>
        <v>#NAME?</v>
      </c>
      <c r="T70" t="e">
        <f ca="1"/>
        <v>#NAME?</v>
      </c>
      <c r="U70" t="e">
        <f ca="1"/>
        <v>#NAME?</v>
      </c>
      <c r="V70" t="e">
        <f ca="1"/>
        <v>#NAME?</v>
      </c>
      <c r="W70" t="e">
        <f ca="1"/>
        <v>#NAME?</v>
      </c>
      <c r="X70" t="e">
        <f ca="1"/>
        <v>#NAME?</v>
      </c>
      <c r="Y70" t="e">
        <f ca="1"/>
        <v>#NAME?</v>
      </c>
      <c r="Z70" t="e">
        <f ca="1"/>
        <v>#NAME?</v>
      </c>
      <c r="AA70" t="e">
        <f ca="1"/>
        <v>#NAME?</v>
      </c>
      <c r="AB70" t="e">
        <f ca="1"/>
        <v>#NAME?</v>
      </c>
      <c r="AD70" s="2">
        <f t="shared" ref="AD70:AD133" ca="1" si="12">IFERROR(P70,$AD$4)</f>
        <v>0</v>
      </c>
      <c r="AE70" s="46">
        <f t="shared" ref="AE70:AE133" ca="1" si="13">IFERROR(U70,0)</f>
        <v>0</v>
      </c>
      <c r="AG70" s="72" t="e">
        <f t="shared" ca="1" si="7"/>
        <v>#NAME?</v>
      </c>
      <c r="AH70" s="72" t="e">
        <f t="shared" ca="1" si="8"/>
        <v>#NAME?</v>
      </c>
      <c r="AI70" s="3" t="e">
        <f t="shared" ca="1" si="9"/>
        <v>#NAME?</v>
      </c>
    </row>
    <row r="71" spans="7:35" x14ac:dyDescent="0.25">
      <c r="G71" s="3">
        <f t="shared" ref="G71:G134" ca="1" si="14">H71-DATE(YEAR(H71),1,0)+1</f>
        <v>52</v>
      </c>
      <c r="H71" s="105">
        <f t="shared" ca="1" si="6"/>
        <v>44977</v>
      </c>
      <c r="I71" s="132" t="e">
        <f>HLOOKUP($H$4,'Met Data'!$A$2:$F$368,G71,FALSE)</f>
        <v>#N/A</v>
      </c>
      <c r="J71" s="132" t="e">
        <f ca="1">HLOOKUP($H$4,'Met Data'!$H$2:$M$368,G71,FALSE)*L71</f>
        <v>#N/A</v>
      </c>
      <c r="K71" s="106" t="e">
        <f>HLOOKUP($H$4,'Met Data'!$O$2:$T$368,G71,FALSE)</f>
        <v>#N/A</v>
      </c>
      <c r="L71">
        <f t="shared" ca="1" si="10"/>
        <v>1</v>
      </c>
      <c r="N71" t="e">
        <f t="shared" ref="N71:N134" ca="1" si="15">IF(P71&lt;$P$3,TRUE,FALSE)</f>
        <v>#NAME?</v>
      </c>
      <c r="O71" t="e">
        <f t="shared" ca="1" si="11"/>
        <v>#NAME?</v>
      </c>
      <c r="P71" s="2" t="e">
        <f ca="1"/>
        <v>#NAME?</v>
      </c>
      <c r="Q71" t="e">
        <f ca="1"/>
        <v>#NAME?</v>
      </c>
      <c r="R71" t="e">
        <f ca="1"/>
        <v>#NAME?</v>
      </c>
      <c r="S71" t="e">
        <f ca="1"/>
        <v>#NAME?</v>
      </c>
      <c r="T71" t="e">
        <f ca="1"/>
        <v>#NAME?</v>
      </c>
      <c r="U71" t="e">
        <f ca="1"/>
        <v>#NAME?</v>
      </c>
      <c r="V71" t="e">
        <f ca="1"/>
        <v>#NAME?</v>
      </c>
      <c r="W71" t="e">
        <f ca="1"/>
        <v>#NAME?</v>
      </c>
      <c r="X71" t="e">
        <f ca="1"/>
        <v>#NAME?</v>
      </c>
      <c r="Y71" t="e">
        <f ca="1"/>
        <v>#NAME?</v>
      </c>
      <c r="Z71" t="e">
        <f ca="1"/>
        <v>#NAME?</v>
      </c>
      <c r="AA71" t="e">
        <f ca="1"/>
        <v>#NAME?</v>
      </c>
      <c r="AB71" t="e">
        <f ca="1"/>
        <v>#NAME?</v>
      </c>
      <c r="AD71" s="2">
        <f t="shared" ca="1" si="12"/>
        <v>0</v>
      </c>
      <c r="AE71" s="46">
        <f t="shared" ca="1" si="13"/>
        <v>0</v>
      </c>
      <c r="AG71" s="72" t="e">
        <f t="shared" ca="1" si="7"/>
        <v>#NAME?</v>
      </c>
      <c r="AH71" s="72" t="e">
        <f t="shared" ca="1" si="8"/>
        <v>#NAME?</v>
      </c>
      <c r="AI71" s="3" t="e">
        <f t="shared" ca="1" si="9"/>
        <v>#NAME?</v>
      </c>
    </row>
    <row r="72" spans="7:35" x14ac:dyDescent="0.25">
      <c r="G72" s="3">
        <f t="shared" ca="1" si="14"/>
        <v>53</v>
      </c>
      <c r="H72" s="105">
        <f t="shared" ref="H72:H135" ca="1" si="16">H71+1</f>
        <v>44978</v>
      </c>
      <c r="I72" s="132" t="e">
        <f>HLOOKUP($H$4,'Met Data'!$A$2:$F$368,G72,FALSE)</f>
        <v>#N/A</v>
      </c>
      <c r="J72" s="132" t="e">
        <f ca="1">HLOOKUP($H$4,'Met Data'!$H$2:$M$368,G72,FALSE)*L72</f>
        <v>#N/A</v>
      </c>
      <c r="K72" s="106" t="e">
        <f>HLOOKUP($H$4,'Met Data'!$O$2:$T$368,G72,FALSE)</f>
        <v>#N/A</v>
      </c>
      <c r="L72">
        <f t="shared" ca="1" si="10"/>
        <v>1</v>
      </c>
      <c r="N72" t="e">
        <f t="shared" ca="1" si="15"/>
        <v>#NAME?</v>
      </c>
      <c r="O72" t="e">
        <f t="shared" ca="1" si="11"/>
        <v>#NAME?</v>
      </c>
      <c r="P72" s="2" t="e">
        <f ca="1"/>
        <v>#NAME?</v>
      </c>
      <c r="Q72" t="e">
        <f ca="1"/>
        <v>#NAME?</v>
      </c>
      <c r="R72" t="e">
        <f ca="1"/>
        <v>#NAME?</v>
      </c>
      <c r="S72" t="e">
        <f ca="1"/>
        <v>#NAME?</v>
      </c>
      <c r="T72" t="e">
        <f ca="1"/>
        <v>#NAME?</v>
      </c>
      <c r="U72" t="e">
        <f ca="1"/>
        <v>#NAME?</v>
      </c>
      <c r="V72" t="e">
        <f ca="1"/>
        <v>#NAME?</v>
      </c>
      <c r="W72" t="e">
        <f ca="1"/>
        <v>#NAME?</v>
      </c>
      <c r="X72" t="e">
        <f ca="1"/>
        <v>#NAME?</v>
      </c>
      <c r="Y72" t="e">
        <f ca="1"/>
        <v>#NAME?</v>
      </c>
      <c r="Z72" t="e">
        <f ca="1"/>
        <v>#NAME?</v>
      </c>
      <c r="AA72" t="e">
        <f ca="1"/>
        <v>#NAME?</v>
      </c>
      <c r="AB72" t="e">
        <f ca="1"/>
        <v>#NAME?</v>
      </c>
      <c r="AD72" s="2">
        <f t="shared" ca="1" si="12"/>
        <v>0</v>
      </c>
      <c r="AE72" s="46">
        <f t="shared" ca="1" si="13"/>
        <v>0</v>
      </c>
      <c r="AG72" s="72" t="e">
        <f t="shared" ref="AG72:AG135" ca="1" si="17">Q71+S72+T72+U72</f>
        <v>#NAME?</v>
      </c>
      <c r="AH72" s="72" t="e">
        <f t="shared" ref="AH72:AH135" ca="1" si="18">Q72+R72+X72</f>
        <v>#NAME?</v>
      </c>
      <c r="AI72" s="3" t="e">
        <f t="shared" ref="AI72:AI135" ca="1" si="19">AH72-AG72</f>
        <v>#NAME?</v>
      </c>
    </row>
    <row r="73" spans="7:35" x14ac:dyDescent="0.25">
      <c r="G73" s="3">
        <f t="shared" ca="1" si="14"/>
        <v>54</v>
      </c>
      <c r="H73" s="105">
        <f t="shared" ca="1" si="16"/>
        <v>44979</v>
      </c>
      <c r="I73" s="132" t="e">
        <f>HLOOKUP($H$4,'Met Data'!$A$2:$F$368,G73,FALSE)</f>
        <v>#N/A</v>
      </c>
      <c r="J73" s="132" t="e">
        <f ca="1">HLOOKUP($H$4,'Met Data'!$H$2:$M$368,G73,FALSE)*L73</f>
        <v>#N/A</v>
      </c>
      <c r="K73" s="106" t="e">
        <f>HLOOKUP($H$4,'Met Data'!$O$2:$T$368,G73,FALSE)</f>
        <v>#N/A</v>
      </c>
      <c r="L73">
        <f t="shared" ca="1" si="10"/>
        <v>1</v>
      </c>
      <c r="N73" t="e">
        <f t="shared" ca="1" si="15"/>
        <v>#NAME?</v>
      </c>
      <c r="O73" t="e">
        <f t="shared" ca="1" si="11"/>
        <v>#NAME?</v>
      </c>
      <c r="P73" s="2" t="e">
        <f ca="1"/>
        <v>#NAME?</v>
      </c>
      <c r="Q73" t="e">
        <f ca="1"/>
        <v>#NAME?</v>
      </c>
      <c r="R73" t="e">
        <f ca="1"/>
        <v>#NAME?</v>
      </c>
      <c r="S73" t="e">
        <f ca="1"/>
        <v>#NAME?</v>
      </c>
      <c r="T73" t="e">
        <f ca="1"/>
        <v>#NAME?</v>
      </c>
      <c r="U73" t="e">
        <f ca="1"/>
        <v>#NAME?</v>
      </c>
      <c r="V73" t="e">
        <f ca="1"/>
        <v>#NAME?</v>
      </c>
      <c r="W73" t="e">
        <f ca="1"/>
        <v>#NAME?</v>
      </c>
      <c r="X73" t="e">
        <f ca="1"/>
        <v>#NAME?</v>
      </c>
      <c r="Y73" t="e">
        <f ca="1"/>
        <v>#NAME?</v>
      </c>
      <c r="Z73" t="e">
        <f ca="1"/>
        <v>#NAME?</v>
      </c>
      <c r="AA73" t="e">
        <f ca="1"/>
        <v>#NAME?</v>
      </c>
      <c r="AB73" t="e">
        <f ca="1"/>
        <v>#NAME?</v>
      </c>
      <c r="AD73" s="2">
        <f t="shared" ca="1" si="12"/>
        <v>0</v>
      </c>
      <c r="AE73" s="46">
        <f t="shared" ca="1" si="13"/>
        <v>0</v>
      </c>
      <c r="AG73" s="72" t="e">
        <f t="shared" ca="1" si="17"/>
        <v>#NAME?</v>
      </c>
      <c r="AH73" s="72" t="e">
        <f t="shared" ca="1" si="18"/>
        <v>#NAME?</v>
      </c>
      <c r="AI73" s="3" t="e">
        <f t="shared" ca="1" si="19"/>
        <v>#NAME?</v>
      </c>
    </row>
    <row r="74" spans="7:35" x14ac:dyDescent="0.25">
      <c r="G74" s="3">
        <f t="shared" ca="1" si="14"/>
        <v>55</v>
      </c>
      <c r="H74" s="105">
        <f t="shared" ca="1" si="16"/>
        <v>44980</v>
      </c>
      <c r="I74" s="132" t="e">
        <f>HLOOKUP($H$4,'Met Data'!$A$2:$F$368,G74,FALSE)</f>
        <v>#N/A</v>
      </c>
      <c r="J74" s="132" t="e">
        <f ca="1">HLOOKUP($H$4,'Met Data'!$H$2:$M$368,G74,FALSE)*L74</f>
        <v>#N/A</v>
      </c>
      <c r="K74" s="106" t="e">
        <f>HLOOKUP($H$4,'Met Data'!$O$2:$T$368,G74,FALSE)</f>
        <v>#N/A</v>
      </c>
      <c r="L74">
        <f t="shared" ca="1" si="10"/>
        <v>1</v>
      </c>
      <c r="N74" t="e">
        <f t="shared" ca="1" si="15"/>
        <v>#NAME?</v>
      </c>
      <c r="O74" t="e">
        <f t="shared" ca="1" si="11"/>
        <v>#NAME?</v>
      </c>
      <c r="P74" s="2" t="e">
        <f ca="1"/>
        <v>#NAME?</v>
      </c>
      <c r="Q74" t="e">
        <f ca="1"/>
        <v>#NAME?</v>
      </c>
      <c r="R74" t="e">
        <f ca="1"/>
        <v>#NAME?</v>
      </c>
      <c r="S74" t="e">
        <f ca="1"/>
        <v>#NAME?</v>
      </c>
      <c r="T74" t="e">
        <f ca="1"/>
        <v>#NAME?</v>
      </c>
      <c r="U74" t="e">
        <f ca="1"/>
        <v>#NAME?</v>
      </c>
      <c r="V74" t="e">
        <f ca="1"/>
        <v>#NAME?</v>
      </c>
      <c r="W74" t="e">
        <f ca="1"/>
        <v>#NAME?</v>
      </c>
      <c r="X74" t="e">
        <f ca="1"/>
        <v>#NAME?</v>
      </c>
      <c r="Y74" t="e">
        <f ca="1"/>
        <v>#NAME?</v>
      </c>
      <c r="Z74" t="e">
        <f ca="1"/>
        <v>#NAME?</v>
      </c>
      <c r="AA74" t="e">
        <f ca="1"/>
        <v>#NAME?</v>
      </c>
      <c r="AB74" t="e">
        <f ca="1"/>
        <v>#NAME?</v>
      </c>
      <c r="AD74" s="2">
        <f t="shared" ca="1" si="12"/>
        <v>0</v>
      </c>
      <c r="AE74" s="46">
        <f t="shared" ca="1" si="13"/>
        <v>0</v>
      </c>
      <c r="AG74" s="72" t="e">
        <f t="shared" ca="1" si="17"/>
        <v>#NAME?</v>
      </c>
      <c r="AH74" s="72" t="e">
        <f t="shared" ca="1" si="18"/>
        <v>#NAME?</v>
      </c>
      <c r="AI74" s="3" t="e">
        <f t="shared" ca="1" si="19"/>
        <v>#NAME?</v>
      </c>
    </row>
    <row r="75" spans="7:35" x14ac:dyDescent="0.25">
      <c r="G75" s="3">
        <f t="shared" ca="1" si="14"/>
        <v>56</v>
      </c>
      <c r="H75" s="105">
        <f t="shared" ca="1" si="16"/>
        <v>44981</v>
      </c>
      <c r="I75" s="132" t="e">
        <f>HLOOKUP($H$4,'Met Data'!$A$2:$F$368,G75,FALSE)</f>
        <v>#N/A</v>
      </c>
      <c r="J75" s="132" t="e">
        <f ca="1">HLOOKUP($H$4,'Met Data'!$H$2:$M$368,G75,FALSE)*L75</f>
        <v>#N/A</v>
      </c>
      <c r="K75" s="106" t="e">
        <f>HLOOKUP($H$4,'Met Data'!$O$2:$T$368,G75,FALSE)</f>
        <v>#N/A</v>
      </c>
      <c r="L75">
        <f t="shared" ca="1" si="10"/>
        <v>1</v>
      </c>
      <c r="N75" t="e">
        <f t="shared" ca="1" si="15"/>
        <v>#NAME?</v>
      </c>
      <c r="O75" t="e">
        <f t="shared" ca="1" si="11"/>
        <v>#NAME?</v>
      </c>
      <c r="P75" s="2" t="e">
        <f ca="1"/>
        <v>#NAME?</v>
      </c>
      <c r="Q75" t="e">
        <f ca="1"/>
        <v>#NAME?</v>
      </c>
      <c r="R75" t="e">
        <f ca="1"/>
        <v>#NAME?</v>
      </c>
      <c r="S75" t="e">
        <f ca="1"/>
        <v>#NAME?</v>
      </c>
      <c r="T75" t="e">
        <f ca="1"/>
        <v>#NAME?</v>
      </c>
      <c r="U75" t="e">
        <f ca="1"/>
        <v>#NAME?</v>
      </c>
      <c r="V75" t="e">
        <f ca="1"/>
        <v>#NAME?</v>
      </c>
      <c r="W75" t="e">
        <f ca="1"/>
        <v>#NAME?</v>
      </c>
      <c r="X75" t="e">
        <f ca="1"/>
        <v>#NAME?</v>
      </c>
      <c r="Y75" t="e">
        <f ca="1"/>
        <v>#NAME?</v>
      </c>
      <c r="Z75" t="e">
        <f ca="1"/>
        <v>#NAME?</v>
      </c>
      <c r="AA75" t="e">
        <f ca="1"/>
        <v>#NAME?</v>
      </c>
      <c r="AB75" t="e">
        <f ca="1"/>
        <v>#NAME?</v>
      </c>
      <c r="AD75" s="2">
        <f t="shared" ca="1" si="12"/>
        <v>0</v>
      </c>
      <c r="AE75" s="46">
        <f t="shared" ca="1" si="13"/>
        <v>0</v>
      </c>
      <c r="AG75" s="72" t="e">
        <f t="shared" ca="1" si="17"/>
        <v>#NAME?</v>
      </c>
      <c r="AH75" s="72" t="e">
        <f t="shared" ca="1" si="18"/>
        <v>#NAME?</v>
      </c>
      <c r="AI75" s="3" t="e">
        <f t="shared" ca="1" si="19"/>
        <v>#NAME?</v>
      </c>
    </row>
    <row r="76" spans="7:35" x14ac:dyDescent="0.25">
      <c r="G76" s="3">
        <f t="shared" ca="1" si="14"/>
        <v>57</v>
      </c>
      <c r="H76" s="105">
        <f t="shared" ca="1" si="16"/>
        <v>44982</v>
      </c>
      <c r="I76" s="132" t="e">
        <f>HLOOKUP($H$4,'Met Data'!$A$2:$F$368,G76,FALSE)</f>
        <v>#N/A</v>
      </c>
      <c r="J76" s="132" t="e">
        <f ca="1">HLOOKUP($H$4,'Met Data'!$H$2:$M$368,G76,FALSE)*L76</f>
        <v>#N/A</v>
      </c>
      <c r="K76" s="106" t="e">
        <f>HLOOKUP($H$4,'Met Data'!$O$2:$T$368,G76,FALSE)</f>
        <v>#N/A</v>
      </c>
      <c r="L76">
        <f t="shared" ca="1" si="10"/>
        <v>1</v>
      </c>
      <c r="N76" t="e">
        <f t="shared" ca="1" si="15"/>
        <v>#NAME?</v>
      </c>
      <c r="O76" t="e">
        <f t="shared" ca="1" si="11"/>
        <v>#NAME?</v>
      </c>
      <c r="P76" s="2" t="e">
        <f ca="1"/>
        <v>#NAME?</v>
      </c>
      <c r="Q76" t="e">
        <f ca="1"/>
        <v>#NAME?</v>
      </c>
      <c r="R76" t="e">
        <f ca="1"/>
        <v>#NAME?</v>
      </c>
      <c r="S76" t="e">
        <f ca="1"/>
        <v>#NAME?</v>
      </c>
      <c r="T76" t="e">
        <f ca="1"/>
        <v>#NAME?</v>
      </c>
      <c r="U76" t="e">
        <f ca="1"/>
        <v>#NAME?</v>
      </c>
      <c r="V76" t="e">
        <f ca="1"/>
        <v>#NAME?</v>
      </c>
      <c r="W76" t="e">
        <f ca="1"/>
        <v>#NAME?</v>
      </c>
      <c r="X76" t="e">
        <f ca="1"/>
        <v>#NAME?</v>
      </c>
      <c r="Y76" t="e">
        <f ca="1"/>
        <v>#NAME?</v>
      </c>
      <c r="Z76" t="e">
        <f ca="1"/>
        <v>#NAME?</v>
      </c>
      <c r="AA76" t="e">
        <f ca="1"/>
        <v>#NAME?</v>
      </c>
      <c r="AB76" t="e">
        <f ca="1"/>
        <v>#NAME?</v>
      </c>
      <c r="AD76" s="2">
        <f t="shared" ca="1" si="12"/>
        <v>0</v>
      </c>
      <c r="AE76" s="46">
        <f t="shared" ca="1" si="13"/>
        <v>0</v>
      </c>
      <c r="AG76" s="72" t="e">
        <f t="shared" ca="1" si="17"/>
        <v>#NAME?</v>
      </c>
      <c r="AH76" s="72" t="e">
        <f t="shared" ca="1" si="18"/>
        <v>#NAME?</v>
      </c>
      <c r="AI76" s="3" t="e">
        <f t="shared" ca="1" si="19"/>
        <v>#NAME?</v>
      </c>
    </row>
    <row r="77" spans="7:35" x14ac:dyDescent="0.25">
      <c r="G77" s="3">
        <f t="shared" ca="1" si="14"/>
        <v>58</v>
      </c>
      <c r="H77" s="105">
        <f t="shared" ca="1" si="16"/>
        <v>44983</v>
      </c>
      <c r="I77" s="132" t="e">
        <f>HLOOKUP($H$4,'Met Data'!$A$2:$F$368,G77,FALSE)</f>
        <v>#N/A</v>
      </c>
      <c r="J77" s="132" t="e">
        <f ca="1">HLOOKUP($H$4,'Met Data'!$H$2:$M$368,G77,FALSE)*L77</f>
        <v>#N/A</v>
      </c>
      <c r="K77" s="106" t="e">
        <f>HLOOKUP($H$4,'Met Data'!$O$2:$T$368,G77,FALSE)</f>
        <v>#N/A</v>
      </c>
      <c r="L77">
        <f t="shared" ca="1" si="10"/>
        <v>1</v>
      </c>
      <c r="N77" t="e">
        <f t="shared" ca="1" si="15"/>
        <v>#NAME?</v>
      </c>
      <c r="O77" t="e">
        <f t="shared" ca="1" si="11"/>
        <v>#NAME?</v>
      </c>
      <c r="P77" s="2" t="e">
        <f ca="1"/>
        <v>#NAME?</v>
      </c>
      <c r="Q77" t="e">
        <f ca="1"/>
        <v>#NAME?</v>
      </c>
      <c r="R77" t="e">
        <f ca="1"/>
        <v>#NAME?</v>
      </c>
      <c r="S77" t="e">
        <f ca="1"/>
        <v>#NAME?</v>
      </c>
      <c r="T77" t="e">
        <f ca="1"/>
        <v>#NAME?</v>
      </c>
      <c r="U77" t="e">
        <f ca="1"/>
        <v>#NAME?</v>
      </c>
      <c r="V77" t="e">
        <f ca="1"/>
        <v>#NAME?</v>
      </c>
      <c r="W77" t="e">
        <f ca="1"/>
        <v>#NAME?</v>
      </c>
      <c r="X77" t="e">
        <f ca="1"/>
        <v>#NAME?</v>
      </c>
      <c r="Y77" t="e">
        <f ca="1"/>
        <v>#NAME?</v>
      </c>
      <c r="Z77" t="e">
        <f ca="1"/>
        <v>#NAME?</v>
      </c>
      <c r="AA77" t="e">
        <f ca="1"/>
        <v>#NAME?</v>
      </c>
      <c r="AB77" t="e">
        <f ca="1"/>
        <v>#NAME?</v>
      </c>
      <c r="AD77" s="2">
        <f t="shared" ca="1" si="12"/>
        <v>0</v>
      </c>
      <c r="AE77" s="46">
        <f t="shared" ca="1" si="13"/>
        <v>0</v>
      </c>
      <c r="AG77" s="72" t="e">
        <f t="shared" ca="1" si="17"/>
        <v>#NAME?</v>
      </c>
      <c r="AH77" s="72" t="e">
        <f t="shared" ca="1" si="18"/>
        <v>#NAME?</v>
      </c>
      <c r="AI77" s="3" t="e">
        <f t="shared" ca="1" si="19"/>
        <v>#NAME?</v>
      </c>
    </row>
    <row r="78" spans="7:35" x14ac:dyDescent="0.25">
      <c r="G78" s="3">
        <f t="shared" ca="1" si="14"/>
        <v>59</v>
      </c>
      <c r="H78" s="105">
        <f t="shared" ca="1" si="16"/>
        <v>44984</v>
      </c>
      <c r="I78" s="132" t="e">
        <f>HLOOKUP($H$4,'Met Data'!$A$2:$F$368,G78,FALSE)</f>
        <v>#N/A</v>
      </c>
      <c r="J78" s="132" t="e">
        <f ca="1">HLOOKUP($H$4,'Met Data'!$H$2:$M$368,G78,FALSE)*L78</f>
        <v>#N/A</v>
      </c>
      <c r="K78" s="106" t="e">
        <f>HLOOKUP($H$4,'Met Data'!$O$2:$T$368,G78,FALSE)</f>
        <v>#N/A</v>
      </c>
      <c r="L78">
        <f t="shared" ca="1" si="10"/>
        <v>1</v>
      </c>
      <c r="N78" t="e">
        <f t="shared" ca="1" si="15"/>
        <v>#NAME?</v>
      </c>
      <c r="O78" t="e">
        <f t="shared" ca="1" si="11"/>
        <v>#NAME?</v>
      </c>
      <c r="P78" s="2" t="e">
        <f ca="1"/>
        <v>#NAME?</v>
      </c>
      <c r="Q78" t="e">
        <f ca="1"/>
        <v>#NAME?</v>
      </c>
      <c r="R78" t="e">
        <f ca="1"/>
        <v>#NAME?</v>
      </c>
      <c r="S78" t="e">
        <f ca="1"/>
        <v>#NAME?</v>
      </c>
      <c r="T78" t="e">
        <f ca="1"/>
        <v>#NAME?</v>
      </c>
      <c r="U78" t="e">
        <f ca="1"/>
        <v>#NAME?</v>
      </c>
      <c r="V78" t="e">
        <f ca="1"/>
        <v>#NAME?</v>
      </c>
      <c r="W78" t="e">
        <f ca="1"/>
        <v>#NAME?</v>
      </c>
      <c r="X78" t="e">
        <f ca="1"/>
        <v>#NAME?</v>
      </c>
      <c r="Y78" t="e">
        <f ca="1"/>
        <v>#NAME?</v>
      </c>
      <c r="Z78" t="e">
        <f ca="1"/>
        <v>#NAME?</v>
      </c>
      <c r="AA78" t="e">
        <f ca="1"/>
        <v>#NAME?</v>
      </c>
      <c r="AB78" t="e">
        <f ca="1"/>
        <v>#NAME?</v>
      </c>
      <c r="AD78" s="2">
        <f t="shared" ca="1" si="12"/>
        <v>0</v>
      </c>
      <c r="AE78" s="46">
        <f t="shared" ca="1" si="13"/>
        <v>0</v>
      </c>
      <c r="AG78" s="72" t="e">
        <f t="shared" ca="1" si="17"/>
        <v>#NAME?</v>
      </c>
      <c r="AH78" s="72" t="e">
        <f t="shared" ca="1" si="18"/>
        <v>#NAME?</v>
      </c>
      <c r="AI78" s="3" t="e">
        <f t="shared" ca="1" si="19"/>
        <v>#NAME?</v>
      </c>
    </row>
    <row r="79" spans="7:35" x14ac:dyDescent="0.25">
      <c r="G79" s="3">
        <f t="shared" ca="1" si="14"/>
        <v>60</v>
      </c>
      <c r="H79" s="105">
        <f t="shared" ca="1" si="16"/>
        <v>44985</v>
      </c>
      <c r="I79" s="132" t="e">
        <f>HLOOKUP($H$4,'Met Data'!$A$2:$F$368,G79,FALSE)</f>
        <v>#N/A</v>
      </c>
      <c r="J79" s="132" t="e">
        <f ca="1">HLOOKUP($H$4,'Met Data'!$H$2:$M$368,G79,FALSE)*L79</f>
        <v>#N/A</v>
      </c>
      <c r="K79" s="106" t="e">
        <f>HLOOKUP($H$4,'Met Data'!$O$2:$T$368,G79,FALSE)</f>
        <v>#N/A</v>
      </c>
      <c r="L79">
        <f t="shared" ca="1" si="10"/>
        <v>1</v>
      </c>
      <c r="N79" t="e">
        <f t="shared" ca="1" si="15"/>
        <v>#NAME?</v>
      </c>
      <c r="O79" t="e">
        <f t="shared" ca="1" si="11"/>
        <v>#NAME?</v>
      </c>
      <c r="P79" s="2" t="e">
        <f ca="1"/>
        <v>#NAME?</v>
      </c>
      <c r="Q79" t="e">
        <f ca="1"/>
        <v>#NAME?</v>
      </c>
      <c r="R79" t="e">
        <f ca="1"/>
        <v>#NAME?</v>
      </c>
      <c r="S79" t="e">
        <f ca="1"/>
        <v>#NAME?</v>
      </c>
      <c r="T79" t="e">
        <f ca="1"/>
        <v>#NAME?</v>
      </c>
      <c r="U79" t="e">
        <f ca="1"/>
        <v>#NAME?</v>
      </c>
      <c r="V79" t="e">
        <f ca="1"/>
        <v>#NAME?</v>
      </c>
      <c r="W79" t="e">
        <f ca="1"/>
        <v>#NAME?</v>
      </c>
      <c r="X79" t="e">
        <f ca="1"/>
        <v>#NAME?</v>
      </c>
      <c r="Y79" t="e">
        <f ca="1"/>
        <v>#NAME?</v>
      </c>
      <c r="Z79" t="e">
        <f ca="1"/>
        <v>#NAME?</v>
      </c>
      <c r="AA79" t="e">
        <f ca="1"/>
        <v>#NAME?</v>
      </c>
      <c r="AB79" t="e">
        <f ca="1"/>
        <v>#NAME?</v>
      </c>
      <c r="AD79" s="2">
        <f t="shared" ca="1" si="12"/>
        <v>0</v>
      </c>
      <c r="AE79" s="46">
        <f t="shared" ca="1" si="13"/>
        <v>0</v>
      </c>
      <c r="AG79" s="72" t="e">
        <f t="shared" ca="1" si="17"/>
        <v>#NAME?</v>
      </c>
      <c r="AH79" s="72" t="e">
        <f t="shared" ca="1" si="18"/>
        <v>#NAME?</v>
      </c>
      <c r="AI79" s="3" t="e">
        <f t="shared" ca="1" si="19"/>
        <v>#NAME?</v>
      </c>
    </row>
    <row r="80" spans="7:35" x14ac:dyDescent="0.25">
      <c r="G80" s="3">
        <f t="shared" ca="1" si="14"/>
        <v>61</v>
      </c>
      <c r="H80" s="105">
        <f t="shared" ca="1" si="16"/>
        <v>44986</v>
      </c>
      <c r="I80" s="132" t="e">
        <f>HLOOKUP($H$4,'Met Data'!$A$2:$F$368,G80,FALSE)</f>
        <v>#N/A</v>
      </c>
      <c r="J80" s="132" t="e">
        <f ca="1">HLOOKUP($H$4,'Met Data'!$H$2:$M$368,G80,FALSE)*L80</f>
        <v>#N/A</v>
      </c>
      <c r="K80" s="106" t="e">
        <f>HLOOKUP($H$4,'Met Data'!$O$2:$T$368,G80,FALSE)</f>
        <v>#N/A</v>
      </c>
      <c r="L80">
        <f t="shared" ca="1" si="10"/>
        <v>1</v>
      </c>
      <c r="N80" t="e">
        <f t="shared" ca="1" si="15"/>
        <v>#NAME?</v>
      </c>
      <c r="O80" t="e">
        <f t="shared" ca="1" si="11"/>
        <v>#NAME?</v>
      </c>
      <c r="P80" s="2" t="e">
        <f ca="1"/>
        <v>#NAME?</v>
      </c>
      <c r="Q80" t="e">
        <f ca="1"/>
        <v>#NAME?</v>
      </c>
      <c r="R80" t="e">
        <f ca="1"/>
        <v>#NAME?</v>
      </c>
      <c r="S80" t="e">
        <f ca="1"/>
        <v>#NAME?</v>
      </c>
      <c r="T80" t="e">
        <f ca="1"/>
        <v>#NAME?</v>
      </c>
      <c r="U80" t="e">
        <f ca="1"/>
        <v>#NAME?</v>
      </c>
      <c r="V80" t="e">
        <f ca="1"/>
        <v>#NAME?</v>
      </c>
      <c r="W80" t="e">
        <f ca="1"/>
        <v>#NAME?</v>
      </c>
      <c r="X80" t="e">
        <f ca="1"/>
        <v>#NAME?</v>
      </c>
      <c r="Y80" t="e">
        <f ca="1"/>
        <v>#NAME?</v>
      </c>
      <c r="Z80" t="e">
        <f ca="1"/>
        <v>#NAME?</v>
      </c>
      <c r="AA80" t="e">
        <f ca="1"/>
        <v>#NAME?</v>
      </c>
      <c r="AB80" t="e">
        <f ca="1"/>
        <v>#NAME?</v>
      </c>
      <c r="AD80" s="2">
        <f t="shared" ca="1" si="12"/>
        <v>0</v>
      </c>
      <c r="AE80" s="46">
        <f t="shared" ca="1" si="13"/>
        <v>0</v>
      </c>
      <c r="AG80" s="72" t="e">
        <f t="shared" ca="1" si="17"/>
        <v>#NAME?</v>
      </c>
      <c r="AH80" s="72" t="e">
        <f t="shared" ca="1" si="18"/>
        <v>#NAME?</v>
      </c>
      <c r="AI80" s="3" t="e">
        <f t="shared" ca="1" si="19"/>
        <v>#NAME?</v>
      </c>
    </row>
    <row r="81" spans="7:35" x14ac:dyDescent="0.25">
      <c r="G81" s="3">
        <f t="shared" ca="1" si="14"/>
        <v>62</v>
      </c>
      <c r="H81" s="105">
        <f t="shared" ca="1" si="16"/>
        <v>44987</v>
      </c>
      <c r="I81" s="132" t="e">
        <f>HLOOKUP($H$4,'Met Data'!$A$2:$F$368,G81,FALSE)</f>
        <v>#N/A</v>
      </c>
      <c r="J81" s="132" t="e">
        <f ca="1">HLOOKUP($H$4,'Met Data'!$H$2:$M$368,G81,FALSE)*L81</f>
        <v>#N/A</v>
      </c>
      <c r="K81" s="106" t="e">
        <f>HLOOKUP($H$4,'Met Data'!$O$2:$T$368,G81,FALSE)</f>
        <v>#N/A</v>
      </c>
      <c r="L81">
        <f t="shared" ca="1" si="10"/>
        <v>1</v>
      </c>
      <c r="N81" t="e">
        <f t="shared" ca="1" si="15"/>
        <v>#NAME?</v>
      </c>
      <c r="O81" t="e">
        <f t="shared" ca="1" si="11"/>
        <v>#NAME?</v>
      </c>
      <c r="P81" s="2" t="e">
        <f ca="1"/>
        <v>#NAME?</v>
      </c>
      <c r="Q81" t="e">
        <f ca="1"/>
        <v>#NAME?</v>
      </c>
      <c r="R81" t="e">
        <f ca="1"/>
        <v>#NAME?</v>
      </c>
      <c r="S81" t="e">
        <f ca="1"/>
        <v>#NAME?</v>
      </c>
      <c r="T81" t="e">
        <f ca="1"/>
        <v>#NAME?</v>
      </c>
      <c r="U81" t="e">
        <f ca="1"/>
        <v>#NAME?</v>
      </c>
      <c r="V81" t="e">
        <f ca="1"/>
        <v>#NAME?</v>
      </c>
      <c r="W81" t="e">
        <f ca="1"/>
        <v>#NAME?</v>
      </c>
      <c r="X81" t="e">
        <f ca="1"/>
        <v>#NAME?</v>
      </c>
      <c r="Y81" t="e">
        <f ca="1"/>
        <v>#NAME?</v>
      </c>
      <c r="Z81" t="e">
        <f ca="1"/>
        <v>#NAME?</v>
      </c>
      <c r="AA81" t="e">
        <f ca="1"/>
        <v>#NAME?</v>
      </c>
      <c r="AB81" t="e">
        <f ca="1"/>
        <v>#NAME?</v>
      </c>
      <c r="AD81" s="2">
        <f t="shared" ca="1" si="12"/>
        <v>0</v>
      </c>
      <c r="AE81" s="46">
        <f t="shared" ca="1" si="13"/>
        <v>0</v>
      </c>
      <c r="AG81" s="72" t="e">
        <f t="shared" ca="1" si="17"/>
        <v>#NAME?</v>
      </c>
      <c r="AH81" s="72" t="e">
        <f t="shared" ca="1" si="18"/>
        <v>#NAME?</v>
      </c>
      <c r="AI81" s="3" t="e">
        <f t="shared" ca="1" si="19"/>
        <v>#NAME?</v>
      </c>
    </row>
    <row r="82" spans="7:35" x14ac:dyDescent="0.25">
      <c r="G82" s="3">
        <f t="shared" ca="1" si="14"/>
        <v>63</v>
      </c>
      <c r="H82" s="105">
        <f t="shared" ca="1" si="16"/>
        <v>44988</v>
      </c>
      <c r="I82" s="132" t="e">
        <f>HLOOKUP($H$4,'Met Data'!$A$2:$F$368,G82,FALSE)</f>
        <v>#N/A</v>
      </c>
      <c r="J82" s="132" t="e">
        <f ca="1">HLOOKUP($H$4,'Met Data'!$H$2:$M$368,G82,FALSE)*L82</f>
        <v>#N/A</v>
      </c>
      <c r="K82" s="106" t="e">
        <f>HLOOKUP($H$4,'Met Data'!$O$2:$T$368,G82,FALSE)</f>
        <v>#N/A</v>
      </c>
      <c r="L82">
        <f t="shared" ca="1" si="10"/>
        <v>1</v>
      </c>
      <c r="N82" t="e">
        <f t="shared" ca="1" si="15"/>
        <v>#NAME?</v>
      </c>
      <c r="O82" t="e">
        <f t="shared" ca="1" si="11"/>
        <v>#NAME?</v>
      </c>
      <c r="P82" s="2" t="e">
        <f ca="1"/>
        <v>#NAME?</v>
      </c>
      <c r="Q82" t="e">
        <f ca="1"/>
        <v>#NAME?</v>
      </c>
      <c r="R82" t="e">
        <f ca="1"/>
        <v>#NAME?</v>
      </c>
      <c r="S82" t="e">
        <f ca="1"/>
        <v>#NAME?</v>
      </c>
      <c r="T82" t="e">
        <f ca="1"/>
        <v>#NAME?</v>
      </c>
      <c r="U82" t="e">
        <f ca="1"/>
        <v>#NAME?</v>
      </c>
      <c r="V82" t="e">
        <f ca="1"/>
        <v>#NAME?</v>
      </c>
      <c r="W82" t="e">
        <f ca="1"/>
        <v>#NAME?</v>
      </c>
      <c r="X82" t="e">
        <f ca="1"/>
        <v>#NAME?</v>
      </c>
      <c r="Y82" t="e">
        <f ca="1"/>
        <v>#NAME?</v>
      </c>
      <c r="Z82" t="e">
        <f ca="1"/>
        <v>#NAME?</v>
      </c>
      <c r="AA82" t="e">
        <f ca="1"/>
        <v>#NAME?</v>
      </c>
      <c r="AB82" t="e">
        <f ca="1"/>
        <v>#NAME?</v>
      </c>
      <c r="AD82" s="2">
        <f t="shared" ca="1" si="12"/>
        <v>0</v>
      </c>
      <c r="AE82" s="46">
        <f t="shared" ca="1" si="13"/>
        <v>0</v>
      </c>
      <c r="AG82" s="72" t="e">
        <f t="shared" ca="1" si="17"/>
        <v>#NAME?</v>
      </c>
      <c r="AH82" s="72" t="e">
        <f t="shared" ca="1" si="18"/>
        <v>#NAME?</v>
      </c>
      <c r="AI82" s="3" t="e">
        <f t="shared" ca="1" si="19"/>
        <v>#NAME?</v>
      </c>
    </row>
    <row r="83" spans="7:35" x14ac:dyDescent="0.25">
      <c r="G83" s="3">
        <f t="shared" ca="1" si="14"/>
        <v>64</v>
      </c>
      <c r="H83" s="105">
        <f t="shared" ca="1" si="16"/>
        <v>44989</v>
      </c>
      <c r="I83" s="132" t="e">
        <f>HLOOKUP($H$4,'Met Data'!$A$2:$F$368,G83,FALSE)</f>
        <v>#N/A</v>
      </c>
      <c r="J83" s="132" t="e">
        <f ca="1">HLOOKUP($H$4,'Met Data'!$H$2:$M$368,G83,FALSE)*L83</f>
        <v>#N/A</v>
      </c>
      <c r="K83" s="106" t="e">
        <f>HLOOKUP($H$4,'Met Data'!$O$2:$T$368,G83,FALSE)</f>
        <v>#N/A</v>
      </c>
      <c r="L83">
        <f t="shared" ca="1" si="10"/>
        <v>1</v>
      </c>
      <c r="N83" t="e">
        <f t="shared" ca="1" si="15"/>
        <v>#NAME?</v>
      </c>
      <c r="O83" t="e">
        <f t="shared" ca="1" si="11"/>
        <v>#NAME?</v>
      </c>
      <c r="P83" s="2" t="e">
        <f ca="1"/>
        <v>#NAME?</v>
      </c>
      <c r="Q83" t="e">
        <f ca="1"/>
        <v>#NAME?</v>
      </c>
      <c r="R83" t="e">
        <f ca="1"/>
        <v>#NAME?</v>
      </c>
      <c r="S83" t="e">
        <f ca="1"/>
        <v>#NAME?</v>
      </c>
      <c r="T83" t="e">
        <f ca="1"/>
        <v>#NAME?</v>
      </c>
      <c r="U83" t="e">
        <f ca="1"/>
        <v>#NAME?</v>
      </c>
      <c r="V83" t="e">
        <f ca="1"/>
        <v>#NAME?</v>
      </c>
      <c r="W83" t="e">
        <f ca="1"/>
        <v>#NAME?</v>
      </c>
      <c r="X83" t="e">
        <f ca="1"/>
        <v>#NAME?</v>
      </c>
      <c r="Y83" t="e">
        <f ca="1"/>
        <v>#NAME?</v>
      </c>
      <c r="Z83" t="e">
        <f ca="1"/>
        <v>#NAME?</v>
      </c>
      <c r="AA83" t="e">
        <f ca="1"/>
        <v>#NAME?</v>
      </c>
      <c r="AB83" t="e">
        <f ca="1"/>
        <v>#NAME?</v>
      </c>
      <c r="AD83" s="2">
        <f t="shared" ca="1" si="12"/>
        <v>0</v>
      </c>
      <c r="AE83" s="46">
        <f t="shared" ca="1" si="13"/>
        <v>0</v>
      </c>
      <c r="AG83" s="72" t="e">
        <f t="shared" ca="1" si="17"/>
        <v>#NAME?</v>
      </c>
      <c r="AH83" s="72" t="e">
        <f t="shared" ca="1" si="18"/>
        <v>#NAME?</v>
      </c>
      <c r="AI83" s="3" t="e">
        <f t="shared" ca="1" si="19"/>
        <v>#NAME?</v>
      </c>
    </row>
    <row r="84" spans="7:35" x14ac:dyDescent="0.25">
      <c r="G84" s="3">
        <f t="shared" ca="1" si="14"/>
        <v>65</v>
      </c>
      <c r="H84" s="105">
        <f t="shared" ca="1" si="16"/>
        <v>44990</v>
      </c>
      <c r="I84" s="132" t="e">
        <f>HLOOKUP($H$4,'Met Data'!$A$2:$F$368,G84,FALSE)</f>
        <v>#N/A</v>
      </c>
      <c r="J84" s="132" t="e">
        <f ca="1">HLOOKUP($H$4,'Met Data'!$H$2:$M$368,G84,FALSE)*L84</f>
        <v>#N/A</v>
      </c>
      <c r="K84" s="106" t="e">
        <f>HLOOKUP($H$4,'Met Data'!$O$2:$T$368,G84,FALSE)</f>
        <v>#N/A</v>
      </c>
      <c r="L84">
        <f t="shared" ca="1" si="10"/>
        <v>1</v>
      </c>
      <c r="N84" t="e">
        <f t="shared" ca="1" si="15"/>
        <v>#NAME?</v>
      </c>
      <c r="O84" t="e">
        <f t="shared" ca="1" si="11"/>
        <v>#NAME?</v>
      </c>
      <c r="P84" s="2" t="e">
        <f ca="1"/>
        <v>#NAME?</v>
      </c>
      <c r="Q84" t="e">
        <f ca="1"/>
        <v>#NAME?</v>
      </c>
      <c r="R84" t="e">
        <f ca="1"/>
        <v>#NAME?</v>
      </c>
      <c r="S84" t="e">
        <f ca="1"/>
        <v>#NAME?</v>
      </c>
      <c r="T84" t="e">
        <f ca="1"/>
        <v>#NAME?</v>
      </c>
      <c r="U84" t="e">
        <f ca="1"/>
        <v>#NAME?</v>
      </c>
      <c r="V84" t="e">
        <f ca="1"/>
        <v>#NAME?</v>
      </c>
      <c r="W84" t="e">
        <f ca="1"/>
        <v>#NAME?</v>
      </c>
      <c r="X84" t="e">
        <f ca="1"/>
        <v>#NAME?</v>
      </c>
      <c r="Y84" t="e">
        <f ca="1"/>
        <v>#NAME?</v>
      </c>
      <c r="Z84" t="e">
        <f ca="1"/>
        <v>#NAME?</v>
      </c>
      <c r="AA84" t="e">
        <f ca="1"/>
        <v>#NAME?</v>
      </c>
      <c r="AB84" t="e">
        <f ca="1"/>
        <v>#NAME?</v>
      </c>
      <c r="AD84" s="2">
        <f t="shared" ca="1" si="12"/>
        <v>0</v>
      </c>
      <c r="AE84" s="46">
        <f t="shared" ca="1" si="13"/>
        <v>0</v>
      </c>
      <c r="AG84" s="72" t="e">
        <f t="shared" ca="1" si="17"/>
        <v>#NAME?</v>
      </c>
      <c r="AH84" s="72" t="e">
        <f t="shared" ca="1" si="18"/>
        <v>#NAME?</v>
      </c>
      <c r="AI84" s="3" t="e">
        <f t="shared" ca="1" si="19"/>
        <v>#NAME?</v>
      </c>
    </row>
    <row r="85" spans="7:35" x14ac:dyDescent="0.25">
      <c r="G85" s="3">
        <f t="shared" ca="1" si="14"/>
        <v>66</v>
      </c>
      <c r="H85" s="105">
        <f t="shared" ca="1" si="16"/>
        <v>44991</v>
      </c>
      <c r="I85" s="132" t="e">
        <f>HLOOKUP($H$4,'Met Data'!$A$2:$F$368,G85,FALSE)</f>
        <v>#N/A</v>
      </c>
      <c r="J85" s="132" t="e">
        <f ca="1">HLOOKUP($H$4,'Met Data'!$H$2:$M$368,G85,FALSE)*L85</f>
        <v>#N/A</v>
      </c>
      <c r="K85" s="106" t="e">
        <f>HLOOKUP($H$4,'Met Data'!$O$2:$T$368,G85,FALSE)</f>
        <v>#N/A</v>
      </c>
      <c r="L85">
        <f t="shared" ca="1" si="10"/>
        <v>1</v>
      </c>
      <c r="N85" t="e">
        <f t="shared" ca="1" si="15"/>
        <v>#NAME?</v>
      </c>
      <c r="O85" t="e">
        <f t="shared" ca="1" si="11"/>
        <v>#NAME?</v>
      </c>
      <c r="P85" s="2" t="e">
        <f ca="1"/>
        <v>#NAME?</v>
      </c>
      <c r="Q85" t="e">
        <f ca="1"/>
        <v>#NAME?</v>
      </c>
      <c r="R85" t="e">
        <f ca="1"/>
        <v>#NAME?</v>
      </c>
      <c r="S85" t="e">
        <f ca="1"/>
        <v>#NAME?</v>
      </c>
      <c r="T85" t="e">
        <f ca="1"/>
        <v>#NAME?</v>
      </c>
      <c r="U85" t="e">
        <f ca="1"/>
        <v>#NAME?</v>
      </c>
      <c r="V85" t="e">
        <f ca="1"/>
        <v>#NAME?</v>
      </c>
      <c r="W85" t="e">
        <f ca="1"/>
        <v>#NAME?</v>
      </c>
      <c r="X85" t="e">
        <f ca="1"/>
        <v>#NAME?</v>
      </c>
      <c r="Y85" t="e">
        <f ca="1"/>
        <v>#NAME?</v>
      </c>
      <c r="Z85" t="e">
        <f ca="1"/>
        <v>#NAME?</v>
      </c>
      <c r="AA85" t="e">
        <f ca="1"/>
        <v>#NAME?</v>
      </c>
      <c r="AB85" t="e">
        <f ca="1"/>
        <v>#NAME?</v>
      </c>
      <c r="AD85" s="2">
        <f t="shared" ca="1" si="12"/>
        <v>0</v>
      </c>
      <c r="AE85" s="46">
        <f t="shared" ca="1" si="13"/>
        <v>0</v>
      </c>
      <c r="AG85" s="72" t="e">
        <f t="shared" ca="1" si="17"/>
        <v>#NAME?</v>
      </c>
      <c r="AH85" s="72" t="e">
        <f t="shared" ca="1" si="18"/>
        <v>#NAME?</v>
      </c>
      <c r="AI85" s="3" t="e">
        <f t="shared" ca="1" si="19"/>
        <v>#NAME?</v>
      </c>
    </row>
    <row r="86" spans="7:35" x14ac:dyDescent="0.25">
      <c r="G86" s="3">
        <f t="shared" ca="1" si="14"/>
        <v>67</v>
      </c>
      <c r="H86" s="105">
        <f t="shared" ca="1" si="16"/>
        <v>44992</v>
      </c>
      <c r="I86" s="132" t="e">
        <f>HLOOKUP($H$4,'Met Data'!$A$2:$F$368,G86,FALSE)</f>
        <v>#N/A</v>
      </c>
      <c r="J86" s="132" t="e">
        <f ca="1">HLOOKUP($H$4,'Met Data'!$H$2:$M$368,G86,FALSE)*L86</f>
        <v>#N/A</v>
      </c>
      <c r="K86" s="106" t="e">
        <f>HLOOKUP($H$4,'Met Data'!$O$2:$T$368,G86,FALSE)</f>
        <v>#N/A</v>
      </c>
      <c r="L86">
        <f t="shared" ca="1" si="10"/>
        <v>1</v>
      </c>
      <c r="N86" t="e">
        <f t="shared" ca="1" si="15"/>
        <v>#NAME?</v>
      </c>
      <c r="O86" t="e">
        <f t="shared" ca="1" si="11"/>
        <v>#NAME?</v>
      </c>
      <c r="P86" s="2" t="e">
        <f ca="1"/>
        <v>#NAME?</v>
      </c>
      <c r="Q86" t="e">
        <f ca="1"/>
        <v>#NAME?</v>
      </c>
      <c r="R86" t="e">
        <f ca="1"/>
        <v>#NAME?</v>
      </c>
      <c r="S86" t="e">
        <f ca="1"/>
        <v>#NAME?</v>
      </c>
      <c r="T86" t="e">
        <f ca="1"/>
        <v>#NAME?</v>
      </c>
      <c r="U86" t="e">
        <f ca="1"/>
        <v>#NAME?</v>
      </c>
      <c r="V86" t="e">
        <f ca="1"/>
        <v>#NAME?</v>
      </c>
      <c r="W86" t="e">
        <f ca="1"/>
        <v>#NAME?</v>
      </c>
      <c r="X86" t="e">
        <f ca="1"/>
        <v>#NAME?</v>
      </c>
      <c r="Y86" t="e">
        <f ca="1"/>
        <v>#NAME?</v>
      </c>
      <c r="Z86" t="e">
        <f ca="1"/>
        <v>#NAME?</v>
      </c>
      <c r="AA86" t="e">
        <f ca="1"/>
        <v>#NAME?</v>
      </c>
      <c r="AB86" t="e">
        <f ca="1"/>
        <v>#NAME?</v>
      </c>
      <c r="AD86" s="2">
        <f t="shared" ca="1" si="12"/>
        <v>0</v>
      </c>
      <c r="AE86" s="46">
        <f t="shared" ca="1" si="13"/>
        <v>0</v>
      </c>
      <c r="AG86" s="72" t="e">
        <f t="shared" ca="1" si="17"/>
        <v>#NAME?</v>
      </c>
      <c r="AH86" s="72" t="e">
        <f t="shared" ca="1" si="18"/>
        <v>#NAME?</v>
      </c>
      <c r="AI86" s="3" t="e">
        <f t="shared" ca="1" si="19"/>
        <v>#NAME?</v>
      </c>
    </row>
    <row r="87" spans="7:35" x14ac:dyDescent="0.25">
      <c r="G87" s="3">
        <f t="shared" ca="1" si="14"/>
        <v>68</v>
      </c>
      <c r="H87" s="105">
        <f t="shared" ca="1" si="16"/>
        <v>44993</v>
      </c>
      <c r="I87" s="132" t="e">
        <f>HLOOKUP($H$4,'Met Data'!$A$2:$F$368,G87,FALSE)</f>
        <v>#N/A</v>
      </c>
      <c r="J87" s="132" t="e">
        <f ca="1">HLOOKUP($H$4,'Met Data'!$H$2:$M$368,G87,FALSE)*L87</f>
        <v>#N/A</v>
      </c>
      <c r="K87" s="106" t="e">
        <f>HLOOKUP($H$4,'Met Data'!$O$2:$T$368,G87,FALSE)</f>
        <v>#N/A</v>
      </c>
      <c r="L87">
        <f t="shared" ca="1" si="10"/>
        <v>1</v>
      </c>
      <c r="N87" t="e">
        <f t="shared" ca="1" si="15"/>
        <v>#NAME?</v>
      </c>
      <c r="O87" t="e">
        <f t="shared" ca="1" si="11"/>
        <v>#NAME?</v>
      </c>
      <c r="P87" s="2" t="e">
        <f ca="1"/>
        <v>#NAME?</v>
      </c>
      <c r="Q87" t="e">
        <f ca="1"/>
        <v>#NAME?</v>
      </c>
      <c r="R87" t="e">
        <f ca="1"/>
        <v>#NAME?</v>
      </c>
      <c r="S87" t="e">
        <f ca="1"/>
        <v>#NAME?</v>
      </c>
      <c r="T87" t="e">
        <f ca="1"/>
        <v>#NAME?</v>
      </c>
      <c r="U87" t="e">
        <f ca="1"/>
        <v>#NAME?</v>
      </c>
      <c r="V87" t="e">
        <f ca="1"/>
        <v>#NAME?</v>
      </c>
      <c r="W87" t="e">
        <f ca="1"/>
        <v>#NAME?</v>
      </c>
      <c r="X87" t="e">
        <f ca="1"/>
        <v>#NAME?</v>
      </c>
      <c r="Y87" t="e">
        <f ca="1"/>
        <v>#NAME?</v>
      </c>
      <c r="Z87" t="e">
        <f ca="1"/>
        <v>#NAME?</v>
      </c>
      <c r="AA87" t="e">
        <f ca="1"/>
        <v>#NAME?</v>
      </c>
      <c r="AB87" t="e">
        <f ca="1"/>
        <v>#NAME?</v>
      </c>
      <c r="AD87" s="2">
        <f t="shared" ca="1" si="12"/>
        <v>0</v>
      </c>
      <c r="AE87" s="46">
        <f t="shared" ca="1" si="13"/>
        <v>0</v>
      </c>
      <c r="AG87" s="72" t="e">
        <f t="shared" ca="1" si="17"/>
        <v>#NAME?</v>
      </c>
      <c r="AH87" s="72" t="e">
        <f t="shared" ca="1" si="18"/>
        <v>#NAME?</v>
      </c>
      <c r="AI87" s="3" t="e">
        <f t="shared" ca="1" si="19"/>
        <v>#NAME?</v>
      </c>
    </row>
    <row r="88" spans="7:35" x14ac:dyDescent="0.25">
      <c r="G88" s="3">
        <f t="shared" ca="1" si="14"/>
        <v>69</v>
      </c>
      <c r="H88" s="105">
        <f t="shared" ca="1" si="16"/>
        <v>44994</v>
      </c>
      <c r="I88" s="132" t="e">
        <f>HLOOKUP($H$4,'Met Data'!$A$2:$F$368,G88,FALSE)</f>
        <v>#N/A</v>
      </c>
      <c r="J88" s="132" t="e">
        <f ca="1">HLOOKUP($H$4,'Met Data'!$H$2:$M$368,G88,FALSE)*L88</f>
        <v>#N/A</v>
      </c>
      <c r="K88" s="106" t="e">
        <f>HLOOKUP($H$4,'Met Data'!$O$2:$T$368,G88,FALSE)</f>
        <v>#N/A</v>
      </c>
      <c r="L88">
        <f t="shared" ca="1" si="10"/>
        <v>1</v>
      </c>
      <c r="N88" t="e">
        <f t="shared" ca="1" si="15"/>
        <v>#NAME?</v>
      </c>
      <c r="O88" t="e">
        <f t="shared" ca="1" si="11"/>
        <v>#NAME?</v>
      </c>
      <c r="P88" s="2" t="e">
        <f ca="1"/>
        <v>#NAME?</v>
      </c>
      <c r="Q88" t="e">
        <f ca="1"/>
        <v>#NAME?</v>
      </c>
      <c r="R88" t="e">
        <f ca="1"/>
        <v>#NAME?</v>
      </c>
      <c r="S88" t="e">
        <f ca="1"/>
        <v>#NAME?</v>
      </c>
      <c r="T88" t="e">
        <f ca="1"/>
        <v>#NAME?</v>
      </c>
      <c r="U88" t="e">
        <f ca="1"/>
        <v>#NAME?</v>
      </c>
      <c r="V88" t="e">
        <f ca="1"/>
        <v>#NAME?</v>
      </c>
      <c r="W88" t="e">
        <f ca="1"/>
        <v>#NAME?</v>
      </c>
      <c r="X88" t="e">
        <f ca="1"/>
        <v>#NAME?</v>
      </c>
      <c r="Y88" t="e">
        <f ca="1"/>
        <v>#NAME?</v>
      </c>
      <c r="Z88" t="e">
        <f ca="1"/>
        <v>#NAME?</v>
      </c>
      <c r="AA88" t="e">
        <f ca="1"/>
        <v>#NAME?</v>
      </c>
      <c r="AB88" t="e">
        <f ca="1"/>
        <v>#NAME?</v>
      </c>
      <c r="AD88" s="2">
        <f t="shared" ca="1" si="12"/>
        <v>0</v>
      </c>
      <c r="AE88" s="46">
        <f t="shared" ca="1" si="13"/>
        <v>0</v>
      </c>
      <c r="AG88" s="72" t="e">
        <f t="shared" ca="1" si="17"/>
        <v>#NAME?</v>
      </c>
      <c r="AH88" s="72" t="e">
        <f t="shared" ca="1" si="18"/>
        <v>#NAME?</v>
      </c>
      <c r="AI88" s="3" t="e">
        <f t="shared" ca="1" si="19"/>
        <v>#NAME?</v>
      </c>
    </row>
    <row r="89" spans="7:35" x14ac:dyDescent="0.25">
      <c r="G89" s="3">
        <f t="shared" ca="1" si="14"/>
        <v>70</v>
      </c>
      <c r="H89" s="105">
        <f t="shared" ca="1" si="16"/>
        <v>44995</v>
      </c>
      <c r="I89" s="132" t="e">
        <f>HLOOKUP($H$4,'Met Data'!$A$2:$F$368,G89,FALSE)</f>
        <v>#N/A</v>
      </c>
      <c r="J89" s="132" t="e">
        <f ca="1">HLOOKUP($H$4,'Met Data'!$H$2:$M$368,G89,FALSE)*L89</f>
        <v>#N/A</v>
      </c>
      <c r="K89" s="106" t="e">
        <f>HLOOKUP($H$4,'Met Data'!$O$2:$T$368,G89,FALSE)</f>
        <v>#N/A</v>
      </c>
      <c r="L89">
        <f t="shared" ca="1" si="10"/>
        <v>1</v>
      </c>
      <c r="N89" t="e">
        <f t="shared" ca="1" si="15"/>
        <v>#NAME?</v>
      </c>
      <c r="O89" t="e">
        <f t="shared" ca="1" si="11"/>
        <v>#NAME?</v>
      </c>
      <c r="P89" s="2" t="e">
        <f ca="1"/>
        <v>#NAME?</v>
      </c>
      <c r="Q89" t="e">
        <f ca="1"/>
        <v>#NAME?</v>
      </c>
      <c r="R89" t="e">
        <f ca="1"/>
        <v>#NAME?</v>
      </c>
      <c r="S89" t="e">
        <f ca="1"/>
        <v>#NAME?</v>
      </c>
      <c r="T89" t="e">
        <f ca="1"/>
        <v>#NAME?</v>
      </c>
      <c r="U89" t="e">
        <f ca="1"/>
        <v>#NAME?</v>
      </c>
      <c r="V89" t="e">
        <f ca="1"/>
        <v>#NAME?</v>
      </c>
      <c r="W89" t="e">
        <f ca="1"/>
        <v>#NAME?</v>
      </c>
      <c r="X89" t="e">
        <f ca="1"/>
        <v>#NAME?</v>
      </c>
      <c r="Y89" t="e">
        <f ca="1"/>
        <v>#NAME?</v>
      </c>
      <c r="Z89" t="e">
        <f ca="1"/>
        <v>#NAME?</v>
      </c>
      <c r="AA89" t="e">
        <f ca="1"/>
        <v>#NAME?</v>
      </c>
      <c r="AB89" t="e">
        <f ca="1"/>
        <v>#NAME?</v>
      </c>
      <c r="AD89" s="2">
        <f t="shared" ca="1" si="12"/>
        <v>0</v>
      </c>
      <c r="AE89" s="46">
        <f t="shared" ca="1" si="13"/>
        <v>0</v>
      </c>
      <c r="AG89" s="72" t="e">
        <f t="shared" ca="1" si="17"/>
        <v>#NAME?</v>
      </c>
      <c r="AH89" s="72" t="e">
        <f t="shared" ca="1" si="18"/>
        <v>#NAME?</v>
      </c>
      <c r="AI89" s="3" t="e">
        <f t="shared" ca="1" si="19"/>
        <v>#NAME?</v>
      </c>
    </row>
    <row r="90" spans="7:35" x14ac:dyDescent="0.25">
      <c r="G90" s="3">
        <f t="shared" ca="1" si="14"/>
        <v>71</v>
      </c>
      <c r="H90" s="105">
        <f t="shared" ca="1" si="16"/>
        <v>44996</v>
      </c>
      <c r="I90" s="132" t="e">
        <f>HLOOKUP($H$4,'Met Data'!$A$2:$F$368,G90,FALSE)</f>
        <v>#N/A</v>
      </c>
      <c r="J90" s="132" t="e">
        <f ca="1">HLOOKUP($H$4,'Met Data'!$H$2:$M$368,G90,FALSE)*L90</f>
        <v>#N/A</v>
      </c>
      <c r="K90" s="106" t="e">
        <f>HLOOKUP($H$4,'Met Data'!$O$2:$T$368,G90,FALSE)</f>
        <v>#N/A</v>
      </c>
      <c r="L90">
        <f t="shared" ca="1" si="10"/>
        <v>1</v>
      </c>
      <c r="N90" t="e">
        <f t="shared" ca="1" si="15"/>
        <v>#NAME?</v>
      </c>
      <c r="O90" t="e">
        <f t="shared" ca="1" si="11"/>
        <v>#NAME?</v>
      </c>
      <c r="P90" s="2" t="e">
        <f ca="1"/>
        <v>#NAME?</v>
      </c>
      <c r="Q90" t="e">
        <f ca="1"/>
        <v>#NAME?</v>
      </c>
      <c r="R90" t="e">
        <f ca="1"/>
        <v>#NAME?</v>
      </c>
      <c r="S90" t="e">
        <f ca="1"/>
        <v>#NAME?</v>
      </c>
      <c r="T90" t="e">
        <f ca="1"/>
        <v>#NAME?</v>
      </c>
      <c r="U90" t="e">
        <f ca="1"/>
        <v>#NAME?</v>
      </c>
      <c r="V90" t="e">
        <f ca="1"/>
        <v>#NAME?</v>
      </c>
      <c r="W90" t="e">
        <f ca="1"/>
        <v>#NAME?</v>
      </c>
      <c r="X90" t="e">
        <f ca="1"/>
        <v>#NAME?</v>
      </c>
      <c r="Y90" t="e">
        <f ca="1"/>
        <v>#NAME?</v>
      </c>
      <c r="Z90" t="e">
        <f ca="1"/>
        <v>#NAME?</v>
      </c>
      <c r="AA90" t="e">
        <f ca="1"/>
        <v>#NAME?</v>
      </c>
      <c r="AB90" t="e">
        <f ca="1"/>
        <v>#NAME?</v>
      </c>
      <c r="AD90" s="2">
        <f t="shared" ca="1" si="12"/>
        <v>0</v>
      </c>
      <c r="AE90" s="46">
        <f t="shared" ca="1" si="13"/>
        <v>0</v>
      </c>
      <c r="AG90" s="72" t="e">
        <f t="shared" ca="1" si="17"/>
        <v>#NAME?</v>
      </c>
      <c r="AH90" s="72" t="e">
        <f t="shared" ca="1" si="18"/>
        <v>#NAME?</v>
      </c>
      <c r="AI90" s="3" t="e">
        <f t="shared" ca="1" si="19"/>
        <v>#NAME?</v>
      </c>
    </row>
    <row r="91" spans="7:35" x14ac:dyDescent="0.25">
      <c r="G91" s="3">
        <f t="shared" ca="1" si="14"/>
        <v>72</v>
      </c>
      <c r="H91" s="105">
        <f t="shared" ca="1" si="16"/>
        <v>44997</v>
      </c>
      <c r="I91" s="132" t="e">
        <f>HLOOKUP($H$4,'Met Data'!$A$2:$F$368,G91,FALSE)</f>
        <v>#N/A</v>
      </c>
      <c r="J91" s="132" t="e">
        <f ca="1">HLOOKUP($H$4,'Met Data'!$H$2:$M$368,G91,FALSE)*L91</f>
        <v>#N/A</v>
      </c>
      <c r="K91" s="106" t="e">
        <f>HLOOKUP($H$4,'Met Data'!$O$2:$T$368,G91,FALSE)</f>
        <v>#N/A</v>
      </c>
      <c r="L91">
        <f t="shared" ca="1" si="10"/>
        <v>1</v>
      </c>
      <c r="N91" t="e">
        <f t="shared" ca="1" si="15"/>
        <v>#NAME?</v>
      </c>
      <c r="O91" t="e">
        <f t="shared" ca="1" si="11"/>
        <v>#NAME?</v>
      </c>
      <c r="P91" s="2" t="e">
        <f ca="1"/>
        <v>#NAME?</v>
      </c>
      <c r="Q91" t="e">
        <f ca="1"/>
        <v>#NAME?</v>
      </c>
      <c r="R91" t="e">
        <f ca="1"/>
        <v>#NAME?</v>
      </c>
      <c r="S91" t="e">
        <f ca="1"/>
        <v>#NAME?</v>
      </c>
      <c r="T91" t="e">
        <f ca="1"/>
        <v>#NAME?</v>
      </c>
      <c r="U91" t="e">
        <f ca="1"/>
        <v>#NAME?</v>
      </c>
      <c r="V91" t="e">
        <f ca="1"/>
        <v>#NAME?</v>
      </c>
      <c r="W91" t="e">
        <f ca="1"/>
        <v>#NAME?</v>
      </c>
      <c r="X91" t="e">
        <f ca="1"/>
        <v>#NAME?</v>
      </c>
      <c r="Y91" t="e">
        <f ca="1"/>
        <v>#NAME?</v>
      </c>
      <c r="Z91" t="e">
        <f ca="1"/>
        <v>#NAME?</v>
      </c>
      <c r="AA91" t="e">
        <f ca="1"/>
        <v>#NAME?</v>
      </c>
      <c r="AB91" t="e">
        <f ca="1"/>
        <v>#NAME?</v>
      </c>
      <c r="AD91" s="2">
        <f t="shared" ca="1" si="12"/>
        <v>0</v>
      </c>
      <c r="AE91" s="46">
        <f t="shared" ca="1" si="13"/>
        <v>0</v>
      </c>
      <c r="AG91" s="72" t="e">
        <f t="shared" ca="1" si="17"/>
        <v>#NAME?</v>
      </c>
      <c r="AH91" s="72" t="e">
        <f t="shared" ca="1" si="18"/>
        <v>#NAME?</v>
      </c>
      <c r="AI91" s="3" t="e">
        <f t="shared" ca="1" si="19"/>
        <v>#NAME?</v>
      </c>
    </row>
    <row r="92" spans="7:35" x14ac:dyDescent="0.25">
      <c r="G92" s="3">
        <f t="shared" ca="1" si="14"/>
        <v>73</v>
      </c>
      <c r="H92" s="105">
        <f t="shared" ca="1" si="16"/>
        <v>44998</v>
      </c>
      <c r="I92" s="132" t="e">
        <f>HLOOKUP($H$4,'Met Data'!$A$2:$F$368,G92,FALSE)</f>
        <v>#N/A</v>
      </c>
      <c r="J92" s="132" t="e">
        <f ca="1">HLOOKUP($H$4,'Met Data'!$H$2:$M$368,G92,FALSE)*L92</f>
        <v>#N/A</v>
      </c>
      <c r="K92" s="106" t="e">
        <f>HLOOKUP($H$4,'Met Data'!$O$2:$T$368,G92,FALSE)</f>
        <v>#N/A</v>
      </c>
      <c r="L92">
        <f t="shared" ca="1" si="10"/>
        <v>1</v>
      </c>
      <c r="N92" t="e">
        <f t="shared" ca="1" si="15"/>
        <v>#NAME?</v>
      </c>
      <c r="O92" t="e">
        <f t="shared" ca="1" si="11"/>
        <v>#NAME?</v>
      </c>
      <c r="P92" s="2" t="e">
        <f ca="1"/>
        <v>#NAME?</v>
      </c>
      <c r="Q92" t="e">
        <f ca="1"/>
        <v>#NAME?</v>
      </c>
      <c r="R92" t="e">
        <f ca="1"/>
        <v>#NAME?</v>
      </c>
      <c r="S92" t="e">
        <f ca="1"/>
        <v>#NAME?</v>
      </c>
      <c r="T92" t="e">
        <f ca="1"/>
        <v>#NAME?</v>
      </c>
      <c r="U92" t="e">
        <f ca="1"/>
        <v>#NAME?</v>
      </c>
      <c r="V92" t="e">
        <f ca="1"/>
        <v>#NAME?</v>
      </c>
      <c r="W92" t="e">
        <f ca="1"/>
        <v>#NAME?</v>
      </c>
      <c r="X92" t="e">
        <f ca="1"/>
        <v>#NAME?</v>
      </c>
      <c r="Y92" t="e">
        <f ca="1"/>
        <v>#NAME?</v>
      </c>
      <c r="Z92" t="e">
        <f ca="1"/>
        <v>#NAME?</v>
      </c>
      <c r="AA92" t="e">
        <f ca="1"/>
        <v>#NAME?</v>
      </c>
      <c r="AB92" t="e">
        <f ca="1"/>
        <v>#NAME?</v>
      </c>
      <c r="AD92" s="2">
        <f t="shared" ca="1" si="12"/>
        <v>0</v>
      </c>
      <c r="AE92" s="46">
        <f t="shared" ca="1" si="13"/>
        <v>0</v>
      </c>
      <c r="AG92" s="72" t="e">
        <f t="shared" ca="1" si="17"/>
        <v>#NAME?</v>
      </c>
      <c r="AH92" s="72" t="e">
        <f t="shared" ca="1" si="18"/>
        <v>#NAME?</v>
      </c>
      <c r="AI92" s="3" t="e">
        <f t="shared" ca="1" si="19"/>
        <v>#NAME?</v>
      </c>
    </row>
    <row r="93" spans="7:35" x14ac:dyDescent="0.25">
      <c r="G93" s="3">
        <f t="shared" ca="1" si="14"/>
        <v>74</v>
      </c>
      <c r="H93" s="105">
        <f t="shared" ca="1" si="16"/>
        <v>44999</v>
      </c>
      <c r="I93" s="132" t="e">
        <f>HLOOKUP($H$4,'Met Data'!$A$2:$F$368,G93,FALSE)</f>
        <v>#N/A</v>
      </c>
      <c r="J93" s="132" t="e">
        <f ca="1">HLOOKUP($H$4,'Met Data'!$H$2:$M$368,G93,FALSE)*L93</f>
        <v>#N/A</v>
      </c>
      <c r="K93" s="106" t="e">
        <f>HLOOKUP($H$4,'Met Data'!$O$2:$T$368,G93,FALSE)</f>
        <v>#N/A</v>
      </c>
      <c r="L93">
        <f t="shared" ca="1" si="10"/>
        <v>1</v>
      </c>
      <c r="N93" t="e">
        <f t="shared" ca="1" si="15"/>
        <v>#NAME?</v>
      </c>
      <c r="O93" t="e">
        <f t="shared" ca="1" si="11"/>
        <v>#NAME?</v>
      </c>
      <c r="P93" s="2" t="e">
        <f ca="1"/>
        <v>#NAME?</v>
      </c>
      <c r="Q93" t="e">
        <f ca="1"/>
        <v>#NAME?</v>
      </c>
      <c r="R93" t="e">
        <f ca="1"/>
        <v>#NAME?</v>
      </c>
      <c r="S93" t="e">
        <f ca="1"/>
        <v>#NAME?</v>
      </c>
      <c r="T93" t="e">
        <f ca="1"/>
        <v>#NAME?</v>
      </c>
      <c r="U93" t="e">
        <f ca="1"/>
        <v>#NAME?</v>
      </c>
      <c r="V93" t="e">
        <f ca="1"/>
        <v>#NAME?</v>
      </c>
      <c r="W93" t="e">
        <f ca="1"/>
        <v>#NAME?</v>
      </c>
      <c r="X93" t="e">
        <f ca="1"/>
        <v>#NAME?</v>
      </c>
      <c r="Y93" t="e">
        <f ca="1"/>
        <v>#NAME?</v>
      </c>
      <c r="Z93" t="e">
        <f ca="1"/>
        <v>#NAME?</v>
      </c>
      <c r="AA93" t="e">
        <f ca="1"/>
        <v>#NAME?</v>
      </c>
      <c r="AB93" t="e">
        <f ca="1"/>
        <v>#NAME?</v>
      </c>
      <c r="AD93" s="2">
        <f t="shared" ca="1" si="12"/>
        <v>0</v>
      </c>
      <c r="AE93" s="46">
        <f t="shared" ca="1" si="13"/>
        <v>0</v>
      </c>
      <c r="AG93" s="72" t="e">
        <f t="shared" ca="1" si="17"/>
        <v>#NAME?</v>
      </c>
      <c r="AH93" s="72" t="e">
        <f t="shared" ca="1" si="18"/>
        <v>#NAME?</v>
      </c>
      <c r="AI93" s="3" t="e">
        <f t="shared" ca="1" si="19"/>
        <v>#NAME?</v>
      </c>
    </row>
    <row r="94" spans="7:35" x14ac:dyDescent="0.25">
      <c r="G94" s="3">
        <f t="shared" ca="1" si="14"/>
        <v>75</v>
      </c>
      <c r="H94" s="105">
        <f t="shared" ca="1" si="16"/>
        <v>45000</v>
      </c>
      <c r="I94" s="132" t="e">
        <f>HLOOKUP($H$4,'Met Data'!$A$2:$F$368,G94,FALSE)</f>
        <v>#N/A</v>
      </c>
      <c r="J94" s="132" t="e">
        <f ca="1">HLOOKUP($H$4,'Met Data'!$H$2:$M$368,G94,FALSE)*L94</f>
        <v>#N/A</v>
      </c>
      <c r="K94" s="106" t="e">
        <f>HLOOKUP($H$4,'Met Data'!$O$2:$T$368,G94,FALSE)</f>
        <v>#N/A</v>
      </c>
      <c r="L94">
        <f t="shared" ca="1" si="10"/>
        <v>1</v>
      </c>
      <c r="N94" t="e">
        <f t="shared" ca="1" si="15"/>
        <v>#NAME?</v>
      </c>
      <c r="O94" t="e">
        <f t="shared" ca="1" si="11"/>
        <v>#NAME?</v>
      </c>
      <c r="P94" s="2" t="e">
        <f ca="1"/>
        <v>#NAME?</v>
      </c>
      <c r="Q94" t="e">
        <f ca="1"/>
        <v>#NAME?</v>
      </c>
      <c r="R94" t="e">
        <f ca="1"/>
        <v>#NAME?</v>
      </c>
      <c r="S94" t="e">
        <f ca="1"/>
        <v>#NAME?</v>
      </c>
      <c r="T94" t="e">
        <f ca="1"/>
        <v>#NAME?</v>
      </c>
      <c r="U94" t="e">
        <f ca="1"/>
        <v>#NAME?</v>
      </c>
      <c r="V94" t="e">
        <f ca="1"/>
        <v>#NAME?</v>
      </c>
      <c r="W94" t="e">
        <f ca="1"/>
        <v>#NAME?</v>
      </c>
      <c r="X94" t="e">
        <f ca="1"/>
        <v>#NAME?</v>
      </c>
      <c r="Y94" t="e">
        <f ca="1"/>
        <v>#NAME?</v>
      </c>
      <c r="Z94" t="e">
        <f ca="1"/>
        <v>#NAME?</v>
      </c>
      <c r="AA94" t="e">
        <f ca="1"/>
        <v>#NAME?</v>
      </c>
      <c r="AB94" t="e">
        <f ca="1"/>
        <v>#NAME?</v>
      </c>
      <c r="AD94" s="2">
        <f t="shared" ca="1" si="12"/>
        <v>0</v>
      </c>
      <c r="AE94" s="46">
        <f t="shared" ca="1" si="13"/>
        <v>0</v>
      </c>
      <c r="AG94" s="72" t="e">
        <f t="shared" ca="1" si="17"/>
        <v>#NAME?</v>
      </c>
      <c r="AH94" s="72" t="e">
        <f t="shared" ca="1" si="18"/>
        <v>#NAME?</v>
      </c>
      <c r="AI94" s="3" t="e">
        <f t="shared" ca="1" si="19"/>
        <v>#NAME?</v>
      </c>
    </row>
    <row r="95" spans="7:35" x14ac:dyDescent="0.25">
      <c r="G95" s="3">
        <f t="shared" ca="1" si="14"/>
        <v>76</v>
      </c>
      <c r="H95" s="105">
        <f t="shared" ca="1" si="16"/>
        <v>45001</v>
      </c>
      <c r="I95" s="132" t="e">
        <f>HLOOKUP($H$4,'Met Data'!$A$2:$F$368,G95,FALSE)</f>
        <v>#N/A</v>
      </c>
      <c r="J95" s="132" t="e">
        <f ca="1">HLOOKUP($H$4,'Met Data'!$H$2:$M$368,G95,FALSE)*L95</f>
        <v>#N/A</v>
      </c>
      <c r="K95" s="106" t="e">
        <f>HLOOKUP($H$4,'Met Data'!$O$2:$T$368,G95,FALSE)</f>
        <v>#N/A</v>
      </c>
      <c r="L95">
        <f t="shared" ca="1" si="10"/>
        <v>1</v>
      </c>
      <c r="N95" t="e">
        <f t="shared" ca="1" si="15"/>
        <v>#NAME?</v>
      </c>
      <c r="O95" t="e">
        <f t="shared" ca="1" si="11"/>
        <v>#NAME?</v>
      </c>
      <c r="P95" s="2" t="e">
        <f ca="1"/>
        <v>#NAME?</v>
      </c>
      <c r="Q95" t="e">
        <f ca="1"/>
        <v>#NAME?</v>
      </c>
      <c r="R95" t="e">
        <f ca="1"/>
        <v>#NAME?</v>
      </c>
      <c r="S95" t="e">
        <f ca="1"/>
        <v>#NAME?</v>
      </c>
      <c r="T95" t="e">
        <f ca="1"/>
        <v>#NAME?</v>
      </c>
      <c r="U95" t="e">
        <f ca="1"/>
        <v>#NAME?</v>
      </c>
      <c r="V95" t="e">
        <f ca="1"/>
        <v>#NAME?</v>
      </c>
      <c r="W95" t="e">
        <f ca="1"/>
        <v>#NAME?</v>
      </c>
      <c r="X95" t="e">
        <f ca="1"/>
        <v>#NAME?</v>
      </c>
      <c r="Y95" t="e">
        <f ca="1"/>
        <v>#NAME?</v>
      </c>
      <c r="Z95" t="e">
        <f ca="1"/>
        <v>#NAME?</v>
      </c>
      <c r="AA95" t="e">
        <f ca="1"/>
        <v>#NAME?</v>
      </c>
      <c r="AB95" t="e">
        <f ca="1"/>
        <v>#NAME?</v>
      </c>
      <c r="AD95" s="2">
        <f t="shared" ca="1" si="12"/>
        <v>0</v>
      </c>
      <c r="AE95" s="46">
        <f t="shared" ca="1" si="13"/>
        <v>0</v>
      </c>
      <c r="AG95" s="72" t="e">
        <f t="shared" ca="1" si="17"/>
        <v>#NAME?</v>
      </c>
      <c r="AH95" s="72" t="e">
        <f t="shared" ca="1" si="18"/>
        <v>#NAME?</v>
      </c>
      <c r="AI95" s="3" t="e">
        <f t="shared" ca="1" si="19"/>
        <v>#NAME?</v>
      </c>
    </row>
    <row r="96" spans="7:35" x14ac:dyDescent="0.25">
      <c r="G96" s="3">
        <f t="shared" ca="1" si="14"/>
        <v>77</v>
      </c>
      <c r="H96" s="105">
        <f t="shared" ca="1" si="16"/>
        <v>45002</v>
      </c>
      <c r="I96" s="132" t="e">
        <f>HLOOKUP($H$4,'Met Data'!$A$2:$F$368,G96,FALSE)</f>
        <v>#N/A</v>
      </c>
      <c r="J96" s="132" t="e">
        <f ca="1">HLOOKUP($H$4,'Met Data'!$H$2:$M$368,G96,FALSE)*L96</f>
        <v>#N/A</v>
      </c>
      <c r="K96" s="106" t="e">
        <f>HLOOKUP($H$4,'Met Data'!$O$2:$T$368,G96,FALSE)</f>
        <v>#N/A</v>
      </c>
      <c r="L96">
        <f t="shared" ca="1" si="10"/>
        <v>1</v>
      </c>
      <c r="N96" t="e">
        <f t="shared" ca="1" si="15"/>
        <v>#NAME?</v>
      </c>
      <c r="O96" t="e">
        <f t="shared" ca="1" si="11"/>
        <v>#NAME?</v>
      </c>
      <c r="P96" s="2" t="e">
        <f ca="1"/>
        <v>#NAME?</v>
      </c>
      <c r="Q96" t="e">
        <f ca="1"/>
        <v>#NAME?</v>
      </c>
      <c r="R96" t="e">
        <f ca="1"/>
        <v>#NAME?</v>
      </c>
      <c r="S96" t="e">
        <f ca="1"/>
        <v>#NAME?</v>
      </c>
      <c r="T96" t="e">
        <f ca="1"/>
        <v>#NAME?</v>
      </c>
      <c r="U96" t="e">
        <f ca="1"/>
        <v>#NAME?</v>
      </c>
      <c r="V96" t="e">
        <f ca="1"/>
        <v>#NAME?</v>
      </c>
      <c r="W96" t="e">
        <f ca="1"/>
        <v>#NAME?</v>
      </c>
      <c r="X96" t="e">
        <f ca="1"/>
        <v>#NAME?</v>
      </c>
      <c r="Y96" t="e">
        <f ca="1"/>
        <v>#NAME?</v>
      </c>
      <c r="Z96" t="e">
        <f ca="1"/>
        <v>#NAME?</v>
      </c>
      <c r="AA96" t="e">
        <f ca="1"/>
        <v>#NAME?</v>
      </c>
      <c r="AB96" t="e">
        <f ca="1"/>
        <v>#NAME?</v>
      </c>
      <c r="AD96" s="2">
        <f t="shared" ca="1" si="12"/>
        <v>0</v>
      </c>
      <c r="AE96" s="46">
        <f t="shared" ca="1" si="13"/>
        <v>0</v>
      </c>
      <c r="AG96" s="72" t="e">
        <f t="shared" ca="1" si="17"/>
        <v>#NAME?</v>
      </c>
      <c r="AH96" s="72" t="e">
        <f t="shared" ca="1" si="18"/>
        <v>#NAME?</v>
      </c>
      <c r="AI96" s="3" t="e">
        <f t="shared" ca="1" si="19"/>
        <v>#NAME?</v>
      </c>
    </row>
    <row r="97" spans="7:35" x14ac:dyDescent="0.25">
      <c r="G97" s="3">
        <f t="shared" ca="1" si="14"/>
        <v>78</v>
      </c>
      <c r="H97" s="105">
        <f t="shared" ca="1" si="16"/>
        <v>45003</v>
      </c>
      <c r="I97" s="132" t="e">
        <f>HLOOKUP($H$4,'Met Data'!$A$2:$F$368,G97,FALSE)</f>
        <v>#N/A</v>
      </c>
      <c r="J97" s="132" t="e">
        <f ca="1">HLOOKUP($H$4,'Met Data'!$H$2:$M$368,G97,FALSE)*L97</f>
        <v>#N/A</v>
      </c>
      <c r="K97" s="106" t="e">
        <f>HLOOKUP($H$4,'Met Data'!$O$2:$T$368,G97,FALSE)</f>
        <v>#N/A</v>
      </c>
      <c r="L97">
        <f t="shared" ca="1" si="10"/>
        <v>1</v>
      </c>
      <c r="N97" t="e">
        <f t="shared" ca="1" si="15"/>
        <v>#NAME?</v>
      </c>
      <c r="O97" t="e">
        <f t="shared" ca="1" si="11"/>
        <v>#NAME?</v>
      </c>
      <c r="P97" s="2" t="e">
        <f ca="1"/>
        <v>#NAME?</v>
      </c>
      <c r="Q97" t="e">
        <f ca="1"/>
        <v>#NAME?</v>
      </c>
      <c r="R97" t="e">
        <f ca="1"/>
        <v>#NAME?</v>
      </c>
      <c r="S97" t="e">
        <f ca="1"/>
        <v>#NAME?</v>
      </c>
      <c r="T97" t="e">
        <f ca="1"/>
        <v>#NAME?</v>
      </c>
      <c r="U97" t="e">
        <f ca="1"/>
        <v>#NAME?</v>
      </c>
      <c r="V97" t="e">
        <f ca="1"/>
        <v>#NAME?</v>
      </c>
      <c r="W97" t="e">
        <f ca="1"/>
        <v>#NAME?</v>
      </c>
      <c r="X97" t="e">
        <f ca="1"/>
        <v>#NAME?</v>
      </c>
      <c r="Y97" t="e">
        <f ca="1"/>
        <v>#NAME?</v>
      </c>
      <c r="Z97" t="e">
        <f ca="1"/>
        <v>#NAME?</v>
      </c>
      <c r="AA97" t="e">
        <f ca="1"/>
        <v>#NAME?</v>
      </c>
      <c r="AB97" t="e">
        <f ca="1"/>
        <v>#NAME?</v>
      </c>
      <c r="AD97" s="2">
        <f t="shared" ca="1" si="12"/>
        <v>0</v>
      </c>
      <c r="AE97" s="46">
        <f t="shared" ca="1" si="13"/>
        <v>0</v>
      </c>
      <c r="AG97" s="72" t="e">
        <f t="shared" ca="1" si="17"/>
        <v>#NAME?</v>
      </c>
      <c r="AH97" s="72" t="e">
        <f t="shared" ca="1" si="18"/>
        <v>#NAME?</v>
      </c>
      <c r="AI97" s="3" t="e">
        <f t="shared" ca="1" si="19"/>
        <v>#NAME?</v>
      </c>
    </row>
    <row r="98" spans="7:35" x14ac:dyDescent="0.25">
      <c r="G98" s="3">
        <f t="shared" ca="1" si="14"/>
        <v>79</v>
      </c>
      <c r="H98" s="105">
        <f t="shared" ca="1" si="16"/>
        <v>45004</v>
      </c>
      <c r="I98" s="132" t="e">
        <f>HLOOKUP($H$4,'Met Data'!$A$2:$F$368,G98,FALSE)</f>
        <v>#N/A</v>
      </c>
      <c r="J98" s="132" t="e">
        <f ca="1">HLOOKUP($H$4,'Met Data'!$H$2:$M$368,G98,FALSE)*L98</f>
        <v>#N/A</v>
      </c>
      <c r="K98" s="106" t="e">
        <f>HLOOKUP($H$4,'Met Data'!$O$2:$T$368,G98,FALSE)</f>
        <v>#N/A</v>
      </c>
      <c r="L98">
        <f t="shared" ca="1" si="10"/>
        <v>1</v>
      </c>
      <c r="N98" t="e">
        <f t="shared" ca="1" si="15"/>
        <v>#NAME?</v>
      </c>
      <c r="O98" t="e">
        <f t="shared" ca="1" si="11"/>
        <v>#NAME?</v>
      </c>
      <c r="P98" s="2" t="e">
        <f ca="1"/>
        <v>#NAME?</v>
      </c>
      <c r="Q98" t="e">
        <f ca="1"/>
        <v>#NAME?</v>
      </c>
      <c r="R98" t="e">
        <f ca="1"/>
        <v>#NAME?</v>
      </c>
      <c r="S98" t="e">
        <f ca="1"/>
        <v>#NAME?</v>
      </c>
      <c r="T98" t="e">
        <f ca="1"/>
        <v>#NAME?</v>
      </c>
      <c r="U98" t="e">
        <f ca="1"/>
        <v>#NAME?</v>
      </c>
      <c r="V98" t="e">
        <f ca="1"/>
        <v>#NAME?</v>
      </c>
      <c r="W98" t="e">
        <f ca="1"/>
        <v>#NAME?</v>
      </c>
      <c r="X98" t="e">
        <f ca="1"/>
        <v>#NAME?</v>
      </c>
      <c r="Y98" t="e">
        <f ca="1"/>
        <v>#NAME?</v>
      </c>
      <c r="Z98" t="e">
        <f ca="1"/>
        <v>#NAME?</v>
      </c>
      <c r="AA98" t="e">
        <f ca="1"/>
        <v>#NAME?</v>
      </c>
      <c r="AB98" t="e">
        <f ca="1"/>
        <v>#NAME?</v>
      </c>
      <c r="AD98" s="2">
        <f t="shared" ca="1" si="12"/>
        <v>0</v>
      </c>
      <c r="AE98" s="46">
        <f t="shared" ca="1" si="13"/>
        <v>0</v>
      </c>
      <c r="AG98" s="72" t="e">
        <f t="shared" ca="1" si="17"/>
        <v>#NAME?</v>
      </c>
      <c r="AH98" s="72" t="e">
        <f t="shared" ca="1" si="18"/>
        <v>#NAME?</v>
      </c>
      <c r="AI98" s="3" t="e">
        <f t="shared" ca="1" si="19"/>
        <v>#NAME?</v>
      </c>
    </row>
    <row r="99" spans="7:35" x14ac:dyDescent="0.25">
      <c r="G99" s="3">
        <f t="shared" ca="1" si="14"/>
        <v>80</v>
      </c>
      <c r="H99" s="105">
        <f t="shared" ca="1" si="16"/>
        <v>45005</v>
      </c>
      <c r="I99" s="132" t="e">
        <f>HLOOKUP($H$4,'Met Data'!$A$2:$F$368,G99,FALSE)</f>
        <v>#N/A</v>
      </c>
      <c r="J99" s="132" t="e">
        <f ca="1">HLOOKUP($H$4,'Met Data'!$H$2:$M$368,G99,FALSE)*L99</f>
        <v>#N/A</v>
      </c>
      <c r="K99" s="106" t="e">
        <f>HLOOKUP($H$4,'Met Data'!$O$2:$T$368,G99,FALSE)</f>
        <v>#N/A</v>
      </c>
      <c r="L99">
        <f t="shared" ca="1" si="10"/>
        <v>1</v>
      </c>
      <c r="N99" t="e">
        <f t="shared" ca="1" si="15"/>
        <v>#NAME?</v>
      </c>
      <c r="O99" t="e">
        <f t="shared" ca="1" si="11"/>
        <v>#NAME?</v>
      </c>
      <c r="P99" s="2" t="e">
        <f ca="1"/>
        <v>#NAME?</v>
      </c>
      <c r="Q99" t="e">
        <f ca="1"/>
        <v>#NAME?</v>
      </c>
      <c r="R99" t="e">
        <f ca="1"/>
        <v>#NAME?</v>
      </c>
      <c r="S99" t="e">
        <f ca="1"/>
        <v>#NAME?</v>
      </c>
      <c r="T99" t="e">
        <f ca="1"/>
        <v>#NAME?</v>
      </c>
      <c r="U99" t="e">
        <f ca="1"/>
        <v>#NAME?</v>
      </c>
      <c r="V99" t="e">
        <f ca="1"/>
        <v>#NAME?</v>
      </c>
      <c r="W99" t="e">
        <f ca="1"/>
        <v>#NAME?</v>
      </c>
      <c r="X99" t="e">
        <f ca="1"/>
        <v>#NAME?</v>
      </c>
      <c r="Y99" t="e">
        <f ca="1"/>
        <v>#NAME?</v>
      </c>
      <c r="Z99" t="e">
        <f ca="1"/>
        <v>#NAME?</v>
      </c>
      <c r="AA99" t="e">
        <f ca="1"/>
        <v>#NAME?</v>
      </c>
      <c r="AB99" t="e">
        <f ca="1"/>
        <v>#NAME?</v>
      </c>
      <c r="AD99" s="2">
        <f t="shared" ca="1" si="12"/>
        <v>0</v>
      </c>
      <c r="AE99" s="46">
        <f t="shared" ca="1" si="13"/>
        <v>0</v>
      </c>
      <c r="AG99" s="72" t="e">
        <f t="shared" ca="1" si="17"/>
        <v>#NAME?</v>
      </c>
      <c r="AH99" s="72" t="e">
        <f t="shared" ca="1" si="18"/>
        <v>#NAME?</v>
      </c>
      <c r="AI99" s="3" t="e">
        <f t="shared" ca="1" si="19"/>
        <v>#NAME?</v>
      </c>
    </row>
    <row r="100" spans="7:35" x14ac:dyDescent="0.25">
      <c r="G100" s="3">
        <f t="shared" ca="1" si="14"/>
        <v>81</v>
      </c>
      <c r="H100" s="105">
        <f t="shared" ca="1" si="16"/>
        <v>45006</v>
      </c>
      <c r="I100" s="132" t="e">
        <f>HLOOKUP($H$4,'Met Data'!$A$2:$F$368,G100,FALSE)</f>
        <v>#N/A</v>
      </c>
      <c r="J100" s="132" t="e">
        <f ca="1">HLOOKUP($H$4,'Met Data'!$H$2:$M$368,G100,FALSE)*L100</f>
        <v>#N/A</v>
      </c>
      <c r="K100" s="106" t="e">
        <f>HLOOKUP($H$4,'Met Data'!$O$2:$T$368,G100,FALSE)</f>
        <v>#N/A</v>
      </c>
      <c r="L100">
        <f t="shared" ca="1" si="10"/>
        <v>1</v>
      </c>
      <c r="N100" t="e">
        <f t="shared" ca="1" si="15"/>
        <v>#NAME?</v>
      </c>
      <c r="O100" t="e">
        <f t="shared" ca="1" si="11"/>
        <v>#NAME?</v>
      </c>
      <c r="P100" s="2" t="e">
        <f ca="1"/>
        <v>#NAME?</v>
      </c>
      <c r="Q100" t="e">
        <f ca="1"/>
        <v>#NAME?</v>
      </c>
      <c r="R100" t="e">
        <f ca="1"/>
        <v>#NAME?</v>
      </c>
      <c r="S100" t="e">
        <f ca="1"/>
        <v>#NAME?</v>
      </c>
      <c r="T100" t="e">
        <f ca="1"/>
        <v>#NAME?</v>
      </c>
      <c r="U100" t="e">
        <f ca="1"/>
        <v>#NAME?</v>
      </c>
      <c r="V100" t="e">
        <f ca="1"/>
        <v>#NAME?</v>
      </c>
      <c r="W100" t="e">
        <f ca="1"/>
        <v>#NAME?</v>
      </c>
      <c r="X100" t="e">
        <f ca="1"/>
        <v>#NAME?</v>
      </c>
      <c r="Y100" t="e">
        <f ca="1"/>
        <v>#NAME?</v>
      </c>
      <c r="Z100" t="e">
        <f ca="1"/>
        <v>#NAME?</v>
      </c>
      <c r="AA100" t="e">
        <f ca="1"/>
        <v>#NAME?</v>
      </c>
      <c r="AB100" t="e">
        <f ca="1"/>
        <v>#NAME?</v>
      </c>
      <c r="AD100" s="2">
        <f t="shared" ca="1" si="12"/>
        <v>0</v>
      </c>
      <c r="AE100" s="46">
        <f t="shared" ca="1" si="13"/>
        <v>0</v>
      </c>
      <c r="AG100" s="72" t="e">
        <f t="shared" ca="1" si="17"/>
        <v>#NAME?</v>
      </c>
      <c r="AH100" s="72" t="e">
        <f t="shared" ca="1" si="18"/>
        <v>#NAME?</v>
      </c>
      <c r="AI100" s="3" t="e">
        <f t="shared" ca="1" si="19"/>
        <v>#NAME?</v>
      </c>
    </row>
    <row r="101" spans="7:35" x14ac:dyDescent="0.25">
      <c r="G101" s="3">
        <f t="shared" ca="1" si="14"/>
        <v>82</v>
      </c>
      <c r="H101" s="105">
        <f t="shared" ca="1" si="16"/>
        <v>45007</v>
      </c>
      <c r="I101" s="132" t="e">
        <f>HLOOKUP($H$4,'Met Data'!$A$2:$F$368,G101,FALSE)</f>
        <v>#N/A</v>
      </c>
      <c r="J101" s="132" t="e">
        <f ca="1">HLOOKUP($H$4,'Met Data'!$H$2:$M$368,G101,FALSE)*L101</f>
        <v>#N/A</v>
      </c>
      <c r="K101" s="106" t="e">
        <f>HLOOKUP($H$4,'Met Data'!$O$2:$T$368,G101,FALSE)</f>
        <v>#N/A</v>
      </c>
      <c r="L101">
        <f t="shared" ca="1" si="10"/>
        <v>1</v>
      </c>
      <c r="N101" t="e">
        <f t="shared" ca="1" si="15"/>
        <v>#NAME?</v>
      </c>
      <c r="O101" t="e">
        <f t="shared" ca="1" si="11"/>
        <v>#NAME?</v>
      </c>
      <c r="P101" s="2" t="e">
        <f ca="1"/>
        <v>#NAME?</v>
      </c>
      <c r="Q101" t="e">
        <f ca="1"/>
        <v>#NAME?</v>
      </c>
      <c r="R101" t="e">
        <f ca="1"/>
        <v>#NAME?</v>
      </c>
      <c r="S101" t="e">
        <f ca="1"/>
        <v>#NAME?</v>
      </c>
      <c r="T101" t="e">
        <f ca="1"/>
        <v>#NAME?</v>
      </c>
      <c r="U101" t="e">
        <f ca="1"/>
        <v>#NAME?</v>
      </c>
      <c r="V101" t="e">
        <f ca="1"/>
        <v>#NAME?</v>
      </c>
      <c r="W101" t="e">
        <f ca="1"/>
        <v>#NAME?</v>
      </c>
      <c r="X101" t="e">
        <f ca="1"/>
        <v>#NAME?</v>
      </c>
      <c r="Y101" t="e">
        <f ca="1"/>
        <v>#NAME?</v>
      </c>
      <c r="Z101" t="e">
        <f ca="1"/>
        <v>#NAME?</v>
      </c>
      <c r="AA101" t="e">
        <f ca="1"/>
        <v>#NAME?</v>
      </c>
      <c r="AB101" t="e">
        <f ca="1"/>
        <v>#NAME?</v>
      </c>
      <c r="AD101" s="2">
        <f t="shared" ca="1" si="12"/>
        <v>0</v>
      </c>
      <c r="AE101" s="46">
        <f t="shared" ca="1" si="13"/>
        <v>0</v>
      </c>
      <c r="AG101" s="72" t="e">
        <f t="shared" ca="1" si="17"/>
        <v>#NAME?</v>
      </c>
      <c r="AH101" s="72" t="e">
        <f t="shared" ca="1" si="18"/>
        <v>#NAME?</v>
      </c>
      <c r="AI101" s="3" t="e">
        <f t="shared" ca="1" si="19"/>
        <v>#NAME?</v>
      </c>
    </row>
    <row r="102" spans="7:35" x14ac:dyDescent="0.25">
      <c r="G102" s="3">
        <f t="shared" ca="1" si="14"/>
        <v>83</v>
      </c>
      <c r="H102" s="105">
        <f t="shared" ca="1" si="16"/>
        <v>45008</v>
      </c>
      <c r="I102" s="132" t="e">
        <f>HLOOKUP($H$4,'Met Data'!$A$2:$F$368,G102,FALSE)</f>
        <v>#N/A</v>
      </c>
      <c r="J102" s="132" t="e">
        <f ca="1">HLOOKUP($H$4,'Met Data'!$H$2:$M$368,G102,FALSE)*L102</f>
        <v>#N/A</v>
      </c>
      <c r="K102" s="106" t="e">
        <f>HLOOKUP($H$4,'Met Data'!$O$2:$T$368,G102,FALSE)</f>
        <v>#N/A</v>
      </c>
      <c r="L102">
        <f t="shared" ca="1" si="10"/>
        <v>1</v>
      </c>
      <c r="N102" t="e">
        <f t="shared" ca="1" si="15"/>
        <v>#NAME?</v>
      </c>
      <c r="O102" t="e">
        <f t="shared" ca="1" si="11"/>
        <v>#NAME?</v>
      </c>
      <c r="P102" s="2" t="e">
        <f ca="1"/>
        <v>#NAME?</v>
      </c>
      <c r="Q102" t="e">
        <f ca="1"/>
        <v>#NAME?</v>
      </c>
      <c r="R102" t="e">
        <f ca="1"/>
        <v>#NAME?</v>
      </c>
      <c r="S102" t="e">
        <f ca="1"/>
        <v>#NAME?</v>
      </c>
      <c r="T102" t="e">
        <f ca="1"/>
        <v>#NAME?</v>
      </c>
      <c r="U102" t="e">
        <f ca="1"/>
        <v>#NAME?</v>
      </c>
      <c r="V102" t="e">
        <f ca="1"/>
        <v>#NAME?</v>
      </c>
      <c r="W102" t="e">
        <f ca="1"/>
        <v>#NAME?</v>
      </c>
      <c r="X102" t="e">
        <f ca="1"/>
        <v>#NAME?</v>
      </c>
      <c r="Y102" t="e">
        <f ca="1"/>
        <v>#NAME?</v>
      </c>
      <c r="Z102" t="e">
        <f ca="1"/>
        <v>#NAME?</v>
      </c>
      <c r="AA102" t="e">
        <f ca="1"/>
        <v>#NAME?</v>
      </c>
      <c r="AB102" t="e">
        <f ca="1"/>
        <v>#NAME?</v>
      </c>
      <c r="AD102" s="2">
        <f t="shared" ca="1" si="12"/>
        <v>0</v>
      </c>
      <c r="AE102" s="46">
        <f t="shared" ca="1" si="13"/>
        <v>0</v>
      </c>
      <c r="AG102" s="72" t="e">
        <f t="shared" ca="1" si="17"/>
        <v>#NAME?</v>
      </c>
      <c r="AH102" s="72" t="e">
        <f t="shared" ca="1" si="18"/>
        <v>#NAME?</v>
      </c>
      <c r="AI102" s="3" t="e">
        <f t="shared" ca="1" si="19"/>
        <v>#NAME?</v>
      </c>
    </row>
    <row r="103" spans="7:35" x14ac:dyDescent="0.25">
      <c r="G103" s="3">
        <f t="shared" ca="1" si="14"/>
        <v>84</v>
      </c>
      <c r="H103" s="105">
        <f t="shared" ca="1" si="16"/>
        <v>45009</v>
      </c>
      <c r="I103" s="132" t="e">
        <f>HLOOKUP($H$4,'Met Data'!$A$2:$F$368,G103,FALSE)</f>
        <v>#N/A</v>
      </c>
      <c r="J103" s="132" t="e">
        <f ca="1">HLOOKUP($H$4,'Met Data'!$H$2:$M$368,G103,FALSE)*L103</f>
        <v>#N/A</v>
      </c>
      <c r="K103" s="106" t="e">
        <f>HLOOKUP($H$4,'Met Data'!$O$2:$T$368,G103,FALSE)</f>
        <v>#N/A</v>
      </c>
      <c r="L103">
        <f t="shared" ca="1" si="10"/>
        <v>1</v>
      </c>
      <c r="N103" t="e">
        <f t="shared" ca="1" si="15"/>
        <v>#NAME?</v>
      </c>
      <c r="O103" t="e">
        <f t="shared" ca="1" si="11"/>
        <v>#NAME?</v>
      </c>
      <c r="P103" s="2" t="e">
        <f ca="1"/>
        <v>#NAME?</v>
      </c>
      <c r="Q103" t="e">
        <f ca="1"/>
        <v>#NAME?</v>
      </c>
      <c r="R103" t="e">
        <f ca="1"/>
        <v>#NAME?</v>
      </c>
      <c r="S103" t="e">
        <f ca="1"/>
        <v>#NAME?</v>
      </c>
      <c r="T103" t="e">
        <f ca="1"/>
        <v>#NAME?</v>
      </c>
      <c r="U103" t="e">
        <f ca="1"/>
        <v>#NAME?</v>
      </c>
      <c r="V103" t="e">
        <f ca="1"/>
        <v>#NAME?</v>
      </c>
      <c r="W103" t="e">
        <f ca="1"/>
        <v>#NAME?</v>
      </c>
      <c r="X103" t="e">
        <f ca="1"/>
        <v>#NAME?</v>
      </c>
      <c r="Y103" t="e">
        <f ca="1"/>
        <v>#NAME?</v>
      </c>
      <c r="Z103" t="e">
        <f ca="1"/>
        <v>#NAME?</v>
      </c>
      <c r="AA103" t="e">
        <f ca="1"/>
        <v>#NAME?</v>
      </c>
      <c r="AB103" t="e">
        <f ca="1"/>
        <v>#NAME?</v>
      </c>
      <c r="AD103" s="2">
        <f t="shared" ca="1" si="12"/>
        <v>0</v>
      </c>
      <c r="AE103" s="46">
        <f t="shared" ca="1" si="13"/>
        <v>0</v>
      </c>
      <c r="AG103" s="72" t="e">
        <f t="shared" ca="1" si="17"/>
        <v>#NAME?</v>
      </c>
      <c r="AH103" s="72" t="e">
        <f t="shared" ca="1" si="18"/>
        <v>#NAME?</v>
      </c>
      <c r="AI103" s="3" t="e">
        <f t="shared" ca="1" si="19"/>
        <v>#NAME?</v>
      </c>
    </row>
    <row r="104" spans="7:35" x14ac:dyDescent="0.25">
      <c r="G104" s="3">
        <f t="shared" ca="1" si="14"/>
        <v>85</v>
      </c>
      <c r="H104" s="105">
        <f t="shared" ca="1" si="16"/>
        <v>45010</v>
      </c>
      <c r="I104" s="132" t="e">
        <f>HLOOKUP($H$4,'Met Data'!$A$2:$F$368,G104,FALSE)</f>
        <v>#N/A</v>
      </c>
      <c r="J104" s="132" t="e">
        <f ca="1">HLOOKUP($H$4,'Met Data'!$H$2:$M$368,G104,FALSE)*L104</f>
        <v>#N/A</v>
      </c>
      <c r="K104" s="106" t="e">
        <f>HLOOKUP($H$4,'Met Data'!$O$2:$T$368,G104,FALSE)</f>
        <v>#N/A</v>
      </c>
      <c r="L104">
        <f t="shared" ca="1" si="10"/>
        <v>1</v>
      </c>
      <c r="N104" t="e">
        <f t="shared" ca="1" si="15"/>
        <v>#NAME?</v>
      </c>
      <c r="O104" t="e">
        <f t="shared" ca="1" si="11"/>
        <v>#NAME?</v>
      </c>
      <c r="P104" s="2" t="e">
        <f ca="1"/>
        <v>#NAME?</v>
      </c>
      <c r="Q104" t="e">
        <f ca="1"/>
        <v>#NAME?</v>
      </c>
      <c r="R104" t="e">
        <f ca="1"/>
        <v>#NAME?</v>
      </c>
      <c r="S104" t="e">
        <f ca="1"/>
        <v>#NAME?</v>
      </c>
      <c r="T104" t="e">
        <f ca="1"/>
        <v>#NAME?</v>
      </c>
      <c r="U104" t="e">
        <f ca="1"/>
        <v>#NAME?</v>
      </c>
      <c r="V104" t="e">
        <f ca="1"/>
        <v>#NAME?</v>
      </c>
      <c r="W104" t="e">
        <f ca="1"/>
        <v>#NAME?</v>
      </c>
      <c r="X104" t="e">
        <f ca="1"/>
        <v>#NAME?</v>
      </c>
      <c r="Y104" t="e">
        <f ca="1"/>
        <v>#NAME?</v>
      </c>
      <c r="Z104" t="e">
        <f ca="1"/>
        <v>#NAME?</v>
      </c>
      <c r="AA104" t="e">
        <f ca="1"/>
        <v>#NAME?</v>
      </c>
      <c r="AB104" t="e">
        <f ca="1"/>
        <v>#NAME?</v>
      </c>
      <c r="AD104" s="2">
        <f t="shared" ca="1" si="12"/>
        <v>0</v>
      </c>
      <c r="AE104" s="46">
        <f t="shared" ca="1" si="13"/>
        <v>0</v>
      </c>
      <c r="AG104" s="72" t="e">
        <f t="shared" ca="1" si="17"/>
        <v>#NAME?</v>
      </c>
      <c r="AH104" s="72" t="e">
        <f t="shared" ca="1" si="18"/>
        <v>#NAME?</v>
      </c>
      <c r="AI104" s="3" t="e">
        <f t="shared" ca="1" si="19"/>
        <v>#NAME?</v>
      </c>
    </row>
    <row r="105" spans="7:35" x14ac:dyDescent="0.25">
      <c r="G105" s="3">
        <f t="shared" ca="1" si="14"/>
        <v>86</v>
      </c>
      <c r="H105" s="105">
        <f t="shared" ca="1" si="16"/>
        <v>45011</v>
      </c>
      <c r="I105" s="132" t="e">
        <f>HLOOKUP($H$4,'Met Data'!$A$2:$F$368,G105,FALSE)</f>
        <v>#N/A</v>
      </c>
      <c r="J105" s="132" t="e">
        <f ca="1">HLOOKUP($H$4,'Met Data'!$H$2:$M$368,G105,FALSE)*L105</f>
        <v>#N/A</v>
      </c>
      <c r="K105" s="106" t="e">
        <f>HLOOKUP($H$4,'Met Data'!$O$2:$T$368,G105,FALSE)</f>
        <v>#N/A</v>
      </c>
      <c r="L105">
        <f t="shared" ca="1" si="10"/>
        <v>1</v>
      </c>
      <c r="N105" t="e">
        <f t="shared" ca="1" si="15"/>
        <v>#NAME?</v>
      </c>
      <c r="O105" t="e">
        <f t="shared" ca="1" si="11"/>
        <v>#NAME?</v>
      </c>
      <c r="P105" s="2" t="e">
        <f ca="1"/>
        <v>#NAME?</v>
      </c>
      <c r="Q105" t="e">
        <f ca="1"/>
        <v>#NAME?</v>
      </c>
      <c r="R105" t="e">
        <f ca="1"/>
        <v>#NAME?</v>
      </c>
      <c r="S105" t="e">
        <f ca="1"/>
        <v>#NAME?</v>
      </c>
      <c r="T105" t="e">
        <f ca="1"/>
        <v>#NAME?</v>
      </c>
      <c r="U105" t="e">
        <f ca="1"/>
        <v>#NAME?</v>
      </c>
      <c r="V105" t="e">
        <f ca="1"/>
        <v>#NAME?</v>
      </c>
      <c r="W105" t="e">
        <f ca="1"/>
        <v>#NAME?</v>
      </c>
      <c r="X105" t="e">
        <f ca="1"/>
        <v>#NAME?</v>
      </c>
      <c r="Y105" t="e">
        <f ca="1"/>
        <v>#NAME?</v>
      </c>
      <c r="Z105" t="e">
        <f ca="1"/>
        <v>#NAME?</v>
      </c>
      <c r="AA105" t="e">
        <f ca="1"/>
        <v>#NAME?</v>
      </c>
      <c r="AB105" t="e">
        <f ca="1"/>
        <v>#NAME?</v>
      </c>
      <c r="AD105" s="2">
        <f t="shared" ca="1" si="12"/>
        <v>0</v>
      </c>
      <c r="AE105" s="46">
        <f t="shared" ca="1" si="13"/>
        <v>0</v>
      </c>
      <c r="AG105" s="72" t="e">
        <f t="shared" ca="1" si="17"/>
        <v>#NAME?</v>
      </c>
      <c r="AH105" s="72" t="e">
        <f t="shared" ca="1" si="18"/>
        <v>#NAME?</v>
      </c>
      <c r="AI105" s="3" t="e">
        <f t="shared" ca="1" si="19"/>
        <v>#NAME?</v>
      </c>
    </row>
    <row r="106" spans="7:35" x14ac:dyDescent="0.25">
      <c r="G106" s="3">
        <f t="shared" ca="1" si="14"/>
        <v>87</v>
      </c>
      <c r="H106" s="105">
        <f t="shared" ca="1" si="16"/>
        <v>45012</v>
      </c>
      <c r="I106" s="132" t="e">
        <f>HLOOKUP($H$4,'Met Data'!$A$2:$F$368,G106,FALSE)</f>
        <v>#N/A</v>
      </c>
      <c r="J106" s="132" t="e">
        <f ca="1">HLOOKUP($H$4,'Met Data'!$H$2:$M$368,G106,FALSE)*L106</f>
        <v>#N/A</v>
      </c>
      <c r="K106" s="106" t="e">
        <f>HLOOKUP($H$4,'Met Data'!$O$2:$T$368,G106,FALSE)</f>
        <v>#N/A</v>
      </c>
      <c r="L106">
        <f t="shared" ca="1" si="10"/>
        <v>1</v>
      </c>
      <c r="N106" t="e">
        <f t="shared" ca="1" si="15"/>
        <v>#NAME?</v>
      </c>
      <c r="O106" t="e">
        <f t="shared" ca="1" si="11"/>
        <v>#NAME?</v>
      </c>
      <c r="P106" s="2" t="e">
        <f ca="1"/>
        <v>#NAME?</v>
      </c>
      <c r="Q106" t="e">
        <f ca="1"/>
        <v>#NAME?</v>
      </c>
      <c r="R106" t="e">
        <f ca="1"/>
        <v>#NAME?</v>
      </c>
      <c r="S106" t="e">
        <f ca="1"/>
        <v>#NAME?</v>
      </c>
      <c r="T106" t="e">
        <f ca="1"/>
        <v>#NAME?</v>
      </c>
      <c r="U106" t="e">
        <f ca="1"/>
        <v>#NAME?</v>
      </c>
      <c r="V106" t="e">
        <f ca="1"/>
        <v>#NAME?</v>
      </c>
      <c r="W106" t="e">
        <f ca="1"/>
        <v>#NAME?</v>
      </c>
      <c r="X106" t="e">
        <f ca="1"/>
        <v>#NAME?</v>
      </c>
      <c r="Y106" t="e">
        <f ca="1"/>
        <v>#NAME?</v>
      </c>
      <c r="Z106" t="e">
        <f ca="1"/>
        <v>#NAME?</v>
      </c>
      <c r="AA106" t="e">
        <f ca="1"/>
        <v>#NAME?</v>
      </c>
      <c r="AB106" t="e">
        <f ca="1"/>
        <v>#NAME?</v>
      </c>
      <c r="AD106" s="2">
        <f t="shared" ca="1" si="12"/>
        <v>0</v>
      </c>
      <c r="AE106" s="46">
        <f t="shared" ca="1" si="13"/>
        <v>0</v>
      </c>
      <c r="AG106" s="72" t="e">
        <f t="shared" ca="1" si="17"/>
        <v>#NAME?</v>
      </c>
      <c r="AH106" s="72" t="e">
        <f t="shared" ca="1" si="18"/>
        <v>#NAME?</v>
      </c>
      <c r="AI106" s="3" t="e">
        <f t="shared" ca="1" si="19"/>
        <v>#NAME?</v>
      </c>
    </row>
    <row r="107" spans="7:35" x14ac:dyDescent="0.25">
      <c r="G107" s="3">
        <f t="shared" ca="1" si="14"/>
        <v>88</v>
      </c>
      <c r="H107" s="105">
        <f t="shared" ca="1" si="16"/>
        <v>45013</v>
      </c>
      <c r="I107" s="132" t="e">
        <f>HLOOKUP($H$4,'Met Data'!$A$2:$F$368,G107,FALSE)</f>
        <v>#N/A</v>
      </c>
      <c r="J107" s="132" t="e">
        <f ca="1">HLOOKUP($H$4,'Met Data'!$H$2:$M$368,G107,FALSE)*L107</f>
        <v>#N/A</v>
      </c>
      <c r="K107" s="106" t="e">
        <f>HLOOKUP($H$4,'Met Data'!$O$2:$T$368,G107,FALSE)</f>
        <v>#N/A</v>
      </c>
      <c r="L107">
        <f t="shared" ca="1" si="10"/>
        <v>1</v>
      </c>
      <c r="N107" t="e">
        <f t="shared" ca="1" si="15"/>
        <v>#NAME?</v>
      </c>
      <c r="O107" t="e">
        <f t="shared" ca="1" si="11"/>
        <v>#NAME?</v>
      </c>
      <c r="P107" s="2" t="e">
        <f ca="1"/>
        <v>#NAME?</v>
      </c>
      <c r="Q107" t="e">
        <f ca="1"/>
        <v>#NAME?</v>
      </c>
      <c r="R107" t="e">
        <f ca="1"/>
        <v>#NAME?</v>
      </c>
      <c r="S107" t="e">
        <f ca="1"/>
        <v>#NAME?</v>
      </c>
      <c r="T107" t="e">
        <f ca="1"/>
        <v>#NAME?</v>
      </c>
      <c r="U107" t="e">
        <f ca="1"/>
        <v>#NAME?</v>
      </c>
      <c r="V107" t="e">
        <f ca="1"/>
        <v>#NAME?</v>
      </c>
      <c r="W107" t="e">
        <f ca="1"/>
        <v>#NAME?</v>
      </c>
      <c r="X107" t="e">
        <f ca="1"/>
        <v>#NAME?</v>
      </c>
      <c r="Y107" t="e">
        <f ca="1"/>
        <v>#NAME?</v>
      </c>
      <c r="Z107" t="e">
        <f ca="1"/>
        <v>#NAME?</v>
      </c>
      <c r="AA107" t="e">
        <f ca="1"/>
        <v>#NAME?</v>
      </c>
      <c r="AB107" t="e">
        <f ca="1"/>
        <v>#NAME?</v>
      </c>
      <c r="AD107" s="2">
        <f t="shared" ca="1" si="12"/>
        <v>0</v>
      </c>
      <c r="AE107" s="46">
        <f t="shared" ca="1" si="13"/>
        <v>0</v>
      </c>
      <c r="AG107" s="72" t="e">
        <f t="shared" ca="1" si="17"/>
        <v>#NAME?</v>
      </c>
      <c r="AH107" s="72" t="e">
        <f t="shared" ca="1" si="18"/>
        <v>#NAME?</v>
      </c>
      <c r="AI107" s="3" t="e">
        <f t="shared" ca="1" si="19"/>
        <v>#NAME?</v>
      </c>
    </row>
    <row r="108" spans="7:35" x14ac:dyDescent="0.25">
      <c r="G108" s="3">
        <f t="shared" ca="1" si="14"/>
        <v>89</v>
      </c>
      <c r="H108" s="105">
        <f t="shared" ca="1" si="16"/>
        <v>45014</v>
      </c>
      <c r="I108" s="132" t="e">
        <f>HLOOKUP($H$4,'Met Data'!$A$2:$F$368,G108,FALSE)</f>
        <v>#N/A</v>
      </c>
      <c r="J108" s="132" t="e">
        <f ca="1">HLOOKUP($H$4,'Met Data'!$H$2:$M$368,G108,FALSE)*L108</f>
        <v>#N/A</v>
      </c>
      <c r="K108" s="106" t="e">
        <f>HLOOKUP($H$4,'Met Data'!$O$2:$T$368,G108,FALSE)</f>
        <v>#N/A</v>
      </c>
      <c r="L108">
        <f t="shared" ca="1" si="10"/>
        <v>1</v>
      </c>
      <c r="N108" t="e">
        <f t="shared" ca="1" si="15"/>
        <v>#NAME?</v>
      </c>
      <c r="O108" t="e">
        <f t="shared" ca="1" si="11"/>
        <v>#NAME?</v>
      </c>
      <c r="P108" s="2" t="e">
        <f ca="1"/>
        <v>#NAME?</v>
      </c>
      <c r="Q108" t="e">
        <f ca="1"/>
        <v>#NAME?</v>
      </c>
      <c r="R108" t="e">
        <f ca="1"/>
        <v>#NAME?</v>
      </c>
      <c r="S108" t="e">
        <f ca="1"/>
        <v>#NAME?</v>
      </c>
      <c r="T108" t="e">
        <f ca="1"/>
        <v>#NAME?</v>
      </c>
      <c r="U108" t="e">
        <f ca="1"/>
        <v>#NAME?</v>
      </c>
      <c r="V108" t="e">
        <f ca="1"/>
        <v>#NAME?</v>
      </c>
      <c r="W108" t="e">
        <f ca="1"/>
        <v>#NAME?</v>
      </c>
      <c r="X108" t="e">
        <f ca="1"/>
        <v>#NAME?</v>
      </c>
      <c r="Y108" t="e">
        <f ca="1"/>
        <v>#NAME?</v>
      </c>
      <c r="Z108" t="e">
        <f ca="1"/>
        <v>#NAME?</v>
      </c>
      <c r="AA108" t="e">
        <f ca="1"/>
        <v>#NAME?</v>
      </c>
      <c r="AB108" t="e">
        <f ca="1"/>
        <v>#NAME?</v>
      </c>
      <c r="AD108" s="2">
        <f t="shared" ca="1" si="12"/>
        <v>0</v>
      </c>
      <c r="AE108" s="46">
        <f t="shared" ca="1" si="13"/>
        <v>0</v>
      </c>
      <c r="AG108" s="72" t="e">
        <f t="shared" ca="1" si="17"/>
        <v>#NAME?</v>
      </c>
      <c r="AH108" s="72" t="e">
        <f t="shared" ca="1" si="18"/>
        <v>#NAME?</v>
      </c>
      <c r="AI108" s="3" t="e">
        <f t="shared" ca="1" si="19"/>
        <v>#NAME?</v>
      </c>
    </row>
    <row r="109" spans="7:35" x14ac:dyDescent="0.25">
      <c r="G109" s="3">
        <f t="shared" ca="1" si="14"/>
        <v>90</v>
      </c>
      <c r="H109" s="105">
        <f t="shared" ca="1" si="16"/>
        <v>45015</v>
      </c>
      <c r="I109" s="132" t="e">
        <f>HLOOKUP($H$4,'Met Data'!$A$2:$F$368,G109,FALSE)</f>
        <v>#N/A</v>
      </c>
      <c r="J109" s="132" t="e">
        <f ca="1">HLOOKUP($H$4,'Met Data'!$H$2:$M$368,G109,FALSE)*L109</f>
        <v>#N/A</v>
      </c>
      <c r="K109" s="106" t="e">
        <f>HLOOKUP($H$4,'Met Data'!$O$2:$T$368,G109,FALSE)</f>
        <v>#N/A</v>
      </c>
      <c r="L109">
        <f t="shared" ca="1" si="10"/>
        <v>1</v>
      </c>
      <c r="N109" t="e">
        <f t="shared" ca="1" si="15"/>
        <v>#NAME?</v>
      </c>
      <c r="O109" t="e">
        <f t="shared" ca="1" si="11"/>
        <v>#NAME?</v>
      </c>
      <c r="P109" s="2" t="e">
        <f ca="1"/>
        <v>#NAME?</v>
      </c>
      <c r="Q109" t="e">
        <f ca="1"/>
        <v>#NAME?</v>
      </c>
      <c r="R109" t="e">
        <f ca="1"/>
        <v>#NAME?</v>
      </c>
      <c r="S109" t="e">
        <f ca="1"/>
        <v>#NAME?</v>
      </c>
      <c r="T109" t="e">
        <f ca="1"/>
        <v>#NAME?</v>
      </c>
      <c r="U109" t="e">
        <f ca="1"/>
        <v>#NAME?</v>
      </c>
      <c r="V109" t="e">
        <f ca="1"/>
        <v>#NAME?</v>
      </c>
      <c r="W109" t="e">
        <f ca="1"/>
        <v>#NAME?</v>
      </c>
      <c r="X109" t="e">
        <f ca="1"/>
        <v>#NAME?</v>
      </c>
      <c r="Y109" t="e">
        <f ca="1"/>
        <v>#NAME?</v>
      </c>
      <c r="Z109" t="e">
        <f ca="1"/>
        <v>#NAME?</v>
      </c>
      <c r="AA109" t="e">
        <f ca="1"/>
        <v>#NAME?</v>
      </c>
      <c r="AB109" t="e">
        <f ca="1"/>
        <v>#NAME?</v>
      </c>
      <c r="AD109" s="2">
        <f t="shared" ca="1" si="12"/>
        <v>0</v>
      </c>
      <c r="AE109" s="46">
        <f t="shared" ca="1" si="13"/>
        <v>0</v>
      </c>
      <c r="AG109" s="72" t="e">
        <f t="shared" ca="1" si="17"/>
        <v>#NAME?</v>
      </c>
      <c r="AH109" s="72" t="e">
        <f t="shared" ca="1" si="18"/>
        <v>#NAME?</v>
      </c>
      <c r="AI109" s="3" t="e">
        <f t="shared" ca="1" si="19"/>
        <v>#NAME?</v>
      </c>
    </row>
    <row r="110" spans="7:35" x14ac:dyDescent="0.25">
      <c r="G110" s="3">
        <f t="shared" ca="1" si="14"/>
        <v>91</v>
      </c>
      <c r="H110" s="105">
        <f t="shared" ca="1" si="16"/>
        <v>45016</v>
      </c>
      <c r="I110" s="132" t="e">
        <f>HLOOKUP($H$4,'Met Data'!$A$2:$F$368,G110,FALSE)</f>
        <v>#N/A</v>
      </c>
      <c r="J110" s="132" t="e">
        <f ca="1">HLOOKUP($H$4,'Met Data'!$H$2:$M$368,G110,FALSE)*L110</f>
        <v>#N/A</v>
      </c>
      <c r="K110" s="106" t="e">
        <f>HLOOKUP($H$4,'Met Data'!$O$2:$T$368,G110,FALSE)</f>
        <v>#N/A</v>
      </c>
      <c r="L110">
        <f t="shared" ca="1" si="10"/>
        <v>1</v>
      </c>
      <c r="N110" t="e">
        <f t="shared" ca="1" si="15"/>
        <v>#NAME?</v>
      </c>
      <c r="O110" t="e">
        <f t="shared" ca="1" si="11"/>
        <v>#NAME?</v>
      </c>
      <c r="P110" s="2" t="e">
        <f ca="1"/>
        <v>#NAME?</v>
      </c>
      <c r="Q110" t="e">
        <f ca="1"/>
        <v>#NAME?</v>
      </c>
      <c r="R110" t="e">
        <f ca="1"/>
        <v>#NAME?</v>
      </c>
      <c r="S110" t="e">
        <f ca="1"/>
        <v>#NAME?</v>
      </c>
      <c r="T110" t="e">
        <f ca="1"/>
        <v>#NAME?</v>
      </c>
      <c r="U110" t="e">
        <f ca="1"/>
        <v>#NAME?</v>
      </c>
      <c r="V110" t="e">
        <f ca="1"/>
        <v>#NAME?</v>
      </c>
      <c r="W110" t="e">
        <f ca="1"/>
        <v>#NAME?</v>
      </c>
      <c r="X110" t="e">
        <f ca="1"/>
        <v>#NAME?</v>
      </c>
      <c r="Y110" t="e">
        <f ca="1"/>
        <v>#NAME?</v>
      </c>
      <c r="Z110" t="e">
        <f ca="1"/>
        <v>#NAME?</v>
      </c>
      <c r="AA110" t="e">
        <f ca="1"/>
        <v>#NAME?</v>
      </c>
      <c r="AB110" t="e">
        <f ca="1"/>
        <v>#NAME?</v>
      </c>
      <c r="AD110" s="2">
        <f t="shared" ca="1" si="12"/>
        <v>0</v>
      </c>
      <c r="AE110" s="46">
        <f t="shared" ca="1" si="13"/>
        <v>0</v>
      </c>
      <c r="AG110" s="72" t="e">
        <f t="shared" ca="1" si="17"/>
        <v>#NAME?</v>
      </c>
      <c r="AH110" s="72" t="e">
        <f t="shared" ca="1" si="18"/>
        <v>#NAME?</v>
      </c>
      <c r="AI110" s="3" t="e">
        <f t="shared" ca="1" si="19"/>
        <v>#NAME?</v>
      </c>
    </row>
    <row r="111" spans="7:35" x14ac:dyDescent="0.25">
      <c r="G111" s="3">
        <f t="shared" ca="1" si="14"/>
        <v>92</v>
      </c>
      <c r="H111" s="105">
        <f t="shared" ca="1" si="16"/>
        <v>45017</v>
      </c>
      <c r="I111" s="132" t="e">
        <f>HLOOKUP($H$4,'Met Data'!$A$2:$F$368,G111,FALSE)</f>
        <v>#N/A</v>
      </c>
      <c r="J111" s="132" t="e">
        <f ca="1">HLOOKUP($H$4,'Met Data'!$H$2:$M$368,G111,FALSE)*L111</f>
        <v>#N/A</v>
      </c>
      <c r="K111" s="106" t="e">
        <f>HLOOKUP($H$4,'Met Data'!$O$2:$T$368,G111,FALSE)</f>
        <v>#N/A</v>
      </c>
      <c r="L111">
        <f t="shared" ca="1" si="10"/>
        <v>1</v>
      </c>
      <c r="N111" t="e">
        <f t="shared" ca="1" si="15"/>
        <v>#NAME?</v>
      </c>
      <c r="O111" t="e">
        <f t="shared" ca="1" si="11"/>
        <v>#NAME?</v>
      </c>
      <c r="P111" s="2" t="e">
        <f ca="1"/>
        <v>#NAME?</v>
      </c>
      <c r="Q111" t="e">
        <f ca="1"/>
        <v>#NAME?</v>
      </c>
      <c r="R111" t="e">
        <f ca="1"/>
        <v>#NAME?</v>
      </c>
      <c r="S111" t="e">
        <f ca="1"/>
        <v>#NAME?</v>
      </c>
      <c r="T111" t="e">
        <f ca="1"/>
        <v>#NAME?</v>
      </c>
      <c r="U111" t="e">
        <f ca="1"/>
        <v>#NAME?</v>
      </c>
      <c r="V111" t="e">
        <f ca="1"/>
        <v>#NAME?</v>
      </c>
      <c r="W111" t="e">
        <f ca="1"/>
        <v>#NAME?</v>
      </c>
      <c r="X111" t="e">
        <f ca="1"/>
        <v>#NAME?</v>
      </c>
      <c r="Y111" t="e">
        <f ca="1"/>
        <v>#NAME?</v>
      </c>
      <c r="Z111" t="e">
        <f ca="1"/>
        <v>#NAME?</v>
      </c>
      <c r="AA111" t="e">
        <f ca="1"/>
        <v>#NAME?</v>
      </c>
      <c r="AB111" t="e">
        <f ca="1"/>
        <v>#NAME?</v>
      </c>
      <c r="AD111" s="2">
        <f t="shared" ca="1" si="12"/>
        <v>0</v>
      </c>
      <c r="AE111" s="46">
        <f t="shared" ca="1" si="13"/>
        <v>0</v>
      </c>
      <c r="AG111" s="72" t="e">
        <f t="shared" ca="1" si="17"/>
        <v>#NAME?</v>
      </c>
      <c r="AH111" s="72" t="e">
        <f t="shared" ca="1" si="18"/>
        <v>#NAME?</v>
      </c>
      <c r="AI111" s="3" t="e">
        <f t="shared" ca="1" si="19"/>
        <v>#NAME?</v>
      </c>
    </row>
    <row r="112" spans="7:35" x14ac:dyDescent="0.25">
      <c r="G112" s="3">
        <f t="shared" ca="1" si="14"/>
        <v>93</v>
      </c>
      <c r="H112" s="105">
        <f t="shared" ca="1" si="16"/>
        <v>45018</v>
      </c>
      <c r="I112" s="132" t="e">
        <f>HLOOKUP($H$4,'Met Data'!$A$2:$F$368,G112,FALSE)</f>
        <v>#N/A</v>
      </c>
      <c r="J112" s="132" t="e">
        <f ca="1">HLOOKUP($H$4,'Met Data'!$H$2:$M$368,G112,FALSE)*L112</f>
        <v>#N/A</v>
      </c>
      <c r="K112" s="106" t="e">
        <f>HLOOKUP($H$4,'Met Data'!$O$2:$T$368,G112,FALSE)</f>
        <v>#N/A</v>
      </c>
      <c r="L112">
        <f t="shared" ca="1" si="10"/>
        <v>1</v>
      </c>
      <c r="N112" t="e">
        <f t="shared" ca="1" si="15"/>
        <v>#NAME?</v>
      </c>
      <c r="O112" t="e">
        <f t="shared" ca="1" si="11"/>
        <v>#NAME?</v>
      </c>
      <c r="P112" s="2" t="e">
        <f ca="1"/>
        <v>#NAME?</v>
      </c>
      <c r="Q112" t="e">
        <f ca="1"/>
        <v>#NAME?</v>
      </c>
      <c r="R112" t="e">
        <f ca="1"/>
        <v>#NAME?</v>
      </c>
      <c r="S112" t="e">
        <f ca="1"/>
        <v>#NAME?</v>
      </c>
      <c r="T112" t="e">
        <f ca="1"/>
        <v>#NAME?</v>
      </c>
      <c r="U112" t="e">
        <f ca="1"/>
        <v>#NAME?</v>
      </c>
      <c r="V112" t="e">
        <f ca="1"/>
        <v>#NAME?</v>
      </c>
      <c r="W112" t="e">
        <f ca="1"/>
        <v>#NAME?</v>
      </c>
      <c r="X112" t="e">
        <f ca="1"/>
        <v>#NAME?</v>
      </c>
      <c r="Y112" t="e">
        <f ca="1"/>
        <v>#NAME?</v>
      </c>
      <c r="Z112" t="e">
        <f ca="1"/>
        <v>#NAME?</v>
      </c>
      <c r="AA112" t="e">
        <f ca="1"/>
        <v>#NAME?</v>
      </c>
      <c r="AB112" t="e">
        <f ca="1"/>
        <v>#NAME?</v>
      </c>
      <c r="AD112" s="2">
        <f t="shared" ca="1" si="12"/>
        <v>0</v>
      </c>
      <c r="AE112" s="46">
        <f t="shared" ca="1" si="13"/>
        <v>0</v>
      </c>
      <c r="AG112" s="72" t="e">
        <f t="shared" ca="1" si="17"/>
        <v>#NAME?</v>
      </c>
      <c r="AH112" s="72" t="e">
        <f t="shared" ca="1" si="18"/>
        <v>#NAME?</v>
      </c>
      <c r="AI112" s="3" t="e">
        <f t="shared" ca="1" si="19"/>
        <v>#NAME?</v>
      </c>
    </row>
    <row r="113" spans="7:35" x14ac:dyDescent="0.25">
      <c r="G113" s="3">
        <f t="shared" ca="1" si="14"/>
        <v>94</v>
      </c>
      <c r="H113" s="105">
        <f t="shared" ca="1" si="16"/>
        <v>45019</v>
      </c>
      <c r="I113" s="132" t="e">
        <f>HLOOKUP($H$4,'Met Data'!$A$2:$F$368,G113,FALSE)</f>
        <v>#N/A</v>
      </c>
      <c r="J113" s="132" t="e">
        <f ca="1">HLOOKUP($H$4,'Met Data'!$H$2:$M$368,G113,FALSE)*L113</f>
        <v>#N/A</v>
      </c>
      <c r="K113" s="106" t="e">
        <f>HLOOKUP($H$4,'Met Data'!$O$2:$T$368,G113,FALSE)</f>
        <v>#N/A</v>
      </c>
      <c r="L113">
        <f t="shared" ca="1" si="10"/>
        <v>1</v>
      </c>
      <c r="N113" t="e">
        <f t="shared" ca="1" si="15"/>
        <v>#NAME?</v>
      </c>
      <c r="O113" t="e">
        <f t="shared" ca="1" si="11"/>
        <v>#NAME?</v>
      </c>
      <c r="P113" s="2" t="e">
        <f ca="1"/>
        <v>#NAME?</v>
      </c>
      <c r="Q113" t="e">
        <f ca="1"/>
        <v>#NAME?</v>
      </c>
      <c r="R113" t="e">
        <f ca="1"/>
        <v>#NAME?</v>
      </c>
      <c r="S113" t="e">
        <f ca="1"/>
        <v>#NAME?</v>
      </c>
      <c r="T113" t="e">
        <f ca="1"/>
        <v>#NAME?</v>
      </c>
      <c r="U113" t="e">
        <f ca="1"/>
        <v>#NAME?</v>
      </c>
      <c r="V113" t="e">
        <f ca="1"/>
        <v>#NAME?</v>
      </c>
      <c r="W113" t="e">
        <f ca="1"/>
        <v>#NAME?</v>
      </c>
      <c r="X113" t="e">
        <f ca="1"/>
        <v>#NAME?</v>
      </c>
      <c r="Y113" t="e">
        <f ca="1"/>
        <v>#NAME?</v>
      </c>
      <c r="Z113" t="e">
        <f ca="1"/>
        <v>#NAME?</v>
      </c>
      <c r="AA113" t="e">
        <f ca="1"/>
        <v>#NAME?</v>
      </c>
      <c r="AB113" t="e">
        <f ca="1"/>
        <v>#NAME?</v>
      </c>
      <c r="AD113" s="2">
        <f t="shared" ca="1" si="12"/>
        <v>0</v>
      </c>
      <c r="AE113" s="46">
        <f t="shared" ca="1" si="13"/>
        <v>0</v>
      </c>
      <c r="AG113" s="72" t="e">
        <f t="shared" ca="1" si="17"/>
        <v>#NAME?</v>
      </c>
      <c r="AH113" s="72" t="e">
        <f t="shared" ca="1" si="18"/>
        <v>#NAME?</v>
      </c>
      <c r="AI113" s="3" t="e">
        <f t="shared" ca="1" si="19"/>
        <v>#NAME?</v>
      </c>
    </row>
    <row r="114" spans="7:35" x14ac:dyDescent="0.25">
      <c r="G114" s="3">
        <f t="shared" ca="1" si="14"/>
        <v>95</v>
      </c>
      <c r="H114" s="105">
        <f t="shared" ca="1" si="16"/>
        <v>45020</v>
      </c>
      <c r="I114" s="132" t="e">
        <f>HLOOKUP($H$4,'Met Data'!$A$2:$F$368,G114,FALSE)</f>
        <v>#N/A</v>
      </c>
      <c r="J114" s="132" t="e">
        <f ca="1">HLOOKUP($H$4,'Met Data'!$H$2:$M$368,G114,FALSE)*L114</f>
        <v>#N/A</v>
      </c>
      <c r="K114" s="106" t="e">
        <f>HLOOKUP($H$4,'Met Data'!$O$2:$T$368,G114,FALSE)</f>
        <v>#N/A</v>
      </c>
      <c r="L114">
        <f t="shared" ca="1" si="10"/>
        <v>1</v>
      </c>
      <c r="N114" t="e">
        <f t="shared" ca="1" si="15"/>
        <v>#NAME?</v>
      </c>
      <c r="O114" t="e">
        <f t="shared" ca="1" si="11"/>
        <v>#NAME?</v>
      </c>
      <c r="P114" s="2" t="e">
        <f ca="1"/>
        <v>#NAME?</v>
      </c>
      <c r="Q114" t="e">
        <f ca="1"/>
        <v>#NAME?</v>
      </c>
      <c r="R114" t="e">
        <f ca="1"/>
        <v>#NAME?</v>
      </c>
      <c r="S114" t="e">
        <f ca="1"/>
        <v>#NAME?</v>
      </c>
      <c r="T114" t="e">
        <f ca="1"/>
        <v>#NAME?</v>
      </c>
      <c r="U114" t="e">
        <f ca="1"/>
        <v>#NAME?</v>
      </c>
      <c r="V114" t="e">
        <f ca="1"/>
        <v>#NAME?</v>
      </c>
      <c r="W114" t="e">
        <f ca="1"/>
        <v>#NAME?</v>
      </c>
      <c r="X114" t="e">
        <f ca="1"/>
        <v>#NAME?</v>
      </c>
      <c r="Y114" t="e">
        <f ca="1"/>
        <v>#NAME?</v>
      </c>
      <c r="Z114" t="e">
        <f ca="1"/>
        <v>#NAME?</v>
      </c>
      <c r="AA114" t="e">
        <f ca="1"/>
        <v>#NAME?</v>
      </c>
      <c r="AB114" t="e">
        <f ca="1"/>
        <v>#NAME?</v>
      </c>
      <c r="AD114" s="2">
        <f t="shared" ca="1" si="12"/>
        <v>0</v>
      </c>
      <c r="AE114" s="46">
        <f t="shared" ca="1" si="13"/>
        <v>0</v>
      </c>
      <c r="AG114" s="72" t="e">
        <f t="shared" ca="1" si="17"/>
        <v>#NAME?</v>
      </c>
      <c r="AH114" s="72" t="e">
        <f t="shared" ca="1" si="18"/>
        <v>#NAME?</v>
      </c>
      <c r="AI114" s="3" t="e">
        <f t="shared" ca="1" si="19"/>
        <v>#NAME?</v>
      </c>
    </row>
    <row r="115" spans="7:35" x14ac:dyDescent="0.25">
      <c r="G115" s="3">
        <f t="shared" ca="1" si="14"/>
        <v>96</v>
      </c>
      <c r="H115" s="105">
        <f t="shared" ca="1" si="16"/>
        <v>45021</v>
      </c>
      <c r="I115" s="132" t="e">
        <f>HLOOKUP($H$4,'Met Data'!$A$2:$F$368,G115,FALSE)</f>
        <v>#N/A</v>
      </c>
      <c r="J115" s="132" t="e">
        <f ca="1">HLOOKUP($H$4,'Met Data'!$H$2:$M$368,G115,FALSE)*L115</f>
        <v>#N/A</v>
      </c>
      <c r="K115" s="106" t="e">
        <f>HLOOKUP($H$4,'Met Data'!$O$2:$T$368,G115,FALSE)</f>
        <v>#N/A</v>
      </c>
      <c r="L115">
        <f t="shared" ca="1" si="10"/>
        <v>1</v>
      </c>
      <c r="N115" t="e">
        <f t="shared" ca="1" si="15"/>
        <v>#NAME?</v>
      </c>
      <c r="O115" t="e">
        <f t="shared" ca="1" si="11"/>
        <v>#NAME?</v>
      </c>
      <c r="P115" s="2" t="e">
        <f ca="1"/>
        <v>#NAME?</v>
      </c>
      <c r="Q115" t="e">
        <f ca="1"/>
        <v>#NAME?</v>
      </c>
      <c r="R115" t="e">
        <f ca="1"/>
        <v>#NAME?</v>
      </c>
      <c r="S115" t="e">
        <f ca="1"/>
        <v>#NAME?</v>
      </c>
      <c r="T115" t="e">
        <f ca="1"/>
        <v>#NAME?</v>
      </c>
      <c r="U115" t="e">
        <f ca="1"/>
        <v>#NAME?</v>
      </c>
      <c r="V115" t="e">
        <f ca="1"/>
        <v>#NAME?</v>
      </c>
      <c r="W115" t="e">
        <f ca="1"/>
        <v>#NAME?</v>
      </c>
      <c r="X115" t="e">
        <f ca="1"/>
        <v>#NAME?</v>
      </c>
      <c r="Y115" t="e">
        <f ca="1"/>
        <v>#NAME?</v>
      </c>
      <c r="Z115" t="e">
        <f ca="1"/>
        <v>#NAME?</v>
      </c>
      <c r="AA115" t="e">
        <f ca="1"/>
        <v>#NAME?</v>
      </c>
      <c r="AB115" t="e">
        <f ca="1"/>
        <v>#NAME?</v>
      </c>
      <c r="AD115" s="2">
        <f t="shared" ca="1" si="12"/>
        <v>0</v>
      </c>
      <c r="AE115" s="46">
        <f t="shared" ca="1" si="13"/>
        <v>0</v>
      </c>
      <c r="AG115" s="72" t="e">
        <f t="shared" ca="1" si="17"/>
        <v>#NAME?</v>
      </c>
      <c r="AH115" s="72" t="e">
        <f t="shared" ca="1" si="18"/>
        <v>#NAME?</v>
      </c>
      <c r="AI115" s="3" t="e">
        <f t="shared" ca="1" si="19"/>
        <v>#NAME?</v>
      </c>
    </row>
    <row r="116" spans="7:35" x14ac:dyDescent="0.25">
      <c r="G116" s="3">
        <f t="shared" ca="1" si="14"/>
        <v>97</v>
      </c>
      <c r="H116" s="105">
        <f t="shared" ca="1" si="16"/>
        <v>45022</v>
      </c>
      <c r="I116" s="132" t="e">
        <f>HLOOKUP($H$4,'Met Data'!$A$2:$F$368,G116,FALSE)</f>
        <v>#N/A</v>
      </c>
      <c r="J116" s="132" t="e">
        <f ca="1">HLOOKUP($H$4,'Met Data'!$H$2:$M$368,G116,FALSE)*L116</f>
        <v>#N/A</v>
      </c>
      <c r="K116" s="106" t="e">
        <f>HLOOKUP($H$4,'Met Data'!$O$2:$T$368,G116,FALSE)</f>
        <v>#N/A</v>
      </c>
      <c r="L116">
        <f t="shared" ca="1" si="10"/>
        <v>1</v>
      </c>
      <c r="N116" t="e">
        <f t="shared" ca="1" si="15"/>
        <v>#NAME?</v>
      </c>
      <c r="O116" t="e">
        <f t="shared" ca="1" si="11"/>
        <v>#NAME?</v>
      </c>
      <c r="P116" s="2" t="e">
        <f ca="1"/>
        <v>#NAME?</v>
      </c>
      <c r="Q116" t="e">
        <f ca="1"/>
        <v>#NAME?</v>
      </c>
      <c r="R116" t="e">
        <f ca="1"/>
        <v>#NAME?</v>
      </c>
      <c r="S116" t="e">
        <f ca="1"/>
        <v>#NAME?</v>
      </c>
      <c r="T116" t="e">
        <f ca="1"/>
        <v>#NAME?</v>
      </c>
      <c r="U116" t="e">
        <f ca="1"/>
        <v>#NAME?</v>
      </c>
      <c r="V116" t="e">
        <f ca="1"/>
        <v>#NAME?</v>
      </c>
      <c r="W116" t="e">
        <f ca="1"/>
        <v>#NAME?</v>
      </c>
      <c r="X116" t="e">
        <f ca="1"/>
        <v>#NAME?</v>
      </c>
      <c r="Y116" t="e">
        <f ca="1"/>
        <v>#NAME?</v>
      </c>
      <c r="Z116" t="e">
        <f ca="1"/>
        <v>#NAME?</v>
      </c>
      <c r="AA116" t="e">
        <f ca="1"/>
        <v>#NAME?</v>
      </c>
      <c r="AB116" t="e">
        <f ca="1"/>
        <v>#NAME?</v>
      </c>
      <c r="AD116" s="2">
        <f t="shared" ca="1" si="12"/>
        <v>0</v>
      </c>
      <c r="AE116" s="46">
        <f t="shared" ca="1" si="13"/>
        <v>0</v>
      </c>
      <c r="AG116" s="72" t="e">
        <f t="shared" ca="1" si="17"/>
        <v>#NAME?</v>
      </c>
      <c r="AH116" s="72" t="e">
        <f t="shared" ca="1" si="18"/>
        <v>#NAME?</v>
      </c>
      <c r="AI116" s="3" t="e">
        <f t="shared" ca="1" si="19"/>
        <v>#NAME?</v>
      </c>
    </row>
    <row r="117" spans="7:35" x14ac:dyDescent="0.25">
      <c r="G117" s="3">
        <f t="shared" ca="1" si="14"/>
        <v>98</v>
      </c>
      <c r="H117" s="105">
        <f t="shared" ca="1" si="16"/>
        <v>45023</v>
      </c>
      <c r="I117" s="132" t="e">
        <f>HLOOKUP($H$4,'Met Data'!$A$2:$F$368,G117,FALSE)</f>
        <v>#N/A</v>
      </c>
      <c r="J117" s="132" t="e">
        <f ca="1">HLOOKUP($H$4,'Met Data'!$H$2:$M$368,G117,FALSE)*L117</f>
        <v>#N/A</v>
      </c>
      <c r="K117" s="106" t="e">
        <f>HLOOKUP($H$4,'Met Data'!$O$2:$T$368,G117,FALSE)</f>
        <v>#N/A</v>
      </c>
      <c r="L117">
        <f t="shared" ca="1" si="10"/>
        <v>1</v>
      </c>
      <c r="N117" t="e">
        <f t="shared" ca="1" si="15"/>
        <v>#NAME?</v>
      </c>
      <c r="O117" t="e">
        <f t="shared" ca="1" si="11"/>
        <v>#NAME?</v>
      </c>
      <c r="P117" s="2" t="e">
        <f ca="1"/>
        <v>#NAME?</v>
      </c>
      <c r="Q117" t="e">
        <f ca="1"/>
        <v>#NAME?</v>
      </c>
      <c r="R117" t="e">
        <f ca="1"/>
        <v>#NAME?</v>
      </c>
      <c r="S117" t="e">
        <f ca="1"/>
        <v>#NAME?</v>
      </c>
      <c r="T117" t="e">
        <f ca="1"/>
        <v>#NAME?</v>
      </c>
      <c r="U117" t="e">
        <f ca="1"/>
        <v>#NAME?</v>
      </c>
      <c r="V117" t="e">
        <f ca="1"/>
        <v>#NAME?</v>
      </c>
      <c r="W117" t="e">
        <f ca="1"/>
        <v>#NAME?</v>
      </c>
      <c r="X117" t="e">
        <f ca="1"/>
        <v>#NAME?</v>
      </c>
      <c r="Y117" t="e">
        <f ca="1"/>
        <v>#NAME?</v>
      </c>
      <c r="Z117" t="e">
        <f ca="1"/>
        <v>#NAME?</v>
      </c>
      <c r="AA117" t="e">
        <f ca="1"/>
        <v>#NAME?</v>
      </c>
      <c r="AB117" t="e">
        <f ca="1"/>
        <v>#NAME?</v>
      </c>
      <c r="AD117" s="2">
        <f t="shared" ca="1" si="12"/>
        <v>0</v>
      </c>
      <c r="AE117" s="46">
        <f t="shared" ca="1" si="13"/>
        <v>0</v>
      </c>
      <c r="AG117" s="72" t="e">
        <f t="shared" ca="1" si="17"/>
        <v>#NAME?</v>
      </c>
      <c r="AH117" s="72" t="e">
        <f t="shared" ca="1" si="18"/>
        <v>#NAME?</v>
      </c>
      <c r="AI117" s="3" t="e">
        <f t="shared" ca="1" si="19"/>
        <v>#NAME?</v>
      </c>
    </row>
    <row r="118" spans="7:35" x14ac:dyDescent="0.25">
      <c r="G118" s="3">
        <f t="shared" ca="1" si="14"/>
        <v>99</v>
      </c>
      <c r="H118" s="105">
        <f t="shared" ca="1" si="16"/>
        <v>45024</v>
      </c>
      <c r="I118" s="132" t="e">
        <f>HLOOKUP($H$4,'Met Data'!$A$2:$F$368,G118,FALSE)</f>
        <v>#N/A</v>
      </c>
      <c r="J118" s="132" t="e">
        <f ca="1">HLOOKUP($H$4,'Met Data'!$H$2:$M$368,G118,FALSE)*L118</f>
        <v>#N/A</v>
      </c>
      <c r="K118" s="106" t="e">
        <f>HLOOKUP($H$4,'Met Data'!$O$2:$T$368,G118,FALSE)</f>
        <v>#N/A</v>
      </c>
      <c r="L118">
        <f t="shared" ca="1" si="10"/>
        <v>1</v>
      </c>
      <c r="N118" t="e">
        <f t="shared" ca="1" si="15"/>
        <v>#NAME?</v>
      </c>
      <c r="O118" t="e">
        <f t="shared" ca="1" si="11"/>
        <v>#NAME?</v>
      </c>
      <c r="P118" s="2" t="e">
        <f ca="1"/>
        <v>#NAME?</v>
      </c>
      <c r="Q118" t="e">
        <f ca="1"/>
        <v>#NAME?</v>
      </c>
      <c r="R118" t="e">
        <f ca="1"/>
        <v>#NAME?</v>
      </c>
      <c r="S118" t="e">
        <f ca="1"/>
        <v>#NAME?</v>
      </c>
      <c r="T118" t="e">
        <f ca="1"/>
        <v>#NAME?</v>
      </c>
      <c r="U118" t="e">
        <f ca="1"/>
        <v>#NAME?</v>
      </c>
      <c r="V118" t="e">
        <f ca="1"/>
        <v>#NAME?</v>
      </c>
      <c r="W118" t="e">
        <f ca="1"/>
        <v>#NAME?</v>
      </c>
      <c r="X118" t="e">
        <f ca="1"/>
        <v>#NAME?</v>
      </c>
      <c r="Y118" t="e">
        <f ca="1"/>
        <v>#NAME?</v>
      </c>
      <c r="Z118" t="e">
        <f ca="1"/>
        <v>#NAME?</v>
      </c>
      <c r="AA118" t="e">
        <f ca="1"/>
        <v>#NAME?</v>
      </c>
      <c r="AB118" t="e">
        <f ca="1"/>
        <v>#NAME?</v>
      </c>
      <c r="AD118" s="2">
        <f t="shared" ca="1" si="12"/>
        <v>0</v>
      </c>
      <c r="AE118" s="46">
        <f t="shared" ca="1" si="13"/>
        <v>0</v>
      </c>
      <c r="AG118" s="72" t="e">
        <f t="shared" ca="1" si="17"/>
        <v>#NAME?</v>
      </c>
      <c r="AH118" s="72" t="e">
        <f t="shared" ca="1" si="18"/>
        <v>#NAME?</v>
      </c>
      <c r="AI118" s="3" t="e">
        <f t="shared" ca="1" si="19"/>
        <v>#NAME?</v>
      </c>
    </row>
    <row r="119" spans="7:35" x14ac:dyDescent="0.25">
      <c r="G119" s="3">
        <f t="shared" ca="1" si="14"/>
        <v>100</v>
      </c>
      <c r="H119" s="105">
        <f t="shared" ca="1" si="16"/>
        <v>45025</v>
      </c>
      <c r="I119" s="132" t="e">
        <f>HLOOKUP($H$4,'Met Data'!$A$2:$F$368,G119,FALSE)</f>
        <v>#N/A</v>
      </c>
      <c r="J119" s="132" t="e">
        <f ca="1">HLOOKUP($H$4,'Met Data'!$H$2:$M$368,G119,FALSE)*L119</f>
        <v>#N/A</v>
      </c>
      <c r="K119" s="106" t="e">
        <f>HLOOKUP($H$4,'Met Data'!$O$2:$T$368,G119,FALSE)</f>
        <v>#N/A</v>
      </c>
      <c r="L119">
        <f t="shared" ca="1" si="10"/>
        <v>1</v>
      </c>
      <c r="N119" t="e">
        <f t="shared" ca="1" si="15"/>
        <v>#NAME?</v>
      </c>
      <c r="O119" t="e">
        <f t="shared" ca="1" si="11"/>
        <v>#NAME?</v>
      </c>
      <c r="P119" s="2" t="e">
        <f ca="1"/>
        <v>#NAME?</v>
      </c>
      <c r="Q119" t="e">
        <f ca="1"/>
        <v>#NAME?</v>
      </c>
      <c r="R119" t="e">
        <f ca="1"/>
        <v>#NAME?</v>
      </c>
      <c r="S119" t="e">
        <f ca="1"/>
        <v>#NAME?</v>
      </c>
      <c r="T119" t="e">
        <f ca="1"/>
        <v>#NAME?</v>
      </c>
      <c r="U119" t="e">
        <f ca="1"/>
        <v>#NAME?</v>
      </c>
      <c r="V119" t="e">
        <f ca="1"/>
        <v>#NAME?</v>
      </c>
      <c r="W119" t="e">
        <f ca="1"/>
        <v>#NAME?</v>
      </c>
      <c r="X119" t="e">
        <f ca="1"/>
        <v>#NAME?</v>
      </c>
      <c r="Y119" t="e">
        <f ca="1"/>
        <v>#NAME?</v>
      </c>
      <c r="Z119" t="e">
        <f ca="1"/>
        <v>#NAME?</v>
      </c>
      <c r="AA119" t="e">
        <f ca="1"/>
        <v>#NAME?</v>
      </c>
      <c r="AB119" t="e">
        <f ca="1"/>
        <v>#NAME?</v>
      </c>
      <c r="AD119" s="2">
        <f t="shared" ca="1" si="12"/>
        <v>0</v>
      </c>
      <c r="AE119" s="46">
        <f t="shared" ca="1" si="13"/>
        <v>0</v>
      </c>
      <c r="AG119" s="72" t="e">
        <f t="shared" ca="1" si="17"/>
        <v>#NAME?</v>
      </c>
      <c r="AH119" s="72" t="e">
        <f t="shared" ca="1" si="18"/>
        <v>#NAME?</v>
      </c>
      <c r="AI119" s="3" t="e">
        <f t="shared" ca="1" si="19"/>
        <v>#NAME?</v>
      </c>
    </row>
    <row r="120" spans="7:35" x14ac:dyDescent="0.25">
      <c r="G120" s="3">
        <f t="shared" ca="1" si="14"/>
        <v>101</v>
      </c>
      <c r="H120" s="105">
        <f t="shared" ca="1" si="16"/>
        <v>45026</v>
      </c>
      <c r="I120" s="132" t="e">
        <f>HLOOKUP($H$4,'Met Data'!$A$2:$F$368,G120,FALSE)</f>
        <v>#N/A</v>
      </c>
      <c r="J120" s="132" t="e">
        <f ca="1">HLOOKUP($H$4,'Met Data'!$H$2:$M$368,G120,FALSE)*L120</f>
        <v>#N/A</v>
      </c>
      <c r="K120" s="106" t="e">
        <f>HLOOKUP($H$4,'Met Data'!$O$2:$T$368,G120,FALSE)</f>
        <v>#N/A</v>
      </c>
      <c r="L120">
        <f t="shared" ca="1" si="10"/>
        <v>1</v>
      </c>
      <c r="N120" t="e">
        <f t="shared" ca="1" si="15"/>
        <v>#NAME?</v>
      </c>
      <c r="O120" t="e">
        <f t="shared" ca="1" si="11"/>
        <v>#NAME?</v>
      </c>
      <c r="P120" s="2" t="e">
        <f ca="1"/>
        <v>#NAME?</v>
      </c>
      <c r="Q120" t="e">
        <f ca="1"/>
        <v>#NAME?</v>
      </c>
      <c r="R120" t="e">
        <f ca="1"/>
        <v>#NAME?</v>
      </c>
      <c r="S120" t="e">
        <f ca="1"/>
        <v>#NAME?</v>
      </c>
      <c r="T120" t="e">
        <f ca="1"/>
        <v>#NAME?</v>
      </c>
      <c r="U120" t="e">
        <f ca="1"/>
        <v>#NAME?</v>
      </c>
      <c r="V120" t="e">
        <f ca="1"/>
        <v>#NAME?</v>
      </c>
      <c r="W120" t="e">
        <f ca="1"/>
        <v>#NAME?</v>
      </c>
      <c r="X120" t="e">
        <f ca="1"/>
        <v>#NAME?</v>
      </c>
      <c r="Y120" t="e">
        <f ca="1"/>
        <v>#NAME?</v>
      </c>
      <c r="Z120" t="e">
        <f ca="1"/>
        <v>#NAME?</v>
      </c>
      <c r="AA120" t="e">
        <f ca="1"/>
        <v>#NAME?</v>
      </c>
      <c r="AB120" t="e">
        <f ca="1"/>
        <v>#NAME?</v>
      </c>
      <c r="AD120" s="2">
        <f t="shared" ca="1" si="12"/>
        <v>0</v>
      </c>
      <c r="AE120" s="46">
        <f t="shared" ca="1" si="13"/>
        <v>0</v>
      </c>
      <c r="AG120" s="72" t="e">
        <f t="shared" ca="1" si="17"/>
        <v>#NAME?</v>
      </c>
      <c r="AH120" s="72" t="e">
        <f t="shared" ca="1" si="18"/>
        <v>#NAME?</v>
      </c>
      <c r="AI120" s="3" t="e">
        <f t="shared" ca="1" si="19"/>
        <v>#NAME?</v>
      </c>
    </row>
    <row r="121" spans="7:35" x14ac:dyDescent="0.25">
      <c r="G121" s="3">
        <f t="shared" ca="1" si="14"/>
        <v>102</v>
      </c>
      <c r="H121" s="105">
        <f t="shared" ca="1" si="16"/>
        <v>45027</v>
      </c>
      <c r="I121" s="132" t="e">
        <f>HLOOKUP($H$4,'Met Data'!$A$2:$F$368,G121,FALSE)</f>
        <v>#N/A</v>
      </c>
      <c r="J121" s="132" t="e">
        <f ca="1">HLOOKUP($H$4,'Met Data'!$H$2:$M$368,G121,FALSE)*L121</f>
        <v>#N/A</v>
      </c>
      <c r="K121" s="106" t="e">
        <f>HLOOKUP($H$4,'Met Data'!$O$2:$T$368,G121,FALSE)</f>
        <v>#N/A</v>
      </c>
      <c r="L121">
        <f t="shared" ca="1" si="10"/>
        <v>1</v>
      </c>
      <c r="N121" t="e">
        <f t="shared" ca="1" si="15"/>
        <v>#NAME?</v>
      </c>
      <c r="O121" t="e">
        <f t="shared" ca="1" si="11"/>
        <v>#NAME?</v>
      </c>
      <c r="P121" s="2" t="e">
        <f ca="1"/>
        <v>#NAME?</v>
      </c>
      <c r="Q121" t="e">
        <f ca="1"/>
        <v>#NAME?</v>
      </c>
      <c r="R121" t="e">
        <f ca="1"/>
        <v>#NAME?</v>
      </c>
      <c r="S121" t="e">
        <f ca="1"/>
        <v>#NAME?</v>
      </c>
      <c r="T121" t="e">
        <f ca="1"/>
        <v>#NAME?</v>
      </c>
      <c r="U121" t="e">
        <f ca="1"/>
        <v>#NAME?</v>
      </c>
      <c r="V121" t="e">
        <f ca="1"/>
        <v>#NAME?</v>
      </c>
      <c r="W121" t="e">
        <f ca="1"/>
        <v>#NAME?</v>
      </c>
      <c r="X121" t="e">
        <f ca="1"/>
        <v>#NAME?</v>
      </c>
      <c r="Y121" t="e">
        <f ca="1"/>
        <v>#NAME?</v>
      </c>
      <c r="Z121" t="e">
        <f ca="1"/>
        <v>#NAME?</v>
      </c>
      <c r="AA121" t="e">
        <f ca="1"/>
        <v>#NAME?</v>
      </c>
      <c r="AB121" t="e">
        <f ca="1"/>
        <v>#NAME?</v>
      </c>
      <c r="AD121" s="2">
        <f t="shared" ca="1" si="12"/>
        <v>0</v>
      </c>
      <c r="AE121" s="46">
        <f t="shared" ca="1" si="13"/>
        <v>0</v>
      </c>
      <c r="AG121" s="72" t="e">
        <f t="shared" ca="1" si="17"/>
        <v>#NAME?</v>
      </c>
      <c r="AH121" s="72" t="e">
        <f t="shared" ca="1" si="18"/>
        <v>#NAME?</v>
      </c>
      <c r="AI121" s="3" t="e">
        <f t="shared" ca="1" si="19"/>
        <v>#NAME?</v>
      </c>
    </row>
    <row r="122" spans="7:35" x14ac:dyDescent="0.25">
      <c r="G122" s="3">
        <f t="shared" ca="1" si="14"/>
        <v>103</v>
      </c>
      <c r="H122" s="105">
        <f t="shared" ca="1" si="16"/>
        <v>45028</v>
      </c>
      <c r="I122" s="132" t="e">
        <f>HLOOKUP($H$4,'Met Data'!$A$2:$F$368,G122,FALSE)</f>
        <v>#N/A</v>
      </c>
      <c r="J122" s="132" t="e">
        <f ca="1">HLOOKUP($H$4,'Met Data'!$H$2:$M$368,G122,FALSE)*L122</f>
        <v>#N/A</v>
      </c>
      <c r="K122" s="106" t="e">
        <f>HLOOKUP($H$4,'Met Data'!$O$2:$T$368,G122,FALSE)</f>
        <v>#N/A</v>
      </c>
      <c r="L122">
        <f t="shared" ca="1" si="10"/>
        <v>1</v>
      </c>
      <c r="N122" t="e">
        <f t="shared" ca="1" si="15"/>
        <v>#NAME?</v>
      </c>
      <c r="O122" t="e">
        <f t="shared" ca="1" si="11"/>
        <v>#NAME?</v>
      </c>
      <c r="P122" s="2" t="e">
        <f ca="1"/>
        <v>#NAME?</v>
      </c>
      <c r="Q122" t="e">
        <f ca="1"/>
        <v>#NAME?</v>
      </c>
      <c r="R122" t="e">
        <f ca="1"/>
        <v>#NAME?</v>
      </c>
      <c r="S122" t="e">
        <f ca="1"/>
        <v>#NAME?</v>
      </c>
      <c r="T122" t="e">
        <f ca="1"/>
        <v>#NAME?</v>
      </c>
      <c r="U122" t="e">
        <f ca="1"/>
        <v>#NAME?</v>
      </c>
      <c r="V122" t="e">
        <f ca="1"/>
        <v>#NAME?</v>
      </c>
      <c r="W122" t="e">
        <f ca="1"/>
        <v>#NAME?</v>
      </c>
      <c r="X122" t="e">
        <f ca="1"/>
        <v>#NAME?</v>
      </c>
      <c r="Y122" t="e">
        <f ca="1"/>
        <v>#NAME?</v>
      </c>
      <c r="Z122" t="e">
        <f ca="1"/>
        <v>#NAME?</v>
      </c>
      <c r="AA122" t="e">
        <f ca="1"/>
        <v>#NAME?</v>
      </c>
      <c r="AB122" t="e">
        <f ca="1"/>
        <v>#NAME?</v>
      </c>
      <c r="AD122" s="2">
        <f t="shared" ca="1" si="12"/>
        <v>0</v>
      </c>
      <c r="AE122" s="46">
        <f t="shared" ca="1" si="13"/>
        <v>0</v>
      </c>
      <c r="AG122" s="72" t="e">
        <f t="shared" ca="1" si="17"/>
        <v>#NAME?</v>
      </c>
      <c r="AH122" s="72" t="e">
        <f t="shared" ca="1" si="18"/>
        <v>#NAME?</v>
      </c>
      <c r="AI122" s="3" t="e">
        <f t="shared" ca="1" si="19"/>
        <v>#NAME?</v>
      </c>
    </row>
    <row r="123" spans="7:35" x14ac:dyDescent="0.25">
      <c r="G123" s="3">
        <f t="shared" ca="1" si="14"/>
        <v>104</v>
      </c>
      <c r="H123" s="105">
        <f t="shared" ca="1" si="16"/>
        <v>45029</v>
      </c>
      <c r="I123" s="132" t="e">
        <f>HLOOKUP($H$4,'Met Data'!$A$2:$F$368,G123,FALSE)</f>
        <v>#N/A</v>
      </c>
      <c r="J123" s="132" t="e">
        <f ca="1">HLOOKUP($H$4,'Met Data'!$H$2:$M$368,G123,FALSE)*L123</f>
        <v>#N/A</v>
      </c>
      <c r="K123" s="106" t="e">
        <f>HLOOKUP($H$4,'Met Data'!$O$2:$T$368,G123,FALSE)</f>
        <v>#N/A</v>
      </c>
      <c r="L123">
        <f t="shared" ca="1" si="10"/>
        <v>1</v>
      </c>
      <c r="N123" t="e">
        <f t="shared" ca="1" si="15"/>
        <v>#NAME?</v>
      </c>
      <c r="O123" t="e">
        <f t="shared" ca="1" si="11"/>
        <v>#NAME?</v>
      </c>
      <c r="P123" s="2" t="e">
        <f ca="1"/>
        <v>#NAME?</v>
      </c>
      <c r="Q123" t="e">
        <f ca="1"/>
        <v>#NAME?</v>
      </c>
      <c r="R123" t="e">
        <f ca="1"/>
        <v>#NAME?</v>
      </c>
      <c r="S123" t="e">
        <f ca="1"/>
        <v>#NAME?</v>
      </c>
      <c r="T123" t="e">
        <f ca="1"/>
        <v>#NAME?</v>
      </c>
      <c r="U123" t="e">
        <f ca="1"/>
        <v>#NAME?</v>
      </c>
      <c r="V123" t="e">
        <f ca="1"/>
        <v>#NAME?</v>
      </c>
      <c r="W123" t="e">
        <f ca="1"/>
        <v>#NAME?</v>
      </c>
      <c r="X123" t="e">
        <f ca="1"/>
        <v>#NAME?</v>
      </c>
      <c r="Y123" t="e">
        <f ca="1"/>
        <v>#NAME?</v>
      </c>
      <c r="Z123" t="e">
        <f ca="1"/>
        <v>#NAME?</v>
      </c>
      <c r="AA123" t="e">
        <f ca="1"/>
        <v>#NAME?</v>
      </c>
      <c r="AB123" t="e">
        <f ca="1"/>
        <v>#NAME?</v>
      </c>
      <c r="AD123" s="2">
        <f t="shared" ca="1" si="12"/>
        <v>0</v>
      </c>
      <c r="AE123" s="46">
        <f t="shared" ca="1" si="13"/>
        <v>0</v>
      </c>
      <c r="AG123" s="72" t="e">
        <f t="shared" ca="1" si="17"/>
        <v>#NAME?</v>
      </c>
      <c r="AH123" s="72" t="e">
        <f t="shared" ca="1" si="18"/>
        <v>#NAME?</v>
      </c>
      <c r="AI123" s="3" t="e">
        <f t="shared" ca="1" si="19"/>
        <v>#NAME?</v>
      </c>
    </row>
    <row r="124" spans="7:35" x14ac:dyDescent="0.25">
      <c r="G124" s="3">
        <f t="shared" ca="1" si="14"/>
        <v>105</v>
      </c>
      <c r="H124" s="105">
        <f t="shared" ca="1" si="16"/>
        <v>45030</v>
      </c>
      <c r="I124" s="132" t="e">
        <f>HLOOKUP($H$4,'Met Data'!$A$2:$F$368,G124,FALSE)</f>
        <v>#N/A</v>
      </c>
      <c r="J124" s="132" t="e">
        <f ca="1">HLOOKUP($H$4,'Met Data'!$H$2:$M$368,G124,FALSE)*L124</f>
        <v>#N/A</v>
      </c>
      <c r="K124" s="106" t="e">
        <f>HLOOKUP($H$4,'Met Data'!$O$2:$T$368,G124,FALSE)</f>
        <v>#N/A</v>
      </c>
      <c r="L124">
        <f t="shared" ca="1" si="10"/>
        <v>1</v>
      </c>
      <c r="N124" t="e">
        <f t="shared" ca="1" si="15"/>
        <v>#NAME?</v>
      </c>
      <c r="O124" t="e">
        <f t="shared" ca="1" si="11"/>
        <v>#NAME?</v>
      </c>
      <c r="P124" s="2" t="e">
        <f ca="1"/>
        <v>#NAME?</v>
      </c>
      <c r="Q124" t="e">
        <f ca="1"/>
        <v>#NAME?</v>
      </c>
      <c r="R124" t="e">
        <f ca="1"/>
        <v>#NAME?</v>
      </c>
      <c r="S124" t="e">
        <f ca="1"/>
        <v>#NAME?</v>
      </c>
      <c r="T124" t="e">
        <f ca="1"/>
        <v>#NAME?</v>
      </c>
      <c r="U124" t="e">
        <f ca="1"/>
        <v>#NAME?</v>
      </c>
      <c r="V124" t="e">
        <f ca="1"/>
        <v>#NAME?</v>
      </c>
      <c r="W124" t="e">
        <f ca="1"/>
        <v>#NAME?</v>
      </c>
      <c r="X124" t="e">
        <f ca="1"/>
        <v>#NAME?</v>
      </c>
      <c r="Y124" t="e">
        <f ca="1"/>
        <v>#NAME?</v>
      </c>
      <c r="Z124" t="e">
        <f ca="1"/>
        <v>#NAME?</v>
      </c>
      <c r="AA124" t="e">
        <f ca="1"/>
        <v>#NAME?</v>
      </c>
      <c r="AB124" t="e">
        <f ca="1"/>
        <v>#NAME?</v>
      </c>
      <c r="AD124" s="2">
        <f t="shared" ca="1" si="12"/>
        <v>0</v>
      </c>
      <c r="AE124" s="46">
        <f t="shared" ca="1" si="13"/>
        <v>0</v>
      </c>
      <c r="AG124" s="72" t="e">
        <f t="shared" ca="1" si="17"/>
        <v>#NAME?</v>
      </c>
      <c r="AH124" s="72" t="e">
        <f t="shared" ca="1" si="18"/>
        <v>#NAME?</v>
      </c>
      <c r="AI124" s="3" t="e">
        <f t="shared" ca="1" si="19"/>
        <v>#NAME?</v>
      </c>
    </row>
    <row r="125" spans="7:35" x14ac:dyDescent="0.25">
      <c r="G125" s="3">
        <f t="shared" ca="1" si="14"/>
        <v>106</v>
      </c>
      <c r="H125" s="105">
        <f t="shared" ca="1" si="16"/>
        <v>45031</v>
      </c>
      <c r="I125" s="132" t="e">
        <f>HLOOKUP($H$4,'Met Data'!$A$2:$F$368,G125,FALSE)</f>
        <v>#N/A</v>
      </c>
      <c r="J125" s="132" t="e">
        <f ca="1">HLOOKUP($H$4,'Met Data'!$H$2:$M$368,G125,FALSE)*L125</f>
        <v>#N/A</v>
      </c>
      <c r="K125" s="106" t="e">
        <f>HLOOKUP($H$4,'Met Data'!$O$2:$T$368,G125,FALSE)</f>
        <v>#N/A</v>
      </c>
      <c r="L125">
        <f t="shared" ca="1" si="10"/>
        <v>1</v>
      </c>
      <c r="N125" t="e">
        <f t="shared" ca="1" si="15"/>
        <v>#NAME?</v>
      </c>
      <c r="O125" t="e">
        <f t="shared" ca="1" si="11"/>
        <v>#NAME?</v>
      </c>
      <c r="P125" s="2" t="e">
        <f ca="1"/>
        <v>#NAME?</v>
      </c>
      <c r="Q125" t="e">
        <f ca="1"/>
        <v>#NAME?</v>
      </c>
      <c r="R125" t="e">
        <f ca="1"/>
        <v>#NAME?</v>
      </c>
      <c r="S125" t="e">
        <f ca="1"/>
        <v>#NAME?</v>
      </c>
      <c r="T125" t="e">
        <f ca="1"/>
        <v>#NAME?</v>
      </c>
      <c r="U125" t="e">
        <f ca="1"/>
        <v>#NAME?</v>
      </c>
      <c r="V125" t="e">
        <f ca="1"/>
        <v>#NAME?</v>
      </c>
      <c r="W125" t="e">
        <f ca="1"/>
        <v>#NAME?</v>
      </c>
      <c r="X125" t="e">
        <f ca="1"/>
        <v>#NAME?</v>
      </c>
      <c r="Y125" t="e">
        <f ca="1"/>
        <v>#NAME?</v>
      </c>
      <c r="Z125" t="e">
        <f ca="1"/>
        <v>#NAME?</v>
      </c>
      <c r="AA125" t="e">
        <f ca="1"/>
        <v>#NAME?</v>
      </c>
      <c r="AB125" t="e">
        <f ca="1"/>
        <v>#NAME?</v>
      </c>
      <c r="AD125" s="2">
        <f t="shared" ca="1" si="12"/>
        <v>0</v>
      </c>
      <c r="AE125" s="46">
        <f t="shared" ca="1" si="13"/>
        <v>0</v>
      </c>
      <c r="AG125" s="72" t="e">
        <f t="shared" ca="1" si="17"/>
        <v>#NAME?</v>
      </c>
      <c r="AH125" s="72" t="e">
        <f t="shared" ca="1" si="18"/>
        <v>#NAME?</v>
      </c>
      <c r="AI125" s="3" t="e">
        <f t="shared" ca="1" si="19"/>
        <v>#NAME?</v>
      </c>
    </row>
    <row r="126" spans="7:35" x14ac:dyDescent="0.25">
      <c r="G126" s="3">
        <f t="shared" ca="1" si="14"/>
        <v>107</v>
      </c>
      <c r="H126" s="105">
        <f t="shared" ca="1" si="16"/>
        <v>45032</v>
      </c>
      <c r="I126" s="132" t="e">
        <f>HLOOKUP($H$4,'Met Data'!$A$2:$F$368,G126,FALSE)</f>
        <v>#N/A</v>
      </c>
      <c r="J126" s="132" t="e">
        <f ca="1">HLOOKUP($H$4,'Met Data'!$H$2:$M$368,G126,FALSE)*L126</f>
        <v>#N/A</v>
      </c>
      <c r="K126" s="106" t="e">
        <f>HLOOKUP($H$4,'Met Data'!$O$2:$T$368,G126,FALSE)</f>
        <v>#N/A</v>
      </c>
      <c r="L126">
        <f t="shared" ca="1" si="10"/>
        <v>1</v>
      </c>
      <c r="N126" t="e">
        <f t="shared" ca="1" si="15"/>
        <v>#NAME?</v>
      </c>
      <c r="O126" t="e">
        <f t="shared" ca="1" si="11"/>
        <v>#NAME?</v>
      </c>
      <c r="P126" s="2" t="e">
        <f ca="1"/>
        <v>#NAME?</v>
      </c>
      <c r="Q126" t="e">
        <f ca="1"/>
        <v>#NAME?</v>
      </c>
      <c r="R126" t="e">
        <f ca="1"/>
        <v>#NAME?</v>
      </c>
      <c r="S126" t="e">
        <f ca="1"/>
        <v>#NAME?</v>
      </c>
      <c r="T126" t="e">
        <f ca="1"/>
        <v>#NAME?</v>
      </c>
      <c r="U126" t="e">
        <f ca="1"/>
        <v>#NAME?</v>
      </c>
      <c r="V126" t="e">
        <f ca="1"/>
        <v>#NAME?</v>
      </c>
      <c r="W126" t="e">
        <f ca="1"/>
        <v>#NAME?</v>
      </c>
      <c r="X126" t="e">
        <f ca="1"/>
        <v>#NAME?</v>
      </c>
      <c r="Y126" t="e">
        <f ca="1"/>
        <v>#NAME?</v>
      </c>
      <c r="Z126" t="e">
        <f ca="1"/>
        <v>#NAME?</v>
      </c>
      <c r="AA126" t="e">
        <f ca="1"/>
        <v>#NAME?</v>
      </c>
      <c r="AB126" t="e">
        <f ca="1"/>
        <v>#NAME?</v>
      </c>
      <c r="AD126" s="2">
        <f t="shared" ca="1" si="12"/>
        <v>0</v>
      </c>
      <c r="AE126" s="46">
        <f t="shared" ca="1" si="13"/>
        <v>0</v>
      </c>
      <c r="AG126" s="72" t="e">
        <f t="shared" ca="1" si="17"/>
        <v>#NAME?</v>
      </c>
      <c r="AH126" s="72" t="e">
        <f t="shared" ca="1" si="18"/>
        <v>#NAME?</v>
      </c>
      <c r="AI126" s="3" t="e">
        <f t="shared" ca="1" si="19"/>
        <v>#NAME?</v>
      </c>
    </row>
    <row r="127" spans="7:35" x14ac:dyDescent="0.25">
      <c r="G127" s="3">
        <f t="shared" ca="1" si="14"/>
        <v>108</v>
      </c>
      <c r="H127" s="105">
        <f t="shared" ca="1" si="16"/>
        <v>45033</v>
      </c>
      <c r="I127" s="132" t="e">
        <f>HLOOKUP($H$4,'Met Data'!$A$2:$F$368,G127,FALSE)</f>
        <v>#N/A</v>
      </c>
      <c r="J127" s="132" t="e">
        <f ca="1">HLOOKUP($H$4,'Met Data'!$H$2:$M$368,G127,FALSE)*L127</f>
        <v>#N/A</v>
      </c>
      <c r="K127" s="106" t="e">
        <f>HLOOKUP($H$4,'Met Data'!$O$2:$T$368,G127,FALSE)</f>
        <v>#N/A</v>
      </c>
      <c r="L127">
        <f t="shared" ca="1" si="10"/>
        <v>1</v>
      </c>
      <c r="N127" t="e">
        <f t="shared" ca="1" si="15"/>
        <v>#NAME?</v>
      </c>
      <c r="O127" t="e">
        <f t="shared" ca="1" si="11"/>
        <v>#NAME?</v>
      </c>
      <c r="P127" s="2" t="e">
        <f ca="1"/>
        <v>#NAME?</v>
      </c>
      <c r="Q127" t="e">
        <f ca="1"/>
        <v>#NAME?</v>
      </c>
      <c r="R127" t="e">
        <f ca="1"/>
        <v>#NAME?</v>
      </c>
      <c r="S127" t="e">
        <f ca="1"/>
        <v>#NAME?</v>
      </c>
      <c r="T127" t="e">
        <f ca="1"/>
        <v>#NAME?</v>
      </c>
      <c r="U127" t="e">
        <f ca="1"/>
        <v>#NAME?</v>
      </c>
      <c r="V127" t="e">
        <f ca="1"/>
        <v>#NAME?</v>
      </c>
      <c r="W127" t="e">
        <f ca="1"/>
        <v>#NAME?</v>
      </c>
      <c r="X127" t="e">
        <f ca="1"/>
        <v>#NAME?</v>
      </c>
      <c r="Y127" t="e">
        <f ca="1"/>
        <v>#NAME?</v>
      </c>
      <c r="Z127" t="e">
        <f ca="1"/>
        <v>#NAME?</v>
      </c>
      <c r="AA127" t="e">
        <f ca="1"/>
        <v>#NAME?</v>
      </c>
      <c r="AB127" t="e">
        <f ca="1"/>
        <v>#NAME?</v>
      </c>
      <c r="AD127" s="2">
        <f t="shared" ca="1" si="12"/>
        <v>0</v>
      </c>
      <c r="AE127" s="46">
        <f t="shared" ca="1" si="13"/>
        <v>0</v>
      </c>
      <c r="AG127" s="72" t="e">
        <f t="shared" ca="1" si="17"/>
        <v>#NAME?</v>
      </c>
      <c r="AH127" s="72" t="e">
        <f t="shared" ca="1" si="18"/>
        <v>#NAME?</v>
      </c>
      <c r="AI127" s="3" t="e">
        <f t="shared" ca="1" si="19"/>
        <v>#NAME?</v>
      </c>
    </row>
    <row r="128" spans="7:35" x14ac:dyDescent="0.25">
      <c r="G128" s="3">
        <f t="shared" ca="1" si="14"/>
        <v>109</v>
      </c>
      <c r="H128" s="105">
        <f t="shared" ca="1" si="16"/>
        <v>45034</v>
      </c>
      <c r="I128" s="132" t="e">
        <f>HLOOKUP($H$4,'Met Data'!$A$2:$F$368,G128,FALSE)</f>
        <v>#N/A</v>
      </c>
      <c r="J128" s="132" t="e">
        <f ca="1">HLOOKUP($H$4,'Met Data'!$H$2:$M$368,G128,FALSE)*L128</f>
        <v>#N/A</v>
      </c>
      <c r="K128" s="106" t="e">
        <f>HLOOKUP($H$4,'Met Data'!$O$2:$T$368,G128,FALSE)</f>
        <v>#N/A</v>
      </c>
      <c r="L128">
        <f t="shared" ca="1" si="10"/>
        <v>1</v>
      </c>
      <c r="N128" t="e">
        <f t="shared" ca="1" si="15"/>
        <v>#NAME?</v>
      </c>
      <c r="O128" t="e">
        <f t="shared" ca="1" si="11"/>
        <v>#NAME?</v>
      </c>
      <c r="P128" s="2" t="e">
        <f ca="1"/>
        <v>#NAME?</v>
      </c>
      <c r="Q128" t="e">
        <f ca="1"/>
        <v>#NAME?</v>
      </c>
      <c r="R128" t="e">
        <f ca="1"/>
        <v>#NAME?</v>
      </c>
      <c r="S128" t="e">
        <f ca="1"/>
        <v>#NAME?</v>
      </c>
      <c r="T128" t="e">
        <f ca="1"/>
        <v>#NAME?</v>
      </c>
      <c r="U128" t="e">
        <f ca="1"/>
        <v>#NAME?</v>
      </c>
      <c r="V128" t="e">
        <f ca="1"/>
        <v>#NAME?</v>
      </c>
      <c r="W128" t="e">
        <f ca="1"/>
        <v>#NAME?</v>
      </c>
      <c r="X128" t="e">
        <f ca="1"/>
        <v>#NAME?</v>
      </c>
      <c r="Y128" t="e">
        <f ca="1"/>
        <v>#NAME?</v>
      </c>
      <c r="Z128" t="e">
        <f ca="1"/>
        <v>#NAME?</v>
      </c>
      <c r="AA128" t="e">
        <f ca="1"/>
        <v>#NAME?</v>
      </c>
      <c r="AB128" t="e">
        <f ca="1"/>
        <v>#NAME?</v>
      </c>
      <c r="AD128" s="2">
        <f t="shared" ca="1" si="12"/>
        <v>0</v>
      </c>
      <c r="AE128" s="46">
        <f t="shared" ca="1" si="13"/>
        <v>0</v>
      </c>
      <c r="AG128" s="72" t="e">
        <f t="shared" ca="1" si="17"/>
        <v>#NAME?</v>
      </c>
      <c r="AH128" s="72" t="e">
        <f t="shared" ca="1" si="18"/>
        <v>#NAME?</v>
      </c>
      <c r="AI128" s="3" t="e">
        <f t="shared" ca="1" si="19"/>
        <v>#NAME?</v>
      </c>
    </row>
    <row r="129" spans="7:35" x14ac:dyDescent="0.25">
      <c r="G129" s="3">
        <f t="shared" ca="1" si="14"/>
        <v>110</v>
      </c>
      <c r="H129" s="105">
        <f t="shared" ca="1" si="16"/>
        <v>45035</v>
      </c>
      <c r="I129" s="132" t="e">
        <f>HLOOKUP($H$4,'Met Data'!$A$2:$F$368,G129,FALSE)</f>
        <v>#N/A</v>
      </c>
      <c r="J129" s="132" t="e">
        <f ca="1">HLOOKUP($H$4,'Met Data'!$H$2:$M$368,G129,FALSE)*L129</f>
        <v>#N/A</v>
      </c>
      <c r="K129" s="106" t="e">
        <f>HLOOKUP($H$4,'Met Data'!$O$2:$T$368,G129,FALSE)</f>
        <v>#N/A</v>
      </c>
      <c r="L129">
        <f t="shared" ca="1" si="10"/>
        <v>1</v>
      </c>
      <c r="N129" t="e">
        <f t="shared" ca="1" si="15"/>
        <v>#NAME?</v>
      </c>
      <c r="O129" t="e">
        <f t="shared" ca="1" si="11"/>
        <v>#NAME?</v>
      </c>
      <c r="P129" s="2" t="e">
        <f ca="1"/>
        <v>#NAME?</v>
      </c>
      <c r="Q129" t="e">
        <f ca="1"/>
        <v>#NAME?</v>
      </c>
      <c r="R129" t="e">
        <f ca="1"/>
        <v>#NAME?</v>
      </c>
      <c r="S129" t="e">
        <f ca="1"/>
        <v>#NAME?</v>
      </c>
      <c r="T129" t="e">
        <f ca="1"/>
        <v>#NAME?</v>
      </c>
      <c r="U129" t="e">
        <f ca="1"/>
        <v>#NAME?</v>
      </c>
      <c r="V129" t="e">
        <f ca="1"/>
        <v>#NAME?</v>
      </c>
      <c r="W129" t="e">
        <f ca="1"/>
        <v>#NAME?</v>
      </c>
      <c r="X129" t="e">
        <f ca="1"/>
        <v>#NAME?</v>
      </c>
      <c r="Y129" t="e">
        <f ca="1"/>
        <v>#NAME?</v>
      </c>
      <c r="Z129" t="e">
        <f ca="1"/>
        <v>#NAME?</v>
      </c>
      <c r="AA129" t="e">
        <f ca="1"/>
        <v>#NAME?</v>
      </c>
      <c r="AB129" t="e">
        <f ca="1"/>
        <v>#NAME?</v>
      </c>
      <c r="AD129" s="2">
        <f t="shared" ca="1" si="12"/>
        <v>0</v>
      </c>
      <c r="AE129" s="46">
        <f t="shared" ca="1" si="13"/>
        <v>0</v>
      </c>
      <c r="AG129" s="72" t="e">
        <f t="shared" ca="1" si="17"/>
        <v>#NAME?</v>
      </c>
      <c r="AH129" s="72" t="e">
        <f t="shared" ca="1" si="18"/>
        <v>#NAME?</v>
      </c>
      <c r="AI129" s="3" t="e">
        <f t="shared" ca="1" si="19"/>
        <v>#NAME?</v>
      </c>
    </row>
    <row r="130" spans="7:35" x14ac:dyDescent="0.25">
      <c r="G130" s="3">
        <f t="shared" ca="1" si="14"/>
        <v>111</v>
      </c>
      <c r="H130" s="105">
        <f t="shared" ca="1" si="16"/>
        <v>45036</v>
      </c>
      <c r="I130" s="132" t="e">
        <f>HLOOKUP($H$4,'Met Data'!$A$2:$F$368,G130,FALSE)</f>
        <v>#N/A</v>
      </c>
      <c r="J130" s="132" t="e">
        <f ca="1">HLOOKUP($H$4,'Met Data'!$H$2:$M$368,G130,FALSE)*L130</f>
        <v>#N/A</v>
      </c>
      <c r="K130" s="106" t="e">
        <f>HLOOKUP($H$4,'Met Data'!$O$2:$T$368,G130,FALSE)</f>
        <v>#N/A</v>
      </c>
      <c r="L130">
        <f t="shared" ca="1" si="10"/>
        <v>1</v>
      </c>
      <c r="N130" t="e">
        <f t="shared" ca="1" si="15"/>
        <v>#NAME?</v>
      </c>
      <c r="O130" t="e">
        <f t="shared" ca="1" si="11"/>
        <v>#NAME?</v>
      </c>
      <c r="P130" s="2" t="e">
        <f ca="1"/>
        <v>#NAME?</v>
      </c>
      <c r="Q130" t="e">
        <f ca="1"/>
        <v>#NAME?</v>
      </c>
      <c r="R130" t="e">
        <f ca="1"/>
        <v>#NAME?</v>
      </c>
      <c r="S130" t="e">
        <f ca="1"/>
        <v>#NAME?</v>
      </c>
      <c r="T130" t="e">
        <f ca="1"/>
        <v>#NAME?</v>
      </c>
      <c r="U130" t="e">
        <f ca="1"/>
        <v>#NAME?</v>
      </c>
      <c r="V130" t="e">
        <f ca="1"/>
        <v>#NAME?</v>
      </c>
      <c r="W130" t="e">
        <f ca="1"/>
        <v>#NAME?</v>
      </c>
      <c r="X130" t="e">
        <f ca="1"/>
        <v>#NAME?</v>
      </c>
      <c r="Y130" t="e">
        <f ca="1"/>
        <v>#NAME?</v>
      </c>
      <c r="Z130" t="e">
        <f ca="1"/>
        <v>#NAME?</v>
      </c>
      <c r="AA130" t="e">
        <f ca="1"/>
        <v>#NAME?</v>
      </c>
      <c r="AB130" t="e">
        <f ca="1"/>
        <v>#NAME?</v>
      </c>
      <c r="AD130" s="2">
        <f t="shared" ca="1" si="12"/>
        <v>0</v>
      </c>
      <c r="AE130" s="46">
        <f t="shared" ca="1" si="13"/>
        <v>0</v>
      </c>
      <c r="AG130" s="72" t="e">
        <f t="shared" ca="1" si="17"/>
        <v>#NAME?</v>
      </c>
      <c r="AH130" s="72" t="e">
        <f t="shared" ca="1" si="18"/>
        <v>#NAME?</v>
      </c>
      <c r="AI130" s="3" t="e">
        <f t="shared" ca="1" si="19"/>
        <v>#NAME?</v>
      </c>
    </row>
    <row r="131" spans="7:35" x14ac:dyDescent="0.25">
      <c r="G131" s="3">
        <f t="shared" ca="1" si="14"/>
        <v>112</v>
      </c>
      <c r="H131" s="105">
        <f t="shared" ca="1" si="16"/>
        <v>45037</v>
      </c>
      <c r="I131" s="132" t="e">
        <f>HLOOKUP($H$4,'Met Data'!$A$2:$F$368,G131,FALSE)</f>
        <v>#N/A</v>
      </c>
      <c r="J131" s="132" t="e">
        <f ca="1">HLOOKUP($H$4,'Met Data'!$H$2:$M$368,G131,FALSE)*L131</f>
        <v>#N/A</v>
      </c>
      <c r="K131" s="106" t="e">
        <f>HLOOKUP($H$4,'Met Data'!$O$2:$T$368,G131,FALSE)</f>
        <v>#N/A</v>
      </c>
      <c r="L131">
        <f t="shared" ca="1" si="10"/>
        <v>1</v>
      </c>
      <c r="N131" t="e">
        <f t="shared" ca="1" si="15"/>
        <v>#NAME?</v>
      </c>
      <c r="O131" t="e">
        <f t="shared" ca="1" si="11"/>
        <v>#NAME?</v>
      </c>
      <c r="P131" s="2" t="e">
        <f ca="1"/>
        <v>#NAME?</v>
      </c>
      <c r="Q131" t="e">
        <f ca="1"/>
        <v>#NAME?</v>
      </c>
      <c r="R131" t="e">
        <f ca="1"/>
        <v>#NAME?</v>
      </c>
      <c r="S131" t="e">
        <f ca="1"/>
        <v>#NAME?</v>
      </c>
      <c r="T131" t="e">
        <f ca="1"/>
        <v>#NAME?</v>
      </c>
      <c r="U131" t="e">
        <f ca="1"/>
        <v>#NAME?</v>
      </c>
      <c r="V131" t="e">
        <f ca="1"/>
        <v>#NAME?</v>
      </c>
      <c r="W131" t="e">
        <f ca="1"/>
        <v>#NAME?</v>
      </c>
      <c r="X131" t="e">
        <f ca="1"/>
        <v>#NAME?</v>
      </c>
      <c r="Y131" t="e">
        <f ca="1"/>
        <v>#NAME?</v>
      </c>
      <c r="Z131" t="e">
        <f ca="1"/>
        <v>#NAME?</v>
      </c>
      <c r="AA131" t="e">
        <f ca="1"/>
        <v>#NAME?</v>
      </c>
      <c r="AB131" t="e">
        <f ca="1"/>
        <v>#NAME?</v>
      </c>
      <c r="AD131" s="2">
        <f t="shared" ca="1" si="12"/>
        <v>0</v>
      </c>
      <c r="AE131" s="46">
        <f t="shared" ca="1" si="13"/>
        <v>0</v>
      </c>
      <c r="AG131" s="72" t="e">
        <f t="shared" ca="1" si="17"/>
        <v>#NAME?</v>
      </c>
      <c r="AH131" s="72" t="e">
        <f t="shared" ca="1" si="18"/>
        <v>#NAME?</v>
      </c>
      <c r="AI131" s="3" t="e">
        <f t="shared" ca="1" si="19"/>
        <v>#NAME?</v>
      </c>
    </row>
    <row r="132" spans="7:35" x14ac:dyDescent="0.25">
      <c r="G132" s="3">
        <f t="shared" ca="1" si="14"/>
        <v>113</v>
      </c>
      <c r="H132" s="105">
        <f t="shared" ca="1" si="16"/>
        <v>45038</v>
      </c>
      <c r="I132" s="132" t="e">
        <f>HLOOKUP($H$4,'Met Data'!$A$2:$F$368,G132,FALSE)</f>
        <v>#N/A</v>
      </c>
      <c r="J132" s="132" t="e">
        <f ca="1">HLOOKUP($H$4,'Met Data'!$H$2:$M$368,G132,FALSE)*L132</f>
        <v>#N/A</v>
      </c>
      <c r="K132" s="106" t="e">
        <f>HLOOKUP($H$4,'Met Data'!$O$2:$T$368,G132,FALSE)</f>
        <v>#N/A</v>
      </c>
      <c r="L132">
        <f t="shared" ca="1" si="10"/>
        <v>1</v>
      </c>
      <c r="N132" t="e">
        <f t="shared" ca="1" si="15"/>
        <v>#NAME?</v>
      </c>
      <c r="O132" t="e">
        <f t="shared" ca="1" si="11"/>
        <v>#NAME?</v>
      </c>
      <c r="P132" s="2" t="e">
        <f ca="1"/>
        <v>#NAME?</v>
      </c>
      <c r="Q132" t="e">
        <f ca="1"/>
        <v>#NAME?</v>
      </c>
      <c r="R132" t="e">
        <f ca="1"/>
        <v>#NAME?</v>
      </c>
      <c r="S132" t="e">
        <f ca="1"/>
        <v>#NAME?</v>
      </c>
      <c r="T132" t="e">
        <f ca="1"/>
        <v>#NAME?</v>
      </c>
      <c r="U132" t="e">
        <f ca="1"/>
        <v>#NAME?</v>
      </c>
      <c r="V132" t="e">
        <f ca="1"/>
        <v>#NAME?</v>
      </c>
      <c r="W132" t="e">
        <f ca="1"/>
        <v>#NAME?</v>
      </c>
      <c r="X132" t="e">
        <f ca="1"/>
        <v>#NAME?</v>
      </c>
      <c r="Y132" t="e">
        <f ca="1"/>
        <v>#NAME?</v>
      </c>
      <c r="Z132" t="e">
        <f ca="1"/>
        <v>#NAME?</v>
      </c>
      <c r="AA132" t="e">
        <f ca="1"/>
        <v>#NAME?</v>
      </c>
      <c r="AB132" t="e">
        <f ca="1"/>
        <v>#NAME?</v>
      </c>
      <c r="AD132" s="2">
        <f t="shared" ca="1" si="12"/>
        <v>0</v>
      </c>
      <c r="AE132" s="46">
        <f t="shared" ca="1" si="13"/>
        <v>0</v>
      </c>
      <c r="AG132" s="72" t="e">
        <f t="shared" ca="1" si="17"/>
        <v>#NAME?</v>
      </c>
      <c r="AH132" s="72" t="e">
        <f t="shared" ca="1" si="18"/>
        <v>#NAME?</v>
      </c>
      <c r="AI132" s="3" t="e">
        <f t="shared" ca="1" si="19"/>
        <v>#NAME?</v>
      </c>
    </row>
    <row r="133" spans="7:35" x14ac:dyDescent="0.25">
      <c r="G133" s="3">
        <f t="shared" ca="1" si="14"/>
        <v>114</v>
      </c>
      <c r="H133" s="105">
        <f t="shared" ca="1" si="16"/>
        <v>45039</v>
      </c>
      <c r="I133" s="132" t="e">
        <f>HLOOKUP($H$4,'Met Data'!$A$2:$F$368,G133,FALSE)</f>
        <v>#N/A</v>
      </c>
      <c r="J133" s="132" t="e">
        <f ca="1">HLOOKUP($H$4,'Met Data'!$H$2:$M$368,G133,FALSE)*L133</f>
        <v>#N/A</v>
      </c>
      <c r="K133" s="106" t="e">
        <f>HLOOKUP($H$4,'Met Data'!$O$2:$T$368,G133,FALSE)</f>
        <v>#N/A</v>
      </c>
      <c r="L133">
        <f t="shared" ca="1" si="10"/>
        <v>1</v>
      </c>
      <c r="N133" t="e">
        <f t="shared" ca="1" si="15"/>
        <v>#NAME?</v>
      </c>
      <c r="O133" t="e">
        <f t="shared" ca="1" si="11"/>
        <v>#NAME?</v>
      </c>
      <c r="P133" s="2" t="e">
        <f ca="1"/>
        <v>#NAME?</v>
      </c>
      <c r="Q133" t="e">
        <f ca="1"/>
        <v>#NAME?</v>
      </c>
      <c r="R133" t="e">
        <f ca="1"/>
        <v>#NAME?</v>
      </c>
      <c r="S133" t="e">
        <f ca="1"/>
        <v>#NAME?</v>
      </c>
      <c r="T133" t="e">
        <f ca="1"/>
        <v>#NAME?</v>
      </c>
      <c r="U133" t="e">
        <f ca="1"/>
        <v>#NAME?</v>
      </c>
      <c r="V133" t="e">
        <f ca="1"/>
        <v>#NAME?</v>
      </c>
      <c r="W133" t="e">
        <f ca="1"/>
        <v>#NAME?</v>
      </c>
      <c r="X133" t="e">
        <f ca="1"/>
        <v>#NAME?</v>
      </c>
      <c r="Y133" t="e">
        <f ca="1"/>
        <v>#NAME?</v>
      </c>
      <c r="Z133" t="e">
        <f ca="1"/>
        <v>#NAME?</v>
      </c>
      <c r="AA133" t="e">
        <f ca="1"/>
        <v>#NAME?</v>
      </c>
      <c r="AB133" t="e">
        <f ca="1"/>
        <v>#NAME?</v>
      </c>
      <c r="AD133" s="2">
        <f t="shared" ca="1" si="12"/>
        <v>0</v>
      </c>
      <c r="AE133" s="46">
        <f t="shared" ca="1" si="13"/>
        <v>0</v>
      </c>
      <c r="AG133" s="72" t="e">
        <f t="shared" ca="1" si="17"/>
        <v>#NAME?</v>
      </c>
      <c r="AH133" s="72" t="e">
        <f t="shared" ca="1" si="18"/>
        <v>#NAME?</v>
      </c>
      <c r="AI133" s="3" t="e">
        <f t="shared" ca="1" si="19"/>
        <v>#NAME?</v>
      </c>
    </row>
    <row r="134" spans="7:35" x14ac:dyDescent="0.25">
      <c r="G134" s="3">
        <f t="shared" ca="1" si="14"/>
        <v>115</v>
      </c>
      <c r="H134" s="105">
        <f t="shared" ca="1" si="16"/>
        <v>45040</v>
      </c>
      <c r="I134" s="132" t="e">
        <f>HLOOKUP($H$4,'Met Data'!$A$2:$F$368,G134,FALSE)</f>
        <v>#N/A</v>
      </c>
      <c r="J134" s="132" t="e">
        <f ca="1">HLOOKUP($H$4,'Met Data'!$H$2:$M$368,G134,FALSE)*L134</f>
        <v>#N/A</v>
      </c>
      <c r="K134" s="106" t="e">
        <f>HLOOKUP($H$4,'Met Data'!$O$2:$T$368,G134,FALSE)</f>
        <v>#N/A</v>
      </c>
      <c r="L134">
        <f t="shared" ref="L134:L197" ca="1" si="20">IF(H134&lt;$B$31,$J$3,$J$4)</f>
        <v>1</v>
      </c>
      <c r="N134" t="e">
        <f t="shared" ca="1" si="15"/>
        <v>#NAME?</v>
      </c>
      <c r="O134" t="e">
        <f t="shared" ref="O134:O197" ca="1" si="21">AND(IF(P134&gt;($P$2-1),TRUE,FALSE),IF(P134&lt;($P$3+1),TRUE,FALSE))</f>
        <v>#NAME?</v>
      </c>
      <c r="P134" s="2" t="e">
        <f ca="1"/>
        <v>#NAME?</v>
      </c>
      <c r="Q134" t="e">
        <f ca="1"/>
        <v>#NAME?</v>
      </c>
      <c r="R134" t="e">
        <f ca="1"/>
        <v>#NAME?</v>
      </c>
      <c r="S134" t="e">
        <f ca="1"/>
        <v>#NAME?</v>
      </c>
      <c r="T134" t="e">
        <f ca="1"/>
        <v>#NAME?</v>
      </c>
      <c r="U134" t="e">
        <f ca="1"/>
        <v>#NAME?</v>
      </c>
      <c r="V134" t="e">
        <f ca="1"/>
        <v>#NAME?</v>
      </c>
      <c r="W134" t="e">
        <f ca="1"/>
        <v>#NAME?</v>
      </c>
      <c r="X134" t="e">
        <f ca="1"/>
        <v>#NAME?</v>
      </c>
      <c r="Y134" t="e">
        <f ca="1"/>
        <v>#NAME?</v>
      </c>
      <c r="Z134" t="e">
        <f ca="1"/>
        <v>#NAME?</v>
      </c>
      <c r="AA134" t="e">
        <f ca="1"/>
        <v>#NAME?</v>
      </c>
      <c r="AB134" t="e">
        <f ca="1"/>
        <v>#NAME?</v>
      </c>
      <c r="AD134" s="2">
        <f t="shared" ref="AD134:AD197" ca="1" si="22">IFERROR(P134,$AD$4)</f>
        <v>0</v>
      </c>
      <c r="AE134" s="46">
        <f t="shared" ref="AE134:AE197" ca="1" si="23">IFERROR(U134,0)</f>
        <v>0</v>
      </c>
      <c r="AG134" s="72" t="e">
        <f t="shared" ca="1" si="17"/>
        <v>#NAME?</v>
      </c>
      <c r="AH134" s="72" t="e">
        <f t="shared" ca="1" si="18"/>
        <v>#NAME?</v>
      </c>
      <c r="AI134" s="3" t="e">
        <f t="shared" ca="1" si="19"/>
        <v>#NAME?</v>
      </c>
    </row>
    <row r="135" spans="7:35" x14ac:dyDescent="0.25">
      <c r="G135" s="3">
        <f t="shared" ref="G135:G198" ca="1" si="24">H135-DATE(YEAR(H135),1,0)+1</f>
        <v>116</v>
      </c>
      <c r="H135" s="105">
        <f t="shared" ca="1" si="16"/>
        <v>45041</v>
      </c>
      <c r="I135" s="132" t="e">
        <f>HLOOKUP($H$4,'Met Data'!$A$2:$F$368,G135,FALSE)</f>
        <v>#N/A</v>
      </c>
      <c r="J135" s="132" t="e">
        <f ca="1">HLOOKUP($H$4,'Met Data'!$H$2:$M$368,G135,FALSE)*L135</f>
        <v>#N/A</v>
      </c>
      <c r="K135" s="106" t="e">
        <f>HLOOKUP($H$4,'Met Data'!$O$2:$T$368,G135,FALSE)</f>
        <v>#N/A</v>
      </c>
      <c r="L135">
        <f t="shared" ca="1" si="20"/>
        <v>1</v>
      </c>
      <c r="N135" t="e">
        <f t="shared" ref="N135:N198" ca="1" si="25">IF(P135&lt;$P$3,TRUE,FALSE)</f>
        <v>#NAME?</v>
      </c>
      <c r="O135" t="e">
        <f t="shared" ca="1" si="21"/>
        <v>#NAME?</v>
      </c>
      <c r="P135" s="2" t="e">
        <f ca="1"/>
        <v>#NAME?</v>
      </c>
      <c r="Q135" t="e">
        <f ca="1"/>
        <v>#NAME?</v>
      </c>
      <c r="R135" t="e">
        <f ca="1"/>
        <v>#NAME?</v>
      </c>
      <c r="S135" t="e">
        <f ca="1"/>
        <v>#NAME?</v>
      </c>
      <c r="T135" t="e">
        <f ca="1"/>
        <v>#NAME?</v>
      </c>
      <c r="U135" t="e">
        <f ca="1"/>
        <v>#NAME?</v>
      </c>
      <c r="V135" t="e">
        <f ca="1"/>
        <v>#NAME?</v>
      </c>
      <c r="W135" t="e">
        <f ca="1"/>
        <v>#NAME?</v>
      </c>
      <c r="X135" t="e">
        <f ca="1"/>
        <v>#NAME?</v>
      </c>
      <c r="Y135" t="e">
        <f ca="1"/>
        <v>#NAME?</v>
      </c>
      <c r="Z135" t="e">
        <f ca="1"/>
        <v>#NAME?</v>
      </c>
      <c r="AA135" t="e">
        <f ca="1"/>
        <v>#NAME?</v>
      </c>
      <c r="AB135" t="e">
        <f ca="1"/>
        <v>#NAME?</v>
      </c>
      <c r="AD135" s="2">
        <f t="shared" ca="1" si="22"/>
        <v>0</v>
      </c>
      <c r="AE135" s="46">
        <f t="shared" ca="1" si="23"/>
        <v>0</v>
      </c>
      <c r="AG135" s="72" t="e">
        <f t="shared" ca="1" si="17"/>
        <v>#NAME?</v>
      </c>
      <c r="AH135" s="72" t="e">
        <f t="shared" ca="1" si="18"/>
        <v>#NAME?</v>
      </c>
      <c r="AI135" s="3" t="e">
        <f t="shared" ca="1" si="19"/>
        <v>#NAME?</v>
      </c>
    </row>
    <row r="136" spans="7:35" x14ac:dyDescent="0.25">
      <c r="G136" s="3">
        <f t="shared" ca="1" si="24"/>
        <v>117</v>
      </c>
      <c r="H136" s="105">
        <f t="shared" ref="H136:H199" ca="1" si="26">H135+1</f>
        <v>45042</v>
      </c>
      <c r="I136" s="132" t="e">
        <f>HLOOKUP($H$4,'Met Data'!$A$2:$F$368,G136,FALSE)</f>
        <v>#N/A</v>
      </c>
      <c r="J136" s="132" t="e">
        <f ca="1">HLOOKUP($H$4,'Met Data'!$H$2:$M$368,G136,FALSE)*L136</f>
        <v>#N/A</v>
      </c>
      <c r="K136" s="106" t="e">
        <f>HLOOKUP($H$4,'Met Data'!$O$2:$T$368,G136,FALSE)</f>
        <v>#N/A</v>
      </c>
      <c r="L136">
        <f t="shared" ca="1" si="20"/>
        <v>1</v>
      </c>
      <c r="N136" t="e">
        <f t="shared" ca="1" si="25"/>
        <v>#NAME?</v>
      </c>
      <c r="O136" t="e">
        <f t="shared" ca="1" si="21"/>
        <v>#NAME?</v>
      </c>
      <c r="P136" s="2" t="e">
        <f ca="1"/>
        <v>#NAME?</v>
      </c>
      <c r="Q136" t="e">
        <f ca="1"/>
        <v>#NAME?</v>
      </c>
      <c r="R136" t="e">
        <f ca="1"/>
        <v>#NAME?</v>
      </c>
      <c r="S136" t="e">
        <f ca="1"/>
        <v>#NAME?</v>
      </c>
      <c r="T136" t="e">
        <f ca="1"/>
        <v>#NAME?</v>
      </c>
      <c r="U136" t="e">
        <f ca="1"/>
        <v>#NAME?</v>
      </c>
      <c r="V136" t="e">
        <f ca="1"/>
        <v>#NAME?</v>
      </c>
      <c r="W136" t="e">
        <f ca="1"/>
        <v>#NAME?</v>
      </c>
      <c r="X136" t="e">
        <f ca="1"/>
        <v>#NAME?</v>
      </c>
      <c r="Y136" t="e">
        <f ca="1"/>
        <v>#NAME?</v>
      </c>
      <c r="Z136" t="e">
        <f ca="1"/>
        <v>#NAME?</v>
      </c>
      <c r="AA136" t="e">
        <f ca="1"/>
        <v>#NAME?</v>
      </c>
      <c r="AB136" t="e">
        <f ca="1"/>
        <v>#NAME?</v>
      </c>
      <c r="AD136" s="2">
        <f t="shared" ca="1" si="22"/>
        <v>0</v>
      </c>
      <c r="AE136" s="46">
        <f t="shared" ca="1" si="23"/>
        <v>0</v>
      </c>
      <c r="AG136" s="72" t="e">
        <f t="shared" ref="AG136:AG199" ca="1" si="27">Q135+S136+T136+U136</f>
        <v>#NAME?</v>
      </c>
      <c r="AH136" s="72" t="e">
        <f t="shared" ref="AH136:AH199" ca="1" si="28">Q136+R136+X136</f>
        <v>#NAME?</v>
      </c>
      <c r="AI136" s="3" t="e">
        <f t="shared" ref="AI136:AI199" ca="1" si="29">AH136-AG136</f>
        <v>#NAME?</v>
      </c>
    </row>
    <row r="137" spans="7:35" x14ac:dyDescent="0.25">
      <c r="G137" s="3">
        <f t="shared" ca="1" si="24"/>
        <v>118</v>
      </c>
      <c r="H137" s="105">
        <f t="shared" ca="1" si="26"/>
        <v>45043</v>
      </c>
      <c r="I137" s="132" t="e">
        <f>HLOOKUP($H$4,'Met Data'!$A$2:$F$368,G137,FALSE)</f>
        <v>#N/A</v>
      </c>
      <c r="J137" s="132" t="e">
        <f ca="1">HLOOKUP($H$4,'Met Data'!$H$2:$M$368,G137,FALSE)*L137</f>
        <v>#N/A</v>
      </c>
      <c r="K137" s="106" t="e">
        <f>HLOOKUP($H$4,'Met Data'!$O$2:$T$368,G137,FALSE)</f>
        <v>#N/A</v>
      </c>
      <c r="L137">
        <f t="shared" ca="1" si="20"/>
        <v>1</v>
      </c>
      <c r="N137" t="e">
        <f t="shared" ca="1" si="25"/>
        <v>#NAME?</v>
      </c>
      <c r="O137" t="e">
        <f t="shared" ca="1" si="21"/>
        <v>#NAME?</v>
      </c>
      <c r="P137" s="2" t="e">
        <f ca="1"/>
        <v>#NAME?</v>
      </c>
      <c r="Q137" t="e">
        <f ca="1"/>
        <v>#NAME?</v>
      </c>
      <c r="R137" t="e">
        <f ca="1"/>
        <v>#NAME?</v>
      </c>
      <c r="S137" t="e">
        <f ca="1"/>
        <v>#NAME?</v>
      </c>
      <c r="T137" t="e">
        <f ca="1"/>
        <v>#NAME?</v>
      </c>
      <c r="U137" t="e">
        <f ca="1"/>
        <v>#NAME?</v>
      </c>
      <c r="V137" t="e">
        <f ca="1"/>
        <v>#NAME?</v>
      </c>
      <c r="W137" t="e">
        <f ca="1"/>
        <v>#NAME?</v>
      </c>
      <c r="X137" t="e">
        <f ca="1"/>
        <v>#NAME?</v>
      </c>
      <c r="Y137" t="e">
        <f ca="1"/>
        <v>#NAME?</v>
      </c>
      <c r="Z137" t="e">
        <f ca="1"/>
        <v>#NAME?</v>
      </c>
      <c r="AA137" t="e">
        <f ca="1"/>
        <v>#NAME?</v>
      </c>
      <c r="AB137" t="e">
        <f ca="1"/>
        <v>#NAME?</v>
      </c>
      <c r="AD137" s="2">
        <f t="shared" ca="1" si="22"/>
        <v>0</v>
      </c>
      <c r="AE137" s="46">
        <f t="shared" ca="1" si="23"/>
        <v>0</v>
      </c>
      <c r="AG137" s="72" t="e">
        <f t="shared" ca="1" si="27"/>
        <v>#NAME?</v>
      </c>
      <c r="AH137" s="72" t="e">
        <f t="shared" ca="1" si="28"/>
        <v>#NAME?</v>
      </c>
      <c r="AI137" s="3" t="e">
        <f t="shared" ca="1" si="29"/>
        <v>#NAME?</v>
      </c>
    </row>
    <row r="138" spans="7:35" x14ac:dyDescent="0.25">
      <c r="G138" s="3">
        <f t="shared" ca="1" si="24"/>
        <v>119</v>
      </c>
      <c r="H138" s="105">
        <f t="shared" ca="1" si="26"/>
        <v>45044</v>
      </c>
      <c r="I138" s="132" t="e">
        <f>HLOOKUP($H$4,'Met Data'!$A$2:$F$368,G138,FALSE)</f>
        <v>#N/A</v>
      </c>
      <c r="J138" s="132" t="e">
        <f ca="1">HLOOKUP($H$4,'Met Data'!$H$2:$M$368,G138,FALSE)*L138</f>
        <v>#N/A</v>
      </c>
      <c r="K138" s="106" t="e">
        <f>HLOOKUP($H$4,'Met Data'!$O$2:$T$368,G138,FALSE)</f>
        <v>#N/A</v>
      </c>
      <c r="L138">
        <f t="shared" ca="1" si="20"/>
        <v>1</v>
      </c>
      <c r="N138" t="e">
        <f t="shared" ca="1" si="25"/>
        <v>#NAME?</v>
      </c>
      <c r="O138" t="e">
        <f t="shared" ca="1" si="21"/>
        <v>#NAME?</v>
      </c>
      <c r="P138" s="2" t="e">
        <f ca="1"/>
        <v>#NAME?</v>
      </c>
      <c r="Q138" t="e">
        <f ca="1"/>
        <v>#NAME?</v>
      </c>
      <c r="R138" t="e">
        <f ca="1"/>
        <v>#NAME?</v>
      </c>
      <c r="S138" t="e">
        <f ca="1"/>
        <v>#NAME?</v>
      </c>
      <c r="T138" t="e">
        <f ca="1"/>
        <v>#NAME?</v>
      </c>
      <c r="U138" t="e">
        <f ca="1"/>
        <v>#NAME?</v>
      </c>
      <c r="V138" t="e">
        <f ca="1"/>
        <v>#NAME?</v>
      </c>
      <c r="W138" t="e">
        <f ca="1"/>
        <v>#NAME?</v>
      </c>
      <c r="X138" t="e">
        <f ca="1"/>
        <v>#NAME?</v>
      </c>
      <c r="Y138" t="e">
        <f ca="1"/>
        <v>#NAME?</v>
      </c>
      <c r="Z138" t="e">
        <f ca="1"/>
        <v>#NAME?</v>
      </c>
      <c r="AA138" t="e">
        <f ca="1"/>
        <v>#NAME?</v>
      </c>
      <c r="AB138" t="e">
        <f ca="1"/>
        <v>#NAME?</v>
      </c>
      <c r="AD138" s="2">
        <f t="shared" ca="1" si="22"/>
        <v>0</v>
      </c>
      <c r="AE138" s="46">
        <f t="shared" ca="1" si="23"/>
        <v>0</v>
      </c>
      <c r="AG138" s="72" t="e">
        <f t="shared" ca="1" si="27"/>
        <v>#NAME?</v>
      </c>
      <c r="AH138" s="72" t="e">
        <f t="shared" ca="1" si="28"/>
        <v>#NAME?</v>
      </c>
      <c r="AI138" s="3" t="e">
        <f t="shared" ca="1" si="29"/>
        <v>#NAME?</v>
      </c>
    </row>
    <row r="139" spans="7:35" x14ac:dyDescent="0.25">
      <c r="G139" s="3">
        <f t="shared" ca="1" si="24"/>
        <v>120</v>
      </c>
      <c r="H139" s="105">
        <f t="shared" ca="1" si="26"/>
        <v>45045</v>
      </c>
      <c r="I139" s="132" t="e">
        <f>HLOOKUP($H$4,'Met Data'!$A$2:$F$368,G139,FALSE)</f>
        <v>#N/A</v>
      </c>
      <c r="J139" s="132" t="e">
        <f ca="1">HLOOKUP($H$4,'Met Data'!$H$2:$M$368,G139,FALSE)*L139</f>
        <v>#N/A</v>
      </c>
      <c r="K139" s="106" t="e">
        <f>HLOOKUP($H$4,'Met Data'!$O$2:$T$368,G139,FALSE)</f>
        <v>#N/A</v>
      </c>
      <c r="L139">
        <f t="shared" ca="1" si="20"/>
        <v>1</v>
      </c>
      <c r="N139" t="e">
        <f t="shared" ca="1" si="25"/>
        <v>#NAME?</v>
      </c>
      <c r="O139" t="e">
        <f t="shared" ca="1" si="21"/>
        <v>#NAME?</v>
      </c>
      <c r="P139" s="2" t="e">
        <f ca="1"/>
        <v>#NAME?</v>
      </c>
      <c r="Q139" t="e">
        <f ca="1"/>
        <v>#NAME?</v>
      </c>
      <c r="R139" t="e">
        <f ca="1"/>
        <v>#NAME?</v>
      </c>
      <c r="S139" t="e">
        <f ca="1"/>
        <v>#NAME?</v>
      </c>
      <c r="T139" t="e">
        <f ca="1"/>
        <v>#NAME?</v>
      </c>
      <c r="U139" t="e">
        <f ca="1"/>
        <v>#NAME?</v>
      </c>
      <c r="V139" t="e">
        <f ca="1"/>
        <v>#NAME?</v>
      </c>
      <c r="W139" t="e">
        <f ca="1"/>
        <v>#NAME?</v>
      </c>
      <c r="X139" t="e">
        <f ca="1"/>
        <v>#NAME?</v>
      </c>
      <c r="Y139" t="e">
        <f ca="1"/>
        <v>#NAME?</v>
      </c>
      <c r="Z139" t="e">
        <f ca="1"/>
        <v>#NAME?</v>
      </c>
      <c r="AA139" t="e">
        <f ca="1"/>
        <v>#NAME?</v>
      </c>
      <c r="AB139" t="e">
        <f ca="1"/>
        <v>#NAME?</v>
      </c>
      <c r="AD139" s="2">
        <f t="shared" ca="1" si="22"/>
        <v>0</v>
      </c>
      <c r="AE139" s="46">
        <f t="shared" ca="1" si="23"/>
        <v>0</v>
      </c>
      <c r="AG139" s="72" t="e">
        <f t="shared" ca="1" si="27"/>
        <v>#NAME?</v>
      </c>
      <c r="AH139" s="72" t="e">
        <f t="shared" ca="1" si="28"/>
        <v>#NAME?</v>
      </c>
      <c r="AI139" s="3" t="e">
        <f t="shared" ca="1" si="29"/>
        <v>#NAME?</v>
      </c>
    </row>
    <row r="140" spans="7:35" x14ac:dyDescent="0.25">
      <c r="G140" s="3">
        <f t="shared" ca="1" si="24"/>
        <v>121</v>
      </c>
      <c r="H140" s="105">
        <f t="shared" ca="1" si="26"/>
        <v>45046</v>
      </c>
      <c r="I140" s="132" t="e">
        <f>HLOOKUP($H$4,'Met Data'!$A$2:$F$368,G140,FALSE)</f>
        <v>#N/A</v>
      </c>
      <c r="J140" s="132" t="e">
        <f ca="1">HLOOKUP($H$4,'Met Data'!$H$2:$M$368,G140,FALSE)*L140</f>
        <v>#N/A</v>
      </c>
      <c r="K140" s="106" t="e">
        <f>HLOOKUP($H$4,'Met Data'!$O$2:$T$368,G140,FALSE)</f>
        <v>#N/A</v>
      </c>
      <c r="L140">
        <f t="shared" ca="1" si="20"/>
        <v>1</v>
      </c>
      <c r="N140" t="e">
        <f t="shared" ca="1" si="25"/>
        <v>#NAME?</v>
      </c>
      <c r="O140" t="e">
        <f t="shared" ca="1" si="21"/>
        <v>#NAME?</v>
      </c>
      <c r="P140" s="2" t="e">
        <f ca="1"/>
        <v>#NAME?</v>
      </c>
      <c r="Q140" t="e">
        <f ca="1"/>
        <v>#NAME?</v>
      </c>
      <c r="R140" t="e">
        <f ca="1"/>
        <v>#NAME?</v>
      </c>
      <c r="S140" t="e">
        <f ca="1"/>
        <v>#NAME?</v>
      </c>
      <c r="T140" t="e">
        <f ca="1"/>
        <v>#NAME?</v>
      </c>
      <c r="U140" t="e">
        <f ca="1"/>
        <v>#NAME?</v>
      </c>
      <c r="V140" t="e">
        <f ca="1"/>
        <v>#NAME?</v>
      </c>
      <c r="W140" t="e">
        <f ca="1"/>
        <v>#NAME?</v>
      </c>
      <c r="X140" t="e">
        <f ca="1"/>
        <v>#NAME?</v>
      </c>
      <c r="Y140" t="e">
        <f ca="1"/>
        <v>#NAME?</v>
      </c>
      <c r="Z140" t="e">
        <f ca="1"/>
        <v>#NAME?</v>
      </c>
      <c r="AA140" t="e">
        <f ca="1"/>
        <v>#NAME?</v>
      </c>
      <c r="AB140" t="e">
        <f ca="1"/>
        <v>#NAME?</v>
      </c>
      <c r="AD140" s="2">
        <f t="shared" ca="1" si="22"/>
        <v>0</v>
      </c>
      <c r="AE140" s="46">
        <f t="shared" ca="1" si="23"/>
        <v>0</v>
      </c>
      <c r="AG140" s="72" t="e">
        <f t="shared" ca="1" si="27"/>
        <v>#NAME?</v>
      </c>
      <c r="AH140" s="72" t="e">
        <f t="shared" ca="1" si="28"/>
        <v>#NAME?</v>
      </c>
      <c r="AI140" s="3" t="e">
        <f t="shared" ca="1" si="29"/>
        <v>#NAME?</v>
      </c>
    </row>
    <row r="141" spans="7:35" x14ac:dyDescent="0.25">
      <c r="G141" s="3">
        <f t="shared" ca="1" si="24"/>
        <v>122</v>
      </c>
      <c r="H141" s="105">
        <f t="shared" ca="1" si="26"/>
        <v>45047</v>
      </c>
      <c r="I141" s="132" t="e">
        <f>HLOOKUP($H$4,'Met Data'!$A$2:$F$368,G141,FALSE)</f>
        <v>#N/A</v>
      </c>
      <c r="J141" s="132" t="e">
        <f ca="1">HLOOKUP($H$4,'Met Data'!$H$2:$M$368,G141,FALSE)*L141</f>
        <v>#N/A</v>
      </c>
      <c r="K141" s="106" t="e">
        <f>HLOOKUP($H$4,'Met Data'!$O$2:$T$368,G141,FALSE)</f>
        <v>#N/A</v>
      </c>
      <c r="L141">
        <f t="shared" ca="1" si="20"/>
        <v>1</v>
      </c>
      <c r="N141" t="e">
        <f t="shared" ca="1" si="25"/>
        <v>#NAME?</v>
      </c>
      <c r="O141" t="e">
        <f t="shared" ca="1" si="21"/>
        <v>#NAME?</v>
      </c>
      <c r="P141" s="2" t="e">
        <f ca="1"/>
        <v>#NAME?</v>
      </c>
      <c r="Q141" t="e">
        <f ca="1"/>
        <v>#NAME?</v>
      </c>
      <c r="R141" t="e">
        <f ca="1"/>
        <v>#NAME?</v>
      </c>
      <c r="S141" t="e">
        <f ca="1"/>
        <v>#NAME?</v>
      </c>
      <c r="T141" t="e">
        <f ca="1"/>
        <v>#NAME?</v>
      </c>
      <c r="U141" t="e">
        <f ca="1"/>
        <v>#NAME?</v>
      </c>
      <c r="V141" t="e">
        <f ca="1"/>
        <v>#NAME?</v>
      </c>
      <c r="W141" t="e">
        <f ca="1"/>
        <v>#NAME?</v>
      </c>
      <c r="X141" t="e">
        <f ca="1"/>
        <v>#NAME?</v>
      </c>
      <c r="Y141" t="e">
        <f ca="1"/>
        <v>#NAME?</v>
      </c>
      <c r="Z141" t="e">
        <f ca="1"/>
        <v>#NAME?</v>
      </c>
      <c r="AA141" t="e">
        <f ca="1"/>
        <v>#NAME?</v>
      </c>
      <c r="AB141" t="e">
        <f ca="1"/>
        <v>#NAME?</v>
      </c>
      <c r="AD141" s="2">
        <f t="shared" ca="1" si="22"/>
        <v>0</v>
      </c>
      <c r="AE141" s="46">
        <f t="shared" ca="1" si="23"/>
        <v>0</v>
      </c>
      <c r="AG141" s="72" t="e">
        <f t="shared" ca="1" si="27"/>
        <v>#NAME?</v>
      </c>
      <c r="AH141" s="72" t="e">
        <f t="shared" ca="1" si="28"/>
        <v>#NAME?</v>
      </c>
      <c r="AI141" s="3" t="e">
        <f t="shared" ca="1" si="29"/>
        <v>#NAME?</v>
      </c>
    </row>
    <row r="142" spans="7:35" x14ac:dyDescent="0.25">
      <c r="G142" s="3">
        <f t="shared" ca="1" si="24"/>
        <v>123</v>
      </c>
      <c r="H142" s="105">
        <f t="shared" ca="1" si="26"/>
        <v>45048</v>
      </c>
      <c r="I142" s="132" t="e">
        <f>HLOOKUP($H$4,'Met Data'!$A$2:$F$368,G142,FALSE)</f>
        <v>#N/A</v>
      </c>
      <c r="J142" s="132" t="e">
        <f ca="1">HLOOKUP($H$4,'Met Data'!$H$2:$M$368,G142,FALSE)*L142</f>
        <v>#N/A</v>
      </c>
      <c r="K142" s="106" t="e">
        <f>HLOOKUP($H$4,'Met Data'!$O$2:$T$368,G142,FALSE)</f>
        <v>#N/A</v>
      </c>
      <c r="L142">
        <f t="shared" ca="1" si="20"/>
        <v>1</v>
      </c>
      <c r="N142" t="e">
        <f t="shared" ca="1" si="25"/>
        <v>#NAME?</v>
      </c>
      <c r="O142" t="e">
        <f t="shared" ca="1" si="21"/>
        <v>#NAME?</v>
      </c>
      <c r="P142" s="2" t="e">
        <f ca="1"/>
        <v>#NAME?</v>
      </c>
      <c r="Q142" t="e">
        <f ca="1"/>
        <v>#NAME?</v>
      </c>
      <c r="R142" t="e">
        <f ca="1"/>
        <v>#NAME?</v>
      </c>
      <c r="S142" t="e">
        <f ca="1"/>
        <v>#NAME?</v>
      </c>
      <c r="T142" t="e">
        <f ca="1"/>
        <v>#NAME?</v>
      </c>
      <c r="U142" t="e">
        <f ca="1"/>
        <v>#NAME?</v>
      </c>
      <c r="V142" t="e">
        <f ca="1"/>
        <v>#NAME?</v>
      </c>
      <c r="W142" t="e">
        <f ca="1"/>
        <v>#NAME?</v>
      </c>
      <c r="X142" t="e">
        <f ca="1"/>
        <v>#NAME?</v>
      </c>
      <c r="Y142" t="e">
        <f ca="1"/>
        <v>#NAME?</v>
      </c>
      <c r="Z142" t="e">
        <f ca="1"/>
        <v>#NAME?</v>
      </c>
      <c r="AA142" t="e">
        <f ca="1"/>
        <v>#NAME?</v>
      </c>
      <c r="AB142" t="e">
        <f ca="1"/>
        <v>#NAME?</v>
      </c>
      <c r="AD142" s="2">
        <f t="shared" ca="1" si="22"/>
        <v>0</v>
      </c>
      <c r="AE142" s="46">
        <f t="shared" ca="1" si="23"/>
        <v>0</v>
      </c>
      <c r="AG142" s="72" t="e">
        <f t="shared" ca="1" si="27"/>
        <v>#NAME?</v>
      </c>
      <c r="AH142" s="72" t="e">
        <f t="shared" ca="1" si="28"/>
        <v>#NAME?</v>
      </c>
      <c r="AI142" s="3" t="e">
        <f t="shared" ca="1" si="29"/>
        <v>#NAME?</v>
      </c>
    </row>
    <row r="143" spans="7:35" x14ac:dyDescent="0.25">
      <c r="G143" s="3">
        <f t="shared" ca="1" si="24"/>
        <v>124</v>
      </c>
      <c r="H143" s="105">
        <f t="shared" ca="1" si="26"/>
        <v>45049</v>
      </c>
      <c r="I143" s="132" t="e">
        <f>HLOOKUP($H$4,'Met Data'!$A$2:$F$368,G143,FALSE)</f>
        <v>#N/A</v>
      </c>
      <c r="J143" s="132" t="e">
        <f ca="1">HLOOKUP($H$4,'Met Data'!$H$2:$M$368,G143,FALSE)*L143</f>
        <v>#N/A</v>
      </c>
      <c r="K143" s="106" t="e">
        <f>HLOOKUP($H$4,'Met Data'!$O$2:$T$368,G143,FALSE)</f>
        <v>#N/A</v>
      </c>
      <c r="L143">
        <f t="shared" ca="1" si="20"/>
        <v>1</v>
      </c>
      <c r="N143" t="e">
        <f t="shared" ca="1" si="25"/>
        <v>#NAME?</v>
      </c>
      <c r="O143" t="e">
        <f t="shared" ca="1" si="21"/>
        <v>#NAME?</v>
      </c>
      <c r="P143" s="2" t="e">
        <f ca="1"/>
        <v>#NAME?</v>
      </c>
      <c r="Q143" t="e">
        <f ca="1"/>
        <v>#NAME?</v>
      </c>
      <c r="R143" t="e">
        <f ca="1"/>
        <v>#NAME?</v>
      </c>
      <c r="S143" t="e">
        <f ca="1"/>
        <v>#NAME?</v>
      </c>
      <c r="T143" t="e">
        <f ca="1"/>
        <v>#NAME?</v>
      </c>
      <c r="U143" t="e">
        <f ca="1"/>
        <v>#NAME?</v>
      </c>
      <c r="V143" t="e">
        <f ca="1"/>
        <v>#NAME?</v>
      </c>
      <c r="W143" t="e">
        <f ca="1"/>
        <v>#NAME?</v>
      </c>
      <c r="X143" t="e">
        <f ca="1"/>
        <v>#NAME?</v>
      </c>
      <c r="Y143" t="e">
        <f ca="1"/>
        <v>#NAME?</v>
      </c>
      <c r="Z143" t="e">
        <f ca="1"/>
        <v>#NAME?</v>
      </c>
      <c r="AA143" t="e">
        <f ca="1"/>
        <v>#NAME?</v>
      </c>
      <c r="AB143" t="e">
        <f ca="1"/>
        <v>#NAME?</v>
      </c>
      <c r="AD143" s="2">
        <f t="shared" ca="1" si="22"/>
        <v>0</v>
      </c>
      <c r="AE143" s="46">
        <f t="shared" ca="1" si="23"/>
        <v>0</v>
      </c>
      <c r="AG143" s="72" t="e">
        <f t="shared" ca="1" si="27"/>
        <v>#NAME?</v>
      </c>
      <c r="AH143" s="72" t="e">
        <f t="shared" ca="1" si="28"/>
        <v>#NAME?</v>
      </c>
      <c r="AI143" s="3" t="e">
        <f t="shared" ca="1" si="29"/>
        <v>#NAME?</v>
      </c>
    </row>
    <row r="144" spans="7:35" x14ac:dyDescent="0.25">
      <c r="G144" s="3">
        <f t="shared" ca="1" si="24"/>
        <v>125</v>
      </c>
      <c r="H144" s="105">
        <f t="shared" ca="1" si="26"/>
        <v>45050</v>
      </c>
      <c r="I144" s="132" t="e">
        <f>HLOOKUP($H$4,'Met Data'!$A$2:$F$368,G144,FALSE)</f>
        <v>#N/A</v>
      </c>
      <c r="J144" s="132" t="e">
        <f ca="1">HLOOKUP($H$4,'Met Data'!$H$2:$M$368,G144,FALSE)*L144</f>
        <v>#N/A</v>
      </c>
      <c r="K144" s="106" t="e">
        <f>HLOOKUP($H$4,'Met Data'!$O$2:$T$368,G144,FALSE)</f>
        <v>#N/A</v>
      </c>
      <c r="L144">
        <f t="shared" ca="1" si="20"/>
        <v>1</v>
      </c>
      <c r="N144" t="e">
        <f t="shared" ca="1" si="25"/>
        <v>#NAME?</v>
      </c>
      <c r="O144" t="e">
        <f t="shared" ca="1" si="21"/>
        <v>#NAME?</v>
      </c>
      <c r="P144" s="2" t="e">
        <f ca="1"/>
        <v>#NAME?</v>
      </c>
      <c r="Q144" t="e">
        <f ca="1"/>
        <v>#NAME?</v>
      </c>
      <c r="R144" t="e">
        <f ca="1"/>
        <v>#NAME?</v>
      </c>
      <c r="S144" t="e">
        <f ca="1"/>
        <v>#NAME?</v>
      </c>
      <c r="T144" t="e">
        <f ca="1"/>
        <v>#NAME?</v>
      </c>
      <c r="U144" t="e">
        <f ca="1"/>
        <v>#NAME?</v>
      </c>
      <c r="V144" t="e">
        <f ca="1"/>
        <v>#NAME?</v>
      </c>
      <c r="W144" t="e">
        <f ca="1"/>
        <v>#NAME?</v>
      </c>
      <c r="X144" t="e">
        <f ca="1"/>
        <v>#NAME?</v>
      </c>
      <c r="Y144" t="e">
        <f ca="1"/>
        <v>#NAME?</v>
      </c>
      <c r="Z144" t="e">
        <f ca="1"/>
        <v>#NAME?</v>
      </c>
      <c r="AA144" t="e">
        <f ca="1"/>
        <v>#NAME?</v>
      </c>
      <c r="AB144" t="e">
        <f ca="1"/>
        <v>#NAME?</v>
      </c>
      <c r="AD144" s="2">
        <f t="shared" ca="1" si="22"/>
        <v>0</v>
      </c>
      <c r="AE144" s="46">
        <f t="shared" ca="1" si="23"/>
        <v>0</v>
      </c>
      <c r="AG144" s="72" t="e">
        <f t="shared" ca="1" si="27"/>
        <v>#NAME?</v>
      </c>
      <c r="AH144" s="72" t="e">
        <f t="shared" ca="1" si="28"/>
        <v>#NAME?</v>
      </c>
      <c r="AI144" s="3" t="e">
        <f t="shared" ca="1" si="29"/>
        <v>#NAME?</v>
      </c>
    </row>
    <row r="145" spans="7:35" x14ac:dyDescent="0.25">
      <c r="G145" s="3">
        <f t="shared" ca="1" si="24"/>
        <v>126</v>
      </c>
      <c r="H145" s="105">
        <f t="shared" ca="1" si="26"/>
        <v>45051</v>
      </c>
      <c r="I145" s="132" t="e">
        <f>HLOOKUP($H$4,'Met Data'!$A$2:$F$368,G145,FALSE)</f>
        <v>#N/A</v>
      </c>
      <c r="J145" s="132" t="e">
        <f ca="1">HLOOKUP($H$4,'Met Data'!$H$2:$M$368,G145,FALSE)*L145</f>
        <v>#N/A</v>
      </c>
      <c r="K145" s="106" t="e">
        <f>HLOOKUP($H$4,'Met Data'!$O$2:$T$368,G145,FALSE)</f>
        <v>#N/A</v>
      </c>
      <c r="L145">
        <f t="shared" ca="1" si="20"/>
        <v>1</v>
      </c>
      <c r="N145" t="e">
        <f t="shared" ca="1" si="25"/>
        <v>#NAME?</v>
      </c>
      <c r="O145" t="e">
        <f t="shared" ca="1" si="21"/>
        <v>#NAME?</v>
      </c>
      <c r="P145" s="2" t="e">
        <f ca="1"/>
        <v>#NAME?</v>
      </c>
      <c r="Q145" t="e">
        <f ca="1"/>
        <v>#NAME?</v>
      </c>
      <c r="R145" t="e">
        <f ca="1"/>
        <v>#NAME?</v>
      </c>
      <c r="S145" t="e">
        <f ca="1"/>
        <v>#NAME?</v>
      </c>
      <c r="T145" t="e">
        <f ca="1"/>
        <v>#NAME?</v>
      </c>
      <c r="U145" t="e">
        <f ca="1"/>
        <v>#NAME?</v>
      </c>
      <c r="V145" t="e">
        <f ca="1"/>
        <v>#NAME?</v>
      </c>
      <c r="W145" t="e">
        <f ca="1"/>
        <v>#NAME?</v>
      </c>
      <c r="X145" t="e">
        <f ca="1"/>
        <v>#NAME?</v>
      </c>
      <c r="Y145" t="e">
        <f ca="1"/>
        <v>#NAME?</v>
      </c>
      <c r="Z145" t="e">
        <f ca="1"/>
        <v>#NAME?</v>
      </c>
      <c r="AA145" t="e">
        <f ca="1"/>
        <v>#NAME?</v>
      </c>
      <c r="AB145" t="e">
        <f ca="1"/>
        <v>#NAME?</v>
      </c>
      <c r="AD145" s="2">
        <f t="shared" ca="1" si="22"/>
        <v>0</v>
      </c>
      <c r="AE145" s="46">
        <f t="shared" ca="1" si="23"/>
        <v>0</v>
      </c>
      <c r="AG145" s="72" t="e">
        <f t="shared" ca="1" si="27"/>
        <v>#NAME?</v>
      </c>
      <c r="AH145" s="72" t="e">
        <f t="shared" ca="1" si="28"/>
        <v>#NAME?</v>
      </c>
      <c r="AI145" s="3" t="e">
        <f t="shared" ca="1" si="29"/>
        <v>#NAME?</v>
      </c>
    </row>
    <row r="146" spans="7:35" x14ac:dyDescent="0.25">
      <c r="G146" s="3">
        <f t="shared" ca="1" si="24"/>
        <v>127</v>
      </c>
      <c r="H146" s="105">
        <f t="shared" ca="1" si="26"/>
        <v>45052</v>
      </c>
      <c r="I146" s="132" t="e">
        <f>HLOOKUP($H$4,'Met Data'!$A$2:$F$368,G146,FALSE)</f>
        <v>#N/A</v>
      </c>
      <c r="J146" s="132" t="e">
        <f ca="1">HLOOKUP($H$4,'Met Data'!$H$2:$M$368,G146,FALSE)*L146</f>
        <v>#N/A</v>
      </c>
      <c r="K146" s="106" t="e">
        <f>HLOOKUP($H$4,'Met Data'!$O$2:$T$368,G146,FALSE)</f>
        <v>#N/A</v>
      </c>
      <c r="L146">
        <f t="shared" ca="1" si="20"/>
        <v>1</v>
      </c>
      <c r="N146" t="e">
        <f t="shared" ca="1" si="25"/>
        <v>#NAME?</v>
      </c>
      <c r="O146" t="e">
        <f t="shared" ca="1" si="21"/>
        <v>#NAME?</v>
      </c>
      <c r="P146" s="2" t="e">
        <f ca="1"/>
        <v>#NAME?</v>
      </c>
      <c r="Q146" t="e">
        <f ca="1"/>
        <v>#NAME?</v>
      </c>
      <c r="R146" t="e">
        <f ca="1"/>
        <v>#NAME?</v>
      </c>
      <c r="S146" t="e">
        <f ca="1"/>
        <v>#NAME?</v>
      </c>
      <c r="T146" t="e">
        <f ca="1"/>
        <v>#NAME?</v>
      </c>
      <c r="U146" t="e">
        <f ca="1"/>
        <v>#NAME?</v>
      </c>
      <c r="V146" t="e">
        <f ca="1"/>
        <v>#NAME?</v>
      </c>
      <c r="W146" t="e">
        <f ca="1"/>
        <v>#NAME?</v>
      </c>
      <c r="X146" t="e">
        <f ca="1"/>
        <v>#NAME?</v>
      </c>
      <c r="Y146" t="e">
        <f ca="1"/>
        <v>#NAME?</v>
      </c>
      <c r="Z146" t="e">
        <f ca="1"/>
        <v>#NAME?</v>
      </c>
      <c r="AA146" t="e">
        <f ca="1"/>
        <v>#NAME?</v>
      </c>
      <c r="AB146" t="e">
        <f ca="1"/>
        <v>#NAME?</v>
      </c>
      <c r="AD146" s="2">
        <f t="shared" ca="1" si="22"/>
        <v>0</v>
      </c>
      <c r="AE146" s="46">
        <f t="shared" ca="1" si="23"/>
        <v>0</v>
      </c>
      <c r="AG146" s="72" t="e">
        <f t="shared" ca="1" si="27"/>
        <v>#NAME?</v>
      </c>
      <c r="AH146" s="72" t="e">
        <f t="shared" ca="1" si="28"/>
        <v>#NAME?</v>
      </c>
      <c r="AI146" s="3" t="e">
        <f t="shared" ca="1" si="29"/>
        <v>#NAME?</v>
      </c>
    </row>
    <row r="147" spans="7:35" x14ac:dyDescent="0.25">
      <c r="G147" s="3">
        <f t="shared" ca="1" si="24"/>
        <v>128</v>
      </c>
      <c r="H147" s="105">
        <f t="shared" ca="1" si="26"/>
        <v>45053</v>
      </c>
      <c r="I147" s="132" t="e">
        <f>HLOOKUP($H$4,'Met Data'!$A$2:$F$368,G147,FALSE)</f>
        <v>#N/A</v>
      </c>
      <c r="J147" s="132" t="e">
        <f ca="1">HLOOKUP($H$4,'Met Data'!$H$2:$M$368,G147,FALSE)*L147</f>
        <v>#N/A</v>
      </c>
      <c r="K147" s="106" t="e">
        <f>HLOOKUP($H$4,'Met Data'!$O$2:$T$368,G147,FALSE)</f>
        <v>#N/A</v>
      </c>
      <c r="L147">
        <f t="shared" ca="1" si="20"/>
        <v>1</v>
      </c>
      <c r="N147" t="e">
        <f t="shared" ca="1" si="25"/>
        <v>#NAME?</v>
      </c>
      <c r="O147" t="e">
        <f t="shared" ca="1" si="21"/>
        <v>#NAME?</v>
      </c>
      <c r="P147" s="2" t="e">
        <f ca="1"/>
        <v>#NAME?</v>
      </c>
      <c r="Q147" t="e">
        <f ca="1"/>
        <v>#NAME?</v>
      </c>
      <c r="R147" t="e">
        <f ca="1"/>
        <v>#NAME?</v>
      </c>
      <c r="S147" t="e">
        <f ca="1"/>
        <v>#NAME?</v>
      </c>
      <c r="T147" t="e">
        <f ca="1"/>
        <v>#NAME?</v>
      </c>
      <c r="U147" t="e">
        <f ca="1"/>
        <v>#NAME?</v>
      </c>
      <c r="V147" t="e">
        <f ca="1"/>
        <v>#NAME?</v>
      </c>
      <c r="W147" t="e">
        <f ca="1"/>
        <v>#NAME?</v>
      </c>
      <c r="X147" t="e">
        <f ca="1"/>
        <v>#NAME?</v>
      </c>
      <c r="Y147" t="e">
        <f ca="1"/>
        <v>#NAME?</v>
      </c>
      <c r="Z147" t="e">
        <f ca="1"/>
        <v>#NAME?</v>
      </c>
      <c r="AA147" t="e">
        <f ca="1"/>
        <v>#NAME?</v>
      </c>
      <c r="AB147" t="e">
        <f ca="1"/>
        <v>#NAME?</v>
      </c>
      <c r="AD147" s="2">
        <f t="shared" ca="1" si="22"/>
        <v>0</v>
      </c>
      <c r="AE147" s="46">
        <f t="shared" ca="1" si="23"/>
        <v>0</v>
      </c>
      <c r="AG147" s="72" t="e">
        <f t="shared" ca="1" si="27"/>
        <v>#NAME?</v>
      </c>
      <c r="AH147" s="72" t="e">
        <f t="shared" ca="1" si="28"/>
        <v>#NAME?</v>
      </c>
      <c r="AI147" s="3" t="e">
        <f t="shared" ca="1" si="29"/>
        <v>#NAME?</v>
      </c>
    </row>
    <row r="148" spans="7:35" x14ac:dyDescent="0.25">
      <c r="G148" s="3">
        <f t="shared" ca="1" si="24"/>
        <v>129</v>
      </c>
      <c r="H148" s="105">
        <f t="shared" ca="1" si="26"/>
        <v>45054</v>
      </c>
      <c r="I148" s="132" t="e">
        <f>HLOOKUP($H$4,'Met Data'!$A$2:$F$368,G148,FALSE)</f>
        <v>#N/A</v>
      </c>
      <c r="J148" s="132" t="e">
        <f ca="1">HLOOKUP($H$4,'Met Data'!$H$2:$M$368,G148,FALSE)*L148</f>
        <v>#N/A</v>
      </c>
      <c r="K148" s="106" t="e">
        <f>HLOOKUP($H$4,'Met Data'!$O$2:$T$368,G148,FALSE)</f>
        <v>#N/A</v>
      </c>
      <c r="L148">
        <f t="shared" ca="1" si="20"/>
        <v>1</v>
      </c>
      <c r="N148" t="e">
        <f t="shared" ca="1" si="25"/>
        <v>#NAME?</v>
      </c>
      <c r="O148" t="e">
        <f t="shared" ca="1" si="21"/>
        <v>#NAME?</v>
      </c>
      <c r="P148" s="2" t="e">
        <f ca="1"/>
        <v>#NAME?</v>
      </c>
      <c r="Q148" t="e">
        <f ca="1"/>
        <v>#NAME?</v>
      </c>
      <c r="R148" t="e">
        <f ca="1"/>
        <v>#NAME?</v>
      </c>
      <c r="S148" t="e">
        <f ca="1"/>
        <v>#NAME?</v>
      </c>
      <c r="T148" t="e">
        <f ca="1"/>
        <v>#NAME?</v>
      </c>
      <c r="U148" t="e">
        <f ca="1"/>
        <v>#NAME?</v>
      </c>
      <c r="V148" t="e">
        <f ca="1"/>
        <v>#NAME?</v>
      </c>
      <c r="W148" t="e">
        <f ca="1"/>
        <v>#NAME?</v>
      </c>
      <c r="X148" t="e">
        <f ca="1"/>
        <v>#NAME?</v>
      </c>
      <c r="Y148" t="e">
        <f ca="1"/>
        <v>#NAME?</v>
      </c>
      <c r="Z148" t="e">
        <f ca="1"/>
        <v>#NAME?</v>
      </c>
      <c r="AA148" t="e">
        <f ca="1"/>
        <v>#NAME?</v>
      </c>
      <c r="AB148" t="e">
        <f ca="1"/>
        <v>#NAME?</v>
      </c>
      <c r="AD148" s="2">
        <f t="shared" ca="1" si="22"/>
        <v>0</v>
      </c>
      <c r="AE148" s="46">
        <f t="shared" ca="1" si="23"/>
        <v>0</v>
      </c>
      <c r="AG148" s="72" t="e">
        <f t="shared" ca="1" si="27"/>
        <v>#NAME?</v>
      </c>
      <c r="AH148" s="72" t="e">
        <f t="shared" ca="1" si="28"/>
        <v>#NAME?</v>
      </c>
      <c r="AI148" s="3" t="e">
        <f t="shared" ca="1" si="29"/>
        <v>#NAME?</v>
      </c>
    </row>
    <row r="149" spans="7:35" x14ac:dyDescent="0.25">
      <c r="G149" s="3">
        <f t="shared" ca="1" si="24"/>
        <v>130</v>
      </c>
      <c r="H149" s="105">
        <f t="shared" ca="1" si="26"/>
        <v>45055</v>
      </c>
      <c r="I149" s="132" t="e">
        <f>HLOOKUP($H$4,'Met Data'!$A$2:$F$368,G149,FALSE)</f>
        <v>#N/A</v>
      </c>
      <c r="J149" s="132" t="e">
        <f ca="1">HLOOKUP($H$4,'Met Data'!$H$2:$M$368,G149,FALSE)*L149</f>
        <v>#N/A</v>
      </c>
      <c r="K149" s="106" t="e">
        <f>HLOOKUP($H$4,'Met Data'!$O$2:$T$368,G149,FALSE)</f>
        <v>#N/A</v>
      </c>
      <c r="L149">
        <f t="shared" ca="1" si="20"/>
        <v>1</v>
      </c>
      <c r="N149" t="e">
        <f t="shared" ca="1" si="25"/>
        <v>#NAME?</v>
      </c>
      <c r="O149" t="e">
        <f t="shared" ca="1" si="21"/>
        <v>#NAME?</v>
      </c>
      <c r="P149" s="2" t="e">
        <f ca="1"/>
        <v>#NAME?</v>
      </c>
      <c r="Q149" t="e">
        <f ca="1"/>
        <v>#NAME?</v>
      </c>
      <c r="R149" t="e">
        <f ca="1"/>
        <v>#NAME?</v>
      </c>
      <c r="S149" t="e">
        <f ca="1"/>
        <v>#NAME?</v>
      </c>
      <c r="T149" t="e">
        <f ca="1"/>
        <v>#NAME?</v>
      </c>
      <c r="U149" t="e">
        <f ca="1"/>
        <v>#NAME?</v>
      </c>
      <c r="V149" t="e">
        <f ca="1"/>
        <v>#NAME?</v>
      </c>
      <c r="W149" t="e">
        <f ca="1"/>
        <v>#NAME?</v>
      </c>
      <c r="X149" t="e">
        <f ca="1"/>
        <v>#NAME?</v>
      </c>
      <c r="Y149" t="e">
        <f ca="1"/>
        <v>#NAME?</v>
      </c>
      <c r="Z149" t="e">
        <f ca="1"/>
        <v>#NAME?</v>
      </c>
      <c r="AA149" t="e">
        <f ca="1"/>
        <v>#NAME?</v>
      </c>
      <c r="AB149" t="e">
        <f ca="1"/>
        <v>#NAME?</v>
      </c>
      <c r="AD149" s="2">
        <f t="shared" ca="1" si="22"/>
        <v>0</v>
      </c>
      <c r="AE149" s="46">
        <f t="shared" ca="1" si="23"/>
        <v>0</v>
      </c>
      <c r="AG149" s="72" t="e">
        <f t="shared" ca="1" si="27"/>
        <v>#NAME?</v>
      </c>
      <c r="AH149" s="72" t="e">
        <f t="shared" ca="1" si="28"/>
        <v>#NAME?</v>
      </c>
      <c r="AI149" s="3" t="e">
        <f t="shared" ca="1" si="29"/>
        <v>#NAME?</v>
      </c>
    </row>
    <row r="150" spans="7:35" x14ac:dyDescent="0.25">
      <c r="G150" s="3">
        <f t="shared" ca="1" si="24"/>
        <v>131</v>
      </c>
      <c r="H150" s="105">
        <f t="shared" ca="1" si="26"/>
        <v>45056</v>
      </c>
      <c r="I150" s="132" t="e">
        <f>HLOOKUP($H$4,'Met Data'!$A$2:$F$368,G150,FALSE)</f>
        <v>#N/A</v>
      </c>
      <c r="J150" s="132" t="e">
        <f ca="1">HLOOKUP($H$4,'Met Data'!$H$2:$M$368,G150,FALSE)*L150</f>
        <v>#N/A</v>
      </c>
      <c r="K150" s="106" t="e">
        <f>HLOOKUP($H$4,'Met Data'!$O$2:$T$368,G150,FALSE)</f>
        <v>#N/A</v>
      </c>
      <c r="L150">
        <f t="shared" ca="1" si="20"/>
        <v>1</v>
      </c>
      <c r="N150" t="e">
        <f t="shared" ca="1" si="25"/>
        <v>#NAME?</v>
      </c>
      <c r="O150" t="e">
        <f t="shared" ca="1" si="21"/>
        <v>#NAME?</v>
      </c>
      <c r="P150" s="2" t="e">
        <f ca="1"/>
        <v>#NAME?</v>
      </c>
      <c r="Q150" t="e">
        <f ca="1"/>
        <v>#NAME?</v>
      </c>
      <c r="R150" t="e">
        <f ca="1"/>
        <v>#NAME?</v>
      </c>
      <c r="S150" t="e">
        <f ca="1"/>
        <v>#NAME?</v>
      </c>
      <c r="T150" t="e">
        <f ca="1"/>
        <v>#NAME?</v>
      </c>
      <c r="U150" t="e">
        <f ca="1"/>
        <v>#NAME?</v>
      </c>
      <c r="V150" t="e">
        <f ca="1"/>
        <v>#NAME?</v>
      </c>
      <c r="W150" t="e">
        <f ca="1"/>
        <v>#NAME?</v>
      </c>
      <c r="X150" t="e">
        <f ca="1"/>
        <v>#NAME?</v>
      </c>
      <c r="Y150" t="e">
        <f ca="1"/>
        <v>#NAME?</v>
      </c>
      <c r="Z150" t="e">
        <f ca="1"/>
        <v>#NAME?</v>
      </c>
      <c r="AA150" t="e">
        <f ca="1"/>
        <v>#NAME?</v>
      </c>
      <c r="AB150" t="e">
        <f ca="1"/>
        <v>#NAME?</v>
      </c>
      <c r="AD150" s="2">
        <f t="shared" ca="1" si="22"/>
        <v>0</v>
      </c>
      <c r="AE150" s="46">
        <f t="shared" ca="1" si="23"/>
        <v>0</v>
      </c>
      <c r="AG150" s="72" t="e">
        <f t="shared" ca="1" si="27"/>
        <v>#NAME?</v>
      </c>
      <c r="AH150" s="72" t="e">
        <f t="shared" ca="1" si="28"/>
        <v>#NAME?</v>
      </c>
      <c r="AI150" s="3" t="e">
        <f t="shared" ca="1" si="29"/>
        <v>#NAME?</v>
      </c>
    </row>
    <row r="151" spans="7:35" x14ac:dyDescent="0.25">
      <c r="G151" s="3">
        <f t="shared" ca="1" si="24"/>
        <v>132</v>
      </c>
      <c r="H151" s="105">
        <f t="shared" ca="1" si="26"/>
        <v>45057</v>
      </c>
      <c r="I151" s="132" t="e">
        <f>HLOOKUP($H$4,'Met Data'!$A$2:$F$368,G151,FALSE)</f>
        <v>#N/A</v>
      </c>
      <c r="J151" s="132" t="e">
        <f ca="1">HLOOKUP($H$4,'Met Data'!$H$2:$M$368,G151,FALSE)*L151</f>
        <v>#N/A</v>
      </c>
      <c r="K151" s="106" t="e">
        <f>HLOOKUP($H$4,'Met Data'!$O$2:$T$368,G151,FALSE)</f>
        <v>#N/A</v>
      </c>
      <c r="L151">
        <f t="shared" ca="1" si="20"/>
        <v>1</v>
      </c>
      <c r="N151" t="e">
        <f t="shared" ca="1" si="25"/>
        <v>#NAME?</v>
      </c>
      <c r="O151" t="e">
        <f t="shared" ca="1" si="21"/>
        <v>#NAME?</v>
      </c>
      <c r="P151" s="2" t="e">
        <f ca="1"/>
        <v>#NAME?</v>
      </c>
      <c r="Q151" t="e">
        <f ca="1"/>
        <v>#NAME?</v>
      </c>
      <c r="R151" t="e">
        <f ca="1"/>
        <v>#NAME?</v>
      </c>
      <c r="S151" t="e">
        <f ca="1"/>
        <v>#NAME?</v>
      </c>
      <c r="T151" t="e">
        <f ca="1"/>
        <v>#NAME?</v>
      </c>
      <c r="U151" t="e">
        <f ca="1"/>
        <v>#NAME?</v>
      </c>
      <c r="V151" t="e">
        <f ca="1"/>
        <v>#NAME?</v>
      </c>
      <c r="W151" t="e">
        <f ca="1"/>
        <v>#NAME?</v>
      </c>
      <c r="X151" t="e">
        <f ca="1"/>
        <v>#NAME?</v>
      </c>
      <c r="Y151" t="e">
        <f ca="1"/>
        <v>#NAME?</v>
      </c>
      <c r="Z151" t="e">
        <f ca="1"/>
        <v>#NAME?</v>
      </c>
      <c r="AA151" t="e">
        <f ca="1"/>
        <v>#NAME?</v>
      </c>
      <c r="AB151" t="e">
        <f ca="1"/>
        <v>#NAME?</v>
      </c>
      <c r="AD151" s="2">
        <f t="shared" ca="1" si="22"/>
        <v>0</v>
      </c>
      <c r="AE151" s="46">
        <f t="shared" ca="1" si="23"/>
        <v>0</v>
      </c>
      <c r="AG151" s="72" t="e">
        <f t="shared" ca="1" si="27"/>
        <v>#NAME?</v>
      </c>
      <c r="AH151" s="72" t="e">
        <f t="shared" ca="1" si="28"/>
        <v>#NAME?</v>
      </c>
      <c r="AI151" s="3" t="e">
        <f t="shared" ca="1" si="29"/>
        <v>#NAME?</v>
      </c>
    </row>
    <row r="152" spans="7:35" x14ac:dyDescent="0.25">
      <c r="G152" s="3">
        <f t="shared" ca="1" si="24"/>
        <v>133</v>
      </c>
      <c r="H152" s="105">
        <f t="shared" ca="1" si="26"/>
        <v>45058</v>
      </c>
      <c r="I152" s="132" t="e">
        <f>HLOOKUP($H$4,'Met Data'!$A$2:$F$368,G152,FALSE)</f>
        <v>#N/A</v>
      </c>
      <c r="J152" s="132" t="e">
        <f ca="1">HLOOKUP($H$4,'Met Data'!$H$2:$M$368,G152,FALSE)*L152</f>
        <v>#N/A</v>
      </c>
      <c r="K152" s="106" t="e">
        <f>HLOOKUP($H$4,'Met Data'!$O$2:$T$368,G152,FALSE)</f>
        <v>#N/A</v>
      </c>
      <c r="L152">
        <f t="shared" ca="1" si="20"/>
        <v>1</v>
      </c>
      <c r="N152" t="e">
        <f t="shared" ca="1" si="25"/>
        <v>#NAME?</v>
      </c>
      <c r="O152" t="e">
        <f t="shared" ca="1" si="21"/>
        <v>#NAME?</v>
      </c>
      <c r="P152" s="2" t="e">
        <f ca="1"/>
        <v>#NAME?</v>
      </c>
      <c r="Q152" t="e">
        <f ca="1"/>
        <v>#NAME?</v>
      </c>
      <c r="R152" t="e">
        <f ca="1"/>
        <v>#NAME?</v>
      </c>
      <c r="S152" t="e">
        <f ca="1"/>
        <v>#NAME?</v>
      </c>
      <c r="T152" t="e">
        <f ca="1"/>
        <v>#NAME?</v>
      </c>
      <c r="U152" t="e">
        <f ca="1"/>
        <v>#NAME?</v>
      </c>
      <c r="V152" t="e">
        <f ca="1"/>
        <v>#NAME?</v>
      </c>
      <c r="W152" t="e">
        <f ca="1"/>
        <v>#NAME?</v>
      </c>
      <c r="X152" t="e">
        <f ca="1"/>
        <v>#NAME?</v>
      </c>
      <c r="Y152" t="e">
        <f ca="1"/>
        <v>#NAME?</v>
      </c>
      <c r="Z152" t="e">
        <f ca="1"/>
        <v>#NAME?</v>
      </c>
      <c r="AA152" t="e">
        <f ca="1"/>
        <v>#NAME?</v>
      </c>
      <c r="AB152" t="e">
        <f ca="1"/>
        <v>#NAME?</v>
      </c>
      <c r="AD152" s="2">
        <f t="shared" ca="1" si="22"/>
        <v>0</v>
      </c>
      <c r="AE152" s="46">
        <f t="shared" ca="1" si="23"/>
        <v>0</v>
      </c>
      <c r="AG152" s="72" t="e">
        <f t="shared" ca="1" si="27"/>
        <v>#NAME?</v>
      </c>
      <c r="AH152" s="72" t="e">
        <f t="shared" ca="1" si="28"/>
        <v>#NAME?</v>
      </c>
      <c r="AI152" s="3" t="e">
        <f t="shared" ca="1" si="29"/>
        <v>#NAME?</v>
      </c>
    </row>
    <row r="153" spans="7:35" x14ac:dyDescent="0.25">
      <c r="G153" s="3">
        <f t="shared" ca="1" si="24"/>
        <v>134</v>
      </c>
      <c r="H153" s="105">
        <f t="shared" ca="1" si="26"/>
        <v>45059</v>
      </c>
      <c r="I153" s="132" t="e">
        <f>HLOOKUP($H$4,'Met Data'!$A$2:$F$368,G153,FALSE)</f>
        <v>#N/A</v>
      </c>
      <c r="J153" s="132" t="e">
        <f ca="1">HLOOKUP($H$4,'Met Data'!$H$2:$M$368,G153,FALSE)*L153</f>
        <v>#N/A</v>
      </c>
      <c r="K153" s="106" t="e">
        <f>HLOOKUP($H$4,'Met Data'!$O$2:$T$368,G153,FALSE)</f>
        <v>#N/A</v>
      </c>
      <c r="L153">
        <f t="shared" ca="1" si="20"/>
        <v>1</v>
      </c>
      <c r="N153" t="e">
        <f t="shared" ca="1" si="25"/>
        <v>#NAME?</v>
      </c>
      <c r="O153" t="e">
        <f t="shared" ca="1" si="21"/>
        <v>#NAME?</v>
      </c>
      <c r="P153" s="2" t="e">
        <f ca="1"/>
        <v>#NAME?</v>
      </c>
      <c r="Q153" t="e">
        <f ca="1"/>
        <v>#NAME?</v>
      </c>
      <c r="R153" t="e">
        <f ca="1"/>
        <v>#NAME?</v>
      </c>
      <c r="S153" t="e">
        <f ca="1"/>
        <v>#NAME?</v>
      </c>
      <c r="T153" t="e">
        <f ca="1"/>
        <v>#NAME?</v>
      </c>
      <c r="U153" t="e">
        <f ca="1"/>
        <v>#NAME?</v>
      </c>
      <c r="V153" t="e">
        <f ca="1"/>
        <v>#NAME?</v>
      </c>
      <c r="W153" t="e">
        <f ca="1"/>
        <v>#NAME?</v>
      </c>
      <c r="X153" t="e">
        <f ca="1"/>
        <v>#NAME?</v>
      </c>
      <c r="Y153" t="e">
        <f ca="1"/>
        <v>#NAME?</v>
      </c>
      <c r="Z153" t="e">
        <f ca="1"/>
        <v>#NAME?</v>
      </c>
      <c r="AA153" t="e">
        <f ca="1"/>
        <v>#NAME?</v>
      </c>
      <c r="AB153" t="e">
        <f ca="1"/>
        <v>#NAME?</v>
      </c>
      <c r="AD153" s="2">
        <f t="shared" ca="1" si="22"/>
        <v>0</v>
      </c>
      <c r="AE153" s="46">
        <f t="shared" ca="1" si="23"/>
        <v>0</v>
      </c>
      <c r="AG153" s="72" t="e">
        <f t="shared" ca="1" si="27"/>
        <v>#NAME?</v>
      </c>
      <c r="AH153" s="72" t="e">
        <f t="shared" ca="1" si="28"/>
        <v>#NAME?</v>
      </c>
      <c r="AI153" s="3" t="e">
        <f t="shared" ca="1" si="29"/>
        <v>#NAME?</v>
      </c>
    </row>
    <row r="154" spans="7:35" x14ac:dyDescent="0.25">
      <c r="G154" s="3">
        <f t="shared" ca="1" si="24"/>
        <v>135</v>
      </c>
      <c r="H154" s="105">
        <f t="shared" ca="1" si="26"/>
        <v>45060</v>
      </c>
      <c r="I154" s="132" t="e">
        <f>HLOOKUP($H$4,'Met Data'!$A$2:$F$368,G154,FALSE)</f>
        <v>#N/A</v>
      </c>
      <c r="J154" s="132" t="e">
        <f ca="1">HLOOKUP($H$4,'Met Data'!$H$2:$M$368,G154,FALSE)*L154</f>
        <v>#N/A</v>
      </c>
      <c r="K154" s="106" t="e">
        <f>HLOOKUP($H$4,'Met Data'!$O$2:$T$368,G154,FALSE)</f>
        <v>#N/A</v>
      </c>
      <c r="L154">
        <f t="shared" ca="1" si="20"/>
        <v>1</v>
      </c>
      <c r="N154" t="e">
        <f t="shared" ca="1" si="25"/>
        <v>#NAME?</v>
      </c>
      <c r="O154" t="e">
        <f t="shared" ca="1" si="21"/>
        <v>#NAME?</v>
      </c>
      <c r="P154" s="2" t="e">
        <f ca="1"/>
        <v>#NAME?</v>
      </c>
      <c r="Q154" t="e">
        <f ca="1"/>
        <v>#NAME?</v>
      </c>
      <c r="R154" t="e">
        <f ca="1"/>
        <v>#NAME?</v>
      </c>
      <c r="S154" t="e">
        <f ca="1"/>
        <v>#NAME?</v>
      </c>
      <c r="T154" t="e">
        <f ca="1"/>
        <v>#NAME?</v>
      </c>
      <c r="U154" t="e">
        <f ca="1"/>
        <v>#NAME?</v>
      </c>
      <c r="V154" t="e">
        <f ca="1"/>
        <v>#NAME?</v>
      </c>
      <c r="W154" t="e">
        <f ca="1"/>
        <v>#NAME?</v>
      </c>
      <c r="X154" t="e">
        <f ca="1"/>
        <v>#NAME?</v>
      </c>
      <c r="Y154" t="e">
        <f ca="1"/>
        <v>#NAME?</v>
      </c>
      <c r="Z154" t="e">
        <f ca="1"/>
        <v>#NAME?</v>
      </c>
      <c r="AA154" t="e">
        <f ca="1"/>
        <v>#NAME?</v>
      </c>
      <c r="AB154" t="e">
        <f ca="1"/>
        <v>#NAME?</v>
      </c>
      <c r="AD154" s="2">
        <f t="shared" ca="1" si="22"/>
        <v>0</v>
      </c>
      <c r="AE154" s="46">
        <f t="shared" ca="1" si="23"/>
        <v>0</v>
      </c>
      <c r="AG154" s="72" t="e">
        <f t="shared" ca="1" si="27"/>
        <v>#NAME?</v>
      </c>
      <c r="AH154" s="72" t="e">
        <f t="shared" ca="1" si="28"/>
        <v>#NAME?</v>
      </c>
      <c r="AI154" s="3" t="e">
        <f t="shared" ca="1" si="29"/>
        <v>#NAME?</v>
      </c>
    </row>
    <row r="155" spans="7:35" x14ac:dyDescent="0.25">
      <c r="G155" s="3">
        <f t="shared" ca="1" si="24"/>
        <v>136</v>
      </c>
      <c r="H155" s="105">
        <f t="shared" ca="1" si="26"/>
        <v>45061</v>
      </c>
      <c r="I155" s="132" t="e">
        <f>HLOOKUP($H$4,'Met Data'!$A$2:$F$368,G155,FALSE)</f>
        <v>#N/A</v>
      </c>
      <c r="J155" s="132" t="e">
        <f ca="1">HLOOKUP($H$4,'Met Data'!$H$2:$M$368,G155,FALSE)*L155</f>
        <v>#N/A</v>
      </c>
      <c r="K155" s="106" t="e">
        <f>HLOOKUP($H$4,'Met Data'!$O$2:$T$368,G155,FALSE)</f>
        <v>#N/A</v>
      </c>
      <c r="L155">
        <f t="shared" ca="1" si="20"/>
        <v>1</v>
      </c>
      <c r="N155" t="e">
        <f t="shared" ca="1" si="25"/>
        <v>#NAME?</v>
      </c>
      <c r="O155" t="e">
        <f t="shared" ca="1" si="21"/>
        <v>#NAME?</v>
      </c>
      <c r="P155" s="2" t="e">
        <f ca="1"/>
        <v>#NAME?</v>
      </c>
      <c r="Q155" t="e">
        <f ca="1"/>
        <v>#NAME?</v>
      </c>
      <c r="R155" t="e">
        <f ca="1"/>
        <v>#NAME?</v>
      </c>
      <c r="S155" t="e">
        <f ca="1"/>
        <v>#NAME?</v>
      </c>
      <c r="T155" t="e">
        <f ca="1"/>
        <v>#NAME?</v>
      </c>
      <c r="U155" t="e">
        <f ca="1"/>
        <v>#NAME?</v>
      </c>
      <c r="V155" t="e">
        <f ca="1"/>
        <v>#NAME?</v>
      </c>
      <c r="W155" t="e">
        <f ca="1"/>
        <v>#NAME?</v>
      </c>
      <c r="X155" t="e">
        <f ca="1"/>
        <v>#NAME?</v>
      </c>
      <c r="Y155" t="e">
        <f ca="1"/>
        <v>#NAME?</v>
      </c>
      <c r="Z155" t="e">
        <f ca="1"/>
        <v>#NAME?</v>
      </c>
      <c r="AA155" t="e">
        <f ca="1"/>
        <v>#NAME?</v>
      </c>
      <c r="AB155" t="e">
        <f ca="1"/>
        <v>#NAME?</v>
      </c>
      <c r="AD155" s="2">
        <f t="shared" ca="1" si="22"/>
        <v>0</v>
      </c>
      <c r="AE155" s="46">
        <f t="shared" ca="1" si="23"/>
        <v>0</v>
      </c>
      <c r="AG155" s="72" t="e">
        <f t="shared" ca="1" si="27"/>
        <v>#NAME?</v>
      </c>
      <c r="AH155" s="72" t="e">
        <f t="shared" ca="1" si="28"/>
        <v>#NAME?</v>
      </c>
      <c r="AI155" s="3" t="e">
        <f t="shared" ca="1" si="29"/>
        <v>#NAME?</v>
      </c>
    </row>
    <row r="156" spans="7:35" x14ac:dyDescent="0.25">
      <c r="G156" s="3">
        <f t="shared" ca="1" si="24"/>
        <v>137</v>
      </c>
      <c r="H156" s="105">
        <f t="shared" ca="1" si="26"/>
        <v>45062</v>
      </c>
      <c r="I156" s="132" t="e">
        <f>HLOOKUP($H$4,'Met Data'!$A$2:$F$368,G156,FALSE)</f>
        <v>#N/A</v>
      </c>
      <c r="J156" s="132" t="e">
        <f ca="1">HLOOKUP($H$4,'Met Data'!$H$2:$M$368,G156,FALSE)*L156</f>
        <v>#N/A</v>
      </c>
      <c r="K156" s="106" t="e">
        <f>HLOOKUP($H$4,'Met Data'!$O$2:$T$368,G156,FALSE)</f>
        <v>#N/A</v>
      </c>
      <c r="L156">
        <f t="shared" ca="1" si="20"/>
        <v>1</v>
      </c>
      <c r="N156" t="e">
        <f t="shared" ca="1" si="25"/>
        <v>#NAME?</v>
      </c>
      <c r="O156" t="e">
        <f t="shared" ca="1" si="21"/>
        <v>#NAME?</v>
      </c>
      <c r="P156" s="2" t="e">
        <f ca="1"/>
        <v>#NAME?</v>
      </c>
      <c r="Q156" t="e">
        <f ca="1"/>
        <v>#NAME?</v>
      </c>
      <c r="R156" t="e">
        <f ca="1"/>
        <v>#NAME?</v>
      </c>
      <c r="S156" t="e">
        <f ca="1"/>
        <v>#NAME?</v>
      </c>
      <c r="T156" t="e">
        <f ca="1"/>
        <v>#NAME?</v>
      </c>
      <c r="U156" t="e">
        <f ca="1"/>
        <v>#NAME?</v>
      </c>
      <c r="V156" t="e">
        <f ca="1"/>
        <v>#NAME?</v>
      </c>
      <c r="W156" t="e">
        <f ca="1"/>
        <v>#NAME?</v>
      </c>
      <c r="X156" t="e">
        <f ca="1"/>
        <v>#NAME?</v>
      </c>
      <c r="Y156" t="e">
        <f ca="1"/>
        <v>#NAME?</v>
      </c>
      <c r="Z156" t="e">
        <f ca="1"/>
        <v>#NAME?</v>
      </c>
      <c r="AA156" t="e">
        <f ca="1"/>
        <v>#NAME?</v>
      </c>
      <c r="AB156" t="e">
        <f ca="1"/>
        <v>#NAME?</v>
      </c>
      <c r="AD156" s="2">
        <f t="shared" ca="1" si="22"/>
        <v>0</v>
      </c>
      <c r="AE156" s="46">
        <f t="shared" ca="1" si="23"/>
        <v>0</v>
      </c>
      <c r="AG156" s="72" t="e">
        <f t="shared" ca="1" si="27"/>
        <v>#NAME?</v>
      </c>
      <c r="AH156" s="72" t="e">
        <f t="shared" ca="1" si="28"/>
        <v>#NAME?</v>
      </c>
      <c r="AI156" s="3" t="e">
        <f t="shared" ca="1" si="29"/>
        <v>#NAME?</v>
      </c>
    </row>
    <row r="157" spans="7:35" x14ac:dyDescent="0.25">
      <c r="G157" s="3">
        <f t="shared" ca="1" si="24"/>
        <v>138</v>
      </c>
      <c r="H157" s="105">
        <f t="shared" ca="1" si="26"/>
        <v>45063</v>
      </c>
      <c r="I157" s="132" t="e">
        <f>HLOOKUP($H$4,'Met Data'!$A$2:$F$368,G157,FALSE)</f>
        <v>#N/A</v>
      </c>
      <c r="J157" s="132" t="e">
        <f ca="1">HLOOKUP($H$4,'Met Data'!$H$2:$M$368,G157,FALSE)*L157</f>
        <v>#N/A</v>
      </c>
      <c r="K157" s="106" t="e">
        <f>HLOOKUP($H$4,'Met Data'!$O$2:$T$368,G157,FALSE)</f>
        <v>#N/A</v>
      </c>
      <c r="L157">
        <f t="shared" ca="1" si="20"/>
        <v>1</v>
      </c>
      <c r="N157" t="e">
        <f t="shared" ca="1" si="25"/>
        <v>#NAME?</v>
      </c>
      <c r="O157" t="e">
        <f t="shared" ca="1" si="21"/>
        <v>#NAME?</v>
      </c>
      <c r="P157" s="2" t="e">
        <f ca="1"/>
        <v>#NAME?</v>
      </c>
      <c r="Q157" t="e">
        <f ca="1"/>
        <v>#NAME?</v>
      </c>
      <c r="R157" t="e">
        <f ca="1"/>
        <v>#NAME?</v>
      </c>
      <c r="S157" t="e">
        <f ca="1"/>
        <v>#NAME?</v>
      </c>
      <c r="T157" t="e">
        <f ca="1"/>
        <v>#NAME?</v>
      </c>
      <c r="U157" t="e">
        <f ca="1"/>
        <v>#NAME?</v>
      </c>
      <c r="V157" t="e">
        <f ca="1"/>
        <v>#NAME?</v>
      </c>
      <c r="W157" t="e">
        <f ca="1"/>
        <v>#NAME?</v>
      </c>
      <c r="X157" t="e">
        <f ca="1"/>
        <v>#NAME?</v>
      </c>
      <c r="Y157" t="e">
        <f ca="1"/>
        <v>#NAME?</v>
      </c>
      <c r="Z157" t="e">
        <f ca="1"/>
        <v>#NAME?</v>
      </c>
      <c r="AA157" t="e">
        <f ca="1"/>
        <v>#NAME?</v>
      </c>
      <c r="AB157" t="e">
        <f ca="1"/>
        <v>#NAME?</v>
      </c>
      <c r="AD157" s="2">
        <f t="shared" ca="1" si="22"/>
        <v>0</v>
      </c>
      <c r="AE157" s="46">
        <f t="shared" ca="1" si="23"/>
        <v>0</v>
      </c>
      <c r="AG157" s="72" t="e">
        <f t="shared" ca="1" si="27"/>
        <v>#NAME?</v>
      </c>
      <c r="AH157" s="72" t="e">
        <f t="shared" ca="1" si="28"/>
        <v>#NAME?</v>
      </c>
      <c r="AI157" s="3" t="e">
        <f t="shared" ca="1" si="29"/>
        <v>#NAME?</v>
      </c>
    </row>
    <row r="158" spans="7:35" x14ac:dyDescent="0.25">
      <c r="G158" s="3">
        <f t="shared" ca="1" si="24"/>
        <v>139</v>
      </c>
      <c r="H158" s="105">
        <f t="shared" ca="1" si="26"/>
        <v>45064</v>
      </c>
      <c r="I158" s="132" t="e">
        <f>HLOOKUP($H$4,'Met Data'!$A$2:$F$368,G158,FALSE)</f>
        <v>#N/A</v>
      </c>
      <c r="J158" s="132" t="e">
        <f ca="1">HLOOKUP($H$4,'Met Data'!$H$2:$M$368,G158,FALSE)*L158</f>
        <v>#N/A</v>
      </c>
      <c r="K158" s="106" t="e">
        <f>HLOOKUP($H$4,'Met Data'!$O$2:$T$368,G158,FALSE)</f>
        <v>#N/A</v>
      </c>
      <c r="L158">
        <f t="shared" ca="1" si="20"/>
        <v>1</v>
      </c>
      <c r="N158" t="e">
        <f t="shared" ca="1" si="25"/>
        <v>#NAME?</v>
      </c>
      <c r="O158" t="e">
        <f t="shared" ca="1" si="21"/>
        <v>#NAME?</v>
      </c>
      <c r="P158" s="2" t="e">
        <f ca="1"/>
        <v>#NAME?</v>
      </c>
      <c r="Q158" t="e">
        <f ca="1"/>
        <v>#NAME?</v>
      </c>
      <c r="R158" t="e">
        <f ca="1"/>
        <v>#NAME?</v>
      </c>
      <c r="S158" t="e">
        <f ca="1"/>
        <v>#NAME?</v>
      </c>
      <c r="T158" t="e">
        <f ca="1"/>
        <v>#NAME?</v>
      </c>
      <c r="U158" t="e">
        <f ca="1"/>
        <v>#NAME?</v>
      </c>
      <c r="V158" t="e">
        <f ca="1"/>
        <v>#NAME?</v>
      </c>
      <c r="W158" t="e">
        <f ca="1"/>
        <v>#NAME?</v>
      </c>
      <c r="X158" t="e">
        <f ca="1"/>
        <v>#NAME?</v>
      </c>
      <c r="Y158" t="e">
        <f ca="1"/>
        <v>#NAME?</v>
      </c>
      <c r="Z158" t="e">
        <f ca="1"/>
        <v>#NAME?</v>
      </c>
      <c r="AA158" t="e">
        <f ca="1"/>
        <v>#NAME?</v>
      </c>
      <c r="AB158" t="e">
        <f ca="1"/>
        <v>#NAME?</v>
      </c>
      <c r="AD158" s="2">
        <f t="shared" ca="1" si="22"/>
        <v>0</v>
      </c>
      <c r="AE158" s="46">
        <f t="shared" ca="1" si="23"/>
        <v>0</v>
      </c>
      <c r="AG158" s="72" t="e">
        <f t="shared" ca="1" si="27"/>
        <v>#NAME?</v>
      </c>
      <c r="AH158" s="72" t="e">
        <f t="shared" ca="1" si="28"/>
        <v>#NAME?</v>
      </c>
      <c r="AI158" s="3" t="e">
        <f t="shared" ca="1" si="29"/>
        <v>#NAME?</v>
      </c>
    </row>
    <row r="159" spans="7:35" x14ac:dyDescent="0.25">
      <c r="G159" s="3">
        <f t="shared" ca="1" si="24"/>
        <v>140</v>
      </c>
      <c r="H159" s="105">
        <f t="shared" ca="1" si="26"/>
        <v>45065</v>
      </c>
      <c r="I159" s="132" t="e">
        <f>HLOOKUP($H$4,'Met Data'!$A$2:$F$368,G159,FALSE)</f>
        <v>#N/A</v>
      </c>
      <c r="J159" s="132" t="e">
        <f ca="1">HLOOKUP($H$4,'Met Data'!$H$2:$M$368,G159,FALSE)*L159</f>
        <v>#N/A</v>
      </c>
      <c r="K159" s="106" t="e">
        <f>HLOOKUP($H$4,'Met Data'!$O$2:$T$368,G159,FALSE)</f>
        <v>#N/A</v>
      </c>
      <c r="L159">
        <f t="shared" ca="1" si="20"/>
        <v>1</v>
      </c>
      <c r="N159" t="e">
        <f t="shared" ca="1" si="25"/>
        <v>#NAME?</v>
      </c>
      <c r="O159" t="e">
        <f t="shared" ca="1" si="21"/>
        <v>#NAME?</v>
      </c>
      <c r="P159" s="2" t="e">
        <f ca="1"/>
        <v>#NAME?</v>
      </c>
      <c r="Q159" t="e">
        <f ca="1"/>
        <v>#NAME?</v>
      </c>
      <c r="R159" t="e">
        <f ca="1"/>
        <v>#NAME?</v>
      </c>
      <c r="S159" t="e">
        <f ca="1"/>
        <v>#NAME?</v>
      </c>
      <c r="T159" t="e">
        <f ca="1"/>
        <v>#NAME?</v>
      </c>
      <c r="U159" t="e">
        <f ca="1"/>
        <v>#NAME?</v>
      </c>
      <c r="V159" t="e">
        <f ca="1"/>
        <v>#NAME?</v>
      </c>
      <c r="W159" t="e">
        <f ca="1"/>
        <v>#NAME?</v>
      </c>
      <c r="X159" t="e">
        <f ca="1"/>
        <v>#NAME?</v>
      </c>
      <c r="Y159" t="e">
        <f ca="1"/>
        <v>#NAME?</v>
      </c>
      <c r="Z159" t="e">
        <f ca="1"/>
        <v>#NAME?</v>
      </c>
      <c r="AA159" t="e">
        <f ca="1"/>
        <v>#NAME?</v>
      </c>
      <c r="AB159" t="e">
        <f ca="1"/>
        <v>#NAME?</v>
      </c>
      <c r="AD159" s="2">
        <f t="shared" ca="1" si="22"/>
        <v>0</v>
      </c>
      <c r="AE159" s="46">
        <f t="shared" ca="1" si="23"/>
        <v>0</v>
      </c>
      <c r="AG159" s="72" t="e">
        <f t="shared" ca="1" si="27"/>
        <v>#NAME?</v>
      </c>
      <c r="AH159" s="72" t="e">
        <f t="shared" ca="1" si="28"/>
        <v>#NAME?</v>
      </c>
      <c r="AI159" s="3" t="e">
        <f t="shared" ca="1" si="29"/>
        <v>#NAME?</v>
      </c>
    </row>
    <row r="160" spans="7:35" x14ac:dyDescent="0.25">
      <c r="G160" s="3">
        <f t="shared" ca="1" si="24"/>
        <v>141</v>
      </c>
      <c r="H160" s="105">
        <f t="shared" ca="1" si="26"/>
        <v>45066</v>
      </c>
      <c r="I160" s="132" t="e">
        <f>HLOOKUP($H$4,'Met Data'!$A$2:$F$368,G160,FALSE)</f>
        <v>#N/A</v>
      </c>
      <c r="J160" s="132" t="e">
        <f ca="1">HLOOKUP($H$4,'Met Data'!$H$2:$M$368,G160,FALSE)*L160</f>
        <v>#N/A</v>
      </c>
      <c r="K160" s="106" t="e">
        <f>HLOOKUP($H$4,'Met Data'!$O$2:$T$368,G160,FALSE)</f>
        <v>#N/A</v>
      </c>
      <c r="L160">
        <f t="shared" ca="1" si="20"/>
        <v>1</v>
      </c>
      <c r="N160" t="e">
        <f t="shared" ca="1" si="25"/>
        <v>#NAME?</v>
      </c>
      <c r="O160" t="e">
        <f t="shared" ca="1" si="21"/>
        <v>#NAME?</v>
      </c>
      <c r="P160" s="2" t="e">
        <f ca="1"/>
        <v>#NAME?</v>
      </c>
      <c r="Q160" t="e">
        <f ca="1"/>
        <v>#NAME?</v>
      </c>
      <c r="R160" t="e">
        <f ca="1"/>
        <v>#NAME?</v>
      </c>
      <c r="S160" t="e">
        <f ca="1"/>
        <v>#NAME?</v>
      </c>
      <c r="T160" t="e">
        <f ca="1"/>
        <v>#NAME?</v>
      </c>
      <c r="U160" t="e">
        <f ca="1"/>
        <v>#NAME?</v>
      </c>
      <c r="V160" t="e">
        <f ca="1"/>
        <v>#NAME?</v>
      </c>
      <c r="W160" t="e">
        <f ca="1"/>
        <v>#NAME?</v>
      </c>
      <c r="X160" t="e">
        <f ca="1"/>
        <v>#NAME?</v>
      </c>
      <c r="Y160" t="e">
        <f ca="1"/>
        <v>#NAME?</v>
      </c>
      <c r="Z160" t="e">
        <f ca="1"/>
        <v>#NAME?</v>
      </c>
      <c r="AA160" t="e">
        <f ca="1"/>
        <v>#NAME?</v>
      </c>
      <c r="AB160" t="e">
        <f ca="1"/>
        <v>#NAME?</v>
      </c>
      <c r="AD160" s="2">
        <f t="shared" ca="1" si="22"/>
        <v>0</v>
      </c>
      <c r="AE160" s="46">
        <f t="shared" ca="1" si="23"/>
        <v>0</v>
      </c>
      <c r="AG160" s="72" t="e">
        <f t="shared" ca="1" si="27"/>
        <v>#NAME?</v>
      </c>
      <c r="AH160" s="72" t="e">
        <f t="shared" ca="1" si="28"/>
        <v>#NAME?</v>
      </c>
      <c r="AI160" s="3" t="e">
        <f t="shared" ca="1" si="29"/>
        <v>#NAME?</v>
      </c>
    </row>
    <row r="161" spans="7:35" x14ac:dyDescent="0.25">
      <c r="G161" s="3">
        <f t="shared" ca="1" si="24"/>
        <v>142</v>
      </c>
      <c r="H161" s="105">
        <f t="shared" ca="1" si="26"/>
        <v>45067</v>
      </c>
      <c r="I161" s="132" t="e">
        <f>HLOOKUP($H$4,'Met Data'!$A$2:$F$368,G161,FALSE)</f>
        <v>#N/A</v>
      </c>
      <c r="J161" s="132" t="e">
        <f ca="1">HLOOKUP($H$4,'Met Data'!$H$2:$M$368,G161,FALSE)*L161</f>
        <v>#N/A</v>
      </c>
      <c r="K161" s="106" t="e">
        <f>HLOOKUP($H$4,'Met Data'!$O$2:$T$368,G161,FALSE)</f>
        <v>#N/A</v>
      </c>
      <c r="L161">
        <f t="shared" ca="1" si="20"/>
        <v>1</v>
      </c>
      <c r="N161" t="e">
        <f t="shared" ca="1" si="25"/>
        <v>#NAME?</v>
      </c>
      <c r="O161" t="e">
        <f t="shared" ca="1" si="21"/>
        <v>#NAME?</v>
      </c>
      <c r="P161" s="2" t="e">
        <f ca="1"/>
        <v>#NAME?</v>
      </c>
      <c r="Q161" t="e">
        <f ca="1"/>
        <v>#NAME?</v>
      </c>
      <c r="R161" t="e">
        <f ca="1"/>
        <v>#NAME?</v>
      </c>
      <c r="S161" t="e">
        <f ca="1"/>
        <v>#NAME?</v>
      </c>
      <c r="T161" t="e">
        <f ca="1"/>
        <v>#NAME?</v>
      </c>
      <c r="U161" t="e">
        <f ca="1"/>
        <v>#NAME?</v>
      </c>
      <c r="V161" t="e">
        <f ca="1"/>
        <v>#NAME?</v>
      </c>
      <c r="W161" t="e">
        <f ca="1"/>
        <v>#NAME?</v>
      </c>
      <c r="X161" t="e">
        <f ca="1"/>
        <v>#NAME?</v>
      </c>
      <c r="Y161" t="e">
        <f ca="1"/>
        <v>#NAME?</v>
      </c>
      <c r="Z161" t="e">
        <f ca="1"/>
        <v>#NAME?</v>
      </c>
      <c r="AA161" t="e">
        <f ca="1"/>
        <v>#NAME?</v>
      </c>
      <c r="AB161" t="e">
        <f ca="1"/>
        <v>#NAME?</v>
      </c>
      <c r="AD161" s="2">
        <f t="shared" ca="1" si="22"/>
        <v>0</v>
      </c>
      <c r="AE161" s="46">
        <f t="shared" ca="1" si="23"/>
        <v>0</v>
      </c>
      <c r="AG161" s="72" t="e">
        <f t="shared" ca="1" si="27"/>
        <v>#NAME?</v>
      </c>
      <c r="AH161" s="72" t="e">
        <f t="shared" ca="1" si="28"/>
        <v>#NAME?</v>
      </c>
      <c r="AI161" s="3" t="e">
        <f t="shared" ca="1" si="29"/>
        <v>#NAME?</v>
      </c>
    </row>
    <row r="162" spans="7:35" x14ac:dyDescent="0.25">
      <c r="G162" s="3">
        <f t="shared" ca="1" si="24"/>
        <v>143</v>
      </c>
      <c r="H162" s="105">
        <f t="shared" ca="1" si="26"/>
        <v>45068</v>
      </c>
      <c r="I162" s="132" t="e">
        <f>HLOOKUP($H$4,'Met Data'!$A$2:$F$368,G162,FALSE)</f>
        <v>#N/A</v>
      </c>
      <c r="J162" s="132" t="e">
        <f ca="1">HLOOKUP($H$4,'Met Data'!$H$2:$M$368,G162,FALSE)*L162</f>
        <v>#N/A</v>
      </c>
      <c r="K162" s="106" t="e">
        <f>HLOOKUP($H$4,'Met Data'!$O$2:$T$368,G162,FALSE)</f>
        <v>#N/A</v>
      </c>
      <c r="L162">
        <f t="shared" ca="1" si="20"/>
        <v>1</v>
      </c>
      <c r="N162" t="e">
        <f t="shared" ca="1" si="25"/>
        <v>#NAME?</v>
      </c>
      <c r="O162" t="e">
        <f t="shared" ca="1" si="21"/>
        <v>#NAME?</v>
      </c>
      <c r="P162" s="2" t="e">
        <f ca="1"/>
        <v>#NAME?</v>
      </c>
      <c r="Q162" t="e">
        <f ca="1"/>
        <v>#NAME?</v>
      </c>
      <c r="R162" t="e">
        <f ca="1"/>
        <v>#NAME?</v>
      </c>
      <c r="S162" t="e">
        <f ca="1"/>
        <v>#NAME?</v>
      </c>
      <c r="T162" t="e">
        <f ca="1"/>
        <v>#NAME?</v>
      </c>
      <c r="U162" t="e">
        <f ca="1"/>
        <v>#NAME?</v>
      </c>
      <c r="V162" t="e">
        <f ca="1"/>
        <v>#NAME?</v>
      </c>
      <c r="W162" t="e">
        <f ca="1"/>
        <v>#NAME?</v>
      </c>
      <c r="X162" t="e">
        <f ca="1"/>
        <v>#NAME?</v>
      </c>
      <c r="Y162" t="e">
        <f ca="1"/>
        <v>#NAME?</v>
      </c>
      <c r="Z162" t="e">
        <f ca="1"/>
        <v>#NAME?</v>
      </c>
      <c r="AA162" t="e">
        <f ca="1"/>
        <v>#NAME?</v>
      </c>
      <c r="AB162" t="e">
        <f ca="1"/>
        <v>#NAME?</v>
      </c>
      <c r="AD162" s="2">
        <f t="shared" ca="1" si="22"/>
        <v>0</v>
      </c>
      <c r="AE162" s="46">
        <f t="shared" ca="1" si="23"/>
        <v>0</v>
      </c>
      <c r="AG162" s="72" t="e">
        <f t="shared" ca="1" si="27"/>
        <v>#NAME?</v>
      </c>
      <c r="AH162" s="72" t="e">
        <f t="shared" ca="1" si="28"/>
        <v>#NAME?</v>
      </c>
      <c r="AI162" s="3" t="e">
        <f t="shared" ca="1" si="29"/>
        <v>#NAME?</v>
      </c>
    </row>
    <row r="163" spans="7:35" x14ac:dyDescent="0.25">
      <c r="G163" s="3">
        <f t="shared" ca="1" si="24"/>
        <v>144</v>
      </c>
      <c r="H163" s="105">
        <f t="shared" ca="1" si="26"/>
        <v>45069</v>
      </c>
      <c r="I163" s="132" t="e">
        <f>HLOOKUP($H$4,'Met Data'!$A$2:$F$368,G163,FALSE)</f>
        <v>#N/A</v>
      </c>
      <c r="J163" s="132" t="e">
        <f ca="1">HLOOKUP($H$4,'Met Data'!$H$2:$M$368,G163,FALSE)*L163</f>
        <v>#N/A</v>
      </c>
      <c r="K163" s="106" t="e">
        <f>HLOOKUP($H$4,'Met Data'!$O$2:$T$368,G163,FALSE)</f>
        <v>#N/A</v>
      </c>
      <c r="L163">
        <f t="shared" ca="1" si="20"/>
        <v>1</v>
      </c>
      <c r="N163" t="e">
        <f t="shared" ca="1" si="25"/>
        <v>#NAME?</v>
      </c>
      <c r="O163" t="e">
        <f t="shared" ca="1" si="21"/>
        <v>#NAME?</v>
      </c>
      <c r="P163" s="2" t="e">
        <f ca="1"/>
        <v>#NAME?</v>
      </c>
      <c r="Q163" t="e">
        <f ca="1"/>
        <v>#NAME?</v>
      </c>
      <c r="R163" t="e">
        <f ca="1"/>
        <v>#NAME?</v>
      </c>
      <c r="S163" t="e">
        <f ca="1"/>
        <v>#NAME?</v>
      </c>
      <c r="T163" t="e">
        <f ca="1"/>
        <v>#NAME?</v>
      </c>
      <c r="U163" t="e">
        <f ca="1"/>
        <v>#NAME?</v>
      </c>
      <c r="V163" t="e">
        <f ca="1"/>
        <v>#NAME?</v>
      </c>
      <c r="W163" t="e">
        <f ca="1"/>
        <v>#NAME?</v>
      </c>
      <c r="X163" t="e">
        <f ca="1"/>
        <v>#NAME?</v>
      </c>
      <c r="Y163" t="e">
        <f ca="1"/>
        <v>#NAME?</v>
      </c>
      <c r="Z163" t="e">
        <f ca="1"/>
        <v>#NAME?</v>
      </c>
      <c r="AA163" t="e">
        <f ca="1"/>
        <v>#NAME?</v>
      </c>
      <c r="AB163" t="e">
        <f ca="1"/>
        <v>#NAME?</v>
      </c>
      <c r="AD163" s="2">
        <f t="shared" ca="1" si="22"/>
        <v>0</v>
      </c>
      <c r="AE163" s="46">
        <f t="shared" ca="1" si="23"/>
        <v>0</v>
      </c>
      <c r="AG163" s="72" t="e">
        <f t="shared" ca="1" si="27"/>
        <v>#NAME?</v>
      </c>
      <c r="AH163" s="72" t="e">
        <f t="shared" ca="1" si="28"/>
        <v>#NAME?</v>
      </c>
      <c r="AI163" s="3" t="e">
        <f t="shared" ca="1" si="29"/>
        <v>#NAME?</v>
      </c>
    </row>
    <row r="164" spans="7:35" x14ac:dyDescent="0.25">
      <c r="G164" s="3">
        <f t="shared" ca="1" si="24"/>
        <v>145</v>
      </c>
      <c r="H164" s="105">
        <f t="shared" ca="1" si="26"/>
        <v>45070</v>
      </c>
      <c r="I164" s="132" t="e">
        <f>HLOOKUP($H$4,'Met Data'!$A$2:$F$368,G164,FALSE)</f>
        <v>#N/A</v>
      </c>
      <c r="J164" s="132" t="e">
        <f ca="1">HLOOKUP($H$4,'Met Data'!$H$2:$M$368,G164,FALSE)*L164</f>
        <v>#N/A</v>
      </c>
      <c r="K164" s="106" t="e">
        <f>HLOOKUP($H$4,'Met Data'!$O$2:$T$368,G164,FALSE)</f>
        <v>#N/A</v>
      </c>
      <c r="L164">
        <f t="shared" ca="1" si="20"/>
        <v>1</v>
      </c>
      <c r="N164" t="e">
        <f t="shared" ca="1" si="25"/>
        <v>#NAME?</v>
      </c>
      <c r="O164" t="e">
        <f t="shared" ca="1" si="21"/>
        <v>#NAME?</v>
      </c>
      <c r="P164" s="2" t="e">
        <f ca="1"/>
        <v>#NAME?</v>
      </c>
      <c r="Q164" t="e">
        <f ca="1"/>
        <v>#NAME?</v>
      </c>
      <c r="R164" t="e">
        <f ca="1"/>
        <v>#NAME?</v>
      </c>
      <c r="S164" t="e">
        <f ca="1"/>
        <v>#NAME?</v>
      </c>
      <c r="T164" t="e">
        <f ca="1"/>
        <v>#NAME?</v>
      </c>
      <c r="U164" t="e">
        <f ca="1"/>
        <v>#NAME?</v>
      </c>
      <c r="V164" t="e">
        <f ca="1"/>
        <v>#NAME?</v>
      </c>
      <c r="W164" t="e">
        <f ca="1"/>
        <v>#NAME?</v>
      </c>
      <c r="X164" t="e">
        <f ca="1"/>
        <v>#NAME?</v>
      </c>
      <c r="Y164" t="e">
        <f ca="1"/>
        <v>#NAME?</v>
      </c>
      <c r="Z164" t="e">
        <f ca="1"/>
        <v>#NAME?</v>
      </c>
      <c r="AA164" t="e">
        <f ca="1"/>
        <v>#NAME?</v>
      </c>
      <c r="AB164" t="e">
        <f ca="1"/>
        <v>#NAME?</v>
      </c>
      <c r="AD164" s="2">
        <f t="shared" ca="1" si="22"/>
        <v>0</v>
      </c>
      <c r="AE164" s="46">
        <f t="shared" ca="1" si="23"/>
        <v>0</v>
      </c>
      <c r="AG164" s="72" t="e">
        <f t="shared" ca="1" si="27"/>
        <v>#NAME?</v>
      </c>
      <c r="AH164" s="72" t="e">
        <f t="shared" ca="1" si="28"/>
        <v>#NAME?</v>
      </c>
      <c r="AI164" s="3" t="e">
        <f t="shared" ca="1" si="29"/>
        <v>#NAME?</v>
      </c>
    </row>
    <row r="165" spans="7:35" x14ac:dyDescent="0.25">
      <c r="G165" s="3">
        <f t="shared" ca="1" si="24"/>
        <v>146</v>
      </c>
      <c r="H165" s="105">
        <f t="shared" ca="1" si="26"/>
        <v>45071</v>
      </c>
      <c r="I165" s="132" t="e">
        <f>HLOOKUP($H$4,'Met Data'!$A$2:$F$368,G165,FALSE)</f>
        <v>#N/A</v>
      </c>
      <c r="J165" s="132" t="e">
        <f ca="1">HLOOKUP($H$4,'Met Data'!$H$2:$M$368,G165,FALSE)*L165</f>
        <v>#N/A</v>
      </c>
      <c r="K165" s="106" t="e">
        <f>HLOOKUP($H$4,'Met Data'!$O$2:$T$368,G165,FALSE)</f>
        <v>#N/A</v>
      </c>
      <c r="L165">
        <f t="shared" ca="1" si="20"/>
        <v>1</v>
      </c>
      <c r="N165" t="e">
        <f t="shared" ca="1" si="25"/>
        <v>#NAME?</v>
      </c>
      <c r="O165" t="e">
        <f t="shared" ca="1" si="21"/>
        <v>#NAME?</v>
      </c>
      <c r="P165" s="2" t="e">
        <f ca="1"/>
        <v>#NAME?</v>
      </c>
      <c r="Q165" t="e">
        <f ca="1"/>
        <v>#NAME?</v>
      </c>
      <c r="R165" t="e">
        <f ca="1"/>
        <v>#NAME?</v>
      </c>
      <c r="S165" t="e">
        <f ca="1"/>
        <v>#NAME?</v>
      </c>
      <c r="T165" t="e">
        <f ca="1"/>
        <v>#NAME?</v>
      </c>
      <c r="U165" t="e">
        <f ca="1"/>
        <v>#NAME?</v>
      </c>
      <c r="V165" t="e">
        <f ca="1"/>
        <v>#NAME?</v>
      </c>
      <c r="W165" t="e">
        <f ca="1"/>
        <v>#NAME?</v>
      </c>
      <c r="X165" t="e">
        <f ca="1"/>
        <v>#NAME?</v>
      </c>
      <c r="Y165" t="e">
        <f ca="1"/>
        <v>#NAME?</v>
      </c>
      <c r="Z165" t="e">
        <f ca="1"/>
        <v>#NAME?</v>
      </c>
      <c r="AA165" t="e">
        <f ca="1"/>
        <v>#NAME?</v>
      </c>
      <c r="AB165" t="e">
        <f ca="1"/>
        <v>#NAME?</v>
      </c>
      <c r="AD165" s="2">
        <f t="shared" ca="1" si="22"/>
        <v>0</v>
      </c>
      <c r="AE165" s="46">
        <f t="shared" ca="1" si="23"/>
        <v>0</v>
      </c>
      <c r="AG165" s="72" t="e">
        <f t="shared" ca="1" si="27"/>
        <v>#NAME?</v>
      </c>
      <c r="AH165" s="72" t="e">
        <f t="shared" ca="1" si="28"/>
        <v>#NAME?</v>
      </c>
      <c r="AI165" s="3" t="e">
        <f t="shared" ca="1" si="29"/>
        <v>#NAME?</v>
      </c>
    </row>
    <row r="166" spans="7:35" x14ac:dyDescent="0.25">
      <c r="G166" s="3">
        <f t="shared" ca="1" si="24"/>
        <v>147</v>
      </c>
      <c r="H166" s="105">
        <f t="shared" ca="1" si="26"/>
        <v>45072</v>
      </c>
      <c r="I166" s="132" t="e">
        <f>HLOOKUP($H$4,'Met Data'!$A$2:$F$368,G166,FALSE)</f>
        <v>#N/A</v>
      </c>
      <c r="J166" s="132" t="e">
        <f ca="1">HLOOKUP($H$4,'Met Data'!$H$2:$M$368,G166,FALSE)*L166</f>
        <v>#N/A</v>
      </c>
      <c r="K166" s="106" t="e">
        <f>HLOOKUP($H$4,'Met Data'!$O$2:$T$368,G166,FALSE)</f>
        <v>#N/A</v>
      </c>
      <c r="L166">
        <f t="shared" ca="1" si="20"/>
        <v>1</v>
      </c>
      <c r="N166" t="e">
        <f t="shared" ca="1" si="25"/>
        <v>#NAME?</v>
      </c>
      <c r="O166" t="e">
        <f t="shared" ca="1" si="21"/>
        <v>#NAME?</v>
      </c>
      <c r="P166" s="2" t="e">
        <f ca="1"/>
        <v>#NAME?</v>
      </c>
      <c r="Q166" t="e">
        <f ca="1"/>
        <v>#NAME?</v>
      </c>
      <c r="R166" t="e">
        <f ca="1"/>
        <v>#NAME?</v>
      </c>
      <c r="S166" t="e">
        <f ca="1"/>
        <v>#NAME?</v>
      </c>
      <c r="T166" t="e">
        <f ca="1"/>
        <v>#NAME?</v>
      </c>
      <c r="U166" t="e">
        <f ca="1"/>
        <v>#NAME?</v>
      </c>
      <c r="V166" t="e">
        <f ca="1"/>
        <v>#NAME?</v>
      </c>
      <c r="W166" t="e">
        <f ca="1"/>
        <v>#NAME?</v>
      </c>
      <c r="X166" t="e">
        <f ca="1"/>
        <v>#NAME?</v>
      </c>
      <c r="Y166" t="e">
        <f ca="1"/>
        <v>#NAME?</v>
      </c>
      <c r="Z166" t="e">
        <f ca="1"/>
        <v>#NAME?</v>
      </c>
      <c r="AA166" t="e">
        <f ca="1"/>
        <v>#NAME?</v>
      </c>
      <c r="AB166" t="e">
        <f ca="1"/>
        <v>#NAME?</v>
      </c>
      <c r="AD166" s="2">
        <f t="shared" ca="1" si="22"/>
        <v>0</v>
      </c>
      <c r="AE166" s="46">
        <f t="shared" ca="1" si="23"/>
        <v>0</v>
      </c>
      <c r="AG166" s="72" t="e">
        <f t="shared" ca="1" si="27"/>
        <v>#NAME?</v>
      </c>
      <c r="AH166" s="72" t="e">
        <f t="shared" ca="1" si="28"/>
        <v>#NAME?</v>
      </c>
      <c r="AI166" s="3" t="e">
        <f t="shared" ca="1" si="29"/>
        <v>#NAME?</v>
      </c>
    </row>
    <row r="167" spans="7:35" x14ac:dyDescent="0.25">
      <c r="G167" s="3">
        <f t="shared" ca="1" si="24"/>
        <v>148</v>
      </c>
      <c r="H167" s="105">
        <f t="shared" ca="1" si="26"/>
        <v>45073</v>
      </c>
      <c r="I167" s="132" t="e">
        <f>HLOOKUP($H$4,'Met Data'!$A$2:$F$368,G167,FALSE)</f>
        <v>#N/A</v>
      </c>
      <c r="J167" s="132" t="e">
        <f ca="1">HLOOKUP($H$4,'Met Data'!$H$2:$M$368,G167,FALSE)*L167</f>
        <v>#N/A</v>
      </c>
      <c r="K167" s="106" t="e">
        <f>HLOOKUP($H$4,'Met Data'!$O$2:$T$368,G167,FALSE)</f>
        <v>#N/A</v>
      </c>
      <c r="L167">
        <f t="shared" ca="1" si="20"/>
        <v>1</v>
      </c>
      <c r="N167" t="e">
        <f t="shared" ca="1" si="25"/>
        <v>#NAME?</v>
      </c>
      <c r="O167" t="e">
        <f t="shared" ca="1" si="21"/>
        <v>#NAME?</v>
      </c>
      <c r="P167" s="2" t="e">
        <f ca="1"/>
        <v>#NAME?</v>
      </c>
      <c r="Q167" t="e">
        <f ca="1"/>
        <v>#NAME?</v>
      </c>
      <c r="R167" t="e">
        <f ca="1"/>
        <v>#NAME?</v>
      </c>
      <c r="S167" t="e">
        <f ca="1"/>
        <v>#NAME?</v>
      </c>
      <c r="T167" t="e">
        <f ca="1"/>
        <v>#NAME?</v>
      </c>
      <c r="U167" t="e">
        <f ca="1"/>
        <v>#NAME?</v>
      </c>
      <c r="V167" t="e">
        <f ca="1"/>
        <v>#NAME?</v>
      </c>
      <c r="W167" t="e">
        <f ca="1"/>
        <v>#NAME?</v>
      </c>
      <c r="X167" t="e">
        <f ca="1"/>
        <v>#NAME?</v>
      </c>
      <c r="Y167" t="e">
        <f ca="1"/>
        <v>#NAME?</v>
      </c>
      <c r="Z167" t="e">
        <f ca="1"/>
        <v>#NAME?</v>
      </c>
      <c r="AA167" t="e">
        <f ca="1"/>
        <v>#NAME?</v>
      </c>
      <c r="AB167" t="e">
        <f ca="1"/>
        <v>#NAME?</v>
      </c>
      <c r="AD167" s="2">
        <f t="shared" ca="1" si="22"/>
        <v>0</v>
      </c>
      <c r="AE167" s="46">
        <f t="shared" ca="1" si="23"/>
        <v>0</v>
      </c>
      <c r="AG167" s="72" t="e">
        <f t="shared" ca="1" si="27"/>
        <v>#NAME?</v>
      </c>
      <c r="AH167" s="72" t="e">
        <f t="shared" ca="1" si="28"/>
        <v>#NAME?</v>
      </c>
      <c r="AI167" s="3" t="e">
        <f t="shared" ca="1" si="29"/>
        <v>#NAME?</v>
      </c>
    </row>
    <row r="168" spans="7:35" x14ac:dyDescent="0.25">
      <c r="G168" s="3">
        <f t="shared" ca="1" si="24"/>
        <v>149</v>
      </c>
      <c r="H168" s="105">
        <f t="shared" ca="1" si="26"/>
        <v>45074</v>
      </c>
      <c r="I168" s="132" t="e">
        <f>HLOOKUP($H$4,'Met Data'!$A$2:$F$368,G168,FALSE)</f>
        <v>#N/A</v>
      </c>
      <c r="J168" s="132" t="e">
        <f ca="1">HLOOKUP($H$4,'Met Data'!$H$2:$M$368,G168,FALSE)*L168</f>
        <v>#N/A</v>
      </c>
      <c r="K168" s="106" t="e">
        <f>HLOOKUP($H$4,'Met Data'!$O$2:$T$368,G168,FALSE)</f>
        <v>#N/A</v>
      </c>
      <c r="L168">
        <f t="shared" ca="1" si="20"/>
        <v>1</v>
      </c>
      <c r="N168" t="e">
        <f t="shared" ca="1" si="25"/>
        <v>#NAME?</v>
      </c>
      <c r="O168" t="e">
        <f t="shared" ca="1" si="21"/>
        <v>#NAME?</v>
      </c>
      <c r="P168" s="2" t="e">
        <f ca="1"/>
        <v>#NAME?</v>
      </c>
      <c r="Q168" t="e">
        <f ca="1"/>
        <v>#NAME?</v>
      </c>
      <c r="R168" t="e">
        <f ca="1"/>
        <v>#NAME?</v>
      </c>
      <c r="S168" t="e">
        <f ca="1"/>
        <v>#NAME?</v>
      </c>
      <c r="T168" t="e">
        <f ca="1"/>
        <v>#NAME?</v>
      </c>
      <c r="U168" t="e">
        <f ca="1"/>
        <v>#NAME?</v>
      </c>
      <c r="V168" t="e">
        <f ca="1"/>
        <v>#NAME?</v>
      </c>
      <c r="W168" t="e">
        <f ca="1"/>
        <v>#NAME?</v>
      </c>
      <c r="X168" t="e">
        <f ca="1"/>
        <v>#NAME?</v>
      </c>
      <c r="Y168" t="e">
        <f ca="1"/>
        <v>#NAME?</v>
      </c>
      <c r="Z168" t="e">
        <f ca="1"/>
        <v>#NAME?</v>
      </c>
      <c r="AA168" t="e">
        <f ca="1"/>
        <v>#NAME?</v>
      </c>
      <c r="AB168" t="e">
        <f ca="1"/>
        <v>#NAME?</v>
      </c>
      <c r="AD168" s="2">
        <f t="shared" ca="1" si="22"/>
        <v>0</v>
      </c>
      <c r="AE168" s="46">
        <f t="shared" ca="1" si="23"/>
        <v>0</v>
      </c>
      <c r="AG168" s="72" t="e">
        <f t="shared" ca="1" si="27"/>
        <v>#NAME?</v>
      </c>
      <c r="AH168" s="72" t="e">
        <f t="shared" ca="1" si="28"/>
        <v>#NAME?</v>
      </c>
      <c r="AI168" s="3" t="e">
        <f t="shared" ca="1" si="29"/>
        <v>#NAME?</v>
      </c>
    </row>
    <row r="169" spans="7:35" x14ac:dyDescent="0.25">
      <c r="G169" s="3">
        <f t="shared" ca="1" si="24"/>
        <v>150</v>
      </c>
      <c r="H169" s="105">
        <f t="shared" ca="1" si="26"/>
        <v>45075</v>
      </c>
      <c r="I169" s="132" t="e">
        <f>HLOOKUP($H$4,'Met Data'!$A$2:$F$368,G169,FALSE)</f>
        <v>#N/A</v>
      </c>
      <c r="J169" s="132" t="e">
        <f ca="1">HLOOKUP($H$4,'Met Data'!$H$2:$M$368,G169,FALSE)*L169</f>
        <v>#N/A</v>
      </c>
      <c r="K169" s="106" t="e">
        <f>HLOOKUP($H$4,'Met Data'!$O$2:$T$368,G169,FALSE)</f>
        <v>#N/A</v>
      </c>
      <c r="L169">
        <f t="shared" ca="1" si="20"/>
        <v>1</v>
      </c>
      <c r="N169" t="e">
        <f t="shared" ca="1" si="25"/>
        <v>#NAME?</v>
      </c>
      <c r="O169" t="e">
        <f t="shared" ca="1" si="21"/>
        <v>#NAME?</v>
      </c>
      <c r="P169" s="2" t="e">
        <f ca="1"/>
        <v>#NAME?</v>
      </c>
      <c r="Q169" t="e">
        <f ca="1"/>
        <v>#NAME?</v>
      </c>
      <c r="R169" t="e">
        <f ca="1"/>
        <v>#NAME?</v>
      </c>
      <c r="S169" t="e">
        <f ca="1"/>
        <v>#NAME?</v>
      </c>
      <c r="T169" t="e">
        <f ca="1"/>
        <v>#NAME?</v>
      </c>
      <c r="U169" t="e">
        <f ca="1"/>
        <v>#NAME?</v>
      </c>
      <c r="V169" t="e">
        <f ca="1"/>
        <v>#NAME?</v>
      </c>
      <c r="W169" t="e">
        <f ca="1"/>
        <v>#NAME?</v>
      </c>
      <c r="X169" t="e">
        <f ca="1"/>
        <v>#NAME?</v>
      </c>
      <c r="Y169" t="e">
        <f ca="1"/>
        <v>#NAME?</v>
      </c>
      <c r="Z169" t="e">
        <f ca="1"/>
        <v>#NAME?</v>
      </c>
      <c r="AA169" t="e">
        <f ca="1"/>
        <v>#NAME?</v>
      </c>
      <c r="AB169" t="e">
        <f ca="1"/>
        <v>#NAME?</v>
      </c>
      <c r="AD169" s="2">
        <f t="shared" ca="1" si="22"/>
        <v>0</v>
      </c>
      <c r="AE169" s="46">
        <f t="shared" ca="1" si="23"/>
        <v>0</v>
      </c>
      <c r="AG169" s="72" t="e">
        <f t="shared" ca="1" si="27"/>
        <v>#NAME?</v>
      </c>
      <c r="AH169" s="72" t="e">
        <f t="shared" ca="1" si="28"/>
        <v>#NAME?</v>
      </c>
      <c r="AI169" s="3" t="e">
        <f t="shared" ca="1" si="29"/>
        <v>#NAME?</v>
      </c>
    </row>
    <row r="170" spans="7:35" x14ac:dyDescent="0.25">
      <c r="G170" s="3">
        <f t="shared" ca="1" si="24"/>
        <v>151</v>
      </c>
      <c r="H170" s="105">
        <f t="shared" ca="1" si="26"/>
        <v>45076</v>
      </c>
      <c r="I170" s="132" t="e">
        <f>HLOOKUP($H$4,'Met Data'!$A$2:$F$368,G170,FALSE)</f>
        <v>#N/A</v>
      </c>
      <c r="J170" s="132" t="e">
        <f ca="1">HLOOKUP($H$4,'Met Data'!$H$2:$M$368,G170,FALSE)*L170</f>
        <v>#N/A</v>
      </c>
      <c r="K170" s="106" t="e">
        <f>HLOOKUP($H$4,'Met Data'!$O$2:$T$368,G170,FALSE)</f>
        <v>#N/A</v>
      </c>
      <c r="L170">
        <f t="shared" ca="1" si="20"/>
        <v>1</v>
      </c>
      <c r="N170" t="e">
        <f t="shared" ca="1" si="25"/>
        <v>#NAME?</v>
      </c>
      <c r="O170" t="e">
        <f t="shared" ca="1" si="21"/>
        <v>#NAME?</v>
      </c>
      <c r="P170" s="2" t="e">
        <f ca="1"/>
        <v>#NAME?</v>
      </c>
      <c r="Q170" t="e">
        <f ca="1"/>
        <v>#NAME?</v>
      </c>
      <c r="R170" t="e">
        <f ca="1"/>
        <v>#NAME?</v>
      </c>
      <c r="S170" t="e">
        <f ca="1"/>
        <v>#NAME?</v>
      </c>
      <c r="T170" t="e">
        <f ca="1"/>
        <v>#NAME?</v>
      </c>
      <c r="U170" t="e">
        <f ca="1"/>
        <v>#NAME?</v>
      </c>
      <c r="V170" t="e">
        <f ca="1"/>
        <v>#NAME?</v>
      </c>
      <c r="W170" t="e">
        <f ca="1"/>
        <v>#NAME?</v>
      </c>
      <c r="X170" t="e">
        <f ca="1"/>
        <v>#NAME?</v>
      </c>
      <c r="Y170" t="e">
        <f ca="1"/>
        <v>#NAME?</v>
      </c>
      <c r="Z170" t="e">
        <f ca="1"/>
        <v>#NAME?</v>
      </c>
      <c r="AA170" t="e">
        <f ca="1"/>
        <v>#NAME?</v>
      </c>
      <c r="AB170" t="e">
        <f ca="1"/>
        <v>#NAME?</v>
      </c>
      <c r="AD170" s="2">
        <f t="shared" ca="1" si="22"/>
        <v>0</v>
      </c>
      <c r="AE170" s="46">
        <f t="shared" ca="1" si="23"/>
        <v>0</v>
      </c>
      <c r="AG170" s="72" t="e">
        <f t="shared" ca="1" si="27"/>
        <v>#NAME?</v>
      </c>
      <c r="AH170" s="72" t="e">
        <f t="shared" ca="1" si="28"/>
        <v>#NAME?</v>
      </c>
      <c r="AI170" s="3" t="e">
        <f t="shared" ca="1" si="29"/>
        <v>#NAME?</v>
      </c>
    </row>
    <row r="171" spans="7:35" x14ac:dyDescent="0.25">
      <c r="G171" s="3">
        <f t="shared" ca="1" si="24"/>
        <v>152</v>
      </c>
      <c r="H171" s="105">
        <f t="shared" ca="1" si="26"/>
        <v>45077</v>
      </c>
      <c r="I171" s="132" t="e">
        <f>HLOOKUP($H$4,'Met Data'!$A$2:$F$368,G171,FALSE)</f>
        <v>#N/A</v>
      </c>
      <c r="J171" s="132" t="e">
        <f ca="1">HLOOKUP($H$4,'Met Data'!$H$2:$M$368,G171,FALSE)*L171</f>
        <v>#N/A</v>
      </c>
      <c r="K171" s="106" t="e">
        <f>HLOOKUP($H$4,'Met Data'!$O$2:$T$368,G171,FALSE)</f>
        <v>#N/A</v>
      </c>
      <c r="L171">
        <f t="shared" ca="1" si="20"/>
        <v>1</v>
      </c>
      <c r="N171" t="e">
        <f t="shared" ca="1" si="25"/>
        <v>#NAME?</v>
      </c>
      <c r="O171" t="e">
        <f t="shared" ca="1" si="21"/>
        <v>#NAME?</v>
      </c>
      <c r="P171" s="2" t="e">
        <f ca="1"/>
        <v>#NAME?</v>
      </c>
      <c r="Q171" t="e">
        <f ca="1"/>
        <v>#NAME?</v>
      </c>
      <c r="R171" t="e">
        <f ca="1"/>
        <v>#NAME?</v>
      </c>
      <c r="S171" t="e">
        <f ca="1"/>
        <v>#NAME?</v>
      </c>
      <c r="T171" t="e">
        <f ca="1"/>
        <v>#NAME?</v>
      </c>
      <c r="U171" t="e">
        <f ca="1"/>
        <v>#NAME?</v>
      </c>
      <c r="V171" t="e">
        <f ca="1"/>
        <v>#NAME?</v>
      </c>
      <c r="W171" t="e">
        <f ca="1"/>
        <v>#NAME?</v>
      </c>
      <c r="X171" t="e">
        <f ca="1"/>
        <v>#NAME?</v>
      </c>
      <c r="Y171" t="e">
        <f ca="1"/>
        <v>#NAME?</v>
      </c>
      <c r="Z171" t="e">
        <f ca="1"/>
        <v>#NAME?</v>
      </c>
      <c r="AA171" t="e">
        <f ca="1"/>
        <v>#NAME?</v>
      </c>
      <c r="AB171" t="e">
        <f ca="1"/>
        <v>#NAME?</v>
      </c>
      <c r="AD171" s="2">
        <f t="shared" ca="1" si="22"/>
        <v>0</v>
      </c>
      <c r="AE171" s="46">
        <f t="shared" ca="1" si="23"/>
        <v>0</v>
      </c>
      <c r="AG171" s="72" t="e">
        <f t="shared" ca="1" si="27"/>
        <v>#NAME?</v>
      </c>
      <c r="AH171" s="72" t="e">
        <f t="shared" ca="1" si="28"/>
        <v>#NAME?</v>
      </c>
      <c r="AI171" s="3" t="e">
        <f t="shared" ca="1" si="29"/>
        <v>#NAME?</v>
      </c>
    </row>
    <row r="172" spans="7:35" x14ac:dyDescent="0.25">
      <c r="G172" s="3">
        <f t="shared" ca="1" si="24"/>
        <v>153</v>
      </c>
      <c r="H172" s="105">
        <f t="shared" ca="1" si="26"/>
        <v>45078</v>
      </c>
      <c r="I172" s="132" t="e">
        <f>HLOOKUP($H$4,'Met Data'!$A$2:$F$368,G172,FALSE)</f>
        <v>#N/A</v>
      </c>
      <c r="J172" s="132" t="e">
        <f ca="1">HLOOKUP($H$4,'Met Data'!$H$2:$M$368,G172,FALSE)*L172</f>
        <v>#N/A</v>
      </c>
      <c r="K172" s="106" t="e">
        <f>HLOOKUP($H$4,'Met Data'!$O$2:$T$368,G172,FALSE)</f>
        <v>#N/A</v>
      </c>
      <c r="L172">
        <f t="shared" ca="1" si="20"/>
        <v>1</v>
      </c>
      <c r="N172" t="e">
        <f t="shared" ca="1" si="25"/>
        <v>#NAME?</v>
      </c>
      <c r="O172" t="e">
        <f t="shared" ca="1" si="21"/>
        <v>#NAME?</v>
      </c>
      <c r="P172" s="2" t="e">
        <f ca="1"/>
        <v>#NAME?</v>
      </c>
      <c r="Q172" t="e">
        <f ca="1"/>
        <v>#NAME?</v>
      </c>
      <c r="R172" t="e">
        <f ca="1"/>
        <v>#NAME?</v>
      </c>
      <c r="S172" t="e">
        <f ca="1"/>
        <v>#NAME?</v>
      </c>
      <c r="T172" t="e">
        <f ca="1"/>
        <v>#NAME?</v>
      </c>
      <c r="U172" t="e">
        <f ca="1"/>
        <v>#NAME?</v>
      </c>
      <c r="V172" t="e">
        <f ca="1"/>
        <v>#NAME?</v>
      </c>
      <c r="W172" t="e">
        <f ca="1"/>
        <v>#NAME?</v>
      </c>
      <c r="X172" t="e">
        <f ca="1"/>
        <v>#NAME?</v>
      </c>
      <c r="Y172" t="e">
        <f ca="1"/>
        <v>#NAME?</v>
      </c>
      <c r="Z172" t="e">
        <f ca="1"/>
        <v>#NAME?</v>
      </c>
      <c r="AA172" t="e">
        <f ca="1"/>
        <v>#NAME?</v>
      </c>
      <c r="AB172" t="e">
        <f ca="1"/>
        <v>#NAME?</v>
      </c>
      <c r="AD172" s="2">
        <f t="shared" ca="1" si="22"/>
        <v>0</v>
      </c>
      <c r="AE172" s="46">
        <f t="shared" ca="1" si="23"/>
        <v>0</v>
      </c>
      <c r="AG172" s="72" t="e">
        <f t="shared" ca="1" si="27"/>
        <v>#NAME?</v>
      </c>
      <c r="AH172" s="72" t="e">
        <f t="shared" ca="1" si="28"/>
        <v>#NAME?</v>
      </c>
      <c r="AI172" s="3" t="e">
        <f t="shared" ca="1" si="29"/>
        <v>#NAME?</v>
      </c>
    </row>
    <row r="173" spans="7:35" x14ac:dyDescent="0.25">
      <c r="G173" s="3">
        <f t="shared" ca="1" si="24"/>
        <v>154</v>
      </c>
      <c r="H173" s="105">
        <f t="shared" ca="1" si="26"/>
        <v>45079</v>
      </c>
      <c r="I173" s="132" t="e">
        <f>HLOOKUP($H$4,'Met Data'!$A$2:$F$368,G173,FALSE)</f>
        <v>#N/A</v>
      </c>
      <c r="J173" s="132" t="e">
        <f ca="1">HLOOKUP($H$4,'Met Data'!$H$2:$M$368,G173,FALSE)*L173</f>
        <v>#N/A</v>
      </c>
      <c r="K173" s="106" t="e">
        <f>HLOOKUP($H$4,'Met Data'!$O$2:$T$368,G173,FALSE)</f>
        <v>#N/A</v>
      </c>
      <c r="L173">
        <f t="shared" ca="1" si="20"/>
        <v>1</v>
      </c>
      <c r="N173" t="e">
        <f t="shared" ca="1" si="25"/>
        <v>#NAME?</v>
      </c>
      <c r="O173" t="e">
        <f t="shared" ca="1" si="21"/>
        <v>#NAME?</v>
      </c>
      <c r="P173" s="2" t="e">
        <f ca="1"/>
        <v>#NAME?</v>
      </c>
      <c r="Q173" t="e">
        <f ca="1"/>
        <v>#NAME?</v>
      </c>
      <c r="R173" t="e">
        <f ca="1"/>
        <v>#NAME?</v>
      </c>
      <c r="S173" t="e">
        <f ca="1"/>
        <v>#NAME?</v>
      </c>
      <c r="T173" t="e">
        <f ca="1"/>
        <v>#NAME?</v>
      </c>
      <c r="U173" t="e">
        <f ca="1"/>
        <v>#NAME?</v>
      </c>
      <c r="V173" t="e">
        <f ca="1"/>
        <v>#NAME?</v>
      </c>
      <c r="W173" t="e">
        <f ca="1"/>
        <v>#NAME?</v>
      </c>
      <c r="X173" t="e">
        <f ca="1"/>
        <v>#NAME?</v>
      </c>
      <c r="Y173" t="e">
        <f ca="1"/>
        <v>#NAME?</v>
      </c>
      <c r="Z173" t="e">
        <f ca="1"/>
        <v>#NAME?</v>
      </c>
      <c r="AA173" t="e">
        <f ca="1"/>
        <v>#NAME?</v>
      </c>
      <c r="AB173" t="e">
        <f ca="1"/>
        <v>#NAME?</v>
      </c>
      <c r="AD173" s="2">
        <f t="shared" ca="1" si="22"/>
        <v>0</v>
      </c>
      <c r="AE173" s="46">
        <f t="shared" ca="1" si="23"/>
        <v>0</v>
      </c>
      <c r="AG173" s="72" t="e">
        <f t="shared" ca="1" si="27"/>
        <v>#NAME?</v>
      </c>
      <c r="AH173" s="72" t="e">
        <f t="shared" ca="1" si="28"/>
        <v>#NAME?</v>
      </c>
      <c r="AI173" s="3" t="e">
        <f t="shared" ca="1" si="29"/>
        <v>#NAME?</v>
      </c>
    </row>
    <row r="174" spans="7:35" x14ac:dyDescent="0.25">
      <c r="G174" s="3">
        <f t="shared" ca="1" si="24"/>
        <v>155</v>
      </c>
      <c r="H174" s="105">
        <f t="shared" ca="1" si="26"/>
        <v>45080</v>
      </c>
      <c r="I174" s="132" t="e">
        <f>HLOOKUP($H$4,'Met Data'!$A$2:$F$368,G174,FALSE)</f>
        <v>#N/A</v>
      </c>
      <c r="J174" s="132" t="e">
        <f ca="1">HLOOKUP($H$4,'Met Data'!$H$2:$M$368,G174,FALSE)*L174</f>
        <v>#N/A</v>
      </c>
      <c r="K174" s="106" t="e">
        <f>HLOOKUP($H$4,'Met Data'!$O$2:$T$368,G174,FALSE)</f>
        <v>#N/A</v>
      </c>
      <c r="L174">
        <f t="shared" ca="1" si="20"/>
        <v>1</v>
      </c>
      <c r="N174" t="e">
        <f t="shared" ca="1" si="25"/>
        <v>#NAME?</v>
      </c>
      <c r="O174" t="e">
        <f t="shared" ca="1" si="21"/>
        <v>#NAME?</v>
      </c>
      <c r="P174" s="2" t="e">
        <f ca="1"/>
        <v>#NAME?</v>
      </c>
      <c r="Q174" t="e">
        <f ca="1"/>
        <v>#NAME?</v>
      </c>
      <c r="R174" t="e">
        <f ca="1"/>
        <v>#NAME?</v>
      </c>
      <c r="S174" t="e">
        <f ca="1"/>
        <v>#NAME?</v>
      </c>
      <c r="T174" t="e">
        <f ca="1"/>
        <v>#NAME?</v>
      </c>
      <c r="U174" t="e">
        <f ca="1"/>
        <v>#NAME?</v>
      </c>
      <c r="V174" t="e">
        <f ca="1"/>
        <v>#NAME?</v>
      </c>
      <c r="W174" t="e">
        <f ca="1"/>
        <v>#NAME?</v>
      </c>
      <c r="X174" t="e">
        <f ca="1"/>
        <v>#NAME?</v>
      </c>
      <c r="Y174" t="e">
        <f ca="1"/>
        <v>#NAME?</v>
      </c>
      <c r="Z174" t="e">
        <f ca="1"/>
        <v>#NAME?</v>
      </c>
      <c r="AA174" t="e">
        <f ca="1"/>
        <v>#NAME?</v>
      </c>
      <c r="AB174" t="e">
        <f ca="1"/>
        <v>#NAME?</v>
      </c>
      <c r="AD174" s="2">
        <f t="shared" ca="1" si="22"/>
        <v>0</v>
      </c>
      <c r="AE174" s="46">
        <f t="shared" ca="1" si="23"/>
        <v>0</v>
      </c>
      <c r="AG174" s="72" t="e">
        <f t="shared" ca="1" si="27"/>
        <v>#NAME?</v>
      </c>
      <c r="AH174" s="72" t="e">
        <f t="shared" ca="1" si="28"/>
        <v>#NAME?</v>
      </c>
      <c r="AI174" s="3" t="e">
        <f t="shared" ca="1" si="29"/>
        <v>#NAME?</v>
      </c>
    </row>
    <row r="175" spans="7:35" x14ac:dyDescent="0.25">
      <c r="G175" s="3">
        <f t="shared" ca="1" si="24"/>
        <v>156</v>
      </c>
      <c r="H175" s="105">
        <f t="shared" ca="1" si="26"/>
        <v>45081</v>
      </c>
      <c r="I175" s="132" t="e">
        <f>HLOOKUP($H$4,'Met Data'!$A$2:$F$368,G175,FALSE)</f>
        <v>#N/A</v>
      </c>
      <c r="J175" s="132" t="e">
        <f ca="1">HLOOKUP($H$4,'Met Data'!$H$2:$M$368,G175,FALSE)*L175</f>
        <v>#N/A</v>
      </c>
      <c r="K175" s="106" t="e">
        <f>HLOOKUP($H$4,'Met Data'!$O$2:$T$368,G175,FALSE)</f>
        <v>#N/A</v>
      </c>
      <c r="L175">
        <f t="shared" ca="1" si="20"/>
        <v>1</v>
      </c>
      <c r="N175" t="e">
        <f t="shared" ca="1" si="25"/>
        <v>#NAME?</v>
      </c>
      <c r="O175" t="e">
        <f t="shared" ca="1" si="21"/>
        <v>#NAME?</v>
      </c>
      <c r="P175" s="2" t="e">
        <f ca="1"/>
        <v>#NAME?</v>
      </c>
      <c r="Q175" t="e">
        <f ca="1"/>
        <v>#NAME?</v>
      </c>
      <c r="R175" t="e">
        <f ca="1"/>
        <v>#NAME?</v>
      </c>
      <c r="S175" t="e">
        <f ca="1"/>
        <v>#NAME?</v>
      </c>
      <c r="T175" t="e">
        <f ca="1"/>
        <v>#NAME?</v>
      </c>
      <c r="U175" t="e">
        <f ca="1"/>
        <v>#NAME?</v>
      </c>
      <c r="V175" t="e">
        <f ca="1"/>
        <v>#NAME?</v>
      </c>
      <c r="W175" t="e">
        <f ca="1"/>
        <v>#NAME?</v>
      </c>
      <c r="X175" t="e">
        <f ca="1"/>
        <v>#NAME?</v>
      </c>
      <c r="Y175" t="e">
        <f ca="1"/>
        <v>#NAME?</v>
      </c>
      <c r="Z175" t="e">
        <f ca="1"/>
        <v>#NAME?</v>
      </c>
      <c r="AA175" t="e">
        <f ca="1"/>
        <v>#NAME?</v>
      </c>
      <c r="AB175" t="e">
        <f ca="1"/>
        <v>#NAME?</v>
      </c>
      <c r="AD175" s="2">
        <f t="shared" ca="1" si="22"/>
        <v>0</v>
      </c>
      <c r="AE175" s="46">
        <f t="shared" ca="1" si="23"/>
        <v>0</v>
      </c>
      <c r="AG175" s="72" t="e">
        <f t="shared" ca="1" si="27"/>
        <v>#NAME?</v>
      </c>
      <c r="AH175" s="72" t="e">
        <f t="shared" ca="1" si="28"/>
        <v>#NAME?</v>
      </c>
      <c r="AI175" s="3" t="e">
        <f t="shared" ca="1" si="29"/>
        <v>#NAME?</v>
      </c>
    </row>
    <row r="176" spans="7:35" x14ac:dyDescent="0.25">
      <c r="G176" s="3">
        <f t="shared" ca="1" si="24"/>
        <v>157</v>
      </c>
      <c r="H176" s="105">
        <f t="shared" ca="1" si="26"/>
        <v>45082</v>
      </c>
      <c r="I176" s="132" t="e">
        <f>HLOOKUP($H$4,'Met Data'!$A$2:$F$368,G176,FALSE)</f>
        <v>#N/A</v>
      </c>
      <c r="J176" s="132" t="e">
        <f ca="1">HLOOKUP($H$4,'Met Data'!$H$2:$M$368,G176,FALSE)*L176</f>
        <v>#N/A</v>
      </c>
      <c r="K176" s="106" t="e">
        <f>HLOOKUP($H$4,'Met Data'!$O$2:$T$368,G176,FALSE)</f>
        <v>#N/A</v>
      </c>
      <c r="L176">
        <f t="shared" ca="1" si="20"/>
        <v>1</v>
      </c>
      <c r="N176" t="e">
        <f t="shared" ca="1" si="25"/>
        <v>#NAME?</v>
      </c>
      <c r="O176" t="e">
        <f t="shared" ca="1" si="21"/>
        <v>#NAME?</v>
      </c>
      <c r="P176" s="2" t="e">
        <f ca="1"/>
        <v>#NAME?</v>
      </c>
      <c r="Q176" t="e">
        <f ca="1"/>
        <v>#NAME?</v>
      </c>
      <c r="R176" t="e">
        <f ca="1"/>
        <v>#NAME?</v>
      </c>
      <c r="S176" t="e">
        <f ca="1"/>
        <v>#NAME?</v>
      </c>
      <c r="T176" t="e">
        <f ca="1"/>
        <v>#NAME?</v>
      </c>
      <c r="U176" t="e">
        <f ca="1"/>
        <v>#NAME?</v>
      </c>
      <c r="V176" t="e">
        <f ca="1"/>
        <v>#NAME?</v>
      </c>
      <c r="W176" t="e">
        <f ca="1"/>
        <v>#NAME?</v>
      </c>
      <c r="X176" t="e">
        <f ca="1"/>
        <v>#NAME?</v>
      </c>
      <c r="Y176" t="e">
        <f ca="1"/>
        <v>#NAME?</v>
      </c>
      <c r="Z176" t="e">
        <f ca="1"/>
        <v>#NAME?</v>
      </c>
      <c r="AA176" t="e">
        <f ca="1"/>
        <v>#NAME?</v>
      </c>
      <c r="AB176" t="e">
        <f ca="1"/>
        <v>#NAME?</v>
      </c>
      <c r="AD176" s="2">
        <f t="shared" ca="1" si="22"/>
        <v>0</v>
      </c>
      <c r="AE176" s="46">
        <f t="shared" ca="1" si="23"/>
        <v>0</v>
      </c>
      <c r="AG176" s="72" t="e">
        <f t="shared" ca="1" si="27"/>
        <v>#NAME?</v>
      </c>
      <c r="AH176" s="72" t="e">
        <f t="shared" ca="1" si="28"/>
        <v>#NAME?</v>
      </c>
      <c r="AI176" s="3" t="e">
        <f t="shared" ca="1" si="29"/>
        <v>#NAME?</v>
      </c>
    </row>
    <row r="177" spans="7:35" x14ac:dyDescent="0.25">
      <c r="G177" s="3">
        <f t="shared" ca="1" si="24"/>
        <v>158</v>
      </c>
      <c r="H177" s="105">
        <f t="shared" ca="1" si="26"/>
        <v>45083</v>
      </c>
      <c r="I177" s="132" t="e">
        <f>HLOOKUP($H$4,'Met Data'!$A$2:$F$368,G177,FALSE)</f>
        <v>#N/A</v>
      </c>
      <c r="J177" s="132" t="e">
        <f ca="1">HLOOKUP($H$4,'Met Data'!$H$2:$M$368,G177,FALSE)*L177</f>
        <v>#N/A</v>
      </c>
      <c r="K177" s="106" t="e">
        <f>HLOOKUP($H$4,'Met Data'!$O$2:$T$368,G177,FALSE)</f>
        <v>#N/A</v>
      </c>
      <c r="L177">
        <f t="shared" ca="1" si="20"/>
        <v>1</v>
      </c>
      <c r="N177" t="e">
        <f t="shared" ca="1" si="25"/>
        <v>#NAME?</v>
      </c>
      <c r="O177" t="e">
        <f t="shared" ca="1" si="21"/>
        <v>#NAME?</v>
      </c>
      <c r="P177" s="2" t="e">
        <f ca="1"/>
        <v>#NAME?</v>
      </c>
      <c r="Q177" t="e">
        <f ca="1"/>
        <v>#NAME?</v>
      </c>
      <c r="R177" t="e">
        <f ca="1"/>
        <v>#NAME?</v>
      </c>
      <c r="S177" t="e">
        <f ca="1"/>
        <v>#NAME?</v>
      </c>
      <c r="T177" t="e">
        <f ca="1"/>
        <v>#NAME?</v>
      </c>
      <c r="U177" t="e">
        <f ca="1"/>
        <v>#NAME?</v>
      </c>
      <c r="V177" t="e">
        <f ca="1"/>
        <v>#NAME?</v>
      </c>
      <c r="W177" t="e">
        <f ca="1"/>
        <v>#NAME?</v>
      </c>
      <c r="X177" t="e">
        <f ca="1"/>
        <v>#NAME?</v>
      </c>
      <c r="Y177" t="e">
        <f ca="1"/>
        <v>#NAME?</v>
      </c>
      <c r="Z177" t="e">
        <f ca="1"/>
        <v>#NAME?</v>
      </c>
      <c r="AA177" t="e">
        <f ca="1"/>
        <v>#NAME?</v>
      </c>
      <c r="AB177" t="e">
        <f ca="1"/>
        <v>#NAME?</v>
      </c>
      <c r="AD177" s="2">
        <f t="shared" ca="1" si="22"/>
        <v>0</v>
      </c>
      <c r="AE177" s="46">
        <f t="shared" ca="1" si="23"/>
        <v>0</v>
      </c>
      <c r="AG177" s="72" t="e">
        <f t="shared" ca="1" si="27"/>
        <v>#NAME?</v>
      </c>
      <c r="AH177" s="72" t="e">
        <f t="shared" ca="1" si="28"/>
        <v>#NAME?</v>
      </c>
      <c r="AI177" s="3" t="e">
        <f t="shared" ca="1" si="29"/>
        <v>#NAME?</v>
      </c>
    </row>
    <row r="178" spans="7:35" x14ac:dyDescent="0.25">
      <c r="G178" s="3">
        <f t="shared" ca="1" si="24"/>
        <v>159</v>
      </c>
      <c r="H178" s="105">
        <f t="shared" ca="1" si="26"/>
        <v>45084</v>
      </c>
      <c r="I178" s="132" t="e">
        <f>HLOOKUP($H$4,'Met Data'!$A$2:$F$368,G178,FALSE)</f>
        <v>#N/A</v>
      </c>
      <c r="J178" s="132" t="e">
        <f ca="1">HLOOKUP($H$4,'Met Data'!$H$2:$M$368,G178,FALSE)*L178</f>
        <v>#N/A</v>
      </c>
      <c r="K178" s="106" t="e">
        <f>HLOOKUP($H$4,'Met Data'!$O$2:$T$368,G178,FALSE)</f>
        <v>#N/A</v>
      </c>
      <c r="L178">
        <f t="shared" ca="1" si="20"/>
        <v>1</v>
      </c>
      <c r="N178" t="e">
        <f t="shared" ca="1" si="25"/>
        <v>#NAME?</v>
      </c>
      <c r="O178" t="e">
        <f t="shared" ca="1" si="21"/>
        <v>#NAME?</v>
      </c>
      <c r="P178" s="2" t="e">
        <f ca="1"/>
        <v>#NAME?</v>
      </c>
      <c r="Q178" t="e">
        <f ca="1"/>
        <v>#NAME?</v>
      </c>
      <c r="R178" t="e">
        <f ca="1"/>
        <v>#NAME?</v>
      </c>
      <c r="S178" t="e">
        <f ca="1"/>
        <v>#NAME?</v>
      </c>
      <c r="T178" t="e">
        <f ca="1"/>
        <v>#NAME?</v>
      </c>
      <c r="U178" t="e">
        <f ca="1"/>
        <v>#NAME?</v>
      </c>
      <c r="V178" t="e">
        <f ca="1"/>
        <v>#NAME?</v>
      </c>
      <c r="W178" t="e">
        <f ca="1"/>
        <v>#NAME?</v>
      </c>
      <c r="X178" t="e">
        <f ca="1"/>
        <v>#NAME?</v>
      </c>
      <c r="Y178" t="e">
        <f ca="1"/>
        <v>#NAME?</v>
      </c>
      <c r="Z178" t="e">
        <f ca="1"/>
        <v>#NAME?</v>
      </c>
      <c r="AA178" t="e">
        <f ca="1"/>
        <v>#NAME?</v>
      </c>
      <c r="AB178" t="e">
        <f ca="1"/>
        <v>#NAME?</v>
      </c>
      <c r="AD178" s="2">
        <f t="shared" ca="1" si="22"/>
        <v>0</v>
      </c>
      <c r="AE178" s="46">
        <f t="shared" ca="1" si="23"/>
        <v>0</v>
      </c>
      <c r="AG178" s="72" t="e">
        <f t="shared" ca="1" si="27"/>
        <v>#NAME?</v>
      </c>
      <c r="AH178" s="72" t="e">
        <f t="shared" ca="1" si="28"/>
        <v>#NAME?</v>
      </c>
      <c r="AI178" s="3" t="e">
        <f t="shared" ca="1" si="29"/>
        <v>#NAME?</v>
      </c>
    </row>
    <row r="179" spans="7:35" x14ac:dyDescent="0.25">
      <c r="G179" s="3">
        <f t="shared" ca="1" si="24"/>
        <v>160</v>
      </c>
      <c r="H179" s="105">
        <f t="shared" ca="1" si="26"/>
        <v>45085</v>
      </c>
      <c r="I179" s="132" t="e">
        <f>HLOOKUP($H$4,'Met Data'!$A$2:$F$368,G179,FALSE)</f>
        <v>#N/A</v>
      </c>
      <c r="J179" s="132" t="e">
        <f ca="1">HLOOKUP($H$4,'Met Data'!$H$2:$M$368,G179,FALSE)*L179</f>
        <v>#N/A</v>
      </c>
      <c r="K179" s="106" t="e">
        <f>HLOOKUP($H$4,'Met Data'!$O$2:$T$368,G179,FALSE)</f>
        <v>#N/A</v>
      </c>
      <c r="L179">
        <f t="shared" ca="1" si="20"/>
        <v>1</v>
      </c>
      <c r="N179" t="e">
        <f t="shared" ca="1" si="25"/>
        <v>#NAME?</v>
      </c>
      <c r="O179" t="e">
        <f t="shared" ca="1" si="21"/>
        <v>#NAME?</v>
      </c>
      <c r="P179" s="2" t="e">
        <f ca="1"/>
        <v>#NAME?</v>
      </c>
      <c r="Q179" t="e">
        <f ca="1"/>
        <v>#NAME?</v>
      </c>
      <c r="R179" t="e">
        <f ca="1"/>
        <v>#NAME?</v>
      </c>
      <c r="S179" t="e">
        <f ca="1"/>
        <v>#NAME?</v>
      </c>
      <c r="T179" t="e">
        <f ca="1"/>
        <v>#NAME?</v>
      </c>
      <c r="U179" t="e">
        <f ca="1"/>
        <v>#NAME?</v>
      </c>
      <c r="V179" t="e">
        <f ca="1"/>
        <v>#NAME?</v>
      </c>
      <c r="W179" t="e">
        <f ca="1"/>
        <v>#NAME?</v>
      </c>
      <c r="X179" t="e">
        <f ca="1"/>
        <v>#NAME?</v>
      </c>
      <c r="Y179" t="e">
        <f ca="1"/>
        <v>#NAME?</v>
      </c>
      <c r="Z179" t="e">
        <f ca="1"/>
        <v>#NAME?</v>
      </c>
      <c r="AA179" t="e">
        <f ca="1"/>
        <v>#NAME?</v>
      </c>
      <c r="AB179" t="e">
        <f ca="1"/>
        <v>#NAME?</v>
      </c>
      <c r="AD179" s="2">
        <f t="shared" ca="1" si="22"/>
        <v>0</v>
      </c>
      <c r="AE179" s="46">
        <f t="shared" ca="1" si="23"/>
        <v>0</v>
      </c>
      <c r="AG179" s="72" t="e">
        <f t="shared" ca="1" si="27"/>
        <v>#NAME?</v>
      </c>
      <c r="AH179" s="72" t="e">
        <f t="shared" ca="1" si="28"/>
        <v>#NAME?</v>
      </c>
      <c r="AI179" s="3" t="e">
        <f t="shared" ca="1" si="29"/>
        <v>#NAME?</v>
      </c>
    </row>
    <row r="180" spans="7:35" x14ac:dyDescent="0.25">
      <c r="G180" s="3">
        <f t="shared" ca="1" si="24"/>
        <v>161</v>
      </c>
      <c r="H180" s="105">
        <f t="shared" ca="1" si="26"/>
        <v>45086</v>
      </c>
      <c r="I180" s="132" t="e">
        <f>HLOOKUP($H$4,'Met Data'!$A$2:$F$368,G180,FALSE)</f>
        <v>#N/A</v>
      </c>
      <c r="J180" s="132" t="e">
        <f ca="1">HLOOKUP($H$4,'Met Data'!$H$2:$M$368,G180,FALSE)*L180</f>
        <v>#N/A</v>
      </c>
      <c r="K180" s="106" t="e">
        <f>HLOOKUP($H$4,'Met Data'!$O$2:$T$368,G180,FALSE)</f>
        <v>#N/A</v>
      </c>
      <c r="L180">
        <f t="shared" ca="1" si="20"/>
        <v>1</v>
      </c>
      <c r="N180" t="e">
        <f t="shared" ca="1" si="25"/>
        <v>#NAME?</v>
      </c>
      <c r="O180" t="e">
        <f t="shared" ca="1" si="21"/>
        <v>#NAME?</v>
      </c>
      <c r="P180" s="2" t="e">
        <f ca="1"/>
        <v>#NAME?</v>
      </c>
      <c r="Q180" t="e">
        <f ca="1"/>
        <v>#NAME?</v>
      </c>
      <c r="R180" t="e">
        <f ca="1"/>
        <v>#NAME?</v>
      </c>
      <c r="S180" t="e">
        <f ca="1"/>
        <v>#NAME?</v>
      </c>
      <c r="T180" t="e">
        <f ca="1"/>
        <v>#NAME?</v>
      </c>
      <c r="U180" t="e">
        <f ca="1"/>
        <v>#NAME?</v>
      </c>
      <c r="V180" t="e">
        <f ca="1"/>
        <v>#NAME?</v>
      </c>
      <c r="W180" t="e">
        <f ca="1"/>
        <v>#NAME?</v>
      </c>
      <c r="X180" t="e">
        <f ca="1"/>
        <v>#NAME?</v>
      </c>
      <c r="Y180" t="e">
        <f ca="1"/>
        <v>#NAME?</v>
      </c>
      <c r="Z180" t="e">
        <f ca="1"/>
        <v>#NAME?</v>
      </c>
      <c r="AA180" t="e">
        <f ca="1"/>
        <v>#NAME?</v>
      </c>
      <c r="AB180" t="e">
        <f ca="1"/>
        <v>#NAME?</v>
      </c>
      <c r="AD180" s="2">
        <f t="shared" ca="1" si="22"/>
        <v>0</v>
      </c>
      <c r="AE180" s="46">
        <f t="shared" ca="1" si="23"/>
        <v>0</v>
      </c>
      <c r="AG180" s="72" t="e">
        <f t="shared" ca="1" si="27"/>
        <v>#NAME?</v>
      </c>
      <c r="AH180" s="72" t="e">
        <f t="shared" ca="1" si="28"/>
        <v>#NAME?</v>
      </c>
      <c r="AI180" s="3" t="e">
        <f t="shared" ca="1" si="29"/>
        <v>#NAME?</v>
      </c>
    </row>
    <row r="181" spans="7:35" x14ac:dyDescent="0.25">
      <c r="G181" s="3">
        <f t="shared" ca="1" si="24"/>
        <v>162</v>
      </c>
      <c r="H181" s="105">
        <f t="shared" ca="1" si="26"/>
        <v>45087</v>
      </c>
      <c r="I181" s="132" t="e">
        <f>HLOOKUP($H$4,'Met Data'!$A$2:$F$368,G181,FALSE)</f>
        <v>#N/A</v>
      </c>
      <c r="J181" s="132" t="e">
        <f ca="1">HLOOKUP($H$4,'Met Data'!$H$2:$M$368,G181,FALSE)*L181</f>
        <v>#N/A</v>
      </c>
      <c r="K181" s="106" t="e">
        <f>HLOOKUP($H$4,'Met Data'!$O$2:$T$368,G181,FALSE)</f>
        <v>#N/A</v>
      </c>
      <c r="L181">
        <f t="shared" ca="1" si="20"/>
        <v>1</v>
      </c>
      <c r="N181" t="e">
        <f t="shared" ca="1" si="25"/>
        <v>#NAME?</v>
      </c>
      <c r="O181" t="e">
        <f t="shared" ca="1" si="21"/>
        <v>#NAME?</v>
      </c>
      <c r="P181" s="2" t="e">
        <f ca="1"/>
        <v>#NAME?</v>
      </c>
      <c r="Q181" t="e">
        <f ca="1"/>
        <v>#NAME?</v>
      </c>
      <c r="R181" t="e">
        <f ca="1"/>
        <v>#NAME?</v>
      </c>
      <c r="S181" t="e">
        <f ca="1"/>
        <v>#NAME?</v>
      </c>
      <c r="T181" t="e">
        <f ca="1"/>
        <v>#NAME?</v>
      </c>
      <c r="U181" t="e">
        <f ca="1"/>
        <v>#NAME?</v>
      </c>
      <c r="V181" t="e">
        <f ca="1"/>
        <v>#NAME?</v>
      </c>
      <c r="W181" t="e">
        <f ca="1"/>
        <v>#NAME?</v>
      </c>
      <c r="X181" t="e">
        <f ca="1"/>
        <v>#NAME?</v>
      </c>
      <c r="Y181" t="e">
        <f ca="1"/>
        <v>#NAME?</v>
      </c>
      <c r="Z181" t="e">
        <f ca="1"/>
        <v>#NAME?</v>
      </c>
      <c r="AA181" t="e">
        <f ca="1"/>
        <v>#NAME?</v>
      </c>
      <c r="AB181" t="e">
        <f ca="1"/>
        <v>#NAME?</v>
      </c>
      <c r="AD181" s="2">
        <f t="shared" ca="1" si="22"/>
        <v>0</v>
      </c>
      <c r="AE181" s="46">
        <f t="shared" ca="1" si="23"/>
        <v>0</v>
      </c>
      <c r="AG181" s="72" t="e">
        <f t="shared" ca="1" si="27"/>
        <v>#NAME?</v>
      </c>
      <c r="AH181" s="72" t="e">
        <f t="shared" ca="1" si="28"/>
        <v>#NAME?</v>
      </c>
      <c r="AI181" s="3" t="e">
        <f t="shared" ca="1" si="29"/>
        <v>#NAME?</v>
      </c>
    </row>
    <row r="182" spans="7:35" x14ac:dyDescent="0.25">
      <c r="G182" s="3">
        <f t="shared" ca="1" si="24"/>
        <v>163</v>
      </c>
      <c r="H182" s="105">
        <f t="shared" ca="1" si="26"/>
        <v>45088</v>
      </c>
      <c r="I182" s="132" t="e">
        <f>HLOOKUP($H$4,'Met Data'!$A$2:$F$368,G182,FALSE)</f>
        <v>#N/A</v>
      </c>
      <c r="J182" s="132" t="e">
        <f ca="1">HLOOKUP($H$4,'Met Data'!$H$2:$M$368,G182,FALSE)*L182</f>
        <v>#N/A</v>
      </c>
      <c r="K182" s="106" t="e">
        <f>HLOOKUP($H$4,'Met Data'!$O$2:$T$368,G182,FALSE)</f>
        <v>#N/A</v>
      </c>
      <c r="L182">
        <f t="shared" ca="1" si="20"/>
        <v>1</v>
      </c>
      <c r="N182" t="e">
        <f t="shared" ca="1" si="25"/>
        <v>#NAME?</v>
      </c>
      <c r="O182" t="e">
        <f t="shared" ca="1" si="21"/>
        <v>#NAME?</v>
      </c>
      <c r="P182" s="2" t="e">
        <f ca="1"/>
        <v>#NAME?</v>
      </c>
      <c r="Q182" t="e">
        <f ca="1"/>
        <v>#NAME?</v>
      </c>
      <c r="R182" t="e">
        <f ca="1"/>
        <v>#NAME?</v>
      </c>
      <c r="S182" t="e">
        <f ca="1"/>
        <v>#NAME?</v>
      </c>
      <c r="T182" t="e">
        <f ca="1"/>
        <v>#NAME?</v>
      </c>
      <c r="U182" t="e">
        <f ca="1"/>
        <v>#NAME?</v>
      </c>
      <c r="V182" t="e">
        <f ca="1"/>
        <v>#NAME?</v>
      </c>
      <c r="W182" t="e">
        <f ca="1"/>
        <v>#NAME?</v>
      </c>
      <c r="X182" t="e">
        <f ca="1"/>
        <v>#NAME?</v>
      </c>
      <c r="Y182" t="e">
        <f ca="1"/>
        <v>#NAME?</v>
      </c>
      <c r="Z182" t="e">
        <f ca="1"/>
        <v>#NAME?</v>
      </c>
      <c r="AA182" t="e">
        <f ca="1"/>
        <v>#NAME?</v>
      </c>
      <c r="AB182" t="e">
        <f ca="1"/>
        <v>#NAME?</v>
      </c>
      <c r="AD182" s="2">
        <f t="shared" ca="1" si="22"/>
        <v>0</v>
      </c>
      <c r="AE182" s="46">
        <f t="shared" ca="1" si="23"/>
        <v>0</v>
      </c>
      <c r="AG182" s="72" t="e">
        <f t="shared" ca="1" si="27"/>
        <v>#NAME?</v>
      </c>
      <c r="AH182" s="72" t="e">
        <f t="shared" ca="1" si="28"/>
        <v>#NAME?</v>
      </c>
      <c r="AI182" s="3" t="e">
        <f t="shared" ca="1" si="29"/>
        <v>#NAME?</v>
      </c>
    </row>
    <row r="183" spans="7:35" x14ac:dyDescent="0.25">
      <c r="G183" s="3">
        <f t="shared" ca="1" si="24"/>
        <v>164</v>
      </c>
      <c r="H183" s="105">
        <f t="shared" ca="1" si="26"/>
        <v>45089</v>
      </c>
      <c r="I183" s="132" t="e">
        <f>HLOOKUP($H$4,'Met Data'!$A$2:$F$368,G183,FALSE)</f>
        <v>#N/A</v>
      </c>
      <c r="J183" s="132" t="e">
        <f ca="1">HLOOKUP($H$4,'Met Data'!$H$2:$M$368,G183,FALSE)*L183</f>
        <v>#N/A</v>
      </c>
      <c r="K183" s="106" t="e">
        <f>HLOOKUP($H$4,'Met Data'!$O$2:$T$368,G183,FALSE)</f>
        <v>#N/A</v>
      </c>
      <c r="L183">
        <f t="shared" ca="1" si="20"/>
        <v>1</v>
      </c>
      <c r="N183" t="e">
        <f t="shared" ca="1" si="25"/>
        <v>#NAME?</v>
      </c>
      <c r="O183" t="e">
        <f t="shared" ca="1" si="21"/>
        <v>#NAME?</v>
      </c>
      <c r="P183" s="2" t="e">
        <f ca="1"/>
        <v>#NAME?</v>
      </c>
      <c r="Q183" t="e">
        <f ca="1"/>
        <v>#NAME?</v>
      </c>
      <c r="R183" t="e">
        <f ca="1"/>
        <v>#NAME?</v>
      </c>
      <c r="S183" t="e">
        <f ca="1"/>
        <v>#NAME?</v>
      </c>
      <c r="T183" t="e">
        <f ca="1"/>
        <v>#NAME?</v>
      </c>
      <c r="U183" t="e">
        <f ca="1"/>
        <v>#NAME?</v>
      </c>
      <c r="V183" t="e">
        <f ca="1"/>
        <v>#NAME?</v>
      </c>
      <c r="W183" t="e">
        <f ca="1"/>
        <v>#NAME?</v>
      </c>
      <c r="X183" t="e">
        <f ca="1"/>
        <v>#NAME?</v>
      </c>
      <c r="Y183" t="e">
        <f ca="1"/>
        <v>#NAME?</v>
      </c>
      <c r="Z183" t="e">
        <f ca="1"/>
        <v>#NAME?</v>
      </c>
      <c r="AA183" t="e">
        <f ca="1"/>
        <v>#NAME?</v>
      </c>
      <c r="AB183" t="e">
        <f ca="1"/>
        <v>#NAME?</v>
      </c>
      <c r="AD183" s="2">
        <f t="shared" ca="1" si="22"/>
        <v>0</v>
      </c>
      <c r="AE183" s="46">
        <f t="shared" ca="1" si="23"/>
        <v>0</v>
      </c>
      <c r="AG183" s="72" t="e">
        <f t="shared" ca="1" si="27"/>
        <v>#NAME?</v>
      </c>
      <c r="AH183" s="72" t="e">
        <f t="shared" ca="1" si="28"/>
        <v>#NAME?</v>
      </c>
      <c r="AI183" s="3" t="e">
        <f t="shared" ca="1" si="29"/>
        <v>#NAME?</v>
      </c>
    </row>
    <row r="184" spans="7:35" x14ac:dyDescent="0.25">
      <c r="G184" s="3">
        <f t="shared" ca="1" si="24"/>
        <v>165</v>
      </c>
      <c r="H184" s="105">
        <f t="shared" ca="1" si="26"/>
        <v>45090</v>
      </c>
      <c r="I184" s="132" t="e">
        <f>HLOOKUP($H$4,'Met Data'!$A$2:$F$368,G184,FALSE)</f>
        <v>#N/A</v>
      </c>
      <c r="J184" s="132" t="e">
        <f ca="1">HLOOKUP($H$4,'Met Data'!$H$2:$M$368,G184,FALSE)*L184</f>
        <v>#N/A</v>
      </c>
      <c r="K184" s="106" t="e">
        <f>HLOOKUP($H$4,'Met Data'!$O$2:$T$368,G184,FALSE)</f>
        <v>#N/A</v>
      </c>
      <c r="L184">
        <f t="shared" ca="1" si="20"/>
        <v>1</v>
      </c>
      <c r="N184" t="e">
        <f t="shared" ca="1" si="25"/>
        <v>#NAME?</v>
      </c>
      <c r="O184" t="e">
        <f t="shared" ca="1" si="21"/>
        <v>#NAME?</v>
      </c>
      <c r="P184" s="2" t="e">
        <f ca="1"/>
        <v>#NAME?</v>
      </c>
      <c r="Q184" t="e">
        <f ca="1"/>
        <v>#NAME?</v>
      </c>
      <c r="R184" t="e">
        <f ca="1"/>
        <v>#NAME?</v>
      </c>
      <c r="S184" t="e">
        <f ca="1"/>
        <v>#NAME?</v>
      </c>
      <c r="T184" t="e">
        <f ca="1"/>
        <v>#NAME?</v>
      </c>
      <c r="U184" t="e">
        <f ca="1"/>
        <v>#NAME?</v>
      </c>
      <c r="V184" t="e">
        <f ca="1"/>
        <v>#NAME?</v>
      </c>
      <c r="W184" t="e">
        <f ca="1"/>
        <v>#NAME?</v>
      </c>
      <c r="X184" t="e">
        <f ca="1"/>
        <v>#NAME?</v>
      </c>
      <c r="Y184" t="e">
        <f ca="1"/>
        <v>#NAME?</v>
      </c>
      <c r="Z184" t="e">
        <f ca="1"/>
        <v>#NAME?</v>
      </c>
      <c r="AA184" t="e">
        <f ca="1"/>
        <v>#NAME?</v>
      </c>
      <c r="AB184" t="e">
        <f ca="1"/>
        <v>#NAME?</v>
      </c>
      <c r="AD184" s="2">
        <f t="shared" ca="1" si="22"/>
        <v>0</v>
      </c>
      <c r="AE184" s="46">
        <f t="shared" ca="1" si="23"/>
        <v>0</v>
      </c>
      <c r="AG184" s="72" t="e">
        <f t="shared" ca="1" si="27"/>
        <v>#NAME?</v>
      </c>
      <c r="AH184" s="72" t="e">
        <f t="shared" ca="1" si="28"/>
        <v>#NAME?</v>
      </c>
      <c r="AI184" s="3" t="e">
        <f t="shared" ca="1" si="29"/>
        <v>#NAME?</v>
      </c>
    </row>
    <row r="185" spans="7:35" x14ac:dyDescent="0.25">
      <c r="G185" s="3">
        <f t="shared" ca="1" si="24"/>
        <v>166</v>
      </c>
      <c r="H185" s="105">
        <f t="shared" ca="1" si="26"/>
        <v>45091</v>
      </c>
      <c r="I185" s="132" t="e">
        <f>HLOOKUP($H$4,'Met Data'!$A$2:$F$368,G185,FALSE)</f>
        <v>#N/A</v>
      </c>
      <c r="J185" s="132" t="e">
        <f ca="1">HLOOKUP($H$4,'Met Data'!$H$2:$M$368,G185,FALSE)*L185</f>
        <v>#N/A</v>
      </c>
      <c r="K185" s="106" t="e">
        <f>HLOOKUP($H$4,'Met Data'!$O$2:$T$368,G185,FALSE)</f>
        <v>#N/A</v>
      </c>
      <c r="L185">
        <f t="shared" ca="1" si="20"/>
        <v>1</v>
      </c>
      <c r="N185" t="e">
        <f t="shared" ca="1" si="25"/>
        <v>#NAME?</v>
      </c>
      <c r="O185" t="e">
        <f t="shared" ca="1" si="21"/>
        <v>#NAME?</v>
      </c>
      <c r="P185" s="2" t="e">
        <f ca="1"/>
        <v>#NAME?</v>
      </c>
      <c r="Q185" t="e">
        <f ca="1"/>
        <v>#NAME?</v>
      </c>
      <c r="R185" t="e">
        <f ca="1"/>
        <v>#NAME?</v>
      </c>
      <c r="S185" t="e">
        <f ca="1"/>
        <v>#NAME?</v>
      </c>
      <c r="T185" t="e">
        <f ca="1"/>
        <v>#NAME?</v>
      </c>
      <c r="U185" t="e">
        <f ca="1"/>
        <v>#NAME?</v>
      </c>
      <c r="V185" t="e">
        <f ca="1"/>
        <v>#NAME?</v>
      </c>
      <c r="W185" t="e">
        <f ca="1"/>
        <v>#NAME?</v>
      </c>
      <c r="X185" t="e">
        <f ca="1"/>
        <v>#NAME?</v>
      </c>
      <c r="Y185" t="e">
        <f ca="1"/>
        <v>#NAME?</v>
      </c>
      <c r="Z185" t="e">
        <f ca="1"/>
        <v>#NAME?</v>
      </c>
      <c r="AA185" t="e">
        <f ca="1"/>
        <v>#NAME?</v>
      </c>
      <c r="AB185" t="e">
        <f ca="1"/>
        <v>#NAME?</v>
      </c>
      <c r="AD185" s="2">
        <f t="shared" ca="1" si="22"/>
        <v>0</v>
      </c>
      <c r="AE185" s="46">
        <f t="shared" ca="1" si="23"/>
        <v>0</v>
      </c>
      <c r="AG185" s="72" t="e">
        <f t="shared" ca="1" si="27"/>
        <v>#NAME?</v>
      </c>
      <c r="AH185" s="72" t="e">
        <f t="shared" ca="1" si="28"/>
        <v>#NAME?</v>
      </c>
      <c r="AI185" s="3" t="e">
        <f t="shared" ca="1" si="29"/>
        <v>#NAME?</v>
      </c>
    </row>
    <row r="186" spans="7:35" x14ac:dyDescent="0.25">
      <c r="G186" s="3">
        <f t="shared" ca="1" si="24"/>
        <v>167</v>
      </c>
      <c r="H186" s="105">
        <f t="shared" ca="1" si="26"/>
        <v>45092</v>
      </c>
      <c r="I186" s="132" t="e">
        <f>HLOOKUP($H$4,'Met Data'!$A$2:$F$368,G186,FALSE)</f>
        <v>#N/A</v>
      </c>
      <c r="J186" s="132" t="e">
        <f ca="1">HLOOKUP($H$4,'Met Data'!$H$2:$M$368,G186,FALSE)*L186</f>
        <v>#N/A</v>
      </c>
      <c r="K186" s="106" t="e">
        <f>HLOOKUP($H$4,'Met Data'!$O$2:$T$368,G186,FALSE)</f>
        <v>#N/A</v>
      </c>
      <c r="L186">
        <f t="shared" ca="1" si="20"/>
        <v>1</v>
      </c>
      <c r="N186" t="e">
        <f t="shared" ca="1" si="25"/>
        <v>#NAME?</v>
      </c>
      <c r="O186" t="e">
        <f t="shared" ca="1" si="21"/>
        <v>#NAME?</v>
      </c>
      <c r="P186" s="2" t="e">
        <f ca="1"/>
        <v>#NAME?</v>
      </c>
      <c r="Q186" t="e">
        <f ca="1"/>
        <v>#NAME?</v>
      </c>
      <c r="R186" t="e">
        <f ca="1"/>
        <v>#NAME?</v>
      </c>
      <c r="S186" t="e">
        <f ca="1"/>
        <v>#NAME?</v>
      </c>
      <c r="T186" t="e">
        <f ca="1"/>
        <v>#NAME?</v>
      </c>
      <c r="U186" t="e">
        <f ca="1"/>
        <v>#NAME?</v>
      </c>
      <c r="V186" t="e">
        <f ca="1"/>
        <v>#NAME?</v>
      </c>
      <c r="W186" t="e">
        <f ca="1"/>
        <v>#NAME?</v>
      </c>
      <c r="X186" t="e">
        <f ca="1"/>
        <v>#NAME?</v>
      </c>
      <c r="Y186" t="e">
        <f ca="1"/>
        <v>#NAME?</v>
      </c>
      <c r="Z186" t="e">
        <f ca="1"/>
        <v>#NAME?</v>
      </c>
      <c r="AA186" t="e">
        <f ca="1"/>
        <v>#NAME?</v>
      </c>
      <c r="AB186" t="e">
        <f ca="1"/>
        <v>#NAME?</v>
      </c>
      <c r="AD186" s="2">
        <f t="shared" ca="1" si="22"/>
        <v>0</v>
      </c>
      <c r="AE186" s="46">
        <f t="shared" ca="1" si="23"/>
        <v>0</v>
      </c>
      <c r="AG186" s="72" t="e">
        <f t="shared" ca="1" si="27"/>
        <v>#NAME?</v>
      </c>
      <c r="AH186" s="72" t="e">
        <f t="shared" ca="1" si="28"/>
        <v>#NAME?</v>
      </c>
      <c r="AI186" s="3" t="e">
        <f t="shared" ca="1" si="29"/>
        <v>#NAME?</v>
      </c>
    </row>
    <row r="187" spans="7:35" x14ac:dyDescent="0.25">
      <c r="G187" s="3">
        <f t="shared" ca="1" si="24"/>
        <v>168</v>
      </c>
      <c r="H187" s="105">
        <f t="shared" ca="1" si="26"/>
        <v>45093</v>
      </c>
      <c r="I187" s="132" t="e">
        <f>HLOOKUP($H$4,'Met Data'!$A$2:$F$368,G187,FALSE)</f>
        <v>#N/A</v>
      </c>
      <c r="J187" s="132" t="e">
        <f ca="1">HLOOKUP($H$4,'Met Data'!$H$2:$M$368,G187,FALSE)*L187</f>
        <v>#N/A</v>
      </c>
      <c r="K187" s="106" t="e">
        <f>HLOOKUP($H$4,'Met Data'!$O$2:$T$368,G187,FALSE)</f>
        <v>#N/A</v>
      </c>
      <c r="L187">
        <f t="shared" ca="1" si="20"/>
        <v>1</v>
      </c>
      <c r="N187" t="e">
        <f t="shared" ca="1" si="25"/>
        <v>#NAME?</v>
      </c>
      <c r="O187" t="e">
        <f t="shared" ca="1" si="21"/>
        <v>#NAME?</v>
      </c>
      <c r="P187" s="2" t="e">
        <f ca="1"/>
        <v>#NAME?</v>
      </c>
      <c r="Q187" t="e">
        <f ca="1"/>
        <v>#NAME?</v>
      </c>
      <c r="R187" t="e">
        <f ca="1"/>
        <v>#NAME?</v>
      </c>
      <c r="S187" t="e">
        <f ca="1"/>
        <v>#NAME?</v>
      </c>
      <c r="T187" t="e">
        <f ca="1"/>
        <v>#NAME?</v>
      </c>
      <c r="U187" t="e">
        <f ca="1"/>
        <v>#NAME?</v>
      </c>
      <c r="V187" t="e">
        <f ca="1"/>
        <v>#NAME?</v>
      </c>
      <c r="W187" t="e">
        <f ca="1"/>
        <v>#NAME?</v>
      </c>
      <c r="X187" t="e">
        <f ca="1"/>
        <v>#NAME?</v>
      </c>
      <c r="Y187" t="e">
        <f ca="1"/>
        <v>#NAME?</v>
      </c>
      <c r="Z187" t="e">
        <f ca="1"/>
        <v>#NAME?</v>
      </c>
      <c r="AA187" t="e">
        <f ca="1"/>
        <v>#NAME?</v>
      </c>
      <c r="AB187" t="e">
        <f ca="1"/>
        <v>#NAME?</v>
      </c>
      <c r="AD187" s="2">
        <f t="shared" ca="1" si="22"/>
        <v>0</v>
      </c>
      <c r="AE187" s="46">
        <f t="shared" ca="1" si="23"/>
        <v>0</v>
      </c>
      <c r="AG187" s="72" t="e">
        <f t="shared" ca="1" si="27"/>
        <v>#NAME?</v>
      </c>
      <c r="AH187" s="72" t="e">
        <f t="shared" ca="1" si="28"/>
        <v>#NAME?</v>
      </c>
      <c r="AI187" s="3" t="e">
        <f t="shared" ca="1" si="29"/>
        <v>#NAME?</v>
      </c>
    </row>
    <row r="188" spans="7:35" x14ac:dyDescent="0.25">
      <c r="G188" s="3">
        <f t="shared" ca="1" si="24"/>
        <v>169</v>
      </c>
      <c r="H188" s="105">
        <f t="shared" ca="1" si="26"/>
        <v>45094</v>
      </c>
      <c r="I188" s="132" t="e">
        <f>HLOOKUP($H$4,'Met Data'!$A$2:$F$368,G188,FALSE)</f>
        <v>#N/A</v>
      </c>
      <c r="J188" s="132" t="e">
        <f ca="1">HLOOKUP($H$4,'Met Data'!$H$2:$M$368,G188,FALSE)*L188</f>
        <v>#N/A</v>
      </c>
      <c r="K188" s="106" t="e">
        <f>HLOOKUP($H$4,'Met Data'!$O$2:$T$368,G188,FALSE)</f>
        <v>#N/A</v>
      </c>
      <c r="L188">
        <f t="shared" ca="1" si="20"/>
        <v>1</v>
      </c>
      <c r="N188" t="e">
        <f t="shared" ca="1" si="25"/>
        <v>#NAME?</v>
      </c>
      <c r="O188" t="e">
        <f t="shared" ca="1" si="21"/>
        <v>#NAME?</v>
      </c>
      <c r="P188" s="2" t="e">
        <f ca="1"/>
        <v>#NAME?</v>
      </c>
      <c r="Q188" t="e">
        <f ca="1"/>
        <v>#NAME?</v>
      </c>
      <c r="R188" t="e">
        <f ca="1"/>
        <v>#NAME?</v>
      </c>
      <c r="S188" t="e">
        <f ca="1"/>
        <v>#NAME?</v>
      </c>
      <c r="T188" t="e">
        <f ca="1"/>
        <v>#NAME?</v>
      </c>
      <c r="U188" t="e">
        <f ca="1"/>
        <v>#NAME?</v>
      </c>
      <c r="V188" t="e">
        <f ca="1"/>
        <v>#NAME?</v>
      </c>
      <c r="W188" t="e">
        <f ca="1"/>
        <v>#NAME?</v>
      </c>
      <c r="X188" t="e">
        <f ca="1"/>
        <v>#NAME?</v>
      </c>
      <c r="Y188" t="e">
        <f ca="1"/>
        <v>#NAME?</v>
      </c>
      <c r="Z188" t="e">
        <f ca="1"/>
        <v>#NAME?</v>
      </c>
      <c r="AA188" t="e">
        <f ca="1"/>
        <v>#NAME?</v>
      </c>
      <c r="AB188" t="e">
        <f ca="1"/>
        <v>#NAME?</v>
      </c>
      <c r="AD188" s="2">
        <f t="shared" ca="1" si="22"/>
        <v>0</v>
      </c>
      <c r="AE188" s="46">
        <f t="shared" ca="1" si="23"/>
        <v>0</v>
      </c>
      <c r="AG188" s="72" t="e">
        <f t="shared" ca="1" si="27"/>
        <v>#NAME?</v>
      </c>
      <c r="AH188" s="72" t="e">
        <f t="shared" ca="1" si="28"/>
        <v>#NAME?</v>
      </c>
      <c r="AI188" s="3" t="e">
        <f t="shared" ca="1" si="29"/>
        <v>#NAME?</v>
      </c>
    </row>
    <row r="189" spans="7:35" x14ac:dyDescent="0.25">
      <c r="G189" s="3">
        <f t="shared" ca="1" si="24"/>
        <v>170</v>
      </c>
      <c r="H189" s="105">
        <f t="shared" ca="1" si="26"/>
        <v>45095</v>
      </c>
      <c r="I189" s="132" t="e">
        <f>HLOOKUP($H$4,'Met Data'!$A$2:$F$368,G189,FALSE)</f>
        <v>#N/A</v>
      </c>
      <c r="J189" s="132" t="e">
        <f ca="1">HLOOKUP($H$4,'Met Data'!$H$2:$M$368,G189,FALSE)*L189</f>
        <v>#N/A</v>
      </c>
      <c r="K189" s="106" t="e">
        <f>HLOOKUP($H$4,'Met Data'!$O$2:$T$368,G189,FALSE)</f>
        <v>#N/A</v>
      </c>
      <c r="L189">
        <f t="shared" ca="1" si="20"/>
        <v>1</v>
      </c>
      <c r="N189" t="e">
        <f t="shared" ca="1" si="25"/>
        <v>#NAME?</v>
      </c>
      <c r="O189" t="e">
        <f t="shared" ca="1" si="21"/>
        <v>#NAME?</v>
      </c>
      <c r="P189" s="2" t="e">
        <f ca="1"/>
        <v>#NAME?</v>
      </c>
      <c r="Q189" t="e">
        <f ca="1"/>
        <v>#NAME?</v>
      </c>
      <c r="R189" t="e">
        <f ca="1"/>
        <v>#NAME?</v>
      </c>
      <c r="S189" t="e">
        <f ca="1"/>
        <v>#NAME?</v>
      </c>
      <c r="T189" t="e">
        <f ca="1"/>
        <v>#NAME?</v>
      </c>
      <c r="U189" t="e">
        <f ca="1"/>
        <v>#NAME?</v>
      </c>
      <c r="V189" t="e">
        <f ca="1"/>
        <v>#NAME?</v>
      </c>
      <c r="W189" t="e">
        <f ca="1"/>
        <v>#NAME?</v>
      </c>
      <c r="X189" t="e">
        <f ca="1"/>
        <v>#NAME?</v>
      </c>
      <c r="Y189" t="e">
        <f ca="1"/>
        <v>#NAME?</v>
      </c>
      <c r="Z189" t="e">
        <f ca="1"/>
        <v>#NAME?</v>
      </c>
      <c r="AA189" t="e">
        <f ca="1"/>
        <v>#NAME?</v>
      </c>
      <c r="AB189" t="e">
        <f ca="1"/>
        <v>#NAME?</v>
      </c>
      <c r="AD189" s="2">
        <f t="shared" ca="1" si="22"/>
        <v>0</v>
      </c>
      <c r="AE189" s="46">
        <f t="shared" ca="1" si="23"/>
        <v>0</v>
      </c>
      <c r="AG189" s="72" t="e">
        <f t="shared" ca="1" si="27"/>
        <v>#NAME?</v>
      </c>
      <c r="AH189" s="72" t="e">
        <f t="shared" ca="1" si="28"/>
        <v>#NAME?</v>
      </c>
      <c r="AI189" s="3" t="e">
        <f t="shared" ca="1" si="29"/>
        <v>#NAME?</v>
      </c>
    </row>
    <row r="190" spans="7:35" x14ac:dyDescent="0.25">
      <c r="G190" s="3">
        <f t="shared" ca="1" si="24"/>
        <v>171</v>
      </c>
      <c r="H190" s="105">
        <f t="shared" ca="1" si="26"/>
        <v>45096</v>
      </c>
      <c r="I190" s="132" t="e">
        <f>HLOOKUP($H$4,'Met Data'!$A$2:$F$368,G190,FALSE)</f>
        <v>#N/A</v>
      </c>
      <c r="J190" s="132" t="e">
        <f ca="1">HLOOKUP($H$4,'Met Data'!$H$2:$M$368,G190,FALSE)*L190</f>
        <v>#N/A</v>
      </c>
      <c r="K190" s="106" t="e">
        <f>HLOOKUP($H$4,'Met Data'!$O$2:$T$368,G190,FALSE)</f>
        <v>#N/A</v>
      </c>
      <c r="L190">
        <f t="shared" ca="1" si="20"/>
        <v>1</v>
      </c>
      <c r="N190" t="e">
        <f t="shared" ca="1" si="25"/>
        <v>#NAME?</v>
      </c>
      <c r="O190" t="e">
        <f t="shared" ca="1" si="21"/>
        <v>#NAME?</v>
      </c>
      <c r="P190" s="2" t="e">
        <f ca="1"/>
        <v>#NAME?</v>
      </c>
      <c r="Q190" t="e">
        <f ca="1"/>
        <v>#NAME?</v>
      </c>
      <c r="R190" t="e">
        <f ca="1"/>
        <v>#NAME?</v>
      </c>
      <c r="S190" t="e">
        <f ca="1"/>
        <v>#NAME?</v>
      </c>
      <c r="T190" t="e">
        <f ca="1"/>
        <v>#NAME?</v>
      </c>
      <c r="U190" t="e">
        <f ca="1"/>
        <v>#NAME?</v>
      </c>
      <c r="V190" t="e">
        <f ca="1"/>
        <v>#NAME?</v>
      </c>
      <c r="W190" t="e">
        <f ca="1"/>
        <v>#NAME?</v>
      </c>
      <c r="X190" t="e">
        <f ca="1"/>
        <v>#NAME?</v>
      </c>
      <c r="Y190" t="e">
        <f ca="1"/>
        <v>#NAME?</v>
      </c>
      <c r="Z190" t="e">
        <f ca="1"/>
        <v>#NAME?</v>
      </c>
      <c r="AA190" t="e">
        <f ca="1"/>
        <v>#NAME?</v>
      </c>
      <c r="AB190" t="e">
        <f ca="1"/>
        <v>#NAME?</v>
      </c>
      <c r="AD190" s="2">
        <f t="shared" ca="1" si="22"/>
        <v>0</v>
      </c>
      <c r="AE190" s="46">
        <f t="shared" ca="1" si="23"/>
        <v>0</v>
      </c>
      <c r="AG190" s="72" t="e">
        <f t="shared" ca="1" si="27"/>
        <v>#NAME?</v>
      </c>
      <c r="AH190" s="72" t="e">
        <f t="shared" ca="1" si="28"/>
        <v>#NAME?</v>
      </c>
      <c r="AI190" s="3" t="e">
        <f t="shared" ca="1" si="29"/>
        <v>#NAME?</v>
      </c>
    </row>
    <row r="191" spans="7:35" x14ac:dyDescent="0.25">
      <c r="G191" s="3">
        <f t="shared" ca="1" si="24"/>
        <v>172</v>
      </c>
      <c r="H191" s="105">
        <f t="shared" ca="1" si="26"/>
        <v>45097</v>
      </c>
      <c r="I191" s="132" t="e">
        <f>HLOOKUP($H$4,'Met Data'!$A$2:$F$368,G191,FALSE)</f>
        <v>#N/A</v>
      </c>
      <c r="J191" s="132" t="e">
        <f ca="1">HLOOKUP($H$4,'Met Data'!$H$2:$M$368,G191,FALSE)*L191</f>
        <v>#N/A</v>
      </c>
      <c r="K191" s="106" t="e">
        <f>HLOOKUP($H$4,'Met Data'!$O$2:$T$368,G191,FALSE)</f>
        <v>#N/A</v>
      </c>
      <c r="L191">
        <f t="shared" ca="1" si="20"/>
        <v>1</v>
      </c>
      <c r="N191" t="e">
        <f t="shared" ca="1" si="25"/>
        <v>#NAME?</v>
      </c>
      <c r="O191" t="e">
        <f t="shared" ca="1" si="21"/>
        <v>#NAME?</v>
      </c>
      <c r="P191" s="2" t="e">
        <f ca="1"/>
        <v>#NAME?</v>
      </c>
      <c r="Q191" t="e">
        <f ca="1"/>
        <v>#NAME?</v>
      </c>
      <c r="R191" t="e">
        <f ca="1"/>
        <v>#NAME?</v>
      </c>
      <c r="S191" t="e">
        <f ca="1"/>
        <v>#NAME?</v>
      </c>
      <c r="T191" t="e">
        <f ca="1"/>
        <v>#NAME?</v>
      </c>
      <c r="U191" t="e">
        <f ca="1"/>
        <v>#NAME?</v>
      </c>
      <c r="V191" t="e">
        <f ca="1"/>
        <v>#NAME?</v>
      </c>
      <c r="W191" t="e">
        <f ca="1"/>
        <v>#NAME?</v>
      </c>
      <c r="X191" t="e">
        <f ca="1"/>
        <v>#NAME?</v>
      </c>
      <c r="Y191" t="e">
        <f ca="1"/>
        <v>#NAME?</v>
      </c>
      <c r="Z191" t="e">
        <f ca="1"/>
        <v>#NAME?</v>
      </c>
      <c r="AA191" t="e">
        <f ca="1"/>
        <v>#NAME?</v>
      </c>
      <c r="AB191" t="e">
        <f ca="1"/>
        <v>#NAME?</v>
      </c>
      <c r="AD191" s="2">
        <f t="shared" ca="1" si="22"/>
        <v>0</v>
      </c>
      <c r="AE191" s="46">
        <f t="shared" ca="1" si="23"/>
        <v>0</v>
      </c>
      <c r="AG191" s="72" t="e">
        <f t="shared" ca="1" si="27"/>
        <v>#NAME?</v>
      </c>
      <c r="AH191" s="72" t="e">
        <f t="shared" ca="1" si="28"/>
        <v>#NAME?</v>
      </c>
      <c r="AI191" s="3" t="e">
        <f t="shared" ca="1" si="29"/>
        <v>#NAME?</v>
      </c>
    </row>
    <row r="192" spans="7:35" x14ac:dyDescent="0.25">
      <c r="G192" s="3">
        <f t="shared" ca="1" si="24"/>
        <v>173</v>
      </c>
      <c r="H192" s="105">
        <f t="shared" ca="1" si="26"/>
        <v>45098</v>
      </c>
      <c r="I192" s="132" t="e">
        <f>HLOOKUP($H$4,'Met Data'!$A$2:$F$368,G192,FALSE)</f>
        <v>#N/A</v>
      </c>
      <c r="J192" s="132" t="e">
        <f ca="1">HLOOKUP($H$4,'Met Data'!$H$2:$M$368,G192,FALSE)*L192</f>
        <v>#N/A</v>
      </c>
      <c r="K192" s="106" t="e">
        <f>HLOOKUP($H$4,'Met Data'!$O$2:$T$368,G192,FALSE)</f>
        <v>#N/A</v>
      </c>
      <c r="L192">
        <f t="shared" ca="1" si="20"/>
        <v>1</v>
      </c>
      <c r="N192" t="e">
        <f t="shared" ca="1" si="25"/>
        <v>#NAME?</v>
      </c>
      <c r="O192" t="e">
        <f t="shared" ca="1" si="21"/>
        <v>#NAME?</v>
      </c>
      <c r="P192" s="2" t="e">
        <f ca="1"/>
        <v>#NAME?</v>
      </c>
      <c r="Q192" t="e">
        <f ca="1"/>
        <v>#NAME?</v>
      </c>
      <c r="R192" t="e">
        <f ca="1"/>
        <v>#NAME?</v>
      </c>
      <c r="S192" t="e">
        <f ca="1"/>
        <v>#NAME?</v>
      </c>
      <c r="T192" t="e">
        <f ca="1"/>
        <v>#NAME?</v>
      </c>
      <c r="U192" t="e">
        <f ca="1"/>
        <v>#NAME?</v>
      </c>
      <c r="V192" t="e">
        <f ca="1"/>
        <v>#NAME?</v>
      </c>
      <c r="W192" t="e">
        <f ca="1"/>
        <v>#NAME?</v>
      </c>
      <c r="X192" t="e">
        <f ca="1"/>
        <v>#NAME?</v>
      </c>
      <c r="Y192" t="e">
        <f ca="1"/>
        <v>#NAME?</v>
      </c>
      <c r="Z192" t="e">
        <f ca="1"/>
        <v>#NAME?</v>
      </c>
      <c r="AA192" t="e">
        <f ca="1"/>
        <v>#NAME?</v>
      </c>
      <c r="AB192" t="e">
        <f ca="1"/>
        <v>#NAME?</v>
      </c>
      <c r="AD192" s="2">
        <f t="shared" ca="1" si="22"/>
        <v>0</v>
      </c>
      <c r="AE192" s="46">
        <f t="shared" ca="1" si="23"/>
        <v>0</v>
      </c>
      <c r="AG192" s="72" t="e">
        <f t="shared" ca="1" si="27"/>
        <v>#NAME?</v>
      </c>
      <c r="AH192" s="72" t="e">
        <f t="shared" ca="1" si="28"/>
        <v>#NAME?</v>
      </c>
      <c r="AI192" s="3" t="e">
        <f t="shared" ca="1" si="29"/>
        <v>#NAME?</v>
      </c>
    </row>
    <row r="193" spans="7:35" x14ac:dyDescent="0.25">
      <c r="G193" s="3">
        <f t="shared" ca="1" si="24"/>
        <v>174</v>
      </c>
      <c r="H193" s="105">
        <f t="shared" ca="1" si="26"/>
        <v>45099</v>
      </c>
      <c r="I193" s="132" t="e">
        <f>HLOOKUP($H$4,'Met Data'!$A$2:$F$368,G193,FALSE)</f>
        <v>#N/A</v>
      </c>
      <c r="J193" s="132" t="e">
        <f ca="1">HLOOKUP($H$4,'Met Data'!$H$2:$M$368,G193,FALSE)*L193</f>
        <v>#N/A</v>
      </c>
      <c r="K193" s="106" t="e">
        <f>HLOOKUP($H$4,'Met Data'!$O$2:$T$368,G193,FALSE)</f>
        <v>#N/A</v>
      </c>
      <c r="L193">
        <f t="shared" ca="1" si="20"/>
        <v>1</v>
      </c>
      <c r="N193" t="e">
        <f t="shared" ca="1" si="25"/>
        <v>#NAME?</v>
      </c>
      <c r="O193" t="e">
        <f t="shared" ca="1" si="21"/>
        <v>#NAME?</v>
      </c>
      <c r="P193" s="2" t="e">
        <f ca="1"/>
        <v>#NAME?</v>
      </c>
      <c r="Q193" t="e">
        <f ca="1"/>
        <v>#NAME?</v>
      </c>
      <c r="R193" t="e">
        <f ca="1"/>
        <v>#NAME?</v>
      </c>
      <c r="S193" t="e">
        <f ca="1"/>
        <v>#NAME?</v>
      </c>
      <c r="T193" t="e">
        <f ca="1"/>
        <v>#NAME?</v>
      </c>
      <c r="U193" t="e">
        <f ca="1"/>
        <v>#NAME?</v>
      </c>
      <c r="V193" t="e">
        <f ca="1"/>
        <v>#NAME?</v>
      </c>
      <c r="W193" t="e">
        <f ca="1"/>
        <v>#NAME?</v>
      </c>
      <c r="X193" t="e">
        <f ca="1"/>
        <v>#NAME?</v>
      </c>
      <c r="Y193" t="e">
        <f ca="1"/>
        <v>#NAME?</v>
      </c>
      <c r="Z193" t="e">
        <f ca="1"/>
        <v>#NAME?</v>
      </c>
      <c r="AA193" t="e">
        <f ca="1"/>
        <v>#NAME?</v>
      </c>
      <c r="AB193" t="e">
        <f ca="1"/>
        <v>#NAME?</v>
      </c>
      <c r="AD193" s="2">
        <f t="shared" ca="1" si="22"/>
        <v>0</v>
      </c>
      <c r="AE193" s="46">
        <f t="shared" ca="1" si="23"/>
        <v>0</v>
      </c>
      <c r="AG193" s="72" t="e">
        <f t="shared" ca="1" si="27"/>
        <v>#NAME?</v>
      </c>
      <c r="AH193" s="72" t="e">
        <f t="shared" ca="1" si="28"/>
        <v>#NAME?</v>
      </c>
      <c r="AI193" s="3" t="e">
        <f t="shared" ca="1" si="29"/>
        <v>#NAME?</v>
      </c>
    </row>
    <row r="194" spans="7:35" x14ac:dyDescent="0.25">
      <c r="G194" s="3">
        <f t="shared" ca="1" si="24"/>
        <v>175</v>
      </c>
      <c r="H194" s="105">
        <f t="shared" ca="1" si="26"/>
        <v>45100</v>
      </c>
      <c r="I194" s="132" t="e">
        <f>HLOOKUP($H$4,'Met Data'!$A$2:$F$368,G194,FALSE)</f>
        <v>#N/A</v>
      </c>
      <c r="J194" s="132" t="e">
        <f ca="1">HLOOKUP($H$4,'Met Data'!$H$2:$M$368,G194,FALSE)*L194</f>
        <v>#N/A</v>
      </c>
      <c r="K194" s="106" t="e">
        <f>HLOOKUP($H$4,'Met Data'!$O$2:$T$368,G194,FALSE)</f>
        <v>#N/A</v>
      </c>
      <c r="L194">
        <f t="shared" ca="1" si="20"/>
        <v>1</v>
      </c>
      <c r="N194" t="e">
        <f t="shared" ca="1" si="25"/>
        <v>#NAME?</v>
      </c>
      <c r="O194" t="e">
        <f t="shared" ca="1" si="21"/>
        <v>#NAME?</v>
      </c>
      <c r="P194" s="2" t="e">
        <f ca="1"/>
        <v>#NAME?</v>
      </c>
      <c r="Q194" t="e">
        <f ca="1"/>
        <v>#NAME?</v>
      </c>
      <c r="R194" t="e">
        <f ca="1"/>
        <v>#NAME?</v>
      </c>
      <c r="S194" t="e">
        <f ca="1"/>
        <v>#NAME?</v>
      </c>
      <c r="T194" t="e">
        <f ca="1"/>
        <v>#NAME?</v>
      </c>
      <c r="U194" t="e">
        <f ca="1"/>
        <v>#NAME?</v>
      </c>
      <c r="V194" t="e">
        <f ca="1"/>
        <v>#NAME?</v>
      </c>
      <c r="W194" t="e">
        <f ca="1"/>
        <v>#NAME?</v>
      </c>
      <c r="X194" t="e">
        <f ca="1"/>
        <v>#NAME?</v>
      </c>
      <c r="Y194" t="e">
        <f ca="1"/>
        <v>#NAME?</v>
      </c>
      <c r="Z194" t="e">
        <f ca="1"/>
        <v>#NAME?</v>
      </c>
      <c r="AA194" t="e">
        <f ca="1"/>
        <v>#NAME?</v>
      </c>
      <c r="AB194" t="e">
        <f ca="1"/>
        <v>#NAME?</v>
      </c>
      <c r="AD194" s="2">
        <f t="shared" ca="1" si="22"/>
        <v>0</v>
      </c>
      <c r="AE194" s="46">
        <f t="shared" ca="1" si="23"/>
        <v>0</v>
      </c>
      <c r="AG194" s="72" t="e">
        <f t="shared" ca="1" si="27"/>
        <v>#NAME?</v>
      </c>
      <c r="AH194" s="72" t="e">
        <f t="shared" ca="1" si="28"/>
        <v>#NAME?</v>
      </c>
      <c r="AI194" s="3" t="e">
        <f t="shared" ca="1" si="29"/>
        <v>#NAME?</v>
      </c>
    </row>
    <row r="195" spans="7:35" x14ac:dyDescent="0.25">
      <c r="G195" s="3">
        <f t="shared" ca="1" si="24"/>
        <v>176</v>
      </c>
      <c r="H195" s="105">
        <f t="shared" ca="1" si="26"/>
        <v>45101</v>
      </c>
      <c r="I195" s="132" t="e">
        <f>HLOOKUP($H$4,'Met Data'!$A$2:$F$368,G195,FALSE)</f>
        <v>#N/A</v>
      </c>
      <c r="J195" s="132" t="e">
        <f ca="1">HLOOKUP($H$4,'Met Data'!$H$2:$M$368,G195,FALSE)*L195</f>
        <v>#N/A</v>
      </c>
      <c r="K195" s="106" t="e">
        <f>HLOOKUP($H$4,'Met Data'!$O$2:$T$368,G195,FALSE)</f>
        <v>#N/A</v>
      </c>
      <c r="L195">
        <f t="shared" ca="1" si="20"/>
        <v>1</v>
      </c>
      <c r="N195" t="e">
        <f t="shared" ca="1" si="25"/>
        <v>#NAME?</v>
      </c>
      <c r="O195" t="e">
        <f t="shared" ca="1" si="21"/>
        <v>#NAME?</v>
      </c>
      <c r="P195" s="2" t="e">
        <f ca="1"/>
        <v>#NAME?</v>
      </c>
      <c r="Q195" t="e">
        <f ca="1"/>
        <v>#NAME?</v>
      </c>
      <c r="R195" t="e">
        <f ca="1"/>
        <v>#NAME?</v>
      </c>
      <c r="S195" t="e">
        <f ca="1"/>
        <v>#NAME?</v>
      </c>
      <c r="T195" t="e">
        <f ca="1"/>
        <v>#NAME?</v>
      </c>
      <c r="U195" t="e">
        <f ca="1"/>
        <v>#NAME?</v>
      </c>
      <c r="V195" t="e">
        <f ca="1"/>
        <v>#NAME?</v>
      </c>
      <c r="W195" t="e">
        <f ca="1"/>
        <v>#NAME?</v>
      </c>
      <c r="X195" t="e">
        <f ca="1"/>
        <v>#NAME?</v>
      </c>
      <c r="Y195" t="e">
        <f ca="1"/>
        <v>#NAME?</v>
      </c>
      <c r="Z195" t="e">
        <f ca="1"/>
        <v>#NAME?</v>
      </c>
      <c r="AA195" t="e">
        <f ca="1"/>
        <v>#NAME?</v>
      </c>
      <c r="AB195" t="e">
        <f ca="1"/>
        <v>#NAME?</v>
      </c>
      <c r="AD195" s="2">
        <f t="shared" ca="1" si="22"/>
        <v>0</v>
      </c>
      <c r="AE195" s="46">
        <f t="shared" ca="1" si="23"/>
        <v>0</v>
      </c>
      <c r="AG195" s="72" t="e">
        <f t="shared" ca="1" si="27"/>
        <v>#NAME?</v>
      </c>
      <c r="AH195" s="72" t="e">
        <f t="shared" ca="1" si="28"/>
        <v>#NAME?</v>
      </c>
      <c r="AI195" s="3" t="e">
        <f t="shared" ca="1" si="29"/>
        <v>#NAME?</v>
      </c>
    </row>
    <row r="196" spans="7:35" x14ac:dyDescent="0.25">
      <c r="G196" s="3">
        <f t="shared" ca="1" si="24"/>
        <v>177</v>
      </c>
      <c r="H196" s="105">
        <f t="shared" ca="1" si="26"/>
        <v>45102</v>
      </c>
      <c r="I196" s="132" t="e">
        <f>HLOOKUP($H$4,'Met Data'!$A$2:$F$368,G196,FALSE)</f>
        <v>#N/A</v>
      </c>
      <c r="J196" s="132" t="e">
        <f ca="1">HLOOKUP($H$4,'Met Data'!$H$2:$M$368,G196,FALSE)*L196</f>
        <v>#N/A</v>
      </c>
      <c r="K196" s="106" t="e">
        <f>HLOOKUP($H$4,'Met Data'!$O$2:$T$368,G196,FALSE)</f>
        <v>#N/A</v>
      </c>
      <c r="L196">
        <f t="shared" ca="1" si="20"/>
        <v>1</v>
      </c>
      <c r="N196" t="e">
        <f t="shared" ca="1" si="25"/>
        <v>#NAME?</v>
      </c>
      <c r="O196" t="e">
        <f t="shared" ca="1" si="21"/>
        <v>#NAME?</v>
      </c>
      <c r="P196" s="2" t="e">
        <f ca="1"/>
        <v>#NAME?</v>
      </c>
      <c r="Q196" t="e">
        <f ca="1"/>
        <v>#NAME?</v>
      </c>
      <c r="R196" t="e">
        <f ca="1"/>
        <v>#NAME?</v>
      </c>
      <c r="S196" t="e">
        <f ca="1"/>
        <v>#NAME?</v>
      </c>
      <c r="T196" t="e">
        <f ca="1"/>
        <v>#NAME?</v>
      </c>
      <c r="U196" t="e">
        <f ca="1"/>
        <v>#NAME?</v>
      </c>
      <c r="V196" t="e">
        <f ca="1"/>
        <v>#NAME?</v>
      </c>
      <c r="W196" t="e">
        <f ca="1"/>
        <v>#NAME?</v>
      </c>
      <c r="X196" t="e">
        <f ca="1"/>
        <v>#NAME?</v>
      </c>
      <c r="Y196" t="e">
        <f ca="1"/>
        <v>#NAME?</v>
      </c>
      <c r="Z196" t="e">
        <f ca="1"/>
        <v>#NAME?</v>
      </c>
      <c r="AA196" t="e">
        <f ca="1"/>
        <v>#NAME?</v>
      </c>
      <c r="AB196" t="e">
        <f ca="1"/>
        <v>#NAME?</v>
      </c>
      <c r="AD196" s="2">
        <f t="shared" ca="1" si="22"/>
        <v>0</v>
      </c>
      <c r="AE196" s="46">
        <f t="shared" ca="1" si="23"/>
        <v>0</v>
      </c>
      <c r="AG196" s="72" t="e">
        <f t="shared" ca="1" si="27"/>
        <v>#NAME?</v>
      </c>
      <c r="AH196" s="72" t="e">
        <f t="shared" ca="1" si="28"/>
        <v>#NAME?</v>
      </c>
      <c r="AI196" s="3" t="e">
        <f t="shared" ca="1" si="29"/>
        <v>#NAME?</v>
      </c>
    </row>
    <row r="197" spans="7:35" x14ac:dyDescent="0.25">
      <c r="G197" s="3">
        <f t="shared" ca="1" si="24"/>
        <v>178</v>
      </c>
      <c r="H197" s="105">
        <f t="shared" ca="1" si="26"/>
        <v>45103</v>
      </c>
      <c r="I197" s="132" t="e">
        <f>HLOOKUP($H$4,'Met Data'!$A$2:$F$368,G197,FALSE)</f>
        <v>#N/A</v>
      </c>
      <c r="J197" s="132" t="e">
        <f ca="1">HLOOKUP($H$4,'Met Data'!$H$2:$M$368,G197,FALSE)*L197</f>
        <v>#N/A</v>
      </c>
      <c r="K197" s="106" t="e">
        <f>HLOOKUP($H$4,'Met Data'!$O$2:$T$368,G197,FALSE)</f>
        <v>#N/A</v>
      </c>
      <c r="L197">
        <f t="shared" ca="1" si="20"/>
        <v>1</v>
      </c>
      <c r="N197" t="e">
        <f t="shared" ca="1" si="25"/>
        <v>#NAME?</v>
      </c>
      <c r="O197" t="e">
        <f t="shared" ca="1" si="21"/>
        <v>#NAME?</v>
      </c>
      <c r="P197" s="2" t="e">
        <f ca="1"/>
        <v>#NAME?</v>
      </c>
      <c r="Q197" t="e">
        <f ca="1"/>
        <v>#NAME?</v>
      </c>
      <c r="R197" t="e">
        <f ca="1"/>
        <v>#NAME?</v>
      </c>
      <c r="S197" t="e">
        <f ca="1"/>
        <v>#NAME?</v>
      </c>
      <c r="T197" t="e">
        <f ca="1"/>
        <v>#NAME?</v>
      </c>
      <c r="U197" t="e">
        <f ca="1"/>
        <v>#NAME?</v>
      </c>
      <c r="V197" t="e">
        <f ca="1"/>
        <v>#NAME?</v>
      </c>
      <c r="W197" t="e">
        <f ca="1"/>
        <v>#NAME?</v>
      </c>
      <c r="X197" t="e">
        <f ca="1"/>
        <v>#NAME?</v>
      </c>
      <c r="Y197" t="e">
        <f ca="1"/>
        <v>#NAME?</v>
      </c>
      <c r="Z197" t="e">
        <f ca="1"/>
        <v>#NAME?</v>
      </c>
      <c r="AA197" t="e">
        <f ca="1"/>
        <v>#NAME?</v>
      </c>
      <c r="AB197" t="e">
        <f ca="1"/>
        <v>#NAME?</v>
      </c>
      <c r="AD197" s="2">
        <f t="shared" ca="1" si="22"/>
        <v>0</v>
      </c>
      <c r="AE197" s="46">
        <f t="shared" ca="1" si="23"/>
        <v>0</v>
      </c>
      <c r="AG197" s="72" t="e">
        <f t="shared" ca="1" si="27"/>
        <v>#NAME?</v>
      </c>
      <c r="AH197" s="72" t="e">
        <f t="shared" ca="1" si="28"/>
        <v>#NAME?</v>
      </c>
      <c r="AI197" s="3" t="e">
        <f t="shared" ca="1" si="29"/>
        <v>#NAME?</v>
      </c>
    </row>
    <row r="198" spans="7:35" x14ac:dyDescent="0.25">
      <c r="G198" s="3">
        <f t="shared" ca="1" si="24"/>
        <v>179</v>
      </c>
      <c r="H198" s="105">
        <f t="shared" ca="1" si="26"/>
        <v>45104</v>
      </c>
      <c r="I198" s="132" t="e">
        <f>HLOOKUP($H$4,'Met Data'!$A$2:$F$368,G198,FALSE)</f>
        <v>#N/A</v>
      </c>
      <c r="J198" s="132" t="e">
        <f ca="1">HLOOKUP($H$4,'Met Data'!$H$2:$M$368,G198,FALSE)*L198</f>
        <v>#N/A</v>
      </c>
      <c r="K198" s="106" t="e">
        <f>HLOOKUP($H$4,'Met Data'!$O$2:$T$368,G198,FALSE)</f>
        <v>#N/A</v>
      </c>
      <c r="L198">
        <f t="shared" ref="L198:L261" ca="1" si="30">IF(H198&lt;$B$31,$J$3,$J$4)</f>
        <v>1</v>
      </c>
      <c r="N198" t="e">
        <f t="shared" ca="1" si="25"/>
        <v>#NAME?</v>
      </c>
      <c r="O198" t="e">
        <f t="shared" ref="O198:O261" ca="1" si="31">AND(IF(P198&gt;($P$2-1),TRUE,FALSE),IF(P198&lt;($P$3+1),TRUE,FALSE))</f>
        <v>#NAME?</v>
      </c>
      <c r="P198" s="2" t="e">
        <f ca="1"/>
        <v>#NAME?</v>
      </c>
      <c r="Q198" t="e">
        <f ca="1"/>
        <v>#NAME?</v>
      </c>
      <c r="R198" t="e">
        <f ca="1"/>
        <v>#NAME?</v>
      </c>
      <c r="S198" t="e">
        <f ca="1"/>
        <v>#NAME?</v>
      </c>
      <c r="T198" t="e">
        <f ca="1"/>
        <v>#NAME?</v>
      </c>
      <c r="U198" t="e">
        <f ca="1"/>
        <v>#NAME?</v>
      </c>
      <c r="V198" t="e">
        <f ca="1"/>
        <v>#NAME?</v>
      </c>
      <c r="W198" t="e">
        <f ca="1"/>
        <v>#NAME?</v>
      </c>
      <c r="X198" t="e">
        <f ca="1"/>
        <v>#NAME?</v>
      </c>
      <c r="Y198" t="e">
        <f ca="1"/>
        <v>#NAME?</v>
      </c>
      <c r="Z198" t="e">
        <f ca="1"/>
        <v>#NAME?</v>
      </c>
      <c r="AA198" t="e">
        <f ca="1"/>
        <v>#NAME?</v>
      </c>
      <c r="AB198" t="e">
        <f ca="1"/>
        <v>#NAME?</v>
      </c>
      <c r="AD198" s="2">
        <f t="shared" ref="AD198:AD261" ca="1" si="32">IFERROR(P198,$AD$4)</f>
        <v>0</v>
      </c>
      <c r="AE198" s="46">
        <f t="shared" ref="AE198:AE261" ca="1" si="33">IFERROR(U198,0)</f>
        <v>0</v>
      </c>
      <c r="AG198" s="72" t="e">
        <f t="shared" ca="1" si="27"/>
        <v>#NAME?</v>
      </c>
      <c r="AH198" s="72" t="e">
        <f t="shared" ca="1" si="28"/>
        <v>#NAME?</v>
      </c>
      <c r="AI198" s="3" t="e">
        <f t="shared" ca="1" si="29"/>
        <v>#NAME?</v>
      </c>
    </row>
    <row r="199" spans="7:35" x14ac:dyDescent="0.25">
      <c r="G199" s="3">
        <f t="shared" ref="G199:G262" ca="1" si="34">H199-DATE(YEAR(H199),1,0)+1</f>
        <v>180</v>
      </c>
      <c r="H199" s="105">
        <f t="shared" ca="1" si="26"/>
        <v>45105</v>
      </c>
      <c r="I199" s="132" t="e">
        <f>HLOOKUP($H$4,'Met Data'!$A$2:$F$368,G199,FALSE)</f>
        <v>#N/A</v>
      </c>
      <c r="J199" s="132" t="e">
        <f ca="1">HLOOKUP($H$4,'Met Data'!$H$2:$M$368,G199,FALSE)*L199</f>
        <v>#N/A</v>
      </c>
      <c r="K199" s="106" t="e">
        <f>HLOOKUP($H$4,'Met Data'!$O$2:$T$368,G199,FALSE)</f>
        <v>#N/A</v>
      </c>
      <c r="L199">
        <f t="shared" ca="1" si="30"/>
        <v>1</v>
      </c>
      <c r="N199" t="e">
        <f t="shared" ref="N199:N262" ca="1" si="35">IF(P199&lt;$P$3,TRUE,FALSE)</f>
        <v>#NAME?</v>
      </c>
      <c r="O199" t="e">
        <f t="shared" ca="1" si="31"/>
        <v>#NAME?</v>
      </c>
      <c r="P199" s="2" t="e">
        <f ca="1"/>
        <v>#NAME?</v>
      </c>
      <c r="Q199" t="e">
        <f ca="1"/>
        <v>#NAME?</v>
      </c>
      <c r="R199" t="e">
        <f ca="1"/>
        <v>#NAME?</v>
      </c>
      <c r="S199" t="e">
        <f ca="1"/>
        <v>#NAME?</v>
      </c>
      <c r="T199" t="e">
        <f ca="1"/>
        <v>#NAME?</v>
      </c>
      <c r="U199" t="e">
        <f ca="1"/>
        <v>#NAME?</v>
      </c>
      <c r="V199" t="e">
        <f ca="1"/>
        <v>#NAME?</v>
      </c>
      <c r="W199" t="e">
        <f ca="1"/>
        <v>#NAME?</v>
      </c>
      <c r="X199" t="e">
        <f ca="1"/>
        <v>#NAME?</v>
      </c>
      <c r="Y199" t="e">
        <f ca="1"/>
        <v>#NAME?</v>
      </c>
      <c r="Z199" t="e">
        <f ca="1"/>
        <v>#NAME?</v>
      </c>
      <c r="AA199" t="e">
        <f ca="1"/>
        <v>#NAME?</v>
      </c>
      <c r="AB199" t="e">
        <f ca="1"/>
        <v>#NAME?</v>
      </c>
      <c r="AD199" s="2">
        <f t="shared" ca="1" si="32"/>
        <v>0</v>
      </c>
      <c r="AE199" s="46">
        <f t="shared" ca="1" si="33"/>
        <v>0</v>
      </c>
      <c r="AG199" s="72" t="e">
        <f t="shared" ca="1" si="27"/>
        <v>#NAME?</v>
      </c>
      <c r="AH199" s="72" t="e">
        <f t="shared" ca="1" si="28"/>
        <v>#NAME?</v>
      </c>
      <c r="AI199" s="3" t="e">
        <f t="shared" ca="1" si="29"/>
        <v>#NAME?</v>
      </c>
    </row>
    <row r="200" spans="7:35" x14ac:dyDescent="0.25">
      <c r="G200" s="3">
        <f t="shared" ca="1" si="34"/>
        <v>181</v>
      </c>
      <c r="H200" s="105">
        <f t="shared" ref="H200:H263" ca="1" si="36">H199+1</f>
        <v>45106</v>
      </c>
      <c r="I200" s="132" t="e">
        <f>HLOOKUP($H$4,'Met Data'!$A$2:$F$368,G200,FALSE)</f>
        <v>#N/A</v>
      </c>
      <c r="J200" s="132" t="e">
        <f ca="1">HLOOKUP($H$4,'Met Data'!$H$2:$M$368,G200,FALSE)*L200</f>
        <v>#N/A</v>
      </c>
      <c r="K200" s="106" t="e">
        <f>HLOOKUP($H$4,'Met Data'!$O$2:$T$368,G200,FALSE)</f>
        <v>#N/A</v>
      </c>
      <c r="L200">
        <f t="shared" ca="1" si="30"/>
        <v>1</v>
      </c>
      <c r="N200" t="e">
        <f t="shared" ca="1" si="35"/>
        <v>#NAME?</v>
      </c>
      <c r="O200" t="e">
        <f t="shared" ca="1" si="31"/>
        <v>#NAME?</v>
      </c>
      <c r="P200" s="2" t="e">
        <f ca="1"/>
        <v>#NAME?</v>
      </c>
      <c r="Q200" t="e">
        <f ca="1"/>
        <v>#NAME?</v>
      </c>
      <c r="R200" t="e">
        <f ca="1"/>
        <v>#NAME?</v>
      </c>
      <c r="S200" t="e">
        <f ca="1"/>
        <v>#NAME?</v>
      </c>
      <c r="T200" t="e">
        <f ca="1"/>
        <v>#NAME?</v>
      </c>
      <c r="U200" t="e">
        <f ca="1"/>
        <v>#NAME?</v>
      </c>
      <c r="V200" t="e">
        <f ca="1"/>
        <v>#NAME?</v>
      </c>
      <c r="W200" t="e">
        <f ca="1"/>
        <v>#NAME?</v>
      </c>
      <c r="X200" t="e">
        <f ca="1"/>
        <v>#NAME?</v>
      </c>
      <c r="Y200" t="e">
        <f ca="1"/>
        <v>#NAME?</v>
      </c>
      <c r="Z200" t="e">
        <f ca="1"/>
        <v>#NAME?</v>
      </c>
      <c r="AA200" t="e">
        <f ca="1"/>
        <v>#NAME?</v>
      </c>
      <c r="AB200" t="e">
        <f ca="1"/>
        <v>#NAME?</v>
      </c>
      <c r="AD200" s="2">
        <f t="shared" ca="1" si="32"/>
        <v>0</v>
      </c>
      <c r="AE200" s="46">
        <f t="shared" ca="1" si="33"/>
        <v>0</v>
      </c>
      <c r="AG200" s="72" t="e">
        <f ca="1">Q199+S200+T200+U200</f>
        <v>#NAME?</v>
      </c>
      <c r="AH200" s="72" t="e">
        <f ca="1">Q200+R200+X200</f>
        <v>#NAME?</v>
      </c>
      <c r="AI200" s="3" t="e">
        <f ca="1">AH200-AG200</f>
        <v>#NAME?</v>
      </c>
    </row>
    <row r="201" spans="7:35" x14ac:dyDescent="0.25">
      <c r="G201" s="3">
        <f t="shared" ca="1" si="34"/>
        <v>182</v>
      </c>
      <c r="H201" s="105">
        <f t="shared" ca="1" si="36"/>
        <v>45107</v>
      </c>
      <c r="I201" s="132" t="e">
        <f>HLOOKUP($H$4,'Met Data'!$A$2:$F$368,G201,FALSE)</f>
        <v>#N/A</v>
      </c>
      <c r="J201" s="132" t="e">
        <f ca="1">HLOOKUP($H$4,'Met Data'!$H$2:$M$368,G201,FALSE)*L201</f>
        <v>#N/A</v>
      </c>
      <c r="K201" s="106" t="e">
        <f>HLOOKUP($H$4,'Met Data'!$O$2:$T$368,G201,FALSE)</f>
        <v>#N/A</v>
      </c>
      <c r="L201">
        <f t="shared" ca="1" si="30"/>
        <v>1</v>
      </c>
      <c r="N201" t="e">
        <f t="shared" ca="1" si="35"/>
        <v>#NAME?</v>
      </c>
      <c r="O201" t="e">
        <f t="shared" ca="1" si="31"/>
        <v>#NAME?</v>
      </c>
      <c r="P201" s="2" t="e">
        <f ca="1"/>
        <v>#NAME?</v>
      </c>
      <c r="Q201" t="e">
        <f ca="1"/>
        <v>#NAME?</v>
      </c>
      <c r="R201" t="e">
        <f ca="1"/>
        <v>#NAME?</v>
      </c>
      <c r="S201" t="e">
        <f ca="1"/>
        <v>#NAME?</v>
      </c>
      <c r="T201" t="e">
        <f ca="1"/>
        <v>#NAME?</v>
      </c>
      <c r="U201" t="e">
        <f ca="1"/>
        <v>#NAME?</v>
      </c>
      <c r="V201" t="e">
        <f ca="1"/>
        <v>#NAME?</v>
      </c>
      <c r="W201" t="e">
        <f ca="1"/>
        <v>#NAME?</v>
      </c>
      <c r="X201" t="e">
        <f ca="1"/>
        <v>#NAME?</v>
      </c>
      <c r="Y201" t="e">
        <f ca="1"/>
        <v>#NAME?</v>
      </c>
      <c r="Z201" t="e">
        <f ca="1"/>
        <v>#NAME?</v>
      </c>
      <c r="AA201" t="e">
        <f ca="1"/>
        <v>#NAME?</v>
      </c>
      <c r="AB201" t="e">
        <f ca="1"/>
        <v>#NAME?</v>
      </c>
      <c r="AD201" s="2">
        <f t="shared" ca="1" si="32"/>
        <v>0</v>
      </c>
      <c r="AE201" s="46">
        <f t="shared" ca="1" si="33"/>
        <v>0</v>
      </c>
      <c r="AG201" s="72" t="e">
        <f ca="1">Q200+S201+T201+U201</f>
        <v>#NAME?</v>
      </c>
      <c r="AH201" s="72" t="e">
        <f ca="1">Q201+R201+X201</f>
        <v>#NAME?</v>
      </c>
      <c r="AI201" s="3" t="e">
        <f ca="1">AH201-AG201</f>
        <v>#NAME?</v>
      </c>
    </row>
    <row r="202" spans="7:35" x14ac:dyDescent="0.25">
      <c r="G202" s="3">
        <f t="shared" ca="1" si="34"/>
        <v>183</v>
      </c>
      <c r="H202" s="105">
        <f t="shared" ca="1" si="36"/>
        <v>45108</v>
      </c>
      <c r="I202" s="132" t="e">
        <f>HLOOKUP($H$4,'Met Data'!$A$2:$F$368,G202,FALSE)</f>
        <v>#N/A</v>
      </c>
      <c r="J202" s="132" t="e">
        <f ca="1">HLOOKUP($H$4,'Met Data'!$H$2:$M$368,G202,FALSE)*L202</f>
        <v>#N/A</v>
      </c>
      <c r="K202" s="106" t="e">
        <f>HLOOKUP($H$4,'Met Data'!$O$2:$T$368,G202,FALSE)</f>
        <v>#N/A</v>
      </c>
      <c r="L202">
        <f t="shared" ca="1" si="30"/>
        <v>1</v>
      </c>
      <c r="N202" t="e">
        <f t="shared" ca="1" si="35"/>
        <v>#NAME?</v>
      </c>
      <c r="O202" t="e">
        <f t="shared" ca="1" si="31"/>
        <v>#NAME?</v>
      </c>
      <c r="P202" s="2" t="e">
        <f ca="1"/>
        <v>#NAME?</v>
      </c>
      <c r="Q202" t="e">
        <f ca="1"/>
        <v>#NAME?</v>
      </c>
      <c r="R202" t="e">
        <f ca="1"/>
        <v>#NAME?</v>
      </c>
      <c r="S202" t="e">
        <f ca="1"/>
        <v>#NAME?</v>
      </c>
      <c r="T202" t="e">
        <f ca="1"/>
        <v>#NAME?</v>
      </c>
      <c r="U202" t="e">
        <f ca="1"/>
        <v>#NAME?</v>
      </c>
      <c r="V202" t="e">
        <f ca="1"/>
        <v>#NAME?</v>
      </c>
      <c r="W202" t="e">
        <f ca="1"/>
        <v>#NAME?</v>
      </c>
      <c r="X202" t="e">
        <f ca="1"/>
        <v>#NAME?</v>
      </c>
      <c r="Y202" t="e">
        <f ca="1"/>
        <v>#NAME?</v>
      </c>
      <c r="Z202" t="e">
        <f ca="1"/>
        <v>#NAME?</v>
      </c>
      <c r="AA202" t="e">
        <f ca="1"/>
        <v>#NAME?</v>
      </c>
      <c r="AB202" t="e">
        <f ca="1"/>
        <v>#NAME?</v>
      </c>
      <c r="AD202" s="2">
        <f t="shared" ca="1" si="32"/>
        <v>0</v>
      </c>
      <c r="AE202" s="46">
        <f t="shared" ca="1" si="33"/>
        <v>0</v>
      </c>
      <c r="AG202" s="72" t="e">
        <f ca="1">Q201+S202+T202+U202</f>
        <v>#NAME?</v>
      </c>
      <c r="AH202" s="72" t="e">
        <f ca="1">Q202+R202+X202</f>
        <v>#NAME?</v>
      </c>
      <c r="AI202" s="3" t="e">
        <f ca="1">AH202-AG202</f>
        <v>#NAME?</v>
      </c>
    </row>
    <row r="203" spans="7:35" x14ac:dyDescent="0.25">
      <c r="G203" s="3">
        <f t="shared" ca="1" si="34"/>
        <v>184</v>
      </c>
      <c r="H203" s="105">
        <f t="shared" ca="1" si="36"/>
        <v>45109</v>
      </c>
      <c r="I203" s="132" t="e">
        <f>HLOOKUP($H$4,'Met Data'!$A$2:$F$368,G203,FALSE)</f>
        <v>#N/A</v>
      </c>
      <c r="J203" s="132" t="e">
        <f ca="1">HLOOKUP($H$4,'Met Data'!$H$2:$M$368,G203,FALSE)*L203</f>
        <v>#N/A</v>
      </c>
      <c r="K203" s="106" t="e">
        <f>HLOOKUP($H$4,'Met Data'!$O$2:$T$368,G203,FALSE)</f>
        <v>#N/A</v>
      </c>
      <c r="L203">
        <f t="shared" ca="1" si="30"/>
        <v>1</v>
      </c>
      <c r="N203" t="e">
        <f t="shared" ca="1" si="35"/>
        <v>#NAME?</v>
      </c>
      <c r="O203" t="e">
        <f t="shared" ca="1" si="31"/>
        <v>#NAME?</v>
      </c>
      <c r="P203" s="2" t="e">
        <f ca="1"/>
        <v>#NAME?</v>
      </c>
      <c r="Q203" t="e">
        <f ca="1"/>
        <v>#NAME?</v>
      </c>
      <c r="R203" t="e">
        <f ca="1"/>
        <v>#NAME?</v>
      </c>
      <c r="S203" t="e">
        <f ca="1"/>
        <v>#NAME?</v>
      </c>
      <c r="T203" t="e">
        <f ca="1"/>
        <v>#NAME?</v>
      </c>
      <c r="U203" t="e">
        <f ca="1"/>
        <v>#NAME?</v>
      </c>
      <c r="V203" t="e">
        <f ca="1"/>
        <v>#NAME?</v>
      </c>
      <c r="W203" t="e">
        <f ca="1"/>
        <v>#NAME?</v>
      </c>
      <c r="X203" t="e">
        <f ca="1"/>
        <v>#NAME?</v>
      </c>
      <c r="Y203" t="e">
        <f ca="1"/>
        <v>#NAME?</v>
      </c>
      <c r="Z203" t="e">
        <f ca="1"/>
        <v>#NAME?</v>
      </c>
      <c r="AA203" t="e">
        <f ca="1"/>
        <v>#NAME?</v>
      </c>
      <c r="AB203" t="e">
        <f ca="1"/>
        <v>#NAME?</v>
      </c>
      <c r="AD203" s="2">
        <f t="shared" ca="1" si="32"/>
        <v>0</v>
      </c>
      <c r="AE203" s="46">
        <f t="shared" ca="1" si="33"/>
        <v>0</v>
      </c>
      <c r="AG203" s="72" t="e">
        <f t="shared" ref="AG203:AG266" ca="1" si="37">Q202+S203+T203+U203</f>
        <v>#NAME?</v>
      </c>
      <c r="AH203" s="72" t="e">
        <f t="shared" ref="AH203:AH266" ca="1" si="38">Q203+R203+X203</f>
        <v>#NAME?</v>
      </c>
      <c r="AI203" s="3" t="e">
        <f t="shared" ref="AI203:AI266" ca="1" si="39">AH203-AG203</f>
        <v>#NAME?</v>
      </c>
    </row>
    <row r="204" spans="7:35" x14ac:dyDescent="0.25">
      <c r="G204" s="3">
        <f t="shared" ca="1" si="34"/>
        <v>185</v>
      </c>
      <c r="H204" s="105">
        <f t="shared" ca="1" si="36"/>
        <v>45110</v>
      </c>
      <c r="I204" s="132" t="e">
        <f>HLOOKUP($H$4,'Met Data'!$A$2:$F$368,G204,FALSE)</f>
        <v>#N/A</v>
      </c>
      <c r="J204" s="132" t="e">
        <f ca="1">HLOOKUP($H$4,'Met Data'!$H$2:$M$368,G204,FALSE)*L204</f>
        <v>#N/A</v>
      </c>
      <c r="K204" s="106" t="e">
        <f>HLOOKUP($H$4,'Met Data'!$O$2:$T$368,G204,FALSE)</f>
        <v>#N/A</v>
      </c>
      <c r="L204">
        <f t="shared" ca="1" si="30"/>
        <v>1</v>
      </c>
      <c r="N204" t="e">
        <f t="shared" ca="1" si="35"/>
        <v>#NAME?</v>
      </c>
      <c r="O204" t="e">
        <f t="shared" ca="1" si="31"/>
        <v>#NAME?</v>
      </c>
      <c r="P204" s="2" t="e">
        <f ca="1"/>
        <v>#NAME?</v>
      </c>
      <c r="Q204" t="e">
        <f ca="1"/>
        <v>#NAME?</v>
      </c>
      <c r="R204" t="e">
        <f ca="1"/>
        <v>#NAME?</v>
      </c>
      <c r="S204" t="e">
        <f ca="1"/>
        <v>#NAME?</v>
      </c>
      <c r="T204" t="e">
        <f ca="1"/>
        <v>#NAME?</v>
      </c>
      <c r="U204" t="e">
        <f ca="1"/>
        <v>#NAME?</v>
      </c>
      <c r="V204" t="e">
        <f ca="1"/>
        <v>#NAME?</v>
      </c>
      <c r="W204" t="e">
        <f ca="1"/>
        <v>#NAME?</v>
      </c>
      <c r="X204" t="e">
        <f ca="1"/>
        <v>#NAME?</v>
      </c>
      <c r="Y204" t="e">
        <f ca="1"/>
        <v>#NAME?</v>
      </c>
      <c r="Z204" t="e">
        <f ca="1"/>
        <v>#NAME?</v>
      </c>
      <c r="AA204" t="e">
        <f ca="1"/>
        <v>#NAME?</v>
      </c>
      <c r="AB204" t="e">
        <f ca="1"/>
        <v>#NAME?</v>
      </c>
      <c r="AD204" s="2">
        <f t="shared" ca="1" si="32"/>
        <v>0</v>
      </c>
      <c r="AE204" s="46">
        <f t="shared" ca="1" si="33"/>
        <v>0</v>
      </c>
      <c r="AG204" s="72" t="e">
        <f t="shared" ca="1" si="37"/>
        <v>#NAME?</v>
      </c>
      <c r="AH204" s="72" t="e">
        <f t="shared" ca="1" si="38"/>
        <v>#NAME?</v>
      </c>
      <c r="AI204" s="3" t="e">
        <f t="shared" ca="1" si="39"/>
        <v>#NAME?</v>
      </c>
    </row>
    <row r="205" spans="7:35" x14ac:dyDescent="0.25">
      <c r="G205" s="3">
        <f t="shared" ca="1" si="34"/>
        <v>186</v>
      </c>
      <c r="H205" s="105">
        <f t="shared" ca="1" si="36"/>
        <v>45111</v>
      </c>
      <c r="I205" s="132" t="e">
        <f>HLOOKUP($H$4,'Met Data'!$A$2:$F$368,G205,FALSE)</f>
        <v>#N/A</v>
      </c>
      <c r="J205" s="132" t="e">
        <f ca="1">HLOOKUP($H$4,'Met Data'!$H$2:$M$368,G205,FALSE)*L205</f>
        <v>#N/A</v>
      </c>
      <c r="K205" s="106" t="e">
        <f>HLOOKUP($H$4,'Met Data'!$O$2:$T$368,G205,FALSE)</f>
        <v>#N/A</v>
      </c>
      <c r="L205">
        <f t="shared" ca="1" si="30"/>
        <v>1</v>
      </c>
      <c r="N205" t="e">
        <f t="shared" ca="1" si="35"/>
        <v>#NAME?</v>
      </c>
      <c r="O205" t="e">
        <f t="shared" ca="1" si="31"/>
        <v>#NAME?</v>
      </c>
      <c r="P205" s="2" t="e">
        <f ca="1"/>
        <v>#NAME?</v>
      </c>
      <c r="Q205" t="e">
        <f ca="1"/>
        <v>#NAME?</v>
      </c>
      <c r="R205" t="e">
        <f ca="1"/>
        <v>#NAME?</v>
      </c>
      <c r="S205" t="e">
        <f ca="1"/>
        <v>#NAME?</v>
      </c>
      <c r="T205" t="e">
        <f ca="1"/>
        <v>#NAME?</v>
      </c>
      <c r="U205" t="e">
        <f ca="1"/>
        <v>#NAME?</v>
      </c>
      <c r="V205" t="e">
        <f ca="1"/>
        <v>#NAME?</v>
      </c>
      <c r="W205" t="e">
        <f ca="1"/>
        <v>#NAME?</v>
      </c>
      <c r="X205" t="e">
        <f ca="1"/>
        <v>#NAME?</v>
      </c>
      <c r="Y205" t="e">
        <f ca="1"/>
        <v>#NAME?</v>
      </c>
      <c r="Z205" t="e">
        <f ca="1"/>
        <v>#NAME?</v>
      </c>
      <c r="AA205" t="e">
        <f ca="1"/>
        <v>#NAME?</v>
      </c>
      <c r="AB205" t="e">
        <f ca="1"/>
        <v>#NAME?</v>
      </c>
      <c r="AD205" s="2">
        <f t="shared" ca="1" si="32"/>
        <v>0</v>
      </c>
      <c r="AE205" s="46">
        <f t="shared" ca="1" si="33"/>
        <v>0</v>
      </c>
      <c r="AG205" s="72" t="e">
        <f t="shared" ca="1" si="37"/>
        <v>#NAME?</v>
      </c>
      <c r="AH205" s="72" t="e">
        <f t="shared" ca="1" si="38"/>
        <v>#NAME?</v>
      </c>
      <c r="AI205" s="3" t="e">
        <f t="shared" ca="1" si="39"/>
        <v>#NAME?</v>
      </c>
    </row>
    <row r="206" spans="7:35" x14ac:dyDescent="0.25">
      <c r="G206" s="3">
        <f t="shared" ca="1" si="34"/>
        <v>187</v>
      </c>
      <c r="H206" s="105">
        <f t="shared" ca="1" si="36"/>
        <v>45112</v>
      </c>
      <c r="I206" s="132" t="e">
        <f>HLOOKUP($H$4,'Met Data'!$A$2:$F$368,G206,FALSE)</f>
        <v>#N/A</v>
      </c>
      <c r="J206" s="132" t="e">
        <f ca="1">HLOOKUP($H$4,'Met Data'!$H$2:$M$368,G206,FALSE)*L206</f>
        <v>#N/A</v>
      </c>
      <c r="K206" s="106" t="e">
        <f>HLOOKUP($H$4,'Met Data'!$O$2:$T$368,G206,FALSE)</f>
        <v>#N/A</v>
      </c>
      <c r="L206">
        <f t="shared" ca="1" si="30"/>
        <v>1</v>
      </c>
      <c r="N206" t="e">
        <f t="shared" ca="1" si="35"/>
        <v>#NAME?</v>
      </c>
      <c r="O206" t="e">
        <f t="shared" ca="1" si="31"/>
        <v>#NAME?</v>
      </c>
      <c r="P206" s="2" t="e">
        <f ca="1"/>
        <v>#NAME?</v>
      </c>
      <c r="Q206" t="e">
        <f ca="1"/>
        <v>#NAME?</v>
      </c>
      <c r="R206" t="e">
        <f ca="1"/>
        <v>#NAME?</v>
      </c>
      <c r="S206" t="e">
        <f ca="1"/>
        <v>#NAME?</v>
      </c>
      <c r="T206" t="e">
        <f ca="1"/>
        <v>#NAME?</v>
      </c>
      <c r="U206" t="e">
        <f ca="1"/>
        <v>#NAME?</v>
      </c>
      <c r="V206" t="e">
        <f ca="1"/>
        <v>#NAME?</v>
      </c>
      <c r="W206" t="e">
        <f ca="1"/>
        <v>#NAME?</v>
      </c>
      <c r="X206" t="e">
        <f ca="1"/>
        <v>#NAME?</v>
      </c>
      <c r="Y206" t="e">
        <f ca="1"/>
        <v>#NAME?</v>
      </c>
      <c r="Z206" t="e">
        <f ca="1"/>
        <v>#NAME?</v>
      </c>
      <c r="AA206" t="e">
        <f ca="1"/>
        <v>#NAME?</v>
      </c>
      <c r="AB206" t="e">
        <f ca="1"/>
        <v>#NAME?</v>
      </c>
      <c r="AD206" s="2">
        <f t="shared" ca="1" si="32"/>
        <v>0</v>
      </c>
      <c r="AE206" s="46">
        <f t="shared" ca="1" si="33"/>
        <v>0</v>
      </c>
      <c r="AG206" s="72" t="e">
        <f t="shared" ca="1" si="37"/>
        <v>#NAME?</v>
      </c>
      <c r="AH206" s="72" t="e">
        <f t="shared" ca="1" si="38"/>
        <v>#NAME?</v>
      </c>
      <c r="AI206" s="3" t="e">
        <f t="shared" ca="1" si="39"/>
        <v>#NAME?</v>
      </c>
    </row>
    <row r="207" spans="7:35" x14ac:dyDescent="0.25">
      <c r="G207" s="3">
        <f t="shared" ca="1" si="34"/>
        <v>188</v>
      </c>
      <c r="H207" s="105">
        <f t="shared" ca="1" si="36"/>
        <v>45113</v>
      </c>
      <c r="I207" s="132" t="e">
        <f>HLOOKUP($H$4,'Met Data'!$A$2:$F$368,G207,FALSE)</f>
        <v>#N/A</v>
      </c>
      <c r="J207" s="132" t="e">
        <f ca="1">HLOOKUP($H$4,'Met Data'!$H$2:$M$368,G207,FALSE)*L207</f>
        <v>#N/A</v>
      </c>
      <c r="K207" s="106" t="e">
        <f>HLOOKUP($H$4,'Met Data'!$O$2:$T$368,G207,FALSE)</f>
        <v>#N/A</v>
      </c>
      <c r="L207">
        <f t="shared" ca="1" si="30"/>
        <v>1</v>
      </c>
      <c r="N207" t="e">
        <f t="shared" ca="1" si="35"/>
        <v>#NAME?</v>
      </c>
      <c r="O207" t="e">
        <f t="shared" ca="1" si="31"/>
        <v>#NAME?</v>
      </c>
      <c r="P207" s="2" t="e">
        <f ca="1"/>
        <v>#NAME?</v>
      </c>
      <c r="Q207" t="e">
        <f ca="1"/>
        <v>#NAME?</v>
      </c>
      <c r="R207" t="e">
        <f ca="1"/>
        <v>#NAME?</v>
      </c>
      <c r="S207" t="e">
        <f ca="1"/>
        <v>#NAME?</v>
      </c>
      <c r="T207" t="e">
        <f ca="1"/>
        <v>#NAME?</v>
      </c>
      <c r="U207" t="e">
        <f ca="1"/>
        <v>#NAME?</v>
      </c>
      <c r="V207" t="e">
        <f ca="1"/>
        <v>#NAME?</v>
      </c>
      <c r="W207" t="e">
        <f ca="1"/>
        <v>#NAME?</v>
      </c>
      <c r="X207" t="e">
        <f ca="1"/>
        <v>#NAME?</v>
      </c>
      <c r="Y207" t="e">
        <f ca="1"/>
        <v>#NAME?</v>
      </c>
      <c r="Z207" t="e">
        <f ca="1"/>
        <v>#NAME?</v>
      </c>
      <c r="AA207" t="e">
        <f ca="1"/>
        <v>#NAME?</v>
      </c>
      <c r="AB207" t="e">
        <f ca="1"/>
        <v>#NAME?</v>
      </c>
      <c r="AD207" s="2">
        <f t="shared" ca="1" si="32"/>
        <v>0</v>
      </c>
      <c r="AE207" s="46">
        <f t="shared" ca="1" si="33"/>
        <v>0</v>
      </c>
      <c r="AG207" s="72" t="e">
        <f t="shared" ca="1" si="37"/>
        <v>#NAME?</v>
      </c>
      <c r="AH207" s="72" t="e">
        <f t="shared" ca="1" si="38"/>
        <v>#NAME?</v>
      </c>
      <c r="AI207" s="3" t="e">
        <f t="shared" ca="1" si="39"/>
        <v>#NAME?</v>
      </c>
    </row>
    <row r="208" spans="7:35" x14ac:dyDescent="0.25">
      <c r="G208" s="3">
        <f t="shared" ca="1" si="34"/>
        <v>189</v>
      </c>
      <c r="H208" s="105">
        <f t="shared" ca="1" si="36"/>
        <v>45114</v>
      </c>
      <c r="I208" s="132" t="e">
        <f>HLOOKUP($H$4,'Met Data'!$A$2:$F$368,G208,FALSE)</f>
        <v>#N/A</v>
      </c>
      <c r="J208" s="132" t="e">
        <f ca="1">HLOOKUP($H$4,'Met Data'!$H$2:$M$368,G208,FALSE)*L208</f>
        <v>#N/A</v>
      </c>
      <c r="K208" s="106" t="e">
        <f>HLOOKUP($H$4,'Met Data'!$O$2:$T$368,G208,FALSE)</f>
        <v>#N/A</v>
      </c>
      <c r="L208">
        <f t="shared" ca="1" si="30"/>
        <v>1</v>
      </c>
      <c r="N208" t="e">
        <f t="shared" ca="1" si="35"/>
        <v>#NAME?</v>
      </c>
      <c r="O208" t="e">
        <f t="shared" ca="1" si="31"/>
        <v>#NAME?</v>
      </c>
      <c r="P208" s="2" t="e">
        <f ca="1"/>
        <v>#NAME?</v>
      </c>
      <c r="Q208" t="e">
        <f ca="1"/>
        <v>#NAME?</v>
      </c>
      <c r="R208" t="e">
        <f ca="1"/>
        <v>#NAME?</v>
      </c>
      <c r="S208" t="e">
        <f ca="1"/>
        <v>#NAME?</v>
      </c>
      <c r="T208" t="e">
        <f ca="1"/>
        <v>#NAME?</v>
      </c>
      <c r="U208" t="e">
        <f ca="1"/>
        <v>#NAME?</v>
      </c>
      <c r="V208" t="e">
        <f ca="1"/>
        <v>#NAME?</v>
      </c>
      <c r="W208" t="e">
        <f ca="1"/>
        <v>#NAME?</v>
      </c>
      <c r="X208" t="e">
        <f ca="1"/>
        <v>#NAME?</v>
      </c>
      <c r="Y208" t="e">
        <f ca="1"/>
        <v>#NAME?</v>
      </c>
      <c r="Z208" t="e">
        <f ca="1"/>
        <v>#NAME?</v>
      </c>
      <c r="AA208" t="e">
        <f ca="1"/>
        <v>#NAME?</v>
      </c>
      <c r="AB208" t="e">
        <f ca="1"/>
        <v>#NAME?</v>
      </c>
      <c r="AD208" s="2">
        <f t="shared" ca="1" si="32"/>
        <v>0</v>
      </c>
      <c r="AE208" s="46">
        <f t="shared" ca="1" si="33"/>
        <v>0</v>
      </c>
      <c r="AG208" s="72" t="e">
        <f t="shared" ca="1" si="37"/>
        <v>#NAME?</v>
      </c>
      <c r="AH208" s="72" t="e">
        <f t="shared" ca="1" si="38"/>
        <v>#NAME?</v>
      </c>
      <c r="AI208" s="3" t="e">
        <f t="shared" ca="1" si="39"/>
        <v>#NAME?</v>
      </c>
    </row>
    <row r="209" spans="7:35" x14ac:dyDescent="0.25">
      <c r="G209" s="3">
        <f t="shared" ca="1" si="34"/>
        <v>190</v>
      </c>
      <c r="H209" s="105">
        <f t="shared" ca="1" si="36"/>
        <v>45115</v>
      </c>
      <c r="I209" s="132" t="e">
        <f>HLOOKUP($H$4,'Met Data'!$A$2:$F$368,G209,FALSE)</f>
        <v>#N/A</v>
      </c>
      <c r="J209" s="132" t="e">
        <f ca="1">HLOOKUP($H$4,'Met Data'!$H$2:$M$368,G209,FALSE)*L209</f>
        <v>#N/A</v>
      </c>
      <c r="K209" s="106" t="e">
        <f>HLOOKUP($H$4,'Met Data'!$O$2:$T$368,G209,FALSE)</f>
        <v>#N/A</v>
      </c>
      <c r="L209">
        <f t="shared" ca="1" si="30"/>
        <v>1</v>
      </c>
      <c r="N209" t="e">
        <f t="shared" ca="1" si="35"/>
        <v>#NAME?</v>
      </c>
      <c r="O209" t="e">
        <f t="shared" ca="1" si="31"/>
        <v>#NAME?</v>
      </c>
      <c r="P209" s="2" t="e">
        <f ca="1"/>
        <v>#NAME?</v>
      </c>
      <c r="Q209" t="e">
        <f ca="1"/>
        <v>#NAME?</v>
      </c>
      <c r="R209" t="e">
        <f ca="1"/>
        <v>#NAME?</v>
      </c>
      <c r="S209" t="e">
        <f ca="1"/>
        <v>#NAME?</v>
      </c>
      <c r="T209" t="e">
        <f ca="1"/>
        <v>#NAME?</v>
      </c>
      <c r="U209" t="e">
        <f ca="1"/>
        <v>#NAME?</v>
      </c>
      <c r="V209" t="e">
        <f ca="1"/>
        <v>#NAME?</v>
      </c>
      <c r="W209" t="e">
        <f ca="1"/>
        <v>#NAME?</v>
      </c>
      <c r="X209" t="e">
        <f ca="1"/>
        <v>#NAME?</v>
      </c>
      <c r="Y209" t="e">
        <f ca="1"/>
        <v>#NAME?</v>
      </c>
      <c r="Z209" t="e">
        <f ca="1"/>
        <v>#NAME?</v>
      </c>
      <c r="AA209" t="e">
        <f ca="1"/>
        <v>#NAME?</v>
      </c>
      <c r="AB209" t="e">
        <f ca="1"/>
        <v>#NAME?</v>
      </c>
      <c r="AD209" s="2">
        <f t="shared" ca="1" si="32"/>
        <v>0</v>
      </c>
      <c r="AE209" s="46">
        <f t="shared" ca="1" si="33"/>
        <v>0</v>
      </c>
      <c r="AG209" s="72" t="e">
        <f t="shared" ca="1" si="37"/>
        <v>#NAME?</v>
      </c>
      <c r="AH209" s="72" t="e">
        <f t="shared" ca="1" si="38"/>
        <v>#NAME?</v>
      </c>
      <c r="AI209" s="3" t="e">
        <f t="shared" ca="1" si="39"/>
        <v>#NAME?</v>
      </c>
    </row>
    <row r="210" spans="7:35" x14ac:dyDescent="0.25">
      <c r="G210" s="3">
        <f t="shared" ca="1" si="34"/>
        <v>191</v>
      </c>
      <c r="H210" s="105">
        <f t="shared" ca="1" si="36"/>
        <v>45116</v>
      </c>
      <c r="I210" s="132" t="e">
        <f>HLOOKUP($H$4,'Met Data'!$A$2:$F$368,G210,FALSE)</f>
        <v>#N/A</v>
      </c>
      <c r="J210" s="132" t="e">
        <f ca="1">HLOOKUP($H$4,'Met Data'!$H$2:$M$368,G210,FALSE)*L210</f>
        <v>#N/A</v>
      </c>
      <c r="K210" s="106" t="e">
        <f>HLOOKUP($H$4,'Met Data'!$O$2:$T$368,G210,FALSE)</f>
        <v>#N/A</v>
      </c>
      <c r="L210">
        <f t="shared" ca="1" si="30"/>
        <v>1</v>
      </c>
      <c r="N210" t="e">
        <f t="shared" ca="1" si="35"/>
        <v>#NAME?</v>
      </c>
      <c r="O210" t="e">
        <f t="shared" ca="1" si="31"/>
        <v>#NAME?</v>
      </c>
      <c r="P210" s="2" t="e">
        <f ca="1"/>
        <v>#NAME?</v>
      </c>
      <c r="Q210" t="e">
        <f ca="1"/>
        <v>#NAME?</v>
      </c>
      <c r="R210" t="e">
        <f ca="1"/>
        <v>#NAME?</v>
      </c>
      <c r="S210" t="e">
        <f ca="1"/>
        <v>#NAME?</v>
      </c>
      <c r="T210" t="e">
        <f ca="1"/>
        <v>#NAME?</v>
      </c>
      <c r="U210" t="e">
        <f ca="1"/>
        <v>#NAME?</v>
      </c>
      <c r="V210" t="e">
        <f ca="1"/>
        <v>#NAME?</v>
      </c>
      <c r="W210" t="e">
        <f ca="1"/>
        <v>#NAME?</v>
      </c>
      <c r="X210" t="e">
        <f ca="1"/>
        <v>#NAME?</v>
      </c>
      <c r="Y210" t="e">
        <f ca="1"/>
        <v>#NAME?</v>
      </c>
      <c r="Z210" t="e">
        <f ca="1"/>
        <v>#NAME?</v>
      </c>
      <c r="AA210" t="e">
        <f ca="1"/>
        <v>#NAME?</v>
      </c>
      <c r="AB210" t="e">
        <f ca="1"/>
        <v>#NAME?</v>
      </c>
      <c r="AD210" s="2">
        <f t="shared" ca="1" si="32"/>
        <v>0</v>
      </c>
      <c r="AE210" s="46">
        <f t="shared" ca="1" si="33"/>
        <v>0</v>
      </c>
      <c r="AG210" s="72" t="e">
        <f t="shared" ca="1" si="37"/>
        <v>#NAME?</v>
      </c>
      <c r="AH210" s="72" t="e">
        <f t="shared" ca="1" si="38"/>
        <v>#NAME?</v>
      </c>
      <c r="AI210" s="3" t="e">
        <f t="shared" ca="1" si="39"/>
        <v>#NAME?</v>
      </c>
    </row>
    <row r="211" spans="7:35" x14ac:dyDescent="0.25">
      <c r="G211" s="3">
        <f t="shared" ca="1" si="34"/>
        <v>192</v>
      </c>
      <c r="H211" s="105">
        <f t="shared" ca="1" si="36"/>
        <v>45117</v>
      </c>
      <c r="I211" s="132" t="e">
        <f>HLOOKUP($H$4,'Met Data'!$A$2:$F$368,G211,FALSE)</f>
        <v>#N/A</v>
      </c>
      <c r="J211" s="132" t="e">
        <f ca="1">HLOOKUP($H$4,'Met Data'!$H$2:$M$368,G211,FALSE)*L211</f>
        <v>#N/A</v>
      </c>
      <c r="K211" s="106" t="e">
        <f>HLOOKUP($H$4,'Met Data'!$O$2:$T$368,G211,FALSE)</f>
        <v>#N/A</v>
      </c>
      <c r="L211">
        <f t="shared" ca="1" si="30"/>
        <v>1</v>
      </c>
      <c r="N211" t="e">
        <f t="shared" ca="1" si="35"/>
        <v>#NAME?</v>
      </c>
      <c r="O211" t="e">
        <f t="shared" ca="1" si="31"/>
        <v>#NAME?</v>
      </c>
      <c r="P211" s="2" t="e">
        <f ca="1"/>
        <v>#NAME?</v>
      </c>
      <c r="Q211" t="e">
        <f ca="1"/>
        <v>#NAME?</v>
      </c>
      <c r="R211" t="e">
        <f ca="1"/>
        <v>#NAME?</v>
      </c>
      <c r="S211" t="e">
        <f ca="1"/>
        <v>#NAME?</v>
      </c>
      <c r="T211" t="e">
        <f ca="1"/>
        <v>#NAME?</v>
      </c>
      <c r="U211" t="e">
        <f ca="1"/>
        <v>#NAME?</v>
      </c>
      <c r="V211" t="e">
        <f ca="1"/>
        <v>#NAME?</v>
      </c>
      <c r="W211" t="e">
        <f ca="1"/>
        <v>#NAME?</v>
      </c>
      <c r="X211" t="e">
        <f ca="1"/>
        <v>#NAME?</v>
      </c>
      <c r="Y211" t="e">
        <f ca="1"/>
        <v>#NAME?</v>
      </c>
      <c r="Z211" t="e">
        <f ca="1"/>
        <v>#NAME?</v>
      </c>
      <c r="AA211" t="e">
        <f ca="1"/>
        <v>#NAME?</v>
      </c>
      <c r="AB211" t="e">
        <f ca="1"/>
        <v>#NAME?</v>
      </c>
      <c r="AD211" s="2">
        <f t="shared" ca="1" si="32"/>
        <v>0</v>
      </c>
      <c r="AE211" s="46">
        <f t="shared" ca="1" si="33"/>
        <v>0</v>
      </c>
      <c r="AG211" s="72" t="e">
        <f t="shared" ca="1" si="37"/>
        <v>#NAME?</v>
      </c>
      <c r="AH211" s="72" t="e">
        <f t="shared" ca="1" si="38"/>
        <v>#NAME?</v>
      </c>
      <c r="AI211" s="3" t="e">
        <f t="shared" ca="1" si="39"/>
        <v>#NAME?</v>
      </c>
    </row>
    <row r="212" spans="7:35" x14ac:dyDescent="0.25">
      <c r="G212" s="3">
        <f t="shared" ca="1" si="34"/>
        <v>193</v>
      </c>
      <c r="H212" s="105">
        <f t="shared" ca="1" si="36"/>
        <v>45118</v>
      </c>
      <c r="I212" s="132" t="e">
        <f>HLOOKUP($H$4,'Met Data'!$A$2:$F$368,G212,FALSE)</f>
        <v>#N/A</v>
      </c>
      <c r="J212" s="132" t="e">
        <f ca="1">HLOOKUP($H$4,'Met Data'!$H$2:$M$368,G212,FALSE)*L212</f>
        <v>#N/A</v>
      </c>
      <c r="K212" s="106" t="e">
        <f>HLOOKUP($H$4,'Met Data'!$O$2:$T$368,G212,FALSE)</f>
        <v>#N/A</v>
      </c>
      <c r="L212">
        <f t="shared" ca="1" si="30"/>
        <v>1</v>
      </c>
      <c r="N212" t="e">
        <f t="shared" ca="1" si="35"/>
        <v>#NAME?</v>
      </c>
      <c r="O212" t="e">
        <f t="shared" ca="1" si="31"/>
        <v>#NAME?</v>
      </c>
      <c r="P212" s="2" t="e">
        <f ca="1"/>
        <v>#NAME?</v>
      </c>
      <c r="Q212" t="e">
        <f ca="1"/>
        <v>#NAME?</v>
      </c>
      <c r="R212" t="e">
        <f ca="1"/>
        <v>#NAME?</v>
      </c>
      <c r="S212" t="e">
        <f ca="1"/>
        <v>#NAME?</v>
      </c>
      <c r="T212" t="e">
        <f ca="1"/>
        <v>#NAME?</v>
      </c>
      <c r="U212" t="e">
        <f ca="1"/>
        <v>#NAME?</v>
      </c>
      <c r="V212" t="e">
        <f ca="1"/>
        <v>#NAME?</v>
      </c>
      <c r="W212" t="e">
        <f ca="1"/>
        <v>#NAME?</v>
      </c>
      <c r="X212" t="e">
        <f ca="1"/>
        <v>#NAME?</v>
      </c>
      <c r="Y212" t="e">
        <f ca="1"/>
        <v>#NAME?</v>
      </c>
      <c r="Z212" t="e">
        <f ca="1"/>
        <v>#NAME?</v>
      </c>
      <c r="AA212" t="e">
        <f ca="1"/>
        <v>#NAME?</v>
      </c>
      <c r="AB212" t="e">
        <f ca="1"/>
        <v>#NAME?</v>
      </c>
      <c r="AD212" s="2">
        <f t="shared" ca="1" si="32"/>
        <v>0</v>
      </c>
      <c r="AE212" s="46">
        <f t="shared" ca="1" si="33"/>
        <v>0</v>
      </c>
      <c r="AG212" s="72" t="e">
        <f t="shared" ca="1" si="37"/>
        <v>#NAME?</v>
      </c>
      <c r="AH212" s="72" t="e">
        <f t="shared" ca="1" si="38"/>
        <v>#NAME?</v>
      </c>
      <c r="AI212" s="3" t="e">
        <f t="shared" ca="1" si="39"/>
        <v>#NAME?</v>
      </c>
    </row>
    <row r="213" spans="7:35" x14ac:dyDescent="0.25">
      <c r="G213" s="3">
        <f t="shared" ca="1" si="34"/>
        <v>194</v>
      </c>
      <c r="H213" s="105">
        <f t="shared" ca="1" si="36"/>
        <v>45119</v>
      </c>
      <c r="I213" s="132" t="e">
        <f>HLOOKUP($H$4,'Met Data'!$A$2:$F$368,G213,FALSE)</f>
        <v>#N/A</v>
      </c>
      <c r="J213" s="132" t="e">
        <f ca="1">HLOOKUP($H$4,'Met Data'!$H$2:$M$368,G213,FALSE)*L213</f>
        <v>#N/A</v>
      </c>
      <c r="K213" s="106" t="e">
        <f>HLOOKUP($H$4,'Met Data'!$O$2:$T$368,G213,FALSE)</f>
        <v>#N/A</v>
      </c>
      <c r="L213">
        <f t="shared" ca="1" si="30"/>
        <v>1</v>
      </c>
      <c r="N213" t="e">
        <f t="shared" ca="1" si="35"/>
        <v>#NAME?</v>
      </c>
      <c r="O213" t="e">
        <f t="shared" ca="1" si="31"/>
        <v>#NAME?</v>
      </c>
      <c r="P213" s="2" t="e">
        <f ca="1"/>
        <v>#NAME?</v>
      </c>
      <c r="Q213" t="e">
        <f ca="1"/>
        <v>#NAME?</v>
      </c>
      <c r="R213" t="e">
        <f ca="1"/>
        <v>#NAME?</v>
      </c>
      <c r="S213" t="e">
        <f ca="1"/>
        <v>#NAME?</v>
      </c>
      <c r="T213" t="e">
        <f ca="1"/>
        <v>#NAME?</v>
      </c>
      <c r="U213" t="e">
        <f ca="1"/>
        <v>#NAME?</v>
      </c>
      <c r="V213" t="e">
        <f ca="1"/>
        <v>#NAME?</v>
      </c>
      <c r="W213" t="e">
        <f ca="1"/>
        <v>#NAME?</v>
      </c>
      <c r="X213" t="e">
        <f ca="1"/>
        <v>#NAME?</v>
      </c>
      <c r="Y213" t="e">
        <f ca="1"/>
        <v>#NAME?</v>
      </c>
      <c r="Z213" t="e">
        <f ca="1"/>
        <v>#NAME?</v>
      </c>
      <c r="AA213" t="e">
        <f ca="1"/>
        <v>#NAME?</v>
      </c>
      <c r="AB213" t="e">
        <f ca="1"/>
        <v>#NAME?</v>
      </c>
      <c r="AD213" s="2">
        <f t="shared" ca="1" si="32"/>
        <v>0</v>
      </c>
      <c r="AE213" s="46">
        <f t="shared" ca="1" si="33"/>
        <v>0</v>
      </c>
      <c r="AG213" s="72" t="e">
        <f t="shared" ca="1" si="37"/>
        <v>#NAME?</v>
      </c>
      <c r="AH213" s="72" t="e">
        <f t="shared" ca="1" si="38"/>
        <v>#NAME?</v>
      </c>
      <c r="AI213" s="3" t="e">
        <f t="shared" ca="1" si="39"/>
        <v>#NAME?</v>
      </c>
    </row>
    <row r="214" spans="7:35" x14ac:dyDescent="0.25">
      <c r="G214" s="3">
        <f t="shared" ca="1" si="34"/>
        <v>195</v>
      </c>
      <c r="H214" s="105">
        <f t="shared" ca="1" si="36"/>
        <v>45120</v>
      </c>
      <c r="I214" s="132" t="e">
        <f>HLOOKUP($H$4,'Met Data'!$A$2:$F$368,G214,FALSE)</f>
        <v>#N/A</v>
      </c>
      <c r="J214" s="132" t="e">
        <f ca="1">HLOOKUP($H$4,'Met Data'!$H$2:$M$368,G214,FALSE)*L214</f>
        <v>#N/A</v>
      </c>
      <c r="K214" s="106" t="e">
        <f>HLOOKUP($H$4,'Met Data'!$O$2:$T$368,G214,FALSE)</f>
        <v>#N/A</v>
      </c>
      <c r="L214">
        <f t="shared" ca="1" si="30"/>
        <v>1</v>
      </c>
      <c r="N214" t="e">
        <f t="shared" ca="1" si="35"/>
        <v>#NAME?</v>
      </c>
      <c r="O214" t="e">
        <f t="shared" ca="1" si="31"/>
        <v>#NAME?</v>
      </c>
      <c r="P214" s="2" t="e">
        <f ca="1"/>
        <v>#NAME?</v>
      </c>
      <c r="Q214" t="e">
        <f ca="1"/>
        <v>#NAME?</v>
      </c>
      <c r="R214" t="e">
        <f ca="1"/>
        <v>#NAME?</v>
      </c>
      <c r="S214" t="e">
        <f ca="1"/>
        <v>#NAME?</v>
      </c>
      <c r="T214" t="e">
        <f ca="1"/>
        <v>#NAME?</v>
      </c>
      <c r="U214" t="e">
        <f ca="1"/>
        <v>#NAME?</v>
      </c>
      <c r="V214" t="e">
        <f ca="1"/>
        <v>#NAME?</v>
      </c>
      <c r="W214" t="e">
        <f ca="1"/>
        <v>#NAME?</v>
      </c>
      <c r="X214" t="e">
        <f ca="1"/>
        <v>#NAME?</v>
      </c>
      <c r="Y214" t="e">
        <f ca="1"/>
        <v>#NAME?</v>
      </c>
      <c r="Z214" t="e">
        <f ca="1"/>
        <v>#NAME?</v>
      </c>
      <c r="AA214" t="e">
        <f ca="1"/>
        <v>#NAME?</v>
      </c>
      <c r="AB214" t="e">
        <f ca="1"/>
        <v>#NAME?</v>
      </c>
      <c r="AD214" s="2">
        <f t="shared" ca="1" si="32"/>
        <v>0</v>
      </c>
      <c r="AE214" s="46">
        <f t="shared" ca="1" si="33"/>
        <v>0</v>
      </c>
      <c r="AG214" s="72" t="e">
        <f t="shared" ca="1" si="37"/>
        <v>#NAME?</v>
      </c>
      <c r="AH214" s="72" t="e">
        <f t="shared" ca="1" si="38"/>
        <v>#NAME?</v>
      </c>
      <c r="AI214" s="3" t="e">
        <f t="shared" ca="1" si="39"/>
        <v>#NAME?</v>
      </c>
    </row>
    <row r="215" spans="7:35" x14ac:dyDescent="0.25">
      <c r="G215" s="3">
        <f t="shared" ca="1" si="34"/>
        <v>196</v>
      </c>
      <c r="H215" s="105">
        <f t="shared" ca="1" si="36"/>
        <v>45121</v>
      </c>
      <c r="I215" s="132" t="e">
        <f>HLOOKUP($H$4,'Met Data'!$A$2:$F$368,G215,FALSE)</f>
        <v>#N/A</v>
      </c>
      <c r="J215" s="132" t="e">
        <f ca="1">HLOOKUP($H$4,'Met Data'!$H$2:$M$368,G215,FALSE)*L215</f>
        <v>#N/A</v>
      </c>
      <c r="K215" s="106" t="e">
        <f>HLOOKUP($H$4,'Met Data'!$O$2:$T$368,G215,FALSE)</f>
        <v>#N/A</v>
      </c>
      <c r="L215">
        <f t="shared" ca="1" si="30"/>
        <v>1</v>
      </c>
      <c r="N215" t="e">
        <f t="shared" ca="1" si="35"/>
        <v>#NAME?</v>
      </c>
      <c r="O215" t="e">
        <f t="shared" ca="1" si="31"/>
        <v>#NAME?</v>
      </c>
      <c r="P215" s="2" t="e">
        <f ca="1"/>
        <v>#NAME?</v>
      </c>
      <c r="Q215" t="e">
        <f ca="1"/>
        <v>#NAME?</v>
      </c>
      <c r="R215" t="e">
        <f ca="1"/>
        <v>#NAME?</v>
      </c>
      <c r="S215" t="e">
        <f ca="1"/>
        <v>#NAME?</v>
      </c>
      <c r="T215" t="e">
        <f ca="1"/>
        <v>#NAME?</v>
      </c>
      <c r="U215" t="e">
        <f ca="1"/>
        <v>#NAME?</v>
      </c>
      <c r="V215" t="e">
        <f ca="1"/>
        <v>#NAME?</v>
      </c>
      <c r="W215" t="e">
        <f ca="1"/>
        <v>#NAME?</v>
      </c>
      <c r="X215" t="e">
        <f ca="1"/>
        <v>#NAME?</v>
      </c>
      <c r="Y215" t="e">
        <f ca="1"/>
        <v>#NAME?</v>
      </c>
      <c r="Z215" t="e">
        <f ca="1"/>
        <v>#NAME?</v>
      </c>
      <c r="AA215" t="e">
        <f ca="1"/>
        <v>#NAME?</v>
      </c>
      <c r="AB215" t="e">
        <f ca="1"/>
        <v>#NAME?</v>
      </c>
      <c r="AD215" s="2">
        <f t="shared" ca="1" si="32"/>
        <v>0</v>
      </c>
      <c r="AE215" s="46">
        <f t="shared" ca="1" si="33"/>
        <v>0</v>
      </c>
      <c r="AG215" s="72" t="e">
        <f t="shared" ca="1" si="37"/>
        <v>#NAME?</v>
      </c>
      <c r="AH215" s="72" t="e">
        <f t="shared" ca="1" si="38"/>
        <v>#NAME?</v>
      </c>
      <c r="AI215" s="3" t="e">
        <f t="shared" ca="1" si="39"/>
        <v>#NAME?</v>
      </c>
    </row>
    <row r="216" spans="7:35" x14ac:dyDescent="0.25">
      <c r="G216" s="3">
        <f t="shared" ca="1" si="34"/>
        <v>197</v>
      </c>
      <c r="H216" s="105">
        <f t="shared" ca="1" si="36"/>
        <v>45122</v>
      </c>
      <c r="I216" s="132" t="e">
        <f>HLOOKUP($H$4,'Met Data'!$A$2:$F$368,G216,FALSE)</f>
        <v>#N/A</v>
      </c>
      <c r="J216" s="132" t="e">
        <f ca="1">HLOOKUP($H$4,'Met Data'!$H$2:$M$368,G216,FALSE)*L216</f>
        <v>#N/A</v>
      </c>
      <c r="K216" s="106" t="e">
        <f>HLOOKUP($H$4,'Met Data'!$O$2:$T$368,G216,FALSE)</f>
        <v>#N/A</v>
      </c>
      <c r="L216">
        <f t="shared" ca="1" si="30"/>
        <v>1</v>
      </c>
      <c r="N216" t="e">
        <f t="shared" ca="1" si="35"/>
        <v>#NAME?</v>
      </c>
      <c r="O216" t="e">
        <f t="shared" ca="1" si="31"/>
        <v>#NAME?</v>
      </c>
      <c r="P216" s="2" t="e">
        <f ca="1"/>
        <v>#NAME?</v>
      </c>
      <c r="Q216" t="e">
        <f ca="1"/>
        <v>#NAME?</v>
      </c>
      <c r="R216" t="e">
        <f ca="1"/>
        <v>#NAME?</v>
      </c>
      <c r="S216" t="e">
        <f ca="1"/>
        <v>#NAME?</v>
      </c>
      <c r="T216" t="e">
        <f ca="1"/>
        <v>#NAME?</v>
      </c>
      <c r="U216" t="e">
        <f ca="1"/>
        <v>#NAME?</v>
      </c>
      <c r="V216" t="e">
        <f ca="1"/>
        <v>#NAME?</v>
      </c>
      <c r="W216" t="e">
        <f ca="1"/>
        <v>#NAME?</v>
      </c>
      <c r="X216" t="e">
        <f ca="1"/>
        <v>#NAME?</v>
      </c>
      <c r="Y216" t="e">
        <f ca="1"/>
        <v>#NAME?</v>
      </c>
      <c r="Z216" t="e">
        <f ca="1"/>
        <v>#NAME?</v>
      </c>
      <c r="AA216" t="e">
        <f ca="1"/>
        <v>#NAME?</v>
      </c>
      <c r="AB216" t="e">
        <f ca="1"/>
        <v>#NAME?</v>
      </c>
      <c r="AD216" s="2">
        <f t="shared" ca="1" si="32"/>
        <v>0</v>
      </c>
      <c r="AE216" s="46">
        <f t="shared" ca="1" si="33"/>
        <v>0</v>
      </c>
      <c r="AG216" s="72" t="e">
        <f t="shared" ca="1" si="37"/>
        <v>#NAME?</v>
      </c>
      <c r="AH216" s="72" t="e">
        <f t="shared" ca="1" si="38"/>
        <v>#NAME?</v>
      </c>
      <c r="AI216" s="3" t="e">
        <f t="shared" ca="1" si="39"/>
        <v>#NAME?</v>
      </c>
    </row>
    <row r="217" spans="7:35" x14ac:dyDescent="0.25">
      <c r="G217" s="3">
        <f t="shared" ca="1" si="34"/>
        <v>198</v>
      </c>
      <c r="H217" s="105">
        <f t="shared" ca="1" si="36"/>
        <v>45123</v>
      </c>
      <c r="I217" s="132" t="e">
        <f>HLOOKUP($H$4,'Met Data'!$A$2:$F$368,G217,FALSE)</f>
        <v>#N/A</v>
      </c>
      <c r="J217" s="132" t="e">
        <f ca="1">HLOOKUP($H$4,'Met Data'!$H$2:$M$368,G217,FALSE)*L217</f>
        <v>#N/A</v>
      </c>
      <c r="K217" s="106" t="e">
        <f>HLOOKUP($H$4,'Met Data'!$O$2:$T$368,G217,FALSE)</f>
        <v>#N/A</v>
      </c>
      <c r="L217">
        <f t="shared" ca="1" si="30"/>
        <v>1</v>
      </c>
      <c r="N217" t="e">
        <f t="shared" ca="1" si="35"/>
        <v>#NAME?</v>
      </c>
      <c r="O217" t="e">
        <f t="shared" ca="1" si="31"/>
        <v>#NAME?</v>
      </c>
      <c r="P217" s="2" t="e">
        <f ca="1"/>
        <v>#NAME?</v>
      </c>
      <c r="Q217" t="e">
        <f ca="1"/>
        <v>#NAME?</v>
      </c>
      <c r="R217" t="e">
        <f ca="1"/>
        <v>#NAME?</v>
      </c>
      <c r="S217" t="e">
        <f ca="1"/>
        <v>#NAME?</v>
      </c>
      <c r="T217" t="e">
        <f ca="1"/>
        <v>#NAME?</v>
      </c>
      <c r="U217" t="e">
        <f ca="1"/>
        <v>#NAME?</v>
      </c>
      <c r="V217" t="e">
        <f ca="1"/>
        <v>#NAME?</v>
      </c>
      <c r="W217" t="e">
        <f ca="1"/>
        <v>#NAME?</v>
      </c>
      <c r="X217" t="e">
        <f ca="1"/>
        <v>#NAME?</v>
      </c>
      <c r="Y217" t="e">
        <f ca="1"/>
        <v>#NAME?</v>
      </c>
      <c r="Z217" t="e">
        <f ca="1"/>
        <v>#NAME?</v>
      </c>
      <c r="AA217" t="e">
        <f ca="1"/>
        <v>#NAME?</v>
      </c>
      <c r="AB217" t="e">
        <f ca="1"/>
        <v>#NAME?</v>
      </c>
      <c r="AD217" s="2">
        <f t="shared" ca="1" si="32"/>
        <v>0</v>
      </c>
      <c r="AE217" s="46">
        <f t="shared" ca="1" si="33"/>
        <v>0</v>
      </c>
      <c r="AG217" s="72" t="e">
        <f t="shared" ca="1" si="37"/>
        <v>#NAME?</v>
      </c>
      <c r="AH217" s="72" t="e">
        <f t="shared" ca="1" si="38"/>
        <v>#NAME?</v>
      </c>
      <c r="AI217" s="3" t="e">
        <f t="shared" ca="1" si="39"/>
        <v>#NAME?</v>
      </c>
    </row>
    <row r="218" spans="7:35" x14ac:dyDescent="0.25">
      <c r="G218" s="3">
        <f t="shared" ca="1" si="34"/>
        <v>199</v>
      </c>
      <c r="H218" s="105">
        <f t="shared" ca="1" si="36"/>
        <v>45124</v>
      </c>
      <c r="I218" s="132" t="e">
        <f>HLOOKUP($H$4,'Met Data'!$A$2:$F$368,G218,FALSE)</f>
        <v>#N/A</v>
      </c>
      <c r="J218" s="132" t="e">
        <f ca="1">HLOOKUP($H$4,'Met Data'!$H$2:$M$368,G218,FALSE)*L218</f>
        <v>#N/A</v>
      </c>
      <c r="K218" s="106" t="e">
        <f>HLOOKUP($H$4,'Met Data'!$O$2:$T$368,G218,FALSE)</f>
        <v>#N/A</v>
      </c>
      <c r="L218">
        <f t="shared" ca="1" si="30"/>
        <v>1</v>
      </c>
      <c r="N218" t="e">
        <f t="shared" ca="1" si="35"/>
        <v>#NAME?</v>
      </c>
      <c r="O218" t="e">
        <f t="shared" ca="1" si="31"/>
        <v>#NAME?</v>
      </c>
      <c r="P218" s="2" t="e">
        <f ca="1"/>
        <v>#NAME?</v>
      </c>
      <c r="Q218" t="e">
        <f ca="1"/>
        <v>#NAME?</v>
      </c>
      <c r="R218" t="e">
        <f ca="1"/>
        <v>#NAME?</v>
      </c>
      <c r="S218" t="e">
        <f ca="1"/>
        <v>#NAME?</v>
      </c>
      <c r="T218" t="e">
        <f ca="1"/>
        <v>#NAME?</v>
      </c>
      <c r="U218" t="e">
        <f ca="1"/>
        <v>#NAME?</v>
      </c>
      <c r="V218" t="e">
        <f ca="1"/>
        <v>#NAME?</v>
      </c>
      <c r="W218" t="e">
        <f ca="1"/>
        <v>#NAME?</v>
      </c>
      <c r="X218" t="e">
        <f ca="1"/>
        <v>#NAME?</v>
      </c>
      <c r="Y218" t="e">
        <f ca="1"/>
        <v>#NAME?</v>
      </c>
      <c r="Z218" t="e">
        <f ca="1"/>
        <v>#NAME?</v>
      </c>
      <c r="AA218" t="e">
        <f ca="1"/>
        <v>#NAME?</v>
      </c>
      <c r="AB218" t="e">
        <f ca="1"/>
        <v>#NAME?</v>
      </c>
      <c r="AD218" s="2">
        <f t="shared" ca="1" si="32"/>
        <v>0</v>
      </c>
      <c r="AE218" s="46">
        <f t="shared" ca="1" si="33"/>
        <v>0</v>
      </c>
      <c r="AG218" s="72" t="e">
        <f t="shared" ca="1" si="37"/>
        <v>#NAME?</v>
      </c>
      <c r="AH218" s="72" t="e">
        <f t="shared" ca="1" si="38"/>
        <v>#NAME?</v>
      </c>
      <c r="AI218" s="3" t="e">
        <f t="shared" ca="1" si="39"/>
        <v>#NAME?</v>
      </c>
    </row>
    <row r="219" spans="7:35" x14ac:dyDescent="0.25">
      <c r="G219" s="3">
        <f t="shared" ca="1" si="34"/>
        <v>200</v>
      </c>
      <c r="H219" s="105">
        <f t="shared" ca="1" si="36"/>
        <v>45125</v>
      </c>
      <c r="I219" s="132" t="e">
        <f>HLOOKUP($H$4,'Met Data'!$A$2:$F$368,G219,FALSE)</f>
        <v>#N/A</v>
      </c>
      <c r="J219" s="132" t="e">
        <f ca="1">HLOOKUP($H$4,'Met Data'!$H$2:$M$368,G219,FALSE)*L219</f>
        <v>#N/A</v>
      </c>
      <c r="K219" s="106" t="e">
        <f>HLOOKUP($H$4,'Met Data'!$O$2:$T$368,G219,FALSE)</f>
        <v>#N/A</v>
      </c>
      <c r="L219">
        <f t="shared" ca="1" si="30"/>
        <v>1</v>
      </c>
      <c r="N219" t="e">
        <f t="shared" ca="1" si="35"/>
        <v>#NAME?</v>
      </c>
      <c r="O219" t="e">
        <f t="shared" ca="1" si="31"/>
        <v>#NAME?</v>
      </c>
      <c r="P219" s="2" t="e">
        <f ca="1"/>
        <v>#NAME?</v>
      </c>
      <c r="Q219" t="e">
        <f ca="1"/>
        <v>#NAME?</v>
      </c>
      <c r="R219" t="e">
        <f ca="1"/>
        <v>#NAME?</v>
      </c>
      <c r="S219" t="e">
        <f ca="1"/>
        <v>#NAME?</v>
      </c>
      <c r="T219" t="e">
        <f ca="1"/>
        <v>#NAME?</v>
      </c>
      <c r="U219" t="e">
        <f ca="1"/>
        <v>#NAME?</v>
      </c>
      <c r="V219" t="e">
        <f ca="1"/>
        <v>#NAME?</v>
      </c>
      <c r="W219" t="e">
        <f ca="1"/>
        <v>#NAME?</v>
      </c>
      <c r="X219" t="e">
        <f ca="1"/>
        <v>#NAME?</v>
      </c>
      <c r="Y219" t="e">
        <f ca="1"/>
        <v>#NAME?</v>
      </c>
      <c r="Z219" t="e">
        <f ca="1"/>
        <v>#NAME?</v>
      </c>
      <c r="AA219" t="e">
        <f ca="1"/>
        <v>#NAME?</v>
      </c>
      <c r="AB219" t="e">
        <f ca="1"/>
        <v>#NAME?</v>
      </c>
      <c r="AD219" s="2">
        <f t="shared" ca="1" si="32"/>
        <v>0</v>
      </c>
      <c r="AE219" s="46">
        <f t="shared" ca="1" si="33"/>
        <v>0</v>
      </c>
      <c r="AG219" s="72" t="e">
        <f t="shared" ca="1" si="37"/>
        <v>#NAME?</v>
      </c>
      <c r="AH219" s="72" t="e">
        <f t="shared" ca="1" si="38"/>
        <v>#NAME?</v>
      </c>
      <c r="AI219" s="3" t="e">
        <f t="shared" ca="1" si="39"/>
        <v>#NAME?</v>
      </c>
    </row>
    <row r="220" spans="7:35" x14ac:dyDescent="0.25">
      <c r="G220" s="3">
        <f t="shared" ca="1" si="34"/>
        <v>201</v>
      </c>
      <c r="H220" s="105">
        <f t="shared" ca="1" si="36"/>
        <v>45126</v>
      </c>
      <c r="I220" s="132" t="e">
        <f>HLOOKUP($H$4,'Met Data'!$A$2:$F$368,G220,FALSE)</f>
        <v>#N/A</v>
      </c>
      <c r="J220" s="132" t="e">
        <f ca="1">HLOOKUP($H$4,'Met Data'!$H$2:$M$368,G220,FALSE)*L220</f>
        <v>#N/A</v>
      </c>
      <c r="K220" s="106" t="e">
        <f>HLOOKUP($H$4,'Met Data'!$O$2:$T$368,G220,FALSE)</f>
        <v>#N/A</v>
      </c>
      <c r="L220">
        <f t="shared" ca="1" si="30"/>
        <v>1</v>
      </c>
      <c r="N220" t="e">
        <f t="shared" ca="1" si="35"/>
        <v>#NAME?</v>
      </c>
      <c r="O220" t="e">
        <f t="shared" ca="1" si="31"/>
        <v>#NAME?</v>
      </c>
      <c r="P220" s="2" t="e">
        <f ca="1"/>
        <v>#NAME?</v>
      </c>
      <c r="Q220" t="e">
        <f ca="1"/>
        <v>#NAME?</v>
      </c>
      <c r="R220" t="e">
        <f ca="1"/>
        <v>#NAME?</v>
      </c>
      <c r="S220" t="e">
        <f ca="1"/>
        <v>#NAME?</v>
      </c>
      <c r="T220" t="e">
        <f ca="1"/>
        <v>#NAME?</v>
      </c>
      <c r="U220" t="e">
        <f ca="1"/>
        <v>#NAME?</v>
      </c>
      <c r="V220" t="e">
        <f ca="1"/>
        <v>#NAME?</v>
      </c>
      <c r="W220" t="e">
        <f ca="1"/>
        <v>#NAME?</v>
      </c>
      <c r="X220" t="e">
        <f ca="1"/>
        <v>#NAME?</v>
      </c>
      <c r="Y220" t="e">
        <f ca="1"/>
        <v>#NAME?</v>
      </c>
      <c r="Z220" t="e">
        <f ca="1"/>
        <v>#NAME?</v>
      </c>
      <c r="AA220" t="e">
        <f ca="1"/>
        <v>#NAME?</v>
      </c>
      <c r="AB220" t="e">
        <f ca="1"/>
        <v>#NAME?</v>
      </c>
      <c r="AD220" s="2">
        <f t="shared" ca="1" si="32"/>
        <v>0</v>
      </c>
      <c r="AE220" s="46">
        <f t="shared" ca="1" si="33"/>
        <v>0</v>
      </c>
      <c r="AG220" s="72" t="e">
        <f t="shared" ca="1" si="37"/>
        <v>#NAME?</v>
      </c>
      <c r="AH220" s="72" t="e">
        <f t="shared" ca="1" si="38"/>
        <v>#NAME?</v>
      </c>
      <c r="AI220" s="3" t="e">
        <f t="shared" ca="1" si="39"/>
        <v>#NAME?</v>
      </c>
    </row>
    <row r="221" spans="7:35" x14ac:dyDescent="0.25">
      <c r="G221" s="3">
        <f t="shared" ca="1" si="34"/>
        <v>202</v>
      </c>
      <c r="H221" s="105">
        <f t="shared" ca="1" si="36"/>
        <v>45127</v>
      </c>
      <c r="I221" s="132" t="e">
        <f>HLOOKUP($H$4,'Met Data'!$A$2:$F$368,G221,FALSE)</f>
        <v>#N/A</v>
      </c>
      <c r="J221" s="132" t="e">
        <f ca="1">HLOOKUP($H$4,'Met Data'!$H$2:$M$368,G221,FALSE)*L221</f>
        <v>#N/A</v>
      </c>
      <c r="K221" s="106" t="e">
        <f>HLOOKUP($H$4,'Met Data'!$O$2:$T$368,G221,FALSE)</f>
        <v>#N/A</v>
      </c>
      <c r="L221">
        <f t="shared" ca="1" si="30"/>
        <v>1</v>
      </c>
      <c r="N221" t="e">
        <f t="shared" ca="1" si="35"/>
        <v>#NAME?</v>
      </c>
      <c r="O221" t="e">
        <f t="shared" ca="1" si="31"/>
        <v>#NAME?</v>
      </c>
      <c r="P221" s="2" t="e">
        <f ca="1"/>
        <v>#NAME?</v>
      </c>
      <c r="Q221" t="e">
        <f ca="1"/>
        <v>#NAME?</v>
      </c>
      <c r="R221" t="e">
        <f ca="1"/>
        <v>#NAME?</v>
      </c>
      <c r="S221" t="e">
        <f ca="1"/>
        <v>#NAME?</v>
      </c>
      <c r="T221" t="e">
        <f ca="1"/>
        <v>#NAME?</v>
      </c>
      <c r="U221" t="e">
        <f ca="1"/>
        <v>#NAME?</v>
      </c>
      <c r="V221" t="e">
        <f ca="1"/>
        <v>#NAME?</v>
      </c>
      <c r="W221" t="e">
        <f ca="1"/>
        <v>#NAME?</v>
      </c>
      <c r="X221" t="e">
        <f ca="1"/>
        <v>#NAME?</v>
      </c>
      <c r="Y221" t="e">
        <f ca="1"/>
        <v>#NAME?</v>
      </c>
      <c r="Z221" t="e">
        <f ca="1"/>
        <v>#NAME?</v>
      </c>
      <c r="AA221" t="e">
        <f ca="1"/>
        <v>#NAME?</v>
      </c>
      <c r="AB221" t="e">
        <f ca="1"/>
        <v>#NAME?</v>
      </c>
      <c r="AD221" s="2">
        <f t="shared" ca="1" si="32"/>
        <v>0</v>
      </c>
      <c r="AE221" s="46">
        <f t="shared" ca="1" si="33"/>
        <v>0</v>
      </c>
      <c r="AG221" s="72" t="e">
        <f t="shared" ca="1" si="37"/>
        <v>#NAME?</v>
      </c>
      <c r="AH221" s="72" t="e">
        <f t="shared" ca="1" si="38"/>
        <v>#NAME?</v>
      </c>
      <c r="AI221" s="3" t="e">
        <f t="shared" ca="1" si="39"/>
        <v>#NAME?</v>
      </c>
    </row>
    <row r="222" spans="7:35" x14ac:dyDescent="0.25">
      <c r="G222" s="3">
        <f t="shared" ca="1" si="34"/>
        <v>203</v>
      </c>
      <c r="H222" s="105">
        <f t="shared" ca="1" si="36"/>
        <v>45128</v>
      </c>
      <c r="I222" s="132" t="e">
        <f>HLOOKUP($H$4,'Met Data'!$A$2:$F$368,G222,FALSE)</f>
        <v>#N/A</v>
      </c>
      <c r="J222" s="132" t="e">
        <f ca="1">HLOOKUP($H$4,'Met Data'!$H$2:$M$368,G222,FALSE)*L222</f>
        <v>#N/A</v>
      </c>
      <c r="K222" s="106" t="e">
        <f>HLOOKUP($H$4,'Met Data'!$O$2:$T$368,G222,FALSE)</f>
        <v>#N/A</v>
      </c>
      <c r="L222">
        <f t="shared" ca="1" si="30"/>
        <v>1</v>
      </c>
      <c r="N222" t="e">
        <f t="shared" ca="1" si="35"/>
        <v>#NAME?</v>
      </c>
      <c r="O222" t="e">
        <f t="shared" ca="1" si="31"/>
        <v>#NAME?</v>
      </c>
      <c r="P222" s="2" t="e">
        <f ca="1"/>
        <v>#NAME?</v>
      </c>
      <c r="Q222" t="e">
        <f ca="1"/>
        <v>#NAME?</v>
      </c>
      <c r="R222" t="e">
        <f ca="1"/>
        <v>#NAME?</v>
      </c>
      <c r="S222" t="e">
        <f ca="1"/>
        <v>#NAME?</v>
      </c>
      <c r="T222" t="e">
        <f ca="1"/>
        <v>#NAME?</v>
      </c>
      <c r="U222" t="e">
        <f ca="1"/>
        <v>#NAME?</v>
      </c>
      <c r="V222" t="e">
        <f ca="1"/>
        <v>#NAME?</v>
      </c>
      <c r="W222" t="e">
        <f ca="1"/>
        <v>#NAME?</v>
      </c>
      <c r="X222" t="e">
        <f ca="1"/>
        <v>#NAME?</v>
      </c>
      <c r="Y222" t="e">
        <f ca="1"/>
        <v>#NAME?</v>
      </c>
      <c r="Z222" t="e">
        <f ca="1"/>
        <v>#NAME?</v>
      </c>
      <c r="AA222" t="e">
        <f ca="1"/>
        <v>#NAME?</v>
      </c>
      <c r="AB222" t="e">
        <f ca="1"/>
        <v>#NAME?</v>
      </c>
      <c r="AD222" s="2">
        <f t="shared" ca="1" si="32"/>
        <v>0</v>
      </c>
      <c r="AE222" s="46">
        <f t="shared" ca="1" si="33"/>
        <v>0</v>
      </c>
      <c r="AG222" s="72" t="e">
        <f t="shared" ca="1" si="37"/>
        <v>#NAME?</v>
      </c>
      <c r="AH222" s="72" t="e">
        <f t="shared" ca="1" si="38"/>
        <v>#NAME?</v>
      </c>
      <c r="AI222" s="3" t="e">
        <f t="shared" ca="1" si="39"/>
        <v>#NAME?</v>
      </c>
    </row>
    <row r="223" spans="7:35" x14ac:dyDescent="0.25">
      <c r="G223" s="3">
        <f t="shared" ca="1" si="34"/>
        <v>204</v>
      </c>
      <c r="H223" s="105">
        <f t="shared" ca="1" si="36"/>
        <v>45129</v>
      </c>
      <c r="I223" s="132" t="e">
        <f>HLOOKUP($H$4,'Met Data'!$A$2:$F$368,G223,FALSE)</f>
        <v>#N/A</v>
      </c>
      <c r="J223" s="132" t="e">
        <f ca="1">HLOOKUP($H$4,'Met Data'!$H$2:$M$368,G223,FALSE)*L223</f>
        <v>#N/A</v>
      </c>
      <c r="K223" s="106" t="e">
        <f>HLOOKUP($H$4,'Met Data'!$O$2:$T$368,G223,FALSE)</f>
        <v>#N/A</v>
      </c>
      <c r="L223">
        <f t="shared" ca="1" si="30"/>
        <v>1</v>
      </c>
      <c r="N223" t="e">
        <f t="shared" ca="1" si="35"/>
        <v>#NAME?</v>
      </c>
      <c r="O223" t="e">
        <f t="shared" ca="1" si="31"/>
        <v>#NAME?</v>
      </c>
      <c r="P223" s="2" t="e">
        <f ca="1"/>
        <v>#NAME?</v>
      </c>
      <c r="Q223" t="e">
        <f ca="1"/>
        <v>#NAME?</v>
      </c>
      <c r="R223" t="e">
        <f ca="1"/>
        <v>#NAME?</v>
      </c>
      <c r="S223" t="e">
        <f ca="1"/>
        <v>#NAME?</v>
      </c>
      <c r="T223" t="e">
        <f ca="1"/>
        <v>#NAME?</v>
      </c>
      <c r="U223" t="e">
        <f ca="1"/>
        <v>#NAME?</v>
      </c>
      <c r="V223" t="e">
        <f ca="1"/>
        <v>#NAME?</v>
      </c>
      <c r="W223" t="e">
        <f ca="1"/>
        <v>#NAME?</v>
      </c>
      <c r="X223" t="e">
        <f ca="1"/>
        <v>#NAME?</v>
      </c>
      <c r="Y223" t="e">
        <f ca="1"/>
        <v>#NAME?</v>
      </c>
      <c r="Z223" t="e">
        <f ca="1"/>
        <v>#NAME?</v>
      </c>
      <c r="AA223" t="e">
        <f ca="1"/>
        <v>#NAME?</v>
      </c>
      <c r="AB223" t="e">
        <f ca="1"/>
        <v>#NAME?</v>
      </c>
      <c r="AD223" s="2">
        <f t="shared" ca="1" si="32"/>
        <v>0</v>
      </c>
      <c r="AE223" s="46">
        <f t="shared" ca="1" si="33"/>
        <v>0</v>
      </c>
      <c r="AG223" s="72" t="e">
        <f t="shared" ca="1" si="37"/>
        <v>#NAME?</v>
      </c>
      <c r="AH223" s="72" t="e">
        <f t="shared" ca="1" si="38"/>
        <v>#NAME?</v>
      </c>
      <c r="AI223" s="3" t="e">
        <f t="shared" ca="1" si="39"/>
        <v>#NAME?</v>
      </c>
    </row>
    <row r="224" spans="7:35" x14ac:dyDescent="0.25">
      <c r="G224" s="3">
        <f t="shared" ca="1" si="34"/>
        <v>205</v>
      </c>
      <c r="H224" s="105">
        <f t="shared" ca="1" si="36"/>
        <v>45130</v>
      </c>
      <c r="I224" s="132" t="e">
        <f>HLOOKUP($H$4,'Met Data'!$A$2:$F$368,G224,FALSE)</f>
        <v>#N/A</v>
      </c>
      <c r="J224" s="132" t="e">
        <f ca="1">HLOOKUP($H$4,'Met Data'!$H$2:$M$368,G224,FALSE)*L224</f>
        <v>#N/A</v>
      </c>
      <c r="K224" s="106" t="e">
        <f>HLOOKUP($H$4,'Met Data'!$O$2:$T$368,G224,FALSE)</f>
        <v>#N/A</v>
      </c>
      <c r="L224">
        <f t="shared" ca="1" si="30"/>
        <v>1</v>
      </c>
      <c r="N224" t="e">
        <f t="shared" ca="1" si="35"/>
        <v>#NAME?</v>
      </c>
      <c r="O224" t="e">
        <f t="shared" ca="1" si="31"/>
        <v>#NAME?</v>
      </c>
      <c r="P224" s="2" t="e">
        <f ca="1"/>
        <v>#NAME?</v>
      </c>
      <c r="Q224" t="e">
        <f ca="1"/>
        <v>#NAME?</v>
      </c>
      <c r="R224" t="e">
        <f ca="1"/>
        <v>#NAME?</v>
      </c>
      <c r="S224" t="e">
        <f ca="1"/>
        <v>#NAME?</v>
      </c>
      <c r="T224" t="e">
        <f ca="1"/>
        <v>#NAME?</v>
      </c>
      <c r="U224" t="e">
        <f ca="1"/>
        <v>#NAME?</v>
      </c>
      <c r="V224" t="e">
        <f ca="1"/>
        <v>#NAME?</v>
      </c>
      <c r="W224" t="e">
        <f ca="1"/>
        <v>#NAME?</v>
      </c>
      <c r="X224" t="e">
        <f ca="1"/>
        <v>#NAME?</v>
      </c>
      <c r="Y224" t="e">
        <f ca="1"/>
        <v>#NAME?</v>
      </c>
      <c r="Z224" t="e">
        <f ca="1"/>
        <v>#NAME?</v>
      </c>
      <c r="AA224" t="e">
        <f ca="1"/>
        <v>#NAME?</v>
      </c>
      <c r="AB224" t="e">
        <f ca="1"/>
        <v>#NAME?</v>
      </c>
      <c r="AD224" s="2">
        <f t="shared" ca="1" si="32"/>
        <v>0</v>
      </c>
      <c r="AE224" s="46">
        <f t="shared" ca="1" si="33"/>
        <v>0</v>
      </c>
      <c r="AG224" s="72" t="e">
        <f t="shared" ca="1" si="37"/>
        <v>#NAME?</v>
      </c>
      <c r="AH224" s="72" t="e">
        <f t="shared" ca="1" si="38"/>
        <v>#NAME?</v>
      </c>
      <c r="AI224" s="3" t="e">
        <f t="shared" ca="1" si="39"/>
        <v>#NAME?</v>
      </c>
    </row>
    <row r="225" spans="7:35" x14ac:dyDescent="0.25">
      <c r="G225" s="3">
        <f t="shared" ca="1" si="34"/>
        <v>206</v>
      </c>
      <c r="H225" s="105">
        <f t="shared" ca="1" si="36"/>
        <v>45131</v>
      </c>
      <c r="I225" s="132" t="e">
        <f>HLOOKUP($H$4,'Met Data'!$A$2:$F$368,G225,FALSE)</f>
        <v>#N/A</v>
      </c>
      <c r="J225" s="132" t="e">
        <f ca="1">HLOOKUP($H$4,'Met Data'!$H$2:$M$368,G225,FALSE)*L225</f>
        <v>#N/A</v>
      </c>
      <c r="K225" s="106" t="e">
        <f>HLOOKUP($H$4,'Met Data'!$O$2:$T$368,G225,FALSE)</f>
        <v>#N/A</v>
      </c>
      <c r="L225">
        <f t="shared" ca="1" si="30"/>
        <v>1</v>
      </c>
      <c r="N225" t="e">
        <f t="shared" ca="1" si="35"/>
        <v>#NAME?</v>
      </c>
      <c r="O225" t="e">
        <f t="shared" ca="1" si="31"/>
        <v>#NAME?</v>
      </c>
      <c r="P225" s="2" t="e">
        <f ca="1"/>
        <v>#NAME?</v>
      </c>
      <c r="Q225" t="e">
        <f ca="1"/>
        <v>#NAME?</v>
      </c>
      <c r="R225" t="e">
        <f ca="1"/>
        <v>#NAME?</v>
      </c>
      <c r="S225" t="e">
        <f ca="1"/>
        <v>#NAME?</v>
      </c>
      <c r="T225" t="e">
        <f ca="1"/>
        <v>#NAME?</v>
      </c>
      <c r="U225" t="e">
        <f ca="1"/>
        <v>#NAME?</v>
      </c>
      <c r="V225" t="e">
        <f ca="1"/>
        <v>#NAME?</v>
      </c>
      <c r="W225" t="e">
        <f ca="1"/>
        <v>#NAME?</v>
      </c>
      <c r="X225" t="e">
        <f ca="1"/>
        <v>#NAME?</v>
      </c>
      <c r="Y225" t="e">
        <f ca="1"/>
        <v>#NAME?</v>
      </c>
      <c r="Z225" t="e">
        <f ca="1"/>
        <v>#NAME?</v>
      </c>
      <c r="AA225" t="e">
        <f ca="1"/>
        <v>#NAME?</v>
      </c>
      <c r="AB225" t="e">
        <f ca="1"/>
        <v>#NAME?</v>
      </c>
      <c r="AD225" s="2">
        <f t="shared" ca="1" si="32"/>
        <v>0</v>
      </c>
      <c r="AE225" s="46">
        <f t="shared" ca="1" si="33"/>
        <v>0</v>
      </c>
      <c r="AG225" s="72" t="e">
        <f t="shared" ca="1" si="37"/>
        <v>#NAME?</v>
      </c>
      <c r="AH225" s="72" t="e">
        <f t="shared" ca="1" si="38"/>
        <v>#NAME?</v>
      </c>
      <c r="AI225" s="3" t="e">
        <f t="shared" ca="1" si="39"/>
        <v>#NAME?</v>
      </c>
    </row>
    <row r="226" spans="7:35" x14ac:dyDescent="0.25">
      <c r="G226" s="3">
        <f t="shared" ca="1" si="34"/>
        <v>207</v>
      </c>
      <c r="H226" s="105">
        <f t="shared" ca="1" si="36"/>
        <v>45132</v>
      </c>
      <c r="I226" s="132" t="e">
        <f>HLOOKUP($H$4,'Met Data'!$A$2:$F$368,G226,FALSE)</f>
        <v>#N/A</v>
      </c>
      <c r="J226" s="132" t="e">
        <f ca="1">HLOOKUP($H$4,'Met Data'!$H$2:$M$368,G226,FALSE)*L226</f>
        <v>#N/A</v>
      </c>
      <c r="K226" s="106" t="e">
        <f>HLOOKUP($H$4,'Met Data'!$O$2:$T$368,G226,FALSE)</f>
        <v>#N/A</v>
      </c>
      <c r="L226">
        <f t="shared" ca="1" si="30"/>
        <v>1</v>
      </c>
      <c r="N226" t="e">
        <f t="shared" ca="1" si="35"/>
        <v>#NAME?</v>
      </c>
      <c r="O226" t="e">
        <f t="shared" ca="1" si="31"/>
        <v>#NAME?</v>
      </c>
      <c r="P226" s="2" t="e">
        <f ca="1"/>
        <v>#NAME?</v>
      </c>
      <c r="Q226" t="e">
        <f ca="1"/>
        <v>#NAME?</v>
      </c>
      <c r="R226" t="e">
        <f ca="1"/>
        <v>#NAME?</v>
      </c>
      <c r="S226" t="e">
        <f ca="1"/>
        <v>#NAME?</v>
      </c>
      <c r="T226" t="e">
        <f ca="1"/>
        <v>#NAME?</v>
      </c>
      <c r="U226" t="e">
        <f ca="1"/>
        <v>#NAME?</v>
      </c>
      <c r="V226" t="e">
        <f ca="1"/>
        <v>#NAME?</v>
      </c>
      <c r="W226" t="e">
        <f ca="1"/>
        <v>#NAME?</v>
      </c>
      <c r="X226" t="e">
        <f ca="1"/>
        <v>#NAME?</v>
      </c>
      <c r="Y226" t="e">
        <f ca="1"/>
        <v>#NAME?</v>
      </c>
      <c r="Z226" t="e">
        <f ca="1"/>
        <v>#NAME?</v>
      </c>
      <c r="AA226" t="e">
        <f ca="1"/>
        <v>#NAME?</v>
      </c>
      <c r="AB226" t="e">
        <f ca="1"/>
        <v>#NAME?</v>
      </c>
      <c r="AD226" s="2">
        <f t="shared" ca="1" si="32"/>
        <v>0</v>
      </c>
      <c r="AE226" s="46">
        <f t="shared" ca="1" si="33"/>
        <v>0</v>
      </c>
      <c r="AG226" s="72" t="e">
        <f t="shared" ca="1" si="37"/>
        <v>#NAME?</v>
      </c>
      <c r="AH226" s="72" t="e">
        <f t="shared" ca="1" si="38"/>
        <v>#NAME?</v>
      </c>
      <c r="AI226" s="3" t="e">
        <f t="shared" ca="1" si="39"/>
        <v>#NAME?</v>
      </c>
    </row>
    <row r="227" spans="7:35" x14ac:dyDescent="0.25">
      <c r="G227" s="3">
        <f t="shared" ca="1" si="34"/>
        <v>208</v>
      </c>
      <c r="H227" s="105">
        <f t="shared" ca="1" si="36"/>
        <v>45133</v>
      </c>
      <c r="I227" s="132" t="e">
        <f>HLOOKUP($H$4,'Met Data'!$A$2:$F$368,G227,FALSE)</f>
        <v>#N/A</v>
      </c>
      <c r="J227" s="132" t="e">
        <f ca="1">HLOOKUP($H$4,'Met Data'!$H$2:$M$368,G227,FALSE)*L227</f>
        <v>#N/A</v>
      </c>
      <c r="K227" s="106" t="e">
        <f>HLOOKUP($H$4,'Met Data'!$O$2:$T$368,G227,FALSE)</f>
        <v>#N/A</v>
      </c>
      <c r="L227">
        <f t="shared" ca="1" si="30"/>
        <v>1</v>
      </c>
      <c r="N227" t="e">
        <f t="shared" ca="1" si="35"/>
        <v>#NAME?</v>
      </c>
      <c r="O227" t="e">
        <f t="shared" ca="1" si="31"/>
        <v>#NAME?</v>
      </c>
      <c r="P227" s="2" t="e">
        <f ca="1"/>
        <v>#NAME?</v>
      </c>
      <c r="Q227" t="e">
        <f ca="1"/>
        <v>#NAME?</v>
      </c>
      <c r="R227" t="e">
        <f ca="1"/>
        <v>#NAME?</v>
      </c>
      <c r="S227" t="e">
        <f ca="1"/>
        <v>#NAME?</v>
      </c>
      <c r="T227" t="e">
        <f ca="1"/>
        <v>#NAME?</v>
      </c>
      <c r="U227" t="e">
        <f ca="1"/>
        <v>#NAME?</v>
      </c>
      <c r="V227" t="e">
        <f ca="1"/>
        <v>#NAME?</v>
      </c>
      <c r="W227" t="e">
        <f ca="1"/>
        <v>#NAME?</v>
      </c>
      <c r="X227" t="e">
        <f ca="1"/>
        <v>#NAME?</v>
      </c>
      <c r="Y227" t="e">
        <f ca="1"/>
        <v>#NAME?</v>
      </c>
      <c r="Z227" t="e">
        <f ca="1"/>
        <v>#NAME?</v>
      </c>
      <c r="AA227" t="e">
        <f ca="1"/>
        <v>#NAME?</v>
      </c>
      <c r="AB227" t="e">
        <f ca="1"/>
        <v>#NAME?</v>
      </c>
      <c r="AD227" s="2">
        <f t="shared" ca="1" si="32"/>
        <v>0</v>
      </c>
      <c r="AE227" s="46">
        <f t="shared" ca="1" si="33"/>
        <v>0</v>
      </c>
      <c r="AG227" s="72" t="e">
        <f t="shared" ca="1" si="37"/>
        <v>#NAME?</v>
      </c>
      <c r="AH227" s="72" t="e">
        <f t="shared" ca="1" si="38"/>
        <v>#NAME?</v>
      </c>
      <c r="AI227" s="3" t="e">
        <f t="shared" ca="1" si="39"/>
        <v>#NAME?</v>
      </c>
    </row>
    <row r="228" spans="7:35" x14ac:dyDescent="0.25">
      <c r="G228" s="3">
        <f t="shared" ca="1" si="34"/>
        <v>209</v>
      </c>
      <c r="H228" s="105">
        <f t="shared" ca="1" si="36"/>
        <v>45134</v>
      </c>
      <c r="I228" s="132" t="e">
        <f>HLOOKUP($H$4,'Met Data'!$A$2:$F$368,G228,FALSE)</f>
        <v>#N/A</v>
      </c>
      <c r="J228" s="132" t="e">
        <f ca="1">HLOOKUP($H$4,'Met Data'!$H$2:$M$368,G228,FALSE)*L228</f>
        <v>#N/A</v>
      </c>
      <c r="K228" s="106" t="e">
        <f>HLOOKUP($H$4,'Met Data'!$O$2:$T$368,G228,FALSE)</f>
        <v>#N/A</v>
      </c>
      <c r="L228">
        <f t="shared" ca="1" si="30"/>
        <v>1</v>
      </c>
      <c r="N228" t="e">
        <f t="shared" ca="1" si="35"/>
        <v>#NAME?</v>
      </c>
      <c r="O228" t="e">
        <f t="shared" ca="1" si="31"/>
        <v>#NAME?</v>
      </c>
      <c r="P228" s="2" t="e">
        <f ca="1"/>
        <v>#NAME?</v>
      </c>
      <c r="Q228" t="e">
        <f ca="1"/>
        <v>#NAME?</v>
      </c>
      <c r="R228" t="e">
        <f ca="1"/>
        <v>#NAME?</v>
      </c>
      <c r="S228" t="e">
        <f ca="1"/>
        <v>#NAME?</v>
      </c>
      <c r="T228" t="e">
        <f ca="1"/>
        <v>#NAME?</v>
      </c>
      <c r="U228" t="e">
        <f ca="1"/>
        <v>#NAME?</v>
      </c>
      <c r="V228" t="e">
        <f ca="1"/>
        <v>#NAME?</v>
      </c>
      <c r="W228" t="e">
        <f ca="1"/>
        <v>#NAME?</v>
      </c>
      <c r="X228" t="e">
        <f ca="1"/>
        <v>#NAME?</v>
      </c>
      <c r="Y228" t="e">
        <f ca="1"/>
        <v>#NAME?</v>
      </c>
      <c r="Z228" t="e">
        <f ca="1"/>
        <v>#NAME?</v>
      </c>
      <c r="AA228" t="e">
        <f ca="1"/>
        <v>#NAME?</v>
      </c>
      <c r="AB228" t="e">
        <f ca="1"/>
        <v>#NAME?</v>
      </c>
      <c r="AD228" s="2">
        <f t="shared" ca="1" si="32"/>
        <v>0</v>
      </c>
      <c r="AE228" s="46">
        <f t="shared" ca="1" si="33"/>
        <v>0</v>
      </c>
      <c r="AG228" s="72" t="e">
        <f t="shared" ca="1" si="37"/>
        <v>#NAME?</v>
      </c>
      <c r="AH228" s="72" t="e">
        <f t="shared" ca="1" si="38"/>
        <v>#NAME?</v>
      </c>
      <c r="AI228" s="3" t="e">
        <f t="shared" ca="1" si="39"/>
        <v>#NAME?</v>
      </c>
    </row>
    <row r="229" spans="7:35" x14ac:dyDescent="0.25">
      <c r="G229" s="3">
        <f t="shared" ca="1" si="34"/>
        <v>210</v>
      </c>
      <c r="H229" s="105">
        <f t="shared" ca="1" si="36"/>
        <v>45135</v>
      </c>
      <c r="I229" s="132" t="e">
        <f>HLOOKUP($H$4,'Met Data'!$A$2:$F$368,G229,FALSE)</f>
        <v>#N/A</v>
      </c>
      <c r="J229" s="132" t="e">
        <f ca="1">HLOOKUP($H$4,'Met Data'!$H$2:$M$368,G229,FALSE)*L229</f>
        <v>#N/A</v>
      </c>
      <c r="K229" s="106" t="e">
        <f>HLOOKUP($H$4,'Met Data'!$O$2:$T$368,G229,FALSE)</f>
        <v>#N/A</v>
      </c>
      <c r="L229">
        <f t="shared" ca="1" si="30"/>
        <v>1</v>
      </c>
      <c r="N229" t="e">
        <f t="shared" ca="1" si="35"/>
        <v>#NAME?</v>
      </c>
      <c r="O229" t="e">
        <f t="shared" ca="1" si="31"/>
        <v>#NAME?</v>
      </c>
      <c r="P229" s="2" t="e">
        <f ca="1"/>
        <v>#NAME?</v>
      </c>
      <c r="Q229" t="e">
        <f ca="1"/>
        <v>#NAME?</v>
      </c>
      <c r="R229" t="e">
        <f ca="1"/>
        <v>#NAME?</v>
      </c>
      <c r="S229" t="e">
        <f ca="1"/>
        <v>#NAME?</v>
      </c>
      <c r="T229" t="e">
        <f ca="1"/>
        <v>#NAME?</v>
      </c>
      <c r="U229" t="e">
        <f ca="1"/>
        <v>#NAME?</v>
      </c>
      <c r="V229" t="e">
        <f ca="1"/>
        <v>#NAME?</v>
      </c>
      <c r="W229" t="e">
        <f ca="1"/>
        <v>#NAME?</v>
      </c>
      <c r="X229" t="e">
        <f ca="1"/>
        <v>#NAME?</v>
      </c>
      <c r="Y229" t="e">
        <f ca="1"/>
        <v>#NAME?</v>
      </c>
      <c r="Z229" t="e">
        <f ca="1"/>
        <v>#NAME?</v>
      </c>
      <c r="AA229" t="e">
        <f ca="1"/>
        <v>#NAME?</v>
      </c>
      <c r="AB229" t="e">
        <f ca="1"/>
        <v>#NAME?</v>
      </c>
      <c r="AD229" s="2">
        <f t="shared" ca="1" si="32"/>
        <v>0</v>
      </c>
      <c r="AE229" s="46">
        <f t="shared" ca="1" si="33"/>
        <v>0</v>
      </c>
      <c r="AG229" s="72" t="e">
        <f t="shared" ca="1" si="37"/>
        <v>#NAME?</v>
      </c>
      <c r="AH229" s="72" t="e">
        <f t="shared" ca="1" si="38"/>
        <v>#NAME?</v>
      </c>
      <c r="AI229" s="3" t="e">
        <f t="shared" ca="1" si="39"/>
        <v>#NAME?</v>
      </c>
    </row>
    <row r="230" spans="7:35" x14ac:dyDescent="0.25">
      <c r="G230" s="3">
        <f t="shared" ca="1" si="34"/>
        <v>211</v>
      </c>
      <c r="H230" s="105">
        <f t="shared" ca="1" si="36"/>
        <v>45136</v>
      </c>
      <c r="I230" s="132" t="e">
        <f>HLOOKUP($H$4,'Met Data'!$A$2:$F$368,G230,FALSE)</f>
        <v>#N/A</v>
      </c>
      <c r="J230" s="132" t="e">
        <f ca="1">HLOOKUP($H$4,'Met Data'!$H$2:$M$368,G230,FALSE)*L230</f>
        <v>#N/A</v>
      </c>
      <c r="K230" s="106" t="e">
        <f>HLOOKUP($H$4,'Met Data'!$O$2:$T$368,G230,FALSE)</f>
        <v>#N/A</v>
      </c>
      <c r="L230">
        <f t="shared" ca="1" si="30"/>
        <v>1</v>
      </c>
      <c r="N230" t="e">
        <f t="shared" ca="1" si="35"/>
        <v>#NAME?</v>
      </c>
      <c r="O230" t="e">
        <f t="shared" ca="1" si="31"/>
        <v>#NAME?</v>
      </c>
      <c r="P230" s="2" t="e">
        <f ca="1"/>
        <v>#NAME?</v>
      </c>
      <c r="Q230" t="e">
        <f ca="1"/>
        <v>#NAME?</v>
      </c>
      <c r="R230" t="e">
        <f ca="1"/>
        <v>#NAME?</v>
      </c>
      <c r="S230" t="e">
        <f ca="1"/>
        <v>#NAME?</v>
      </c>
      <c r="T230" t="e">
        <f ca="1"/>
        <v>#NAME?</v>
      </c>
      <c r="U230" t="e">
        <f ca="1"/>
        <v>#NAME?</v>
      </c>
      <c r="V230" t="e">
        <f ca="1"/>
        <v>#NAME?</v>
      </c>
      <c r="W230" t="e">
        <f ca="1"/>
        <v>#NAME?</v>
      </c>
      <c r="X230" t="e">
        <f ca="1"/>
        <v>#NAME?</v>
      </c>
      <c r="Y230" t="e">
        <f ca="1"/>
        <v>#NAME?</v>
      </c>
      <c r="Z230" t="e">
        <f ca="1"/>
        <v>#NAME?</v>
      </c>
      <c r="AA230" t="e">
        <f ca="1"/>
        <v>#NAME?</v>
      </c>
      <c r="AB230" t="e">
        <f ca="1"/>
        <v>#NAME?</v>
      </c>
      <c r="AD230" s="2">
        <f t="shared" ca="1" si="32"/>
        <v>0</v>
      </c>
      <c r="AE230" s="46">
        <f t="shared" ca="1" si="33"/>
        <v>0</v>
      </c>
      <c r="AG230" s="72" t="e">
        <f t="shared" ca="1" si="37"/>
        <v>#NAME?</v>
      </c>
      <c r="AH230" s="72" t="e">
        <f t="shared" ca="1" si="38"/>
        <v>#NAME?</v>
      </c>
      <c r="AI230" s="3" t="e">
        <f t="shared" ca="1" si="39"/>
        <v>#NAME?</v>
      </c>
    </row>
    <row r="231" spans="7:35" x14ac:dyDescent="0.25">
      <c r="G231" s="3">
        <f t="shared" ca="1" si="34"/>
        <v>212</v>
      </c>
      <c r="H231" s="105">
        <f t="shared" ca="1" si="36"/>
        <v>45137</v>
      </c>
      <c r="I231" s="132" t="e">
        <f>HLOOKUP($H$4,'Met Data'!$A$2:$F$368,G231,FALSE)</f>
        <v>#N/A</v>
      </c>
      <c r="J231" s="132" t="e">
        <f ca="1">HLOOKUP($H$4,'Met Data'!$H$2:$M$368,G231,FALSE)*L231</f>
        <v>#N/A</v>
      </c>
      <c r="K231" s="106" t="e">
        <f>HLOOKUP($H$4,'Met Data'!$O$2:$T$368,G231,FALSE)</f>
        <v>#N/A</v>
      </c>
      <c r="L231">
        <f t="shared" ca="1" si="30"/>
        <v>1</v>
      </c>
      <c r="N231" t="e">
        <f t="shared" ca="1" si="35"/>
        <v>#NAME?</v>
      </c>
      <c r="O231" t="e">
        <f t="shared" ca="1" si="31"/>
        <v>#NAME?</v>
      </c>
      <c r="P231" s="2" t="e">
        <f ca="1"/>
        <v>#NAME?</v>
      </c>
      <c r="Q231" t="e">
        <f ca="1"/>
        <v>#NAME?</v>
      </c>
      <c r="R231" t="e">
        <f ca="1"/>
        <v>#NAME?</v>
      </c>
      <c r="S231" t="e">
        <f ca="1"/>
        <v>#NAME?</v>
      </c>
      <c r="T231" t="e">
        <f ca="1"/>
        <v>#NAME?</v>
      </c>
      <c r="U231" t="e">
        <f ca="1"/>
        <v>#NAME?</v>
      </c>
      <c r="V231" t="e">
        <f ca="1"/>
        <v>#NAME?</v>
      </c>
      <c r="W231" t="e">
        <f ca="1"/>
        <v>#NAME?</v>
      </c>
      <c r="X231" t="e">
        <f ca="1"/>
        <v>#NAME?</v>
      </c>
      <c r="Y231" t="e">
        <f ca="1"/>
        <v>#NAME?</v>
      </c>
      <c r="Z231" t="e">
        <f ca="1"/>
        <v>#NAME?</v>
      </c>
      <c r="AA231" t="e">
        <f ca="1"/>
        <v>#NAME?</v>
      </c>
      <c r="AB231" t="e">
        <f ca="1"/>
        <v>#NAME?</v>
      </c>
      <c r="AD231" s="2">
        <f t="shared" ca="1" si="32"/>
        <v>0</v>
      </c>
      <c r="AE231" s="46">
        <f t="shared" ca="1" si="33"/>
        <v>0</v>
      </c>
      <c r="AG231" s="72" t="e">
        <f t="shared" ca="1" si="37"/>
        <v>#NAME?</v>
      </c>
      <c r="AH231" s="72" t="e">
        <f t="shared" ca="1" si="38"/>
        <v>#NAME?</v>
      </c>
      <c r="AI231" s="3" t="e">
        <f t="shared" ca="1" si="39"/>
        <v>#NAME?</v>
      </c>
    </row>
    <row r="232" spans="7:35" x14ac:dyDescent="0.25">
      <c r="G232" s="3">
        <f t="shared" ca="1" si="34"/>
        <v>213</v>
      </c>
      <c r="H232" s="105">
        <f t="shared" ca="1" si="36"/>
        <v>45138</v>
      </c>
      <c r="I232" s="132" t="e">
        <f>HLOOKUP($H$4,'Met Data'!$A$2:$F$368,G232,FALSE)</f>
        <v>#N/A</v>
      </c>
      <c r="J232" s="132" t="e">
        <f ca="1">HLOOKUP($H$4,'Met Data'!$H$2:$M$368,G232,FALSE)*L232</f>
        <v>#N/A</v>
      </c>
      <c r="K232" s="106" t="e">
        <f>HLOOKUP($H$4,'Met Data'!$O$2:$T$368,G232,FALSE)</f>
        <v>#N/A</v>
      </c>
      <c r="L232">
        <f t="shared" ca="1" si="30"/>
        <v>1</v>
      </c>
      <c r="N232" t="e">
        <f t="shared" ca="1" si="35"/>
        <v>#NAME?</v>
      </c>
      <c r="O232" t="e">
        <f t="shared" ca="1" si="31"/>
        <v>#NAME?</v>
      </c>
      <c r="P232" s="2" t="e">
        <f ca="1"/>
        <v>#NAME?</v>
      </c>
      <c r="Q232" t="e">
        <f ca="1"/>
        <v>#NAME?</v>
      </c>
      <c r="R232" t="e">
        <f ca="1"/>
        <v>#NAME?</v>
      </c>
      <c r="S232" t="e">
        <f ca="1"/>
        <v>#NAME?</v>
      </c>
      <c r="T232" t="e">
        <f ca="1"/>
        <v>#NAME?</v>
      </c>
      <c r="U232" t="e">
        <f ca="1"/>
        <v>#NAME?</v>
      </c>
      <c r="V232" t="e">
        <f ca="1"/>
        <v>#NAME?</v>
      </c>
      <c r="W232" t="e">
        <f ca="1"/>
        <v>#NAME?</v>
      </c>
      <c r="X232" t="e">
        <f ca="1"/>
        <v>#NAME?</v>
      </c>
      <c r="Y232" t="e">
        <f ca="1"/>
        <v>#NAME?</v>
      </c>
      <c r="Z232" t="e">
        <f ca="1"/>
        <v>#NAME?</v>
      </c>
      <c r="AA232" t="e">
        <f ca="1"/>
        <v>#NAME?</v>
      </c>
      <c r="AB232" t="e">
        <f ca="1"/>
        <v>#NAME?</v>
      </c>
      <c r="AD232" s="2">
        <f t="shared" ca="1" si="32"/>
        <v>0</v>
      </c>
      <c r="AE232" s="46">
        <f t="shared" ca="1" si="33"/>
        <v>0</v>
      </c>
      <c r="AG232" s="72" t="e">
        <f t="shared" ca="1" si="37"/>
        <v>#NAME?</v>
      </c>
      <c r="AH232" s="72" t="e">
        <f t="shared" ca="1" si="38"/>
        <v>#NAME?</v>
      </c>
      <c r="AI232" s="3" t="e">
        <f t="shared" ca="1" si="39"/>
        <v>#NAME?</v>
      </c>
    </row>
    <row r="233" spans="7:35" x14ac:dyDescent="0.25">
      <c r="G233" s="3">
        <f t="shared" ca="1" si="34"/>
        <v>214</v>
      </c>
      <c r="H233" s="105">
        <f t="shared" ca="1" si="36"/>
        <v>45139</v>
      </c>
      <c r="I233" s="132" t="e">
        <f>HLOOKUP($H$4,'Met Data'!$A$2:$F$368,G233,FALSE)</f>
        <v>#N/A</v>
      </c>
      <c r="J233" s="132" t="e">
        <f ca="1">HLOOKUP($H$4,'Met Data'!$H$2:$M$368,G233,FALSE)*L233</f>
        <v>#N/A</v>
      </c>
      <c r="K233" s="106" t="e">
        <f>HLOOKUP($H$4,'Met Data'!$O$2:$T$368,G233,FALSE)</f>
        <v>#N/A</v>
      </c>
      <c r="L233">
        <f t="shared" ca="1" si="30"/>
        <v>1</v>
      </c>
      <c r="N233" t="e">
        <f t="shared" ca="1" si="35"/>
        <v>#NAME?</v>
      </c>
      <c r="O233" t="e">
        <f t="shared" ca="1" si="31"/>
        <v>#NAME?</v>
      </c>
      <c r="P233" s="2" t="e">
        <f ca="1"/>
        <v>#NAME?</v>
      </c>
      <c r="Q233" t="e">
        <f ca="1"/>
        <v>#NAME?</v>
      </c>
      <c r="R233" t="e">
        <f ca="1"/>
        <v>#NAME?</v>
      </c>
      <c r="S233" t="e">
        <f ca="1"/>
        <v>#NAME?</v>
      </c>
      <c r="T233" t="e">
        <f ca="1"/>
        <v>#NAME?</v>
      </c>
      <c r="U233" t="e">
        <f ca="1"/>
        <v>#NAME?</v>
      </c>
      <c r="V233" t="e">
        <f ca="1"/>
        <v>#NAME?</v>
      </c>
      <c r="W233" t="e">
        <f ca="1"/>
        <v>#NAME?</v>
      </c>
      <c r="X233" t="e">
        <f ca="1"/>
        <v>#NAME?</v>
      </c>
      <c r="Y233" t="e">
        <f ca="1"/>
        <v>#NAME?</v>
      </c>
      <c r="Z233" t="e">
        <f ca="1"/>
        <v>#NAME?</v>
      </c>
      <c r="AA233" t="e">
        <f ca="1"/>
        <v>#NAME?</v>
      </c>
      <c r="AB233" t="e">
        <f ca="1"/>
        <v>#NAME?</v>
      </c>
      <c r="AD233" s="2">
        <f t="shared" ca="1" si="32"/>
        <v>0</v>
      </c>
      <c r="AE233" s="46">
        <f t="shared" ca="1" si="33"/>
        <v>0</v>
      </c>
      <c r="AG233" s="72" t="e">
        <f t="shared" ca="1" si="37"/>
        <v>#NAME?</v>
      </c>
      <c r="AH233" s="72" t="e">
        <f t="shared" ca="1" si="38"/>
        <v>#NAME?</v>
      </c>
      <c r="AI233" s="3" t="e">
        <f t="shared" ca="1" si="39"/>
        <v>#NAME?</v>
      </c>
    </row>
    <row r="234" spans="7:35" x14ac:dyDescent="0.25">
      <c r="G234" s="3">
        <f t="shared" ca="1" si="34"/>
        <v>215</v>
      </c>
      <c r="H234" s="105">
        <f t="shared" ca="1" si="36"/>
        <v>45140</v>
      </c>
      <c r="I234" s="132" t="e">
        <f>HLOOKUP($H$4,'Met Data'!$A$2:$F$368,G234,FALSE)</f>
        <v>#N/A</v>
      </c>
      <c r="J234" s="132" t="e">
        <f ca="1">HLOOKUP($H$4,'Met Data'!$H$2:$M$368,G234,FALSE)*L234</f>
        <v>#N/A</v>
      </c>
      <c r="K234" s="106" t="e">
        <f>HLOOKUP($H$4,'Met Data'!$O$2:$T$368,G234,FALSE)</f>
        <v>#N/A</v>
      </c>
      <c r="L234">
        <f t="shared" ca="1" si="30"/>
        <v>1</v>
      </c>
      <c r="N234" t="e">
        <f t="shared" ca="1" si="35"/>
        <v>#NAME?</v>
      </c>
      <c r="O234" t="e">
        <f t="shared" ca="1" si="31"/>
        <v>#NAME?</v>
      </c>
      <c r="P234" s="2" t="e">
        <f ca="1"/>
        <v>#NAME?</v>
      </c>
      <c r="Q234" t="e">
        <f ca="1"/>
        <v>#NAME?</v>
      </c>
      <c r="R234" t="e">
        <f ca="1"/>
        <v>#NAME?</v>
      </c>
      <c r="S234" t="e">
        <f ca="1"/>
        <v>#NAME?</v>
      </c>
      <c r="T234" t="e">
        <f ca="1"/>
        <v>#NAME?</v>
      </c>
      <c r="U234" t="e">
        <f ca="1"/>
        <v>#NAME?</v>
      </c>
      <c r="V234" t="e">
        <f ca="1"/>
        <v>#NAME?</v>
      </c>
      <c r="W234" t="e">
        <f ca="1"/>
        <v>#NAME?</v>
      </c>
      <c r="X234" t="e">
        <f ca="1"/>
        <v>#NAME?</v>
      </c>
      <c r="Y234" t="e">
        <f ca="1"/>
        <v>#NAME?</v>
      </c>
      <c r="Z234" t="e">
        <f ca="1"/>
        <v>#NAME?</v>
      </c>
      <c r="AA234" t="e">
        <f ca="1"/>
        <v>#NAME?</v>
      </c>
      <c r="AB234" t="e">
        <f ca="1"/>
        <v>#NAME?</v>
      </c>
      <c r="AD234" s="2">
        <f t="shared" ca="1" si="32"/>
        <v>0</v>
      </c>
      <c r="AE234" s="46">
        <f t="shared" ca="1" si="33"/>
        <v>0</v>
      </c>
      <c r="AG234" s="72" t="e">
        <f t="shared" ca="1" si="37"/>
        <v>#NAME?</v>
      </c>
      <c r="AH234" s="72" t="e">
        <f t="shared" ca="1" si="38"/>
        <v>#NAME?</v>
      </c>
      <c r="AI234" s="3" t="e">
        <f t="shared" ca="1" si="39"/>
        <v>#NAME?</v>
      </c>
    </row>
    <row r="235" spans="7:35" x14ac:dyDescent="0.25">
      <c r="G235" s="3">
        <f t="shared" ca="1" si="34"/>
        <v>216</v>
      </c>
      <c r="H235" s="105">
        <f t="shared" ca="1" si="36"/>
        <v>45141</v>
      </c>
      <c r="I235" s="132" t="e">
        <f>HLOOKUP($H$4,'Met Data'!$A$2:$F$368,G235,FALSE)</f>
        <v>#N/A</v>
      </c>
      <c r="J235" s="132" t="e">
        <f ca="1">HLOOKUP($H$4,'Met Data'!$H$2:$M$368,G235,FALSE)*L235</f>
        <v>#N/A</v>
      </c>
      <c r="K235" s="106" t="e">
        <f>HLOOKUP($H$4,'Met Data'!$O$2:$T$368,G235,FALSE)</f>
        <v>#N/A</v>
      </c>
      <c r="L235">
        <f t="shared" ca="1" si="30"/>
        <v>1</v>
      </c>
      <c r="N235" t="e">
        <f t="shared" ca="1" si="35"/>
        <v>#NAME?</v>
      </c>
      <c r="O235" t="e">
        <f t="shared" ca="1" si="31"/>
        <v>#NAME?</v>
      </c>
      <c r="P235" s="2" t="e">
        <f ca="1"/>
        <v>#NAME?</v>
      </c>
      <c r="Q235" t="e">
        <f ca="1"/>
        <v>#NAME?</v>
      </c>
      <c r="R235" t="e">
        <f ca="1"/>
        <v>#NAME?</v>
      </c>
      <c r="S235" t="e">
        <f ca="1"/>
        <v>#NAME?</v>
      </c>
      <c r="T235" t="e">
        <f ca="1"/>
        <v>#NAME?</v>
      </c>
      <c r="U235" t="e">
        <f ca="1"/>
        <v>#NAME?</v>
      </c>
      <c r="V235" t="e">
        <f ca="1"/>
        <v>#NAME?</v>
      </c>
      <c r="W235" t="e">
        <f ca="1"/>
        <v>#NAME?</v>
      </c>
      <c r="X235" t="e">
        <f ca="1"/>
        <v>#NAME?</v>
      </c>
      <c r="Y235" t="e">
        <f ca="1"/>
        <v>#NAME?</v>
      </c>
      <c r="Z235" t="e">
        <f ca="1"/>
        <v>#NAME?</v>
      </c>
      <c r="AA235" t="e">
        <f ca="1"/>
        <v>#NAME?</v>
      </c>
      <c r="AB235" t="e">
        <f ca="1"/>
        <v>#NAME?</v>
      </c>
      <c r="AD235" s="2">
        <f t="shared" ca="1" si="32"/>
        <v>0</v>
      </c>
      <c r="AE235" s="46">
        <f t="shared" ca="1" si="33"/>
        <v>0</v>
      </c>
      <c r="AG235" s="72" t="e">
        <f t="shared" ca="1" si="37"/>
        <v>#NAME?</v>
      </c>
      <c r="AH235" s="72" t="e">
        <f t="shared" ca="1" si="38"/>
        <v>#NAME?</v>
      </c>
      <c r="AI235" s="3" t="e">
        <f t="shared" ca="1" si="39"/>
        <v>#NAME?</v>
      </c>
    </row>
    <row r="236" spans="7:35" x14ac:dyDescent="0.25">
      <c r="G236" s="3">
        <f t="shared" ca="1" si="34"/>
        <v>217</v>
      </c>
      <c r="H236" s="105">
        <f t="shared" ca="1" si="36"/>
        <v>45142</v>
      </c>
      <c r="I236" s="132" t="e">
        <f>HLOOKUP($H$4,'Met Data'!$A$2:$F$368,G236,FALSE)</f>
        <v>#N/A</v>
      </c>
      <c r="J236" s="132" t="e">
        <f ca="1">HLOOKUP($H$4,'Met Data'!$H$2:$M$368,G236,FALSE)*L236</f>
        <v>#N/A</v>
      </c>
      <c r="K236" s="106" t="e">
        <f>HLOOKUP($H$4,'Met Data'!$O$2:$T$368,G236,FALSE)</f>
        <v>#N/A</v>
      </c>
      <c r="L236">
        <f t="shared" ca="1" si="30"/>
        <v>1</v>
      </c>
      <c r="N236" t="e">
        <f t="shared" ca="1" si="35"/>
        <v>#NAME?</v>
      </c>
      <c r="O236" t="e">
        <f t="shared" ca="1" si="31"/>
        <v>#NAME?</v>
      </c>
      <c r="P236" s="2" t="e">
        <f ca="1"/>
        <v>#NAME?</v>
      </c>
      <c r="Q236" t="e">
        <f ca="1"/>
        <v>#NAME?</v>
      </c>
      <c r="R236" t="e">
        <f ca="1"/>
        <v>#NAME?</v>
      </c>
      <c r="S236" t="e">
        <f ca="1"/>
        <v>#NAME?</v>
      </c>
      <c r="T236" t="e">
        <f ca="1"/>
        <v>#NAME?</v>
      </c>
      <c r="U236" t="e">
        <f ca="1"/>
        <v>#NAME?</v>
      </c>
      <c r="V236" t="e">
        <f ca="1"/>
        <v>#NAME?</v>
      </c>
      <c r="W236" t="e">
        <f ca="1"/>
        <v>#NAME?</v>
      </c>
      <c r="X236" t="e">
        <f ca="1"/>
        <v>#NAME?</v>
      </c>
      <c r="Y236" t="e">
        <f ca="1"/>
        <v>#NAME?</v>
      </c>
      <c r="Z236" t="e">
        <f ca="1"/>
        <v>#NAME?</v>
      </c>
      <c r="AA236" t="e">
        <f ca="1"/>
        <v>#NAME?</v>
      </c>
      <c r="AB236" t="e">
        <f ca="1"/>
        <v>#NAME?</v>
      </c>
      <c r="AD236" s="2">
        <f t="shared" ca="1" si="32"/>
        <v>0</v>
      </c>
      <c r="AE236" s="46">
        <f t="shared" ca="1" si="33"/>
        <v>0</v>
      </c>
      <c r="AG236" s="72" t="e">
        <f t="shared" ca="1" si="37"/>
        <v>#NAME?</v>
      </c>
      <c r="AH236" s="72" t="e">
        <f t="shared" ca="1" si="38"/>
        <v>#NAME?</v>
      </c>
      <c r="AI236" s="3" t="e">
        <f t="shared" ca="1" si="39"/>
        <v>#NAME?</v>
      </c>
    </row>
    <row r="237" spans="7:35" x14ac:dyDescent="0.25">
      <c r="G237" s="3">
        <f t="shared" ca="1" si="34"/>
        <v>218</v>
      </c>
      <c r="H237" s="105">
        <f t="shared" ca="1" si="36"/>
        <v>45143</v>
      </c>
      <c r="I237" s="132" t="e">
        <f>HLOOKUP($H$4,'Met Data'!$A$2:$F$368,G237,FALSE)</f>
        <v>#N/A</v>
      </c>
      <c r="J237" s="132" t="e">
        <f ca="1">HLOOKUP($H$4,'Met Data'!$H$2:$M$368,G237,FALSE)*L237</f>
        <v>#N/A</v>
      </c>
      <c r="K237" s="106" t="e">
        <f>HLOOKUP($H$4,'Met Data'!$O$2:$T$368,G237,FALSE)</f>
        <v>#N/A</v>
      </c>
      <c r="L237">
        <f t="shared" ca="1" si="30"/>
        <v>1</v>
      </c>
      <c r="N237" t="e">
        <f t="shared" ca="1" si="35"/>
        <v>#NAME?</v>
      </c>
      <c r="O237" t="e">
        <f t="shared" ca="1" si="31"/>
        <v>#NAME?</v>
      </c>
      <c r="P237" s="2" t="e">
        <f ca="1"/>
        <v>#NAME?</v>
      </c>
      <c r="Q237" t="e">
        <f ca="1"/>
        <v>#NAME?</v>
      </c>
      <c r="R237" t="e">
        <f ca="1"/>
        <v>#NAME?</v>
      </c>
      <c r="S237" t="e">
        <f ca="1"/>
        <v>#NAME?</v>
      </c>
      <c r="T237" t="e">
        <f ca="1"/>
        <v>#NAME?</v>
      </c>
      <c r="U237" t="e">
        <f ca="1"/>
        <v>#NAME?</v>
      </c>
      <c r="V237" t="e">
        <f ca="1"/>
        <v>#NAME?</v>
      </c>
      <c r="W237" t="e">
        <f ca="1"/>
        <v>#NAME?</v>
      </c>
      <c r="X237" t="e">
        <f ca="1"/>
        <v>#NAME?</v>
      </c>
      <c r="Y237" t="e">
        <f ca="1"/>
        <v>#NAME?</v>
      </c>
      <c r="Z237" t="e">
        <f ca="1"/>
        <v>#NAME?</v>
      </c>
      <c r="AA237" t="e">
        <f ca="1"/>
        <v>#NAME?</v>
      </c>
      <c r="AB237" t="e">
        <f ca="1"/>
        <v>#NAME?</v>
      </c>
      <c r="AD237" s="2">
        <f t="shared" ca="1" si="32"/>
        <v>0</v>
      </c>
      <c r="AE237" s="46">
        <f t="shared" ca="1" si="33"/>
        <v>0</v>
      </c>
      <c r="AG237" s="72" t="e">
        <f t="shared" ca="1" si="37"/>
        <v>#NAME?</v>
      </c>
      <c r="AH237" s="72" t="e">
        <f t="shared" ca="1" si="38"/>
        <v>#NAME?</v>
      </c>
      <c r="AI237" s="3" t="e">
        <f t="shared" ca="1" si="39"/>
        <v>#NAME?</v>
      </c>
    </row>
    <row r="238" spans="7:35" x14ac:dyDescent="0.25">
      <c r="G238" s="3">
        <f t="shared" ca="1" si="34"/>
        <v>219</v>
      </c>
      <c r="H238" s="105">
        <f t="shared" ca="1" si="36"/>
        <v>45144</v>
      </c>
      <c r="I238" s="132" t="e">
        <f>HLOOKUP($H$4,'Met Data'!$A$2:$F$368,G238,FALSE)</f>
        <v>#N/A</v>
      </c>
      <c r="J238" s="132" t="e">
        <f ca="1">HLOOKUP($H$4,'Met Data'!$H$2:$M$368,G238,FALSE)*L238</f>
        <v>#N/A</v>
      </c>
      <c r="K238" s="106" t="e">
        <f>HLOOKUP($H$4,'Met Data'!$O$2:$T$368,G238,FALSE)</f>
        <v>#N/A</v>
      </c>
      <c r="L238">
        <f t="shared" ca="1" si="30"/>
        <v>1</v>
      </c>
      <c r="N238" t="e">
        <f t="shared" ca="1" si="35"/>
        <v>#NAME?</v>
      </c>
      <c r="O238" t="e">
        <f t="shared" ca="1" si="31"/>
        <v>#NAME?</v>
      </c>
      <c r="P238" s="2" t="e">
        <f ca="1"/>
        <v>#NAME?</v>
      </c>
      <c r="Q238" t="e">
        <f ca="1"/>
        <v>#NAME?</v>
      </c>
      <c r="R238" t="e">
        <f ca="1"/>
        <v>#NAME?</v>
      </c>
      <c r="S238" t="e">
        <f ca="1"/>
        <v>#NAME?</v>
      </c>
      <c r="T238" t="e">
        <f ca="1"/>
        <v>#NAME?</v>
      </c>
      <c r="U238" t="e">
        <f ca="1"/>
        <v>#NAME?</v>
      </c>
      <c r="V238" t="e">
        <f ca="1"/>
        <v>#NAME?</v>
      </c>
      <c r="W238" t="e">
        <f ca="1"/>
        <v>#NAME?</v>
      </c>
      <c r="X238" t="e">
        <f ca="1"/>
        <v>#NAME?</v>
      </c>
      <c r="Y238" t="e">
        <f ca="1"/>
        <v>#NAME?</v>
      </c>
      <c r="Z238" t="e">
        <f ca="1"/>
        <v>#NAME?</v>
      </c>
      <c r="AA238" t="e">
        <f ca="1"/>
        <v>#NAME?</v>
      </c>
      <c r="AB238" t="e">
        <f ca="1"/>
        <v>#NAME?</v>
      </c>
      <c r="AD238" s="2">
        <f t="shared" ca="1" si="32"/>
        <v>0</v>
      </c>
      <c r="AE238" s="46">
        <f t="shared" ca="1" si="33"/>
        <v>0</v>
      </c>
      <c r="AG238" s="72" t="e">
        <f t="shared" ca="1" si="37"/>
        <v>#NAME?</v>
      </c>
      <c r="AH238" s="72" t="e">
        <f t="shared" ca="1" si="38"/>
        <v>#NAME?</v>
      </c>
      <c r="AI238" s="3" t="e">
        <f t="shared" ca="1" si="39"/>
        <v>#NAME?</v>
      </c>
    </row>
    <row r="239" spans="7:35" x14ac:dyDescent="0.25">
      <c r="G239" s="3">
        <f t="shared" ca="1" si="34"/>
        <v>220</v>
      </c>
      <c r="H239" s="105">
        <f t="shared" ca="1" si="36"/>
        <v>45145</v>
      </c>
      <c r="I239" s="132" t="e">
        <f>HLOOKUP($H$4,'Met Data'!$A$2:$F$368,G239,FALSE)</f>
        <v>#N/A</v>
      </c>
      <c r="J239" s="132" t="e">
        <f ca="1">HLOOKUP($H$4,'Met Data'!$H$2:$M$368,G239,FALSE)*L239</f>
        <v>#N/A</v>
      </c>
      <c r="K239" s="106" t="e">
        <f>HLOOKUP($H$4,'Met Data'!$O$2:$T$368,G239,FALSE)</f>
        <v>#N/A</v>
      </c>
      <c r="L239">
        <f t="shared" ca="1" si="30"/>
        <v>1</v>
      </c>
      <c r="N239" t="e">
        <f t="shared" ca="1" si="35"/>
        <v>#NAME?</v>
      </c>
      <c r="O239" t="e">
        <f t="shared" ca="1" si="31"/>
        <v>#NAME?</v>
      </c>
      <c r="P239" s="2" t="e">
        <f ca="1"/>
        <v>#NAME?</v>
      </c>
      <c r="Q239" t="e">
        <f ca="1"/>
        <v>#NAME?</v>
      </c>
      <c r="R239" t="e">
        <f ca="1"/>
        <v>#NAME?</v>
      </c>
      <c r="S239" t="e">
        <f ca="1"/>
        <v>#NAME?</v>
      </c>
      <c r="T239" t="e">
        <f ca="1"/>
        <v>#NAME?</v>
      </c>
      <c r="U239" t="e">
        <f ca="1"/>
        <v>#NAME?</v>
      </c>
      <c r="V239" t="e">
        <f ca="1"/>
        <v>#NAME?</v>
      </c>
      <c r="W239" t="e">
        <f ca="1"/>
        <v>#NAME?</v>
      </c>
      <c r="X239" t="e">
        <f ca="1"/>
        <v>#NAME?</v>
      </c>
      <c r="Y239" t="e">
        <f ca="1"/>
        <v>#NAME?</v>
      </c>
      <c r="Z239" t="e">
        <f ca="1"/>
        <v>#NAME?</v>
      </c>
      <c r="AA239" t="e">
        <f ca="1"/>
        <v>#NAME?</v>
      </c>
      <c r="AB239" t="e">
        <f ca="1"/>
        <v>#NAME?</v>
      </c>
      <c r="AD239" s="2">
        <f t="shared" ca="1" si="32"/>
        <v>0</v>
      </c>
      <c r="AE239" s="46">
        <f t="shared" ca="1" si="33"/>
        <v>0</v>
      </c>
      <c r="AG239" s="72" t="e">
        <f t="shared" ca="1" si="37"/>
        <v>#NAME?</v>
      </c>
      <c r="AH239" s="72" t="e">
        <f t="shared" ca="1" si="38"/>
        <v>#NAME?</v>
      </c>
      <c r="AI239" s="3" t="e">
        <f t="shared" ca="1" si="39"/>
        <v>#NAME?</v>
      </c>
    </row>
    <row r="240" spans="7:35" x14ac:dyDescent="0.25">
      <c r="G240" s="3">
        <f t="shared" ca="1" si="34"/>
        <v>221</v>
      </c>
      <c r="H240" s="105">
        <f t="shared" ca="1" si="36"/>
        <v>45146</v>
      </c>
      <c r="I240" s="132" t="e">
        <f>HLOOKUP($H$4,'Met Data'!$A$2:$F$368,G240,FALSE)</f>
        <v>#N/A</v>
      </c>
      <c r="J240" s="132" t="e">
        <f ca="1">HLOOKUP($H$4,'Met Data'!$H$2:$M$368,G240,FALSE)*L240</f>
        <v>#N/A</v>
      </c>
      <c r="K240" s="106" t="e">
        <f>HLOOKUP($H$4,'Met Data'!$O$2:$T$368,G240,FALSE)</f>
        <v>#N/A</v>
      </c>
      <c r="L240">
        <f t="shared" ca="1" si="30"/>
        <v>1</v>
      </c>
      <c r="N240" t="e">
        <f t="shared" ca="1" si="35"/>
        <v>#NAME?</v>
      </c>
      <c r="O240" t="e">
        <f t="shared" ca="1" si="31"/>
        <v>#NAME?</v>
      </c>
      <c r="P240" s="2" t="e">
        <f ca="1"/>
        <v>#NAME?</v>
      </c>
      <c r="Q240" t="e">
        <f ca="1"/>
        <v>#NAME?</v>
      </c>
      <c r="R240" t="e">
        <f ca="1"/>
        <v>#NAME?</v>
      </c>
      <c r="S240" t="e">
        <f ca="1"/>
        <v>#NAME?</v>
      </c>
      <c r="T240" t="e">
        <f ca="1"/>
        <v>#NAME?</v>
      </c>
      <c r="U240" t="e">
        <f ca="1"/>
        <v>#NAME?</v>
      </c>
      <c r="V240" t="e">
        <f ca="1"/>
        <v>#NAME?</v>
      </c>
      <c r="W240" t="e">
        <f ca="1"/>
        <v>#NAME?</v>
      </c>
      <c r="X240" t="e">
        <f ca="1"/>
        <v>#NAME?</v>
      </c>
      <c r="Y240" t="e">
        <f ca="1"/>
        <v>#NAME?</v>
      </c>
      <c r="Z240" t="e">
        <f ca="1"/>
        <v>#NAME?</v>
      </c>
      <c r="AA240" t="e">
        <f ca="1"/>
        <v>#NAME?</v>
      </c>
      <c r="AB240" t="e">
        <f ca="1"/>
        <v>#NAME?</v>
      </c>
      <c r="AD240" s="2">
        <f t="shared" ca="1" si="32"/>
        <v>0</v>
      </c>
      <c r="AE240" s="46">
        <f t="shared" ca="1" si="33"/>
        <v>0</v>
      </c>
      <c r="AG240" s="72" t="e">
        <f t="shared" ca="1" si="37"/>
        <v>#NAME?</v>
      </c>
      <c r="AH240" s="72" t="e">
        <f t="shared" ca="1" si="38"/>
        <v>#NAME?</v>
      </c>
      <c r="AI240" s="3" t="e">
        <f t="shared" ca="1" si="39"/>
        <v>#NAME?</v>
      </c>
    </row>
    <row r="241" spans="7:35" x14ac:dyDescent="0.25">
      <c r="G241" s="3">
        <f t="shared" ca="1" si="34"/>
        <v>222</v>
      </c>
      <c r="H241" s="105">
        <f t="shared" ca="1" si="36"/>
        <v>45147</v>
      </c>
      <c r="I241" s="132" t="e">
        <f>HLOOKUP($H$4,'Met Data'!$A$2:$F$368,G241,FALSE)</f>
        <v>#N/A</v>
      </c>
      <c r="J241" s="132" t="e">
        <f ca="1">HLOOKUP($H$4,'Met Data'!$H$2:$M$368,G241,FALSE)*L241</f>
        <v>#N/A</v>
      </c>
      <c r="K241" s="106" t="e">
        <f>HLOOKUP($H$4,'Met Data'!$O$2:$T$368,G241,FALSE)</f>
        <v>#N/A</v>
      </c>
      <c r="L241">
        <f t="shared" ca="1" si="30"/>
        <v>1</v>
      </c>
      <c r="N241" t="e">
        <f t="shared" ca="1" si="35"/>
        <v>#NAME?</v>
      </c>
      <c r="O241" t="e">
        <f t="shared" ca="1" si="31"/>
        <v>#NAME?</v>
      </c>
      <c r="P241" s="2" t="e">
        <f ca="1"/>
        <v>#NAME?</v>
      </c>
      <c r="Q241" t="e">
        <f ca="1"/>
        <v>#NAME?</v>
      </c>
      <c r="R241" t="e">
        <f ca="1"/>
        <v>#NAME?</v>
      </c>
      <c r="S241" t="e">
        <f ca="1"/>
        <v>#NAME?</v>
      </c>
      <c r="T241" t="e">
        <f ca="1"/>
        <v>#NAME?</v>
      </c>
      <c r="U241" t="e">
        <f ca="1"/>
        <v>#NAME?</v>
      </c>
      <c r="V241" t="e">
        <f ca="1"/>
        <v>#NAME?</v>
      </c>
      <c r="W241" t="e">
        <f ca="1"/>
        <v>#NAME?</v>
      </c>
      <c r="X241" t="e">
        <f ca="1"/>
        <v>#NAME?</v>
      </c>
      <c r="Y241" t="e">
        <f ca="1"/>
        <v>#NAME?</v>
      </c>
      <c r="Z241" t="e">
        <f ca="1"/>
        <v>#NAME?</v>
      </c>
      <c r="AA241" t="e">
        <f ca="1"/>
        <v>#NAME?</v>
      </c>
      <c r="AB241" t="e">
        <f ca="1"/>
        <v>#NAME?</v>
      </c>
      <c r="AD241" s="2">
        <f t="shared" ca="1" si="32"/>
        <v>0</v>
      </c>
      <c r="AE241" s="46">
        <f t="shared" ca="1" si="33"/>
        <v>0</v>
      </c>
      <c r="AG241" s="72" t="e">
        <f t="shared" ca="1" si="37"/>
        <v>#NAME?</v>
      </c>
      <c r="AH241" s="72" t="e">
        <f t="shared" ca="1" si="38"/>
        <v>#NAME?</v>
      </c>
      <c r="AI241" s="3" t="e">
        <f t="shared" ca="1" si="39"/>
        <v>#NAME?</v>
      </c>
    </row>
    <row r="242" spans="7:35" x14ac:dyDescent="0.25">
      <c r="G242" s="3">
        <f t="shared" ca="1" si="34"/>
        <v>223</v>
      </c>
      <c r="H242" s="105">
        <f t="shared" ca="1" si="36"/>
        <v>45148</v>
      </c>
      <c r="I242" s="132" t="e">
        <f>HLOOKUP($H$4,'Met Data'!$A$2:$F$368,G242,FALSE)</f>
        <v>#N/A</v>
      </c>
      <c r="J242" s="132" t="e">
        <f ca="1">HLOOKUP($H$4,'Met Data'!$H$2:$M$368,G242,FALSE)*L242</f>
        <v>#N/A</v>
      </c>
      <c r="K242" s="106" t="e">
        <f>HLOOKUP($H$4,'Met Data'!$O$2:$T$368,G242,FALSE)</f>
        <v>#N/A</v>
      </c>
      <c r="L242">
        <f t="shared" ca="1" si="30"/>
        <v>1</v>
      </c>
      <c r="N242" t="e">
        <f t="shared" ca="1" si="35"/>
        <v>#NAME?</v>
      </c>
      <c r="O242" t="e">
        <f t="shared" ca="1" si="31"/>
        <v>#NAME?</v>
      </c>
      <c r="P242" s="2" t="e">
        <f ca="1"/>
        <v>#NAME?</v>
      </c>
      <c r="Q242" t="e">
        <f ca="1"/>
        <v>#NAME?</v>
      </c>
      <c r="R242" t="e">
        <f ca="1"/>
        <v>#NAME?</v>
      </c>
      <c r="S242" t="e">
        <f ca="1"/>
        <v>#NAME?</v>
      </c>
      <c r="T242" t="e">
        <f ca="1"/>
        <v>#NAME?</v>
      </c>
      <c r="U242" t="e">
        <f ca="1"/>
        <v>#NAME?</v>
      </c>
      <c r="V242" t="e">
        <f ca="1"/>
        <v>#NAME?</v>
      </c>
      <c r="W242" t="e">
        <f ca="1"/>
        <v>#NAME?</v>
      </c>
      <c r="X242" t="e">
        <f ca="1"/>
        <v>#NAME?</v>
      </c>
      <c r="Y242" t="e">
        <f ca="1"/>
        <v>#NAME?</v>
      </c>
      <c r="Z242" t="e">
        <f ca="1"/>
        <v>#NAME?</v>
      </c>
      <c r="AA242" t="e">
        <f ca="1"/>
        <v>#NAME?</v>
      </c>
      <c r="AB242" t="e">
        <f ca="1"/>
        <v>#NAME?</v>
      </c>
      <c r="AD242" s="2">
        <f t="shared" ca="1" si="32"/>
        <v>0</v>
      </c>
      <c r="AE242" s="46">
        <f t="shared" ca="1" si="33"/>
        <v>0</v>
      </c>
      <c r="AG242" s="72" t="e">
        <f t="shared" ca="1" si="37"/>
        <v>#NAME?</v>
      </c>
      <c r="AH242" s="72" t="e">
        <f t="shared" ca="1" si="38"/>
        <v>#NAME?</v>
      </c>
      <c r="AI242" s="3" t="e">
        <f t="shared" ca="1" si="39"/>
        <v>#NAME?</v>
      </c>
    </row>
    <row r="243" spans="7:35" x14ac:dyDescent="0.25">
      <c r="G243" s="3">
        <f t="shared" ca="1" si="34"/>
        <v>224</v>
      </c>
      <c r="H243" s="105">
        <f t="shared" ca="1" si="36"/>
        <v>45149</v>
      </c>
      <c r="I243" s="132" t="e">
        <f>HLOOKUP($H$4,'Met Data'!$A$2:$F$368,G243,FALSE)</f>
        <v>#N/A</v>
      </c>
      <c r="J243" s="132" t="e">
        <f ca="1">HLOOKUP($H$4,'Met Data'!$H$2:$M$368,G243,FALSE)*L243</f>
        <v>#N/A</v>
      </c>
      <c r="K243" s="106" t="e">
        <f>HLOOKUP($H$4,'Met Data'!$O$2:$T$368,G243,FALSE)</f>
        <v>#N/A</v>
      </c>
      <c r="L243">
        <f t="shared" ca="1" si="30"/>
        <v>1</v>
      </c>
      <c r="N243" t="e">
        <f t="shared" ca="1" si="35"/>
        <v>#NAME?</v>
      </c>
      <c r="O243" t="e">
        <f t="shared" ca="1" si="31"/>
        <v>#NAME?</v>
      </c>
      <c r="P243" s="2" t="e">
        <f ca="1"/>
        <v>#NAME?</v>
      </c>
      <c r="Q243" t="e">
        <f ca="1"/>
        <v>#NAME?</v>
      </c>
      <c r="R243" t="e">
        <f ca="1"/>
        <v>#NAME?</v>
      </c>
      <c r="S243" t="e">
        <f ca="1"/>
        <v>#NAME?</v>
      </c>
      <c r="T243" t="e">
        <f ca="1"/>
        <v>#NAME?</v>
      </c>
      <c r="U243" t="e">
        <f ca="1"/>
        <v>#NAME?</v>
      </c>
      <c r="V243" t="e">
        <f ca="1"/>
        <v>#NAME?</v>
      </c>
      <c r="W243" t="e">
        <f ca="1"/>
        <v>#NAME?</v>
      </c>
      <c r="X243" t="e">
        <f ca="1"/>
        <v>#NAME?</v>
      </c>
      <c r="Y243" t="e">
        <f ca="1"/>
        <v>#NAME?</v>
      </c>
      <c r="Z243" t="e">
        <f ca="1"/>
        <v>#NAME?</v>
      </c>
      <c r="AA243" t="e">
        <f ca="1"/>
        <v>#NAME?</v>
      </c>
      <c r="AB243" t="e">
        <f ca="1"/>
        <v>#NAME?</v>
      </c>
      <c r="AD243" s="2">
        <f t="shared" ca="1" si="32"/>
        <v>0</v>
      </c>
      <c r="AE243" s="46">
        <f t="shared" ca="1" si="33"/>
        <v>0</v>
      </c>
      <c r="AG243" s="72" t="e">
        <f t="shared" ca="1" si="37"/>
        <v>#NAME?</v>
      </c>
      <c r="AH243" s="72" t="e">
        <f t="shared" ca="1" si="38"/>
        <v>#NAME?</v>
      </c>
      <c r="AI243" s="3" t="e">
        <f t="shared" ca="1" si="39"/>
        <v>#NAME?</v>
      </c>
    </row>
    <row r="244" spans="7:35" x14ac:dyDescent="0.25">
      <c r="G244" s="3">
        <f t="shared" ca="1" si="34"/>
        <v>225</v>
      </c>
      <c r="H244" s="105">
        <f t="shared" ca="1" si="36"/>
        <v>45150</v>
      </c>
      <c r="I244" s="132" t="e">
        <f>HLOOKUP($H$4,'Met Data'!$A$2:$F$368,G244,FALSE)</f>
        <v>#N/A</v>
      </c>
      <c r="J244" s="132" t="e">
        <f ca="1">HLOOKUP($H$4,'Met Data'!$H$2:$M$368,G244,FALSE)*L244</f>
        <v>#N/A</v>
      </c>
      <c r="K244" s="106" t="e">
        <f>HLOOKUP($H$4,'Met Data'!$O$2:$T$368,G244,FALSE)</f>
        <v>#N/A</v>
      </c>
      <c r="L244">
        <f t="shared" ca="1" si="30"/>
        <v>1</v>
      </c>
      <c r="N244" t="e">
        <f t="shared" ca="1" si="35"/>
        <v>#NAME?</v>
      </c>
      <c r="O244" t="e">
        <f t="shared" ca="1" si="31"/>
        <v>#NAME?</v>
      </c>
      <c r="P244" s="2" t="e">
        <f ca="1"/>
        <v>#NAME?</v>
      </c>
      <c r="Q244" t="e">
        <f ca="1"/>
        <v>#NAME?</v>
      </c>
      <c r="R244" t="e">
        <f ca="1"/>
        <v>#NAME?</v>
      </c>
      <c r="S244" t="e">
        <f ca="1"/>
        <v>#NAME?</v>
      </c>
      <c r="T244" t="e">
        <f ca="1"/>
        <v>#NAME?</v>
      </c>
      <c r="U244" t="e">
        <f ca="1"/>
        <v>#NAME?</v>
      </c>
      <c r="V244" t="e">
        <f ca="1"/>
        <v>#NAME?</v>
      </c>
      <c r="W244" t="e">
        <f ca="1"/>
        <v>#NAME?</v>
      </c>
      <c r="X244" t="e">
        <f ca="1"/>
        <v>#NAME?</v>
      </c>
      <c r="Y244" t="e">
        <f ca="1"/>
        <v>#NAME?</v>
      </c>
      <c r="Z244" t="e">
        <f ca="1"/>
        <v>#NAME?</v>
      </c>
      <c r="AA244" t="e">
        <f ca="1"/>
        <v>#NAME?</v>
      </c>
      <c r="AB244" t="e">
        <f ca="1"/>
        <v>#NAME?</v>
      </c>
      <c r="AD244" s="2">
        <f t="shared" ca="1" si="32"/>
        <v>0</v>
      </c>
      <c r="AE244" s="46">
        <f t="shared" ca="1" si="33"/>
        <v>0</v>
      </c>
      <c r="AG244" s="72" t="e">
        <f t="shared" ca="1" si="37"/>
        <v>#NAME?</v>
      </c>
      <c r="AH244" s="72" t="e">
        <f t="shared" ca="1" si="38"/>
        <v>#NAME?</v>
      </c>
      <c r="AI244" s="3" t="e">
        <f t="shared" ca="1" si="39"/>
        <v>#NAME?</v>
      </c>
    </row>
    <row r="245" spans="7:35" x14ac:dyDescent="0.25">
      <c r="G245" s="3">
        <f t="shared" ca="1" si="34"/>
        <v>226</v>
      </c>
      <c r="H245" s="105">
        <f t="shared" ca="1" si="36"/>
        <v>45151</v>
      </c>
      <c r="I245" s="132" t="e">
        <f>HLOOKUP($H$4,'Met Data'!$A$2:$F$368,G245,FALSE)</f>
        <v>#N/A</v>
      </c>
      <c r="J245" s="132" t="e">
        <f ca="1">HLOOKUP($H$4,'Met Data'!$H$2:$M$368,G245,FALSE)*L245</f>
        <v>#N/A</v>
      </c>
      <c r="K245" s="106" t="e">
        <f>HLOOKUP($H$4,'Met Data'!$O$2:$T$368,G245,FALSE)</f>
        <v>#N/A</v>
      </c>
      <c r="L245">
        <f t="shared" ca="1" si="30"/>
        <v>1</v>
      </c>
      <c r="N245" t="e">
        <f t="shared" ca="1" si="35"/>
        <v>#NAME?</v>
      </c>
      <c r="O245" t="e">
        <f t="shared" ca="1" si="31"/>
        <v>#NAME?</v>
      </c>
      <c r="P245" s="2" t="e">
        <f ca="1"/>
        <v>#NAME?</v>
      </c>
      <c r="Q245" t="e">
        <f ca="1"/>
        <v>#NAME?</v>
      </c>
      <c r="R245" t="e">
        <f ca="1"/>
        <v>#NAME?</v>
      </c>
      <c r="S245" t="e">
        <f ca="1"/>
        <v>#NAME?</v>
      </c>
      <c r="T245" t="e">
        <f ca="1"/>
        <v>#NAME?</v>
      </c>
      <c r="U245" t="e">
        <f ca="1"/>
        <v>#NAME?</v>
      </c>
      <c r="V245" t="e">
        <f ca="1"/>
        <v>#NAME?</v>
      </c>
      <c r="W245" t="e">
        <f ca="1"/>
        <v>#NAME?</v>
      </c>
      <c r="X245" t="e">
        <f ca="1"/>
        <v>#NAME?</v>
      </c>
      <c r="Y245" t="e">
        <f ca="1"/>
        <v>#NAME?</v>
      </c>
      <c r="Z245" t="e">
        <f ca="1"/>
        <v>#NAME?</v>
      </c>
      <c r="AA245" t="e">
        <f ca="1"/>
        <v>#NAME?</v>
      </c>
      <c r="AB245" t="e">
        <f ca="1"/>
        <v>#NAME?</v>
      </c>
      <c r="AD245" s="2">
        <f t="shared" ca="1" si="32"/>
        <v>0</v>
      </c>
      <c r="AE245" s="46">
        <f t="shared" ca="1" si="33"/>
        <v>0</v>
      </c>
      <c r="AG245" s="72" t="e">
        <f t="shared" ca="1" si="37"/>
        <v>#NAME?</v>
      </c>
      <c r="AH245" s="72" t="e">
        <f t="shared" ca="1" si="38"/>
        <v>#NAME?</v>
      </c>
      <c r="AI245" s="3" t="e">
        <f t="shared" ca="1" si="39"/>
        <v>#NAME?</v>
      </c>
    </row>
    <row r="246" spans="7:35" x14ac:dyDescent="0.25">
      <c r="G246" s="3">
        <f t="shared" ca="1" si="34"/>
        <v>227</v>
      </c>
      <c r="H246" s="105">
        <f t="shared" ca="1" si="36"/>
        <v>45152</v>
      </c>
      <c r="I246" s="132" t="e">
        <f>HLOOKUP($H$4,'Met Data'!$A$2:$F$368,G246,FALSE)</f>
        <v>#N/A</v>
      </c>
      <c r="J246" s="132" t="e">
        <f ca="1">HLOOKUP($H$4,'Met Data'!$H$2:$M$368,G246,FALSE)*L246</f>
        <v>#N/A</v>
      </c>
      <c r="K246" s="106" t="e">
        <f>HLOOKUP($H$4,'Met Data'!$O$2:$T$368,G246,FALSE)</f>
        <v>#N/A</v>
      </c>
      <c r="L246">
        <f t="shared" ca="1" si="30"/>
        <v>1</v>
      </c>
      <c r="N246" t="e">
        <f t="shared" ca="1" si="35"/>
        <v>#NAME?</v>
      </c>
      <c r="O246" t="e">
        <f t="shared" ca="1" si="31"/>
        <v>#NAME?</v>
      </c>
      <c r="P246" s="2" t="e">
        <f ca="1"/>
        <v>#NAME?</v>
      </c>
      <c r="Q246" t="e">
        <f ca="1"/>
        <v>#NAME?</v>
      </c>
      <c r="R246" t="e">
        <f ca="1"/>
        <v>#NAME?</v>
      </c>
      <c r="S246" t="e">
        <f ca="1"/>
        <v>#NAME?</v>
      </c>
      <c r="T246" t="e">
        <f ca="1"/>
        <v>#NAME?</v>
      </c>
      <c r="U246" t="e">
        <f ca="1"/>
        <v>#NAME?</v>
      </c>
      <c r="V246" t="e">
        <f ca="1"/>
        <v>#NAME?</v>
      </c>
      <c r="W246" t="e">
        <f ca="1"/>
        <v>#NAME?</v>
      </c>
      <c r="X246" t="e">
        <f ca="1"/>
        <v>#NAME?</v>
      </c>
      <c r="Y246" t="e">
        <f ca="1"/>
        <v>#NAME?</v>
      </c>
      <c r="Z246" t="e">
        <f ca="1"/>
        <v>#NAME?</v>
      </c>
      <c r="AA246" t="e">
        <f ca="1"/>
        <v>#NAME?</v>
      </c>
      <c r="AB246" t="e">
        <f ca="1"/>
        <v>#NAME?</v>
      </c>
      <c r="AD246" s="2">
        <f t="shared" ca="1" si="32"/>
        <v>0</v>
      </c>
      <c r="AE246" s="46">
        <f t="shared" ca="1" si="33"/>
        <v>0</v>
      </c>
      <c r="AG246" s="72" t="e">
        <f t="shared" ca="1" si="37"/>
        <v>#NAME?</v>
      </c>
      <c r="AH246" s="72" t="e">
        <f t="shared" ca="1" si="38"/>
        <v>#NAME?</v>
      </c>
      <c r="AI246" s="3" t="e">
        <f t="shared" ca="1" si="39"/>
        <v>#NAME?</v>
      </c>
    </row>
    <row r="247" spans="7:35" x14ac:dyDescent="0.25">
      <c r="G247" s="3">
        <f t="shared" ca="1" si="34"/>
        <v>228</v>
      </c>
      <c r="H247" s="105">
        <f t="shared" ca="1" si="36"/>
        <v>45153</v>
      </c>
      <c r="I247" s="132" t="e">
        <f>HLOOKUP($H$4,'Met Data'!$A$2:$F$368,G247,FALSE)</f>
        <v>#N/A</v>
      </c>
      <c r="J247" s="132" t="e">
        <f ca="1">HLOOKUP($H$4,'Met Data'!$H$2:$M$368,G247,FALSE)*L247</f>
        <v>#N/A</v>
      </c>
      <c r="K247" s="106" t="e">
        <f>HLOOKUP($H$4,'Met Data'!$O$2:$T$368,G247,FALSE)</f>
        <v>#N/A</v>
      </c>
      <c r="L247">
        <f t="shared" ca="1" si="30"/>
        <v>1</v>
      </c>
      <c r="N247" t="e">
        <f t="shared" ca="1" si="35"/>
        <v>#NAME?</v>
      </c>
      <c r="O247" t="e">
        <f t="shared" ca="1" si="31"/>
        <v>#NAME?</v>
      </c>
      <c r="P247" s="2" t="e">
        <f ca="1"/>
        <v>#NAME?</v>
      </c>
      <c r="Q247" t="e">
        <f ca="1"/>
        <v>#NAME?</v>
      </c>
      <c r="R247" t="e">
        <f ca="1"/>
        <v>#NAME?</v>
      </c>
      <c r="S247" t="e">
        <f ca="1"/>
        <v>#NAME?</v>
      </c>
      <c r="T247" t="e">
        <f ca="1"/>
        <v>#NAME?</v>
      </c>
      <c r="U247" t="e">
        <f ca="1"/>
        <v>#NAME?</v>
      </c>
      <c r="V247" t="e">
        <f ca="1"/>
        <v>#NAME?</v>
      </c>
      <c r="W247" t="e">
        <f ca="1"/>
        <v>#NAME?</v>
      </c>
      <c r="X247" t="e">
        <f ca="1"/>
        <v>#NAME?</v>
      </c>
      <c r="Y247" t="e">
        <f ca="1"/>
        <v>#NAME?</v>
      </c>
      <c r="Z247" t="e">
        <f ca="1"/>
        <v>#NAME?</v>
      </c>
      <c r="AA247" t="e">
        <f ca="1"/>
        <v>#NAME?</v>
      </c>
      <c r="AB247" t="e">
        <f ca="1"/>
        <v>#NAME?</v>
      </c>
      <c r="AD247" s="2">
        <f t="shared" ca="1" si="32"/>
        <v>0</v>
      </c>
      <c r="AE247" s="46">
        <f t="shared" ca="1" si="33"/>
        <v>0</v>
      </c>
      <c r="AG247" s="72" t="e">
        <f t="shared" ca="1" si="37"/>
        <v>#NAME?</v>
      </c>
      <c r="AH247" s="72" t="e">
        <f t="shared" ca="1" si="38"/>
        <v>#NAME?</v>
      </c>
      <c r="AI247" s="3" t="e">
        <f t="shared" ca="1" si="39"/>
        <v>#NAME?</v>
      </c>
    </row>
    <row r="248" spans="7:35" x14ac:dyDescent="0.25">
      <c r="G248" s="3">
        <f t="shared" ca="1" si="34"/>
        <v>229</v>
      </c>
      <c r="H248" s="105">
        <f t="shared" ca="1" si="36"/>
        <v>45154</v>
      </c>
      <c r="I248" s="132" t="e">
        <f>HLOOKUP($H$4,'Met Data'!$A$2:$F$368,G248,FALSE)</f>
        <v>#N/A</v>
      </c>
      <c r="J248" s="132" t="e">
        <f ca="1">HLOOKUP($H$4,'Met Data'!$H$2:$M$368,G248,FALSE)*L248</f>
        <v>#N/A</v>
      </c>
      <c r="K248" s="106" t="e">
        <f>HLOOKUP($H$4,'Met Data'!$O$2:$T$368,G248,FALSE)</f>
        <v>#N/A</v>
      </c>
      <c r="L248">
        <f t="shared" ca="1" si="30"/>
        <v>1</v>
      </c>
      <c r="N248" t="e">
        <f t="shared" ca="1" si="35"/>
        <v>#NAME?</v>
      </c>
      <c r="O248" t="e">
        <f t="shared" ca="1" si="31"/>
        <v>#NAME?</v>
      </c>
      <c r="P248" s="2" t="e">
        <f ca="1"/>
        <v>#NAME?</v>
      </c>
      <c r="Q248" t="e">
        <f ca="1"/>
        <v>#NAME?</v>
      </c>
      <c r="R248" t="e">
        <f ca="1"/>
        <v>#NAME?</v>
      </c>
      <c r="S248" t="e">
        <f ca="1"/>
        <v>#NAME?</v>
      </c>
      <c r="T248" t="e">
        <f ca="1"/>
        <v>#NAME?</v>
      </c>
      <c r="U248" t="e">
        <f ca="1"/>
        <v>#NAME?</v>
      </c>
      <c r="V248" t="e">
        <f ca="1"/>
        <v>#NAME?</v>
      </c>
      <c r="W248" t="e">
        <f ca="1"/>
        <v>#NAME?</v>
      </c>
      <c r="X248" t="e">
        <f ca="1"/>
        <v>#NAME?</v>
      </c>
      <c r="Y248" t="e">
        <f ca="1"/>
        <v>#NAME?</v>
      </c>
      <c r="Z248" t="e">
        <f ca="1"/>
        <v>#NAME?</v>
      </c>
      <c r="AA248" t="e">
        <f ca="1"/>
        <v>#NAME?</v>
      </c>
      <c r="AB248" t="e">
        <f ca="1"/>
        <v>#NAME?</v>
      </c>
      <c r="AD248" s="2">
        <f t="shared" ca="1" si="32"/>
        <v>0</v>
      </c>
      <c r="AE248" s="46">
        <f t="shared" ca="1" si="33"/>
        <v>0</v>
      </c>
      <c r="AG248" s="72" t="e">
        <f t="shared" ca="1" si="37"/>
        <v>#NAME?</v>
      </c>
      <c r="AH248" s="72" t="e">
        <f t="shared" ca="1" si="38"/>
        <v>#NAME?</v>
      </c>
      <c r="AI248" s="3" t="e">
        <f t="shared" ca="1" si="39"/>
        <v>#NAME?</v>
      </c>
    </row>
    <row r="249" spans="7:35" x14ac:dyDescent="0.25">
      <c r="G249" s="3">
        <f t="shared" ca="1" si="34"/>
        <v>230</v>
      </c>
      <c r="H249" s="105">
        <f t="shared" ca="1" si="36"/>
        <v>45155</v>
      </c>
      <c r="I249" s="132" t="e">
        <f>HLOOKUP($H$4,'Met Data'!$A$2:$F$368,G249,FALSE)</f>
        <v>#N/A</v>
      </c>
      <c r="J249" s="132" t="e">
        <f ca="1">HLOOKUP($H$4,'Met Data'!$H$2:$M$368,G249,FALSE)*L249</f>
        <v>#N/A</v>
      </c>
      <c r="K249" s="106" t="e">
        <f>HLOOKUP($H$4,'Met Data'!$O$2:$T$368,G249,FALSE)</f>
        <v>#N/A</v>
      </c>
      <c r="L249">
        <f t="shared" ca="1" si="30"/>
        <v>1</v>
      </c>
      <c r="N249" t="e">
        <f t="shared" ca="1" si="35"/>
        <v>#NAME?</v>
      </c>
      <c r="O249" t="e">
        <f t="shared" ca="1" si="31"/>
        <v>#NAME?</v>
      </c>
      <c r="P249" s="2" t="e">
        <f ca="1"/>
        <v>#NAME?</v>
      </c>
      <c r="Q249" t="e">
        <f ca="1"/>
        <v>#NAME?</v>
      </c>
      <c r="R249" t="e">
        <f ca="1"/>
        <v>#NAME?</v>
      </c>
      <c r="S249" t="e">
        <f ca="1"/>
        <v>#NAME?</v>
      </c>
      <c r="T249" t="e">
        <f ca="1"/>
        <v>#NAME?</v>
      </c>
      <c r="U249" t="e">
        <f ca="1"/>
        <v>#NAME?</v>
      </c>
      <c r="V249" t="e">
        <f ca="1"/>
        <v>#NAME?</v>
      </c>
      <c r="W249" t="e">
        <f ca="1"/>
        <v>#NAME?</v>
      </c>
      <c r="X249" t="e">
        <f ca="1"/>
        <v>#NAME?</v>
      </c>
      <c r="Y249" t="e">
        <f ca="1"/>
        <v>#NAME?</v>
      </c>
      <c r="Z249" t="e">
        <f ca="1"/>
        <v>#NAME?</v>
      </c>
      <c r="AA249" t="e">
        <f ca="1"/>
        <v>#NAME?</v>
      </c>
      <c r="AB249" t="e">
        <f ca="1"/>
        <v>#NAME?</v>
      </c>
      <c r="AD249" s="2">
        <f t="shared" ca="1" si="32"/>
        <v>0</v>
      </c>
      <c r="AE249" s="46">
        <f t="shared" ca="1" si="33"/>
        <v>0</v>
      </c>
      <c r="AG249" s="72" t="e">
        <f t="shared" ca="1" si="37"/>
        <v>#NAME?</v>
      </c>
      <c r="AH249" s="72" t="e">
        <f t="shared" ca="1" si="38"/>
        <v>#NAME?</v>
      </c>
      <c r="AI249" s="3" t="e">
        <f t="shared" ca="1" si="39"/>
        <v>#NAME?</v>
      </c>
    </row>
    <row r="250" spans="7:35" x14ac:dyDescent="0.25">
      <c r="G250" s="3">
        <f t="shared" ca="1" si="34"/>
        <v>231</v>
      </c>
      <c r="H250" s="105">
        <f t="shared" ca="1" si="36"/>
        <v>45156</v>
      </c>
      <c r="I250" s="132" t="e">
        <f>HLOOKUP($H$4,'Met Data'!$A$2:$F$368,G250,FALSE)</f>
        <v>#N/A</v>
      </c>
      <c r="J250" s="132" t="e">
        <f ca="1">HLOOKUP($H$4,'Met Data'!$H$2:$M$368,G250,FALSE)*L250</f>
        <v>#N/A</v>
      </c>
      <c r="K250" s="106" t="e">
        <f>HLOOKUP($H$4,'Met Data'!$O$2:$T$368,G250,FALSE)</f>
        <v>#N/A</v>
      </c>
      <c r="L250">
        <f t="shared" ca="1" si="30"/>
        <v>1</v>
      </c>
      <c r="N250" t="e">
        <f t="shared" ca="1" si="35"/>
        <v>#NAME?</v>
      </c>
      <c r="O250" t="e">
        <f t="shared" ca="1" si="31"/>
        <v>#NAME?</v>
      </c>
      <c r="P250" s="2" t="e">
        <f ca="1"/>
        <v>#NAME?</v>
      </c>
      <c r="Q250" t="e">
        <f ca="1"/>
        <v>#NAME?</v>
      </c>
      <c r="R250" t="e">
        <f ca="1"/>
        <v>#NAME?</v>
      </c>
      <c r="S250" t="e">
        <f ca="1"/>
        <v>#NAME?</v>
      </c>
      <c r="T250" t="e">
        <f ca="1"/>
        <v>#NAME?</v>
      </c>
      <c r="U250" t="e">
        <f ca="1"/>
        <v>#NAME?</v>
      </c>
      <c r="V250" t="e">
        <f ca="1"/>
        <v>#NAME?</v>
      </c>
      <c r="W250" t="e">
        <f ca="1"/>
        <v>#NAME?</v>
      </c>
      <c r="X250" t="e">
        <f ca="1"/>
        <v>#NAME?</v>
      </c>
      <c r="Y250" t="e">
        <f ca="1"/>
        <v>#NAME?</v>
      </c>
      <c r="Z250" t="e">
        <f ca="1"/>
        <v>#NAME?</v>
      </c>
      <c r="AA250" t="e">
        <f ca="1"/>
        <v>#NAME?</v>
      </c>
      <c r="AB250" t="e">
        <f ca="1"/>
        <v>#NAME?</v>
      </c>
      <c r="AD250" s="2">
        <f t="shared" ca="1" si="32"/>
        <v>0</v>
      </c>
      <c r="AE250" s="46">
        <f t="shared" ca="1" si="33"/>
        <v>0</v>
      </c>
      <c r="AG250" s="72" t="e">
        <f t="shared" ca="1" si="37"/>
        <v>#NAME?</v>
      </c>
      <c r="AH250" s="72" t="e">
        <f t="shared" ca="1" si="38"/>
        <v>#NAME?</v>
      </c>
      <c r="AI250" s="3" t="e">
        <f t="shared" ca="1" si="39"/>
        <v>#NAME?</v>
      </c>
    </row>
    <row r="251" spans="7:35" x14ac:dyDescent="0.25">
      <c r="G251" s="3">
        <f t="shared" ca="1" si="34"/>
        <v>232</v>
      </c>
      <c r="H251" s="105">
        <f t="shared" ca="1" si="36"/>
        <v>45157</v>
      </c>
      <c r="I251" s="132" t="e">
        <f>HLOOKUP($H$4,'Met Data'!$A$2:$F$368,G251,FALSE)</f>
        <v>#N/A</v>
      </c>
      <c r="J251" s="132" t="e">
        <f ca="1">HLOOKUP($H$4,'Met Data'!$H$2:$M$368,G251,FALSE)*L251</f>
        <v>#N/A</v>
      </c>
      <c r="K251" s="106" t="e">
        <f>HLOOKUP($H$4,'Met Data'!$O$2:$T$368,G251,FALSE)</f>
        <v>#N/A</v>
      </c>
      <c r="L251">
        <f t="shared" ca="1" si="30"/>
        <v>1</v>
      </c>
      <c r="N251" t="e">
        <f t="shared" ca="1" si="35"/>
        <v>#NAME?</v>
      </c>
      <c r="O251" t="e">
        <f t="shared" ca="1" si="31"/>
        <v>#NAME?</v>
      </c>
      <c r="P251" s="2" t="e">
        <f ca="1"/>
        <v>#NAME?</v>
      </c>
      <c r="Q251" t="e">
        <f ca="1"/>
        <v>#NAME?</v>
      </c>
      <c r="R251" t="e">
        <f ca="1"/>
        <v>#NAME?</v>
      </c>
      <c r="S251" t="e">
        <f ca="1"/>
        <v>#NAME?</v>
      </c>
      <c r="T251" t="e">
        <f ca="1"/>
        <v>#NAME?</v>
      </c>
      <c r="U251" t="e">
        <f ca="1"/>
        <v>#NAME?</v>
      </c>
      <c r="V251" t="e">
        <f ca="1"/>
        <v>#NAME?</v>
      </c>
      <c r="W251" t="e">
        <f ca="1"/>
        <v>#NAME?</v>
      </c>
      <c r="X251" t="e">
        <f ca="1"/>
        <v>#NAME?</v>
      </c>
      <c r="Y251" t="e">
        <f ca="1"/>
        <v>#NAME?</v>
      </c>
      <c r="Z251" t="e">
        <f ca="1"/>
        <v>#NAME?</v>
      </c>
      <c r="AA251" t="e">
        <f ca="1"/>
        <v>#NAME?</v>
      </c>
      <c r="AB251" t="e">
        <f ca="1"/>
        <v>#NAME?</v>
      </c>
      <c r="AD251" s="2">
        <f t="shared" ca="1" si="32"/>
        <v>0</v>
      </c>
      <c r="AE251" s="46">
        <f t="shared" ca="1" si="33"/>
        <v>0</v>
      </c>
      <c r="AG251" s="72" t="e">
        <f t="shared" ca="1" si="37"/>
        <v>#NAME?</v>
      </c>
      <c r="AH251" s="72" t="e">
        <f t="shared" ca="1" si="38"/>
        <v>#NAME?</v>
      </c>
      <c r="AI251" s="3" t="e">
        <f t="shared" ca="1" si="39"/>
        <v>#NAME?</v>
      </c>
    </row>
    <row r="252" spans="7:35" x14ac:dyDescent="0.25">
      <c r="G252" s="3">
        <f t="shared" ca="1" si="34"/>
        <v>233</v>
      </c>
      <c r="H252" s="105">
        <f t="shared" ca="1" si="36"/>
        <v>45158</v>
      </c>
      <c r="I252" s="132" t="e">
        <f>HLOOKUP($H$4,'Met Data'!$A$2:$F$368,G252,FALSE)</f>
        <v>#N/A</v>
      </c>
      <c r="J252" s="132" t="e">
        <f ca="1">HLOOKUP($H$4,'Met Data'!$H$2:$M$368,G252,FALSE)*L252</f>
        <v>#N/A</v>
      </c>
      <c r="K252" s="106" t="e">
        <f>HLOOKUP($H$4,'Met Data'!$O$2:$T$368,G252,FALSE)</f>
        <v>#N/A</v>
      </c>
      <c r="L252">
        <f t="shared" ca="1" si="30"/>
        <v>1</v>
      </c>
      <c r="N252" t="e">
        <f t="shared" ca="1" si="35"/>
        <v>#NAME?</v>
      </c>
      <c r="O252" t="e">
        <f t="shared" ca="1" si="31"/>
        <v>#NAME?</v>
      </c>
      <c r="P252" s="2" t="e">
        <f ca="1"/>
        <v>#NAME?</v>
      </c>
      <c r="Q252" t="e">
        <f ca="1"/>
        <v>#NAME?</v>
      </c>
      <c r="R252" t="e">
        <f ca="1"/>
        <v>#NAME?</v>
      </c>
      <c r="S252" t="e">
        <f ca="1"/>
        <v>#NAME?</v>
      </c>
      <c r="T252" t="e">
        <f ca="1"/>
        <v>#NAME?</v>
      </c>
      <c r="U252" t="e">
        <f ca="1"/>
        <v>#NAME?</v>
      </c>
      <c r="V252" t="e">
        <f ca="1"/>
        <v>#NAME?</v>
      </c>
      <c r="W252" t="e">
        <f ca="1"/>
        <v>#NAME?</v>
      </c>
      <c r="X252" t="e">
        <f ca="1"/>
        <v>#NAME?</v>
      </c>
      <c r="Y252" t="e">
        <f ca="1"/>
        <v>#NAME?</v>
      </c>
      <c r="Z252" t="e">
        <f ca="1"/>
        <v>#NAME?</v>
      </c>
      <c r="AA252" t="e">
        <f ca="1"/>
        <v>#NAME?</v>
      </c>
      <c r="AB252" t="e">
        <f ca="1"/>
        <v>#NAME?</v>
      </c>
      <c r="AD252" s="2">
        <f t="shared" ca="1" si="32"/>
        <v>0</v>
      </c>
      <c r="AE252" s="46">
        <f t="shared" ca="1" si="33"/>
        <v>0</v>
      </c>
      <c r="AG252" s="72" t="e">
        <f t="shared" ca="1" si="37"/>
        <v>#NAME?</v>
      </c>
      <c r="AH252" s="72" t="e">
        <f t="shared" ca="1" si="38"/>
        <v>#NAME?</v>
      </c>
      <c r="AI252" s="3" t="e">
        <f t="shared" ca="1" si="39"/>
        <v>#NAME?</v>
      </c>
    </row>
    <row r="253" spans="7:35" x14ac:dyDescent="0.25">
      <c r="G253" s="3">
        <f t="shared" ca="1" si="34"/>
        <v>234</v>
      </c>
      <c r="H253" s="105">
        <f t="shared" ca="1" si="36"/>
        <v>45159</v>
      </c>
      <c r="I253" s="132" t="e">
        <f>HLOOKUP($H$4,'Met Data'!$A$2:$F$368,G253,FALSE)</f>
        <v>#N/A</v>
      </c>
      <c r="J253" s="132" t="e">
        <f ca="1">HLOOKUP($H$4,'Met Data'!$H$2:$M$368,G253,FALSE)*L253</f>
        <v>#N/A</v>
      </c>
      <c r="K253" s="106" t="e">
        <f>HLOOKUP($H$4,'Met Data'!$O$2:$T$368,G253,FALSE)</f>
        <v>#N/A</v>
      </c>
      <c r="L253">
        <f t="shared" ca="1" si="30"/>
        <v>1</v>
      </c>
      <c r="N253" t="e">
        <f t="shared" ca="1" si="35"/>
        <v>#NAME?</v>
      </c>
      <c r="O253" t="e">
        <f t="shared" ca="1" si="31"/>
        <v>#NAME?</v>
      </c>
      <c r="P253" s="2" t="e">
        <f ca="1"/>
        <v>#NAME?</v>
      </c>
      <c r="Q253" t="e">
        <f ca="1"/>
        <v>#NAME?</v>
      </c>
      <c r="R253" t="e">
        <f ca="1"/>
        <v>#NAME?</v>
      </c>
      <c r="S253" t="e">
        <f ca="1"/>
        <v>#NAME?</v>
      </c>
      <c r="T253" t="e">
        <f ca="1"/>
        <v>#NAME?</v>
      </c>
      <c r="U253" t="e">
        <f ca="1"/>
        <v>#NAME?</v>
      </c>
      <c r="V253" t="e">
        <f ca="1"/>
        <v>#NAME?</v>
      </c>
      <c r="W253" t="e">
        <f ca="1"/>
        <v>#NAME?</v>
      </c>
      <c r="X253" t="e">
        <f ca="1"/>
        <v>#NAME?</v>
      </c>
      <c r="Y253" t="e">
        <f ca="1"/>
        <v>#NAME?</v>
      </c>
      <c r="Z253" t="e">
        <f ca="1"/>
        <v>#NAME?</v>
      </c>
      <c r="AA253" t="e">
        <f ca="1"/>
        <v>#NAME?</v>
      </c>
      <c r="AB253" t="e">
        <f ca="1"/>
        <v>#NAME?</v>
      </c>
      <c r="AD253" s="2">
        <f t="shared" ca="1" si="32"/>
        <v>0</v>
      </c>
      <c r="AE253" s="46">
        <f t="shared" ca="1" si="33"/>
        <v>0</v>
      </c>
      <c r="AG253" s="72" t="e">
        <f t="shared" ca="1" si="37"/>
        <v>#NAME?</v>
      </c>
      <c r="AH253" s="72" t="e">
        <f t="shared" ca="1" si="38"/>
        <v>#NAME?</v>
      </c>
      <c r="AI253" s="3" t="e">
        <f t="shared" ca="1" si="39"/>
        <v>#NAME?</v>
      </c>
    </row>
    <row r="254" spans="7:35" x14ac:dyDescent="0.25">
      <c r="G254" s="3">
        <f t="shared" ca="1" si="34"/>
        <v>235</v>
      </c>
      <c r="H254" s="105">
        <f t="shared" ca="1" si="36"/>
        <v>45160</v>
      </c>
      <c r="I254" s="132" t="e">
        <f>HLOOKUP($H$4,'Met Data'!$A$2:$F$368,G254,FALSE)</f>
        <v>#N/A</v>
      </c>
      <c r="J254" s="132" t="e">
        <f ca="1">HLOOKUP($H$4,'Met Data'!$H$2:$M$368,G254,FALSE)*L254</f>
        <v>#N/A</v>
      </c>
      <c r="K254" s="106" t="e">
        <f>HLOOKUP($H$4,'Met Data'!$O$2:$T$368,G254,FALSE)</f>
        <v>#N/A</v>
      </c>
      <c r="L254">
        <f t="shared" ca="1" si="30"/>
        <v>1</v>
      </c>
      <c r="N254" t="e">
        <f t="shared" ca="1" si="35"/>
        <v>#NAME?</v>
      </c>
      <c r="O254" t="e">
        <f t="shared" ca="1" si="31"/>
        <v>#NAME?</v>
      </c>
      <c r="P254" s="2" t="e">
        <f ca="1"/>
        <v>#NAME?</v>
      </c>
      <c r="Q254" t="e">
        <f ca="1"/>
        <v>#NAME?</v>
      </c>
      <c r="R254" t="e">
        <f ca="1"/>
        <v>#NAME?</v>
      </c>
      <c r="S254" t="e">
        <f ca="1"/>
        <v>#NAME?</v>
      </c>
      <c r="T254" t="e">
        <f ca="1"/>
        <v>#NAME?</v>
      </c>
      <c r="U254" t="e">
        <f ca="1"/>
        <v>#NAME?</v>
      </c>
      <c r="V254" t="e">
        <f ca="1"/>
        <v>#NAME?</v>
      </c>
      <c r="W254" t="e">
        <f ca="1"/>
        <v>#NAME?</v>
      </c>
      <c r="X254" t="e">
        <f ca="1"/>
        <v>#NAME?</v>
      </c>
      <c r="Y254" t="e">
        <f ca="1"/>
        <v>#NAME?</v>
      </c>
      <c r="Z254" t="e">
        <f ca="1"/>
        <v>#NAME?</v>
      </c>
      <c r="AA254" t="e">
        <f ca="1"/>
        <v>#NAME?</v>
      </c>
      <c r="AB254" t="e">
        <f ca="1"/>
        <v>#NAME?</v>
      </c>
      <c r="AD254" s="2">
        <f t="shared" ca="1" si="32"/>
        <v>0</v>
      </c>
      <c r="AE254" s="46">
        <f t="shared" ca="1" si="33"/>
        <v>0</v>
      </c>
      <c r="AG254" s="72" t="e">
        <f t="shared" ca="1" si="37"/>
        <v>#NAME?</v>
      </c>
      <c r="AH254" s="72" t="e">
        <f t="shared" ca="1" si="38"/>
        <v>#NAME?</v>
      </c>
      <c r="AI254" s="3" t="e">
        <f t="shared" ca="1" si="39"/>
        <v>#NAME?</v>
      </c>
    </row>
    <row r="255" spans="7:35" x14ac:dyDescent="0.25">
      <c r="G255" s="3">
        <f t="shared" ca="1" si="34"/>
        <v>236</v>
      </c>
      <c r="H255" s="105">
        <f t="shared" ca="1" si="36"/>
        <v>45161</v>
      </c>
      <c r="I255" s="132" t="e">
        <f>HLOOKUP($H$4,'Met Data'!$A$2:$F$368,G255,FALSE)</f>
        <v>#N/A</v>
      </c>
      <c r="J255" s="132" t="e">
        <f ca="1">HLOOKUP($H$4,'Met Data'!$H$2:$M$368,G255,FALSE)*L255</f>
        <v>#N/A</v>
      </c>
      <c r="K255" s="106" t="e">
        <f>HLOOKUP($H$4,'Met Data'!$O$2:$T$368,G255,FALSE)</f>
        <v>#N/A</v>
      </c>
      <c r="L255">
        <f t="shared" ca="1" si="30"/>
        <v>1</v>
      </c>
      <c r="N255" t="e">
        <f t="shared" ca="1" si="35"/>
        <v>#NAME?</v>
      </c>
      <c r="O255" t="e">
        <f t="shared" ca="1" si="31"/>
        <v>#NAME?</v>
      </c>
      <c r="P255" s="2" t="e">
        <f ca="1"/>
        <v>#NAME?</v>
      </c>
      <c r="Q255" t="e">
        <f ca="1"/>
        <v>#NAME?</v>
      </c>
      <c r="R255" t="e">
        <f ca="1"/>
        <v>#NAME?</v>
      </c>
      <c r="S255" t="e">
        <f ca="1"/>
        <v>#NAME?</v>
      </c>
      <c r="T255" t="e">
        <f ca="1"/>
        <v>#NAME?</v>
      </c>
      <c r="U255" t="e">
        <f ca="1"/>
        <v>#NAME?</v>
      </c>
      <c r="V255" t="e">
        <f ca="1"/>
        <v>#NAME?</v>
      </c>
      <c r="W255" t="e">
        <f ca="1"/>
        <v>#NAME?</v>
      </c>
      <c r="X255" t="e">
        <f ca="1"/>
        <v>#NAME?</v>
      </c>
      <c r="Y255" t="e">
        <f ca="1"/>
        <v>#NAME?</v>
      </c>
      <c r="Z255" t="e">
        <f ca="1"/>
        <v>#NAME?</v>
      </c>
      <c r="AA255" t="e">
        <f ca="1"/>
        <v>#NAME?</v>
      </c>
      <c r="AB255" t="e">
        <f ca="1"/>
        <v>#NAME?</v>
      </c>
      <c r="AD255" s="2">
        <f t="shared" ca="1" si="32"/>
        <v>0</v>
      </c>
      <c r="AE255" s="46">
        <f t="shared" ca="1" si="33"/>
        <v>0</v>
      </c>
      <c r="AG255" s="72" t="e">
        <f t="shared" ca="1" si="37"/>
        <v>#NAME?</v>
      </c>
      <c r="AH255" s="72" t="e">
        <f t="shared" ca="1" si="38"/>
        <v>#NAME?</v>
      </c>
      <c r="AI255" s="3" t="e">
        <f t="shared" ca="1" si="39"/>
        <v>#NAME?</v>
      </c>
    </row>
    <row r="256" spans="7:35" x14ac:dyDescent="0.25">
      <c r="G256" s="3">
        <f t="shared" ca="1" si="34"/>
        <v>237</v>
      </c>
      <c r="H256" s="105">
        <f t="shared" ca="1" si="36"/>
        <v>45162</v>
      </c>
      <c r="I256" s="132" t="e">
        <f>HLOOKUP($H$4,'Met Data'!$A$2:$F$368,G256,FALSE)</f>
        <v>#N/A</v>
      </c>
      <c r="J256" s="132" t="e">
        <f ca="1">HLOOKUP($H$4,'Met Data'!$H$2:$M$368,G256,FALSE)*L256</f>
        <v>#N/A</v>
      </c>
      <c r="K256" s="106" t="e">
        <f>HLOOKUP($H$4,'Met Data'!$O$2:$T$368,G256,FALSE)</f>
        <v>#N/A</v>
      </c>
      <c r="L256">
        <f t="shared" ca="1" si="30"/>
        <v>1</v>
      </c>
      <c r="N256" t="e">
        <f t="shared" ca="1" si="35"/>
        <v>#NAME?</v>
      </c>
      <c r="O256" t="e">
        <f t="shared" ca="1" si="31"/>
        <v>#NAME?</v>
      </c>
      <c r="P256" s="2" t="e">
        <f ca="1"/>
        <v>#NAME?</v>
      </c>
      <c r="Q256" t="e">
        <f ca="1"/>
        <v>#NAME?</v>
      </c>
      <c r="R256" t="e">
        <f ca="1"/>
        <v>#NAME?</v>
      </c>
      <c r="S256" t="e">
        <f ca="1"/>
        <v>#NAME?</v>
      </c>
      <c r="T256" t="e">
        <f ca="1"/>
        <v>#NAME?</v>
      </c>
      <c r="U256" t="e">
        <f ca="1"/>
        <v>#NAME?</v>
      </c>
      <c r="V256" t="e">
        <f ca="1"/>
        <v>#NAME?</v>
      </c>
      <c r="W256" t="e">
        <f ca="1"/>
        <v>#NAME?</v>
      </c>
      <c r="X256" t="e">
        <f ca="1"/>
        <v>#NAME?</v>
      </c>
      <c r="Y256" t="e">
        <f ca="1"/>
        <v>#NAME?</v>
      </c>
      <c r="Z256" t="e">
        <f ca="1"/>
        <v>#NAME?</v>
      </c>
      <c r="AA256" t="e">
        <f ca="1"/>
        <v>#NAME?</v>
      </c>
      <c r="AB256" t="e">
        <f ca="1"/>
        <v>#NAME?</v>
      </c>
      <c r="AD256" s="2">
        <f t="shared" ca="1" si="32"/>
        <v>0</v>
      </c>
      <c r="AE256" s="46">
        <f t="shared" ca="1" si="33"/>
        <v>0</v>
      </c>
      <c r="AG256" s="72" t="e">
        <f t="shared" ca="1" si="37"/>
        <v>#NAME?</v>
      </c>
      <c r="AH256" s="72" t="e">
        <f t="shared" ca="1" si="38"/>
        <v>#NAME?</v>
      </c>
      <c r="AI256" s="3" t="e">
        <f t="shared" ca="1" si="39"/>
        <v>#NAME?</v>
      </c>
    </row>
    <row r="257" spans="7:35" x14ac:dyDescent="0.25">
      <c r="G257" s="3">
        <f t="shared" ca="1" si="34"/>
        <v>238</v>
      </c>
      <c r="H257" s="105">
        <f t="shared" ca="1" si="36"/>
        <v>45163</v>
      </c>
      <c r="I257" s="132" t="e">
        <f>HLOOKUP($H$4,'Met Data'!$A$2:$F$368,G257,FALSE)</f>
        <v>#N/A</v>
      </c>
      <c r="J257" s="132" t="e">
        <f ca="1">HLOOKUP($H$4,'Met Data'!$H$2:$M$368,G257,FALSE)*L257</f>
        <v>#N/A</v>
      </c>
      <c r="K257" s="106" t="e">
        <f>HLOOKUP($H$4,'Met Data'!$O$2:$T$368,G257,FALSE)</f>
        <v>#N/A</v>
      </c>
      <c r="L257">
        <f t="shared" ca="1" si="30"/>
        <v>1</v>
      </c>
      <c r="N257" t="e">
        <f t="shared" ca="1" si="35"/>
        <v>#NAME?</v>
      </c>
      <c r="O257" t="e">
        <f t="shared" ca="1" si="31"/>
        <v>#NAME?</v>
      </c>
      <c r="P257" s="2" t="e">
        <f ca="1"/>
        <v>#NAME?</v>
      </c>
      <c r="Q257" t="e">
        <f ca="1"/>
        <v>#NAME?</v>
      </c>
      <c r="R257" t="e">
        <f ca="1"/>
        <v>#NAME?</v>
      </c>
      <c r="S257" t="e">
        <f ca="1"/>
        <v>#NAME?</v>
      </c>
      <c r="T257" t="e">
        <f ca="1"/>
        <v>#NAME?</v>
      </c>
      <c r="U257" t="e">
        <f ca="1"/>
        <v>#NAME?</v>
      </c>
      <c r="V257" t="e">
        <f ca="1"/>
        <v>#NAME?</v>
      </c>
      <c r="W257" t="e">
        <f ca="1"/>
        <v>#NAME?</v>
      </c>
      <c r="X257" t="e">
        <f ca="1"/>
        <v>#NAME?</v>
      </c>
      <c r="Y257" t="e">
        <f ca="1"/>
        <v>#NAME?</v>
      </c>
      <c r="Z257" t="e">
        <f ca="1"/>
        <v>#NAME?</v>
      </c>
      <c r="AA257" t="e">
        <f ca="1"/>
        <v>#NAME?</v>
      </c>
      <c r="AB257" t="e">
        <f ca="1"/>
        <v>#NAME?</v>
      </c>
      <c r="AD257" s="2">
        <f t="shared" ca="1" si="32"/>
        <v>0</v>
      </c>
      <c r="AE257" s="46">
        <f t="shared" ca="1" si="33"/>
        <v>0</v>
      </c>
      <c r="AG257" s="72" t="e">
        <f t="shared" ca="1" si="37"/>
        <v>#NAME?</v>
      </c>
      <c r="AH257" s="72" t="e">
        <f t="shared" ca="1" si="38"/>
        <v>#NAME?</v>
      </c>
      <c r="AI257" s="3" t="e">
        <f t="shared" ca="1" si="39"/>
        <v>#NAME?</v>
      </c>
    </row>
    <row r="258" spans="7:35" x14ac:dyDescent="0.25">
      <c r="G258" s="3">
        <f t="shared" ca="1" si="34"/>
        <v>239</v>
      </c>
      <c r="H258" s="105">
        <f t="shared" ca="1" si="36"/>
        <v>45164</v>
      </c>
      <c r="I258" s="132" t="e">
        <f>HLOOKUP($H$4,'Met Data'!$A$2:$F$368,G258,FALSE)</f>
        <v>#N/A</v>
      </c>
      <c r="J258" s="132" t="e">
        <f ca="1">HLOOKUP($H$4,'Met Data'!$H$2:$M$368,G258,FALSE)*L258</f>
        <v>#N/A</v>
      </c>
      <c r="K258" s="106" t="e">
        <f>HLOOKUP($H$4,'Met Data'!$O$2:$T$368,G258,FALSE)</f>
        <v>#N/A</v>
      </c>
      <c r="L258">
        <f t="shared" ca="1" si="30"/>
        <v>1</v>
      </c>
      <c r="N258" t="e">
        <f t="shared" ca="1" si="35"/>
        <v>#NAME?</v>
      </c>
      <c r="O258" t="e">
        <f t="shared" ca="1" si="31"/>
        <v>#NAME?</v>
      </c>
      <c r="P258" s="2" t="e">
        <f ca="1"/>
        <v>#NAME?</v>
      </c>
      <c r="Q258" t="e">
        <f ca="1"/>
        <v>#NAME?</v>
      </c>
      <c r="R258" t="e">
        <f ca="1"/>
        <v>#NAME?</v>
      </c>
      <c r="S258" t="e">
        <f ca="1"/>
        <v>#NAME?</v>
      </c>
      <c r="T258" t="e">
        <f ca="1"/>
        <v>#NAME?</v>
      </c>
      <c r="U258" t="e">
        <f ca="1"/>
        <v>#NAME?</v>
      </c>
      <c r="V258" t="e">
        <f ca="1"/>
        <v>#NAME?</v>
      </c>
      <c r="W258" t="e">
        <f ca="1"/>
        <v>#NAME?</v>
      </c>
      <c r="X258" t="e">
        <f ca="1"/>
        <v>#NAME?</v>
      </c>
      <c r="Y258" t="e">
        <f ca="1"/>
        <v>#NAME?</v>
      </c>
      <c r="Z258" t="e">
        <f ca="1"/>
        <v>#NAME?</v>
      </c>
      <c r="AA258" t="e">
        <f ca="1"/>
        <v>#NAME?</v>
      </c>
      <c r="AB258" t="e">
        <f ca="1"/>
        <v>#NAME?</v>
      </c>
      <c r="AD258" s="2">
        <f t="shared" ca="1" si="32"/>
        <v>0</v>
      </c>
      <c r="AE258" s="46">
        <f t="shared" ca="1" si="33"/>
        <v>0</v>
      </c>
      <c r="AG258" s="72" t="e">
        <f t="shared" ca="1" si="37"/>
        <v>#NAME?</v>
      </c>
      <c r="AH258" s="72" t="e">
        <f t="shared" ca="1" si="38"/>
        <v>#NAME?</v>
      </c>
      <c r="AI258" s="3" t="e">
        <f t="shared" ca="1" si="39"/>
        <v>#NAME?</v>
      </c>
    </row>
    <row r="259" spans="7:35" x14ac:dyDescent="0.25">
      <c r="G259" s="3">
        <f t="shared" ca="1" si="34"/>
        <v>240</v>
      </c>
      <c r="H259" s="105">
        <f t="shared" ca="1" si="36"/>
        <v>45165</v>
      </c>
      <c r="I259" s="132" t="e">
        <f>HLOOKUP($H$4,'Met Data'!$A$2:$F$368,G259,FALSE)</f>
        <v>#N/A</v>
      </c>
      <c r="J259" s="132" t="e">
        <f ca="1">HLOOKUP($H$4,'Met Data'!$H$2:$M$368,G259,FALSE)*L259</f>
        <v>#N/A</v>
      </c>
      <c r="K259" s="106" t="e">
        <f>HLOOKUP($H$4,'Met Data'!$O$2:$T$368,G259,FALSE)</f>
        <v>#N/A</v>
      </c>
      <c r="L259">
        <f t="shared" ca="1" si="30"/>
        <v>1</v>
      </c>
      <c r="N259" t="e">
        <f t="shared" ca="1" si="35"/>
        <v>#NAME?</v>
      </c>
      <c r="O259" t="e">
        <f t="shared" ca="1" si="31"/>
        <v>#NAME?</v>
      </c>
      <c r="P259" s="2" t="e">
        <f ca="1"/>
        <v>#NAME?</v>
      </c>
      <c r="Q259" t="e">
        <f ca="1"/>
        <v>#NAME?</v>
      </c>
      <c r="R259" t="e">
        <f ca="1"/>
        <v>#NAME?</v>
      </c>
      <c r="S259" t="e">
        <f ca="1"/>
        <v>#NAME?</v>
      </c>
      <c r="T259" t="e">
        <f ca="1"/>
        <v>#NAME?</v>
      </c>
      <c r="U259" t="e">
        <f ca="1"/>
        <v>#NAME?</v>
      </c>
      <c r="V259" t="e">
        <f ca="1"/>
        <v>#NAME?</v>
      </c>
      <c r="W259" t="e">
        <f ca="1"/>
        <v>#NAME?</v>
      </c>
      <c r="X259" t="e">
        <f ca="1"/>
        <v>#NAME?</v>
      </c>
      <c r="Y259" t="e">
        <f ca="1"/>
        <v>#NAME?</v>
      </c>
      <c r="Z259" t="e">
        <f ca="1"/>
        <v>#NAME?</v>
      </c>
      <c r="AA259" t="e">
        <f ca="1"/>
        <v>#NAME?</v>
      </c>
      <c r="AB259" t="e">
        <f ca="1"/>
        <v>#NAME?</v>
      </c>
      <c r="AD259" s="2">
        <f t="shared" ca="1" si="32"/>
        <v>0</v>
      </c>
      <c r="AE259" s="46">
        <f t="shared" ca="1" si="33"/>
        <v>0</v>
      </c>
      <c r="AG259" s="72" t="e">
        <f t="shared" ca="1" si="37"/>
        <v>#NAME?</v>
      </c>
      <c r="AH259" s="72" t="e">
        <f t="shared" ca="1" si="38"/>
        <v>#NAME?</v>
      </c>
      <c r="AI259" s="3" t="e">
        <f t="shared" ca="1" si="39"/>
        <v>#NAME?</v>
      </c>
    </row>
    <row r="260" spans="7:35" x14ac:dyDescent="0.25">
      <c r="G260" s="3">
        <f t="shared" ca="1" si="34"/>
        <v>241</v>
      </c>
      <c r="H260" s="105">
        <f t="shared" ca="1" si="36"/>
        <v>45166</v>
      </c>
      <c r="I260" s="132" t="e">
        <f>HLOOKUP($H$4,'Met Data'!$A$2:$F$368,G260,FALSE)</f>
        <v>#N/A</v>
      </c>
      <c r="J260" s="132" t="e">
        <f ca="1">HLOOKUP($H$4,'Met Data'!$H$2:$M$368,G260,FALSE)*L260</f>
        <v>#N/A</v>
      </c>
      <c r="K260" s="106" t="e">
        <f>HLOOKUP($H$4,'Met Data'!$O$2:$T$368,G260,FALSE)</f>
        <v>#N/A</v>
      </c>
      <c r="L260">
        <f t="shared" ca="1" si="30"/>
        <v>1</v>
      </c>
      <c r="N260" t="e">
        <f t="shared" ca="1" si="35"/>
        <v>#NAME?</v>
      </c>
      <c r="O260" t="e">
        <f t="shared" ca="1" si="31"/>
        <v>#NAME?</v>
      </c>
      <c r="P260" s="2" t="e">
        <f ca="1"/>
        <v>#NAME?</v>
      </c>
      <c r="Q260" t="e">
        <f ca="1"/>
        <v>#NAME?</v>
      </c>
      <c r="R260" t="e">
        <f ca="1"/>
        <v>#NAME?</v>
      </c>
      <c r="S260" t="e">
        <f ca="1"/>
        <v>#NAME?</v>
      </c>
      <c r="T260" t="e">
        <f ca="1"/>
        <v>#NAME?</v>
      </c>
      <c r="U260" t="e">
        <f ca="1"/>
        <v>#NAME?</v>
      </c>
      <c r="V260" t="e">
        <f ca="1"/>
        <v>#NAME?</v>
      </c>
      <c r="W260" t="e">
        <f ca="1"/>
        <v>#NAME?</v>
      </c>
      <c r="X260" t="e">
        <f ca="1"/>
        <v>#NAME?</v>
      </c>
      <c r="Y260" t="e">
        <f ca="1"/>
        <v>#NAME?</v>
      </c>
      <c r="Z260" t="e">
        <f ca="1"/>
        <v>#NAME?</v>
      </c>
      <c r="AA260" t="e">
        <f ca="1"/>
        <v>#NAME?</v>
      </c>
      <c r="AB260" t="e">
        <f ca="1"/>
        <v>#NAME?</v>
      </c>
      <c r="AD260" s="2">
        <f t="shared" ca="1" si="32"/>
        <v>0</v>
      </c>
      <c r="AE260" s="46">
        <f t="shared" ca="1" si="33"/>
        <v>0</v>
      </c>
      <c r="AG260" s="72" t="e">
        <f t="shared" ca="1" si="37"/>
        <v>#NAME?</v>
      </c>
      <c r="AH260" s="72" t="e">
        <f t="shared" ca="1" si="38"/>
        <v>#NAME?</v>
      </c>
      <c r="AI260" s="3" t="e">
        <f t="shared" ca="1" si="39"/>
        <v>#NAME?</v>
      </c>
    </row>
    <row r="261" spans="7:35" x14ac:dyDescent="0.25">
      <c r="G261" s="3">
        <f t="shared" ca="1" si="34"/>
        <v>242</v>
      </c>
      <c r="H261" s="105">
        <f t="shared" ca="1" si="36"/>
        <v>45167</v>
      </c>
      <c r="I261" s="132" t="e">
        <f>HLOOKUP($H$4,'Met Data'!$A$2:$F$368,G261,FALSE)</f>
        <v>#N/A</v>
      </c>
      <c r="J261" s="132" t="e">
        <f ca="1">HLOOKUP($H$4,'Met Data'!$H$2:$M$368,G261,FALSE)*L261</f>
        <v>#N/A</v>
      </c>
      <c r="K261" s="106" t="e">
        <f>HLOOKUP($H$4,'Met Data'!$O$2:$T$368,G261,FALSE)</f>
        <v>#N/A</v>
      </c>
      <c r="L261">
        <f t="shared" ca="1" si="30"/>
        <v>1</v>
      </c>
      <c r="N261" t="e">
        <f t="shared" ca="1" si="35"/>
        <v>#NAME?</v>
      </c>
      <c r="O261" t="e">
        <f t="shared" ca="1" si="31"/>
        <v>#NAME?</v>
      </c>
      <c r="P261" s="2" t="e">
        <f ca="1"/>
        <v>#NAME?</v>
      </c>
      <c r="Q261" t="e">
        <f ca="1"/>
        <v>#NAME?</v>
      </c>
      <c r="R261" t="e">
        <f ca="1"/>
        <v>#NAME?</v>
      </c>
      <c r="S261" t="e">
        <f ca="1"/>
        <v>#NAME?</v>
      </c>
      <c r="T261" t="e">
        <f ca="1"/>
        <v>#NAME?</v>
      </c>
      <c r="U261" t="e">
        <f ca="1"/>
        <v>#NAME?</v>
      </c>
      <c r="V261" t="e">
        <f ca="1"/>
        <v>#NAME?</v>
      </c>
      <c r="W261" t="e">
        <f ca="1"/>
        <v>#NAME?</v>
      </c>
      <c r="X261" t="e">
        <f ca="1"/>
        <v>#NAME?</v>
      </c>
      <c r="Y261" t="e">
        <f ca="1"/>
        <v>#NAME?</v>
      </c>
      <c r="Z261" t="e">
        <f ca="1"/>
        <v>#NAME?</v>
      </c>
      <c r="AA261" t="e">
        <f ca="1"/>
        <v>#NAME?</v>
      </c>
      <c r="AB261" t="e">
        <f ca="1"/>
        <v>#NAME?</v>
      </c>
      <c r="AD261" s="2">
        <f t="shared" ca="1" si="32"/>
        <v>0</v>
      </c>
      <c r="AE261" s="46">
        <f t="shared" ca="1" si="33"/>
        <v>0</v>
      </c>
      <c r="AG261" s="72" t="e">
        <f t="shared" ca="1" si="37"/>
        <v>#NAME?</v>
      </c>
      <c r="AH261" s="72" t="e">
        <f t="shared" ca="1" si="38"/>
        <v>#NAME?</v>
      </c>
      <c r="AI261" s="3" t="e">
        <f t="shared" ca="1" si="39"/>
        <v>#NAME?</v>
      </c>
    </row>
    <row r="262" spans="7:35" x14ac:dyDescent="0.25">
      <c r="G262" s="3">
        <f t="shared" ca="1" si="34"/>
        <v>243</v>
      </c>
      <c r="H262" s="105">
        <f t="shared" ca="1" si="36"/>
        <v>45168</v>
      </c>
      <c r="I262" s="132" t="e">
        <f>HLOOKUP($H$4,'Met Data'!$A$2:$F$368,G262,FALSE)</f>
        <v>#N/A</v>
      </c>
      <c r="J262" s="132" t="e">
        <f ca="1">HLOOKUP($H$4,'Met Data'!$H$2:$M$368,G262,FALSE)*L262</f>
        <v>#N/A</v>
      </c>
      <c r="K262" s="106" t="e">
        <f>HLOOKUP($H$4,'Met Data'!$O$2:$T$368,G262,FALSE)</f>
        <v>#N/A</v>
      </c>
      <c r="L262">
        <f t="shared" ref="L262:L325" ca="1" si="40">IF(H262&lt;$B$31,$J$3,$J$4)</f>
        <v>1</v>
      </c>
      <c r="N262" t="e">
        <f t="shared" ca="1" si="35"/>
        <v>#NAME?</v>
      </c>
      <c r="O262" t="e">
        <f t="shared" ref="O262:O325" ca="1" si="41">AND(IF(P262&gt;($P$2-1),TRUE,FALSE),IF(P262&lt;($P$3+1),TRUE,FALSE))</f>
        <v>#NAME?</v>
      </c>
      <c r="P262" s="2" t="e">
        <f ca="1"/>
        <v>#NAME?</v>
      </c>
      <c r="Q262" t="e">
        <f ca="1"/>
        <v>#NAME?</v>
      </c>
      <c r="R262" t="e">
        <f ca="1"/>
        <v>#NAME?</v>
      </c>
      <c r="S262" t="e">
        <f ca="1"/>
        <v>#NAME?</v>
      </c>
      <c r="T262" t="e">
        <f ca="1"/>
        <v>#NAME?</v>
      </c>
      <c r="U262" t="e">
        <f ca="1"/>
        <v>#NAME?</v>
      </c>
      <c r="V262" t="e">
        <f ca="1"/>
        <v>#NAME?</v>
      </c>
      <c r="W262" t="e">
        <f ca="1"/>
        <v>#NAME?</v>
      </c>
      <c r="X262" t="e">
        <f ca="1"/>
        <v>#NAME?</v>
      </c>
      <c r="Y262" t="e">
        <f ca="1"/>
        <v>#NAME?</v>
      </c>
      <c r="Z262" t="e">
        <f ca="1"/>
        <v>#NAME?</v>
      </c>
      <c r="AA262" t="e">
        <f ca="1"/>
        <v>#NAME?</v>
      </c>
      <c r="AB262" t="e">
        <f ca="1"/>
        <v>#NAME?</v>
      </c>
      <c r="AD262" s="2">
        <f t="shared" ref="AD262:AD325" ca="1" si="42">IFERROR(P262,$AD$4)</f>
        <v>0</v>
      </c>
      <c r="AE262" s="46">
        <f t="shared" ref="AE262:AE325" ca="1" si="43">IFERROR(U262,0)</f>
        <v>0</v>
      </c>
      <c r="AG262" s="72" t="e">
        <f t="shared" ca="1" si="37"/>
        <v>#NAME?</v>
      </c>
      <c r="AH262" s="72" t="e">
        <f t="shared" ca="1" si="38"/>
        <v>#NAME?</v>
      </c>
      <c r="AI262" s="3" t="e">
        <f t="shared" ca="1" si="39"/>
        <v>#NAME?</v>
      </c>
    </row>
    <row r="263" spans="7:35" x14ac:dyDescent="0.25">
      <c r="G263" s="3">
        <f t="shared" ref="G263:G326" ca="1" si="44">H263-DATE(YEAR(H263),1,0)+1</f>
        <v>244</v>
      </c>
      <c r="H263" s="105">
        <f t="shared" ca="1" si="36"/>
        <v>45169</v>
      </c>
      <c r="I263" s="132" t="e">
        <f>HLOOKUP($H$4,'Met Data'!$A$2:$F$368,G263,FALSE)</f>
        <v>#N/A</v>
      </c>
      <c r="J263" s="132" t="e">
        <f ca="1">HLOOKUP($H$4,'Met Data'!$H$2:$M$368,G263,FALSE)*L263</f>
        <v>#N/A</v>
      </c>
      <c r="K263" s="106" t="e">
        <f>HLOOKUP($H$4,'Met Data'!$O$2:$T$368,G263,FALSE)</f>
        <v>#N/A</v>
      </c>
      <c r="L263">
        <f t="shared" ca="1" si="40"/>
        <v>1</v>
      </c>
      <c r="N263" t="e">
        <f t="shared" ref="N263:N326" ca="1" si="45">IF(P263&lt;$P$3,TRUE,FALSE)</f>
        <v>#NAME?</v>
      </c>
      <c r="O263" t="e">
        <f t="shared" ca="1" si="41"/>
        <v>#NAME?</v>
      </c>
      <c r="P263" s="2" t="e">
        <f ca="1"/>
        <v>#NAME?</v>
      </c>
      <c r="Q263" t="e">
        <f ca="1"/>
        <v>#NAME?</v>
      </c>
      <c r="R263" t="e">
        <f ca="1"/>
        <v>#NAME?</v>
      </c>
      <c r="S263" t="e">
        <f ca="1"/>
        <v>#NAME?</v>
      </c>
      <c r="T263" t="e">
        <f ca="1"/>
        <v>#NAME?</v>
      </c>
      <c r="U263" t="e">
        <f ca="1"/>
        <v>#NAME?</v>
      </c>
      <c r="V263" t="e">
        <f ca="1"/>
        <v>#NAME?</v>
      </c>
      <c r="W263" t="e">
        <f ca="1"/>
        <v>#NAME?</v>
      </c>
      <c r="X263" t="e">
        <f ca="1"/>
        <v>#NAME?</v>
      </c>
      <c r="Y263" t="e">
        <f ca="1"/>
        <v>#NAME?</v>
      </c>
      <c r="Z263" t="e">
        <f ca="1"/>
        <v>#NAME?</v>
      </c>
      <c r="AA263" t="e">
        <f ca="1"/>
        <v>#NAME?</v>
      </c>
      <c r="AB263" t="e">
        <f ca="1"/>
        <v>#NAME?</v>
      </c>
      <c r="AD263" s="2">
        <f t="shared" ca="1" si="42"/>
        <v>0</v>
      </c>
      <c r="AE263" s="46">
        <f t="shared" ca="1" si="43"/>
        <v>0</v>
      </c>
      <c r="AG263" s="72" t="e">
        <f t="shared" ca="1" si="37"/>
        <v>#NAME?</v>
      </c>
      <c r="AH263" s="72" t="e">
        <f t="shared" ca="1" si="38"/>
        <v>#NAME?</v>
      </c>
      <c r="AI263" s="3" t="e">
        <f t="shared" ca="1" si="39"/>
        <v>#NAME?</v>
      </c>
    </row>
    <row r="264" spans="7:35" x14ac:dyDescent="0.25">
      <c r="G264" s="3">
        <f t="shared" ca="1" si="44"/>
        <v>245</v>
      </c>
      <c r="H264" s="105">
        <f t="shared" ref="H264:H327" ca="1" si="46">H263+1</f>
        <v>45170</v>
      </c>
      <c r="I264" s="132" t="e">
        <f>HLOOKUP($H$4,'Met Data'!$A$2:$F$368,G264,FALSE)</f>
        <v>#N/A</v>
      </c>
      <c r="J264" s="132" t="e">
        <f ca="1">HLOOKUP($H$4,'Met Data'!$H$2:$M$368,G264,FALSE)*L264</f>
        <v>#N/A</v>
      </c>
      <c r="K264" s="106" t="e">
        <f>HLOOKUP($H$4,'Met Data'!$O$2:$T$368,G264,FALSE)</f>
        <v>#N/A</v>
      </c>
      <c r="L264">
        <f t="shared" ca="1" si="40"/>
        <v>1</v>
      </c>
      <c r="N264" t="e">
        <f t="shared" ca="1" si="45"/>
        <v>#NAME?</v>
      </c>
      <c r="O264" t="e">
        <f t="shared" ca="1" si="41"/>
        <v>#NAME?</v>
      </c>
      <c r="P264" s="2" t="e">
        <f ca="1"/>
        <v>#NAME?</v>
      </c>
      <c r="Q264" t="e">
        <f ca="1"/>
        <v>#NAME?</v>
      </c>
      <c r="R264" t="e">
        <f ca="1"/>
        <v>#NAME?</v>
      </c>
      <c r="S264" t="e">
        <f ca="1"/>
        <v>#NAME?</v>
      </c>
      <c r="T264" t="e">
        <f ca="1"/>
        <v>#NAME?</v>
      </c>
      <c r="U264" t="e">
        <f ca="1"/>
        <v>#NAME?</v>
      </c>
      <c r="V264" t="e">
        <f ca="1"/>
        <v>#NAME?</v>
      </c>
      <c r="W264" t="e">
        <f ca="1"/>
        <v>#NAME?</v>
      </c>
      <c r="X264" t="e">
        <f ca="1"/>
        <v>#NAME?</v>
      </c>
      <c r="Y264" t="e">
        <f ca="1"/>
        <v>#NAME?</v>
      </c>
      <c r="Z264" t="e">
        <f ca="1"/>
        <v>#NAME?</v>
      </c>
      <c r="AA264" t="e">
        <f ca="1"/>
        <v>#NAME?</v>
      </c>
      <c r="AB264" t="e">
        <f ca="1"/>
        <v>#NAME?</v>
      </c>
      <c r="AD264" s="2">
        <f t="shared" ca="1" si="42"/>
        <v>0</v>
      </c>
      <c r="AE264" s="46">
        <f t="shared" ca="1" si="43"/>
        <v>0</v>
      </c>
      <c r="AG264" s="72" t="e">
        <f t="shared" ca="1" si="37"/>
        <v>#NAME?</v>
      </c>
      <c r="AH264" s="72" t="e">
        <f t="shared" ca="1" si="38"/>
        <v>#NAME?</v>
      </c>
      <c r="AI264" s="3" t="e">
        <f t="shared" ca="1" si="39"/>
        <v>#NAME?</v>
      </c>
    </row>
    <row r="265" spans="7:35" x14ac:dyDescent="0.25">
      <c r="G265" s="3">
        <f t="shared" ca="1" si="44"/>
        <v>246</v>
      </c>
      <c r="H265" s="105">
        <f t="shared" ca="1" si="46"/>
        <v>45171</v>
      </c>
      <c r="I265" s="132" t="e">
        <f>HLOOKUP($H$4,'Met Data'!$A$2:$F$368,G265,FALSE)</f>
        <v>#N/A</v>
      </c>
      <c r="J265" s="132" t="e">
        <f ca="1">HLOOKUP($H$4,'Met Data'!$H$2:$M$368,G265,FALSE)*L265</f>
        <v>#N/A</v>
      </c>
      <c r="K265" s="106" t="e">
        <f>HLOOKUP($H$4,'Met Data'!$O$2:$T$368,G265,FALSE)</f>
        <v>#N/A</v>
      </c>
      <c r="L265">
        <f t="shared" ca="1" si="40"/>
        <v>1</v>
      </c>
      <c r="N265" t="e">
        <f t="shared" ca="1" si="45"/>
        <v>#NAME?</v>
      </c>
      <c r="O265" t="e">
        <f t="shared" ca="1" si="41"/>
        <v>#NAME?</v>
      </c>
      <c r="P265" s="2" t="e">
        <f ca="1"/>
        <v>#NAME?</v>
      </c>
      <c r="Q265" t="e">
        <f ca="1"/>
        <v>#NAME?</v>
      </c>
      <c r="R265" t="e">
        <f ca="1"/>
        <v>#NAME?</v>
      </c>
      <c r="S265" t="e">
        <f ca="1"/>
        <v>#NAME?</v>
      </c>
      <c r="T265" t="e">
        <f ca="1"/>
        <v>#NAME?</v>
      </c>
      <c r="U265" t="e">
        <f ca="1"/>
        <v>#NAME?</v>
      </c>
      <c r="V265" t="e">
        <f ca="1"/>
        <v>#NAME?</v>
      </c>
      <c r="W265" t="e">
        <f ca="1"/>
        <v>#NAME?</v>
      </c>
      <c r="X265" t="e">
        <f ca="1"/>
        <v>#NAME?</v>
      </c>
      <c r="Y265" t="e">
        <f ca="1"/>
        <v>#NAME?</v>
      </c>
      <c r="Z265" t="e">
        <f ca="1"/>
        <v>#NAME?</v>
      </c>
      <c r="AA265" t="e">
        <f ca="1"/>
        <v>#NAME?</v>
      </c>
      <c r="AB265" t="e">
        <f ca="1"/>
        <v>#NAME?</v>
      </c>
      <c r="AD265" s="2">
        <f t="shared" ca="1" si="42"/>
        <v>0</v>
      </c>
      <c r="AE265" s="46">
        <f t="shared" ca="1" si="43"/>
        <v>0</v>
      </c>
      <c r="AG265" s="72" t="e">
        <f t="shared" ca="1" si="37"/>
        <v>#NAME?</v>
      </c>
      <c r="AH265" s="72" t="e">
        <f t="shared" ca="1" si="38"/>
        <v>#NAME?</v>
      </c>
      <c r="AI265" s="3" t="e">
        <f t="shared" ca="1" si="39"/>
        <v>#NAME?</v>
      </c>
    </row>
    <row r="266" spans="7:35" x14ac:dyDescent="0.25">
      <c r="G266" s="3">
        <f t="shared" ca="1" si="44"/>
        <v>247</v>
      </c>
      <c r="H266" s="105">
        <f t="shared" ca="1" si="46"/>
        <v>45172</v>
      </c>
      <c r="I266" s="132" t="e">
        <f>HLOOKUP($H$4,'Met Data'!$A$2:$F$368,G266,FALSE)</f>
        <v>#N/A</v>
      </c>
      <c r="J266" s="132" t="e">
        <f ca="1">HLOOKUP($H$4,'Met Data'!$H$2:$M$368,G266,FALSE)*L266</f>
        <v>#N/A</v>
      </c>
      <c r="K266" s="106" t="e">
        <f>HLOOKUP($H$4,'Met Data'!$O$2:$T$368,G266,FALSE)</f>
        <v>#N/A</v>
      </c>
      <c r="L266">
        <f t="shared" ca="1" si="40"/>
        <v>1</v>
      </c>
      <c r="N266" t="e">
        <f t="shared" ca="1" si="45"/>
        <v>#NAME?</v>
      </c>
      <c r="O266" t="e">
        <f t="shared" ca="1" si="41"/>
        <v>#NAME?</v>
      </c>
      <c r="P266" s="2" t="e">
        <f ca="1"/>
        <v>#NAME?</v>
      </c>
      <c r="Q266" t="e">
        <f ca="1"/>
        <v>#NAME?</v>
      </c>
      <c r="R266" t="e">
        <f ca="1"/>
        <v>#NAME?</v>
      </c>
      <c r="S266" t="e">
        <f ca="1"/>
        <v>#NAME?</v>
      </c>
      <c r="T266" t="e">
        <f ca="1"/>
        <v>#NAME?</v>
      </c>
      <c r="U266" t="e">
        <f ca="1"/>
        <v>#NAME?</v>
      </c>
      <c r="V266" t="e">
        <f ca="1"/>
        <v>#NAME?</v>
      </c>
      <c r="W266" t="e">
        <f ca="1"/>
        <v>#NAME?</v>
      </c>
      <c r="X266" t="e">
        <f ca="1"/>
        <v>#NAME?</v>
      </c>
      <c r="Y266" t="e">
        <f ca="1"/>
        <v>#NAME?</v>
      </c>
      <c r="Z266" t="e">
        <f ca="1"/>
        <v>#NAME?</v>
      </c>
      <c r="AA266" t="e">
        <f ca="1"/>
        <v>#NAME?</v>
      </c>
      <c r="AB266" t="e">
        <f ca="1"/>
        <v>#NAME?</v>
      </c>
      <c r="AD266" s="2">
        <f t="shared" ca="1" si="42"/>
        <v>0</v>
      </c>
      <c r="AE266" s="46">
        <f t="shared" ca="1" si="43"/>
        <v>0</v>
      </c>
      <c r="AG266" s="72" t="e">
        <f t="shared" ca="1" si="37"/>
        <v>#NAME?</v>
      </c>
      <c r="AH266" s="72" t="e">
        <f t="shared" ca="1" si="38"/>
        <v>#NAME?</v>
      </c>
      <c r="AI266" s="3" t="e">
        <f t="shared" ca="1" si="39"/>
        <v>#NAME?</v>
      </c>
    </row>
    <row r="267" spans="7:35" x14ac:dyDescent="0.25">
      <c r="G267" s="3">
        <f t="shared" ca="1" si="44"/>
        <v>248</v>
      </c>
      <c r="H267" s="105">
        <f t="shared" ca="1" si="46"/>
        <v>45173</v>
      </c>
      <c r="I267" s="132" t="e">
        <f>HLOOKUP($H$4,'Met Data'!$A$2:$F$368,G267,FALSE)</f>
        <v>#N/A</v>
      </c>
      <c r="J267" s="132" t="e">
        <f ca="1">HLOOKUP($H$4,'Met Data'!$H$2:$M$368,G267,FALSE)*L267</f>
        <v>#N/A</v>
      </c>
      <c r="K267" s="106" t="e">
        <f>HLOOKUP($H$4,'Met Data'!$O$2:$T$368,G267,FALSE)</f>
        <v>#N/A</v>
      </c>
      <c r="L267">
        <f t="shared" ca="1" si="40"/>
        <v>1</v>
      </c>
      <c r="N267" t="e">
        <f t="shared" ca="1" si="45"/>
        <v>#NAME?</v>
      </c>
      <c r="O267" t="e">
        <f t="shared" ca="1" si="41"/>
        <v>#NAME?</v>
      </c>
      <c r="P267" s="2" t="e">
        <f ca="1"/>
        <v>#NAME?</v>
      </c>
      <c r="Q267" t="e">
        <f ca="1"/>
        <v>#NAME?</v>
      </c>
      <c r="R267" t="e">
        <f ca="1"/>
        <v>#NAME?</v>
      </c>
      <c r="S267" t="e">
        <f ca="1"/>
        <v>#NAME?</v>
      </c>
      <c r="T267" t="e">
        <f ca="1"/>
        <v>#NAME?</v>
      </c>
      <c r="U267" t="e">
        <f ca="1"/>
        <v>#NAME?</v>
      </c>
      <c r="V267" t="e">
        <f ca="1"/>
        <v>#NAME?</v>
      </c>
      <c r="W267" t="e">
        <f ca="1"/>
        <v>#NAME?</v>
      </c>
      <c r="X267" t="e">
        <f ca="1"/>
        <v>#NAME?</v>
      </c>
      <c r="Y267" t="e">
        <f ca="1"/>
        <v>#NAME?</v>
      </c>
      <c r="Z267" t="e">
        <f ca="1"/>
        <v>#NAME?</v>
      </c>
      <c r="AA267" t="e">
        <f ca="1"/>
        <v>#NAME?</v>
      </c>
      <c r="AB267" t="e">
        <f ca="1"/>
        <v>#NAME?</v>
      </c>
      <c r="AD267" s="2">
        <f t="shared" ca="1" si="42"/>
        <v>0</v>
      </c>
      <c r="AE267" s="46">
        <f t="shared" ca="1" si="43"/>
        <v>0</v>
      </c>
      <c r="AG267" s="72" t="e">
        <f t="shared" ref="AG267:AG330" ca="1" si="47">Q266+S267+T267+U267</f>
        <v>#NAME?</v>
      </c>
      <c r="AH267" s="72" t="e">
        <f t="shared" ref="AH267:AH330" ca="1" si="48">Q267+R267+X267</f>
        <v>#NAME?</v>
      </c>
      <c r="AI267" s="3" t="e">
        <f t="shared" ref="AI267:AI330" ca="1" si="49">AH267-AG267</f>
        <v>#NAME?</v>
      </c>
    </row>
    <row r="268" spans="7:35" x14ac:dyDescent="0.25">
      <c r="G268" s="3">
        <f t="shared" ca="1" si="44"/>
        <v>249</v>
      </c>
      <c r="H268" s="105">
        <f t="shared" ca="1" si="46"/>
        <v>45174</v>
      </c>
      <c r="I268" s="132" t="e">
        <f>HLOOKUP($H$4,'Met Data'!$A$2:$F$368,G268,FALSE)</f>
        <v>#N/A</v>
      </c>
      <c r="J268" s="132" t="e">
        <f ca="1">HLOOKUP($H$4,'Met Data'!$H$2:$M$368,G268,FALSE)*L268</f>
        <v>#N/A</v>
      </c>
      <c r="K268" s="106" t="e">
        <f>HLOOKUP($H$4,'Met Data'!$O$2:$T$368,G268,FALSE)</f>
        <v>#N/A</v>
      </c>
      <c r="L268">
        <f t="shared" ca="1" si="40"/>
        <v>1</v>
      </c>
      <c r="N268" t="e">
        <f t="shared" ca="1" si="45"/>
        <v>#NAME?</v>
      </c>
      <c r="O268" t="e">
        <f t="shared" ca="1" si="41"/>
        <v>#NAME?</v>
      </c>
      <c r="P268" s="2" t="e">
        <f ca="1"/>
        <v>#NAME?</v>
      </c>
      <c r="Q268" t="e">
        <f ca="1"/>
        <v>#NAME?</v>
      </c>
      <c r="R268" t="e">
        <f ca="1"/>
        <v>#NAME?</v>
      </c>
      <c r="S268" t="e">
        <f ca="1"/>
        <v>#NAME?</v>
      </c>
      <c r="T268" t="e">
        <f ca="1"/>
        <v>#NAME?</v>
      </c>
      <c r="U268" t="e">
        <f ca="1"/>
        <v>#NAME?</v>
      </c>
      <c r="V268" t="e">
        <f ca="1"/>
        <v>#NAME?</v>
      </c>
      <c r="W268" t="e">
        <f ca="1"/>
        <v>#NAME?</v>
      </c>
      <c r="X268" t="e">
        <f ca="1"/>
        <v>#NAME?</v>
      </c>
      <c r="Y268" t="e">
        <f ca="1"/>
        <v>#NAME?</v>
      </c>
      <c r="Z268" t="e">
        <f ca="1"/>
        <v>#NAME?</v>
      </c>
      <c r="AA268" t="e">
        <f ca="1"/>
        <v>#NAME?</v>
      </c>
      <c r="AB268" t="e">
        <f ca="1"/>
        <v>#NAME?</v>
      </c>
      <c r="AD268" s="2">
        <f t="shared" ca="1" si="42"/>
        <v>0</v>
      </c>
      <c r="AE268" s="46">
        <f t="shared" ca="1" si="43"/>
        <v>0</v>
      </c>
      <c r="AG268" s="72" t="e">
        <f t="shared" ca="1" si="47"/>
        <v>#NAME?</v>
      </c>
      <c r="AH268" s="72" t="e">
        <f t="shared" ca="1" si="48"/>
        <v>#NAME?</v>
      </c>
      <c r="AI268" s="3" t="e">
        <f t="shared" ca="1" si="49"/>
        <v>#NAME?</v>
      </c>
    </row>
    <row r="269" spans="7:35" x14ac:dyDescent="0.25">
      <c r="G269" s="3">
        <f t="shared" ca="1" si="44"/>
        <v>250</v>
      </c>
      <c r="H269" s="105">
        <f t="shared" ca="1" si="46"/>
        <v>45175</v>
      </c>
      <c r="I269" s="132" t="e">
        <f>HLOOKUP($H$4,'Met Data'!$A$2:$F$368,G269,FALSE)</f>
        <v>#N/A</v>
      </c>
      <c r="J269" s="132" t="e">
        <f ca="1">HLOOKUP($H$4,'Met Data'!$H$2:$M$368,G269,FALSE)*L269</f>
        <v>#N/A</v>
      </c>
      <c r="K269" s="106" t="e">
        <f>HLOOKUP($H$4,'Met Data'!$O$2:$T$368,G269,FALSE)</f>
        <v>#N/A</v>
      </c>
      <c r="L269">
        <f t="shared" ca="1" si="40"/>
        <v>1</v>
      </c>
      <c r="N269" t="e">
        <f t="shared" ca="1" si="45"/>
        <v>#NAME?</v>
      </c>
      <c r="O269" t="e">
        <f t="shared" ca="1" si="41"/>
        <v>#NAME?</v>
      </c>
      <c r="P269" s="2" t="e">
        <f ca="1"/>
        <v>#NAME?</v>
      </c>
      <c r="Q269" t="e">
        <f ca="1"/>
        <v>#NAME?</v>
      </c>
      <c r="R269" t="e">
        <f ca="1"/>
        <v>#NAME?</v>
      </c>
      <c r="S269" t="e">
        <f ca="1"/>
        <v>#NAME?</v>
      </c>
      <c r="T269" t="e">
        <f ca="1"/>
        <v>#NAME?</v>
      </c>
      <c r="U269" t="e">
        <f ca="1"/>
        <v>#NAME?</v>
      </c>
      <c r="V269" t="e">
        <f ca="1"/>
        <v>#NAME?</v>
      </c>
      <c r="W269" t="e">
        <f ca="1"/>
        <v>#NAME?</v>
      </c>
      <c r="X269" t="e">
        <f ca="1"/>
        <v>#NAME?</v>
      </c>
      <c r="Y269" t="e">
        <f ca="1"/>
        <v>#NAME?</v>
      </c>
      <c r="Z269" t="e">
        <f ca="1"/>
        <v>#NAME?</v>
      </c>
      <c r="AA269" t="e">
        <f ca="1"/>
        <v>#NAME?</v>
      </c>
      <c r="AB269" t="e">
        <f ca="1"/>
        <v>#NAME?</v>
      </c>
      <c r="AD269" s="2">
        <f t="shared" ca="1" si="42"/>
        <v>0</v>
      </c>
      <c r="AE269" s="46">
        <f t="shared" ca="1" si="43"/>
        <v>0</v>
      </c>
      <c r="AG269" s="72" t="e">
        <f t="shared" ca="1" si="47"/>
        <v>#NAME?</v>
      </c>
      <c r="AH269" s="72" t="e">
        <f t="shared" ca="1" si="48"/>
        <v>#NAME?</v>
      </c>
      <c r="AI269" s="3" t="e">
        <f t="shared" ca="1" si="49"/>
        <v>#NAME?</v>
      </c>
    </row>
    <row r="270" spans="7:35" x14ac:dyDescent="0.25">
      <c r="G270" s="3">
        <f t="shared" ca="1" si="44"/>
        <v>251</v>
      </c>
      <c r="H270" s="105">
        <f t="shared" ca="1" si="46"/>
        <v>45176</v>
      </c>
      <c r="I270" s="132" t="e">
        <f>HLOOKUP($H$4,'Met Data'!$A$2:$F$368,G270,FALSE)</f>
        <v>#N/A</v>
      </c>
      <c r="J270" s="132" t="e">
        <f ca="1">HLOOKUP($H$4,'Met Data'!$H$2:$M$368,G270,FALSE)*L270</f>
        <v>#N/A</v>
      </c>
      <c r="K270" s="106" t="e">
        <f>HLOOKUP($H$4,'Met Data'!$O$2:$T$368,G270,FALSE)</f>
        <v>#N/A</v>
      </c>
      <c r="L270">
        <f t="shared" ca="1" si="40"/>
        <v>1</v>
      </c>
      <c r="N270" t="e">
        <f t="shared" ca="1" si="45"/>
        <v>#NAME?</v>
      </c>
      <c r="O270" t="e">
        <f t="shared" ca="1" si="41"/>
        <v>#NAME?</v>
      </c>
      <c r="P270" s="2" t="e">
        <f ca="1"/>
        <v>#NAME?</v>
      </c>
      <c r="Q270" t="e">
        <f ca="1"/>
        <v>#NAME?</v>
      </c>
      <c r="R270" t="e">
        <f ca="1"/>
        <v>#NAME?</v>
      </c>
      <c r="S270" t="e">
        <f ca="1"/>
        <v>#NAME?</v>
      </c>
      <c r="T270" t="e">
        <f ca="1"/>
        <v>#NAME?</v>
      </c>
      <c r="U270" t="e">
        <f ca="1"/>
        <v>#NAME?</v>
      </c>
      <c r="V270" t="e">
        <f ca="1"/>
        <v>#NAME?</v>
      </c>
      <c r="W270" t="e">
        <f ca="1"/>
        <v>#NAME?</v>
      </c>
      <c r="X270" t="e">
        <f ca="1"/>
        <v>#NAME?</v>
      </c>
      <c r="Y270" t="e">
        <f ca="1"/>
        <v>#NAME?</v>
      </c>
      <c r="Z270" t="e">
        <f ca="1"/>
        <v>#NAME?</v>
      </c>
      <c r="AA270" t="e">
        <f ca="1"/>
        <v>#NAME?</v>
      </c>
      <c r="AB270" t="e">
        <f ca="1"/>
        <v>#NAME?</v>
      </c>
      <c r="AD270" s="2">
        <f t="shared" ca="1" si="42"/>
        <v>0</v>
      </c>
      <c r="AE270" s="46">
        <f t="shared" ca="1" si="43"/>
        <v>0</v>
      </c>
      <c r="AG270" s="72" t="e">
        <f t="shared" ca="1" si="47"/>
        <v>#NAME?</v>
      </c>
      <c r="AH270" s="72" t="e">
        <f t="shared" ca="1" si="48"/>
        <v>#NAME?</v>
      </c>
      <c r="AI270" s="3" t="e">
        <f t="shared" ca="1" si="49"/>
        <v>#NAME?</v>
      </c>
    </row>
    <row r="271" spans="7:35" x14ac:dyDescent="0.25">
      <c r="G271" s="3">
        <f t="shared" ca="1" si="44"/>
        <v>252</v>
      </c>
      <c r="H271" s="105">
        <f t="shared" ca="1" si="46"/>
        <v>45177</v>
      </c>
      <c r="I271" s="132" t="e">
        <f>HLOOKUP($H$4,'Met Data'!$A$2:$F$368,G271,FALSE)</f>
        <v>#N/A</v>
      </c>
      <c r="J271" s="132" t="e">
        <f ca="1">HLOOKUP($H$4,'Met Data'!$H$2:$M$368,G271,FALSE)*L271</f>
        <v>#N/A</v>
      </c>
      <c r="K271" s="106" t="e">
        <f>HLOOKUP($H$4,'Met Data'!$O$2:$T$368,G271,FALSE)</f>
        <v>#N/A</v>
      </c>
      <c r="L271">
        <f t="shared" ca="1" si="40"/>
        <v>1</v>
      </c>
      <c r="N271" t="e">
        <f t="shared" ca="1" si="45"/>
        <v>#NAME?</v>
      </c>
      <c r="O271" t="e">
        <f t="shared" ca="1" si="41"/>
        <v>#NAME?</v>
      </c>
      <c r="P271" s="2" t="e">
        <f ca="1"/>
        <v>#NAME?</v>
      </c>
      <c r="Q271" t="e">
        <f ca="1"/>
        <v>#NAME?</v>
      </c>
      <c r="R271" t="e">
        <f ca="1"/>
        <v>#NAME?</v>
      </c>
      <c r="S271" t="e">
        <f ca="1"/>
        <v>#NAME?</v>
      </c>
      <c r="T271" t="e">
        <f ca="1"/>
        <v>#NAME?</v>
      </c>
      <c r="U271" t="e">
        <f ca="1"/>
        <v>#NAME?</v>
      </c>
      <c r="V271" t="e">
        <f ca="1"/>
        <v>#NAME?</v>
      </c>
      <c r="W271" t="e">
        <f ca="1"/>
        <v>#NAME?</v>
      </c>
      <c r="X271" t="e">
        <f ca="1"/>
        <v>#NAME?</v>
      </c>
      <c r="Y271" t="e">
        <f ca="1"/>
        <v>#NAME?</v>
      </c>
      <c r="Z271" t="e">
        <f ca="1"/>
        <v>#NAME?</v>
      </c>
      <c r="AA271" t="e">
        <f ca="1"/>
        <v>#NAME?</v>
      </c>
      <c r="AB271" t="e">
        <f ca="1"/>
        <v>#NAME?</v>
      </c>
      <c r="AD271" s="2">
        <f t="shared" ca="1" si="42"/>
        <v>0</v>
      </c>
      <c r="AE271" s="46">
        <f t="shared" ca="1" si="43"/>
        <v>0</v>
      </c>
      <c r="AG271" s="72" t="e">
        <f t="shared" ca="1" si="47"/>
        <v>#NAME?</v>
      </c>
      <c r="AH271" s="72" t="e">
        <f t="shared" ca="1" si="48"/>
        <v>#NAME?</v>
      </c>
      <c r="AI271" s="3" t="e">
        <f t="shared" ca="1" si="49"/>
        <v>#NAME?</v>
      </c>
    </row>
    <row r="272" spans="7:35" x14ac:dyDescent="0.25">
      <c r="G272" s="3">
        <f t="shared" ca="1" si="44"/>
        <v>253</v>
      </c>
      <c r="H272" s="105">
        <f t="shared" ca="1" si="46"/>
        <v>45178</v>
      </c>
      <c r="I272" s="132" t="e">
        <f>HLOOKUP($H$4,'Met Data'!$A$2:$F$368,G272,FALSE)</f>
        <v>#N/A</v>
      </c>
      <c r="J272" s="132" t="e">
        <f ca="1">HLOOKUP($H$4,'Met Data'!$H$2:$M$368,G272,FALSE)*L272</f>
        <v>#N/A</v>
      </c>
      <c r="K272" s="106" t="e">
        <f>HLOOKUP($H$4,'Met Data'!$O$2:$T$368,G272,FALSE)</f>
        <v>#N/A</v>
      </c>
      <c r="L272">
        <f t="shared" ca="1" si="40"/>
        <v>1</v>
      </c>
      <c r="N272" t="e">
        <f t="shared" ca="1" si="45"/>
        <v>#NAME?</v>
      </c>
      <c r="O272" t="e">
        <f t="shared" ca="1" si="41"/>
        <v>#NAME?</v>
      </c>
      <c r="P272" s="2" t="e">
        <f ca="1"/>
        <v>#NAME?</v>
      </c>
      <c r="Q272" t="e">
        <f ca="1"/>
        <v>#NAME?</v>
      </c>
      <c r="R272" t="e">
        <f ca="1"/>
        <v>#NAME?</v>
      </c>
      <c r="S272" t="e">
        <f ca="1"/>
        <v>#NAME?</v>
      </c>
      <c r="T272" t="e">
        <f ca="1"/>
        <v>#NAME?</v>
      </c>
      <c r="U272" t="e">
        <f ca="1"/>
        <v>#NAME?</v>
      </c>
      <c r="V272" t="e">
        <f ca="1"/>
        <v>#NAME?</v>
      </c>
      <c r="W272" t="e">
        <f ca="1"/>
        <v>#NAME?</v>
      </c>
      <c r="X272" t="e">
        <f ca="1"/>
        <v>#NAME?</v>
      </c>
      <c r="Y272" t="e">
        <f ca="1"/>
        <v>#NAME?</v>
      </c>
      <c r="Z272" t="e">
        <f ca="1"/>
        <v>#NAME?</v>
      </c>
      <c r="AA272" t="e">
        <f ca="1"/>
        <v>#NAME?</v>
      </c>
      <c r="AB272" t="e">
        <f ca="1"/>
        <v>#NAME?</v>
      </c>
      <c r="AD272" s="2">
        <f t="shared" ca="1" si="42"/>
        <v>0</v>
      </c>
      <c r="AE272" s="46">
        <f t="shared" ca="1" si="43"/>
        <v>0</v>
      </c>
      <c r="AG272" s="72" t="e">
        <f t="shared" ca="1" si="47"/>
        <v>#NAME?</v>
      </c>
      <c r="AH272" s="72" t="e">
        <f t="shared" ca="1" si="48"/>
        <v>#NAME?</v>
      </c>
      <c r="AI272" s="3" t="e">
        <f t="shared" ca="1" si="49"/>
        <v>#NAME?</v>
      </c>
    </row>
    <row r="273" spans="7:35" x14ac:dyDescent="0.25">
      <c r="G273" s="3">
        <f t="shared" ca="1" si="44"/>
        <v>254</v>
      </c>
      <c r="H273" s="105">
        <f t="shared" ca="1" si="46"/>
        <v>45179</v>
      </c>
      <c r="I273" s="132" t="e">
        <f>HLOOKUP($H$4,'Met Data'!$A$2:$F$368,G273,FALSE)</f>
        <v>#N/A</v>
      </c>
      <c r="J273" s="132" t="e">
        <f ca="1">HLOOKUP($H$4,'Met Data'!$H$2:$M$368,G273,FALSE)*L273</f>
        <v>#N/A</v>
      </c>
      <c r="K273" s="106" t="e">
        <f>HLOOKUP($H$4,'Met Data'!$O$2:$T$368,G273,FALSE)</f>
        <v>#N/A</v>
      </c>
      <c r="L273">
        <f t="shared" ca="1" si="40"/>
        <v>1</v>
      </c>
      <c r="N273" t="e">
        <f t="shared" ca="1" si="45"/>
        <v>#NAME?</v>
      </c>
      <c r="O273" t="e">
        <f t="shared" ca="1" si="41"/>
        <v>#NAME?</v>
      </c>
      <c r="P273" s="2" t="e">
        <f ca="1"/>
        <v>#NAME?</v>
      </c>
      <c r="Q273" t="e">
        <f ca="1"/>
        <v>#NAME?</v>
      </c>
      <c r="R273" t="e">
        <f ca="1"/>
        <v>#NAME?</v>
      </c>
      <c r="S273" t="e">
        <f ca="1"/>
        <v>#NAME?</v>
      </c>
      <c r="T273" t="e">
        <f ca="1"/>
        <v>#NAME?</v>
      </c>
      <c r="U273" t="e">
        <f ca="1"/>
        <v>#NAME?</v>
      </c>
      <c r="V273" t="e">
        <f ca="1"/>
        <v>#NAME?</v>
      </c>
      <c r="W273" t="e">
        <f ca="1"/>
        <v>#NAME?</v>
      </c>
      <c r="X273" t="e">
        <f ca="1"/>
        <v>#NAME?</v>
      </c>
      <c r="Y273" t="e">
        <f ca="1"/>
        <v>#NAME?</v>
      </c>
      <c r="Z273" t="e">
        <f ca="1"/>
        <v>#NAME?</v>
      </c>
      <c r="AA273" t="e">
        <f ca="1"/>
        <v>#NAME?</v>
      </c>
      <c r="AB273" t="e">
        <f ca="1"/>
        <v>#NAME?</v>
      </c>
      <c r="AD273" s="2">
        <f t="shared" ca="1" si="42"/>
        <v>0</v>
      </c>
      <c r="AE273" s="46">
        <f t="shared" ca="1" si="43"/>
        <v>0</v>
      </c>
      <c r="AG273" s="72" t="e">
        <f t="shared" ca="1" si="47"/>
        <v>#NAME?</v>
      </c>
      <c r="AH273" s="72" t="e">
        <f t="shared" ca="1" si="48"/>
        <v>#NAME?</v>
      </c>
      <c r="AI273" s="3" t="e">
        <f t="shared" ca="1" si="49"/>
        <v>#NAME?</v>
      </c>
    </row>
    <row r="274" spans="7:35" x14ac:dyDescent="0.25">
      <c r="G274" s="3">
        <f t="shared" ca="1" si="44"/>
        <v>255</v>
      </c>
      <c r="H274" s="105">
        <f t="shared" ca="1" si="46"/>
        <v>45180</v>
      </c>
      <c r="I274" s="132" t="e">
        <f>HLOOKUP($H$4,'Met Data'!$A$2:$F$368,G274,FALSE)</f>
        <v>#N/A</v>
      </c>
      <c r="J274" s="132" t="e">
        <f ca="1">HLOOKUP($H$4,'Met Data'!$H$2:$M$368,G274,FALSE)*L274</f>
        <v>#N/A</v>
      </c>
      <c r="K274" s="106" t="e">
        <f>HLOOKUP($H$4,'Met Data'!$O$2:$T$368,G274,FALSE)</f>
        <v>#N/A</v>
      </c>
      <c r="L274">
        <f t="shared" ca="1" si="40"/>
        <v>1</v>
      </c>
      <c r="N274" t="e">
        <f t="shared" ca="1" si="45"/>
        <v>#NAME?</v>
      </c>
      <c r="O274" t="e">
        <f t="shared" ca="1" si="41"/>
        <v>#NAME?</v>
      </c>
      <c r="P274" s="2" t="e">
        <f ca="1"/>
        <v>#NAME?</v>
      </c>
      <c r="Q274" t="e">
        <f ca="1"/>
        <v>#NAME?</v>
      </c>
      <c r="R274" t="e">
        <f ca="1"/>
        <v>#NAME?</v>
      </c>
      <c r="S274" t="e">
        <f ca="1"/>
        <v>#NAME?</v>
      </c>
      <c r="T274" t="e">
        <f ca="1"/>
        <v>#NAME?</v>
      </c>
      <c r="U274" t="e">
        <f ca="1"/>
        <v>#NAME?</v>
      </c>
      <c r="V274" t="e">
        <f ca="1"/>
        <v>#NAME?</v>
      </c>
      <c r="W274" t="e">
        <f ca="1"/>
        <v>#NAME?</v>
      </c>
      <c r="X274" t="e">
        <f ca="1"/>
        <v>#NAME?</v>
      </c>
      <c r="Y274" t="e">
        <f ca="1"/>
        <v>#NAME?</v>
      </c>
      <c r="Z274" t="e">
        <f ca="1"/>
        <v>#NAME?</v>
      </c>
      <c r="AA274" t="e">
        <f ca="1"/>
        <v>#NAME?</v>
      </c>
      <c r="AB274" t="e">
        <f ca="1"/>
        <v>#NAME?</v>
      </c>
      <c r="AD274" s="2">
        <f t="shared" ca="1" si="42"/>
        <v>0</v>
      </c>
      <c r="AE274" s="46">
        <f t="shared" ca="1" si="43"/>
        <v>0</v>
      </c>
      <c r="AG274" s="72" t="e">
        <f t="shared" ca="1" si="47"/>
        <v>#NAME?</v>
      </c>
      <c r="AH274" s="72" t="e">
        <f t="shared" ca="1" si="48"/>
        <v>#NAME?</v>
      </c>
      <c r="AI274" s="3" t="e">
        <f t="shared" ca="1" si="49"/>
        <v>#NAME?</v>
      </c>
    </row>
    <row r="275" spans="7:35" x14ac:dyDescent="0.25">
      <c r="G275" s="3">
        <f t="shared" ca="1" si="44"/>
        <v>256</v>
      </c>
      <c r="H275" s="105">
        <f t="shared" ca="1" si="46"/>
        <v>45181</v>
      </c>
      <c r="I275" s="132" t="e">
        <f>HLOOKUP($H$4,'Met Data'!$A$2:$F$368,G275,FALSE)</f>
        <v>#N/A</v>
      </c>
      <c r="J275" s="132" t="e">
        <f ca="1">HLOOKUP($H$4,'Met Data'!$H$2:$M$368,G275,FALSE)*L275</f>
        <v>#N/A</v>
      </c>
      <c r="K275" s="106" t="e">
        <f>HLOOKUP($H$4,'Met Data'!$O$2:$T$368,G275,FALSE)</f>
        <v>#N/A</v>
      </c>
      <c r="L275">
        <f t="shared" ca="1" si="40"/>
        <v>1</v>
      </c>
      <c r="N275" t="e">
        <f t="shared" ca="1" si="45"/>
        <v>#NAME?</v>
      </c>
      <c r="O275" t="e">
        <f t="shared" ca="1" si="41"/>
        <v>#NAME?</v>
      </c>
      <c r="P275" s="2" t="e">
        <f ca="1"/>
        <v>#NAME?</v>
      </c>
      <c r="Q275" t="e">
        <f ca="1"/>
        <v>#NAME?</v>
      </c>
      <c r="R275" t="e">
        <f ca="1"/>
        <v>#NAME?</v>
      </c>
      <c r="S275" t="e">
        <f ca="1"/>
        <v>#NAME?</v>
      </c>
      <c r="T275" t="e">
        <f ca="1"/>
        <v>#NAME?</v>
      </c>
      <c r="U275" t="e">
        <f ca="1"/>
        <v>#NAME?</v>
      </c>
      <c r="V275" t="e">
        <f ca="1"/>
        <v>#NAME?</v>
      </c>
      <c r="W275" t="e">
        <f ca="1"/>
        <v>#NAME?</v>
      </c>
      <c r="X275" t="e">
        <f ca="1"/>
        <v>#NAME?</v>
      </c>
      <c r="Y275" t="e">
        <f ca="1"/>
        <v>#NAME?</v>
      </c>
      <c r="Z275" t="e">
        <f ca="1"/>
        <v>#NAME?</v>
      </c>
      <c r="AA275" t="e">
        <f ca="1"/>
        <v>#NAME?</v>
      </c>
      <c r="AB275" t="e">
        <f ca="1"/>
        <v>#NAME?</v>
      </c>
      <c r="AD275" s="2">
        <f t="shared" ca="1" si="42"/>
        <v>0</v>
      </c>
      <c r="AE275" s="46">
        <f t="shared" ca="1" si="43"/>
        <v>0</v>
      </c>
      <c r="AG275" s="72" t="e">
        <f t="shared" ca="1" si="47"/>
        <v>#NAME?</v>
      </c>
      <c r="AH275" s="72" t="e">
        <f t="shared" ca="1" si="48"/>
        <v>#NAME?</v>
      </c>
      <c r="AI275" s="3" t="e">
        <f t="shared" ca="1" si="49"/>
        <v>#NAME?</v>
      </c>
    </row>
    <row r="276" spans="7:35" x14ac:dyDescent="0.25">
      <c r="G276" s="3">
        <f t="shared" ca="1" si="44"/>
        <v>257</v>
      </c>
      <c r="H276" s="105">
        <f t="shared" ca="1" si="46"/>
        <v>45182</v>
      </c>
      <c r="I276" s="132" t="e">
        <f>HLOOKUP($H$4,'Met Data'!$A$2:$F$368,G276,FALSE)</f>
        <v>#N/A</v>
      </c>
      <c r="J276" s="132" t="e">
        <f ca="1">HLOOKUP($H$4,'Met Data'!$H$2:$M$368,G276,FALSE)*L276</f>
        <v>#N/A</v>
      </c>
      <c r="K276" s="106" t="e">
        <f>HLOOKUP($H$4,'Met Data'!$O$2:$T$368,G276,FALSE)</f>
        <v>#N/A</v>
      </c>
      <c r="L276">
        <f t="shared" ca="1" si="40"/>
        <v>1</v>
      </c>
      <c r="N276" t="e">
        <f t="shared" ca="1" si="45"/>
        <v>#NAME?</v>
      </c>
      <c r="O276" t="e">
        <f t="shared" ca="1" si="41"/>
        <v>#NAME?</v>
      </c>
      <c r="P276" s="2" t="e">
        <f ca="1"/>
        <v>#NAME?</v>
      </c>
      <c r="Q276" t="e">
        <f ca="1"/>
        <v>#NAME?</v>
      </c>
      <c r="R276" t="e">
        <f ca="1"/>
        <v>#NAME?</v>
      </c>
      <c r="S276" t="e">
        <f ca="1"/>
        <v>#NAME?</v>
      </c>
      <c r="T276" t="e">
        <f ca="1"/>
        <v>#NAME?</v>
      </c>
      <c r="U276" t="e">
        <f ca="1"/>
        <v>#NAME?</v>
      </c>
      <c r="V276" t="e">
        <f ca="1"/>
        <v>#NAME?</v>
      </c>
      <c r="W276" t="e">
        <f ca="1"/>
        <v>#NAME?</v>
      </c>
      <c r="X276" t="e">
        <f ca="1"/>
        <v>#NAME?</v>
      </c>
      <c r="Y276" t="e">
        <f ca="1"/>
        <v>#NAME?</v>
      </c>
      <c r="Z276" t="e">
        <f ca="1"/>
        <v>#NAME?</v>
      </c>
      <c r="AA276" t="e">
        <f ca="1"/>
        <v>#NAME?</v>
      </c>
      <c r="AB276" t="e">
        <f ca="1"/>
        <v>#NAME?</v>
      </c>
      <c r="AD276" s="2">
        <f t="shared" ca="1" si="42"/>
        <v>0</v>
      </c>
      <c r="AE276" s="46">
        <f t="shared" ca="1" si="43"/>
        <v>0</v>
      </c>
      <c r="AG276" s="72" t="e">
        <f t="shared" ca="1" si="47"/>
        <v>#NAME?</v>
      </c>
      <c r="AH276" s="72" t="e">
        <f t="shared" ca="1" si="48"/>
        <v>#NAME?</v>
      </c>
      <c r="AI276" s="3" t="e">
        <f t="shared" ca="1" si="49"/>
        <v>#NAME?</v>
      </c>
    </row>
    <row r="277" spans="7:35" x14ac:dyDescent="0.25">
      <c r="G277" s="3">
        <f t="shared" ca="1" si="44"/>
        <v>258</v>
      </c>
      <c r="H277" s="105">
        <f t="shared" ca="1" si="46"/>
        <v>45183</v>
      </c>
      <c r="I277" s="132" t="e">
        <f>HLOOKUP($H$4,'Met Data'!$A$2:$F$368,G277,FALSE)</f>
        <v>#N/A</v>
      </c>
      <c r="J277" s="132" t="e">
        <f ca="1">HLOOKUP($H$4,'Met Data'!$H$2:$M$368,G277,FALSE)*L277</f>
        <v>#N/A</v>
      </c>
      <c r="K277" s="106" t="e">
        <f>HLOOKUP($H$4,'Met Data'!$O$2:$T$368,G277,FALSE)</f>
        <v>#N/A</v>
      </c>
      <c r="L277">
        <f t="shared" ca="1" si="40"/>
        <v>1</v>
      </c>
      <c r="N277" t="e">
        <f t="shared" ca="1" si="45"/>
        <v>#NAME?</v>
      </c>
      <c r="O277" t="e">
        <f t="shared" ca="1" si="41"/>
        <v>#NAME?</v>
      </c>
      <c r="P277" s="2" t="e">
        <f ca="1"/>
        <v>#NAME?</v>
      </c>
      <c r="Q277" t="e">
        <f ca="1"/>
        <v>#NAME?</v>
      </c>
      <c r="R277" t="e">
        <f ca="1"/>
        <v>#NAME?</v>
      </c>
      <c r="S277" t="e">
        <f ca="1"/>
        <v>#NAME?</v>
      </c>
      <c r="T277" t="e">
        <f ca="1"/>
        <v>#NAME?</v>
      </c>
      <c r="U277" t="e">
        <f ca="1"/>
        <v>#NAME?</v>
      </c>
      <c r="V277" t="e">
        <f ca="1"/>
        <v>#NAME?</v>
      </c>
      <c r="W277" t="e">
        <f ca="1"/>
        <v>#NAME?</v>
      </c>
      <c r="X277" t="e">
        <f ca="1"/>
        <v>#NAME?</v>
      </c>
      <c r="Y277" t="e">
        <f ca="1"/>
        <v>#NAME?</v>
      </c>
      <c r="Z277" t="e">
        <f ca="1"/>
        <v>#NAME?</v>
      </c>
      <c r="AA277" t="e">
        <f ca="1"/>
        <v>#NAME?</v>
      </c>
      <c r="AB277" t="e">
        <f ca="1"/>
        <v>#NAME?</v>
      </c>
      <c r="AD277" s="2">
        <f t="shared" ca="1" si="42"/>
        <v>0</v>
      </c>
      <c r="AE277" s="46">
        <f t="shared" ca="1" si="43"/>
        <v>0</v>
      </c>
      <c r="AG277" s="72" t="e">
        <f t="shared" ca="1" si="47"/>
        <v>#NAME?</v>
      </c>
      <c r="AH277" s="72" t="e">
        <f t="shared" ca="1" si="48"/>
        <v>#NAME?</v>
      </c>
      <c r="AI277" s="3" t="e">
        <f t="shared" ca="1" si="49"/>
        <v>#NAME?</v>
      </c>
    </row>
    <row r="278" spans="7:35" x14ac:dyDescent="0.25">
      <c r="G278" s="3">
        <f t="shared" ca="1" si="44"/>
        <v>259</v>
      </c>
      <c r="H278" s="105">
        <f t="shared" ca="1" si="46"/>
        <v>45184</v>
      </c>
      <c r="I278" s="132" t="e">
        <f>HLOOKUP($H$4,'Met Data'!$A$2:$F$368,G278,FALSE)</f>
        <v>#N/A</v>
      </c>
      <c r="J278" s="132" t="e">
        <f ca="1">HLOOKUP($H$4,'Met Data'!$H$2:$M$368,G278,FALSE)*L278</f>
        <v>#N/A</v>
      </c>
      <c r="K278" s="106" t="e">
        <f>HLOOKUP($H$4,'Met Data'!$O$2:$T$368,G278,FALSE)</f>
        <v>#N/A</v>
      </c>
      <c r="L278">
        <f t="shared" ca="1" si="40"/>
        <v>1</v>
      </c>
      <c r="N278" t="e">
        <f t="shared" ca="1" si="45"/>
        <v>#NAME?</v>
      </c>
      <c r="O278" t="e">
        <f t="shared" ca="1" si="41"/>
        <v>#NAME?</v>
      </c>
      <c r="P278" s="2" t="e">
        <f ca="1"/>
        <v>#NAME?</v>
      </c>
      <c r="Q278" t="e">
        <f ca="1"/>
        <v>#NAME?</v>
      </c>
      <c r="R278" t="e">
        <f ca="1"/>
        <v>#NAME?</v>
      </c>
      <c r="S278" t="e">
        <f ca="1"/>
        <v>#NAME?</v>
      </c>
      <c r="T278" t="e">
        <f ca="1"/>
        <v>#NAME?</v>
      </c>
      <c r="U278" t="e">
        <f ca="1"/>
        <v>#NAME?</v>
      </c>
      <c r="V278" t="e">
        <f ca="1"/>
        <v>#NAME?</v>
      </c>
      <c r="W278" t="e">
        <f ca="1"/>
        <v>#NAME?</v>
      </c>
      <c r="X278" t="e">
        <f ca="1"/>
        <v>#NAME?</v>
      </c>
      <c r="Y278" t="e">
        <f ca="1"/>
        <v>#NAME?</v>
      </c>
      <c r="Z278" t="e">
        <f ca="1"/>
        <v>#NAME?</v>
      </c>
      <c r="AA278" t="e">
        <f ca="1"/>
        <v>#NAME?</v>
      </c>
      <c r="AB278" t="e">
        <f ca="1"/>
        <v>#NAME?</v>
      </c>
      <c r="AD278" s="2">
        <f t="shared" ca="1" si="42"/>
        <v>0</v>
      </c>
      <c r="AE278" s="46">
        <f t="shared" ca="1" si="43"/>
        <v>0</v>
      </c>
      <c r="AG278" s="72" t="e">
        <f t="shared" ca="1" si="47"/>
        <v>#NAME?</v>
      </c>
      <c r="AH278" s="72" t="e">
        <f t="shared" ca="1" si="48"/>
        <v>#NAME?</v>
      </c>
      <c r="AI278" s="3" t="e">
        <f t="shared" ca="1" si="49"/>
        <v>#NAME?</v>
      </c>
    </row>
    <row r="279" spans="7:35" x14ac:dyDescent="0.25">
      <c r="G279" s="3">
        <f t="shared" ca="1" si="44"/>
        <v>260</v>
      </c>
      <c r="H279" s="105">
        <f t="shared" ca="1" si="46"/>
        <v>45185</v>
      </c>
      <c r="I279" s="132" t="e">
        <f>HLOOKUP($H$4,'Met Data'!$A$2:$F$368,G279,FALSE)</f>
        <v>#N/A</v>
      </c>
      <c r="J279" s="132" t="e">
        <f ca="1">HLOOKUP($H$4,'Met Data'!$H$2:$M$368,G279,FALSE)*L279</f>
        <v>#N/A</v>
      </c>
      <c r="K279" s="106" t="e">
        <f>HLOOKUP($H$4,'Met Data'!$O$2:$T$368,G279,FALSE)</f>
        <v>#N/A</v>
      </c>
      <c r="L279">
        <f t="shared" ca="1" si="40"/>
        <v>1</v>
      </c>
      <c r="N279" t="e">
        <f t="shared" ca="1" si="45"/>
        <v>#NAME?</v>
      </c>
      <c r="O279" t="e">
        <f t="shared" ca="1" si="41"/>
        <v>#NAME?</v>
      </c>
      <c r="P279" s="2" t="e">
        <f ca="1"/>
        <v>#NAME?</v>
      </c>
      <c r="Q279" t="e">
        <f ca="1"/>
        <v>#NAME?</v>
      </c>
      <c r="R279" t="e">
        <f ca="1"/>
        <v>#NAME?</v>
      </c>
      <c r="S279" t="e">
        <f ca="1"/>
        <v>#NAME?</v>
      </c>
      <c r="T279" t="e">
        <f ca="1"/>
        <v>#NAME?</v>
      </c>
      <c r="U279" t="e">
        <f ca="1"/>
        <v>#NAME?</v>
      </c>
      <c r="V279" t="e">
        <f ca="1"/>
        <v>#NAME?</v>
      </c>
      <c r="W279" t="e">
        <f ca="1"/>
        <v>#NAME?</v>
      </c>
      <c r="X279" t="e">
        <f ca="1"/>
        <v>#NAME?</v>
      </c>
      <c r="Y279" t="e">
        <f ca="1"/>
        <v>#NAME?</v>
      </c>
      <c r="Z279" t="e">
        <f ca="1"/>
        <v>#NAME?</v>
      </c>
      <c r="AA279" t="e">
        <f ca="1"/>
        <v>#NAME?</v>
      </c>
      <c r="AB279" t="e">
        <f ca="1"/>
        <v>#NAME?</v>
      </c>
      <c r="AD279" s="2">
        <f t="shared" ca="1" si="42"/>
        <v>0</v>
      </c>
      <c r="AE279" s="46">
        <f t="shared" ca="1" si="43"/>
        <v>0</v>
      </c>
      <c r="AG279" s="72" t="e">
        <f t="shared" ca="1" si="47"/>
        <v>#NAME?</v>
      </c>
      <c r="AH279" s="72" t="e">
        <f t="shared" ca="1" si="48"/>
        <v>#NAME?</v>
      </c>
      <c r="AI279" s="3" t="e">
        <f t="shared" ca="1" si="49"/>
        <v>#NAME?</v>
      </c>
    </row>
    <row r="280" spans="7:35" x14ac:dyDescent="0.25">
      <c r="G280" s="3">
        <f t="shared" ca="1" si="44"/>
        <v>261</v>
      </c>
      <c r="H280" s="105">
        <f t="shared" ca="1" si="46"/>
        <v>45186</v>
      </c>
      <c r="I280" s="132" t="e">
        <f>HLOOKUP($H$4,'Met Data'!$A$2:$F$368,G280,FALSE)</f>
        <v>#N/A</v>
      </c>
      <c r="J280" s="132" t="e">
        <f ca="1">HLOOKUP($H$4,'Met Data'!$H$2:$M$368,G280,FALSE)*L280</f>
        <v>#N/A</v>
      </c>
      <c r="K280" s="106" t="e">
        <f>HLOOKUP($H$4,'Met Data'!$O$2:$T$368,G280,FALSE)</f>
        <v>#N/A</v>
      </c>
      <c r="L280">
        <f t="shared" ca="1" si="40"/>
        <v>1</v>
      </c>
      <c r="N280" t="e">
        <f t="shared" ca="1" si="45"/>
        <v>#NAME?</v>
      </c>
      <c r="O280" t="e">
        <f t="shared" ca="1" si="41"/>
        <v>#NAME?</v>
      </c>
      <c r="P280" s="2" t="e">
        <f ca="1"/>
        <v>#NAME?</v>
      </c>
      <c r="Q280" t="e">
        <f ca="1"/>
        <v>#NAME?</v>
      </c>
      <c r="R280" t="e">
        <f ca="1"/>
        <v>#NAME?</v>
      </c>
      <c r="S280" t="e">
        <f ca="1"/>
        <v>#NAME?</v>
      </c>
      <c r="T280" t="e">
        <f ca="1"/>
        <v>#NAME?</v>
      </c>
      <c r="U280" t="e">
        <f ca="1"/>
        <v>#NAME?</v>
      </c>
      <c r="V280" t="e">
        <f ca="1"/>
        <v>#NAME?</v>
      </c>
      <c r="W280" t="e">
        <f ca="1"/>
        <v>#NAME?</v>
      </c>
      <c r="X280" t="e">
        <f ca="1"/>
        <v>#NAME?</v>
      </c>
      <c r="Y280" t="e">
        <f ca="1"/>
        <v>#NAME?</v>
      </c>
      <c r="Z280" t="e">
        <f ca="1"/>
        <v>#NAME?</v>
      </c>
      <c r="AA280" t="e">
        <f ca="1"/>
        <v>#NAME?</v>
      </c>
      <c r="AB280" t="e">
        <f ca="1"/>
        <v>#NAME?</v>
      </c>
      <c r="AD280" s="2">
        <f t="shared" ca="1" si="42"/>
        <v>0</v>
      </c>
      <c r="AE280" s="46">
        <f t="shared" ca="1" si="43"/>
        <v>0</v>
      </c>
      <c r="AG280" s="72" t="e">
        <f t="shared" ca="1" si="47"/>
        <v>#NAME?</v>
      </c>
      <c r="AH280" s="72" t="e">
        <f t="shared" ca="1" si="48"/>
        <v>#NAME?</v>
      </c>
      <c r="AI280" s="3" t="e">
        <f t="shared" ca="1" si="49"/>
        <v>#NAME?</v>
      </c>
    </row>
    <row r="281" spans="7:35" x14ac:dyDescent="0.25">
      <c r="G281" s="3">
        <f t="shared" ca="1" si="44"/>
        <v>262</v>
      </c>
      <c r="H281" s="105">
        <f t="shared" ca="1" si="46"/>
        <v>45187</v>
      </c>
      <c r="I281" s="132" t="e">
        <f>HLOOKUP($H$4,'Met Data'!$A$2:$F$368,G281,FALSE)</f>
        <v>#N/A</v>
      </c>
      <c r="J281" s="132" t="e">
        <f ca="1">HLOOKUP($H$4,'Met Data'!$H$2:$M$368,G281,FALSE)*L281</f>
        <v>#N/A</v>
      </c>
      <c r="K281" s="106" t="e">
        <f>HLOOKUP($H$4,'Met Data'!$O$2:$T$368,G281,FALSE)</f>
        <v>#N/A</v>
      </c>
      <c r="L281">
        <f t="shared" ca="1" si="40"/>
        <v>1</v>
      </c>
      <c r="N281" t="e">
        <f t="shared" ca="1" si="45"/>
        <v>#NAME?</v>
      </c>
      <c r="O281" t="e">
        <f t="shared" ca="1" si="41"/>
        <v>#NAME?</v>
      </c>
      <c r="P281" s="2" t="e">
        <f ca="1"/>
        <v>#NAME?</v>
      </c>
      <c r="Q281" t="e">
        <f ca="1"/>
        <v>#NAME?</v>
      </c>
      <c r="R281" t="e">
        <f ca="1"/>
        <v>#NAME?</v>
      </c>
      <c r="S281" t="e">
        <f ca="1"/>
        <v>#NAME?</v>
      </c>
      <c r="T281" t="e">
        <f ca="1"/>
        <v>#NAME?</v>
      </c>
      <c r="U281" t="e">
        <f ca="1"/>
        <v>#NAME?</v>
      </c>
      <c r="V281" t="e">
        <f ca="1"/>
        <v>#NAME?</v>
      </c>
      <c r="W281" t="e">
        <f ca="1"/>
        <v>#NAME?</v>
      </c>
      <c r="X281" t="e">
        <f ca="1"/>
        <v>#NAME?</v>
      </c>
      <c r="Y281" t="e">
        <f ca="1"/>
        <v>#NAME?</v>
      </c>
      <c r="Z281" t="e">
        <f ca="1"/>
        <v>#NAME?</v>
      </c>
      <c r="AA281" t="e">
        <f ca="1"/>
        <v>#NAME?</v>
      </c>
      <c r="AB281" t="e">
        <f ca="1"/>
        <v>#NAME?</v>
      </c>
      <c r="AD281" s="2">
        <f t="shared" ca="1" si="42"/>
        <v>0</v>
      </c>
      <c r="AE281" s="46">
        <f t="shared" ca="1" si="43"/>
        <v>0</v>
      </c>
      <c r="AG281" s="72" t="e">
        <f t="shared" ca="1" si="47"/>
        <v>#NAME?</v>
      </c>
      <c r="AH281" s="72" t="e">
        <f t="shared" ca="1" si="48"/>
        <v>#NAME?</v>
      </c>
      <c r="AI281" s="3" t="e">
        <f t="shared" ca="1" si="49"/>
        <v>#NAME?</v>
      </c>
    </row>
    <row r="282" spans="7:35" x14ac:dyDescent="0.25">
      <c r="G282" s="3">
        <f t="shared" ca="1" si="44"/>
        <v>263</v>
      </c>
      <c r="H282" s="105">
        <f t="shared" ca="1" si="46"/>
        <v>45188</v>
      </c>
      <c r="I282" s="132" t="e">
        <f>HLOOKUP($H$4,'Met Data'!$A$2:$F$368,G282,FALSE)</f>
        <v>#N/A</v>
      </c>
      <c r="J282" s="132" t="e">
        <f ca="1">HLOOKUP($H$4,'Met Data'!$H$2:$M$368,G282,FALSE)*L282</f>
        <v>#N/A</v>
      </c>
      <c r="K282" s="106" t="e">
        <f>HLOOKUP($H$4,'Met Data'!$O$2:$T$368,G282,FALSE)</f>
        <v>#N/A</v>
      </c>
      <c r="L282">
        <f t="shared" ca="1" si="40"/>
        <v>1</v>
      </c>
      <c r="N282" t="e">
        <f t="shared" ca="1" si="45"/>
        <v>#NAME?</v>
      </c>
      <c r="O282" t="e">
        <f t="shared" ca="1" si="41"/>
        <v>#NAME?</v>
      </c>
      <c r="P282" s="2" t="e">
        <f ca="1"/>
        <v>#NAME?</v>
      </c>
      <c r="Q282" t="e">
        <f ca="1"/>
        <v>#NAME?</v>
      </c>
      <c r="R282" t="e">
        <f ca="1"/>
        <v>#NAME?</v>
      </c>
      <c r="S282" t="e">
        <f ca="1"/>
        <v>#NAME?</v>
      </c>
      <c r="T282" t="e">
        <f ca="1"/>
        <v>#NAME?</v>
      </c>
      <c r="U282" t="e">
        <f ca="1"/>
        <v>#NAME?</v>
      </c>
      <c r="V282" t="e">
        <f ca="1"/>
        <v>#NAME?</v>
      </c>
      <c r="W282" t="e">
        <f ca="1"/>
        <v>#NAME?</v>
      </c>
      <c r="X282" t="e">
        <f ca="1"/>
        <v>#NAME?</v>
      </c>
      <c r="Y282" t="e">
        <f ca="1"/>
        <v>#NAME?</v>
      </c>
      <c r="Z282" t="e">
        <f ca="1"/>
        <v>#NAME?</v>
      </c>
      <c r="AA282" t="e">
        <f ca="1"/>
        <v>#NAME?</v>
      </c>
      <c r="AB282" t="e">
        <f ca="1"/>
        <v>#NAME?</v>
      </c>
      <c r="AD282" s="2">
        <f t="shared" ca="1" si="42"/>
        <v>0</v>
      </c>
      <c r="AE282" s="46">
        <f t="shared" ca="1" si="43"/>
        <v>0</v>
      </c>
      <c r="AG282" s="72" t="e">
        <f t="shared" ca="1" si="47"/>
        <v>#NAME?</v>
      </c>
      <c r="AH282" s="72" t="e">
        <f t="shared" ca="1" si="48"/>
        <v>#NAME?</v>
      </c>
      <c r="AI282" s="3" t="e">
        <f t="shared" ca="1" si="49"/>
        <v>#NAME?</v>
      </c>
    </row>
    <row r="283" spans="7:35" x14ac:dyDescent="0.25">
      <c r="G283" s="3">
        <f t="shared" ca="1" si="44"/>
        <v>264</v>
      </c>
      <c r="H283" s="105">
        <f t="shared" ca="1" si="46"/>
        <v>45189</v>
      </c>
      <c r="I283" s="132" t="e">
        <f>HLOOKUP($H$4,'Met Data'!$A$2:$F$368,G283,FALSE)</f>
        <v>#N/A</v>
      </c>
      <c r="J283" s="132" t="e">
        <f ca="1">HLOOKUP($H$4,'Met Data'!$H$2:$M$368,G283,FALSE)*L283</f>
        <v>#N/A</v>
      </c>
      <c r="K283" s="106" t="e">
        <f>HLOOKUP($H$4,'Met Data'!$O$2:$T$368,G283,FALSE)</f>
        <v>#N/A</v>
      </c>
      <c r="L283">
        <f t="shared" ca="1" si="40"/>
        <v>1</v>
      </c>
      <c r="N283" t="e">
        <f t="shared" ca="1" si="45"/>
        <v>#NAME?</v>
      </c>
      <c r="O283" t="e">
        <f t="shared" ca="1" si="41"/>
        <v>#NAME?</v>
      </c>
      <c r="P283" s="2" t="e">
        <f ca="1"/>
        <v>#NAME?</v>
      </c>
      <c r="Q283" t="e">
        <f ca="1"/>
        <v>#NAME?</v>
      </c>
      <c r="R283" t="e">
        <f ca="1"/>
        <v>#NAME?</v>
      </c>
      <c r="S283" t="e">
        <f ca="1"/>
        <v>#NAME?</v>
      </c>
      <c r="T283" t="e">
        <f ca="1"/>
        <v>#NAME?</v>
      </c>
      <c r="U283" t="e">
        <f ca="1"/>
        <v>#NAME?</v>
      </c>
      <c r="V283" t="e">
        <f ca="1"/>
        <v>#NAME?</v>
      </c>
      <c r="W283" t="e">
        <f ca="1"/>
        <v>#NAME?</v>
      </c>
      <c r="X283" t="e">
        <f ca="1"/>
        <v>#NAME?</v>
      </c>
      <c r="Y283" t="e">
        <f ca="1"/>
        <v>#NAME?</v>
      </c>
      <c r="Z283" t="e">
        <f ca="1"/>
        <v>#NAME?</v>
      </c>
      <c r="AA283" t="e">
        <f ca="1"/>
        <v>#NAME?</v>
      </c>
      <c r="AB283" t="e">
        <f ca="1"/>
        <v>#NAME?</v>
      </c>
      <c r="AD283" s="2">
        <f t="shared" ca="1" si="42"/>
        <v>0</v>
      </c>
      <c r="AE283" s="46">
        <f t="shared" ca="1" si="43"/>
        <v>0</v>
      </c>
      <c r="AG283" s="72" t="e">
        <f t="shared" ca="1" si="47"/>
        <v>#NAME?</v>
      </c>
      <c r="AH283" s="72" t="e">
        <f t="shared" ca="1" si="48"/>
        <v>#NAME?</v>
      </c>
      <c r="AI283" s="3" t="e">
        <f t="shared" ca="1" si="49"/>
        <v>#NAME?</v>
      </c>
    </row>
    <row r="284" spans="7:35" x14ac:dyDescent="0.25">
      <c r="G284" s="3">
        <f t="shared" ca="1" si="44"/>
        <v>265</v>
      </c>
      <c r="H284" s="105">
        <f t="shared" ca="1" si="46"/>
        <v>45190</v>
      </c>
      <c r="I284" s="132" t="e">
        <f>HLOOKUP($H$4,'Met Data'!$A$2:$F$368,G284,FALSE)</f>
        <v>#N/A</v>
      </c>
      <c r="J284" s="132" t="e">
        <f ca="1">HLOOKUP($H$4,'Met Data'!$H$2:$M$368,G284,FALSE)*L284</f>
        <v>#N/A</v>
      </c>
      <c r="K284" s="106" t="e">
        <f>HLOOKUP($H$4,'Met Data'!$O$2:$T$368,G284,FALSE)</f>
        <v>#N/A</v>
      </c>
      <c r="L284">
        <f t="shared" ca="1" si="40"/>
        <v>1</v>
      </c>
      <c r="N284" t="e">
        <f t="shared" ca="1" si="45"/>
        <v>#NAME?</v>
      </c>
      <c r="O284" t="e">
        <f t="shared" ca="1" si="41"/>
        <v>#NAME?</v>
      </c>
      <c r="P284" s="2" t="e">
        <f ca="1"/>
        <v>#NAME?</v>
      </c>
      <c r="Q284" t="e">
        <f ca="1"/>
        <v>#NAME?</v>
      </c>
      <c r="R284" t="e">
        <f ca="1"/>
        <v>#NAME?</v>
      </c>
      <c r="S284" t="e">
        <f ca="1"/>
        <v>#NAME?</v>
      </c>
      <c r="T284" t="e">
        <f ca="1"/>
        <v>#NAME?</v>
      </c>
      <c r="U284" t="e">
        <f ca="1"/>
        <v>#NAME?</v>
      </c>
      <c r="V284" t="e">
        <f ca="1"/>
        <v>#NAME?</v>
      </c>
      <c r="W284" t="e">
        <f ca="1"/>
        <v>#NAME?</v>
      </c>
      <c r="X284" t="e">
        <f ca="1"/>
        <v>#NAME?</v>
      </c>
      <c r="Y284" t="e">
        <f ca="1"/>
        <v>#NAME?</v>
      </c>
      <c r="Z284" t="e">
        <f ca="1"/>
        <v>#NAME?</v>
      </c>
      <c r="AA284" t="e">
        <f ca="1"/>
        <v>#NAME?</v>
      </c>
      <c r="AB284" t="e">
        <f ca="1"/>
        <v>#NAME?</v>
      </c>
      <c r="AD284" s="2">
        <f t="shared" ca="1" si="42"/>
        <v>0</v>
      </c>
      <c r="AE284" s="46">
        <f t="shared" ca="1" si="43"/>
        <v>0</v>
      </c>
      <c r="AG284" s="72" t="e">
        <f t="shared" ca="1" si="47"/>
        <v>#NAME?</v>
      </c>
      <c r="AH284" s="72" t="e">
        <f t="shared" ca="1" si="48"/>
        <v>#NAME?</v>
      </c>
      <c r="AI284" s="3" t="e">
        <f t="shared" ca="1" si="49"/>
        <v>#NAME?</v>
      </c>
    </row>
    <row r="285" spans="7:35" x14ac:dyDescent="0.25">
      <c r="G285" s="3">
        <f t="shared" ca="1" si="44"/>
        <v>266</v>
      </c>
      <c r="H285" s="105">
        <f t="shared" ca="1" si="46"/>
        <v>45191</v>
      </c>
      <c r="I285" s="132" t="e">
        <f>HLOOKUP($H$4,'Met Data'!$A$2:$F$368,G285,FALSE)</f>
        <v>#N/A</v>
      </c>
      <c r="J285" s="132" t="e">
        <f ca="1">HLOOKUP($H$4,'Met Data'!$H$2:$M$368,G285,FALSE)*L285</f>
        <v>#N/A</v>
      </c>
      <c r="K285" s="106" t="e">
        <f>HLOOKUP($H$4,'Met Data'!$O$2:$T$368,G285,FALSE)</f>
        <v>#N/A</v>
      </c>
      <c r="L285">
        <f t="shared" ca="1" si="40"/>
        <v>1</v>
      </c>
      <c r="N285" t="e">
        <f t="shared" ca="1" si="45"/>
        <v>#NAME?</v>
      </c>
      <c r="O285" t="e">
        <f t="shared" ca="1" si="41"/>
        <v>#NAME?</v>
      </c>
      <c r="P285" s="2" t="e">
        <f ca="1"/>
        <v>#NAME?</v>
      </c>
      <c r="Q285" t="e">
        <f ca="1"/>
        <v>#NAME?</v>
      </c>
      <c r="R285" t="e">
        <f ca="1"/>
        <v>#NAME?</v>
      </c>
      <c r="S285" t="e">
        <f ca="1"/>
        <v>#NAME?</v>
      </c>
      <c r="T285" t="e">
        <f ca="1"/>
        <v>#NAME?</v>
      </c>
      <c r="U285" t="e">
        <f ca="1"/>
        <v>#NAME?</v>
      </c>
      <c r="V285" t="e">
        <f ca="1"/>
        <v>#NAME?</v>
      </c>
      <c r="W285" t="e">
        <f ca="1"/>
        <v>#NAME?</v>
      </c>
      <c r="X285" t="e">
        <f ca="1"/>
        <v>#NAME?</v>
      </c>
      <c r="Y285" t="e">
        <f ca="1"/>
        <v>#NAME?</v>
      </c>
      <c r="Z285" t="e">
        <f ca="1"/>
        <v>#NAME?</v>
      </c>
      <c r="AA285" t="e">
        <f ca="1"/>
        <v>#NAME?</v>
      </c>
      <c r="AB285" t="e">
        <f ca="1"/>
        <v>#NAME?</v>
      </c>
      <c r="AD285" s="2">
        <f t="shared" ca="1" si="42"/>
        <v>0</v>
      </c>
      <c r="AE285" s="46">
        <f t="shared" ca="1" si="43"/>
        <v>0</v>
      </c>
      <c r="AG285" s="72" t="e">
        <f t="shared" ca="1" si="47"/>
        <v>#NAME?</v>
      </c>
      <c r="AH285" s="72" t="e">
        <f t="shared" ca="1" si="48"/>
        <v>#NAME?</v>
      </c>
      <c r="AI285" s="3" t="e">
        <f t="shared" ca="1" si="49"/>
        <v>#NAME?</v>
      </c>
    </row>
    <row r="286" spans="7:35" x14ac:dyDescent="0.25">
      <c r="G286" s="3">
        <f t="shared" ca="1" si="44"/>
        <v>267</v>
      </c>
      <c r="H286" s="105">
        <f t="shared" ca="1" si="46"/>
        <v>45192</v>
      </c>
      <c r="I286" s="132" t="e">
        <f>HLOOKUP($H$4,'Met Data'!$A$2:$F$368,G286,FALSE)</f>
        <v>#N/A</v>
      </c>
      <c r="J286" s="132" t="e">
        <f ca="1">HLOOKUP($H$4,'Met Data'!$H$2:$M$368,G286,FALSE)*L286</f>
        <v>#N/A</v>
      </c>
      <c r="K286" s="106" t="e">
        <f>HLOOKUP($H$4,'Met Data'!$O$2:$T$368,G286,FALSE)</f>
        <v>#N/A</v>
      </c>
      <c r="L286">
        <f t="shared" ca="1" si="40"/>
        <v>1</v>
      </c>
      <c r="N286" t="e">
        <f t="shared" ca="1" si="45"/>
        <v>#NAME?</v>
      </c>
      <c r="O286" t="e">
        <f t="shared" ca="1" si="41"/>
        <v>#NAME?</v>
      </c>
      <c r="P286" s="2" t="e">
        <f ca="1"/>
        <v>#NAME?</v>
      </c>
      <c r="Q286" t="e">
        <f ca="1"/>
        <v>#NAME?</v>
      </c>
      <c r="R286" t="e">
        <f ca="1"/>
        <v>#NAME?</v>
      </c>
      <c r="S286" t="e">
        <f ca="1"/>
        <v>#NAME?</v>
      </c>
      <c r="T286" t="e">
        <f ca="1"/>
        <v>#NAME?</v>
      </c>
      <c r="U286" t="e">
        <f ca="1"/>
        <v>#NAME?</v>
      </c>
      <c r="V286" t="e">
        <f ca="1"/>
        <v>#NAME?</v>
      </c>
      <c r="W286" t="e">
        <f ca="1"/>
        <v>#NAME?</v>
      </c>
      <c r="X286" t="e">
        <f ca="1"/>
        <v>#NAME?</v>
      </c>
      <c r="Y286" t="e">
        <f ca="1"/>
        <v>#NAME?</v>
      </c>
      <c r="Z286" t="e">
        <f ca="1"/>
        <v>#NAME?</v>
      </c>
      <c r="AA286" t="e">
        <f ca="1"/>
        <v>#NAME?</v>
      </c>
      <c r="AB286" t="e">
        <f ca="1"/>
        <v>#NAME?</v>
      </c>
      <c r="AD286" s="2">
        <f t="shared" ca="1" si="42"/>
        <v>0</v>
      </c>
      <c r="AE286" s="46">
        <f t="shared" ca="1" si="43"/>
        <v>0</v>
      </c>
      <c r="AG286" s="72" t="e">
        <f t="shared" ca="1" si="47"/>
        <v>#NAME?</v>
      </c>
      <c r="AH286" s="72" t="e">
        <f t="shared" ca="1" si="48"/>
        <v>#NAME?</v>
      </c>
      <c r="AI286" s="3" t="e">
        <f t="shared" ca="1" si="49"/>
        <v>#NAME?</v>
      </c>
    </row>
    <row r="287" spans="7:35" x14ac:dyDescent="0.25">
      <c r="G287" s="3">
        <f t="shared" ca="1" si="44"/>
        <v>268</v>
      </c>
      <c r="H287" s="105">
        <f t="shared" ca="1" si="46"/>
        <v>45193</v>
      </c>
      <c r="I287" s="132" t="e">
        <f>HLOOKUP($H$4,'Met Data'!$A$2:$F$368,G287,FALSE)</f>
        <v>#N/A</v>
      </c>
      <c r="J287" s="132" t="e">
        <f ca="1">HLOOKUP($H$4,'Met Data'!$H$2:$M$368,G287,FALSE)*L287</f>
        <v>#N/A</v>
      </c>
      <c r="K287" s="106" t="e">
        <f>HLOOKUP($H$4,'Met Data'!$O$2:$T$368,G287,FALSE)</f>
        <v>#N/A</v>
      </c>
      <c r="L287">
        <f t="shared" ca="1" si="40"/>
        <v>1</v>
      </c>
      <c r="N287" t="e">
        <f t="shared" ca="1" si="45"/>
        <v>#NAME?</v>
      </c>
      <c r="O287" t="e">
        <f t="shared" ca="1" si="41"/>
        <v>#NAME?</v>
      </c>
      <c r="P287" s="2" t="e">
        <f ca="1"/>
        <v>#NAME?</v>
      </c>
      <c r="Q287" t="e">
        <f ca="1"/>
        <v>#NAME?</v>
      </c>
      <c r="R287" t="e">
        <f ca="1"/>
        <v>#NAME?</v>
      </c>
      <c r="S287" t="e">
        <f ca="1"/>
        <v>#NAME?</v>
      </c>
      <c r="T287" t="e">
        <f ca="1"/>
        <v>#NAME?</v>
      </c>
      <c r="U287" t="e">
        <f ca="1"/>
        <v>#NAME?</v>
      </c>
      <c r="V287" t="e">
        <f ca="1"/>
        <v>#NAME?</v>
      </c>
      <c r="W287" t="e">
        <f ca="1"/>
        <v>#NAME?</v>
      </c>
      <c r="X287" t="e">
        <f ca="1"/>
        <v>#NAME?</v>
      </c>
      <c r="Y287" t="e">
        <f ca="1"/>
        <v>#NAME?</v>
      </c>
      <c r="Z287" t="e">
        <f ca="1"/>
        <v>#NAME?</v>
      </c>
      <c r="AA287" t="e">
        <f ca="1"/>
        <v>#NAME?</v>
      </c>
      <c r="AB287" t="e">
        <f ca="1"/>
        <v>#NAME?</v>
      </c>
      <c r="AD287" s="2">
        <f t="shared" ca="1" si="42"/>
        <v>0</v>
      </c>
      <c r="AE287" s="46">
        <f t="shared" ca="1" si="43"/>
        <v>0</v>
      </c>
      <c r="AG287" s="72" t="e">
        <f t="shared" ca="1" si="47"/>
        <v>#NAME?</v>
      </c>
      <c r="AH287" s="72" t="e">
        <f t="shared" ca="1" si="48"/>
        <v>#NAME?</v>
      </c>
      <c r="AI287" s="3" t="e">
        <f t="shared" ca="1" si="49"/>
        <v>#NAME?</v>
      </c>
    </row>
    <row r="288" spans="7:35" x14ac:dyDescent="0.25">
      <c r="G288" s="3">
        <f t="shared" ca="1" si="44"/>
        <v>269</v>
      </c>
      <c r="H288" s="105">
        <f t="shared" ca="1" si="46"/>
        <v>45194</v>
      </c>
      <c r="I288" s="132" t="e">
        <f>HLOOKUP($H$4,'Met Data'!$A$2:$F$368,G288,FALSE)</f>
        <v>#N/A</v>
      </c>
      <c r="J288" s="132" t="e">
        <f ca="1">HLOOKUP($H$4,'Met Data'!$H$2:$M$368,G288,FALSE)*L288</f>
        <v>#N/A</v>
      </c>
      <c r="K288" s="106" t="e">
        <f>HLOOKUP($H$4,'Met Data'!$O$2:$T$368,G288,FALSE)</f>
        <v>#N/A</v>
      </c>
      <c r="L288">
        <f t="shared" ca="1" si="40"/>
        <v>1</v>
      </c>
      <c r="N288" t="e">
        <f t="shared" ca="1" si="45"/>
        <v>#NAME?</v>
      </c>
      <c r="O288" t="e">
        <f t="shared" ca="1" si="41"/>
        <v>#NAME?</v>
      </c>
      <c r="P288" s="2" t="e">
        <f ca="1"/>
        <v>#NAME?</v>
      </c>
      <c r="Q288" t="e">
        <f ca="1"/>
        <v>#NAME?</v>
      </c>
      <c r="R288" t="e">
        <f ca="1"/>
        <v>#NAME?</v>
      </c>
      <c r="S288" t="e">
        <f ca="1"/>
        <v>#NAME?</v>
      </c>
      <c r="T288" t="e">
        <f ca="1"/>
        <v>#NAME?</v>
      </c>
      <c r="U288" t="e">
        <f ca="1"/>
        <v>#NAME?</v>
      </c>
      <c r="V288" t="e">
        <f ca="1"/>
        <v>#NAME?</v>
      </c>
      <c r="W288" t="e">
        <f ca="1"/>
        <v>#NAME?</v>
      </c>
      <c r="X288" t="e">
        <f ca="1"/>
        <v>#NAME?</v>
      </c>
      <c r="Y288" t="e">
        <f ca="1"/>
        <v>#NAME?</v>
      </c>
      <c r="Z288" t="e">
        <f ca="1"/>
        <v>#NAME?</v>
      </c>
      <c r="AA288" t="e">
        <f ca="1"/>
        <v>#NAME?</v>
      </c>
      <c r="AB288" t="e">
        <f ca="1"/>
        <v>#NAME?</v>
      </c>
      <c r="AD288" s="2">
        <f t="shared" ca="1" si="42"/>
        <v>0</v>
      </c>
      <c r="AE288" s="46">
        <f t="shared" ca="1" si="43"/>
        <v>0</v>
      </c>
      <c r="AG288" s="72" t="e">
        <f t="shared" ca="1" si="47"/>
        <v>#NAME?</v>
      </c>
      <c r="AH288" s="72" t="e">
        <f t="shared" ca="1" si="48"/>
        <v>#NAME?</v>
      </c>
      <c r="AI288" s="3" t="e">
        <f t="shared" ca="1" si="49"/>
        <v>#NAME?</v>
      </c>
    </row>
    <row r="289" spans="7:35" x14ac:dyDescent="0.25">
      <c r="G289" s="3">
        <f t="shared" ca="1" si="44"/>
        <v>270</v>
      </c>
      <c r="H289" s="105">
        <f t="shared" ca="1" si="46"/>
        <v>45195</v>
      </c>
      <c r="I289" s="132" t="e">
        <f>HLOOKUP($H$4,'Met Data'!$A$2:$F$368,G289,FALSE)</f>
        <v>#N/A</v>
      </c>
      <c r="J289" s="132" t="e">
        <f ca="1">HLOOKUP($H$4,'Met Data'!$H$2:$M$368,G289,FALSE)*L289</f>
        <v>#N/A</v>
      </c>
      <c r="K289" s="106" t="e">
        <f>HLOOKUP($H$4,'Met Data'!$O$2:$T$368,G289,FALSE)</f>
        <v>#N/A</v>
      </c>
      <c r="L289">
        <f t="shared" ca="1" si="40"/>
        <v>1</v>
      </c>
      <c r="N289" t="e">
        <f t="shared" ca="1" si="45"/>
        <v>#NAME?</v>
      </c>
      <c r="O289" t="e">
        <f t="shared" ca="1" si="41"/>
        <v>#NAME?</v>
      </c>
      <c r="P289" s="2" t="e">
        <f ca="1"/>
        <v>#NAME?</v>
      </c>
      <c r="Q289" t="e">
        <f ca="1"/>
        <v>#NAME?</v>
      </c>
      <c r="R289" t="e">
        <f ca="1"/>
        <v>#NAME?</v>
      </c>
      <c r="S289" t="e">
        <f ca="1"/>
        <v>#NAME?</v>
      </c>
      <c r="T289" t="e">
        <f ca="1"/>
        <v>#NAME?</v>
      </c>
      <c r="U289" t="e">
        <f ca="1"/>
        <v>#NAME?</v>
      </c>
      <c r="V289" t="e">
        <f ca="1"/>
        <v>#NAME?</v>
      </c>
      <c r="W289" t="e">
        <f ca="1"/>
        <v>#NAME?</v>
      </c>
      <c r="X289" t="e">
        <f ca="1"/>
        <v>#NAME?</v>
      </c>
      <c r="Y289" t="e">
        <f ca="1"/>
        <v>#NAME?</v>
      </c>
      <c r="Z289" t="e">
        <f ca="1"/>
        <v>#NAME?</v>
      </c>
      <c r="AA289" t="e">
        <f ca="1"/>
        <v>#NAME?</v>
      </c>
      <c r="AB289" t="e">
        <f ca="1"/>
        <v>#NAME?</v>
      </c>
      <c r="AD289" s="2">
        <f t="shared" ca="1" si="42"/>
        <v>0</v>
      </c>
      <c r="AE289" s="46">
        <f t="shared" ca="1" si="43"/>
        <v>0</v>
      </c>
      <c r="AG289" s="72" t="e">
        <f t="shared" ca="1" si="47"/>
        <v>#NAME?</v>
      </c>
      <c r="AH289" s="72" t="e">
        <f t="shared" ca="1" si="48"/>
        <v>#NAME?</v>
      </c>
      <c r="AI289" s="3" t="e">
        <f t="shared" ca="1" si="49"/>
        <v>#NAME?</v>
      </c>
    </row>
    <row r="290" spans="7:35" x14ac:dyDescent="0.25">
      <c r="G290" s="3">
        <f t="shared" ca="1" si="44"/>
        <v>271</v>
      </c>
      <c r="H290" s="105">
        <f t="shared" ca="1" si="46"/>
        <v>45196</v>
      </c>
      <c r="I290" s="132" t="e">
        <f>HLOOKUP($H$4,'Met Data'!$A$2:$F$368,G290,FALSE)</f>
        <v>#N/A</v>
      </c>
      <c r="J290" s="132" t="e">
        <f ca="1">HLOOKUP($H$4,'Met Data'!$H$2:$M$368,G290,FALSE)*L290</f>
        <v>#N/A</v>
      </c>
      <c r="K290" s="106" t="e">
        <f>HLOOKUP($H$4,'Met Data'!$O$2:$T$368,G290,FALSE)</f>
        <v>#N/A</v>
      </c>
      <c r="L290">
        <f t="shared" ca="1" si="40"/>
        <v>1</v>
      </c>
      <c r="N290" t="e">
        <f t="shared" ca="1" si="45"/>
        <v>#NAME?</v>
      </c>
      <c r="O290" t="e">
        <f t="shared" ca="1" si="41"/>
        <v>#NAME?</v>
      </c>
      <c r="P290" s="2" t="e">
        <f ca="1"/>
        <v>#NAME?</v>
      </c>
      <c r="Q290" t="e">
        <f ca="1"/>
        <v>#NAME?</v>
      </c>
      <c r="R290" t="e">
        <f ca="1"/>
        <v>#NAME?</v>
      </c>
      <c r="S290" t="e">
        <f ca="1"/>
        <v>#NAME?</v>
      </c>
      <c r="T290" t="e">
        <f ca="1"/>
        <v>#NAME?</v>
      </c>
      <c r="U290" t="e">
        <f ca="1"/>
        <v>#NAME?</v>
      </c>
      <c r="V290" t="e">
        <f ca="1"/>
        <v>#NAME?</v>
      </c>
      <c r="W290" t="e">
        <f ca="1"/>
        <v>#NAME?</v>
      </c>
      <c r="X290" t="e">
        <f ca="1"/>
        <v>#NAME?</v>
      </c>
      <c r="Y290" t="e">
        <f ca="1"/>
        <v>#NAME?</v>
      </c>
      <c r="Z290" t="e">
        <f ca="1"/>
        <v>#NAME?</v>
      </c>
      <c r="AA290" t="e">
        <f ca="1"/>
        <v>#NAME?</v>
      </c>
      <c r="AB290" t="e">
        <f ca="1"/>
        <v>#NAME?</v>
      </c>
      <c r="AD290" s="2">
        <f t="shared" ca="1" si="42"/>
        <v>0</v>
      </c>
      <c r="AE290" s="46">
        <f t="shared" ca="1" si="43"/>
        <v>0</v>
      </c>
      <c r="AG290" s="72" t="e">
        <f t="shared" ca="1" si="47"/>
        <v>#NAME?</v>
      </c>
      <c r="AH290" s="72" t="e">
        <f t="shared" ca="1" si="48"/>
        <v>#NAME?</v>
      </c>
      <c r="AI290" s="3" t="e">
        <f t="shared" ca="1" si="49"/>
        <v>#NAME?</v>
      </c>
    </row>
    <row r="291" spans="7:35" x14ac:dyDescent="0.25">
      <c r="G291" s="3">
        <f t="shared" ca="1" si="44"/>
        <v>272</v>
      </c>
      <c r="H291" s="105">
        <f t="shared" ca="1" si="46"/>
        <v>45197</v>
      </c>
      <c r="I291" s="132" t="e">
        <f>HLOOKUP($H$4,'Met Data'!$A$2:$F$368,G291,FALSE)</f>
        <v>#N/A</v>
      </c>
      <c r="J291" s="132" t="e">
        <f ca="1">HLOOKUP($H$4,'Met Data'!$H$2:$M$368,G291,FALSE)*L291</f>
        <v>#N/A</v>
      </c>
      <c r="K291" s="106" t="e">
        <f>HLOOKUP($H$4,'Met Data'!$O$2:$T$368,G291,FALSE)</f>
        <v>#N/A</v>
      </c>
      <c r="L291">
        <f t="shared" ca="1" si="40"/>
        <v>1</v>
      </c>
      <c r="N291" t="e">
        <f t="shared" ca="1" si="45"/>
        <v>#NAME?</v>
      </c>
      <c r="O291" t="e">
        <f t="shared" ca="1" si="41"/>
        <v>#NAME?</v>
      </c>
      <c r="P291" s="2" t="e">
        <f ca="1"/>
        <v>#NAME?</v>
      </c>
      <c r="Q291" t="e">
        <f ca="1"/>
        <v>#NAME?</v>
      </c>
      <c r="R291" t="e">
        <f ca="1"/>
        <v>#NAME?</v>
      </c>
      <c r="S291" t="e">
        <f ca="1"/>
        <v>#NAME?</v>
      </c>
      <c r="T291" t="e">
        <f ca="1"/>
        <v>#NAME?</v>
      </c>
      <c r="U291" t="e">
        <f ca="1"/>
        <v>#NAME?</v>
      </c>
      <c r="V291" t="e">
        <f ca="1"/>
        <v>#NAME?</v>
      </c>
      <c r="W291" t="e">
        <f ca="1"/>
        <v>#NAME?</v>
      </c>
      <c r="X291" t="e">
        <f ca="1"/>
        <v>#NAME?</v>
      </c>
      <c r="Y291" t="e">
        <f ca="1"/>
        <v>#NAME?</v>
      </c>
      <c r="Z291" t="e">
        <f ca="1"/>
        <v>#NAME?</v>
      </c>
      <c r="AA291" t="e">
        <f ca="1"/>
        <v>#NAME?</v>
      </c>
      <c r="AB291" t="e">
        <f ca="1"/>
        <v>#NAME?</v>
      </c>
      <c r="AD291" s="2">
        <f t="shared" ca="1" si="42"/>
        <v>0</v>
      </c>
      <c r="AE291" s="46">
        <f t="shared" ca="1" si="43"/>
        <v>0</v>
      </c>
      <c r="AG291" s="72" t="e">
        <f t="shared" ca="1" si="47"/>
        <v>#NAME?</v>
      </c>
      <c r="AH291" s="72" t="e">
        <f t="shared" ca="1" si="48"/>
        <v>#NAME?</v>
      </c>
      <c r="AI291" s="3" t="e">
        <f t="shared" ca="1" si="49"/>
        <v>#NAME?</v>
      </c>
    </row>
    <row r="292" spans="7:35" x14ac:dyDescent="0.25">
      <c r="G292" s="3">
        <f t="shared" ca="1" si="44"/>
        <v>273</v>
      </c>
      <c r="H292" s="105">
        <f t="shared" ca="1" si="46"/>
        <v>45198</v>
      </c>
      <c r="I292" s="132" t="e">
        <f>HLOOKUP($H$4,'Met Data'!$A$2:$F$368,G292,FALSE)</f>
        <v>#N/A</v>
      </c>
      <c r="J292" s="132" t="e">
        <f ca="1">HLOOKUP($H$4,'Met Data'!$H$2:$M$368,G292,FALSE)*L292</f>
        <v>#N/A</v>
      </c>
      <c r="K292" s="106" t="e">
        <f>HLOOKUP($H$4,'Met Data'!$O$2:$T$368,G292,FALSE)</f>
        <v>#N/A</v>
      </c>
      <c r="L292">
        <f t="shared" ca="1" si="40"/>
        <v>1</v>
      </c>
      <c r="N292" t="e">
        <f t="shared" ca="1" si="45"/>
        <v>#NAME?</v>
      </c>
      <c r="O292" t="e">
        <f t="shared" ca="1" si="41"/>
        <v>#NAME?</v>
      </c>
      <c r="P292" s="2" t="e">
        <f ca="1"/>
        <v>#NAME?</v>
      </c>
      <c r="Q292" t="e">
        <f ca="1"/>
        <v>#NAME?</v>
      </c>
      <c r="R292" t="e">
        <f ca="1"/>
        <v>#NAME?</v>
      </c>
      <c r="S292" t="e">
        <f ca="1"/>
        <v>#NAME?</v>
      </c>
      <c r="T292" t="e">
        <f ca="1"/>
        <v>#NAME?</v>
      </c>
      <c r="U292" t="e">
        <f ca="1"/>
        <v>#NAME?</v>
      </c>
      <c r="V292" t="e">
        <f ca="1"/>
        <v>#NAME?</v>
      </c>
      <c r="W292" t="e">
        <f ca="1"/>
        <v>#NAME?</v>
      </c>
      <c r="X292" t="e">
        <f ca="1"/>
        <v>#NAME?</v>
      </c>
      <c r="Y292" t="e">
        <f ca="1"/>
        <v>#NAME?</v>
      </c>
      <c r="Z292" t="e">
        <f ca="1"/>
        <v>#NAME?</v>
      </c>
      <c r="AA292" t="e">
        <f ca="1"/>
        <v>#NAME?</v>
      </c>
      <c r="AB292" t="e">
        <f ca="1"/>
        <v>#NAME?</v>
      </c>
      <c r="AD292" s="2">
        <f t="shared" ca="1" si="42"/>
        <v>0</v>
      </c>
      <c r="AE292" s="46">
        <f t="shared" ca="1" si="43"/>
        <v>0</v>
      </c>
      <c r="AG292" s="72" t="e">
        <f t="shared" ca="1" si="47"/>
        <v>#NAME?</v>
      </c>
      <c r="AH292" s="72" t="e">
        <f t="shared" ca="1" si="48"/>
        <v>#NAME?</v>
      </c>
      <c r="AI292" s="3" t="e">
        <f t="shared" ca="1" si="49"/>
        <v>#NAME?</v>
      </c>
    </row>
    <row r="293" spans="7:35" x14ac:dyDescent="0.25">
      <c r="G293" s="3">
        <f t="shared" ca="1" si="44"/>
        <v>274</v>
      </c>
      <c r="H293" s="105">
        <f t="shared" ca="1" si="46"/>
        <v>45199</v>
      </c>
      <c r="I293" s="132" t="e">
        <f>HLOOKUP($H$4,'Met Data'!$A$2:$F$368,G293,FALSE)</f>
        <v>#N/A</v>
      </c>
      <c r="J293" s="132" t="e">
        <f ca="1">HLOOKUP($H$4,'Met Data'!$H$2:$M$368,G293,FALSE)*L293</f>
        <v>#N/A</v>
      </c>
      <c r="K293" s="106" t="e">
        <f>HLOOKUP($H$4,'Met Data'!$O$2:$T$368,G293,FALSE)</f>
        <v>#N/A</v>
      </c>
      <c r="L293">
        <f t="shared" ca="1" si="40"/>
        <v>1</v>
      </c>
      <c r="N293" t="e">
        <f t="shared" ca="1" si="45"/>
        <v>#NAME?</v>
      </c>
      <c r="O293" t="e">
        <f t="shared" ca="1" si="41"/>
        <v>#NAME?</v>
      </c>
      <c r="P293" s="2" t="e">
        <f ca="1"/>
        <v>#NAME?</v>
      </c>
      <c r="Q293" t="e">
        <f ca="1"/>
        <v>#NAME?</v>
      </c>
      <c r="R293" t="e">
        <f ca="1"/>
        <v>#NAME?</v>
      </c>
      <c r="S293" t="e">
        <f ca="1"/>
        <v>#NAME?</v>
      </c>
      <c r="T293" t="e">
        <f ca="1"/>
        <v>#NAME?</v>
      </c>
      <c r="U293" t="e">
        <f ca="1"/>
        <v>#NAME?</v>
      </c>
      <c r="V293" t="e">
        <f ca="1"/>
        <v>#NAME?</v>
      </c>
      <c r="W293" t="e">
        <f ca="1"/>
        <v>#NAME?</v>
      </c>
      <c r="X293" t="e">
        <f ca="1"/>
        <v>#NAME?</v>
      </c>
      <c r="Y293" t="e">
        <f ca="1"/>
        <v>#NAME?</v>
      </c>
      <c r="Z293" t="e">
        <f ca="1"/>
        <v>#NAME?</v>
      </c>
      <c r="AA293" t="e">
        <f ca="1"/>
        <v>#NAME?</v>
      </c>
      <c r="AB293" t="e">
        <f ca="1"/>
        <v>#NAME?</v>
      </c>
      <c r="AD293" s="2">
        <f t="shared" ca="1" si="42"/>
        <v>0</v>
      </c>
      <c r="AE293" s="46">
        <f t="shared" ca="1" si="43"/>
        <v>0</v>
      </c>
      <c r="AG293" s="72" t="e">
        <f t="shared" ca="1" si="47"/>
        <v>#NAME?</v>
      </c>
      <c r="AH293" s="72" t="e">
        <f t="shared" ca="1" si="48"/>
        <v>#NAME?</v>
      </c>
      <c r="AI293" s="3" t="e">
        <f t="shared" ca="1" si="49"/>
        <v>#NAME?</v>
      </c>
    </row>
    <row r="294" spans="7:35" x14ac:dyDescent="0.25">
      <c r="G294" s="3">
        <f t="shared" ca="1" si="44"/>
        <v>275</v>
      </c>
      <c r="H294" s="105">
        <f t="shared" ca="1" si="46"/>
        <v>45200</v>
      </c>
      <c r="I294" s="132" t="e">
        <f>HLOOKUP($H$4,'Met Data'!$A$2:$F$368,G294,FALSE)</f>
        <v>#N/A</v>
      </c>
      <c r="J294" s="132" t="e">
        <f ca="1">HLOOKUP($H$4,'Met Data'!$H$2:$M$368,G294,FALSE)*L294</f>
        <v>#N/A</v>
      </c>
      <c r="K294" s="106" t="e">
        <f>HLOOKUP($H$4,'Met Data'!$O$2:$T$368,G294,FALSE)</f>
        <v>#N/A</v>
      </c>
      <c r="L294">
        <f t="shared" ca="1" si="40"/>
        <v>1</v>
      </c>
      <c r="N294" t="e">
        <f t="shared" ca="1" si="45"/>
        <v>#NAME?</v>
      </c>
      <c r="O294" t="e">
        <f t="shared" ca="1" si="41"/>
        <v>#NAME?</v>
      </c>
      <c r="P294" s="2" t="e">
        <f ca="1"/>
        <v>#NAME?</v>
      </c>
      <c r="Q294" t="e">
        <f ca="1"/>
        <v>#NAME?</v>
      </c>
      <c r="R294" t="e">
        <f ca="1"/>
        <v>#NAME?</v>
      </c>
      <c r="S294" t="e">
        <f ca="1"/>
        <v>#NAME?</v>
      </c>
      <c r="T294" t="e">
        <f ca="1"/>
        <v>#NAME?</v>
      </c>
      <c r="U294" t="e">
        <f ca="1"/>
        <v>#NAME?</v>
      </c>
      <c r="V294" t="e">
        <f ca="1"/>
        <v>#NAME?</v>
      </c>
      <c r="W294" t="e">
        <f ca="1"/>
        <v>#NAME?</v>
      </c>
      <c r="X294" t="e">
        <f ca="1"/>
        <v>#NAME?</v>
      </c>
      <c r="Y294" t="e">
        <f ca="1"/>
        <v>#NAME?</v>
      </c>
      <c r="Z294" t="e">
        <f ca="1"/>
        <v>#NAME?</v>
      </c>
      <c r="AA294" t="e">
        <f ca="1"/>
        <v>#NAME?</v>
      </c>
      <c r="AB294" t="e">
        <f ca="1"/>
        <v>#NAME?</v>
      </c>
      <c r="AD294" s="2">
        <f t="shared" ca="1" si="42"/>
        <v>0</v>
      </c>
      <c r="AE294" s="46">
        <f t="shared" ca="1" si="43"/>
        <v>0</v>
      </c>
      <c r="AG294" s="72" t="e">
        <f t="shared" ca="1" si="47"/>
        <v>#NAME?</v>
      </c>
      <c r="AH294" s="72" t="e">
        <f t="shared" ca="1" si="48"/>
        <v>#NAME?</v>
      </c>
      <c r="AI294" s="3" t="e">
        <f t="shared" ca="1" si="49"/>
        <v>#NAME?</v>
      </c>
    </row>
    <row r="295" spans="7:35" x14ac:dyDescent="0.25">
      <c r="G295" s="3">
        <f t="shared" ca="1" si="44"/>
        <v>276</v>
      </c>
      <c r="H295" s="105">
        <f t="shared" ca="1" si="46"/>
        <v>45201</v>
      </c>
      <c r="I295" s="132" t="e">
        <f>HLOOKUP($H$4,'Met Data'!$A$2:$F$368,G295,FALSE)</f>
        <v>#N/A</v>
      </c>
      <c r="J295" s="132" t="e">
        <f ca="1">HLOOKUP($H$4,'Met Data'!$H$2:$M$368,G295,FALSE)*L295</f>
        <v>#N/A</v>
      </c>
      <c r="K295" s="106" t="e">
        <f>HLOOKUP($H$4,'Met Data'!$O$2:$T$368,G295,FALSE)</f>
        <v>#N/A</v>
      </c>
      <c r="L295">
        <f t="shared" ca="1" si="40"/>
        <v>1</v>
      </c>
      <c r="N295" t="e">
        <f t="shared" ca="1" si="45"/>
        <v>#NAME?</v>
      </c>
      <c r="O295" t="e">
        <f t="shared" ca="1" si="41"/>
        <v>#NAME?</v>
      </c>
      <c r="P295" s="2" t="e">
        <f ca="1"/>
        <v>#NAME?</v>
      </c>
      <c r="Q295" t="e">
        <f ca="1"/>
        <v>#NAME?</v>
      </c>
      <c r="R295" t="e">
        <f ca="1"/>
        <v>#NAME?</v>
      </c>
      <c r="S295" t="e">
        <f ca="1"/>
        <v>#NAME?</v>
      </c>
      <c r="T295" t="e">
        <f ca="1"/>
        <v>#NAME?</v>
      </c>
      <c r="U295" t="e">
        <f ca="1"/>
        <v>#NAME?</v>
      </c>
      <c r="V295" t="e">
        <f ca="1"/>
        <v>#NAME?</v>
      </c>
      <c r="W295" t="e">
        <f ca="1"/>
        <v>#NAME?</v>
      </c>
      <c r="X295" t="e">
        <f ca="1"/>
        <v>#NAME?</v>
      </c>
      <c r="Y295" t="e">
        <f ca="1"/>
        <v>#NAME?</v>
      </c>
      <c r="Z295" t="e">
        <f ca="1"/>
        <v>#NAME?</v>
      </c>
      <c r="AA295" t="e">
        <f ca="1"/>
        <v>#NAME?</v>
      </c>
      <c r="AB295" t="e">
        <f ca="1"/>
        <v>#NAME?</v>
      </c>
      <c r="AD295" s="2">
        <f t="shared" ca="1" si="42"/>
        <v>0</v>
      </c>
      <c r="AE295" s="46">
        <f t="shared" ca="1" si="43"/>
        <v>0</v>
      </c>
      <c r="AG295" s="72" t="e">
        <f t="shared" ca="1" si="47"/>
        <v>#NAME?</v>
      </c>
      <c r="AH295" s="72" t="e">
        <f t="shared" ca="1" si="48"/>
        <v>#NAME?</v>
      </c>
      <c r="AI295" s="3" t="e">
        <f t="shared" ca="1" si="49"/>
        <v>#NAME?</v>
      </c>
    </row>
    <row r="296" spans="7:35" x14ac:dyDescent="0.25">
      <c r="G296" s="3">
        <f t="shared" ca="1" si="44"/>
        <v>277</v>
      </c>
      <c r="H296" s="105">
        <f t="shared" ca="1" si="46"/>
        <v>45202</v>
      </c>
      <c r="I296" s="132" t="e">
        <f>HLOOKUP($H$4,'Met Data'!$A$2:$F$368,G296,FALSE)</f>
        <v>#N/A</v>
      </c>
      <c r="J296" s="132" t="e">
        <f ca="1">HLOOKUP($H$4,'Met Data'!$H$2:$M$368,G296,FALSE)*L296</f>
        <v>#N/A</v>
      </c>
      <c r="K296" s="106" t="e">
        <f>HLOOKUP($H$4,'Met Data'!$O$2:$T$368,G296,FALSE)</f>
        <v>#N/A</v>
      </c>
      <c r="L296">
        <f t="shared" ca="1" si="40"/>
        <v>1</v>
      </c>
      <c r="N296" t="e">
        <f t="shared" ca="1" si="45"/>
        <v>#NAME?</v>
      </c>
      <c r="O296" t="e">
        <f t="shared" ca="1" si="41"/>
        <v>#NAME?</v>
      </c>
      <c r="P296" s="2" t="e">
        <f ca="1"/>
        <v>#NAME?</v>
      </c>
      <c r="Q296" t="e">
        <f ca="1"/>
        <v>#NAME?</v>
      </c>
      <c r="R296" t="e">
        <f ca="1"/>
        <v>#NAME?</v>
      </c>
      <c r="S296" t="e">
        <f ca="1"/>
        <v>#NAME?</v>
      </c>
      <c r="T296" t="e">
        <f ca="1"/>
        <v>#NAME?</v>
      </c>
      <c r="U296" t="e">
        <f ca="1"/>
        <v>#NAME?</v>
      </c>
      <c r="V296" t="e">
        <f ca="1"/>
        <v>#NAME?</v>
      </c>
      <c r="W296" t="e">
        <f ca="1"/>
        <v>#NAME?</v>
      </c>
      <c r="X296" t="e">
        <f ca="1"/>
        <v>#NAME?</v>
      </c>
      <c r="Y296" t="e">
        <f ca="1"/>
        <v>#NAME?</v>
      </c>
      <c r="Z296" t="e">
        <f ca="1"/>
        <v>#NAME?</v>
      </c>
      <c r="AA296" t="e">
        <f ca="1"/>
        <v>#NAME?</v>
      </c>
      <c r="AB296" t="e">
        <f ca="1"/>
        <v>#NAME?</v>
      </c>
      <c r="AD296" s="2">
        <f t="shared" ca="1" si="42"/>
        <v>0</v>
      </c>
      <c r="AE296" s="46">
        <f t="shared" ca="1" si="43"/>
        <v>0</v>
      </c>
      <c r="AG296" s="72" t="e">
        <f t="shared" ca="1" si="47"/>
        <v>#NAME?</v>
      </c>
      <c r="AH296" s="72" t="e">
        <f t="shared" ca="1" si="48"/>
        <v>#NAME?</v>
      </c>
      <c r="AI296" s="3" t="e">
        <f t="shared" ca="1" si="49"/>
        <v>#NAME?</v>
      </c>
    </row>
    <row r="297" spans="7:35" x14ac:dyDescent="0.25">
      <c r="G297" s="3">
        <f t="shared" ca="1" si="44"/>
        <v>278</v>
      </c>
      <c r="H297" s="105">
        <f t="shared" ca="1" si="46"/>
        <v>45203</v>
      </c>
      <c r="I297" s="132" t="e">
        <f>HLOOKUP($H$4,'Met Data'!$A$2:$F$368,G297,FALSE)</f>
        <v>#N/A</v>
      </c>
      <c r="J297" s="132" t="e">
        <f ca="1">HLOOKUP($H$4,'Met Data'!$H$2:$M$368,G297,FALSE)*L297</f>
        <v>#N/A</v>
      </c>
      <c r="K297" s="106" t="e">
        <f>HLOOKUP($H$4,'Met Data'!$O$2:$T$368,G297,FALSE)</f>
        <v>#N/A</v>
      </c>
      <c r="L297">
        <f t="shared" ca="1" si="40"/>
        <v>1</v>
      </c>
      <c r="N297" t="e">
        <f t="shared" ca="1" si="45"/>
        <v>#NAME?</v>
      </c>
      <c r="O297" t="e">
        <f t="shared" ca="1" si="41"/>
        <v>#NAME?</v>
      </c>
      <c r="P297" s="2" t="e">
        <f ca="1"/>
        <v>#NAME?</v>
      </c>
      <c r="Q297" t="e">
        <f ca="1"/>
        <v>#NAME?</v>
      </c>
      <c r="R297" t="e">
        <f ca="1"/>
        <v>#NAME?</v>
      </c>
      <c r="S297" t="e">
        <f ca="1"/>
        <v>#NAME?</v>
      </c>
      <c r="T297" t="e">
        <f ca="1"/>
        <v>#NAME?</v>
      </c>
      <c r="U297" t="e">
        <f ca="1"/>
        <v>#NAME?</v>
      </c>
      <c r="V297" t="e">
        <f ca="1"/>
        <v>#NAME?</v>
      </c>
      <c r="W297" t="e">
        <f ca="1"/>
        <v>#NAME?</v>
      </c>
      <c r="X297" t="e">
        <f ca="1"/>
        <v>#NAME?</v>
      </c>
      <c r="Y297" t="e">
        <f ca="1"/>
        <v>#NAME?</v>
      </c>
      <c r="Z297" t="e">
        <f ca="1"/>
        <v>#NAME?</v>
      </c>
      <c r="AA297" t="e">
        <f ca="1"/>
        <v>#NAME?</v>
      </c>
      <c r="AB297" t="e">
        <f ca="1"/>
        <v>#NAME?</v>
      </c>
      <c r="AD297" s="2">
        <f t="shared" ca="1" si="42"/>
        <v>0</v>
      </c>
      <c r="AE297" s="46">
        <f t="shared" ca="1" si="43"/>
        <v>0</v>
      </c>
      <c r="AG297" s="72" t="e">
        <f t="shared" ca="1" si="47"/>
        <v>#NAME?</v>
      </c>
      <c r="AH297" s="72" t="e">
        <f t="shared" ca="1" si="48"/>
        <v>#NAME?</v>
      </c>
      <c r="AI297" s="3" t="e">
        <f t="shared" ca="1" si="49"/>
        <v>#NAME?</v>
      </c>
    </row>
    <row r="298" spans="7:35" x14ac:dyDescent="0.25">
      <c r="G298" s="3">
        <f t="shared" ca="1" si="44"/>
        <v>279</v>
      </c>
      <c r="H298" s="105">
        <f t="shared" ca="1" si="46"/>
        <v>45204</v>
      </c>
      <c r="I298" s="132" t="e">
        <f>HLOOKUP($H$4,'Met Data'!$A$2:$F$368,G298,FALSE)</f>
        <v>#N/A</v>
      </c>
      <c r="J298" s="132" t="e">
        <f ca="1">HLOOKUP($H$4,'Met Data'!$H$2:$M$368,G298,FALSE)*L298</f>
        <v>#N/A</v>
      </c>
      <c r="K298" s="106" t="e">
        <f>HLOOKUP($H$4,'Met Data'!$O$2:$T$368,G298,FALSE)</f>
        <v>#N/A</v>
      </c>
      <c r="L298">
        <f t="shared" ca="1" si="40"/>
        <v>1</v>
      </c>
      <c r="N298" t="e">
        <f t="shared" ca="1" si="45"/>
        <v>#NAME?</v>
      </c>
      <c r="O298" t="e">
        <f t="shared" ca="1" si="41"/>
        <v>#NAME?</v>
      </c>
      <c r="P298" s="2" t="e">
        <f ca="1"/>
        <v>#NAME?</v>
      </c>
      <c r="Q298" t="e">
        <f ca="1"/>
        <v>#NAME?</v>
      </c>
      <c r="R298" t="e">
        <f ca="1"/>
        <v>#NAME?</v>
      </c>
      <c r="S298" t="e">
        <f ca="1"/>
        <v>#NAME?</v>
      </c>
      <c r="T298" t="e">
        <f ca="1"/>
        <v>#NAME?</v>
      </c>
      <c r="U298" t="e">
        <f ca="1"/>
        <v>#NAME?</v>
      </c>
      <c r="V298" t="e">
        <f ca="1"/>
        <v>#NAME?</v>
      </c>
      <c r="W298" t="e">
        <f ca="1"/>
        <v>#NAME?</v>
      </c>
      <c r="X298" t="e">
        <f ca="1"/>
        <v>#NAME?</v>
      </c>
      <c r="Y298" t="e">
        <f ca="1"/>
        <v>#NAME?</v>
      </c>
      <c r="Z298" t="e">
        <f ca="1"/>
        <v>#NAME?</v>
      </c>
      <c r="AA298" t="e">
        <f ca="1"/>
        <v>#NAME?</v>
      </c>
      <c r="AB298" t="e">
        <f ca="1"/>
        <v>#NAME?</v>
      </c>
      <c r="AD298" s="2">
        <f t="shared" ca="1" si="42"/>
        <v>0</v>
      </c>
      <c r="AE298" s="46">
        <f t="shared" ca="1" si="43"/>
        <v>0</v>
      </c>
      <c r="AG298" s="72" t="e">
        <f t="shared" ca="1" si="47"/>
        <v>#NAME?</v>
      </c>
      <c r="AH298" s="72" t="e">
        <f t="shared" ca="1" si="48"/>
        <v>#NAME?</v>
      </c>
      <c r="AI298" s="3" t="e">
        <f t="shared" ca="1" si="49"/>
        <v>#NAME?</v>
      </c>
    </row>
    <row r="299" spans="7:35" x14ac:dyDescent="0.25">
      <c r="G299" s="3">
        <f t="shared" ca="1" si="44"/>
        <v>280</v>
      </c>
      <c r="H299" s="105">
        <f t="shared" ca="1" si="46"/>
        <v>45205</v>
      </c>
      <c r="I299" s="132" t="e">
        <f>HLOOKUP($H$4,'Met Data'!$A$2:$F$368,G299,FALSE)</f>
        <v>#N/A</v>
      </c>
      <c r="J299" s="132" t="e">
        <f ca="1">HLOOKUP($H$4,'Met Data'!$H$2:$M$368,G299,FALSE)*L299</f>
        <v>#N/A</v>
      </c>
      <c r="K299" s="106" t="e">
        <f>HLOOKUP($H$4,'Met Data'!$O$2:$T$368,G299,FALSE)</f>
        <v>#N/A</v>
      </c>
      <c r="L299">
        <f t="shared" ca="1" si="40"/>
        <v>1</v>
      </c>
      <c r="N299" t="e">
        <f t="shared" ca="1" si="45"/>
        <v>#NAME?</v>
      </c>
      <c r="O299" t="e">
        <f t="shared" ca="1" si="41"/>
        <v>#NAME?</v>
      </c>
      <c r="P299" s="2" t="e">
        <f ca="1"/>
        <v>#NAME?</v>
      </c>
      <c r="Q299" t="e">
        <f ca="1"/>
        <v>#NAME?</v>
      </c>
      <c r="R299" t="e">
        <f ca="1"/>
        <v>#NAME?</v>
      </c>
      <c r="S299" t="e">
        <f ca="1"/>
        <v>#NAME?</v>
      </c>
      <c r="T299" t="e">
        <f ca="1"/>
        <v>#NAME?</v>
      </c>
      <c r="U299" t="e">
        <f ca="1"/>
        <v>#NAME?</v>
      </c>
      <c r="V299" t="e">
        <f ca="1"/>
        <v>#NAME?</v>
      </c>
      <c r="W299" t="e">
        <f ca="1"/>
        <v>#NAME?</v>
      </c>
      <c r="X299" t="e">
        <f ca="1"/>
        <v>#NAME?</v>
      </c>
      <c r="Y299" t="e">
        <f ca="1"/>
        <v>#NAME?</v>
      </c>
      <c r="Z299" t="e">
        <f ca="1"/>
        <v>#NAME?</v>
      </c>
      <c r="AA299" t="e">
        <f ca="1"/>
        <v>#NAME?</v>
      </c>
      <c r="AB299" t="e">
        <f ca="1"/>
        <v>#NAME?</v>
      </c>
      <c r="AD299" s="2">
        <f t="shared" ca="1" si="42"/>
        <v>0</v>
      </c>
      <c r="AE299" s="46">
        <f t="shared" ca="1" si="43"/>
        <v>0</v>
      </c>
      <c r="AG299" s="72" t="e">
        <f t="shared" ca="1" si="47"/>
        <v>#NAME?</v>
      </c>
      <c r="AH299" s="72" t="e">
        <f t="shared" ca="1" si="48"/>
        <v>#NAME?</v>
      </c>
      <c r="AI299" s="3" t="e">
        <f t="shared" ca="1" si="49"/>
        <v>#NAME?</v>
      </c>
    </row>
    <row r="300" spans="7:35" x14ac:dyDescent="0.25">
      <c r="G300" s="3">
        <f t="shared" ca="1" si="44"/>
        <v>281</v>
      </c>
      <c r="H300" s="105">
        <f t="shared" ca="1" si="46"/>
        <v>45206</v>
      </c>
      <c r="I300" s="132" t="e">
        <f>HLOOKUP($H$4,'Met Data'!$A$2:$F$368,G300,FALSE)</f>
        <v>#N/A</v>
      </c>
      <c r="J300" s="132" t="e">
        <f ca="1">HLOOKUP($H$4,'Met Data'!$H$2:$M$368,G300,FALSE)*L300</f>
        <v>#N/A</v>
      </c>
      <c r="K300" s="106" t="e">
        <f>HLOOKUP($H$4,'Met Data'!$O$2:$T$368,G300,FALSE)</f>
        <v>#N/A</v>
      </c>
      <c r="L300">
        <f t="shared" ca="1" si="40"/>
        <v>1</v>
      </c>
      <c r="N300" t="e">
        <f t="shared" ca="1" si="45"/>
        <v>#NAME?</v>
      </c>
      <c r="O300" t="e">
        <f t="shared" ca="1" si="41"/>
        <v>#NAME?</v>
      </c>
      <c r="P300" s="2" t="e">
        <f ca="1"/>
        <v>#NAME?</v>
      </c>
      <c r="Q300" t="e">
        <f ca="1"/>
        <v>#NAME?</v>
      </c>
      <c r="R300" t="e">
        <f ca="1"/>
        <v>#NAME?</v>
      </c>
      <c r="S300" t="e">
        <f ca="1"/>
        <v>#NAME?</v>
      </c>
      <c r="T300" t="e">
        <f ca="1"/>
        <v>#NAME?</v>
      </c>
      <c r="U300" t="e">
        <f ca="1"/>
        <v>#NAME?</v>
      </c>
      <c r="V300" t="e">
        <f ca="1"/>
        <v>#NAME?</v>
      </c>
      <c r="W300" t="e">
        <f ca="1"/>
        <v>#NAME?</v>
      </c>
      <c r="X300" t="e">
        <f ca="1"/>
        <v>#NAME?</v>
      </c>
      <c r="Y300" t="e">
        <f ca="1"/>
        <v>#NAME?</v>
      </c>
      <c r="Z300" t="e">
        <f ca="1"/>
        <v>#NAME?</v>
      </c>
      <c r="AA300" t="e">
        <f ca="1"/>
        <v>#NAME?</v>
      </c>
      <c r="AB300" t="e">
        <f ca="1"/>
        <v>#NAME?</v>
      </c>
      <c r="AD300" s="2">
        <f t="shared" ca="1" si="42"/>
        <v>0</v>
      </c>
      <c r="AE300" s="46">
        <f t="shared" ca="1" si="43"/>
        <v>0</v>
      </c>
      <c r="AG300" s="72" t="e">
        <f t="shared" ca="1" si="47"/>
        <v>#NAME?</v>
      </c>
      <c r="AH300" s="72" t="e">
        <f t="shared" ca="1" si="48"/>
        <v>#NAME?</v>
      </c>
      <c r="AI300" s="3" t="e">
        <f t="shared" ca="1" si="49"/>
        <v>#NAME?</v>
      </c>
    </row>
    <row r="301" spans="7:35" x14ac:dyDescent="0.25">
      <c r="G301" s="3">
        <f t="shared" ca="1" si="44"/>
        <v>282</v>
      </c>
      <c r="H301" s="105">
        <f t="shared" ca="1" si="46"/>
        <v>45207</v>
      </c>
      <c r="I301" s="132" t="e">
        <f>HLOOKUP($H$4,'Met Data'!$A$2:$F$368,G301,FALSE)</f>
        <v>#N/A</v>
      </c>
      <c r="J301" s="132" t="e">
        <f ca="1">HLOOKUP($H$4,'Met Data'!$H$2:$M$368,G301,FALSE)*L301</f>
        <v>#N/A</v>
      </c>
      <c r="K301" s="106" t="e">
        <f>HLOOKUP($H$4,'Met Data'!$O$2:$T$368,G301,FALSE)</f>
        <v>#N/A</v>
      </c>
      <c r="L301">
        <f t="shared" ca="1" si="40"/>
        <v>1</v>
      </c>
      <c r="N301" t="e">
        <f t="shared" ca="1" si="45"/>
        <v>#NAME?</v>
      </c>
      <c r="O301" t="e">
        <f t="shared" ca="1" si="41"/>
        <v>#NAME?</v>
      </c>
      <c r="P301" s="2" t="e">
        <f ca="1"/>
        <v>#NAME?</v>
      </c>
      <c r="Q301" t="e">
        <f ca="1"/>
        <v>#NAME?</v>
      </c>
      <c r="R301" t="e">
        <f ca="1"/>
        <v>#NAME?</v>
      </c>
      <c r="S301" t="e">
        <f ca="1"/>
        <v>#NAME?</v>
      </c>
      <c r="T301" t="e">
        <f ca="1"/>
        <v>#NAME?</v>
      </c>
      <c r="U301" t="e">
        <f ca="1"/>
        <v>#NAME?</v>
      </c>
      <c r="V301" t="e">
        <f ca="1"/>
        <v>#NAME?</v>
      </c>
      <c r="W301" t="e">
        <f ca="1"/>
        <v>#NAME?</v>
      </c>
      <c r="X301" t="e">
        <f ca="1"/>
        <v>#NAME?</v>
      </c>
      <c r="Y301" t="e">
        <f ca="1"/>
        <v>#NAME?</v>
      </c>
      <c r="Z301" t="e">
        <f ca="1"/>
        <v>#NAME?</v>
      </c>
      <c r="AA301" t="e">
        <f ca="1"/>
        <v>#NAME?</v>
      </c>
      <c r="AB301" t="e">
        <f ca="1"/>
        <v>#NAME?</v>
      </c>
      <c r="AD301" s="2">
        <f t="shared" ca="1" si="42"/>
        <v>0</v>
      </c>
      <c r="AE301" s="46">
        <f t="shared" ca="1" si="43"/>
        <v>0</v>
      </c>
      <c r="AG301" s="72" t="e">
        <f t="shared" ca="1" si="47"/>
        <v>#NAME?</v>
      </c>
      <c r="AH301" s="72" t="e">
        <f t="shared" ca="1" si="48"/>
        <v>#NAME?</v>
      </c>
      <c r="AI301" s="3" t="e">
        <f t="shared" ca="1" si="49"/>
        <v>#NAME?</v>
      </c>
    </row>
    <row r="302" spans="7:35" x14ac:dyDescent="0.25">
      <c r="G302" s="3">
        <f t="shared" ca="1" si="44"/>
        <v>283</v>
      </c>
      <c r="H302" s="105">
        <f t="shared" ca="1" si="46"/>
        <v>45208</v>
      </c>
      <c r="I302" s="132" t="e">
        <f>HLOOKUP($H$4,'Met Data'!$A$2:$F$368,G302,FALSE)</f>
        <v>#N/A</v>
      </c>
      <c r="J302" s="132" t="e">
        <f ca="1">HLOOKUP($H$4,'Met Data'!$H$2:$M$368,G302,FALSE)*L302</f>
        <v>#N/A</v>
      </c>
      <c r="K302" s="106" t="e">
        <f>HLOOKUP($H$4,'Met Data'!$O$2:$T$368,G302,FALSE)</f>
        <v>#N/A</v>
      </c>
      <c r="L302">
        <f t="shared" ca="1" si="40"/>
        <v>1</v>
      </c>
      <c r="N302" t="e">
        <f t="shared" ca="1" si="45"/>
        <v>#NAME?</v>
      </c>
      <c r="O302" t="e">
        <f t="shared" ca="1" si="41"/>
        <v>#NAME?</v>
      </c>
      <c r="P302" s="2" t="e">
        <f ca="1"/>
        <v>#NAME?</v>
      </c>
      <c r="Q302" t="e">
        <f ca="1"/>
        <v>#NAME?</v>
      </c>
      <c r="R302" t="e">
        <f ca="1"/>
        <v>#NAME?</v>
      </c>
      <c r="S302" t="e">
        <f ca="1"/>
        <v>#NAME?</v>
      </c>
      <c r="T302" t="e">
        <f ca="1"/>
        <v>#NAME?</v>
      </c>
      <c r="U302" t="e">
        <f ca="1"/>
        <v>#NAME?</v>
      </c>
      <c r="V302" t="e">
        <f ca="1"/>
        <v>#NAME?</v>
      </c>
      <c r="W302" t="e">
        <f ca="1"/>
        <v>#NAME?</v>
      </c>
      <c r="X302" t="e">
        <f ca="1"/>
        <v>#NAME?</v>
      </c>
      <c r="Y302" t="e">
        <f ca="1"/>
        <v>#NAME?</v>
      </c>
      <c r="Z302" t="e">
        <f ca="1"/>
        <v>#NAME?</v>
      </c>
      <c r="AA302" t="e">
        <f ca="1"/>
        <v>#NAME?</v>
      </c>
      <c r="AB302" t="e">
        <f ca="1"/>
        <v>#NAME?</v>
      </c>
      <c r="AD302" s="2">
        <f t="shared" ca="1" si="42"/>
        <v>0</v>
      </c>
      <c r="AE302" s="46">
        <f t="shared" ca="1" si="43"/>
        <v>0</v>
      </c>
      <c r="AG302" s="72" t="e">
        <f t="shared" ca="1" si="47"/>
        <v>#NAME?</v>
      </c>
      <c r="AH302" s="72" t="e">
        <f t="shared" ca="1" si="48"/>
        <v>#NAME?</v>
      </c>
      <c r="AI302" s="3" t="e">
        <f t="shared" ca="1" si="49"/>
        <v>#NAME?</v>
      </c>
    </row>
    <row r="303" spans="7:35" x14ac:dyDescent="0.25">
      <c r="G303" s="3">
        <f t="shared" ca="1" si="44"/>
        <v>284</v>
      </c>
      <c r="H303" s="105">
        <f t="shared" ca="1" si="46"/>
        <v>45209</v>
      </c>
      <c r="I303" s="132" t="e">
        <f>HLOOKUP($H$4,'Met Data'!$A$2:$F$368,G303,FALSE)</f>
        <v>#N/A</v>
      </c>
      <c r="J303" s="132" t="e">
        <f ca="1">HLOOKUP($H$4,'Met Data'!$H$2:$M$368,G303,FALSE)*L303</f>
        <v>#N/A</v>
      </c>
      <c r="K303" s="106" t="e">
        <f>HLOOKUP($H$4,'Met Data'!$O$2:$T$368,G303,FALSE)</f>
        <v>#N/A</v>
      </c>
      <c r="L303">
        <f t="shared" ca="1" si="40"/>
        <v>1</v>
      </c>
      <c r="N303" t="e">
        <f t="shared" ca="1" si="45"/>
        <v>#NAME?</v>
      </c>
      <c r="O303" t="e">
        <f t="shared" ca="1" si="41"/>
        <v>#NAME?</v>
      </c>
      <c r="P303" s="2" t="e">
        <f ca="1"/>
        <v>#NAME?</v>
      </c>
      <c r="Q303" t="e">
        <f ca="1"/>
        <v>#NAME?</v>
      </c>
      <c r="R303" t="e">
        <f ca="1"/>
        <v>#NAME?</v>
      </c>
      <c r="S303" t="e">
        <f ca="1"/>
        <v>#NAME?</v>
      </c>
      <c r="T303" t="e">
        <f ca="1"/>
        <v>#NAME?</v>
      </c>
      <c r="U303" t="e">
        <f ca="1"/>
        <v>#NAME?</v>
      </c>
      <c r="V303" t="e">
        <f ca="1"/>
        <v>#NAME?</v>
      </c>
      <c r="W303" t="e">
        <f ca="1"/>
        <v>#NAME?</v>
      </c>
      <c r="X303" t="e">
        <f ca="1"/>
        <v>#NAME?</v>
      </c>
      <c r="Y303" t="e">
        <f ca="1"/>
        <v>#NAME?</v>
      </c>
      <c r="Z303" t="e">
        <f ca="1"/>
        <v>#NAME?</v>
      </c>
      <c r="AA303" t="e">
        <f ca="1"/>
        <v>#NAME?</v>
      </c>
      <c r="AB303" t="e">
        <f ca="1"/>
        <v>#NAME?</v>
      </c>
      <c r="AD303" s="2">
        <f t="shared" ca="1" si="42"/>
        <v>0</v>
      </c>
      <c r="AE303" s="46">
        <f t="shared" ca="1" si="43"/>
        <v>0</v>
      </c>
      <c r="AG303" s="72" t="e">
        <f t="shared" ca="1" si="47"/>
        <v>#NAME?</v>
      </c>
      <c r="AH303" s="72" t="e">
        <f t="shared" ca="1" si="48"/>
        <v>#NAME?</v>
      </c>
      <c r="AI303" s="3" t="e">
        <f t="shared" ca="1" si="49"/>
        <v>#NAME?</v>
      </c>
    </row>
    <row r="304" spans="7:35" x14ac:dyDescent="0.25">
      <c r="G304" s="3">
        <f t="shared" ca="1" si="44"/>
        <v>285</v>
      </c>
      <c r="H304" s="105">
        <f t="shared" ca="1" si="46"/>
        <v>45210</v>
      </c>
      <c r="I304" s="132" t="e">
        <f>HLOOKUP($H$4,'Met Data'!$A$2:$F$368,G304,FALSE)</f>
        <v>#N/A</v>
      </c>
      <c r="J304" s="132" t="e">
        <f ca="1">HLOOKUP($H$4,'Met Data'!$H$2:$M$368,G304,FALSE)*L304</f>
        <v>#N/A</v>
      </c>
      <c r="K304" s="106" t="e">
        <f>HLOOKUP($H$4,'Met Data'!$O$2:$T$368,G304,FALSE)</f>
        <v>#N/A</v>
      </c>
      <c r="L304">
        <f t="shared" ca="1" si="40"/>
        <v>1</v>
      </c>
      <c r="N304" t="e">
        <f t="shared" ca="1" si="45"/>
        <v>#NAME?</v>
      </c>
      <c r="O304" t="e">
        <f t="shared" ca="1" si="41"/>
        <v>#NAME?</v>
      </c>
      <c r="P304" s="2" t="e">
        <f ca="1"/>
        <v>#NAME?</v>
      </c>
      <c r="Q304" t="e">
        <f ca="1"/>
        <v>#NAME?</v>
      </c>
      <c r="R304" t="e">
        <f ca="1"/>
        <v>#NAME?</v>
      </c>
      <c r="S304" t="e">
        <f ca="1"/>
        <v>#NAME?</v>
      </c>
      <c r="T304" t="e">
        <f ca="1"/>
        <v>#NAME?</v>
      </c>
      <c r="U304" t="e">
        <f ca="1"/>
        <v>#NAME?</v>
      </c>
      <c r="V304" t="e">
        <f ca="1"/>
        <v>#NAME?</v>
      </c>
      <c r="W304" t="e">
        <f ca="1"/>
        <v>#NAME?</v>
      </c>
      <c r="X304" t="e">
        <f ca="1"/>
        <v>#NAME?</v>
      </c>
      <c r="Y304" t="e">
        <f ca="1"/>
        <v>#NAME?</v>
      </c>
      <c r="Z304" t="e">
        <f ca="1"/>
        <v>#NAME?</v>
      </c>
      <c r="AA304" t="e">
        <f ca="1"/>
        <v>#NAME?</v>
      </c>
      <c r="AB304" t="e">
        <f ca="1"/>
        <v>#NAME?</v>
      </c>
      <c r="AD304" s="2">
        <f t="shared" ca="1" si="42"/>
        <v>0</v>
      </c>
      <c r="AE304" s="46">
        <f t="shared" ca="1" si="43"/>
        <v>0</v>
      </c>
      <c r="AG304" s="72" t="e">
        <f t="shared" ca="1" si="47"/>
        <v>#NAME?</v>
      </c>
      <c r="AH304" s="72" t="e">
        <f t="shared" ca="1" si="48"/>
        <v>#NAME?</v>
      </c>
      <c r="AI304" s="3" t="e">
        <f t="shared" ca="1" si="49"/>
        <v>#NAME?</v>
      </c>
    </row>
    <row r="305" spans="7:35" x14ac:dyDescent="0.25">
      <c r="G305" s="3">
        <f t="shared" ca="1" si="44"/>
        <v>286</v>
      </c>
      <c r="H305" s="105">
        <f t="shared" ca="1" si="46"/>
        <v>45211</v>
      </c>
      <c r="I305" s="132" t="e">
        <f>HLOOKUP($H$4,'Met Data'!$A$2:$F$368,G305,FALSE)</f>
        <v>#N/A</v>
      </c>
      <c r="J305" s="132" t="e">
        <f ca="1">HLOOKUP($H$4,'Met Data'!$H$2:$M$368,G305,FALSE)*L305</f>
        <v>#N/A</v>
      </c>
      <c r="K305" s="106" t="e">
        <f>HLOOKUP($H$4,'Met Data'!$O$2:$T$368,G305,FALSE)</f>
        <v>#N/A</v>
      </c>
      <c r="L305">
        <f t="shared" ca="1" si="40"/>
        <v>1</v>
      </c>
      <c r="N305" t="e">
        <f t="shared" ca="1" si="45"/>
        <v>#NAME?</v>
      </c>
      <c r="O305" t="e">
        <f t="shared" ca="1" si="41"/>
        <v>#NAME?</v>
      </c>
      <c r="P305" s="2" t="e">
        <f ca="1"/>
        <v>#NAME?</v>
      </c>
      <c r="Q305" t="e">
        <f ca="1"/>
        <v>#NAME?</v>
      </c>
      <c r="R305" t="e">
        <f ca="1"/>
        <v>#NAME?</v>
      </c>
      <c r="S305" t="e">
        <f ca="1"/>
        <v>#NAME?</v>
      </c>
      <c r="T305" t="e">
        <f ca="1"/>
        <v>#NAME?</v>
      </c>
      <c r="U305" t="e">
        <f ca="1"/>
        <v>#NAME?</v>
      </c>
      <c r="V305" t="e">
        <f ca="1"/>
        <v>#NAME?</v>
      </c>
      <c r="W305" t="e">
        <f ca="1"/>
        <v>#NAME?</v>
      </c>
      <c r="X305" t="e">
        <f ca="1"/>
        <v>#NAME?</v>
      </c>
      <c r="Y305" t="e">
        <f ca="1"/>
        <v>#NAME?</v>
      </c>
      <c r="Z305" t="e">
        <f ca="1"/>
        <v>#NAME?</v>
      </c>
      <c r="AA305" t="e">
        <f ca="1"/>
        <v>#NAME?</v>
      </c>
      <c r="AB305" t="e">
        <f ca="1"/>
        <v>#NAME?</v>
      </c>
      <c r="AD305" s="2">
        <f t="shared" ca="1" si="42"/>
        <v>0</v>
      </c>
      <c r="AE305" s="46">
        <f t="shared" ca="1" si="43"/>
        <v>0</v>
      </c>
      <c r="AG305" s="72" t="e">
        <f t="shared" ca="1" si="47"/>
        <v>#NAME?</v>
      </c>
      <c r="AH305" s="72" t="e">
        <f t="shared" ca="1" si="48"/>
        <v>#NAME?</v>
      </c>
      <c r="AI305" s="3" t="e">
        <f t="shared" ca="1" si="49"/>
        <v>#NAME?</v>
      </c>
    </row>
    <row r="306" spans="7:35" x14ac:dyDescent="0.25">
      <c r="G306" s="3">
        <f t="shared" ca="1" si="44"/>
        <v>287</v>
      </c>
      <c r="H306" s="105">
        <f t="shared" ca="1" si="46"/>
        <v>45212</v>
      </c>
      <c r="I306" s="132" t="e">
        <f>HLOOKUP($H$4,'Met Data'!$A$2:$F$368,G306,FALSE)</f>
        <v>#N/A</v>
      </c>
      <c r="J306" s="132" t="e">
        <f ca="1">HLOOKUP($H$4,'Met Data'!$H$2:$M$368,G306,FALSE)*L306</f>
        <v>#N/A</v>
      </c>
      <c r="K306" s="106" t="e">
        <f>HLOOKUP($H$4,'Met Data'!$O$2:$T$368,G306,FALSE)</f>
        <v>#N/A</v>
      </c>
      <c r="L306">
        <f t="shared" ca="1" si="40"/>
        <v>1</v>
      </c>
      <c r="N306" t="e">
        <f t="shared" ca="1" si="45"/>
        <v>#NAME?</v>
      </c>
      <c r="O306" t="e">
        <f t="shared" ca="1" si="41"/>
        <v>#NAME?</v>
      </c>
      <c r="P306" s="2" t="e">
        <f ca="1"/>
        <v>#NAME?</v>
      </c>
      <c r="Q306" t="e">
        <f ca="1"/>
        <v>#NAME?</v>
      </c>
      <c r="R306" t="e">
        <f ca="1"/>
        <v>#NAME?</v>
      </c>
      <c r="S306" t="e">
        <f ca="1"/>
        <v>#NAME?</v>
      </c>
      <c r="T306" t="e">
        <f ca="1"/>
        <v>#NAME?</v>
      </c>
      <c r="U306" t="e">
        <f ca="1"/>
        <v>#NAME?</v>
      </c>
      <c r="V306" t="e">
        <f ca="1"/>
        <v>#NAME?</v>
      </c>
      <c r="W306" t="e">
        <f ca="1"/>
        <v>#NAME?</v>
      </c>
      <c r="X306" t="e">
        <f ca="1"/>
        <v>#NAME?</v>
      </c>
      <c r="Y306" t="e">
        <f ca="1"/>
        <v>#NAME?</v>
      </c>
      <c r="Z306" t="e">
        <f ca="1"/>
        <v>#NAME?</v>
      </c>
      <c r="AA306" t="e">
        <f ca="1"/>
        <v>#NAME?</v>
      </c>
      <c r="AB306" t="e">
        <f ca="1"/>
        <v>#NAME?</v>
      </c>
      <c r="AD306" s="2">
        <f t="shared" ca="1" si="42"/>
        <v>0</v>
      </c>
      <c r="AE306" s="46">
        <f t="shared" ca="1" si="43"/>
        <v>0</v>
      </c>
      <c r="AG306" s="72" t="e">
        <f t="shared" ca="1" si="47"/>
        <v>#NAME?</v>
      </c>
      <c r="AH306" s="72" t="e">
        <f t="shared" ca="1" si="48"/>
        <v>#NAME?</v>
      </c>
      <c r="AI306" s="3" t="e">
        <f t="shared" ca="1" si="49"/>
        <v>#NAME?</v>
      </c>
    </row>
    <row r="307" spans="7:35" x14ac:dyDescent="0.25">
      <c r="G307" s="3">
        <f t="shared" ca="1" si="44"/>
        <v>288</v>
      </c>
      <c r="H307" s="105">
        <f t="shared" ca="1" si="46"/>
        <v>45213</v>
      </c>
      <c r="I307" s="132" t="e">
        <f>HLOOKUP($H$4,'Met Data'!$A$2:$F$368,G307,FALSE)</f>
        <v>#N/A</v>
      </c>
      <c r="J307" s="132" t="e">
        <f ca="1">HLOOKUP($H$4,'Met Data'!$H$2:$M$368,G307,FALSE)*L307</f>
        <v>#N/A</v>
      </c>
      <c r="K307" s="106" t="e">
        <f>HLOOKUP($H$4,'Met Data'!$O$2:$T$368,G307,FALSE)</f>
        <v>#N/A</v>
      </c>
      <c r="L307">
        <f t="shared" ca="1" si="40"/>
        <v>1</v>
      </c>
      <c r="N307" t="e">
        <f t="shared" ca="1" si="45"/>
        <v>#NAME?</v>
      </c>
      <c r="O307" t="e">
        <f t="shared" ca="1" si="41"/>
        <v>#NAME?</v>
      </c>
      <c r="P307" s="2" t="e">
        <f ca="1"/>
        <v>#NAME?</v>
      </c>
      <c r="Q307" t="e">
        <f ca="1"/>
        <v>#NAME?</v>
      </c>
      <c r="R307" t="e">
        <f ca="1"/>
        <v>#NAME?</v>
      </c>
      <c r="S307" t="e">
        <f ca="1"/>
        <v>#NAME?</v>
      </c>
      <c r="T307" t="e">
        <f ca="1"/>
        <v>#NAME?</v>
      </c>
      <c r="U307" t="e">
        <f ca="1"/>
        <v>#NAME?</v>
      </c>
      <c r="V307" t="e">
        <f ca="1"/>
        <v>#NAME?</v>
      </c>
      <c r="W307" t="e">
        <f ca="1"/>
        <v>#NAME?</v>
      </c>
      <c r="X307" t="e">
        <f ca="1"/>
        <v>#NAME?</v>
      </c>
      <c r="Y307" t="e">
        <f ca="1"/>
        <v>#NAME?</v>
      </c>
      <c r="Z307" t="e">
        <f ca="1"/>
        <v>#NAME?</v>
      </c>
      <c r="AA307" t="e">
        <f ca="1"/>
        <v>#NAME?</v>
      </c>
      <c r="AB307" t="e">
        <f ca="1"/>
        <v>#NAME?</v>
      </c>
      <c r="AD307" s="2">
        <f t="shared" ca="1" si="42"/>
        <v>0</v>
      </c>
      <c r="AE307" s="46">
        <f t="shared" ca="1" si="43"/>
        <v>0</v>
      </c>
      <c r="AG307" s="72" t="e">
        <f t="shared" ca="1" si="47"/>
        <v>#NAME?</v>
      </c>
      <c r="AH307" s="72" t="e">
        <f t="shared" ca="1" si="48"/>
        <v>#NAME?</v>
      </c>
      <c r="AI307" s="3" t="e">
        <f t="shared" ca="1" si="49"/>
        <v>#NAME?</v>
      </c>
    </row>
    <row r="308" spans="7:35" x14ac:dyDescent="0.25">
      <c r="G308" s="3">
        <f t="shared" ca="1" si="44"/>
        <v>289</v>
      </c>
      <c r="H308" s="105">
        <f t="shared" ca="1" si="46"/>
        <v>45214</v>
      </c>
      <c r="I308" s="132" t="e">
        <f>HLOOKUP($H$4,'Met Data'!$A$2:$F$368,G308,FALSE)</f>
        <v>#N/A</v>
      </c>
      <c r="J308" s="132" t="e">
        <f ca="1">HLOOKUP($H$4,'Met Data'!$H$2:$M$368,G308,FALSE)*L308</f>
        <v>#N/A</v>
      </c>
      <c r="K308" s="106" t="e">
        <f>HLOOKUP($H$4,'Met Data'!$O$2:$T$368,G308,FALSE)</f>
        <v>#N/A</v>
      </c>
      <c r="L308">
        <f t="shared" ca="1" si="40"/>
        <v>1</v>
      </c>
      <c r="N308" t="e">
        <f t="shared" ca="1" si="45"/>
        <v>#NAME?</v>
      </c>
      <c r="O308" t="e">
        <f t="shared" ca="1" si="41"/>
        <v>#NAME?</v>
      </c>
      <c r="P308" s="2" t="e">
        <f ca="1"/>
        <v>#NAME?</v>
      </c>
      <c r="Q308" t="e">
        <f ca="1"/>
        <v>#NAME?</v>
      </c>
      <c r="R308" t="e">
        <f ca="1"/>
        <v>#NAME?</v>
      </c>
      <c r="S308" t="e">
        <f ca="1"/>
        <v>#NAME?</v>
      </c>
      <c r="T308" t="e">
        <f ca="1"/>
        <v>#NAME?</v>
      </c>
      <c r="U308" t="e">
        <f ca="1"/>
        <v>#NAME?</v>
      </c>
      <c r="V308" t="e">
        <f ca="1"/>
        <v>#NAME?</v>
      </c>
      <c r="W308" t="e">
        <f ca="1"/>
        <v>#NAME?</v>
      </c>
      <c r="X308" t="e">
        <f ca="1"/>
        <v>#NAME?</v>
      </c>
      <c r="Y308" t="e">
        <f ca="1"/>
        <v>#NAME?</v>
      </c>
      <c r="Z308" t="e">
        <f ca="1"/>
        <v>#NAME?</v>
      </c>
      <c r="AA308" t="e">
        <f ca="1"/>
        <v>#NAME?</v>
      </c>
      <c r="AB308" t="e">
        <f ca="1"/>
        <v>#NAME?</v>
      </c>
      <c r="AD308" s="2">
        <f t="shared" ca="1" si="42"/>
        <v>0</v>
      </c>
      <c r="AE308" s="46">
        <f t="shared" ca="1" si="43"/>
        <v>0</v>
      </c>
      <c r="AG308" s="72" t="e">
        <f t="shared" ca="1" si="47"/>
        <v>#NAME?</v>
      </c>
      <c r="AH308" s="72" t="e">
        <f t="shared" ca="1" si="48"/>
        <v>#NAME?</v>
      </c>
      <c r="AI308" s="3" t="e">
        <f t="shared" ca="1" si="49"/>
        <v>#NAME?</v>
      </c>
    </row>
    <row r="309" spans="7:35" x14ac:dyDescent="0.25">
      <c r="G309" s="3">
        <f t="shared" ca="1" si="44"/>
        <v>290</v>
      </c>
      <c r="H309" s="105">
        <f t="shared" ca="1" si="46"/>
        <v>45215</v>
      </c>
      <c r="I309" s="132" t="e">
        <f>HLOOKUP($H$4,'Met Data'!$A$2:$F$368,G309,FALSE)</f>
        <v>#N/A</v>
      </c>
      <c r="J309" s="132" t="e">
        <f ca="1">HLOOKUP($H$4,'Met Data'!$H$2:$M$368,G309,FALSE)*L309</f>
        <v>#N/A</v>
      </c>
      <c r="K309" s="106" t="e">
        <f>HLOOKUP($H$4,'Met Data'!$O$2:$T$368,G309,FALSE)</f>
        <v>#N/A</v>
      </c>
      <c r="L309">
        <f t="shared" ca="1" si="40"/>
        <v>1</v>
      </c>
      <c r="N309" t="e">
        <f t="shared" ca="1" si="45"/>
        <v>#NAME?</v>
      </c>
      <c r="O309" t="e">
        <f t="shared" ca="1" si="41"/>
        <v>#NAME?</v>
      </c>
      <c r="P309" s="2" t="e">
        <f ca="1"/>
        <v>#NAME?</v>
      </c>
      <c r="Q309" t="e">
        <f ca="1"/>
        <v>#NAME?</v>
      </c>
      <c r="R309" t="e">
        <f ca="1"/>
        <v>#NAME?</v>
      </c>
      <c r="S309" t="e">
        <f ca="1"/>
        <v>#NAME?</v>
      </c>
      <c r="T309" t="e">
        <f ca="1"/>
        <v>#NAME?</v>
      </c>
      <c r="U309" t="e">
        <f ca="1"/>
        <v>#NAME?</v>
      </c>
      <c r="V309" t="e">
        <f ca="1"/>
        <v>#NAME?</v>
      </c>
      <c r="W309" t="e">
        <f ca="1"/>
        <v>#NAME?</v>
      </c>
      <c r="X309" t="e">
        <f ca="1"/>
        <v>#NAME?</v>
      </c>
      <c r="Y309" t="e">
        <f ca="1"/>
        <v>#NAME?</v>
      </c>
      <c r="Z309" t="e">
        <f ca="1"/>
        <v>#NAME?</v>
      </c>
      <c r="AA309" t="e">
        <f ca="1"/>
        <v>#NAME?</v>
      </c>
      <c r="AB309" t="e">
        <f ca="1"/>
        <v>#NAME?</v>
      </c>
      <c r="AD309" s="2">
        <f t="shared" ca="1" si="42"/>
        <v>0</v>
      </c>
      <c r="AE309" s="46">
        <f t="shared" ca="1" si="43"/>
        <v>0</v>
      </c>
      <c r="AG309" s="72" t="e">
        <f t="shared" ca="1" si="47"/>
        <v>#NAME?</v>
      </c>
      <c r="AH309" s="72" t="e">
        <f t="shared" ca="1" si="48"/>
        <v>#NAME?</v>
      </c>
      <c r="AI309" s="3" t="e">
        <f t="shared" ca="1" si="49"/>
        <v>#NAME?</v>
      </c>
    </row>
    <row r="310" spans="7:35" x14ac:dyDescent="0.25">
      <c r="G310" s="3">
        <f t="shared" ca="1" si="44"/>
        <v>291</v>
      </c>
      <c r="H310" s="105">
        <f t="shared" ca="1" si="46"/>
        <v>45216</v>
      </c>
      <c r="I310" s="132" t="e">
        <f>HLOOKUP($H$4,'Met Data'!$A$2:$F$368,G310,FALSE)</f>
        <v>#N/A</v>
      </c>
      <c r="J310" s="132" t="e">
        <f ca="1">HLOOKUP($H$4,'Met Data'!$H$2:$M$368,G310,FALSE)*L310</f>
        <v>#N/A</v>
      </c>
      <c r="K310" s="106" t="e">
        <f>HLOOKUP($H$4,'Met Data'!$O$2:$T$368,G310,FALSE)</f>
        <v>#N/A</v>
      </c>
      <c r="L310">
        <f t="shared" ca="1" si="40"/>
        <v>1</v>
      </c>
      <c r="N310" t="e">
        <f t="shared" ca="1" si="45"/>
        <v>#NAME?</v>
      </c>
      <c r="O310" t="e">
        <f t="shared" ca="1" si="41"/>
        <v>#NAME?</v>
      </c>
      <c r="P310" s="2" t="e">
        <f ca="1"/>
        <v>#NAME?</v>
      </c>
      <c r="Q310" t="e">
        <f ca="1"/>
        <v>#NAME?</v>
      </c>
      <c r="R310" t="e">
        <f ca="1"/>
        <v>#NAME?</v>
      </c>
      <c r="S310" t="e">
        <f ca="1"/>
        <v>#NAME?</v>
      </c>
      <c r="T310" t="e">
        <f ca="1"/>
        <v>#NAME?</v>
      </c>
      <c r="U310" t="e">
        <f ca="1"/>
        <v>#NAME?</v>
      </c>
      <c r="V310" t="e">
        <f ca="1"/>
        <v>#NAME?</v>
      </c>
      <c r="W310" t="e">
        <f ca="1"/>
        <v>#NAME?</v>
      </c>
      <c r="X310" t="e">
        <f ca="1"/>
        <v>#NAME?</v>
      </c>
      <c r="Y310" t="e">
        <f ca="1"/>
        <v>#NAME?</v>
      </c>
      <c r="Z310" t="e">
        <f ca="1"/>
        <v>#NAME?</v>
      </c>
      <c r="AA310" t="e">
        <f ca="1"/>
        <v>#NAME?</v>
      </c>
      <c r="AB310" t="e">
        <f ca="1"/>
        <v>#NAME?</v>
      </c>
      <c r="AD310" s="2">
        <f t="shared" ca="1" si="42"/>
        <v>0</v>
      </c>
      <c r="AE310" s="46">
        <f t="shared" ca="1" si="43"/>
        <v>0</v>
      </c>
      <c r="AG310" s="72" t="e">
        <f t="shared" ca="1" si="47"/>
        <v>#NAME?</v>
      </c>
      <c r="AH310" s="72" t="e">
        <f t="shared" ca="1" si="48"/>
        <v>#NAME?</v>
      </c>
      <c r="AI310" s="3" t="e">
        <f t="shared" ca="1" si="49"/>
        <v>#NAME?</v>
      </c>
    </row>
    <row r="311" spans="7:35" x14ac:dyDescent="0.25">
      <c r="G311" s="3">
        <f t="shared" ca="1" si="44"/>
        <v>292</v>
      </c>
      <c r="H311" s="105">
        <f t="shared" ca="1" si="46"/>
        <v>45217</v>
      </c>
      <c r="I311" s="132" t="e">
        <f>HLOOKUP($H$4,'Met Data'!$A$2:$F$368,G311,FALSE)</f>
        <v>#N/A</v>
      </c>
      <c r="J311" s="132" t="e">
        <f ca="1">HLOOKUP($H$4,'Met Data'!$H$2:$M$368,G311,FALSE)*L311</f>
        <v>#N/A</v>
      </c>
      <c r="K311" s="106" t="e">
        <f>HLOOKUP($H$4,'Met Data'!$O$2:$T$368,G311,FALSE)</f>
        <v>#N/A</v>
      </c>
      <c r="L311">
        <f t="shared" ca="1" si="40"/>
        <v>1</v>
      </c>
      <c r="N311" t="e">
        <f t="shared" ca="1" si="45"/>
        <v>#NAME?</v>
      </c>
      <c r="O311" t="e">
        <f t="shared" ca="1" si="41"/>
        <v>#NAME?</v>
      </c>
      <c r="P311" s="2" t="e">
        <f ca="1"/>
        <v>#NAME?</v>
      </c>
      <c r="Q311" t="e">
        <f ca="1"/>
        <v>#NAME?</v>
      </c>
      <c r="R311" t="e">
        <f ca="1"/>
        <v>#NAME?</v>
      </c>
      <c r="S311" t="e">
        <f ca="1"/>
        <v>#NAME?</v>
      </c>
      <c r="T311" t="e">
        <f ca="1"/>
        <v>#NAME?</v>
      </c>
      <c r="U311" t="e">
        <f ca="1"/>
        <v>#NAME?</v>
      </c>
      <c r="V311" t="e">
        <f ca="1"/>
        <v>#NAME?</v>
      </c>
      <c r="W311" t="e">
        <f ca="1"/>
        <v>#NAME?</v>
      </c>
      <c r="X311" t="e">
        <f ca="1"/>
        <v>#NAME?</v>
      </c>
      <c r="Y311" t="e">
        <f ca="1"/>
        <v>#NAME?</v>
      </c>
      <c r="Z311" t="e">
        <f ca="1"/>
        <v>#NAME?</v>
      </c>
      <c r="AA311" t="e">
        <f ca="1"/>
        <v>#NAME?</v>
      </c>
      <c r="AB311" t="e">
        <f ca="1"/>
        <v>#NAME?</v>
      </c>
      <c r="AD311" s="2">
        <f t="shared" ca="1" si="42"/>
        <v>0</v>
      </c>
      <c r="AE311" s="46">
        <f t="shared" ca="1" si="43"/>
        <v>0</v>
      </c>
      <c r="AG311" s="72" t="e">
        <f t="shared" ca="1" si="47"/>
        <v>#NAME?</v>
      </c>
      <c r="AH311" s="72" t="e">
        <f t="shared" ca="1" si="48"/>
        <v>#NAME?</v>
      </c>
      <c r="AI311" s="3" t="e">
        <f t="shared" ca="1" si="49"/>
        <v>#NAME?</v>
      </c>
    </row>
    <row r="312" spans="7:35" x14ac:dyDescent="0.25">
      <c r="G312" s="3">
        <f t="shared" ca="1" si="44"/>
        <v>293</v>
      </c>
      <c r="H312" s="105">
        <f t="shared" ca="1" si="46"/>
        <v>45218</v>
      </c>
      <c r="I312" s="132" t="e">
        <f>HLOOKUP($H$4,'Met Data'!$A$2:$F$368,G312,FALSE)</f>
        <v>#N/A</v>
      </c>
      <c r="J312" s="132" t="e">
        <f ca="1">HLOOKUP($H$4,'Met Data'!$H$2:$M$368,G312,FALSE)*L312</f>
        <v>#N/A</v>
      </c>
      <c r="K312" s="106" t="e">
        <f>HLOOKUP($H$4,'Met Data'!$O$2:$T$368,G312,FALSE)</f>
        <v>#N/A</v>
      </c>
      <c r="L312">
        <f t="shared" ca="1" si="40"/>
        <v>1</v>
      </c>
      <c r="N312" t="e">
        <f t="shared" ca="1" si="45"/>
        <v>#NAME?</v>
      </c>
      <c r="O312" t="e">
        <f t="shared" ca="1" si="41"/>
        <v>#NAME?</v>
      </c>
      <c r="P312" s="2" t="e">
        <f ca="1"/>
        <v>#NAME?</v>
      </c>
      <c r="Q312" t="e">
        <f ca="1"/>
        <v>#NAME?</v>
      </c>
      <c r="R312" t="e">
        <f ca="1"/>
        <v>#NAME?</v>
      </c>
      <c r="S312" t="e">
        <f ca="1"/>
        <v>#NAME?</v>
      </c>
      <c r="T312" t="e">
        <f ca="1"/>
        <v>#NAME?</v>
      </c>
      <c r="U312" t="e">
        <f ca="1"/>
        <v>#NAME?</v>
      </c>
      <c r="V312" t="e">
        <f ca="1"/>
        <v>#NAME?</v>
      </c>
      <c r="W312" t="e">
        <f ca="1"/>
        <v>#NAME?</v>
      </c>
      <c r="X312" t="e">
        <f ca="1"/>
        <v>#NAME?</v>
      </c>
      <c r="Y312" t="e">
        <f ca="1"/>
        <v>#NAME?</v>
      </c>
      <c r="Z312" t="e">
        <f ca="1"/>
        <v>#NAME?</v>
      </c>
      <c r="AA312" t="e">
        <f ca="1"/>
        <v>#NAME?</v>
      </c>
      <c r="AB312" t="e">
        <f ca="1"/>
        <v>#NAME?</v>
      </c>
      <c r="AD312" s="2">
        <f t="shared" ca="1" si="42"/>
        <v>0</v>
      </c>
      <c r="AE312" s="46">
        <f t="shared" ca="1" si="43"/>
        <v>0</v>
      </c>
      <c r="AG312" s="72" t="e">
        <f t="shared" ca="1" si="47"/>
        <v>#NAME?</v>
      </c>
      <c r="AH312" s="72" t="e">
        <f t="shared" ca="1" si="48"/>
        <v>#NAME?</v>
      </c>
      <c r="AI312" s="3" t="e">
        <f t="shared" ca="1" si="49"/>
        <v>#NAME?</v>
      </c>
    </row>
    <row r="313" spans="7:35" x14ac:dyDescent="0.25">
      <c r="G313" s="3">
        <f t="shared" ca="1" si="44"/>
        <v>294</v>
      </c>
      <c r="H313" s="105">
        <f t="shared" ca="1" si="46"/>
        <v>45219</v>
      </c>
      <c r="I313" s="132" t="e">
        <f>HLOOKUP($H$4,'Met Data'!$A$2:$F$368,G313,FALSE)</f>
        <v>#N/A</v>
      </c>
      <c r="J313" s="132" t="e">
        <f ca="1">HLOOKUP($H$4,'Met Data'!$H$2:$M$368,G313,FALSE)*L313</f>
        <v>#N/A</v>
      </c>
      <c r="K313" s="106" t="e">
        <f>HLOOKUP($H$4,'Met Data'!$O$2:$T$368,G313,FALSE)</f>
        <v>#N/A</v>
      </c>
      <c r="L313">
        <f t="shared" ca="1" si="40"/>
        <v>1</v>
      </c>
      <c r="N313" t="e">
        <f t="shared" ca="1" si="45"/>
        <v>#NAME?</v>
      </c>
      <c r="O313" t="e">
        <f t="shared" ca="1" si="41"/>
        <v>#NAME?</v>
      </c>
      <c r="P313" s="2" t="e">
        <f ca="1"/>
        <v>#NAME?</v>
      </c>
      <c r="Q313" t="e">
        <f ca="1"/>
        <v>#NAME?</v>
      </c>
      <c r="R313" t="e">
        <f ca="1"/>
        <v>#NAME?</v>
      </c>
      <c r="S313" t="e">
        <f ca="1"/>
        <v>#NAME?</v>
      </c>
      <c r="T313" t="e">
        <f ca="1"/>
        <v>#NAME?</v>
      </c>
      <c r="U313" t="e">
        <f ca="1"/>
        <v>#NAME?</v>
      </c>
      <c r="V313" t="e">
        <f ca="1"/>
        <v>#NAME?</v>
      </c>
      <c r="W313" t="e">
        <f ca="1"/>
        <v>#NAME?</v>
      </c>
      <c r="X313" t="e">
        <f ca="1"/>
        <v>#NAME?</v>
      </c>
      <c r="Y313" t="e">
        <f ca="1"/>
        <v>#NAME?</v>
      </c>
      <c r="Z313" t="e">
        <f ca="1"/>
        <v>#NAME?</v>
      </c>
      <c r="AA313" t="e">
        <f ca="1"/>
        <v>#NAME?</v>
      </c>
      <c r="AB313" t="e">
        <f ca="1"/>
        <v>#NAME?</v>
      </c>
      <c r="AD313" s="2">
        <f t="shared" ca="1" si="42"/>
        <v>0</v>
      </c>
      <c r="AE313" s="46">
        <f t="shared" ca="1" si="43"/>
        <v>0</v>
      </c>
      <c r="AG313" s="72" t="e">
        <f t="shared" ca="1" si="47"/>
        <v>#NAME?</v>
      </c>
      <c r="AH313" s="72" t="e">
        <f t="shared" ca="1" si="48"/>
        <v>#NAME?</v>
      </c>
      <c r="AI313" s="3" t="e">
        <f t="shared" ca="1" si="49"/>
        <v>#NAME?</v>
      </c>
    </row>
    <row r="314" spans="7:35" x14ac:dyDescent="0.25">
      <c r="G314" s="3">
        <f t="shared" ca="1" si="44"/>
        <v>295</v>
      </c>
      <c r="H314" s="105">
        <f t="shared" ca="1" si="46"/>
        <v>45220</v>
      </c>
      <c r="I314" s="132" t="e">
        <f>HLOOKUP($H$4,'Met Data'!$A$2:$F$368,G314,FALSE)</f>
        <v>#N/A</v>
      </c>
      <c r="J314" s="132" t="e">
        <f ca="1">HLOOKUP($H$4,'Met Data'!$H$2:$M$368,G314,FALSE)*L314</f>
        <v>#N/A</v>
      </c>
      <c r="K314" s="106" t="e">
        <f>HLOOKUP($H$4,'Met Data'!$O$2:$T$368,G314,FALSE)</f>
        <v>#N/A</v>
      </c>
      <c r="L314">
        <f t="shared" ca="1" si="40"/>
        <v>1</v>
      </c>
      <c r="N314" t="e">
        <f t="shared" ca="1" si="45"/>
        <v>#NAME?</v>
      </c>
      <c r="O314" t="e">
        <f t="shared" ca="1" si="41"/>
        <v>#NAME?</v>
      </c>
      <c r="P314" s="2" t="e">
        <f ca="1"/>
        <v>#NAME?</v>
      </c>
      <c r="Q314" t="e">
        <f ca="1"/>
        <v>#NAME?</v>
      </c>
      <c r="R314" t="e">
        <f ca="1"/>
        <v>#NAME?</v>
      </c>
      <c r="S314" t="e">
        <f ca="1"/>
        <v>#NAME?</v>
      </c>
      <c r="T314" t="e">
        <f ca="1"/>
        <v>#NAME?</v>
      </c>
      <c r="U314" t="e">
        <f ca="1"/>
        <v>#NAME?</v>
      </c>
      <c r="V314" t="e">
        <f ca="1"/>
        <v>#NAME?</v>
      </c>
      <c r="W314" t="e">
        <f ca="1"/>
        <v>#NAME?</v>
      </c>
      <c r="X314" t="e">
        <f ca="1"/>
        <v>#NAME?</v>
      </c>
      <c r="Y314" t="e">
        <f ca="1"/>
        <v>#NAME?</v>
      </c>
      <c r="Z314" t="e">
        <f ca="1"/>
        <v>#NAME?</v>
      </c>
      <c r="AA314" t="e">
        <f ca="1"/>
        <v>#NAME?</v>
      </c>
      <c r="AB314" t="e">
        <f ca="1"/>
        <v>#NAME?</v>
      </c>
      <c r="AD314" s="2">
        <f t="shared" ca="1" si="42"/>
        <v>0</v>
      </c>
      <c r="AE314" s="46">
        <f t="shared" ca="1" si="43"/>
        <v>0</v>
      </c>
      <c r="AG314" s="72" t="e">
        <f t="shared" ca="1" si="47"/>
        <v>#NAME?</v>
      </c>
      <c r="AH314" s="72" t="e">
        <f t="shared" ca="1" si="48"/>
        <v>#NAME?</v>
      </c>
      <c r="AI314" s="3" t="e">
        <f t="shared" ca="1" si="49"/>
        <v>#NAME?</v>
      </c>
    </row>
    <row r="315" spans="7:35" x14ac:dyDescent="0.25">
      <c r="G315" s="3">
        <f t="shared" ca="1" si="44"/>
        <v>296</v>
      </c>
      <c r="H315" s="105">
        <f t="shared" ca="1" si="46"/>
        <v>45221</v>
      </c>
      <c r="I315" s="132" t="e">
        <f>HLOOKUP($H$4,'Met Data'!$A$2:$F$368,G315,FALSE)</f>
        <v>#N/A</v>
      </c>
      <c r="J315" s="132" t="e">
        <f ca="1">HLOOKUP($H$4,'Met Data'!$H$2:$M$368,G315,FALSE)*L315</f>
        <v>#N/A</v>
      </c>
      <c r="K315" s="106" t="e">
        <f>HLOOKUP($H$4,'Met Data'!$O$2:$T$368,G315,FALSE)</f>
        <v>#N/A</v>
      </c>
      <c r="L315">
        <f t="shared" ca="1" si="40"/>
        <v>1</v>
      </c>
      <c r="N315" t="e">
        <f t="shared" ca="1" si="45"/>
        <v>#NAME?</v>
      </c>
      <c r="O315" t="e">
        <f t="shared" ca="1" si="41"/>
        <v>#NAME?</v>
      </c>
      <c r="P315" s="2" t="e">
        <f ca="1"/>
        <v>#NAME?</v>
      </c>
      <c r="Q315" t="e">
        <f ca="1"/>
        <v>#NAME?</v>
      </c>
      <c r="R315" t="e">
        <f ca="1"/>
        <v>#NAME?</v>
      </c>
      <c r="S315" t="e">
        <f ca="1"/>
        <v>#NAME?</v>
      </c>
      <c r="T315" t="e">
        <f ca="1"/>
        <v>#NAME?</v>
      </c>
      <c r="U315" t="e">
        <f ca="1"/>
        <v>#NAME?</v>
      </c>
      <c r="V315" t="e">
        <f ca="1"/>
        <v>#NAME?</v>
      </c>
      <c r="W315" t="e">
        <f ca="1"/>
        <v>#NAME?</v>
      </c>
      <c r="X315" t="e">
        <f ca="1"/>
        <v>#NAME?</v>
      </c>
      <c r="Y315" t="e">
        <f ca="1"/>
        <v>#NAME?</v>
      </c>
      <c r="Z315" t="e">
        <f ca="1"/>
        <v>#NAME?</v>
      </c>
      <c r="AA315" t="e">
        <f ca="1"/>
        <v>#NAME?</v>
      </c>
      <c r="AB315" t="e">
        <f ca="1"/>
        <v>#NAME?</v>
      </c>
      <c r="AD315" s="2">
        <f t="shared" ca="1" si="42"/>
        <v>0</v>
      </c>
      <c r="AE315" s="46">
        <f t="shared" ca="1" si="43"/>
        <v>0</v>
      </c>
      <c r="AG315" s="72" t="e">
        <f t="shared" ca="1" si="47"/>
        <v>#NAME?</v>
      </c>
      <c r="AH315" s="72" t="e">
        <f t="shared" ca="1" si="48"/>
        <v>#NAME?</v>
      </c>
      <c r="AI315" s="3" t="e">
        <f t="shared" ca="1" si="49"/>
        <v>#NAME?</v>
      </c>
    </row>
    <row r="316" spans="7:35" x14ac:dyDescent="0.25">
      <c r="G316" s="3">
        <f t="shared" ca="1" si="44"/>
        <v>297</v>
      </c>
      <c r="H316" s="105">
        <f t="shared" ca="1" si="46"/>
        <v>45222</v>
      </c>
      <c r="I316" s="132" t="e">
        <f>HLOOKUP($H$4,'Met Data'!$A$2:$F$368,G316,FALSE)</f>
        <v>#N/A</v>
      </c>
      <c r="J316" s="132" t="e">
        <f ca="1">HLOOKUP($H$4,'Met Data'!$H$2:$M$368,G316,FALSE)*L316</f>
        <v>#N/A</v>
      </c>
      <c r="K316" s="106" t="e">
        <f>HLOOKUP($H$4,'Met Data'!$O$2:$T$368,G316,FALSE)</f>
        <v>#N/A</v>
      </c>
      <c r="L316">
        <f t="shared" ca="1" si="40"/>
        <v>1</v>
      </c>
      <c r="N316" t="e">
        <f t="shared" ca="1" si="45"/>
        <v>#NAME?</v>
      </c>
      <c r="O316" t="e">
        <f t="shared" ca="1" si="41"/>
        <v>#NAME?</v>
      </c>
      <c r="P316" s="2" t="e">
        <f ca="1"/>
        <v>#NAME?</v>
      </c>
      <c r="Q316" t="e">
        <f ca="1"/>
        <v>#NAME?</v>
      </c>
      <c r="R316" t="e">
        <f ca="1"/>
        <v>#NAME?</v>
      </c>
      <c r="S316" t="e">
        <f ca="1"/>
        <v>#NAME?</v>
      </c>
      <c r="T316" t="e">
        <f ca="1"/>
        <v>#NAME?</v>
      </c>
      <c r="U316" t="e">
        <f ca="1"/>
        <v>#NAME?</v>
      </c>
      <c r="V316" t="e">
        <f ca="1"/>
        <v>#NAME?</v>
      </c>
      <c r="W316" t="e">
        <f ca="1"/>
        <v>#NAME?</v>
      </c>
      <c r="X316" t="e">
        <f ca="1"/>
        <v>#NAME?</v>
      </c>
      <c r="Y316" t="e">
        <f ca="1"/>
        <v>#NAME?</v>
      </c>
      <c r="Z316" t="e">
        <f ca="1"/>
        <v>#NAME?</v>
      </c>
      <c r="AA316" t="e">
        <f ca="1"/>
        <v>#NAME?</v>
      </c>
      <c r="AB316" t="e">
        <f ca="1"/>
        <v>#NAME?</v>
      </c>
      <c r="AD316" s="2">
        <f t="shared" ca="1" si="42"/>
        <v>0</v>
      </c>
      <c r="AE316" s="46">
        <f t="shared" ca="1" si="43"/>
        <v>0</v>
      </c>
      <c r="AG316" s="72" t="e">
        <f t="shared" ca="1" si="47"/>
        <v>#NAME?</v>
      </c>
      <c r="AH316" s="72" t="e">
        <f t="shared" ca="1" si="48"/>
        <v>#NAME?</v>
      </c>
      <c r="AI316" s="3" t="e">
        <f t="shared" ca="1" si="49"/>
        <v>#NAME?</v>
      </c>
    </row>
    <row r="317" spans="7:35" x14ac:dyDescent="0.25">
      <c r="G317" s="3">
        <f t="shared" ca="1" si="44"/>
        <v>298</v>
      </c>
      <c r="H317" s="105">
        <f t="shared" ca="1" si="46"/>
        <v>45223</v>
      </c>
      <c r="I317" s="132" t="e">
        <f>HLOOKUP($H$4,'Met Data'!$A$2:$F$368,G317,FALSE)</f>
        <v>#N/A</v>
      </c>
      <c r="J317" s="132" t="e">
        <f ca="1">HLOOKUP($H$4,'Met Data'!$H$2:$M$368,G317,FALSE)*L317</f>
        <v>#N/A</v>
      </c>
      <c r="K317" s="106" t="e">
        <f>HLOOKUP($H$4,'Met Data'!$O$2:$T$368,G317,FALSE)</f>
        <v>#N/A</v>
      </c>
      <c r="L317">
        <f t="shared" ca="1" si="40"/>
        <v>1</v>
      </c>
      <c r="N317" t="e">
        <f t="shared" ca="1" si="45"/>
        <v>#NAME?</v>
      </c>
      <c r="O317" t="e">
        <f t="shared" ca="1" si="41"/>
        <v>#NAME?</v>
      </c>
      <c r="P317" s="2" t="e">
        <f ca="1"/>
        <v>#NAME?</v>
      </c>
      <c r="Q317" t="e">
        <f ca="1"/>
        <v>#NAME?</v>
      </c>
      <c r="R317" t="e">
        <f ca="1"/>
        <v>#NAME?</v>
      </c>
      <c r="S317" t="e">
        <f ca="1"/>
        <v>#NAME?</v>
      </c>
      <c r="T317" t="e">
        <f ca="1"/>
        <v>#NAME?</v>
      </c>
      <c r="U317" t="e">
        <f ca="1"/>
        <v>#NAME?</v>
      </c>
      <c r="V317" t="e">
        <f ca="1"/>
        <v>#NAME?</v>
      </c>
      <c r="W317" t="e">
        <f ca="1"/>
        <v>#NAME?</v>
      </c>
      <c r="X317" t="e">
        <f ca="1"/>
        <v>#NAME?</v>
      </c>
      <c r="Y317" t="e">
        <f ca="1"/>
        <v>#NAME?</v>
      </c>
      <c r="Z317" t="e">
        <f ca="1"/>
        <v>#NAME?</v>
      </c>
      <c r="AA317" t="e">
        <f ca="1"/>
        <v>#NAME?</v>
      </c>
      <c r="AB317" t="e">
        <f ca="1"/>
        <v>#NAME?</v>
      </c>
      <c r="AD317" s="2">
        <f t="shared" ca="1" si="42"/>
        <v>0</v>
      </c>
      <c r="AE317" s="46">
        <f t="shared" ca="1" si="43"/>
        <v>0</v>
      </c>
      <c r="AG317" s="72" t="e">
        <f t="shared" ca="1" si="47"/>
        <v>#NAME?</v>
      </c>
      <c r="AH317" s="72" t="e">
        <f t="shared" ca="1" si="48"/>
        <v>#NAME?</v>
      </c>
      <c r="AI317" s="3" t="e">
        <f t="shared" ca="1" si="49"/>
        <v>#NAME?</v>
      </c>
    </row>
    <row r="318" spans="7:35" x14ac:dyDescent="0.25">
      <c r="G318" s="3">
        <f t="shared" ca="1" si="44"/>
        <v>299</v>
      </c>
      <c r="H318" s="105">
        <f t="shared" ca="1" si="46"/>
        <v>45224</v>
      </c>
      <c r="I318" s="132" t="e">
        <f>HLOOKUP($H$4,'Met Data'!$A$2:$F$368,G318,FALSE)</f>
        <v>#N/A</v>
      </c>
      <c r="J318" s="132" t="e">
        <f ca="1">HLOOKUP($H$4,'Met Data'!$H$2:$M$368,G318,FALSE)*L318</f>
        <v>#N/A</v>
      </c>
      <c r="K318" s="106" t="e">
        <f>HLOOKUP($H$4,'Met Data'!$O$2:$T$368,G318,FALSE)</f>
        <v>#N/A</v>
      </c>
      <c r="L318">
        <f t="shared" ca="1" si="40"/>
        <v>1</v>
      </c>
      <c r="N318" t="e">
        <f t="shared" ca="1" si="45"/>
        <v>#NAME?</v>
      </c>
      <c r="O318" t="e">
        <f t="shared" ca="1" si="41"/>
        <v>#NAME?</v>
      </c>
      <c r="P318" s="2" t="e">
        <f ca="1"/>
        <v>#NAME?</v>
      </c>
      <c r="Q318" t="e">
        <f ca="1"/>
        <v>#NAME?</v>
      </c>
      <c r="R318" t="e">
        <f ca="1"/>
        <v>#NAME?</v>
      </c>
      <c r="S318" t="e">
        <f ca="1"/>
        <v>#NAME?</v>
      </c>
      <c r="T318" t="e">
        <f ca="1"/>
        <v>#NAME?</v>
      </c>
      <c r="U318" t="e">
        <f ca="1"/>
        <v>#NAME?</v>
      </c>
      <c r="V318" t="e">
        <f ca="1"/>
        <v>#NAME?</v>
      </c>
      <c r="W318" t="e">
        <f ca="1"/>
        <v>#NAME?</v>
      </c>
      <c r="X318" t="e">
        <f ca="1"/>
        <v>#NAME?</v>
      </c>
      <c r="Y318" t="e">
        <f ca="1"/>
        <v>#NAME?</v>
      </c>
      <c r="Z318" t="e">
        <f ca="1"/>
        <v>#NAME?</v>
      </c>
      <c r="AA318" t="e">
        <f ca="1"/>
        <v>#NAME?</v>
      </c>
      <c r="AB318" t="e">
        <f ca="1"/>
        <v>#NAME?</v>
      </c>
      <c r="AD318" s="2">
        <f t="shared" ca="1" si="42"/>
        <v>0</v>
      </c>
      <c r="AE318" s="46">
        <f t="shared" ca="1" si="43"/>
        <v>0</v>
      </c>
      <c r="AG318" s="72" t="e">
        <f t="shared" ca="1" si="47"/>
        <v>#NAME?</v>
      </c>
      <c r="AH318" s="72" t="e">
        <f t="shared" ca="1" si="48"/>
        <v>#NAME?</v>
      </c>
      <c r="AI318" s="3" t="e">
        <f t="shared" ca="1" si="49"/>
        <v>#NAME?</v>
      </c>
    </row>
    <row r="319" spans="7:35" x14ac:dyDescent="0.25">
      <c r="G319" s="3">
        <f t="shared" ca="1" si="44"/>
        <v>300</v>
      </c>
      <c r="H319" s="105">
        <f t="shared" ca="1" si="46"/>
        <v>45225</v>
      </c>
      <c r="I319" s="132" t="e">
        <f>HLOOKUP($H$4,'Met Data'!$A$2:$F$368,G319,FALSE)</f>
        <v>#N/A</v>
      </c>
      <c r="J319" s="132" t="e">
        <f ca="1">HLOOKUP($H$4,'Met Data'!$H$2:$M$368,G319,FALSE)*L319</f>
        <v>#N/A</v>
      </c>
      <c r="K319" s="106" t="e">
        <f>HLOOKUP($H$4,'Met Data'!$O$2:$T$368,G319,FALSE)</f>
        <v>#N/A</v>
      </c>
      <c r="L319">
        <f t="shared" ca="1" si="40"/>
        <v>1</v>
      </c>
      <c r="N319" t="e">
        <f t="shared" ca="1" si="45"/>
        <v>#NAME?</v>
      </c>
      <c r="O319" t="e">
        <f t="shared" ca="1" si="41"/>
        <v>#NAME?</v>
      </c>
      <c r="P319" s="2" t="e">
        <f ca="1"/>
        <v>#NAME?</v>
      </c>
      <c r="Q319" t="e">
        <f ca="1"/>
        <v>#NAME?</v>
      </c>
      <c r="R319" t="e">
        <f ca="1"/>
        <v>#NAME?</v>
      </c>
      <c r="S319" t="e">
        <f ca="1"/>
        <v>#NAME?</v>
      </c>
      <c r="T319" t="e">
        <f ca="1"/>
        <v>#NAME?</v>
      </c>
      <c r="U319" t="e">
        <f ca="1"/>
        <v>#NAME?</v>
      </c>
      <c r="V319" t="e">
        <f ca="1"/>
        <v>#NAME?</v>
      </c>
      <c r="W319" t="e">
        <f ca="1"/>
        <v>#NAME?</v>
      </c>
      <c r="X319" t="e">
        <f ca="1"/>
        <v>#NAME?</v>
      </c>
      <c r="Y319" t="e">
        <f ca="1"/>
        <v>#NAME?</v>
      </c>
      <c r="Z319" t="e">
        <f ca="1"/>
        <v>#NAME?</v>
      </c>
      <c r="AA319" t="e">
        <f ca="1"/>
        <v>#NAME?</v>
      </c>
      <c r="AB319" t="e">
        <f ca="1"/>
        <v>#NAME?</v>
      </c>
      <c r="AD319" s="2">
        <f t="shared" ca="1" si="42"/>
        <v>0</v>
      </c>
      <c r="AE319" s="46">
        <f t="shared" ca="1" si="43"/>
        <v>0</v>
      </c>
      <c r="AG319" s="72" t="e">
        <f t="shared" ca="1" si="47"/>
        <v>#NAME?</v>
      </c>
      <c r="AH319" s="72" t="e">
        <f t="shared" ca="1" si="48"/>
        <v>#NAME?</v>
      </c>
      <c r="AI319" s="3" t="e">
        <f t="shared" ca="1" si="49"/>
        <v>#NAME?</v>
      </c>
    </row>
    <row r="320" spans="7:35" x14ac:dyDescent="0.25">
      <c r="G320" s="3">
        <f t="shared" ca="1" si="44"/>
        <v>301</v>
      </c>
      <c r="H320" s="105">
        <f t="shared" ca="1" si="46"/>
        <v>45226</v>
      </c>
      <c r="I320" s="132" t="e">
        <f>HLOOKUP($H$4,'Met Data'!$A$2:$F$368,G320,FALSE)</f>
        <v>#N/A</v>
      </c>
      <c r="J320" s="132" t="e">
        <f ca="1">HLOOKUP($H$4,'Met Data'!$H$2:$M$368,G320,FALSE)*L320</f>
        <v>#N/A</v>
      </c>
      <c r="K320" s="106" t="e">
        <f>HLOOKUP($H$4,'Met Data'!$O$2:$T$368,G320,FALSE)</f>
        <v>#N/A</v>
      </c>
      <c r="L320">
        <f t="shared" ca="1" si="40"/>
        <v>1</v>
      </c>
      <c r="N320" t="e">
        <f t="shared" ca="1" si="45"/>
        <v>#NAME?</v>
      </c>
      <c r="O320" t="e">
        <f t="shared" ca="1" si="41"/>
        <v>#NAME?</v>
      </c>
      <c r="P320" s="2" t="e">
        <f ca="1"/>
        <v>#NAME?</v>
      </c>
      <c r="Q320" t="e">
        <f ca="1"/>
        <v>#NAME?</v>
      </c>
      <c r="R320" t="e">
        <f ca="1"/>
        <v>#NAME?</v>
      </c>
      <c r="S320" t="e">
        <f ca="1"/>
        <v>#NAME?</v>
      </c>
      <c r="T320" t="e">
        <f ca="1"/>
        <v>#NAME?</v>
      </c>
      <c r="U320" t="e">
        <f ca="1"/>
        <v>#NAME?</v>
      </c>
      <c r="V320" t="e">
        <f ca="1"/>
        <v>#NAME?</v>
      </c>
      <c r="W320" t="e">
        <f ca="1"/>
        <v>#NAME?</v>
      </c>
      <c r="X320" t="e">
        <f ca="1"/>
        <v>#NAME?</v>
      </c>
      <c r="Y320" t="e">
        <f ca="1"/>
        <v>#NAME?</v>
      </c>
      <c r="Z320" t="e">
        <f ca="1"/>
        <v>#NAME?</v>
      </c>
      <c r="AA320" t="e">
        <f ca="1"/>
        <v>#NAME?</v>
      </c>
      <c r="AB320" t="e">
        <f ca="1"/>
        <v>#NAME?</v>
      </c>
      <c r="AD320" s="2">
        <f t="shared" ca="1" si="42"/>
        <v>0</v>
      </c>
      <c r="AE320" s="46">
        <f t="shared" ca="1" si="43"/>
        <v>0</v>
      </c>
      <c r="AG320" s="72" t="e">
        <f t="shared" ca="1" si="47"/>
        <v>#NAME?</v>
      </c>
      <c r="AH320" s="72" t="e">
        <f t="shared" ca="1" si="48"/>
        <v>#NAME?</v>
      </c>
      <c r="AI320" s="3" t="e">
        <f t="shared" ca="1" si="49"/>
        <v>#NAME?</v>
      </c>
    </row>
    <row r="321" spans="7:35" x14ac:dyDescent="0.25">
      <c r="G321" s="3">
        <f t="shared" ca="1" si="44"/>
        <v>302</v>
      </c>
      <c r="H321" s="105">
        <f t="shared" ca="1" si="46"/>
        <v>45227</v>
      </c>
      <c r="I321" s="132" t="e">
        <f>HLOOKUP($H$4,'Met Data'!$A$2:$F$368,G321,FALSE)</f>
        <v>#N/A</v>
      </c>
      <c r="J321" s="132" t="e">
        <f ca="1">HLOOKUP($H$4,'Met Data'!$H$2:$M$368,G321,FALSE)*L321</f>
        <v>#N/A</v>
      </c>
      <c r="K321" s="106" t="e">
        <f>HLOOKUP($H$4,'Met Data'!$O$2:$T$368,G321,FALSE)</f>
        <v>#N/A</v>
      </c>
      <c r="L321">
        <f t="shared" ca="1" si="40"/>
        <v>1</v>
      </c>
      <c r="N321" t="e">
        <f t="shared" ca="1" si="45"/>
        <v>#NAME?</v>
      </c>
      <c r="O321" t="e">
        <f t="shared" ca="1" si="41"/>
        <v>#NAME?</v>
      </c>
      <c r="P321" s="2" t="e">
        <f ca="1"/>
        <v>#NAME?</v>
      </c>
      <c r="Q321" t="e">
        <f ca="1"/>
        <v>#NAME?</v>
      </c>
      <c r="R321" t="e">
        <f ca="1"/>
        <v>#NAME?</v>
      </c>
      <c r="S321" t="e">
        <f ca="1"/>
        <v>#NAME?</v>
      </c>
      <c r="T321" t="e">
        <f ca="1"/>
        <v>#NAME?</v>
      </c>
      <c r="U321" t="e">
        <f ca="1"/>
        <v>#NAME?</v>
      </c>
      <c r="V321" t="e">
        <f ca="1"/>
        <v>#NAME?</v>
      </c>
      <c r="W321" t="e">
        <f ca="1"/>
        <v>#NAME?</v>
      </c>
      <c r="X321" t="e">
        <f ca="1"/>
        <v>#NAME?</v>
      </c>
      <c r="Y321" t="e">
        <f ca="1"/>
        <v>#NAME?</v>
      </c>
      <c r="Z321" t="e">
        <f ca="1"/>
        <v>#NAME?</v>
      </c>
      <c r="AA321" t="e">
        <f ca="1"/>
        <v>#NAME?</v>
      </c>
      <c r="AB321" t="e">
        <f ca="1"/>
        <v>#NAME?</v>
      </c>
      <c r="AD321" s="2">
        <f t="shared" ca="1" si="42"/>
        <v>0</v>
      </c>
      <c r="AE321" s="46">
        <f t="shared" ca="1" si="43"/>
        <v>0</v>
      </c>
      <c r="AG321" s="72" t="e">
        <f t="shared" ca="1" si="47"/>
        <v>#NAME?</v>
      </c>
      <c r="AH321" s="72" t="e">
        <f t="shared" ca="1" si="48"/>
        <v>#NAME?</v>
      </c>
      <c r="AI321" s="3" t="e">
        <f t="shared" ca="1" si="49"/>
        <v>#NAME?</v>
      </c>
    </row>
    <row r="322" spans="7:35" x14ac:dyDescent="0.25">
      <c r="G322" s="3">
        <f t="shared" ca="1" si="44"/>
        <v>303</v>
      </c>
      <c r="H322" s="105">
        <f t="shared" ca="1" si="46"/>
        <v>45228</v>
      </c>
      <c r="I322" s="132" t="e">
        <f>HLOOKUP($H$4,'Met Data'!$A$2:$F$368,G322,FALSE)</f>
        <v>#N/A</v>
      </c>
      <c r="J322" s="132" t="e">
        <f ca="1">HLOOKUP($H$4,'Met Data'!$H$2:$M$368,G322,FALSE)*L322</f>
        <v>#N/A</v>
      </c>
      <c r="K322" s="106" t="e">
        <f>HLOOKUP($H$4,'Met Data'!$O$2:$T$368,G322,FALSE)</f>
        <v>#N/A</v>
      </c>
      <c r="L322">
        <f t="shared" ca="1" si="40"/>
        <v>1</v>
      </c>
      <c r="N322" t="e">
        <f t="shared" ca="1" si="45"/>
        <v>#NAME?</v>
      </c>
      <c r="O322" t="e">
        <f t="shared" ca="1" si="41"/>
        <v>#NAME?</v>
      </c>
      <c r="P322" s="2" t="e">
        <f ca="1"/>
        <v>#NAME?</v>
      </c>
      <c r="Q322" t="e">
        <f ca="1"/>
        <v>#NAME?</v>
      </c>
      <c r="R322" t="e">
        <f ca="1"/>
        <v>#NAME?</v>
      </c>
      <c r="S322" t="e">
        <f ca="1"/>
        <v>#NAME?</v>
      </c>
      <c r="T322" t="e">
        <f ca="1"/>
        <v>#NAME?</v>
      </c>
      <c r="U322" t="e">
        <f ca="1"/>
        <v>#NAME?</v>
      </c>
      <c r="V322" t="e">
        <f ca="1"/>
        <v>#NAME?</v>
      </c>
      <c r="W322" t="e">
        <f ca="1"/>
        <v>#NAME?</v>
      </c>
      <c r="X322" t="e">
        <f ca="1"/>
        <v>#NAME?</v>
      </c>
      <c r="Y322" t="e">
        <f ca="1"/>
        <v>#NAME?</v>
      </c>
      <c r="Z322" t="e">
        <f ca="1"/>
        <v>#NAME?</v>
      </c>
      <c r="AA322" t="e">
        <f ca="1"/>
        <v>#NAME?</v>
      </c>
      <c r="AB322" t="e">
        <f ca="1"/>
        <v>#NAME?</v>
      </c>
      <c r="AD322" s="2">
        <f t="shared" ca="1" si="42"/>
        <v>0</v>
      </c>
      <c r="AE322" s="46">
        <f t="shared" ca="1" si="43"/>
        <v>0</v>
      </c>
      <c r="AG322" s="72" t="e">
        <f t="shared" ca="1" si="47"/>
        <v>#NAME?</v>
      </c>
      <c r="AH322" s="72" t="e">
        <f t="shared" ca="1" si="48"/>
        <v>#NAME?</v>
      </c>
      <c r="AI322" s="3" t="e">
        <f t="shared" ca="1" si="49"/>
        <v>#NAME?</v>
      </c>
    </row>
    <row r="323" spans="7:35" x14ac:dyDescent="0.25">
      <c r="G323" s="3">
        <f t="shared" ca="1" si="44"/>
        <v>304</v>
      </c>
      <c r="H323" s="105">
        <f t="shared" ca="1" si="46"/>
        <v>45229</v>
      </c>
      <c r="I323" s="132" t="e">
        <f>HLOOKUP($H$4,'Met Data'!$A$2:$F$368,G323,FALSE)</f>
        <v>#N/A</v>
      </c>
      <c r="J323" s="132" t="e">
        <f ca="1">HLOOKUP($H$4,'Met Data'!$H$2:$M$368,G323,FALSE)*L323</f>
        <v>#N/A</v>
      </c>
      <c r="K323" s="106" t="e">
        <f>HLOOKUP($H$4,'Met Data'!$O$2:$T$368,G323,FALSE)</f>
        <v>#N/A</v>
      </c>
      <c r="L323">
        <f t="shared" ca="1" si="40"/>
        <v>1</v>
      </c>
      <c r="N323" t="e">
        <f t="shared" ca="1" si="45"/>
        <v>#NAME?</v>
      </c>
      <c r="O323" t="e">
        <f t="shared" ca="1" si="41"/>
        <v>#NAME?</v>
      </c>
      <c r="P323" s="2" t="e">
        <f ca="1"/>
        <v>#NAME?</v>
      </c>
      <c r="Q323" t="e">
        <f ca="1"/>
        <v>#NAME?</v>
      </c>
      <c r="R323" t="e">
        <f ca="1"/>
        <v>#NAME?</v>
      </c>
      <c r="S323" t="e">
        <f ca="1"/>
        <v>#NAME?</v>
      </c>
      <c r="T323" t="e">
        <f ca="1"/>
        <v>#NAME?</v>
      </c>
      <c r="U323" t="e">
        <f ca="1"/>
        <v>#NAME?</v>
      </c>
      <c r="V323" t="e">
        <f ca="1"/>
        <v>#NAME?</v>
      </c>
      <c r="W323" t="e">
        <f ca="1"/>
        <v>#NAME?</v>
      </c>
      <c r="X323" t="e">
        <f ca="1"/>
        <v>#NAME?</v>
      </c>
      <c r="Y323" t="e">
        <f ca="1"/>
        <v>#NAME?</v>
      </c>
      <c r="Z323" t="e">
        <f ca="1"/>
        <v>#NAME?</v>
      </c>
      <c r="AA323" t="e">
        <f ca="1"/>
        <v>#NAME?</v>
      </c>
      <c r="AB323" t="e">
        <f ca="1"/>
        <v>#NAME?</v>
      </c>
      <c r="AD323" s="2">
        <f t="shared" ca="1" si="42"/>
        <v>0</v>
      </c>
      <c r="AE323" s="46">
        <f t="shared" ca="1" si="43"/>
        <v>0</v>
      </c>
      <c r="AG323" s="72" t="e">
        <f t="shared" ca="1" si="47"/>
        <v>#NAME?</v>
      </c>
      <c r="AH323" s="72" t="e">
        <f t="shared" ca="1" si="48"/>
        <v>#NAME?</v>
      </c>
      <c r="AI323" s="3" t="e">
        <f t="shared" ca="1" si="49"/>
        <v>#NAME?</v>
      </c>
    </row>
    <row r="324" spans="7:35" x14ac:dyDescent="0.25">
      <c r="G324" s="3">
        <f t="shared" ca="1" si="44"/>
        <v>305</v>
      </c>
      <c r="H324" s="105">
        <f t="shared" ca="1" si="46"/>
        <v>45230</v>
      </c>
      <c r="I324" s="132" t="e">
        <f>HLOOKUP($H$4,'Met Data'!$A$2:$F$368,G324,FALSE)</f>
        <v>#N/A</v>
      </c>
      <c r="J324" s="132" t="e">
        <f ca="1">HLOOKUP($H$4,'Met Data'!$H$2:$M$368,G324,FALSE)*L324</f>
        <v>#N/A</v>
      </c>
      <c r="K324" s="106" t="e">
        <f>HLOOKUP($H$4,'Met Data'!$O$2:$T$368,G324,FALSE)</f>
        <v>#N/A</v>
      </c>
      <c r="L324">
        <f t="shared" ca="1" si="40"/>
        <v>1</v>
      </c>
      <c r="N324" t="e">
        <f t="shared" ca="1" si="45"/>
        <v>#NAME?</v>
      </c>
      <c r="O324" t="e">
        <f t="shared" ca="1" si="41"/>
        <v>#NAME?</v>
      </c>
      <c r="P324" s="2" t="e">
        <f ca="1"/>
        <v>#NAME?</v>
      </c>
      <c r="Q324" t="e">
        <f ca="1"/>
        <v>#NAME?</v>
      </c>
      <c r="R324" t="e">
        <f ca="1"/>
        <v>#NAME?</v>
      </c>
      <c r="S324" t="e">
        <f ca="1"/>
        <v>#NAME?</v>
      </c>
      <c r="T324" t="e">
        <f ca="1"/>
        <v>#NAME?</v>
      </c>
      <c r="U324" t="e">
        <f ca="1"/>
        <v>#NAME?</v>
      </c>
      <c r="V324" t="e">
        <f ca="1"/>
        <v>#NAME?</v>
      </c>
      <c r="W324" t="e">
        <f ca="1"/>
        <v>#NAME?</v>
      </c>
      <c r="X324" t="e">
        <f ca="1"/>
        <v>#NAME?</v>
      </c>
      <c r="Y324" t="e">
        <f ca="1"/>
        <v>#NAME?</v>
      </c>
      <c r="Z324" t="e">
        <f ca="1"/>
        <v>#NAME?</v>
      </c>
      <c r="AA324" t="e">
        <f ca="1"/>
        <v>#NAME?</v>
      </c>
      <c r="AB324" t="e">
        <f ca="1"/>
        <v>#NAME?</v>
      </c>
      <c r="AD324" s="2">
        <f t="shared" ca="1" si="42"/>
        <v>0</v>
      </c>
      <c r="AE324" s="46">
        <f t="shared" ca="1" si="43"/>
        <v>0</v>
      </c>
      <c r="AG324" s="72" t="e">
        <f t="shared" ca="1" si="47"/>
        <v>#NAME?</v>
      </c>
      <c r="AH324" s="72" t="e">
        <f t="shared" ca="1" si="48"/>
        <v>#NAME?</v>
      </c>
      <c r="AI324" s="3" t="e">
        <f t="shared" ca="1" si="49"/>
        <v>#NAME?</v>
      </c>
    </row>
    <row r="325" spans="7:35" x14ac:dyDescent="0.25">
      <c r="G325" s="3">
        <f t="shared" ca="1" si="44"/>
        <v>306</v>
      </c>
      <c r="H325" s="105">
        <f t="shared" ca="1" si="46"/>
        <v>45231</v>
      </c>
      <c r="I325" s="132" t="e">
        <f>HLOOKUP($H$4,'Met Data'!$A$2:$F$368,G325,FALSE)</f>
        <v>#N/A</v>
      </c>
      <c r="J325" s="132" t="e">
        <f ca="1">HLOOKUP($H$4,'Met Data'!$H$2:$M$368,G325,FALSE)*L325</f>
        <v>#N/A</v>
      </c>
      <c r="K325" s="106" t="e">
        <f>HLOOKUP($H$4,'Met Data'!$O$2:$T$368,G325,FALSE)</f>
        <v>#N/A</v>
      </c>
      <c r="L325">
        <f t="shared" ca="1" si="40"/>
        <v>1</v>
      </c>
      <c r="N325" t="e">
        <f t="shared" ca="1" si="45"/>
        <v>#NAME?</v>
      </c>
      <c r="O325" t="e">
        <f t="shared" ca="1" si="41"/>
        <v>#NAME?</v>
      </c>
      <c r="P325" s="2" t="e">
        <f ca="1"/>
        <v>#NAME?</v>
      </c>
      <c r="Q325" t="e">
        <f ca="1"/>
        <v>#NAME?</v>
      </c>
      <c r="R325" t="e">
        <f ca="1"/>
        <v>#NAME?</v>
      </c>
      <c r="S325" t="e">
        <f ca="1"/>
        <v>#NAME?</v>
      </c>
      <c r="T325" t="e">
        <f ca="1"/>
        <v>#NAME?</v>
      </c>
      <c r="U325" t="e">
        <f ca="1"/>
        <v>#NAME?</v>
      </c>
      <c r="V325" t="e">
        <f ca="1"/>
        <v>#NAME?</v>
      </c>
      <c r="W325" t="e">
        <f ca="1"/>
        <v>#NAME?</v>
      </c>
      <c r="X325" t="e">
        <f ca="1"/>
        <v>#NAME?</v>
      </c>
      <c r="Y325" t="e">
        <f ca="1"/>
        <v>#NAME?</v>
      </c>
      <c r="Z325" t="e">
        <f ca="1"/>
        <v>#NAME?</v>
      </c>
      <c r="AA325" t="e">
        <f ca="1"/>
        <v>#NAME?</v>
      </c>
      <c r="AB325" t="e">
        <f ca="1"/>
        <v>#NAME?</v>
      </c>
      <c r="AD325" s="2">
        <f t="shared" ca="1" si="42"/>
        <v>0</v>
      </c>
      <c r="AE325" s="46">
        <f t="shared" ca="1" si="43"/>
        <v>0</v>
      </c>
      <c r="AG325" s="72" t="e">
        <f t="shared" ca="1" si="47"/>
        <v>#NAME?</v>
      </c>
      <c r="AH325" s="72" t="e">
        <f t="shared" ca="1" si="48"/>
        <v>#NAME?</v>
      </c>
      <c r="AI325" s="3" t="e">
        <f t="shared" ca="1" si="49"/>
        <v>#NAME?</v>
      </c>
    </row>
    <row r="326" spans="7:35" x14ac:dyDescent="0.25">
      <c r="G326" s="3">
        <f t="shared" ca="1" si="44"/>
        <v>307</v>
      </c>
      <c r="H326" s="105">
        <f t="shared" ca="1" si="46"/>
        <v>45232</v>
      </c>
      <c r="I326" s="132" t="e">
        <f>HLOOKUP($H$4,'Met Data'!$A$2:$F$368,G326,FALSE)</f>
        <v>#N/A</v>
      </c>
      <c r="J326" s="132" t="e">
        <f ca="1">HLOOKUP($H$4,'Met Data'!$H$2:$M$368,G326,FALSE)*L326</f>
        <v>#N/A</v>
      </c>
      <c r="K326" s="106" t="e">
        <f>HLOOKUP($H$4,'Met Data'!$O$2:$T$368,G326,FALSE)</f>
        <v>#N/A</v>
      </c>
      <c r="L326">
        <f t="shared" ref="L326:L389" ca="1" si="50">IF(H326&lt;$B$31,$J$3,$J$4)</f>
        <v>1</v>
      </c>
      <c r="N326" t="e">
        <f t="shared" ca="1" si="45"/>
        <v>#NAME?</v>
      </c>
      <c r="O326" t="e">
        <f t="shared" ref="O326:O389" ca="1" si="51">AND(IF(P326&gt;($P$2-1),TRUE,FALSE),IF(P326&lt;($P$3+1),TRUE,FALSE))</f>
        <v>#NAME?</v>
      </c>
      <c r="P326" s="2" t="e">
        <f ca="1"/>
        <v>#NAME?</v>
      </c>
      <c r="Q326" t="e">
        <f ca="1"/>
        <v>#NAME?</v>
      </c>
      <c r="R326" t="e">
        <f ca="1"/>
        <v>#NAME?</v>
      </c>
      <c r="S326" t="e">
        <f ca="1"/>
        <v>#NAME?</v>
      </c>
      <c r="T326" t="e">
        <f ca="1"/>
        <v>#NAME?</v>
      </c>
      <c r="U326" t="e">
        <f ca="1"/>
        <v>#NAME?</v>
      </c>
      <c r="V326" t="e">
        <f ca="1"/>
        <v>#NAME?</v>
      </c>
      <c r="W326" t="e">
        <f ca="1"/>
        <v>#NAME?</v>
      </c>
      <c r="X326" t="e">
        <f ca="1"/>
        <v>#NAME?</v>
      </c>
      <c r="Y326" t="e">
        <f ca="1"/>
        <v>#NAME?</v>
      </c>
      <c r="Z326" t="e">
        <f ca="1"/>
        <v>#NAME?</v>
      </c>
      <c r="AA326" t="e">
        <f ca="1"/>
        <v>#NAME?</v>
      </c>
      <c r="AB326" t="e">
        <f ca="1"/>
        <v>#NAME?</v>
      </c>
      <c r="AD326" s="2">
        <f t="shared" ref="AD326:AD389" ca="1" si="52">IFERROR(P326,$AD$4)</f>
        <v>0</v>
      </c>
      <c r="AE326" s="46">
        <f t="shared" ref="AE326:AE389" ca="1" si="53">IFERROR(U326,0)</f>
        <v>0</v>
      </c>
      <c r="AG326" s="72" t="e">
        <f t="shared" ca="1" si="47"/>
        <v>#NAME?</v>
      </c>
      <c r="AH326" s="72" t="e">
        <f t="shared" ca="1" si="48"/>
        <v>#NAME?</v>
      </c>
      <c r="AI326" s="3" t="e">
        <f t="shared" ca="1" si="49"/>
        <v>#NAME?</v>
      </c>
    </row>
    <row r="327" spans="7:35" x14ac:dyDescent="0.25">
      <c r="G327" s="3">
        <f t="shared" ref="G327:G390" ca="1" si="54">H327-DATE(YEAR(H327),1,0)+1</f>
        <v>308</v>
      </c>
      <c r="H327" s="105">
        <f t="shared" ca="1" si="46"/>
        <v>45233</v>
      </c>
      <c r="I327" s="132" t="e">
        <f>HLOOKUP($H$4,'Met Data'!$A$2:$F$368,G327,FALSE)</f>
        <v>#N/A</v>
      </c>
      <c r="J327" s="132" t="e">
        <f ca="1">HLOOKUP($H$4,'Met Data'!$H$2:$M$368,G327,FALSE)*L327</f>
        <v>#N/A</v>
      </c>
      <c r="K327" s="106" t="e">
        <f>HLOOKUP($H$4,'Met Data'!$O$2:$T$368,G327,FALSE)</f>
        <v>#N/A</v>
      </c>
      <c r="L327">
        <f t="shared" ca="1" si="50"/>
        <v>1</v>
      </c>
      <c r="N327" t="e">
        <f t="shared" ref="N327:N390" ca="1" si="55">IF(P327&lt;$P$3,TRUE,FALSE)</f>
        <v>#NAME?</v>
      </c>
      <c r="O327" t="e">
        <f t="shared" ca="1" si="51"/>
        <v>#NAME?</v>
      </c>
      <c r="P327" s="2" t="e">
        <f ca="1"/>
        <v>#NAME?</v>
      </c>
      <c r="Q327" t="e">
        <f ca="1"/>
        <v>#NAME?</v>
      </c>
      <c r="R327" t="e">
        <f ca="1"/>
        <v>#NAME?</v>
      </c>
      <c r="S327" t="e">
        <f ca="1"/>
        <v>#NAME?</v>
      </c>
      <c r="T327" t="e">
        <f ca="1"/>
        <v>#NAME?</v>
      </c>
      <c r="U327" t="e">
        <f ca="1"/>
        <v>#NAME?</v>
      </c>
      <c r="V327" t="e">
        <f ca="1"/>
        <v>#NAME?</v>
      </c>
      <c r="W327" t="e">
        <f ca="1"/>
        <v>#NAME?</v>
      </c>
      <c r="X327" t="e">
        <f ca="1"/>
        <v>#NAME?</v>
      </c>
      <c r="Y327" t="e">
        <f ca="1"/>
        <v>#NAME?</v>
      </c>
      <c r="Z327" t="e">
        <f ca="1"/>
        <v>#NAME?</v>
      </c>
      <c r="AA327" t="e">
        <f ca="1"/>
        <v>#NAME?</v>
      </c>
      <c r="AB327" t="e">
        <f ca="1"/>
        <v>#NAME?</v>
      </c>
      <c r="AD327" s="2">
        <f t="shared" ca="1" si="52"/>
        <v>0</v>
      </c>
      <c r="AE327" s="46">
        <f t="shared" ca="1" si="53"/>
        <v>0</v>
      </c>
      <c r="AG327" s="72" t="e">
        <f t="shared" ca="1" si="47"/>
        <v>#NAME?</v>
      </c>
      <c r="AH327" s="72" t="e">
        <f t="shared" ca="1" si="48"/>
        <v>#NAME?</v>
      </c>
      <c r="AI327" s="3" t="e">
        <f t="shared" ca="1" si="49"/>
        <v>#NAME?</v>
      </c>
    </row>
    <row r="328" spans="7:35" x14ac:dyDescent="0.25">
      <c r="G328" s="3">
        <f t="shared" ca="1" si="54"/>
        <v>309</v>
      </c>
      <c r="H328" s="105">
        <f t="shared" ref="H328:H391" ca="1" si="56">H327+1</f>
        <v>45234</v>
      </c>
      <c r="I328" s="132" t="e">
        <f>HLOOKUP($H$4,'Met Data'!$A$2:$F$368,G328,FALSE)</f>
        <v>#N/A</v>
      </c>
      <c r="J328" s="132" t="e">
        <f ca="1">HLOOKUP($H$4,'Met Data'!$H$2:$M$368,G328,FALSE)*L328</f>
        <v>#N/A</v>
      </c>
      <c r="K328" s="106" t="e">
        <f>HLOOKUP($H$4,'Met Data'!$O$2:$T$368,G328,FALSE)</f>
        <v>#N/A</v>
      </c>
      <c r="L328">
        <f t="shared" ca="1" si="50"/>
        <v>1</v>
      </c>
      <c r="N328" t="e">
        <f t="shared" ca="1" si="55"/>
        <v>#NAME?</v>
      </c>
      <c r="O328" t="e">
        <f t="shared" ca="1" si="51"/>
        <v>#NAME?</v>
      </c>
      <c r="P328" s="2" t="e">
        <f ca="1"/>
        <v>#NAME?</v>
      </c>
      <c r="Q328" t="e">
        <f ca="1"/>
        <v>#NAME?</v>
      </c>
      <c r="R328" t="e">
        <f ca="1"/>
        <v>#NAME?</v>
      </c>
      <c r="S328" t="e">
        <f ca="1"/>
        <v>#NAME?</v>
      </c>
      <c r="T328" t="e">
        <f ca="1"/>
        <v>#NAME?</v>
      </c>
      <c r="U328" t="e">
        <f ca="1"/>
        <v>#NAME?</v>
      </c>
      <c r="V328" t="e">
        <f ca="1"/>
        <v>#NAME?</v>
      </c>
      <c r="W328" t="e">
        <f ca="1"/>
        <v>#NAME?</v>
      </c>
      <c r="X328" t="e">
        <f ca="1"/>
        <v>#NAME?</v>
      </c>
      <c r="Y328" t="e">
        <f ca="1"/>
        <v>#NAME?</v>
      </c>
      <c r="Z328" t="e">
        <f ca="1"/>
        <v>#NAME?</v>
      </c>
      <c r="AA328" t="e">
        <f ca="1"/>
        <v>#NAME?</v>
      </c>
      <c r="AB328" t="e">
        <f ca="1"/>
        <v>#NAME?</v>
      </c>
      <c r="AD328" s="2">
        <f t="shared" ca="1" si="52"/>
        <v>0</v>
      </c>
      <c r="AE328" s="46">
        <f t="shared" ca="1" si="53"/>
        <v>0</v>
      </c>
      <c r="AG328" s="72" t="e">
        <f t="shared" ca="1" si="47"/>
        <v>#NAME?</v>
      </c>
      <c r="AH328" s="72" t="e">
        <f t="shared" ca="1" si="48"/>
        <v>#NAME?</v>
      </c>
      <c r="AI328" s="3" t="e">
        <f t="shared" ca="1" si="49"/>
        <v>#NAME?</v>
      </c>
    </row>
    <row r="329" spans="7:35" x14ac:dyDescent="0.25">
      <c r="G329" s="3">
        <f t="shared" ca="1" si="54"/>
        <v>310</v>
      </c>
      <c r="H329" s="105">
        <f t="shared" ca="1" si="56"/>
        <v>45235</v>
      </c>
      <c r="I329" s="132" t="e">
        <f>HLOOKUP($H$4,'Met Data'!$A$2:$F$368,G329,FALSE)</f>
        <v>#N/A</v>
      </c>
      <c r="J329" s="132" t="e">
        <f ca="1">HLOOKUP($H$4,'Met Data'!$H$2:$M$368,G329,FALSE)*L329</f>
        <v>#N/A</v>
      </c>
      <c r="K329" s="106" t="e">
        <f>HLOOKUP($H$4,'Met Data'!$O$2:$T$368,G329,FALSE)</f>
        <v>#N/A</v>
      </c>
      <c r="L329">
        <f t="shared" ca="1" si="50"/>
        <v>1</v>
      </c>
      <c r="N329" t="e">
        <f t="shared" ca="1" si="55"/>
        <v>#NAME?</v>
      </c>
      <c r="O329" t="e">
        <f t="shared" ca="1" si="51"/>
        <v>#NAME?</v>
      </c>
      <c r="P329" s="2" t="e">
        <f ca="1"/>
        <v>#NAME?</v>
      </c>
      <c r="Q329" t="e">
        <f ca="1"/>
        <v>#NAME?</v>
      </c>
      <c r="R329" t="e">
        <f ca="1"/>
        <v>#NAME?</v>
      </c>
      <c r="S329" t="e">
        <f ca="1"/>
        <v>#NAME?</v>
      </c>
      <c r="T329" t="e">
        <f ca="1"/>
        <v>#NAME?</v>
      </c>
      <c r="U329" t="e">
        <f ca="1"/>
        <v>#NAME?</v>
      </c>
      <c r="V329" t="e">
        <f ca="1"/>
        <v>#NAME?</v>
      </c>
      <c r="W329" t="e">
        <f ca="1"/>
        <v>#NAME?</v>
      </c>
      <c r="X329" t="e">
        <f ca="1"/>
        <v>#NAME?</v>
      </c>
      <c r="Y329" t="e">
        <f ca="1"/>
        <v>#NAME?</v>
      </c>
      <c r="Z329" t="e">
        <f ca="1"/>
        <v>#NAME?</v>
      </c>
      <c r="AA329" t="e">
        <f ca="1"/>
        <v>#NAME?</v>
      </c>
      <c r="AB329" t="e">
        <f ca="1"/>
        <v>#NAME?</v>
      </c>
      <c r="AD329" s="2">
        <f t="shared" ca="1" si="52"/>
        <v>0</v>
      </c>
      <c r="AE329" s="46">
        <f t="shared" ca="1" si="53"/>
        <v>0</v>
      </c>
      <c r="AG329" s="72" t="e">
        <f t="shared" ca="1" si="47"/>
        <v>#NAME?</v>
      </c>
      <c r="AH329" s="72" t="e">
        <f t="shared" ca="1" si="48"/>
        <v>#NAME?</v>
      </c>
      <c r="AI329" s="3" t="e">
        <f t="shared" ca="1" si="49"/>
        <v>#NAME?</v>
      </c>
    </row>
    <row r="330" spans="7:35" x14ac:dyDescent="0.25">
      <c r="G330" s="3">
        <f t="shared" ca="1" si="54"/>
        <v>311</v>
      </c>
      <c r="H330" s="105">
        <f t="shared" ca="1" si="56"/>
        <v>45236</v>
      </c>
      <c r="I330" s="132" t="e">
        <f>HLOOKUP($H$4,'Met Data'!$A$2:$F$368,G330,FALSE)</f>
        <v>#N/A</v>
      </c>
      <c r="J330" s="132" t="e">
        <f ca="1">HLOOKUP($H$4,'Met Data'!$H$2:$M$368,G330,FALSE)*L330</f>
        <v>#N/A</v>
      </c>
      <c r="K330" s="106" t="e">
        <f>HLOOKUP($H$4,'Met Data'!$O$2:$T$368,G330,FALSE)</f>
        <v>#N/A</v>
      </c>
      <c r="L330">
        <f t="shared" ca="1" si="50"/>
        <v>1</v>
      </c>
      <c r="N330" t="e">
        <f t="shared" ca="1" si="55"/>
        <v>#NAME?</v>
      </c>
      <c r="O330" t="e">
        <f t="shared" ca="1" si="51"/>
        <v>#NAME?</v>
      </c>
      <c r="P330" s="2" t="e">
        <f ca="1"/>
        <v>#NAME?</v>
      </c>
      <c r="Q330" t="e">
        <f ca="1"/>
        <v>#NAME?</v>
      </c>
      <c r="R330" t="e">
        <f ca="1"/>
        <v>#NAME?</v>
      </c>
      <c r="S330" t="e">
        <f ca="1"/>
        <v>#NAME?</v>
      </c>
      <c r="T330" t="e">
        <f ca="1"/>
        <v>#NAME?</v>
      </c>
      <c r="U330" t="e">
        <f ca="1"/>
        <v>#NAME?</v>
      </c>
      <c r="V330" t="e">
        <f ca="1"/>
        <v>#NAME?</v>
      </c>
      <c r="W330" t="e">
        <f ca="1"/>
        <v>#NAME?</v>
      </c>
      <c r="X330" t="e">
        <f ca="1"/>
        <v>#NAME?</v>
      </c>
      <c r="Y330" t="e">
        <f ca="1"/>
        <v>#NAME?</v>
      </c>
      <c r="Z330" t="e">
        <f ca="1"/>
        <v>#NAME?</v>
      </c>
      <c r="AA330" t="e">
        <f ca="1"/>
        <v>#NAME?</v>
      </c>
      <c r="AB330" t="e">
        <f ca="1"/>
        <v>#NAME?</v>
      </c>
      <c r="AD330" s="2">
        <f t="shared" ca="1" si="52"/>
        <v>0</v>
      </c>
      <c r="AE330" s="46">
        <f t="shared" ca="1" si="53"/>
        <v>0</v>
      </c>
      <c r="AG330" s="72" t="e">
        <f t="shared" ca="1" si="47"/>
        <v>#NAME?</v>
      </c>
      <c r="AH330" s="72" t="e">
        <f t="shared" ca="1" si="48"/>
        <v>#NAME?</v>
      </c>
      <c r="AI330" s="3" t="e">
        <f t="shared" ca="1" si="49"/>
        <v>#NAME?</v>
      </c>
    </row>
    <row r="331" spans="7:35" x14ac:dyDescent="0.25">
      <c r="G331" s="3">
        <f t="shared" ca="1" si="54"/>
        <v>312</v>
      </c>
      <c r="H331" s="105">
        <f t="shared" ca="1" si="56"/>
        <v>45237</v>
      </c>
      <c r="I331" s="132" t="e">
        <f>HLOOKUP($H$4,'Met Data'!$A$2:$F$368,G331,FALSE)</f>
        <v>#N/A</v>
      </c>
      <c r="J331" s="132" t="e">
        <f ca="1">HLOOKUP($H$4,'Met Data'!$H$2:$M$368,G331,FALSE)*L331</f>
        <v>#N/A</v>
      </c>
      <c r="K331" s="106" t="e">
        <f>HLOOKUP($H$4,'Met Data'!$O$2:$T$368,G331,FALSE)</f>
        <v>#N/A</v>
      </c>
      <c r="L331">
        <f t="shared" ca="1" si="50"/>
        <v>1</v>
      </c>
      <c r="N331" t="e">
        <f t="shared" ca="1" si="55"/>
        <v>#NAME?</v>
      </c>
      <c r="O331" t="e">
        <f t="shared" ca="1" si="51"/>
        <v>#NAME?</v>
      </c>
      <c r="P331" s="2" t="e">
        <f ca="1"/>
        <v>#NAME?</v>
      </c>
      <c r="Q331" t="e">
        <f ca="1"/>
        <v>#NAME?</v>
      </c>
      <c r="R331" t="e">
        <f ca="1"/>
        <v>#NAME?</v>
      </c>
      <c r="S331" t="e">
        <f ca="1"/>
        <v>#NAME?</v>
      </c>
      <c r="T331" t="e">
        <f ca="1"/>
        <v>#NAME?</v>
      </c>
      <c r="U331" t="e">
        <f ca="1"/>
        <v>#NAME?</v>
      </c>
      <c r="V331" t="e">
        <f ca="1"/>
        <v>#NAME?</v>
      </c>
      <c r="W331" t="e">
        <f ca="1"/>
        <v>#NAME?</v>
      </c>
      <c r="X331" t="e">
        <f ca="1"/>
        <v>#NAME?</v>
      </c>
      <c r="Y331" t="e">
        <f ca="1"/>
        <v>#NAME?</v>
      </c>
      <c r="Z331" t="e">
        <f ca="1"/>
        <v>#NAME?</v>
      </c>
      <c r="AA331" t="e">
        <f ca="1"/>
        <v>#NAME?</v>
      </c>
      <c r="AB331" t="e">
        <f ca="1"/>
        <v>#NAME?</v>
      </c>
      <c r="AD331" s="2">
        <f t="shared" ca="1" si="52"/>
        <v>0</v>
      </c>
      <c r="AE331" s="46">
        <f t="shared" ca="1" si="53"/>
        <v>0</v>
      </c>
      <c r="AG331" s="72" t="e">
        <f t="shared" ref="AG331:AG394" ca="1" si="57">Q330+S331+T331+U331</f>
        <v>#NAME?</v>
      </c>
      <c r="AH331" s="72" t="e">
        <f t="shared" ref="AH331:AH394" ca="1" si="58">Q331+R331+X331</f>
        <v>#NAME?</v>
      </c>
      <c r="AI331" s="3" t="e">
        <f t="shared" ref="AI331:AI394" ca="1" si="59">AH331-AG331</f>
        <v>#NAME?</v>
      </c>
    </row>
    <row r="332" spans="7:35" x14ac:dyDescent="0.25">
      <c r="G332" s="3">
        <f t="shared" ca="1" si="54"/>
        <v>313</v>
      </c>
      <c r="H332" s="105">
        <f t="shared" ca="1" si="56"/>
        <v>45238</v>
      </c>
      <c r="I332" s="132" t="e">
        <f>HLOOKUP($H$4,'Met Data'!$A$2:$F$368,G332,FALSE)</f>
        <v>#N/A</v>
      </c>
      <c r="J332" s="132" t="e">
        <f ca="1">HLOOKUP($H$4,'Met Data'!$H$2:$M$368,G332,FALSE)*L332</f>
        <v>#N/A</v>
      </c>
      <c r="K332" s="106" t="e">
        <f>HLOOKUP($H$4,'Met Data'!$O$2:$T$368,G332,FALSE)</f>
        <v>#N/A</v>
      </c>
      <c r="L332">
        <f t="shared" ca="1" si="50"/>
        <v>1</v>
      </c>
      <c r="N332" t="e">
        <f t="shared" ca="1" si="55"/>
        <v>#NAME?</v>
      </c>
      <c r="O332" t="e">
        <f t="shared" ca="1" si="51"/>
        <v>#NAME?</v>
      </c>
      <c r="P332" s="2" t="e">
        <f ca="1"/>
        <v>#NAME?</v>
      </c>
      <c r="Q332" t="e">
        <f ca="1"/>
        <v>#NAME?</v>
      </c>
      <c r="R332" t="e">
        <f ca="1"/>
        <v>#NAME?</v>
      </c>
      <c r="S332" t="e">
        <f ca="1"/>
        <v>#NAME?</v>
      </c>
      <c r="T332" t="e">
        <f ca="1"/>
        <v>#NAME?</v>
      </c>
      <c r="U332" t="e">
        <f ca="1"/>
        <v>#NAME?</v>
      </c>
      <c r="V332" t="e">
        <f ca="1"/>
        <v>#NAME?</v>
      </c>
      <c r="W332" t="e">
        <f ca="1"/>
        <v>#NAME?</v>
      </c>
      <c r="X332" t="e">
        <f ca="1"/>
        <v>#NAME?</v>
      </c>
      <c r="Y332" t="e">
        <f ca="1"/>
        <v>#NAME?</v>
      </c>
      <c r="Z332" t="e">
        <f ca="1"/>
        <v>#NAME?</v>
      </c>
      <c r="AA332" t="e">
        <f ca="1"/>
        <v>#NAME?</v>
      </c>
      <c r="AB332" t="e">
        <f ca="1"/>
        <v>#NAME?</v>
      </c>
      <c r="AD332" s="2">
        <f t="shared" ca="1" si="52"/>
        <v>0</v>
      </c>
      <c r="AE332" s="46">
        <f t="shared" ca="1" si="53"/>
        <v>0</v>
      </c>
      <c r="AG332" s="72" t="e">
        <f t="shared" ca="1" si="57"/>
        <v>#NAME?</v>
      </c>
      <c r="AH332" s="72" t="e">
        <f t="shared" ca="1" si="58"/>
        <v>#NAME?</v>
      </c>
      <c r="AI332" s="3" t="e">
        <f t="shared" ca="1" si="59"/>
        <v>#NAME?</v>
      </c>
    </row>
    <row r="333" spans="7:35" x14ac:dyDescent="0.25">
      <c r="G333" s="3">
        <f t="shared" ca="1" si="54"/>
        <v>314</v>
      </c>
      <c r="H333" s="105">
        <f t="shared" ca="1" si="56"/>
        <v>45239</v>
      </c>
      <c r="I333" s="132" t="e">
        <f>HLOOKUP($H$4,'Met Data'!$A$2:$F$368,G333,FALSE)</f>
        <v>#N/A</v>
      </c>
      <c r="J333" s="132" t="e">
        <f ca="1">HLOOKUP($H$4,'Met Data'!$H$2:$M$368,G333,FALSE)*L333</f>
        <v>#N/A</v>
      </c>
      <c r="K333" s="106" t="e">
        <f>HLOOKUP($H$4,'Met Data'!$O$2:$T$368,G333,FALSE)</f>
        <v>#N/A</v>
      </c>
      <c r="L333">
        <f t="shared" ca="1" si="50"/>
        <v>1</v>
      </c>
      <c r="N333" t="e">
        <f t="shared" ca="1" si="55"/>
        <v>#NAME?</v>
      </c>
      <c r="O333" t="e">
        <f t="shared" ca="1" si="51"/>
        <v>#NAME?</v>
      </c>
      <c r="P333" s="2" t="e">
        <f ca="1"/>
        <v>#NAME?</v>
      </c>
      <c r="Q333" t="e">
        <f ca="1"/>
        <v>#NAME?</v>
      </c>
      <c r="R333" t="e">
        <f ca="1"/>
        <v>#NAME?</v>
      </c>
      <c r="S333" t="e">
        <f ca="1"/>
        <v>#NAME?</v>
      </c>
      <c r="T333" t="e">
        <f ca="1"/>
        <v>#NAME?</v>
      </c>
      <c r="U333" t="e">
        <f ca="1"/>
        <v>#NAME?</v>
      </c>
      <c r="V333" t="e">
        <f ca="1"/>
        <v>#NAME?</v>
      </c>
      <c r="W333" t="e">
        <f ca="1"/>
        <v>#NAME?</v>
      </c>
      <c r="X333" t="e">
        <f ca="1"/>
        <v>#NAME?</v>
      </c>
      <c r="Y333" t="e">
        <f ca="1"/>
        <v>#NAME?</v>
      </c>
      <c r="Z333" t="e">
        <f ca="1"/>
        <v>#NAME?</v>
      </c>
      <c r="AA333" t="e">
        <f ca="1"/>
        <v>#NAME?</v>
      </c>
      <c r="AB333" t="e">
        <f ca="1"/>
        <v>#NAME?</v>
      </c>
      <c r="AD333" s="2">
        <f t="shared" ca="1" si="52"/>
        <v>0</v>
      </c>
      <c r="AE333" s="46">
        <f t="shared" ca="1" si="53"/>
        <v>0</v>
      </c>
      <c r="AG333" s="72" t="e">
        <f t="shared" ca="1" si="57"/>
        <v>#NAME?</v>
      </c>
      <c r="AH333" s="72" t="e">
        <f t="shared" ca="1" si="58"/>
        <v>#NAME?</v>
      </c>
      <c r="AI333" s="3" t="e">
        <f t="shared" ca="1" si="59"/>
        <v>#NAME?</v>
      </c>
    </row>
    <row r="334" spans="7:35" x14ac:dyDescent="0.25">
      <c r="G334" s="3">
        <f t="shared" ca="1" si="54"/>
        <v>315</v>
      </c>
      <c r="H334" s="105">
        <f t="shared" ca="1" si="56"/>
        <v>45240</v>
      </c>
      <c r="I334" s="132" t="e">
        <f>HLOOKUP($H$4,'Met Data'!$A$2:$F$368,G334,FALSE)</f>
        <v>#N/A</v>
      </c>
      <c r="J334" s="132" t="e">
        <f ca="1">HLOOKUP($H$4,'Met Data'!$H$2:$M$368,G334,FALSE)*L334</f>
        <v>#N/A</v>
      </c>
      <c r="K334" s="106" t="e">
        <f>HLOOKUP($H$4,'Met Data'!$O$2:$T$368,G334,FALSE)</f>
        <v>#N/A</v>
      </c>
      <c r="L334">
        <f t="shared" ca="1" si="50"/>
        <v>1</v>
      </c>
      <c r="N334" t="e">
        <f t="shared" ca="1" si="55"/>
        <v>#NAME?</v>
      </c>
      <c r="O334" t="e">
        <f t="shared" ca="1" si="51"/>
        <v>#NAME?</v>
      </c>
      <c r="P334" s="2" t="e">
        <f ca="1"/>
        <v>#NAME?</v>
      </c>
      <c r="Q334" t="e">
        <f ca="1"/>
        <v>#NAME?</v>
      </c>
      <c r="R334" t="e">
        <f ca="1"/>
        <v>#NAME?</v>
      </c>
      <c r="S334" t="e">
        <f ca="1"/>
        <v>#NAME?</v>
      </c>
      <c r="T334" t="e">
        <f ca="1"/>
        <v>#NAME?</v>
      </c>
      <c r="U334" t="e">
        <f ca="1"/>
        <v>#NAME?</v>
      </c>
      <c r="V334" t="e">
        <f ca="1"/>
        <v>#NAME?</v>
      </c>
      <c r="W334" t="e">
        <f ca="1"/>
        <v>#NAME?</v>
      </c>
      <c r="X334" t="e">
        <f ca="1"/>
        <v>#NAME?</v>
      </c>
      <c r="Y334" t="e">
        <f ca="1"/>
        <v>#NAME?</v>
      </c>
      <c r="Z334" t="e">
        <f ca="1"/>
        <v>#NAME?</v>
      </c>
      <c r="AA334" t="e">
        <f ca="1"/>
        <v>#NAME?</v>
      </c>
      <c r="AB334" t="e">
        <f ca="1"/>
        <v>#NAME?</v>
      </c>
      <c r="AD334" s="2">
        <f t="shared" ca="1" si="52"/>
        <v>0</v>
      </c>
      <c r="AE334" s="46">
        <f t="shared" ca="1" si="53"/>
        <v>0</v>
      </c>
      <c r="AG334" s="72" t="e">
        <f t="shared" ca="1" si="57"/>
        <v>#NAME?</v>
      </c>
      <c r="AH334" s="72" t="e">
        <f t="shared" ca="1" si="58"/>
        <v>#NAME?</v>
      </c>
      <c r="AI334" s="3" t="e">
        <f t="shared" ca="1" si="59"/>
        <v>#NAME?</v>
      </c>
    </row>
    <row r="335" spans="7:35" x14ac:dyDescent="0.25">
      <c r="G335" s="3">
        <f t="shared" ca="1" si="54"/>
        <v>316</v>
      </c>
      <c r="H335" s="105">
        <f t="shared" ca="1" si="56"/>
        <v>45241</v>
      </c>
      <c r="I335" s="132" t="e">
        <f>HLOOKUP($H$4,'Met Data'!$A$2:$F$368,G335,FALSE)</f>
        <v>#N/A</v>
      </c>
      <c r="J335" s="132" t="e">
        <f ca="1">HLOOKUP($H$4,'Met Data'!$H$2:$M$368,G335,FALSE)*L335</f>
        <v>#N/A</v>
      </c>
      <c r="K335" s="106" t="e">
        <f>HLOOKUP($H$4,'Met Data'!$O$2:$T$368,G335,FALSE)</f>
        <v>#N/A</v>
      </c>
      <c r="L335">
        <f t="shared" ca="1" si="50"/>
        <v>1</v>
      </c>
      <c r="N335" t="e">
        <f t="shared" ca="1" si="55"/>
        <v>#NAME?</v>
      </c>
      <c r="O335" t="e">
        <f t="shared" ca="1" si="51"/>
        <v>#NAME?</v>
      </c>
      <c r="P335" s="2" t="e">
        <f ca="1"/>
        <v>#NAME?</v>
      </c>
      <c r="Q335" t="e">
        <f ca="1"/>
        <v>#NAME?</v>
      </c>
      <c r="R335" t="e">
        <f ca="1"/>
        <v>#NAME?</v>
      </c>
      <c r="S335" t="e">
        <f ca="1"/>
        <v>#NAME?</v>
      </c>
      <c r="T335" t="e">
        <f ca="1"/>
        <v>#NAME?</v>
      </c>
      <c r="U335" t="e">
        <f ca="1"/>
        <v>#NAME?</v>
      </c>
      <c r="V335" t="e">
        <f ca="1"/>
        <v>#NAME?</v>
      </c>
      <c r="W335" t="e">
        <f ca="1"/>
        <v>#NAME?</v>
      </c>
      <c r="X335" t="e">
        <f ca="1"/>
        <v>#NAME?</v>
      </c>
      <c r="Y335" t="e">
        <f ca="1"/>
        <v>#NAME?</v>
      </c>
      <c r="Z335" t="e">
        <f ca="1"/>
        <v>#NAME?</v>
      </c>
      <c r="AA335" t="e">
        <f ca="1"/>
        <v>#NAME?</v>
      </c>
      <c r="AB335" t="e">
        <f ca="1"/>
        <v>#NAME?</v>
      </c>
      <c r="AD335" s="2">
        <f t="shared" ca="1" si="52"/>
        <v>0</v>
      </c>
      <c r="AE335" s="46">
        <f t="shared" ca="1" si="53"/>
        <v>0</v>
      </c>
      <c r="AG335" s="72" t="e">
        <f t="shared" ca="1" si="57"/>
        <v>#NAME?</v>
      </c>
      <c r="AH335" s="72" t="e">
        <f t="shared" ca="1" si="58"/>
        <v>#NAME?</v>
      </c>
      <c r="AI335" s="3" t="e">
        <f t="shared" ca="1" si="59"/>
        <v>#NAME?</v>
      </c>
    </row>
    <row r="336" spans="7:35" x14ac:dyDescent="0.25">
      <c r="G336" s="3">
        <f t="shared" ca="1" si="54"/>
        <v>317</v>
      </c>
      <c r="H336" s="105">
        <f t="shared" ca="1" si="56"/>
        <v>45242</v>
      </c>
      <c r="I336" s="132" t="e">
        <f>HLOOKUP($H$4,'Met Data'!$A$2:$F$368,G336,FALSE)</f>
        <v>#N/A</v>
      </c>
      <c r="J336" s="132" t="e">
        <f ca="1">HLOOKUP($H$4,'Met Data'!$H$2:$M$368,G336,FALSE)*L336</f>
        <v>#N/A</v>
      </c>
      <c r="K336" s="106" t="e">
        <f>HLOOKUP($H$4,'Met Data'!$O$2:$T$368,G336,FALSE)</f>
        <v>#N/A</v>
      </c>
      <c r="L336">
        <f t="shared" ca="1" si="50"/>
        <v>1</v>
      </c>
      <c r="N336" t="e">
        <f t="shared" ca="1" si="55"/>
        <v>#NAME?</v>
      </c>
      <c r="O336" t="e">
        <f t="shared" ca="1" si="51"/>
        <v>#NAME?</v>
      </c>
      <c r="P336" s="2" t="e">
        <f ca="1"/>
        <v>#NAME?</v>
      </c>
      <c r="Q336" t="e">
        <f ca="1"/>
        <v>#NAME?</v>
      </c>
      <c r="R336" t="e">
        <f ca="1"/>
        <v>#NAME?</v>
      </c>
      <c r="S336" t="e">
        <f ca="1"/>
        <v>#NAME?</v>
      </c>
      <c r="T336" t="e">
        <f ca="1"/>
        <v>#NAME?</v>
      </c>
      <c r="U336" t="e">
        <f ca="1"/>
        <v>#NAME?</v>
      </c>
      <c r="V336" t="e">
        <f ca="1"/>
        <v>#NAME?</v>
      </c>
      <c r="W336" t="e">
        <f ca="1"/>
        <v>#NAME?</v>
      </c>
      <c r="X336" t="e">
        <f ca="1"/>
        <v>#NAME?</v>
      </c>
      <c r="Y336" t="e">
        <f ca="1"/>
        <v>#NAME?</v>
      </c>
      <c r="Z336" t="e">
        <f ca="1"/>
        <v>#NAME?</v>
      </c>
      <c r="AA336" t="e">
        <f ca="1"/>
        <v>#NAME?</v>
      </c>
      <c r="AB336" t="e">
        <f ca="1"/>
        <v>#NAME?</v>
      </c>
      <c r="AD336" s="2">
        <f t="shared" ca="1" si="52"/>
        <v>0</v>
      </c>
      <c r="AE336" s="46">
        <f t="shared" ca="1" si="53"/>
        <v>0</v>
      </c>
      <c r="AG336" s="72" t="e">
        <f t="shared" ca="1" si="57"/>
        <v>#NAME?</v>
      </c>
      <c r="AH336" s="72" t="e">
        <f t="shared" ca="1" si="58"/>
        <v>#NAME?</v>
      </c>
      <c r="AI336" s="3" t="e">
        <f t="shared" ca="1" si="59"/>
        <v>#NAME?</v>
      </c>
    </row>
    <row r="337" spans="7:35" x14ac:dyDescent="0.25">
      <c r="G337" s="3">
        <f t="shared" ca="1" si="54"/>
        <v>318</v>
      </c>
      <c r="H337" s="105">
        <f t="shared" ca="1" si="56"/>
        <v>45243</v>
      </c>
      <c r="I337" s="132" t="e">
        <f>HLOOKUP($H$4,'Met Data'!$A$2:$F$368,G337,FALSE)</f>
        <v>#N/A</v>
      </c>
      <c r="J337" s="132" t="e">
        <f ca="1">HLOOKUP($H$4,'Met Data'!$H$2:$M$368,G337,FALSE)*L337</f>
        <v>#N/A</v>
      </c>
      <c r="K337" s="106" t="e">
        <f>HLOOKUP($H$4,'Met Data'!$O$2:$T$368,G337,FALSE)</f>
        <v>#N/A</v>
      </c>
      <c r="L337">
        <f t="shared" ca="1" si="50"/>
        <v>1</v>
      </c>
      <c r="N337" t="e">
        <f t="shared" ca="1" si="55"/>
        <v>#NAME?</v>
      </c>
      <c r="O337" t="e">
        <f t="shared" ca="1" si="51"/>
        <v>#NAME?</v>
      </c>
      <c r="P337" s="2" t="e">
        <f ca="1"/>
        <v>#NAME?</v>
      </c>
      <c r="Q337" t="e">
        <f ca="1"/>
        <v>#NAME?</v>
      </c>
      <c r="R337" t="e">
        <f ca="1"/>
        <v>#NAME?</v>
      </c>
      <c r="S337" t="e">
        <f ca="1"/>
        <v>#NAME?</v>
      </c>
      <c r="T337" t="e">
        <f ca="1"/>
        <v>#NAME?</v>
      </c>
      <c r="U337" t="e">
        <f ca="1"/>
        <v>#NAME?</v>
      </c>
      <c r="V337" t="e">
        <f ca="1"/>
        <v>#NAME?</v>
      </c>
      <c r="W337" t="e">
        <f ca="1"/>
        <v>#NAME?</v>
      </c>
      <c r="X337" t="e">
        <f ca="1"/>
        <v>#NAME?</v>
      </c>
      <c r="Y337" t="e">
        <f ca="1"/>
        <v>#NAME?</v>
      </c>
      <c r="Z337" t="e">
        <f ca="1"/>
        <v>#NAME?</v>
      </c>
      <c r="AA337" t="e">
        <f ca="1"/>
        <v>#NAME?</v>
      </c>
      <c r="AB337" t="e">
        <f ca="1"/>
        <v>#NAME?</v>
      </c>
      <c r="AD337" s="2">
        <f t="shared" ca="1" si="52"/>
        <v>0</v>
      </c>
      <c r="AE337" s="46">
        <f t="shared" ca="1" si="53"/>
        <v>0</v>
      </c>
      <c r="AG337" s="72" t="e">
        <f t="shared" ca="1" si="57"/>
        <v>#NAME?</v>
      </c>
      <c r="AH337" s="72" t="e">
        <f t="shared" ca="1" si="58"/>
        <v>#NAME?</v>
      </c>
      <c r="AI337" s="3" t="e">
        <f t="shared" ca="1" si="59"/>
        <v>#NAME?</v>
      </c>
    </row>
    <row r="338" spans="7:35" x14ac:dyDescent="0.25">
      <c r="G338" s="3">
        <f t="shared" ca="1" si="54"/>
        <v>319</v>
      </c>
      <c r="H338" s="105">
        <f t="shared" ca="1" si="56"/>
        <v>45244</v>
      </c>
      <c r="I338" s="132" t="e">
        <f>HLOOKUP($H$4,'Met Data'!$A$2:$F$368,G338,FALSE)</f>
        <v>#N/A</v>
      </c>
      <c r="J338" s="132" t="e">
        <f ca="1">HLOOKUP($H$4,'Met Data'!$H$2:$M$368,G338,FALSE)*L338</f>
        <v>#N/A</v>
      </c>
      <c r="K338" s="106" t="e">
        <f>HLOOKUP($H$4,'Met Data'!$O$2:$T$368,G338,FALSE)</f>
        <v>#N/A</v>
      </c>
      <c r="L338">
        <f t="shared" ca="1" si="50"/>
        <v>1</v>
      </c>
      <c r="N338" t="e">
        <f t="shared" ca="1" si="55"/>
        <v>#NAME?</v>
      </c>
      <c r="O338" t="e">
        <f t="shared" ca="1" si="51"/>
        <v>#NAME?</v>
      </c>
      <c r="P338" s="2" t="e">
        <f ca="1"/>
        <v>#NAME?</v>
      </c>
      <c r="Q338" t="e">
        <f ca="1"/>
        <v>#NAME?</v>
      </c>
      <c r="R338" t="e">
        <f ca="1"/>
        <v>#NAME?</v>
      </c>
      <c r="S338" t="e">
        <f ca="1"/>
        <v>#NAME?</v>
      </c>
      <c r="T338" t="e">
        <f ca="1"/>
        <v>#NAME?</v>
      </c>
      <c r="U338" t="e">
        <f ca="1"/>
        <v>#NAME?</v>
      </c>
      <c r="V338" t="e">
        <f ca="1"/>
        <v>#NAME?</v>
      </c>
      <c r="W338" t="e">
        <f ca="1"/>
        <v>#NAME?</v>
      </c>
      <c r="X338" t="e">
        <f ca="1"/>
        <v>#NAME?</v>
      </c>
      <c r="Y338" t="e">
        <f ca="1"/>
        <v>#NAME?</v>
      </c>
      <c r="Z338" t="e">
        <f ca="1"/>
        <v>#NAME?</v>
      </c>
      <c r="AA338" t="e">
        <f ca="1"/>
        <v>#NAME?</v>
      </c>
      <c r="AB338" t="e">
        <f ca="1"/>
        <v>#NAME?</v>
      </c>
      <c r="AD338" s="2">
        <f t="shared" ca="1" si="52"/>
        <v>0</v>
      </c>
      <c r="AE338" s="46">
        <f t="shared" ca="1" si="53"/>
        <v>0</v>
      </c>
      <c r="AG338" s="72" t="e">
        <f t="shared" ca="1" si="57"/>
        <v>#NAME?</v>
      </c>
      <c r="AH338" s="72" t="e">
        <f t="shared" ca="1" si="58"/>
        <v>#NAME?</v>
      </c>
      <c r="AI338" s="3" t="e">
        <f t="shared" ca="1" si="59"/>
        <v>#NAME?</v>
      </c>
    </row>
    <row r="339" spans="7:35" x14ac:dyDescent="0.25">
      <c r="G339" s="3">
        <f t="shared" ca="1" si="54"/>
        <v>320</v>
      </c>
      <c r="H339" s="105">
        <f t="shared" ca="1" si="56"/>
        <v>45245</v>
      </c>
      <c r="I339" s="132" t="e">
        <f>HLOOKUP($H$4,'Met Data'!$A$2:$F$368,G339,FALSE)</f>
        <v>#N/A</v>
      </c>
      <c r="J339" s="132" t="e">
        <f ca="1">HLOOKUP($H$4,'Met Data'!$H$2:$M$368,G339,FALSE)*L339</f>
        <v>#N/A</v>
      </c>
      <c r="K339" s="106" t="e">
        <f>HLOOKUP($H$4,'Met Data'!$O$2:$T$368,G339,FALSE)</f>
        <v>#N/A</v>
      </c>
      <c r="L339">
        <f t="shared" ca="1" si="50"/>
        <v>1</v>
      </c>
      <c r="N339" t="e">
        <f t="shared" ca="1" si="55"/>
        <v>#NAME?</v>
      </c>
      <c r="O339" t="e">
        <f t="shared" ca="1" si="51"/>
        <v>#NAME?</v>
      </c>
      <c r="P339" s="2" t="e">
        <f ca="1"/>
        <v>#NAME?</v>
      </c>
      <c r="Q339" t="e">
        <f ca="1"/>
        <v>#NAME?</v>
      </c>
      <c r="R339" t="e">
        <f ca="1"/>
        <v>#NAME?</v>
      </c>
      <c r="S339" t="e">
        <f ca="1"/>
        <v>#NAME?</v>
      </c>
      <c r="T339" t="e">
        <f ca="1"/>
        <v>#NAME?</v>
      </c>
      <c r="U339" t="e">
        <f ca="1"/>
        <v>#NAME?</v>
      </c>
      <c r="V339" t="e">
        <f ca="1"/>
        <v>#NAME?</v>
      </c>
      <c r="W339" t="e">
        <f ca="1"/>
        <v>#NAME?</v>
      </c>
      <c r="X339" t="e">
        <f ca="1"/>
        <v>#NAME?</v>
      </c>
      <c r="Y339" t="e">
        <f ca="1"/>
        <v>#NAME?</v>
      </c>
      <c r="Z339" t="e">
        <f ca="1"/>
        <v>#NAME?</v>
      </c>
      <c r="AA339" t="e">
        <f ca="1"/>
        <v>#NAME?</v>
      </c>
      <c r="AB339" t="e">
        <f ca="1"/>
        <v>#NAME?</v>
      </c>
      <c r="AD339" s="2">
        <f t="shared" ca="1" si="52"/>
        <v>0</v>
      </c>
      <c r="AE339" s="46">
        <f t="shared" ca="1" si="53"/>
        <v>0</v>
      </c>
      <c r="AG339" s="72" t="e">
        <f t="shared" ca="1" si="57"/>
        <v>#NAME?</v>
      </c>
      <c r="AH339" s="72" t="e">
        <f t="shared" ca="1" si="58"/>
        <v>#NAME?</v>
      </c>
      <c r="AI339" s="3" t="e">
        <f t="shared" ca="1" si="59"/>
        <v>#NAME?</v>
      </c>
    </row>
    <row r="340" spans="7:35" x14ac:dyDescent="0.25">
      <c r="G340" s="3">
        <f t="shared" ca="1" si="54"/>
        <v>321</v>
      </c>
      <c r="H340" s="105">
        <f t="shared" ca="1" si="56"/>
        <v>45246</v>
      </c>
      <c r="I340" s="132" t="e">
        <f>HLOOKUP($H$4,'Met Data'!$A$2:$F$368,G340,FALSE)</f>
        <v>#N/A</v>
      </c>
      <c r="J340" s="132" t="e">
        <f ca="1">HLOOKUP($H$4,'Met Data'!$H$2:$M$368,G340,FALSE)*L340</f>
        <v>#N/A</v>
      </c>
      <c r="K340" s="106" t="e">
        <f>HLOOKUP($H$4,'Met Data'!$O$2:$T$368,G340,FALSE)</f>
        <v>#N/A</v>
      </c>
      <c r="L340">
        <f t="shared" ca="1" si="50"/>
        <v>1</v>
      </c>
      <c r="N340" t="e">
        <f t="shared" ca="1" si="55"/>
        <v>#NAME?</v>
      </c>
      <c r="O340" t="e">
        <f t="shared" ca="1" si="51"/>
        <v>#NAME?</v>
      </c>
      <c r="P340" s="2" t="e">
        <f ca="1"/>
        <v>#NAME?</v>
      </c>
      <c r="Q340" t="e">
        <f ca="1"/>
        <v>#NAME?</v>
      </c>
      <c r="R340" t="e">
        <f ca="1"/>
        <v>#NAME?</v>
      </c>
      <c r="S340" t="e">
        <f ca="1"/>
        <v>#NAME?</v>
      </c>
      <c r="T340" t="e">
        <f ca="1"/>
        <v>#NAME?</v>
      </c>
      <c r="U340" t="e">
        <f ca="1"/>
        <v>#NAME?</v>
      </c>
      <c r="V340" t="e">
        <f ca="1"/>
        <v>#NAME?</v>
      </c>
      <c r="W340" t="e">
        <f ca="1"/>
        <v>#NAME?</v>
      </c>
      <c r="X340" t="e">
        <f ca="1"/>
        <v>#NAME?</v>
      </c>
      <c r="Y340" t="e">
        <f ca="1"/>
        <v>#NAME?</v>
      </c>
      <c r="Z340" t="e">
        <f ca="1"/>
        <v>#NAME?</v>
      </c>
      <c r="AA340" t="e">
        <f ca="1"/>
        <v>#NAME?</v>
      </c>
      <c r="AB340" t="e">
        <f ca="1"/>
        <v>#NAME?</v>
      </c>
      <c r="AD340" s="2">
        <f t="shared" ca="1" si="52"/>
        <v>0</v>
      </c>
      <c r="AE340" s="46">
        <f t="shared" ca="1" si="53"/>
        <v>0</v>
      </c>
      <c r="AG340" s="72" t="e">
        <f t="shared" ca="1" si="57"/>
        <v>#NAME?</v>
      </c>
      <c r="AH340" s="72" t="e">
        <f t="shared" ca="1" si="58"/>
        <v>#NAME?</v>
      </c>
      <c r="AI340" s="3" t="e">
        <f t="shared" ca="1" si="59"/>
        <v>#NAME?</v>
      </c>
    </row>
    <row r="341" spans="7:35" x14ac:dyDescent="0.25">
      <c r="G341" s="3">
        <f t="shared" ca="1" si="54"/>
        <v>322</v>
      </c>
      <c r="H341" s="105">
        <f t="shared" ca="1" si="56"/>
        <v>45247</v>
      </c>
      <c r="I341" s="132" t="e">
        <f>HLOOKUP($H$4,'Met Data'!$A$2:$F$368,G341,FALSE)</f>
        <v>#N/A</v>
      </c>
      <c r="J341" s="132" t="e">
        <f ca="1">HLOOKUP($H$4,'Met Data'!$H$2:$M$368,G341,FALSE)*L341</f>
        <v>#N/A</v>
      </c>
      <c r="K341" s="106" t="e">
        <f>HLOOKUP($H$4,'Met Data'!$O$2:$T$368,G341,FALSE)</f>
        <v>#N/A</v>
      </c>
      <c r="L341">
        <f t="shared" ca="1" si="50"/>
        <v>1</v>
      </c>
      <c r="N341" t="e">
        <f t="shared" ca="1" si="55"/>
        <v>#NAME?</v>
      </c>
      <c r="O341" t="e">
        <f t="shared" ca="1" si="51"/>
        <v>#NAME?</v>
      </c>
      <c r="P341" s="2" t="e">
        <f ca="1"/>
        <v>#NAME?</v>
      </c>
      <c r="Q341" t="e">
        <f ca="1"/>
        <v>#NAME?</v>
      </c>
      <c r="R341" t="e">
        <f ca="1"/>
        <v>#NAME?</v>
      </c>
      <c r="S341" t="e">
        <f ca="1"/>
        <v>#NAME?</v>
      </c>
      <c r="T341" t="e">
        <f ca="1"/>
        <v>#NAME?</v>
      </c>
      <c r="U341" t="e">
        <f ca="1"/>
        <v>#NAME?</v>
      </c>
      <c r="V341" t="e">
        <f ca="1"/>
        <v>#NAME?</v>
      </c>
      <c r="W341" t="e">
        <f ca="1"/>
        <v>#NAME?</v>
      </c>
      <c r="X341" t="e">
        <f ca="1"/>
        <v>#NAME?</v>
      </c>
      <c r="Y341" t="e">
        <f ca="1"/>
        <v>#NAME?</v>
      </c>
      <c r="Z341" t="e">
        <f ca="1"/>
        <v>#NAME?</v>
      </c>
      <c r="AA341" t="e">
        <f ca="1"/>
        <v>#NAME?</v>
      </c>
      <c r="AB341" t="e">
        <f ca="1"/>
        <v>#NAME?</v>
      </c>
      <c r="AD341" s="2">
        <f t="shared" ca="1" si="52"/>
        <v>0</v>
      </c>
      <c r="AE341" s="46">
        <f t="shared" ca="1" si="53"/>
        <v>0</v>
      </c>
      <c r="AG341" s="72" t="e">
        <f t="shared" ca="1" si="57"/>
        <v>#NAME?</v>
      </c>
      <c r="AH341" s="72" t="e">
        <f t="shared" ca="1" si="58"/>
        <v>#NAME?</v>
      </c>
      <c r="AI341" s="3" t="e">
        <f t="shared" ca="1" si="59"/>
        <v>#NAME?</v>
      </c>
    </row>
    <row r="342" spans="7:35" x14ac:dyDescent="0.25">
      <c r="G342" s="3">
        <f t="shared" ca="1" si="54"/>
        <v>323</v>
      </c>
      <c r="H342" s="105">
        <f t="shared" ca="1" si="56"/>
        <v>45248</v>
      </c>
      <c r="I342" s="132" t="e">
        <f>HLOOKUP($H$4,'Met Data'!$A$2:$F$368,G342,FALSE)</f>
        <v>#N/A</v>
      </c>
      <c r="J342" s="132" t="e">
        <f ca="1">HLOOKUP($H$4,'Met Data'!$H$2:$M$368,G342,FALSE)*L342</f>
        <v>#N/A</v>
      </c>
      <c r="K342" s="106" t="e">
        <f>HLOOKUP($H$4,'Met Data'!$O$2:$T$368,G342,FALSE)</f>
        <v>#N/A</v>
      </c>
      <c r="L342">
        <f t="shared" ca="1" si="50"/>
        <v>1</v>
      </c>
      <c r="N342" t="e">
        <f t="shared" ca="1" si="55"/>
        <v>#NAME?</v>
      </c>
      <c r="O342" t="e">
        <f t="shared" ca="1" si="51"/>
        <v>#NAME?</v>
      </c>
      <c r="P342" s="2" t="e">
        <f ca="1"/>
        <v>#NAME?</v>
      </c>
      <c r="Q342" t="e">
        <f ca="1"/>
        <v>#NAME?</v>
      </c>
      <c r="R342" t="e">
        <f ca="1"/>
        <v>#NAME?</v>
      </c>
      <c r="S342" t="e">
        <f ca="1"/>
        <v>#NAME?</v>
      </c>
      <c r="T342" t="e">
        <f ca="1"/>
        <v>#NAME?</v>
      </c>
      <c r="U342" t="e">
        <f ca="1"/>
        <v>#NAME?</v>
      </c>
      <c r="V342" t="e">
        <f ca="1"/>
        <v>#NAME?</v>
      </c>
      <c r="W342" t="e">
        <f ca="1"/>
        <v>#NAME?</v>
      </c>
      <c r="X342" t="e">
        <f ca="1"/>
        <v>#NAME?</v>
      </c>
      <c r="Y342" t="e">
        <f ca="1"/>
        <v>#NAME?</v>
      </c>
      <c r="Z342" t="e">
        <f ca="1"/>
        <v>#NAME?</v>
      </c>
      <c r="AA342" t="e">
        <f ca="1"/>
        <v>#NAME?</v>
      </c>
      <c r="AB342" t="e">
        <f ca="1"/>
        <v>#NAME?</v>
      </c>
      <c r="AD342" s="2">
        <f t="shared" ca="1" si="52"/>
        <v>0</v>
      </c>
      <c r="AE342" s="46">
        <f t="shared" ca="1" si="53"/>
        <v>0</v>
      </c>
      <c r="AG342" s="72" t="e">
        <f t="shared" ca="1" si="57"/>
        <v>#NAME?</v>
      </c>
      <c r="AH342" s="72" t="e">
        <f t="shared" ca="1" si="58"/>
        <v>#NAME?</v>
      </c>
      <c r="AI342" s="3" t="e">
        <f t="shared" ca="1" si="59"/>
        <v>#NAME?</v>
      </c>
    </row>
    <row r="343" spans="7:35" x14ac:dyDescent="0.25">
      <c r="G343" s="3">
        <f t="shared" ca="1" si="54"/>
        <v>324</v>
      </c>
      <c r="H343" s="105">
        <f t="shared" ca="1" si="56"/>
        <v>45249</v>
      </c>
      <c r="I343" s="132" t="e">
        <f>HLOOKUP($H$4,'Met Data'!$A$2:$F$368,G343,FALSE)</f>
        <v>#N/A</v>
      </c>
      <c r="J343" s="132" t="e">
        <f ca="1">HLOOKUP($H$4,'Met Data'!$H$2:$M$368,G343,FALSE)*L343</f>
        <v>#N/A</v>
      </c>
      <c r="K343" s="106" t="e">
        <f>HLOOKUP($H$4,'Met Data'!$O$2:$T$368,G343,FALSE)</f>
        <v>#N/A</v>
      </c>
      <c r="L343">
        <f t="shared" ca="1" si="50"/>
        <v>1</v>
      </c>
      <c r="N343" t="e">
        <f t="shared" ca="1" si="55"/>
        <v>#NAME?</v>
      </c>
      <c r="O343" t="e">
        <f t="shared" ca="1" si="51"/>
        <v>#NAME?</v>
      </c>
      <c r="P343" s="2" t="e">
        <f ca="1"/>
        <v>#NAME?</v>
      </c>
      <c r="Q343" t="e">
        <f ca="1"/>
        <v>#NAME?</v>
      </c>
      <c r="R343" t="e">
        <f ca="1"/>
        <v>#NAME?</v>
      </c>
      <c r="S343" t="e">
        <f ca="1"/>
        <v>#NAME?</v>
      </c>
      <c r="T343" t="e">
        <f ca="1"/>
        <v>#NAME?</v>
      </c>
      <c r="U343" t="e">
        <f ca="1"/>
        <v>#NAME?</v>
      </c>
      <c r="V343" t="e">
        <f ca="1"/>
        <v>#NAME?</v>
      </c>
      <c r="W343" t="e">
        <f ca="1"/>
        <v>#NAME?</v>
      </c>
      <c r="X343" t="e">
        <f ca="1"/>
        <v>#NAME?</v>
      </c>
      <c r="Y343" t="e">
        <f ca="1"/>
        <v>#NAME?</v>
      </c>
      <c r="Z343" t="e">
        <f ca="1"/>
        <v>#NAME?</v>
      </c>
      <c r="AA343" t="e">
        <f ca="1"/>
        <v>#NAME?</v>
      </c>
      <c r="AB343" t="e">
        <f ca="1"/>
        <v>#NAME?</v>
      </c>
      <c r="AD343" s="2">
        <f t="shared" ca="1" si="52"/>
        <v>0</v>
      </c>
      <c r="AE343" s="46">
        <f t="shared" ca="1" si="53"/>
        <v>0</v>
      </c>
      <c r="AG343" s="72" t="e">
        <f t="shared" ca="1" si="57"/>
        <v>#NAME?</v>
      </c>
      <c r="AH343" s="72" t="e">
        <f t="shared" ca="1" si="58"/>
        <v>#NAME?</v>
      </c>
      <c r="AI343" s="3" t="e">
        <f t="shared" ca="1" si="59"/>
        <v>#NAME?</v>
      </c>
    </row>
    <row r="344" spans="7:35" x14ac:dyDescent="0.25">
      <c r="G344" s="3">
        <f t="shared" ca="1" si="54"/>
        <v>325</v>
      </c>
      <c r="H344" s="105">
        <f t="shared" ca="1" si="56"/>
        <v>45250</v>
      </c>
      <c r="I344" s="132" t="e">
        <f>HLOOKUP($H$4,'Met Data'!$A$2:$F$368,G344,FALSE)</f>
        <v>#N/A</v>
      </c>
      <c r="J344" s="132" t="e">
        <f ca="1">HLOOKUP($H$4,'Met Data'!$H$2:$M$368,G344,FALSE)*L344</f>
        <v>#N/A</v>
      </c>
      <c r="K344" s="106" t="e">
        <f>HLOOKUP($H$4,'Met Data'!$O$2:$T$368,G344,FALSE)</f>
        <v>#N/A</v>
      </c>
      <c r="L344">
        <f t="shared" ca="1" si="50"/>
        <v>1</v>
      </c>
      <c r="N344" t="e">
        <f t="shared" ca="1" si="55"/>
        <v>#NAME?</v>
      </c>
      <c r="O344" t="e">
        <f t="shared" ca="1" si="51"/>
        <v>#NAME?</v>
      </c>
      <c r="P344" s="2" t="e">
        <f ca="1"/>
        <v>#NAME?</v>
      </c>
      <c r="Q344" t="e">
        <f ca="1"/>
        <v>#NAME?</v>
      </c>
      <c r="R344" t="e">
        <f ca="1"/>
        <v>#NAME?</v>
      </c>
      <c r="S344" t="e">
        <f ca="1"/>
        <v>#NAME?</v>
      </c>
      <c r="T344" t="e">
        <f ca="1"/>
        <v>#NAME?</v>
      </c>
      <c r="U344" t="e">
        <f ca="1"/>
        <v>#NAME?</v>
      </c>
      <c r="V344" t="e">
        <f ca="1"/>
        <v>#NAME?</v>
      </c>
      <c r="W344" t="e">
        <f ca="1"/>
        <v>#NAME?</v>
      </c>
      <c r="X344" t="e">
        <f ca="1"/>
        <v>#NAME?</v>
      </c>
      <c r="Y344" t="e">
        <f ca="1"/>
        <v>#NAME?</v>
      </c>
      <c r="Z344" t="e">
        <f ca="1"/>
        <v>#NAME?</v>
      </c>
      <c r="AA344" t="e">
        <f ca="1"/>
        <v>#NAME?</v>
      </c>
      <c r="AB344" t="e">
        <f ca="1"/>
        <v>#NAME?</v>
      </c>
      <c r="AD344" s="2">
        <f t="shared" ca="1" si="52"/>
        <v>0</v>
      </c>
      <c r="AE344" s="46">
        <f t="shared" ca="1" si="53"/>
        <v>0</v>
      </c>
      <c r="AG344" s="72" t="e">
        <f t="shared" ca="1" si="57"/>
        <v>#NAME?</v>
      </c>
      <c r="AH344" s="72" t="e">
        <f t="shared" ca="1" si="58"/>
        <v>#NAME?</v>
      </c>
      <c r="AI344" s="3" t="e">
        <f t="shared" ca="1" si="59"/>
        <v>#NAME?</v>
      </c>
    </row>
    <row r="345" spans="7:35" x14ac:dyDescent="0.25">
      <c r="G345" s="3">
        <f t="shared" ca="1" si="54"/>
        <v>326</v>
      </c>
      <c r="H345" s="105">
        <f t="shared" ca="1" si="56"/>
        <v>45251</v>
      </c>
      <c r="I345" s="132" t="e">
        <f>HLOOKUP($H$4,'Met Data'!$A$2:$F$368,G345,FALSE)</f>
        <v>#N/A</v>
      </c>
      <c r="J345" s="132" t="e">
        <f ca="1">HLOOKUP($H$4,'Met Data'!$H$2:$M$368,G345,FALSE)*L345</f>
        <v>#N/A</v>
      </c>
      <c r="K345" s="106" t="e">
        <f>HLOOKUP($H$4,'Met Data'!$O$2:$T$368,G345,FALSE)</f>
        <v>#N/A</v>
      </c>
      <c r="L345">
        <f t="shared" ca="1" si="50"/>
        <v>1</v>
      </c>
      <c r="N345" t="e">
        <f t="shared" ca="1" si="55"/>
        <v>#NAME?</v>
      </c>
      <c r="O345" t="e">
        <f t="shared" ca="1" si="51"/>
        <v>#NAME?</v>
      </c>
      <c r="P345" s="2" t="e">
        <f ca="1"/>
        <v>#NAME?</v>
      </c>
      <c r="Q345" t="e">
        <f ca="1"/>
        <v>#NAME?</v>
      </c>
      <c r="R345" t="e">
        <f ca="1"/>
        <v>#NAME?</v>
      </c>
      <c r="S345" t="e">
        <f ca="1"/>
        <v>#NAME?</v>
      </c>
      <c r="T345" t="e">
        <f ca="1"/>
        <v>#NAME?</v>
      </c>
      <c r="U345" t="e">
        <f ca="1"/>
        <v>#NAME?</v>
      </c>
      <c r="V345" t="e">
        <f ca="1"/>
        <v>#NAME?</v>
      </c>
      <c r="W345" t="e">
        <f ca="1"/>
        <v>#NAME?</v>
      </c>
      <c r="X345" t="e">
        <f ca="1"/>
        <v>#NAME?</v>
      </c>
      <c r="Y345" t="e">
        <f ca="1"/>
        <v>#NAME?</v>
      </c>
      <c r="Z345" t="e">
        <f ca="1"/>
        <v>#NAME?</v>
      </c>
      <c r="AA345" t="e">
        <f ca="1"/>
        <v>#NAME?</v>
      </c>
      <c r="AB345" t="e">
        <f ca="1"/>
        <v>#NAME?</v>
      </c>
      <c r="AD345" s="2">
        <f t="shared" ca="1" si="52"/>
        <v>0</v>
      </c>
      <c r="AE345" s="46">
        <f t="shared" ca="1" si="53"/>
        <v>0</v>
      </c>
      <c r="AG345" s="72" t="e">
        <f t="shared" ca="1" si="57"/>
        <v>#NAME?</v>
      </c>
      <c r="AH345" s="72" t="e">
        <f t="shared" ca="1" si="58"/>
        <v>#NAME?</v>
      </c>
      <c r="AI345" s="3" t="e">
        <f t="shared" ca="1" si="59"/>
        <v>#NAME?</v>
      </c>
    </row>
    <row r="346" spans="7:35" x14ac:dyDescent="0.25">
      <c r="G346" s="3">
        <f t="shared" ca="1" si="54"/>
        <v>327</v>
      </c>
      <c r="H346" s="105">
        <f t="shared" ca="1" si="56"/>
        <v>45252</v>
      </c>
      <c r="I346" s="132" t="e">
        <f>HLOOKUP($H$4,'Met Data'!$A$2:$F$368,G346,FALSE)</f>
        <v>#N/A</v>
      </c>
      <c r="J346" s="132" t="e">
        <f ca="1">HLOOKUP($H$4,'Met Data'!$H$2:$M$368,G346,FALSE)*L346</f>
        <v>#N/A</v>
      </c>
      <c r="K346" s="106" t="e">
        <f>HLOOKUP($H$4,'Met Data'!$O$2:$T$368,G346,FALSE)</f>
        <v>#N/A</v>
      </c>
      <c r="L346">
        <f t="shared" ca="1" si="50"/>
        <v>1</v>
      </c>
      <c r="N346" t="e">
        <f t="shared" ca="1" si="55"/>
        <v>#NAME?</v>
      </c>
      <c r="O346" t="e">
        <f t="shared" ca="1" si="51"/>
        <v>#NAME?</v>
      </c>
      <c r="P346" s="2" t="e">
        <f ca="1"/>
        <v>#NAME?</v>
      </c>
      <c r="Q346" t="e">
        <f ca="1"/>
        <v>#NAME?</v>
      </c>
      <c r="R346" t="e">
        <f ca="1"/>
        <v>#NAME?</v>
      </c>
      <c r="S346" t="e">
        <f ca="1"/>
        <v>#NAME?</v>
      </c>
      <c r="T346" t="e">
        <f ca="1"/>
        <v>#NAME?</v>
      </c>
      <c r="U346" t="e">
        <f ca="1"/>
        <v>#NAME?</v>
      </c>
      <c r="V346" t="e">
        <f ca="1"/>
        <v>#NAME?</v>
      </c>
      <c r="W346" t="e">
        <f ca="1"/>
        <v>#NAME?</v>
      </c>
      <c r="X346" t="e">
        <f ca="1"/>
        <v>#NAME?</v>
      </c>
      <c r="Y346" t="e">
        <f ca="1"/>
        <v>#NAME?</v>
      </c>
      <c r="Z346" t="e">
        <f ca="1"/>
        <v>#NAME?</v>
      </c>
      <c r="AA346" t="e">
        <f ca="1"/>
        <v>#NAME?</v>
      </c>
      <c r="AB346" t="e">
        <f ca="1"/>
        <v>#NAME?</v>
      </c>
      <c r="AD346" s="2">
        <f t="shared" ca="1" si="52"/>
        <v>0</v>
      </c>
      <c r="AE346" s="46">
        <f t="shared" ca="1" si="53"/>
        <v>0</v>
      </c>
      <c r="AG346" s="72" t="e">
        <f t="shared" ca="1" si="57"/>
        <v>#NAME?</v>
      </c>
      <c r="AH346" s="72" t="e">
        <f t="shared" ca="1" si="58"/>
        <v>#NAME?</v>
      </c>
      <c r="AI346" s="3" t="e">
        <f t="shared" ca="1" si="59"/>
        <v>#NAME?</v>
      </c>
    </row>
    <row r="347" spans="7:35" x14ac:dyDescent="0.25">
      <c r="G347" s="3">
        <f t="shared" ca="1" si="54"/>
        <v>328</v>
      </c>
      <c r="H347" s="105">
        <f t="shared" ca="1" si="56"/>
        <v>45253</v>
      </c>
      <c r="I347" s="132" t="e">
        <f>HLOOKUP($H$4,'Met Data'!$A$2:$F$368,G347,FALSE)</f>
        <v>#N/A</v>
      </c>
      <c r="J347" s="132" t="e">
        <f ca="1">HLOOKUP($H$4,'Met Data'!$H$2:$M$368,G347,FALSE)*L347</f>
        <v>#N/A</v>
      </c>
      <c r="K347" s="106" t="e">
        <f>HLOOKUP($H$4,'Met Data'!$O$2:$T$368,G347,FALSE)</f>
        <v>#N/A</v>
      </c>
      <c r="L347">
        <f t="shared" ca="1" si="50"/>
        <v>1</v>
      </c>
      <c r="N347" t="e">
        <f t="shared" ca="1" si="55"/>
        <v>#NAME?</v>
      </c>
      <c r="O347" t="e">
        <f t="shared" ca="1" si="51"/>
        <v>#NAME?</v>
      </c>
      <c r="P347" s="2" t="e">
        <f ca="1"/>
        <v>#NAME?</v>
      </c>
      <c r="Q347" t="e">
        <f ca="1"/>
        <v>#NAME?</v>
      </c>
      <c r="R347" t="e">
        <f ca="1"/>
        <v>#NAME?</v>
      </c>
      <c r="S347" t="e">
        <f ca="1"/>
        <v>#NAME?</v>
      </c>
      <c r="T347" t="e">
        <f ca="1"/>
        <v>#NAME?</v>
      </c>
      <c r="U347" t="e">
        <f ca="1"/>
        <v>#NAME?</v>
      </c>
      <c r="V347" t="e">
        <f ca="1"/>
        <v>#NAME?</v>
      </c>
      <c r="W347" t="e">
        <f ca="1"/>
        <v>#NAME?</v>
      </c>
      <c r="X347" t="e">
        <f ca="1"/>
        <v>#NAME?</v>
      </c>
      <c r="Y347" t="e">
        <f ca="1"/>
        <v>#NAME?</v>
      </c>
      <c r="Z347" t="e">
        <f ca="1"/>
        <v>#NAME?</v>
      </c>
      <c r="AA347" t="e">
        <f ca="1"/>
        <v>#NAME?</v>
      </c>
      <c r="AB347" t="e">
        <f ca="1"/>
        <v>#NAME?</v>
      </c>
      <c r="AD347" s="2">
        <f t="shared" ca="1" si="52"/>
        <v>0</v>
      </c>
      <c r="AE347" s="46">
        <f t="shared" ca="1" si="53"/>
        <v>0</v>
      </c>
      <c r="AG347" s="72" t="e">
        <f t="shared" ca="1" si="57"/>
        <v>#NAME?</v>
      </c>
      <c r="AH347" s="72" t="e">
        <f t="shared" ca="1" si="58"/>
        <v>#NAME?</v>
      </c>
      <c r="AI347" s="3" t="e">
        <f t="shared" ca="1" si="59"/>
        <v>#NAME?</v>
      </c>
    </row>
    <row r="348" spans="7:35" x14ac:dyDescent="0.25">
      <c r="G348" s="3">
        <f t="shared" ca="1" si="54"/>
        <v>329</v>
      </c>
      <c r="H348" s="105">
        <f t="shared" ca="1" si="56"/>
        <v>45254</v>
      </c>
      <c r="I348" s="132" t="e">
        <f>HLOOKUP($H$4,'Met Data'!$A$2:$F$368,G348,FALSE)</f>
        <v>#N/A</v>
      </c>
      <c r="J348" s="132" t="e">
        <f ca="1">HLOOKUP($H$4,'Met Data'!$H$2:$M$368,G348,FALSE)*L348</f>
        <v>#N/A</v>
      </c>
      <c r="K348" s="106" t="e">
        <f>HLOOKUP($H$4,'Met Data'!$O$2:$T$368,G348,FALSE)</f>
        <v>#N/A</v>
      </c>
      <c r="L348">
        <f t="shared" ca="1" si="50"/>
        <v>1</v>
      </c>
      <c r="N348" t="e">
        <f t="shared" ca="1" si="55"/>
        <v>#NAME?</v>
      </c>
      <c r="O348" t="e">
        <f t="shared" ca="1" si="51"/>
        <v>#NAME?</v>
      </c>
      <c r="P348" s="2" t="e">
        <f ca="1"/>
        <v>#NAME?</v>
      </c>
      <c r="Q348" t="e">
        <f ca="1"/>
        <v>#NAME?</v>
      </c>
      <c r="R348" t="e">
        <f ca="1"/>
        <v>#NAME?</v>
      </c>
      <c r="S348" t="e">
        <f ca="1"/>
        <v>#NAME?</v>
      </c>
      <c r="T348" t="e">
        <f ca="1"/>
        <v>#NAME?</v>
      </c>
      <c r="U348" t="e">
        <f ca="1"/>
        <v>#NAME?</v>
      </c>
      <c r="V348" t="e">
        <f ca="1"/>
        <v>#NAME?</v>
      </c>
      <c r="W348" t="e">
        <f ca="1"/>
        <v>#NAME?</v>
      </c>
      <c r="X348" t="e">
        <f ca="1"/>
        <v>#NAME?</v>
      </c>
      <c r="Y348" t="e">
        <f ca="1"/>
        <v>#NAME?</v>
      </c>
      <c r="Z348" t="e">
        <f ca="1"/>
        <v>#NAME?</v>
      </c>
      <c r="AA348" t="e">
        <f ca="1"/>
        <v>#NAME?</v>
      </c>
      <c r="AB348" t="e">
        <f ca="1"/>
        <v>#NAME?</v>
      </c>
      <c r="AD348" s="2">
        <f t="shared" ca="1" si="52"/>
        <v>0</v>
      </c>
      <c r="AE348" s="46">
        <f t="shared" ca="1" si="53"/>
        <v>0</v>
      </c>
      <c r="AG348" s="72" t="e">
        <f t="shared" ca="1" si="57"/>
        <v>#NAME?</v>
      </c>
      <c r="AH348" s="72" t="e">
        <f t="shared" ca="1" si="58"/>
        <v>#NAME?</v>
      </c>
      <c r="AI348" s="3" t="e">
        <f t="shared" ca="1" si="59"/>
        <v>#NAME?</v>
      </c>
    </row>
    <row r="349" spans="7:35" x14ac:dyDescent="0.25">
      <c r="G349" s="3">
        <f t="shared" ca="1" si="54"/>
        <v>330</v>
      </c>
      <c r="H349" s="105">
        <f t="shared" ca="1" si="56"/>
        <v>45255</v>
      </c>
      <c r="I349" s="132" t="e">
        <f>HLOOKUP($H$4,'Met Data'!$A$2:$F$368,G349,FALSE)</f>
        <v>#N/A</v>
      </c>
      <c r="J349" s="132" t="e">
        <f ca="1">HLOOKUP($H$4,'Met Data'!$H$2:$M$368,G349,FALSE)*L349</f>
        <v>#N/A</v>
      </c>
      <c r="K349" s="106" t="e">
        <f>HLOOKUP($H$4,'Met Data'!$O$2:$T$368,G349,FALSE)</f>
        <v>#N/A</v>
      </c>
      <c r="L349">
        <f t="shared" ca="1" si="50"/>
        <v>1</v>
      </c>
      <c r="N349" t="e">
        <f t="shared" ca="1" si="55"/>
        <v>#NAME?</v>
      </c>
      <c r="O349" t="e">
        <f t="shared" ca="1" si="51"/>
        <v>#NAME?</v>
      </c>
      <c r="P349" s="2" t="e">
        <f ca="1"/>
        <v>#NAME?</v>
      </c>
      <c r="Q349" t="e">
        <f ca="1"/>
        <v>#NAME?</v>
      </c>
      <c r="R349" t="e">
        <f ca="1"/>
        <v>#NAME?</v>
      </c>
      <c r="S349" t="e">
        <f ca="1"/>
        <v>#NAME?</v>
      </c>
      <c r="T349" t="e">
        <f ca="1"/>
        <v>#NAME?</v>
      </c>
      <c r="U349" t="e">
        <f ca="1"/>
        <v>#NAME?</v>
      </c>
      <c r="V349" t="e">
        <f ca="1"/>
        <v>#NAME?</v>
      </c>
      <c r="W349" t="e">
        <f ca="1"/>
        <v>#NAME?</v>
      </c>
      <c r="X349" t="e">
        <f ca="1"/>
        <v>#NAME?</v>
      </c>
      <c r="Y349" t="e">
        <f ca="1"/>
        <v>#NAME?</v>
      </c>
      <c r="Z349" t="e">
        <f ca="1"/>
        <v>#NAME?</v>
      </c>
      <c r="AA349" t="e">
        <f ca="1"/>
        <v>#NAME?</v>
      </c>
      <c r="AB349" t="e">
        <f ca="1"/>
        <v>#NAME?</v>
      </c>
      <c r="AD349" s="2">
        <f t="shared" ca="1" si="52"/>
        <v>0</v>
      </c>
      <c r="AE349" s="46">
        <f t="shared" ca="1" si="53"/>
        <v>0</v>
      </c>
      <c r="AG349" s="72" t="e">
        <f t="shared" ca="1" si="57"/>
        <v>#NAME?</v>
      </c>
      <c r="AH349" s="72" t="e">
        <f t="shared" ca="1" si="58"/>
        <v>#NAME?</v>
      </c>
      <c r="AI349" s="3" t="e">
        <f t="shared" ca="1" si="59"/>
        <v>#NAME?</v>
      </c>
    </row>
    <row r="350" spans="7:35" x14ac:dyDescent="0.25">
      <c r="G350" s="3">
        <f t="shared" ca="1" si="54"/>
        <v>331</v>
      </c>
      <c r="H350" s="105">
        <f t="shared" ca="1" si="56"/>
        <v>45256</v>
      </c>
      <c r="I350" s="132" t="e">
        <f>HLOOKUP($H$4,'Met Data'!$A$2:$F$368,G350,FALSE)</f>
        <v>#N/A</v>
      </c>
      <c r="J350" s="132" t="e">
        <f ca="1">HLOOKUP($H$4,'Met Data'!$H$2:$M$368,G350,FALSE)*L350</f>
        <v>#N/A</v>
      </c>
      <c r="K350" s="106" t="e">
        <f>HLOOKUP($H$4,'Met Data'!$O$2:$T$368,G350,FALSE)</f>
        <v>#N/A</v>
      </c>
      <c r="L350">
        <f t="shared" ca="1" si="50"/>
        <v>1</v>
      </c>
      <c r="N350" t="e">
        <f t="shared" ca="1" si="55"/>
        <v>#NAME?</v>
      </c>
      <c r="O350" t="e">
        <f t="shared" ca="1" si="51"/>
        <v>#NAME?</v>
      </c>
      <c r="P350" s="2" t="e">
        <f ca="1"/>
        <v>#NAME?</v>
      </c>
      <c r="Q350" t="e">
        <f ca="1"/>
        <v>#NAME?</v>
      </c>
      <c r="R350" t="e">
        <f ca="1"/>
        <v>#NAME?</v>
      </c>
      <c r="S350" t="e">
        <f ca="1"/>
        <v>#NAME?</v>
      </c>
      <c r="T350" t="e">
        <f ca="1"/>
        <v>#NAME?</v>
      </c>
      <c r="U350" t="e">
        <f ca="1"/>
        <v>#NAME?</v>
      </c>
      <c r="V350" t="e">
        <f ca="1"/>
        <v>#NAME?</v>
      </c>
      <c r="W350" t="e">
        <f ca="1"/>
        <v>#NAME?</v>
      </c>
      <c r="X350" t="e">
        <f ca="1"/>
        <v>#NAME?</v>
      </c>
      <c r="Y350" t="e">
        <f ca="1"/>
        <v>#NAME?</v>
      </c>
      <c r="Z350" t="e">
        <f ca="1"/>
        <v>#NAME?</v>
      </c>
      <c r="AA350" t="e">
        <f ca="1"/>
        <v>#NAME?</v>
      </c>
      <c r="AB350" t="e">
        <f ca="1"/>
        <v>#NAME?</v>
      </c>
      <c r="AD350" s="2">
        <f t="shared" ca="1" si="52"/>
        <v>0</v>
      </c>
      <c r="AE350" s="46">
        <f t="shared" ca="1" si="53"/>
        <v>0</v>
      </c>
      <c r="AG350" s="72" t="e">
        <f t="shared" ca="1" si="57"/>
        <v>#NAME?</v>
      </c>
      <c r="AH350" s="72" t="e">
        <f t="shared" ca="1" si="58"/>
        <v>#NAME?</v>
      </c>
      <c r="AI350" s="3" t="e">
        <f t="shared" ca="1" si="59"/>
        <v>#NAME?</v>
      </c>
    </row>
    <row r="351" spans="7:35" x14ac:dyDescent="0.25">
      <c r="G351" s="3">
        <f t="shared" ca="1" si="54"/>
        <v>332</v>
      </c>
      <c r="H351" s="105">
        <f t="shared" ca="1" si="56"/>
        <v>45257</v>
      </c>
      <c r="I351" s="132" t="e">
        <f>HLOOKUP($H$4,'Met Data'!$A$2:$F$368,G351,FALSE)</f>
        <v>#N/A</v>
      </c>
      <c r="J351" s="132" t="e">
        <f ca="1">HLOOKUP($H$4,'Met Data'!$H$2:$M$368,G351,FALSE)*L351</f>
        <v>#N/A</v>
      </c>
      <c r="K351" s="106" t="e">
        <f>HLOOKUP($H$4,'Met Data'!$O$2:$T$368,G351,FALSE)</f>
        <v>#N/A</v>
      </c>
      <c r="L351">
        <f t="shared" ca="1" si="50"/>
        <v>1</v>
      </c>
      <c r="N351" t="e">
        <f t="shared" ca="1" si="55"/>
        <v>#NAME?</v>
      </c>
      <c r="O351" t="e">
        <f t="shared" ca="1" si="51"/>
        <v>#NAME?</v>
      </c>
      <c r="P351" s="2" t="e">
        <f ca="1"/>
        <v>#NAME?</v>
      </c>
      <c r="Q351" t="e">
        <f ca="1"/>
        <v>#NAME?</v>
      </c>
      <c r="R351" t="e">
        <f ca="1"/>
        <v>#NAME?</v>
      </c>
      <c r="S351" t="e">
        <f ca="1"/>
        <v>#NAME?</v>
      </c>
      <c r="T351" t="e">
        <f ca="1"/>
        <v>#NAME?</v>
      </c>
      <c r="U351" t="e">
        <f ca="1"/>
        <v>#NAME?</v>
      </c>
      <c r="V351" t="e">
        <f ca="1"/>
        <v>#NAME?</v>
      </c>
      <c r="W351" t="e">
        <f ca="1"/>
        <v>#NAME?</v>
      </c>
      <c r="X351" t="e">
        <f ca="1"/>
        <v>#NAME?</v>
      </c>
      <c r="Y351" t="e">
        <f ca="1"/>
        <v>#NAME?</v>
      </c>
      <c r="Z351" t="e">
        <f ca="1"/>
        <v>#NAME?</v>
      </c>
      <c r="AA351" t="e">
        <f ca="1"/>
        <v>#NAME?</v>
      </c>
      <c r="AB351" t="e">
        <f ca="1"/>
        <v>#NAME?</v>
      </c>
      <c r="AD351" s="2">
        <f t="shared" ca="1" si="52"/>
        <v>0</v>
      </c>
      <c r="AE351" s="46">
        <f t="shared" ca="1" si="53"/>
        <v>0</v>
      </c>
      <c r="AG351" s="72" t="e">
        <f t="shared" ca="1" si="57"/>
        <v>#NAME?</v>
      </c>
      <c r="AH351" s="72" t="e">
        <f t="shared" ca="1" si="58"/>
        <v>#NAME?</v>
      </c>
      <c r="AI351" s="3" t="e">
        <f t="shared" ca="1" si="59"/>
        <v>#NAME?</v>
      </c>
    </row>
    <row r="352" spans="7:35" x14ac:dyDescent="0.25">
      <c r="G352" s="3">
        <f t="shared" ca="1" si="54"/>
        <v>333</v>
      </c>
      <c r="H352" s="105">
        <f t="shared" ca="1" si="56"/>
        <v>45258</v>
      </c>
      <c r="I352" s="132" t="e">
        <f>HLOOKUP($H$4,'Met Data'!$A$2:$F$368,G352,FALSE)</f>
        <v>#N/A</v>
      </c>
      <c r="J352" s="132" t="e">
        <f ca="1">HLOOKUP($H$4,'Met Data'!$H$2:$M$368,G352,FALSE)*L352</f>
        <v>#N/A</v>
      </c>
      <c r="K352" s="106" t="e">
        <f>HLOOKUP($H$4,'Met Data'!$O$2:$T$368,G352,FALSE)</f>
        <v>#N/A</v>
      </c>
      <c r="L352">
        <f t="shared" ca="1" si="50"/>
        <v>1</v>
      </c>
      <c r="N352" t="e">
        <f t="shared" ca="1" si="55"/>
        <v>#NAME?</v>
      </c>
      <c r="O352" t="e">
        <f t="shared" ca="1" si="51"/>
        <v>#NAME?</v>
      </c>
      <c r="P352" s="2" t="e">
        <f ca="1"/>
        <v>#NAME?</v>
      </c>
      <c r="Q352" t="e">
        <f ca="1"/>
        <v>#NAME?</v>
      </c>
      <c r="R352" t="e">
        <f ca="1"/>
        <v>#NAME?</v>
      </c>
      <c r="S352" t="e">
        <f ca="1"/>
        <v>#NAME?</v>
      </c>
      <c r="T352" t="e">
        <f ca="1"/>
        <v>#NAME?</v>
      </c>
      <c r="U352" t="e">
        <f ca="1"/>
        <v>#NAME?</v>
      </c>
      <c r="V352" t="e">
        <f ca="1"/>
        <v>#NAME?</v>
      </c>
      <c r="W352" t="e">
        <f ca="1"/>
        <v>#NAME?</v>
      </c>
      <c r="X352" t="e">
        <f ca="1"/>
        <v>#NAME?</v>
      </c>
      <c r="Y352" t="e">
        <f ca="1"/>
        <v>#NAME?</v>
      </c>
      <c r="Z352" t="e">
        <f ca="1"/>
        <v>#NAME?</v>
      </c>
      <c r="AA352" t="e">
        <f ca="1"/>
        <v>#NAME?</v>
      </c>
      <c r="AB352" t="e">
        <f ca="1"/>
        <v>#NAME?</v>
      </c>
      <c r="AD352" s="2">
        <f t="shared" ca="1" si="52"/>
        <v>0</v>
      </c>
      <c r="AE352" s="46">
        <f t="shared" ca="1" si="53"/>
        <v>0</v>
      </c>
      <c r="AG352" s="72" t="e">
        <f t="shared" ca="1" si="57"/>
        <v>#NAME?</v>
      </c>
      <c r="AH352" s="72" t="e">
        <f t="shared" ca="1" si="58"/>
        <v>#NAME?</v>
      </c>
      <c r="AI352" s="3" t="e">
        <f t="shared" ca="1" si="59"/>
        <v>#NAME?</v>
      </c>
    </row>
    <row r="353" spans="7:35" x14ac:dyDescent="0.25">
      <c r="G353" s="3">
        <f t="shared" ca="1" si="54"/>
        <v>334</v>
      </c>
      <c r="H353" s="105">
        <f t="shared" ca="1" si="56"/>
        <v>45259</v>
      </c>
      <c r="I353" s="132" t="e">
        <f>HLOOKUP($H$4,'Met Data'!$A$2:$F$368,G353,FALSE)</f>
        <v>#N/A</v>
      </c>
      <c r="J353" s="132" t="e">
        <f ca="1">HLOOKUP($H$4,'Met Data'!$H$2:$M$368,G353,FALSE)*L353</f>
        <v>#N/A</v>
      </c>
      <c r="K353" s="106" t="e">
        <f>HLOOKUP($H$4,'Met Data'!$O$2:$T$368,G353,FALSE)</f>
        <v>#N/A</v>
      </c>
      <c r="L353">
        <f t="shared" ca="1" si="50"/>
        <v>1</v>
      </c>
      <c r="N353" t="e">
        <f t="shared" ca="1" si="55"/>
        <v>#NAME?</v>
      </c>
      <c r="O353" t="e">
        <f t="shared" ca="1" si="51"/>
        <v>#NAME?</v>
      </c>
      <c r="P353" s="2" t="e">
        <f ca="1"/>
        <v>#NAME?</v>
      </c>
      <c r="Q353" t="e">
        <f ca="1"/>
        <v>#NAME?</v>
      </c>
      <c r="R353" t="e">
        <f ca="1"/>
        <v>#NAME?</v>
      </c>
      <c r="S353" t="e">
        <f ca="1"/>
        <v>#NAME?</v>
      </c>
      <c r="T353" t="e">
        <f ca="1"/>
        <v>#NAME?</v>
      </c>
      <c r="U353" t="e">
        <f ca="1"/>
        <v>#NAME?</v>
      </c>
      <c r="V353" t="e">
        <f ca="1"/>
        <v>#NAME?</v>
      </c>
      <c r="W353" t="e">
        <f ca="1"/>
        <v>#NAME?</v>
      </c>
      <c r="X353" t="e">
        <f ca="1"/>
        <v>#NAME?</v>
      </c>
      <c r="Y353" t="e">
        <f ca="1"/>
        <v>#NAME?</v>
      </c>
      <c r="Z353" t="e">
        <f ca="1"/>
        <v>#NAME?</v>
      </c>
      <c r="AA353" t="e">
        <f ca="1"/>
        <v>#NAME?</v>
      </c>
      <c r="AB353" t="e">
        <f ca="1"/>
        <v>#NAME?</v>
      </c>
      <c r="AD353" s="2">
        <f t="shared" ca="1" si="52"/>
        <v>0</v>
      </c>
      <c r="AE353" s="46">
        <f t="shared" ca="1" si="53"/>
        <v>0</v>
      </c>
      <c r="AG353" s="72" t="e">
        <f t="shared" ca="1" si="57"/>
        <v>#NAME?</v>
      </c>
      <c r="AH353" s="72" t="e">
        <f t="shared" ca="1" si="58"/>
        <v>#NAME?</v>
      </c>
      <c r="AI353" s="3" t="e">
        <f t="shared" ca="1" si="59"/>
        <v>#NAME?</v>
      </c>
    </row>
    <row r="354" spans="7:35" x14ac:dyDescent="0.25">
      <c r="G354" s="3">
        <f t="shared" ca="1" si="54"/>
        <v>335</v>
      </c>
      <c r="H354" s="105">
        <f t="shared" ca="1" si="56"/>
        <v>45260</v>
      </c>
      <c r="I354" s="132" t="e">
        <f>HLOOKUP($H$4,'Met Data'!$A$2:$F$368,G354,FALSE)</f>
        <v>#N/A</v>
      </c>
      <c r="J354" s="132" t="e">
        <f ca="1">HLOOKUP($H$4,'Met Data'!$H$2:$M$368,G354,FALSE)*L354</f>
        <v>#N/A</v>
      </c>
      <c r="K354" s="106" t="e">
        <f>HLOOKUP($H$4,'Met Data'!$O$2:$T$368,G354,FALSE)</f>
        <v>#N/A</v>
      </c>
      <c r="L354">
        <f t="shared" ca="1" si="50"/>
        <v>1</v>
      </c>
      <c r="N354" t="e">
        <f t="shared" ca="1" si="55"/>
        <v>#NAME?</v>
      </c>
      <c r="O354" t="e">
        <f t="shared" ca="1" si="51"/>
        <v>#NAME?</v>
      </c>
      <c r="P354" s="2" t="e">
        <f ca="1"/>
        <v>#NAME?</v>
      </c>
      <c r="Q354" t="e">
        <f ca="1"/>
        <v>#NAME?</v>
      </c>
      <c r="R354" t="e">
        <f ca="1"/>
        <v>#NAME?</v>
      </c>
      <c r="S354" t="e">
        <f ca="1"/>
        <v>#NAME?</v>
      </c>
      <c r="T354" t="e">
        <f ca="1"/>
        <v>#NAME?</v>
      </c>
      <c r="U354" t="e">
        <f ca="1"/>
        <v>#NAME?</v>
      </c>
      <c r="V354" t="e">
        <f ca="1"/>
        <v>#NAME?</v>
      </c>
      <c r="W354" t="e">
        <f ca="1"/>
        <v>#NAME?</v>
      </c>
      <c r="X354" t="e">
        <f ca="1"/>
        <v>#NAME?</v>
      </c>
      <c r="Y354" t="e">
        <f ca="1"/>
        <v>#NAME?</v>
      </c>
      <c r="Z354" t="e">
        <f ca="1"/>
        <v>#NAME?</v>
      </c>
      <c r="AA354" t="e">
        <f ca="1"/>
        <v>#NAME?</v>
      </c>
      <c r="AB354" t="e">
        <f ca="1"/>
        <v>#NAME?</v>
      </c>
      <c r="AD354" s="2">
        <f t="shared" ca="1" si="52"/>
        <v>0</v>
      </c>
      <c r="AE354" s="46">
        <f t="shared" ca="1" si="53"/>
        <v>0</v>
      </c>
      <c r="AG354" s="72" t="e">
        <f t="shared" ca="1" si="57"/>
        <v>#NAME?</v>
      </c>
      <c r="AH354" s="72" t="e">
        <f t="shared" ca="1" si="58"/>
        <v>#NAME?</v>
      </c>
      <c r="AI354" s="3" t="e">
        <f t="shared" ca="1" si="59"/>
        <v>#NAME?</v>
      </c>
    </row>
    <row r="355" spans="7:35" x14ac:dyDescent="0.25">
      <c r="G355" s="3">
        <f t="shared" ca="1" si="54"/>
        <v>336</v>
      </c>
      <c r="H355" s="105">
        <f t="shared" ca="1" si="56"/>
        <v>45261</v>
      </c>
      <c r="I355" s="132" t="e">
        <f>HLOOKUP($H$4,'Met Data'!$A$2:$F$368,G355,FALSE)</f>
        <v>#N/A</v>
      </c>
      <c r="J355" s="132" t="e">
        <f ca="1">HLOOKUP($H$4,'Met Data'!$H$2:$M$368,G355,FALSE)*L355</f>
        <v>#N/A</v>
      </c>
      <c r="K355" s="106" t="e">
        <f>HLOOKUP($H$4,'Met Data'!$O$2:$T$368,G355,FALSE)</f>
        <v>#N/A</v>
      </c>
      <c r="L355">
        <f t="shared" ca="1" si="50"/>
        <v>1</v>
      </c>
      <c r="N355" t="e">
        <f t="shared" ca="1" si="55"/>
        <v>#NAME?</v>
      </c>
      <c r="O355" t="e">
        <f t="shared" ca="1" si="51"/>
        <v>#NAME?</v>
      </c>
      <c r="P355" s="2" t="e">
        <f ca="1"/>
        <v>#NAME?</v>
      </c>
      <c r="Q355" t="e">
        <f ca="1"/>
        <v>#NAME?</v>
      </c>
      <c r="R355" t="e">
        <f ca="1"/>
        <v>#NAME?</v>
      </c>
      <c r="S355" t="e">
        <f ca="1"/>
        <v>#NAME?</v>
      </c>
      <c r="T355" t="e">
        <f ca="1"/>
        <v>#NAME?</v>
      </c>
      <c r="U355" t="e">
        <f ca="1"/>
        <v>#NAME?</v>
      </c>
      <c r="V355" t="e">
        <f ca="1"/>
        <v>#NAME?</v>
      </c>
      <c r="W355" t="e">
        <f ca="1"/>
        <v>#NAME?</v>
      </c>
      <c r="X355" t="e">
        <f ca="1"/>
        <v>#NAME?</v>
      </c>
      <c r="Y355" t="e">
        <f ca="1"/>
        <v>#NAME?</v>
      </c>
      <c r="Z355" t="e">
        <f ca="1"/>
        <v>#NAME?</v>
      </c>
      <c r="AA355" t="e">
        <f ca="1"/>
        <v>#NAME?</v>
      </c>
      <c r="AB355" t="e">
        <f ca="1"/>
        <v>#NAME?</v>
      </c>
      <c r="AD355" s="2">
        <f t="shared" ca="1" si="52"/>
        <v>0</v>
      </c>
      <c r="AE355" s="46">
        <f t="shared" ca="1" si="53"/>
        <v>0</v>
      </c>
      <c r="AG355" s="72" t="e">
        <f t="shared" ca="1" si="57"/>
        <v>#NAME?</v>
      </c>
      <c r="AH355" s="72" t="e">
        <f t="shared" ca="1" si="58"/>
        <v>#NAME?</v>
      </c>
      <c r="AI355" s="3" t="e">
        <f t="shared" ca="1" si="59"/>
        <v>#NAME?</v>
      </c>
    </row>
    <row r="356" spans="7:35" x14ac:dyDescent="0.25">
      <c r="G356" s="3">
        <f t="shared" ca="1" si="54"/>
        <v>337</v>
      </c>
      <c r="H356" s="105">
        <f t="shared" ca="1" si="56"/>
        <v>45262</v>
      </c>
      <c r="I356" s="132" t="e">
        <f>HLOOKUP($H$4,'Met Data'!$A$2:$F$368,G356,FALSE)</f>
        <v>#N/A</v>
      </c>
      <c r="J356" s="132" t="e">
        <f ca="1">HLOOKUP($H$4,'Met Data'!$H$2:$M$368,G356,FALSE)*L356</f>
        <v>#N/A</v>
      </c>
      <c r="K356" s="106" t="e">
        <f>HLOOKUP($H$4,'Met Data'!$O$2:$T$368,G356,FALSE)</f>
        <v>#N/A</v>
      </c>
      <c r="L356">
        <f t="shared" ca="1" si="50"/>
        <v>1</v>
      </c>
      <c r="N356" t="e">
        <f t="shared" ca="1" si="55"/>
        <v>#NAME?</v>
      </c>
      <c r="O356" t="e">
        <f t="shared" ca="1" si="51"/>
        <v>#NAME?</v>
      </c>
      <c r="P356" s="2" t="e">
        <f ca="1"/>
        <v>#NAME?</v>
      </c>
      <c r="Q356" t="e">
        <f ca="1"/>
        <v>#NAME?</v>
      </c>
      <c r="R356" t="e">
        <f ca="1"/>
        <v>#NAME?</v>
      </c>
      <c r="S356" t="e">
        <f ca="1"/>
        <v>#NAME?</v>
      </c>
      <c r="T356" t="e">
        <f ca="1"/>
        <v>#NAME?</v>
      </c>
      <c r="U356" t="e">
        <f ca="1"/>
        <v>#NAME?</v>
      </c>
      <c r="V356" t="e">
        <f ca="1"/>
        <v>#NAME?</v>
      </c>
      <c r="W356" t="e">
        <f ca="1"/>
        <v>#NAME?</v>
      </c>
      <c r="X356" t="e">
        <f ca="1"/>
        <v>#NAME?</v>
      </c>
      <c r="Y356" t="e">
        <f ca="1"/>
        <v>#NAME?</v>
      </c>
      <c r="Z356" t="e">
        <f ca="1"/>
        <v>#NAME?</v>
      </c>
      <c r="AA356" t="e">
        <f ca="1"/>
        <v>#NAME?</v>
      </c>
      <c r="AB356" t="e">
        <f ca="1"/>
        <v>#NAME?</v>
      </c>
      <c r="AD356" s="2">
        <f t="shared" ca="1" si="52"/>
        <v>0</v>
      </c>
      <c r="AE356" s="46">
        <f t="shared" ca="1" si="53"/>
        <v>0</v>
      </c>
      <c r="AG356" s="72" t="e">
        <f t="shared" ca="1" si="57"/>
        <v>#NAME?</v>
      </c>
      <c r="AH356" s="72" t="e">
        <f t="shared" ca="1" si="58"/>
        <v>#NAME?</v>
      </c>
      <c r="AI356" s="3" t="e">
        <f t="shared" ca="1" si="59"/>
        <v>#NAME?</v>
      </c>
    </row>
    <row r="357" spans="7:35" x14ac:dyDescent="0.25">
      <c r="G357" s="3">
        <f t="shared" ca="1" si="54"/>
        <v>338</v>
      </c>
      <c r="H357" s="105">
        <f t="shared" ca="1" si="56"/>
        <v>45263</v>
      </c>
      <c r="I357" s="132" t="e">
        <f>HLOOKUP($H$4,'Met Data'!$A$2:$F$368,G357,FALSE)</f>
        <v>#N/A</v>
      </c>
      <c r="J357" s="132" t="e">
        <f ca="1">HLOOKUP($H$4,'Met Data'!$H$2:$M$368,G357,FALSE)*L357</f>
        <v>#N/A</v>
      </c>
      <c r="K357" s="106" t="e">
        <f>HLOOKUP($H$4,'Met Data'!$O$2:$T$368,G357,FALSE)</f>
        <v>#N/A</v>
      </c>
      <c r="L357">
        <f t="shared" ca="1" si="50"/>
        <v>1</v>
      </c>
      <c r="N357" t="e">
        <f t="shared" ca="1" si="55"/>
        <v>#NAME?</v>
      </c>
      <c r="O357" t="e">
        <f t="shared" ca="1" si="51"/>
        <v>#NAME?</v>
      </c>
      <c r="P357" s="2" t="e">
        <f ca="1"/>
        <v>#NAME?</v>
      </c>
      <c r="Q357" t="e">
        <f ca="1"/>
        <v>#NAME?</v>
      </c>
      <c r="R357" t="e">
        <f ca="1"/>
        <v>#NAME?</v>
      </c>
      <c r="S357" t="e">
        <f ca="1"/>
        <v>#NAME?</v>
      </c>
      <c r="T357" t="e">
        <f ca="1"/>
        <v>#NAME?</v>
      </c>
      <c r="U357" t="e">
        <f ca="1"/>
        <v>#NAME?</v>
      </c>
      <c r="V357" t="e">
        <f ca="1"/>
        <v>#NAME?</v>
      </c>
      <c r="W357" t="e">
        <f ca="1"/>
        <v>#NAME?</v>
      </c>
      <c r="X357" t="e">
        <f ca="1"/>
        <v>#NAME?</v>
      </c>
      <c r="Y357" t="e">
        <f ca="1"/>
        <v>#NAME?</v>
      </c>
      <c r="Z357" t="e">
        <f ca="1"/>
        <v>#NAME?</v>
      </c>
      <c r="AA357" t="e">
        <f ca="1"/>
        <v>#NAME?</v>
      </c>
      <c r="AB357" t="e">
        <f ca="1"/>
        <v>#NAME?</v>
      </c>
      <c r="AD357" s="2">
        <f t="shared" ca="1" si="52"/>
        <v>0</v>
      </c>
      <c r="AE357" s="46">
        <f t="shared" ca="1" si="53"/>
        <v>0</v>
      </c>
      <c r="AG357" s="72" t="e">
        <f t="shared" ca="1" si="57"/>
        <v>#NAME?</v>
      </c>
      <c r="AH357" s="72" t="e">
        <f t="shared" ca="1" si="58"/>
        <v>#NAME?</v>
      </c>
      <c r="AI357" s="3" t="e">
        <f t="shared" ca="1" si="59"/>
        <v>#NAME?</v>
      </c>
    </row>
    <row r="358" spans="7:35" x14ac:dyDescent="0.25">
      <c r="G358" s="3">
        <f t="shared" ca="1" si="54"/>
        <v>339</v>
      </c>
      <c r="H358" s="105">
        <f t="shared" ca="1" si="56"/>
        <v>45264</v>
      </c>
      <c r="I358" s="132" t="e">
        <f>HLOOKUP($H$4,'Met Data'!$A$2:$F$368,G358,FALSE)</f>
        <v>#N/A</v>
      </c>
      <c r="J358" s="132" t="e">
        <f ca="1">HLOOKUP($H$4,'Met Data'!$H$2:$M$368,G358,FALSE)*L358</f>
        <v>#N/A</v>
      </c>
      <c r="K358" s="106" t="e">
        <f>HLOOKUP($H$4,'Met Data'!$O$2:$T$368,G358,FALSE)</f>
        <v>#N/A</v>
      </c>
      <c r="L358">
        <f t="shared" ca="1" si="50"/>
        <v>1</v>
      </c>
      <c r="N358" t="e">
        <f t="shared" ca="1" si="55"/>
        <v>#NAME?</v>
      </c>
      <c r="O358" t="e">
        <f t="shared" ca="1" si="51"/>
        <v>#NAME?</v>
      </c>
      <c r="P358" s="2" t="e">
        <f ca="1"/>
        <v>#NAME?</v>
      </c>
      <c r="Q358" t="e">
        <f ca="1"/>
        <v>#NAME?</v>
      </c>
      <c r="R358" t="e">
        <f ca="1"/>
        <v>#NAME?</v>
      </c>
      <c r="S358" t="e">
        <f ca="1"/>
        <v>#NAME?</v>
      </c>
      <c r="T358" t="e">
        <f ca="1"/>
        <v>#NAME?</v>
      </c>
      <c r="U358" t="e">
        <f ca="1"/>
        <v>#NAME?</v>
      </c>
      <c r="V358" t="e">
        <f ca="1"/>
        <v>#NAME?</v>
      </c>
      <c r="W358" t="e">
        <f ca="1"/>
        <v>#NAME?</v>
      </c>
      <c r="X358" t="e">
        <f ca="1"/>
        <v>#NAME?</v>
      </c>
      <c r="Y358" t="e">
        <f ca="1"/>
        <v>#NAME?</v>
      </c>
      <c r="Z358" t="e">
        <f ca="1"/>
        <v>#NAME?</v>
      </c>
      <c r="AA358" t="e">
        <f ca="1"/>
        <v>#NAME?</v>
      </c>
      <c r="AB358" t="e">
        <f ca="1"/>
        <v>#NAME?</v>
      </c>
      <c r="AD358" s="2">
        <f t="shared" ca="1" si="52"/>
        <v>0</v>
      </c>
      <c r="AE358" s="46">
        <f t="shared" ca="1" si="53"/>
        <v>0</v>
      </c>
      <c r="AG358" s="72" t="e">
        <f t="shared" ca="1" si="57"/>
        <v>#NAME?</v>
      </c>
      <c r="AH358" s="72" t="e">
        <f t="shared" ca="1" si="58"/>
        <v>#NAME?</v>
      </c>
      <c r="AI358" s="3" t="e">
        <f t="shared" ca="1" si="59"/>
        <v>#NAME?</v>
      </c>
    </row>
    <row r="359" spans="7:35" x14ac:dyDescent="0.25">
      <c r="G359" s="3">
        <f t="shared" ca="1" si="54"/>
        <v>340</v>
      </c>
      <c r="H359" s="105">
        <f t="shared" ca="1" si="56"/>
        <v>45265</v>
      </c>
      <c r="I359" s="132" t="e">
        <f>HLOOKUP($H$4,'Met Data'!$A$2:$F$368,G359,FALSE)</f>
        <v>#N/A</v>
      </c>
      <c r="J359" s="132" t="e">
        <f ca="1">HLOOKUP($H$4,'Met Data'!$H$2:$M$368,G359,FALSE)*L359</f>
        <v>#N/A</v>
      </c>
      <c r="K359" s="106" t="e">
        <f>HLOOKUP($H$4,'Met Data'!$O$2:$T$368,G359,FALSE)</f>
        <v>#N/A</v>
      </c>
      <c r="L359">
        <f t="shared" ca="1" si="50"/>
        <v>1</v>
      </c>
      <c r="N359" t="e">
        <f t="shared" ca="1" si="55"/>
        <v>#NAME?</v>
      </c>
      <c r="O359" t="e">
        <f t="shared" ca="1" si="51"/>
        <v>#NAME?</v>
      </c>
      <c r="P359" s="2" t="e">
        <f ca="1"/>
        <v>#NAME?</v>
      </c>
      <c r="Q359" t="e">
        <f ca="1"/>
        <v>#NAME?</v>
      </c>
      <c r="R359" t="e">
        <f ca="1"/>
        <v>#NAME?</v>
      </c>
      <c r="S359" t="e">
        <f ca="1"/>
        <v>#NAME?</v>
      </c>
      <c r="T359" t="e">
        <f ca="1"/>
        <v>#NAME?</v>
      </c>
      <c r="U359" t="e">
        <f ca="1"/>
        <v>#NAME?</v>
      </c>
      <c r="V359" t="e">
        <f ca="1"/>
        <v>#NAME?</v>
      </c>
      <c r="W359" t="e">
        <f ca="1"/>
        <v>#NAME?</v>
      </c>
      <c r="X359" t="e">
        <f ca="1"/>
        <v>#NAME?</v>
      </c>
      <c r="Y359" t="e">
        <f ca="1"/>
        <v>#NAME?</v>
      </c>
      <c r="Z359" t="e">
        <f ca="1"/>
        <v>#NAME?</v>
      </c>
      <c r="AA359" t="e">
        <f ca="1"/>
        <v>#NAME?</v>
      </c>
      <c r="AB359" t="e">
        <f ca="1"/>
        <v>#NAME?</v>
      </c>
      <c r="AD359" s="2">
        <f t="shared" ca="1" si="52"/>
        <v>0</v>
      </c>
      <c r="AE359" s="46">
        <f t="shared" ca="1" si="53"/>
        <v>0</v>
      </c>
      <c r="AG359" s="72" t="e">
        <f t="shared" ca="1" si="57"/>
        <v>#NAME?</v>
      </c>
      <c r="AH359" s="72" t="e">
        <f t="shared" ca="1" si="58"/>
        <v>#NAME?</v>
      </c>
      <c r="AI359" s="3" t="e">
        <f t="shared" ca="1" si="59"/>
        <v>#NAME?</v>
      </c>
    </row>
    <row r="360" spans="7:35" x14ac:dyDescent="0.25">
      <c r="G360" s="3">
        <f t="shared" ca="1" si="54"/>
        <v>341</v>
      </c>
      <c r="H360" s="105">
        <f t="shared" ca="1" si="56"/>
        <v>45266</v>
      </c>
      <c r="I360" s="132" t="e">
        <f>HLOOKUP($H$4,'Met Data'!$A$2:$F$368,G360,FALSE)</f>
        <v>#N/A</v>
      </c>
      <c r="J360" s="132" t="e">
        <f ca="1">HLOOKUP($H$4,'Met Data'!$H$2:$M$368,G360,FALSE)*L360</f>
        <v>#N/A</v>
      </c>
      <c r="K360" s="106" t="e">
        <f>HLOOKUP($H$4,'Met Data'!$O$2:$T$368,G360,FALSE)</f>
        <v>#N/A</v>
      </c>
      <c r="L360">
        <f t="shared" ca="1" si="50"/>
        <v>1</v>
      </c>
      <c r="N360" t="e">
        <f t="shared" ca="1" si="55"/>
        <v>#NAME?</v>
      </c>
      <c r="O360" t="e">
        <f t="shared" ca="1" si="51"/>
        <v>#NAME?</v>
      </c>
      <c r="P360" s="2" t="e">
        <f ca="1"/>
        <v>#NAME?</v>
      </c>
      <c r="Q360" t="e">
        <f ca="1"/>
        <v>#NAME?</v>
      </c>
      <c r="R360" t="e">
        <f ca="1"/>
        <v>#NAME?</v>
      </c>
      <c r="S360" t="e">
        <f ca="1"/>
        <v>#NAME?</v>
      </c>
      <c r="T360" t="e">
        <f ca="1"/>
        <v>#NAME?</v>
      </c>
      <c r="U360" t="e">
        <f ca="1"/>
        <v>#NAME?</v>
      </c>
      <c r="V360" t="e">
        <f ca="1"/>
        <v>#NAME?</v>
      </c>
      <c r="W360" t="e">
        <f ca="1"/>
        <v>#NAME?</v>
      </c>
      <c r="X360" t="e">
        <f ca="1"/>
        <v>#NAME?</v>
      </c>
      <c r="Y360" t="e">
        <f ca="1"/>
        <v>#NAME?</v>
      </c>
      <c r="Z360" t="e">
        <f ca="1"/>
        <v>#NAME?</v>
      </c>
      <c r="AA360" t="e">
        <f ca="1"/>
        <v>#NAME?</v>
      </c>
      <c r="AB360" t="e">
        <f ca="1"/>
        <v>#NAME?</v>
      </c>
      <c r="AD360" s="2">
        <f t="shared" ca="1" si="52"/>
        <v>0</v>
      </c>
      <c r="AE360" s="46">
        <f t="shared" ca="1" si="53"/>
        <v>0</v>
      </c>
      <c r="AG360" s="72" t="e">
        <f t="shared" ca="1" si="57"/>
        <v>#NAME?</v>
      </c>
      <c r="AH360" s="72" t="e">
        <f t="shared" ca="1" si="58"/>
        <v>#NAME?</v>
      </c>
      <c r="AI360" s="3" t="e">
        <f t="shared" ca="1" si="59"/>
        <v>#NAME?</v>
      </c>
    </row>
    <row r="361" spans="7:35" x14ac:dyDescent="0.25">
      <c r="G361" s="3">
        <f t="shared" ca="1" si="54"/>
        <v>342</v>
      </c>
      <c r="H361" s="105">
        <f t="shared" ca="1" si="56"/>
        <v>45267</v>
      </c>
      <c r="I361" s="132" t="e">
        <f>HLOOKUP($H$4,'Met Data'!$A$2:$F$368,G361,FALSE)</f>
        <v>#N/A</v>
      </c>
      <c r="J361" s="132" t="e">
        <f ca="1">HLOOKUP($H$4,'Met Data'!$H$2:$M$368,G361,FALSE)*L361</f>
        <v>#N/A</v>
      </c>
      <c r="K361" s="106" t="e">
        <f>HLOOKUP($H$4,'Met Data'!$O$2:$T$368,G361,FALSE)</f>
        <v>#N/A</v>
      </c>
      <c r="L361">
        <f t="shared" ca="1" si="50"/>
        <v>1</v>
      </c>
      <c r="N361" t="e">
        <f t="shared" ca="1" si="55"/>
        <v>#NAME?</v>
      </c>
      <c r="O361" t="e">
        <f t="shared" ca="1" si="51"/>
        <v>#NAME?</v>
      </c>
      <c r="P361" s="2" t="e">
        <f ca="1"/>
        <v>#NAME?</v>
      </c>
      <c r="Q361" t="e">
        <f ca="1"/>
        <v>#NAME?</v>
      </c>
      <c r="R361" t="e">
        <f ca="1"/>
        <v>#NAME?</v>
      </c>
      <c r="S361" t="e">
        <f ca="1"/>
        <v>#NAME?</v>
      </c>
      <c r="T361" t="e">
        <f ca="1"/>
        <v>#NAME?</v>
      </c>
      <c r="U361" t="e">
        <f ca="1"/>
        <v>#NAME?</v>
      </c>
      <c r="V361" t="e">
        <f ca="1"/>
        <v>#NAME?</v>
      </c>
      <c r="W361" t="e">
        <f ca="1"/>
        <v>#NAME?</v>
      </c>
      <c r="X361" t="e">
        <f ca="1"/>
        <v>#NAME?</v>
      </c>
      <c r="Y361" t="e">
        <f ca="1"/>
        <v>#NAME?</v>
      </c>
      <c r="Z361" t="e">
        <f ca="1"/>
        <v>#NAME?</v>
      </c>
      <c r="AA361" t="e">
        <f ca="1"/>
        <v>#NAME?</v>
      </c>
      <c r="AB361" t="e">
        <f ca="1"/>
        <v>#NAME?</v>
      </c>
      <c r="AD361" s="2">
        <f t="shared" ca="1" si="52"/>
        <v>0</v>
      </c>
      <c r="AE361" s="46">
        <f t="shared" ca="1" si="53"/>
        <v>0</v>
      </c>
      <c r="AG361" s="72" t="e">
        <f t="shared" ca="1" si="57"/>
        <v>#NAME?</v>
      </c>
      <c r="AH361" s="72" t="e">
        <f t="shared" ca="1" si="58"/>
        <v>#NAME?</v>
      </c>
      <c r="AI361" s="3" t="e">
        <f t="shared" ca="1" si="59"/>
        <v>#NAME?</v>
      </c>
    </row>
    <row r="362" spans="7:35" x14ac:dyDescent="0.25">
      <c r="G362" s="3">
        <f t="shared" ca="1" si="54"/>
        <v>343</v>
      </c>
      <c r="H362" s="105">
        <f t="shared" ca="1" si="56"/>
        <v>45268</v>
      </c>
      <c r="I362" s="132" t="e">
        <f>HLOOKUP($H$4,'Met Data'!$A$2:$F$368,G362,FALSE)</f>
        <v>#N/A</v>
      </c>
      <c r="J362" s="132" t="e">
        <f ca="1">HLOOKUP($H$4,'Met Data'!$H$2:$M$368,G362,FALSE)*L362</f>
        <v>#N/A</v>
      </c>
      <c r="K362" s="106" t="e">
        <f>HLOOKUP($H$4,'Met Data'!$O$2:$T$368,G362,FALSE)</f>
        <v>#N/A</v>
      </c>
      <c r="L362">
        <f t="shared" ca="1" si="50"/>
        <v>1</v>
      </c>
      <c r="N362" t="e">
        <f t="shared" ca="1" si="55"/>
        <v>#NAME?</v>
      </c>
      <c r="O362" t="e">
        <f t="shared" ca="1" si="51"/>
        <v>#NAME?</v>
      </c>
      <c r="P362" s="2" t="e">
        <f ca="1"/>
        <v>#NAME?</v>
      </c>
      <c r="Q362" t="e">
        <f ca="1"/>
        <v>#NAME?</v>
      </c>
      <c r="R362" t="e">
        <f ca="1"/>
        <v>#NAME?</v>
      </c>
      <c r="S362" t="e">
        <f ca="1"/>
        <v>#NAME?</v>
      </c>
      <c r="T362" t="e">
        <f ca="1"/>
        <v>#NAME?</v>
      </c>
      <c r="U362" t="e">
        <f ca="1"/>
        <v>#NAME?</v>
      </c>
      <c r="V362" t="e">
        <f ca="1"/>
        <v>#NAME?</v>
      </c>
      <c r="W362" t="e">
        <f ca="1"/>
        <v>#NAME?</v>
      </c>
      <c r="X362" t="e">
        <f ca="1"/>
        <v>#NAME?</v>
      </c>
      <c r="Y362" t="e">
        <f ca="1"/>
        <v>#NAME?</v>
      </c>
      <c r="Z362" t="e">
        <f ca="1"/>
        <v>#NAME?</v>
      </c>
      <c r="AA362" t="e">
        <f ca="1"/>
        <v>#NAME?</v>
      </c>
      <c r="AB362" t="e">
        <f ca="1"/>
        <v>#NAME?</v>
      </c>
      <c r="AD362" s="2">
        <f t="shared" ca="1" si="52"/>
        <v>0</v>
      </c>
      <c r="AE362" s="46">
        <f t="shared" ca="1" si="53"/>
        <v>0</v>
      </c>
      <c r="AG362" s="72" t="e">
        <f t="shared" ca="1" si="57"/>
        <v>#NAME?</v>
      </c>
      <c r="AH362" s="72" t="e">
        <f t="shared" ca="1" si="58"/>
        <v>#NAME?</v>
      </c>
      <c r="AI362" s="3" t="e">
        <f t="shared" ca="1" si="59"/>
        <v>#NAME?</v>
      </c>
    </row>
    <row r="363" spans="7:35" x14ac:dyDescent="0.25">
      <c r="G363" s="3">
        <f t="shared" ca="1" si="54"/>
        <v>344</v>
      </c>
      <c r="H363" s="105">
        <f t="shared" ca="1" si="56"/>
        <v>45269</v>
      </c>
      <c r="I363" s="132" t="e">
        <f>HLOOKUP($H$4,'Met Data'!$A$2:$F$368,G363,FALSE)</f>
        <v>#N/A</v>
      </c>
      <c r="J363" s="132" t="e">
        <f ca="1">HLOOKUP($H$4,'Met Data'!$H$2:$M$368,G363,FALSE)*L363</f>
        <v>#N/A</v>
      </c>
      <c r="K363" s="106" t="e">
        <f>HLOOKUP($H$4,'Met Data'!$O$2:$T$368,G363,FALSE)</f>
        <v>#N/A</v>
      </c>
      <c r="L363">
        <f t="shared" ca="1" si="50"/>
        <v>1</v>
      </c>
      <c r="N363" t="e">
        <f t="shared" ca="1" si="55"/>
        <v>#NAME?</v>
      </c>
      <c r="O363" t="e">
        <f t="shared" ca="1" si="51"/>
        <v>#NAME?</v>
      </c>
      <c r="P363" s="2" t="e">
        <f ca="1"/>
        <v>#NAME?</v>
      </c>
      <c r="Q363" t="e">
        <f ca="1"/>
        <v>#NAME?</v>
      </c>
      <c r="R363" t="e">
        <f ca="1"/>
        <v>#NAME?</v>
      </c>
      <c r="S363" t="e">
        <f ca="1"/>
        <v>#NAME?</v>
      </c>
      <c r="T363" t="e">
        <f ca="1"/>
        <v>#NAME?</v>
      </c>
      <c r="U363" t="e">
        <f ca="1"/>
        <v>#NAME?</v>
      </c>
      <c r="V363" t="e">
        <f ca="1"/>
        <v>#NAME?</v>
      </c>
      <c r="W363" t="e">
        <f ca="1"/>
        <v>#NAME?</v>
      </c>
      <c r="X363" t="e">
        <f ca="1"/>
        <v>#NAME?</v>
      </c>
      <c r="Y363" t="e">
        <f ca="1"/>
        <v>#NAME?</v>
      </c>
      <c r="Z363" t="e">
        <f ca="1"/>
        <v>#NAME?</v>
      </c>
      <c r="AA363" t="e">
        <f ca="1"/>
        <v>#NAME?</v>
      </c>
      <c r="AB363" t="e">
        <f ca="1"/>
        <v>#NAME?</v>
      </c>
      <c r="AD363" s="2">
        <f t="shared" ca="1" si="52"/>
        <v>0</v>
      </c>
      <c r="AE363" s="46">
        <f t="shared" ca="1" si="53"/>
        <v>0</v>
      </c>
      <c r="AG363" s="72" t="e">
        <f t="shared" ca="1" si="57"/>
        <v>#NAME?</v>
      </c>
      <c r="AH363" s="72" t="e">
        <f t="shared" ca="1" si="58"/>
        <v>#NAME?</v>
      </c>
      <c r="AI363" s="3" t="e">
        <f t="shared" ca="1" si="59"/>
        <v>#NAME?</v>
      </c>
    </row>
    <row r="364" spans="7:35" x14ac:dyDescent="0.25">
      <c r="G364" s="3">
        <f t="shared" ca="1" si="54"/>
        <v>345</v>
      </c>
      <c r="H364" s="105">
        <f t="shared" ca="1" si="56"/>
        <v>45270</v>
      </c>
      <c r="I364" s="132" t="e">
        <f>HLOOKUP($H$4,'Met Data'!$A$2:$F$368,G364,FALSE)</f>
        <v>#N/A</v>
      </c>
      <c r="J364" s="132" t="e">
        <f ca="1">HLOOKUP($H$4,'Met Data'!$H$2:$M$368,G364,FALSE)*L364</f>
        <v>#N/A</v>
      </c>
      <c r="K364" s="106" t="e">
        <f>HLOOKUP($H$4,'Met Data'!$O$2:$T$368,G364,FALSE)</f>
        <v>#N/A</v>
      </c>
      <c r="L364">
        <f t="shared" ca="1" si="50"/>
        <v>1</v>
      </c>
      <c r="N364" t="e">
        <f t="shared" ca="1" si="55"/>
        <v>#NAME?</v>
      </c>
      <c r="O364" t="e">
        <f t="shared" ca="1" si="51"/>
        <v>#NAME?</v>
      </c>
      <c r="P364" s="2" t="e">
        <f ca="1"/>
        <v>#NAME?</v>
      </c>
      <c r="Q364" t="e">
        <f ca="1"/>
        <v>#NAME?</v>
      </c>
      <c r="R364" t="e">
        <f ca="1"/>
        <v>#NAME?</v>
      </c>
      <c r="S364" t="e">
        <f ca="1"/>
        <v>#NAME?</v>
      </c>
      <c r="T364" t="e">
        <f ca="1"/>
        <v>#NAME?</v>
      </c>
      <c r="U364" t="e">
        <f ca="1"/>
        <v>#NAME?</v>
      </c>
      <c r="V364" t="e">
        <f ca="1"/>
        <v>#NAME?</v>
      </c>
      <c r="W364" t="e">
        <f ca="1"/>
        <v>#NAME?</v>
      </c>
      <c r="X364" t="e">
        <f ca="1"/>
        <v>#NAME?</v>
      </c>
      <c r="Y364" t="e">
        <f ca="1"/>
        <v>#NAME?</v>
      </c>
      <c r="Z364" t="e">
        <f ca="1"/>
        <v>#NAME?</v>
      </c>
      <c r="AA364" t="e">
        <f ca="1"/>
        <v>#NAME?</v>
      </c>
      <c r="AB364" t="e">
        <f ca="1"/>
        <v>#NAME?</v>
      </c>
      <c r="AD364" s="2">
        <f t="shared" ca="1" si="52"/>
        <v>0</v>
      </c>
      <c r="AE364" s="46">
        <f t="shared" ca="1" si="53"/>
        <v>0</v>
      </c>
      <c r="AG364" s="72" t="e">
        <f t="shared" ca="1" si="57"/>
        <v>#NAME?</v>
      </c>
      <c r="AH364" s="72" t="e">
        <f t="shared" ca="1" si="58"/>
        <v>#NAME?</v>
      </c>
      <c r="AI364" s="3" t="e">
        <f t="shared" ca="1" si="59"/>
        <v>#NAME?</v>
      </c>
    </row>
    <row r="365" spans="7:35" x14ac:dyDescent="0.25">
      <c r="G365" s="3">
        <f t="shared" ca="1" si="54"/>
        <v>346</v>
      </c>
      <c r="H365" s="105">
        <f t="shared" ca="1" si="56"/>
        <v>45271</v>
      </c>
      <c r="I365" s="132" t="e">
        <f>HLOOKUP($H$4,'Met Data'!$A$2:$F$368,G365,FALSE)</f>
        <v>#N/A</v>
      </c>
      <c r="J365" s="132" t="e">
        <f ca="1">HLOOKUP($H$4,'Met Data'!$H$2:$M$368,G365,FALSE)*L365</f>
        <v>#N/A</v>
      </c>
      <c r="K365" s="106" t="e">
        <f>HLOOKUP($H$4,'Met Data'!$O$2:$T$368,G365,FALSE)</f>
        <v>#N/A</v>
      </c>
      <c r="L365">
        <f t="shared" ca="1" si="50"/>
        <v>1</v>
      </c>
      <c r="N365" t="e">
        <f t="shared" ca="1" si="55"/>
        <v>#NAME?</v>
      </c>
      <c r="O365" t="e">
        <f t="shared" ca="1" si="51"/>
        <v>#NAME?</v>
      </c>
      <c r="P365" s="2" t="e">
        <f ca="1"/>
        <v>#NAME?</v>
      </c>
      <c r="Q365" t="e">
        <f ca="1"/>
        <v>#NAME?</v>
      </c>
      <c r="R365" t="e">
        <f ca="1"/>
        <v>#NAME?</v>
      </c>
      <c r="S365" t="e">
        <f ca="1"/>
        <v>#NAME?</v>
      </c>
      <c r="T365" t="e">
        <f ca="1"/>
        <v>#NAME?</v>
      </c>
      <c r="U365" t="e">
        <f ca="1"/>
        <v>#NAME?</v>
      </c>
      <c r="V365" t="e">
        <f ca="1"/>
        <v>#NAME?</v>
      </c>
      <c r="W365" t="e">
        <f ca="1"/>
        <v>#NAME?</v>
      </c>
      <c r="X365" t="e">
        <f ca="1"/>
        <v>#NAME?</v>
      </c>
      <c r="Y365" t="e">
        <f ca="1"/>
        <v>#NAME?</v>
      </c>
      <c r="Z365" t="e">
        <f ca="1"/>
        <v>#NAME?</v>
      </c>
      <c r="AA365" t="e">
        <f ca="1"/>
        <v>#NAME?</v>
      </c>
      <c r="AB365" t="e">
        <f ca="1"/>
        <v>#NAME?</v>
      </c>
      <c r="AD365" s="2">
        <f t="shared" ca="1" si="52"/>
        <v>0</v>
      </c>
      <c r="AE365" s="46">
        <f t="shared" ca="1" si="53"/>
        <v>0</v>
      </c>
      <c r="AG365" s="72" t="e">
        <f t="shared" ca="1" si="57"/>
        <v>#NAME?</v>
      </c>
      <c r="AH365" s="72" t="e">
        <f t="shared" ca="1" si="58"/>
        <v>#NAME?</v>
      </c>
      <c r="AI365" s="3" t="e">
        <f t="shared" ca="1" si="59"/>
        <v>#NAME?</v>
      </c>
    </row>
    <row r="366" spans="7:35" x14ac:dyDescent="0.25">
      <c r="G366" s="3">
        <f t="shared" ca="1" si="54"/>
        <v>347</v>
      </c>
      <c r="H366" s="105">
        <f t="shared" ca="1" si="56"/>
        <v>45272</v>
      </c>
      <c r="I366" s="132" t="e">
        <f>HLOOKUP($H$4,'Met Data'!$A$2:$F$368,G366,FALSE)</f>
        <v>#N/A</v>
      </c>
      <c r="J366" s="132" t="e">
        <f ca="1">HLOOKUP($H$4,'Met Data'!$H$2:$M$368,G366,FALSE)*L366</f>
        <v>#N/A</v>
      </c>
      <c r="K366" s="106" t="e">
        <f>HLOOKUP($H$4,'Met Data'!$O$2:$T$368,G366,FALSE)</f>
        <v>#N/A</v>
      </c>
      <c r="L366">
        <f t="shared" ca="1" si="50"/>
        <v>1</v>
      </c>
      <c r="N366" t="e">
        <f t="shared" ca="1" si="55"/>
        <v>#NAME?</v>
      </c>
      <c r="O366" t="e">
        <f t="shared" ca="1" si="51"/>
        <v>#NAME?</v>
      </c>
      <c r="P366" s="2" t="e">
        <f ca="1"/>
        <v>#NAME?</v>
      </c>
      <c r="Q366" t="e">
        <f ca="1"/>
        <v>#NAME?</v>
      </c>
      <c r="R366" t="e">
        <f ca="1"/>
        <v>#NAME?</v>
      </c>
      <c r="S366" t="e">
        <f ca="1"/>
        <v>#NAME?</v>
      </c>
      <c r="T366" t="e">
        <f ca="1"/>
        <v>#NAME?</v>
      </c>
      <c r="U366" t="e">
        <f ca="1"/>
        <v>#NAME?</v>
      </c>
      <c r="V366" t="e">
        <f ca="1"/>
        <v>#NAME?</v>
      </c>
      <c r="W366" t="e">
        <f ca="1"/>
        <v>#NAME?</v>
      </c>
      <c r="X366" t="e">
        <f ca="1"/>
        <v>#NAME?</v>
      </c>
      <c r="Y366" t="e">
        <f ca="1"/>
        <v>#NAME?</v>
      </c>
      <c r="Z366" t="e">
        <f ca="1"/>
        <v>#NAME?</v>
      </c>
      <c r="AA366" t="e">
        <f ca="1"/>
        <v>#NAME?</v>
      </c>
      <c r="AB366" t="e">
        <f ca="1"/>
        <v>#NAME?</v>
      </c>
      <c r="AD366" s="2">
        <f t="shared" ca="1" si="52"/>
        <v>0</v>
      </c>
      <c r="AE366" s="46">
        <f t="shared" ca="1" si="53"/>
        <v>0</v>
      </c>
      <c r="AG366" s="72" t="e">
        <f t="shared" ca="1" si="57"/>
        <v>#NAME?</v>
      </c>
      <c r="AH366" s="72" t="e">
        <f t="shared" ca="1" si="58"/>
        <v>#NAME?</v>
      </c>
      <c r="AI366" s="3" t="e">
        <f t="shared" ca="1" si="59"/>
        <v>#NAME?</v>
      </c>
    </row>
    <row r="367" spans="7:35" x14ac:dyDescent="0.25">
      <c r="G367" s="3">
        <f t="shared" ca="1" si="54"/>
        <v>348</v>
      </c>
      <c r="H367" s="105">
        <f t="shared" ca="1" si="56"/>
        <v>45273</v>
      </c>
      <c r="I367" s="132" t="e">
        <f>HLOOKUP($H$4,'Met Data'!$A$2:$F$368,G367,FALSE)</f>
        <v>#N/A</v>
      </c>
      <c r="J367" s="132" t="e">
        <f ca="1">HLOOKUP($H$4,'Met Data'!$H$2:$M$368,G367,FALSE)*L367</f>
        <v>#N/A</v>
      </c>
      <c r="K367" s="106" t="e">
        <f>HLOOKUP($H$4,'Met Data'!$O$2:$T$368,G367,FALSE)</f>
        <v>#N/A</v>
      </c>
      <c r="L367">
        <f t="shared" ca="1" si="50"/>
        <v>1</v>
      </c>
      <c r="N367" t="e">
        <f t="shared" ca="1" si="55"/>
        <v>#NAME?</v>
      </c>
      <c r="O367" t="e">
        <f t="shared" ca="1" si="51"/>
        <v>#NAME?</v>
      </c>
      <c r="P367" s="2" t="e">
        <f ca="1"/>
        <v>#NAME?</v>
      </c>
      <c r="Q367" t="e">
        <f ca="1"/>
        <v>#NAME?</v>
      </c>
      <c r="R367" t="e">
        <f ca="1"/>
        <v>#NAME?</v>
      </c>
      <c r="S367" t="e">
        <f ca="1"/>
        <v>#NAME?</v>
      </c>
      <c r="T367" t="e">
        <f ca="1"/>
        <v>#NAME?</v>
      </c>
      <c r="U367" t="e">
        <f ca="1"/>
        <v>#NAME?</v>
      </c>
      <c r="V367" t="e">
        <f ca="1"/>
        <v>#NAME?</v>
      </c>
      <c r="W367" t="e">
        <f ca="1"/>
        <v>#NAME?</v>
      </c>
      <c r="X367" t="e">
        <f ca="1"/>
        <v>#NAME?</v>
      </c>
      <c r="Y367" t="e">
        <f ca="1"/>
        <v>#NAME?</v>
      </c>
      <c r="Z367" t="e">
        <f ca="1"/>
        <v>#NAME?</v>
      </c>
      <c r="AA367" t="e">
        <f ca="1"/>
        <v>#NAME?</v>
      </c>
      <c r="AB367" t="e">
        <f ca="1"/>
        <v>#NAME?</v>
      </c>
      <c r="AD367" s="2">
        <f t="shared" ca="1" si="52"/>
        <v>0</v>
      </c>
      <c r="AE367" s="46">
        <f t="shared" ca="1" si="53"/>
        <v>0</v>
      </c>
      <c r="AG367" s="72" t="e">
        <f t="shared" ca="1" si="57"/>
        <v>#NAME?</v>
      </c>
      <c r="AH367" s="72" t="e">
        <f t="shared" ca="1" si="58"/>
        <v>#NAME?</v>
      </c>
      <c r="AI367" s="3" t="e">
        <f t="shared" ca="1" si="59"/>
        <v>#NAME?</v>
      </c>
    </row>
    <row r="368" spans="7:35" x14ac:dyDescent="0.25">
      <c r="G368" s="3">
        <f t="shared" ca="1" si="54"/>
        <v>349</v>
      </c>
      <c r="H368" s="105">
        <f t="shared" ca="1" si="56"/>
        <v>45274</v>
      </c>
      <c r="I368" s="132" t="e">
        <f>HLOOKUP($H$4,'Met Data'!$A$2:$F$368,G368,FALSE)</f>
        <v>#N/A</v>
      </c>
      <c r="J368" s="132" t="e">
        <f ca="1">HLOOKUP($H$4,'Met Data'!$H$2:$M$368,G368,FALSE)*L368</f>
        <v>#N/A</v>
      </c>
      <c r="K368" s="106" t="e">
        <f>HLOOKUP($H$4,'Met Data'!$O$2:$T$368,G368,FALSE)</f>
        <v>#N/A</v>
      </c>
      <c r="L368">
        <f t="shared" ca="1" si="50"/>
        <v>1</v>
      </c>
      <c r="N368" t="e">
        <f t="shared" ca="1" si="55"/>
        <v>#NAME?</v>
      </c>
      <c r="O368" t="e">
        <f t="shared" ca="1" si="51"/>
        <v>#NAME?</v>
      </c>
      <c r="P368" s="2" t="e">
        <f ca="1"/>
        <v>#NAME?</v>
      </c>
      <c r="Q368" t="e">
        <f ca="1"/>
        <v>#NAME?</v>
      </c>
      <c r="R368" t="e">
        <f ca="1"/>
        <v>#NAME?</v>
      </c>
      <c r="S368" t="e">
        <f ca="1"/>
        <v>#NAME?</v>
      </c>
      <c r="T368" t="e">
        <f ca="1"/>
        <v>#NAME?</v>
      </c>
      <c r="U368" t="e">
        <f ca="1"/>
        <v>#NAME?</v>
      </c>
      <c r="V368" t="e">
        <f ca="1"/>
        <v>#NAME?</v>
      </c>
      <c r="W368" t="e">
        <f ca="1"/>
        <v>#NAME?</v>
      </c>
      <c r="X368" t="e">
        <f ca="1"/>
        <v>#NAME?</v>
      </c>
      <c r="Y368" t="e">
        <f ca="1"/>
        <v>#NAME?</v>
      </c>
      <c r="Z368" t="e">
        <f ca="1"/>
        <v>#NAME?</v>
      </c>
      <c r="AA368" t="e">
        <f ca="1"/>
        <v>#NAME?</v>
      </c>
      <c r="AB368" t="e">
        <f ca="1"/>
        <v>#NAME?</v>
      </c>
      <c r="AD368" s="2">
        <f t="shared" ca="1" si="52"/>
        <v>0</v>
      </c>
      <c r="AE368" s="46">
        <f t="shared" ca="1" si="53"/>
        <v>0</v>
      </c>
      <c r="AG368" s="72" t="e">
        <f t="shared" ca="1" si="57"/>
        <v>#NAME?</v>
      </c>
      <c r="AH368" s="72" t="e">
        <f t="shared" ca="1" si="58"/>
        <v>#NAME?</v>
      </c>
      <c r="AI368" s="3" t="e">
        <f t="shared" ca="1" si="59"/>
        <v>#NAME?</v>
      </c>
    </row>
    <row r="369" spans="7:35" x14ac:dyDescent="0.25">
      <c r="G369" s="3">
        <f t="shared" ca="1" si="54"/>
        <v>350</v>
      </c>
      <c r="H369" s="105">
        <f t="shared" ca="1" si="56"/>
        <v>45275</v>
      </c>
      <c r="I369" s="132" t="e">
        <f>HLOOKUP($H$4,'Met Data'!$A$2:$F$368,G369,FALSE)</f>
        <v>#N/A</v>
      </c>
      <c r="J369" s="132" t="e">
        <f ca="1">HLOOKUP($H$4,'Met Data'!$H$2:$M$368,G369,FALSE)*L369</f>
        <v>#N/A</v>
      </c>
      <c r="K369" s="106" t="e">
        <f>HLOOKUP($H$4,'Met Data'!$O$2:$T$368,G369,FALSE)</f>
        <v>#N/A</v>
      </c>
      <c r="L369">
        <f t="shared" ca="1" si="50"/>
        <v>1</v>
      </c>
      <c r="N369" t="e">
        <f t="shared" ca="1" si="55"/>
        <v>#NAME?</v>
      </c>
      <c r="O369" t="e">
        <f t="shared" ca="1" si="51"/>
        <v>#NAME?</v>
      </c>
      <c r="P369" s="2" t="e">
        <f ca="1"/>
        <v>#NAME?</v>
      </c>
      <c r="Q369" t="e">
        <f ca="1"/>
        <v>#NAME?</v>
      </c>
      <c r="R369" t="e">
        <f ca="1"/>
        <v>#NAME?</v>
      </c>
      <c r="S369" t="e">
        <f ca="1"/>
        <v>#NAME?</v>
      </c>
      <c r="T369" t="e">
        <f ca="1"/>
        <v>#NAME?</v>
      </c>
      <c r="U369" t="e">
        <f ca="1"/>
        <v>#NAME?</v>
      </c>
      <c r="V369" t="e">
        <f ca="1"/>
        <v>#NAME?</v>
      </c>
      <c r="W369" t="e">
        <f ca="1"/>
        <v>#NAME?</v>
      </c>
      <c r="X369" t="e">
        <f ca="1"/>
        <v>#NAME?</v>
      </c>
      <c r="Y369" t="e">
        <f ca="1"/>
        <v>#NAME?</v>
      </c>
      <c r="Z369" t="e">
        <f ca="1"/>
        <v>#NAME?</v>
      </c>
      <c r="AA369" t="e">
        <f ca="1"/>
        <v>#NAME?</v>
      </c>
      <c r="AB369" t="e">
        <f ca="1"/>
        <v>#NAME?</v>
      </c>
      <c r="AD369" s="2">
        <f t="shared" ca="1" si="52"/>
        <v>0</v>
      </c>
      <c r="AE369" s="46">
        <f t="shared" ca="1" si="53"/>
        <v>0</v>
      </c>
      <c r="AG369" s="72" t="e">
        <f t="shared" ca="1" si="57"/>
        <v>#NAME?</v>
      </c>
      <c r="AH369" s="72" t="e">
        <f t="shared" ca="1" si="58"/>
        <v>#NAME?</v>
      </c>
      <c r="AI369" s="3" t="e">
        <f t="shared" ca="1" si="59"/>
        <v>#NAME?</v>
      </c>
    </row>
    <row r="370" spans="7:35" x14ac:dyDescent="0.25">
      <c r="G370" s="3">
        <f t="shared" ca="1" si="54"/>
        <v>351</v>
      </c>
      <c r="H370" s="105">
        <f t="shared" ca="1" si="56"/>
        <v>45276</v>
      </c>
      <c r="I370" s="132" t="e">
        <f>HLOOKUP($H$4,'Met Data'!$A$2:$F$368,G370,FALSE)</f>
        <v>#N/A</v>
      </c>
      <c r="J370" s="132" t="e">
        <f ca="1">HLOOKUP($H$4,'Met Data'!$H$2:$M$368,G370,FALSE)*L370</f>
        <v>#N/A</v>
      </c>
      <c r="K370" s="106" t="e">
        <f>HLOOKUP($H$4,'Met Data'!$O$2:$T$368,G370,FALSE)</f>
        <v>#N/A</v>
      </c>
      <c r="L370">
        <f t="shared" ca="1" si="50"/>
        <v>1</v>
      </c>
      <c r="N370" t="e">
        <f t="shared" ca="1" si="55"/>
        <v>#NAME?</v>
      </c>
      <c r="O370" t="e">
        <f t="shared" ca="1" si="51"/>
        <v>#NAME?</v>
      </c>
      <c r="P370" s="2" t="e">
        <f ca="1"/>
        <v>#NAME?</v>
      </c>
      <c r="Q370" t="e">
        <f ca="1"/>
        <v>#NAME?</v>
      </c>
      <c r="R370" t="e">
        <f ca="1"/>
        <v>#NAME?</v>
      </c>
      <c r="S370" t="e">
        <f ca="1"/>
        <v>#NAME?</v>
      </c>
      <c r="T370" t="e">
        <f ca="1"/>
        <v>#NAME?</v>
      </c>
      <c r="U370" t="e">
        <f ca="1"/>
        <v>#NAME?</v>
      </c>
      <c r="V370" t="e">
        <f ca="1"/>
        <v>#NAME?</v>
      </c>
      <c r="W370" t="e">
        <f ca="1"/>
        <v>#NAME?</v>
      </c>
      <c r="X370" t="e">
        <f ca="1"/>
        <v>#NAME?</v>
      </c>
      <c r="Y370" t="e">
        <f ca="1"/>
        <v>#NAME?</v>
      </c>
      <c r="Z370" t="e">
        <f ca="1"/>
        <v>#NAME?</v>
      </c>
      <c r="AA370" t="e">
        <f ca="1"/>
        <v>#NAME?</v>
      </c>
      <c r="AB370" t="e">
        <f ca="1"/>
        <v>#NAME?</v>
      </c>
      <c r="AD370" s="2">
        <f t="shared" ca="1" si="52"/>
        <v>0</v>
      </c>
      <c r="AE370" s="46">
        <f t="shared" ca="1" si="53"/>
        <v>0</v>
      </c>
      <c r="AG370" s="72" t="e">
        <f t="shared" ca="1" si="57"/>
        <v>#NAME?</v>
      </c>
      <c r="AH370" s="72" t="e">
        <f t="shared" ca="1" si="58"/>
        <v>#NAME?</v>
      </c>
      <c r="AI370" s="3" t="e">
        <f t="shared" ca="1" si="59"/>
        <v>#NAME?</v>
      </c>
    </row>
    <row r="371" spans="7:35" x14ac:dyDescent="0.25">
      <c r="G371" s="3">
        <f t="shared" ca="1" si="54"/>
        <v>352</v>
      </c>
      <c r="H371" s="105">
        <f t="shared" ca="1" si="56"/>
        <v>45277</v>
      </c>
      <c r="I371" s="132" t="e">
        <f>HLOOKUP($H$4,'Met Data'!$A$2:$F$368,G371,FALSE)</f>
        <v>#N/A</v>
      </c>
      <c r="J371" s="132" t="e">
        <f ca="1">HLOOKUP($H$4,'Met Data'!$H$2:$M$368,G371,FALSE)*L371</f>
        <v>#N/A</v>
      </c>
      <c r="K371" s="106" t="e">
        <f>HLOOKUP($H$4,'Met Data'!$O$2:$T$368,G371,FALSE)</f>
        <v>#N/A</v>
      </c>
      <c r="L371">
        <f t="shared" ca="1" si="50"/>
        <v>1</v>
      </c>
      <c r="N371" t="e">
        <f t="shared" ca="1" si="55"/>
        <v>#NAME?</v>
      </c>
      <c r="O371" t="e">
        <f t="shared" ca="1" si="51"/>
        <v>#NAME?</v>
      </c>
      <c r="P371" s="2" t="e">
        <f ca="1"/>
        <v>#NAME?</v>
      </c>
      <c r="Q371" t="e">
        <f ca="1"/>
        <v>#NAME?</v>
      </c>
      <c r="R371" t="e">
        <f ca="1"/>
        <v>#NAME?</v>
      </c>
      <c r="S371" t="e">
        <f ca="1"/>
        <v>#NAME?</v>
      </c>
      <c r="T371" t="e">
        <f ca="1"/>
        <v>#NAME?</v>
      </c>
      <c r="U371" t="e">
        <f ca="1"/>
        <v>#NAME?</v>
      </c>
      <c r="V371" t="e">
        <f ca="1"/>
        <v>#NAME?</v>
      </c>
      <c r="W371" t="e">
        <f ca="1"/>
        <v>#NAME?</v>
      </c>
      <c r="X371" t="e">
        <f ca="1"/>
        <v>#NAME?</v>
      </c>
      <c r="Y371" t="e">
        <f ca="1"/>
        <v>#NAME?</v>
      </c>
      <c r="Z371" t="e">
        <f ca="1"/>
        <v>#NAME?</v>
      </c>
      <c r="AA371" t="e">
        <f ca="1"/>
        <v>#NAME?</v>
      </c>
      <c r="AB371" t="e">
        <f ca="1"/>
        <v>#NAME?</v>
      </c>
      <c r="AD371" s="2">
        <f t="shared" ca="1" si="52"/>
        <v>0</v>
      </c>
      <c r="AE371" s="46">
        <f t="shared" ca="1" si="53"/>
        <v>0</v>
      </c>
      <c r="AG371" s="72" t="e">
        <f t="shared" ca="1" si="57"/>
        <v>#NAME?</v>
      </c>
      <c r="AH371" s="72" t="e">
        <f t="shared" ca="1" si="58"/>
        <v>#NAME?</v>
      </c>
      <c r="AI371" s="3" t="e">
        <f t="shared" ca="1" si="59"/>
        <v>#NAME?</v>
      </c>
    </row>
    <row r="372" spans="7:35" x14ac:dyDescent="0.25">
      <c r="G372" s="3">
        <f t="shared" ca="1" si="54"/>
        <v>353</v>
      </c>
      <c r="H372" s="105">
        <f t="shared" ca="1" si="56"/>
        <v>45278</v>
      </c>
      <c r="I372" s="132" t="e">
        <f>HLOOKUP($H$4,'Met Data'!$A$2:$F$368,G372,FALSE)</f>
        <v>#N/A</v>
      </c>
      <c r="J372" s="132" t="e">
        <f ca="1">HLOOKUP($H$4,'Met Data'!$H$2:$M$368,G372,FALSE)*L372</f>
        <v>#N/A</v>
      </c>
      <c r="K372" s="106" t="e">
        <f>HLOOKUP($H$4,'Met Data'!$O$2:$T$368,G372,FALSE)</f>
        <v>#N/A</v>
      </c>
      <c r="L372">
        <f t="shared" ca="1" si="50"/>
        <v>1</v>
      </c>
      <c r="N372" t="e">
        <f t="shared" ca="1" si="55"/>
        <v>#NAME?</v>
      </c>
      <c r="O372" t="e">
        <f t="shared" ca="1" si="51"/>
        <v>#NAME?</v>
      </c>
      <c r="P372" s="2" t="e">
        <f ca="1"/>
        <v>#NAME?</v>
      </c>
      <c r="Q372" t="e">
        <f ca="1"/>
        <v>#NAME?</v>
      </c>
      <c r="R372" t="e">
        <f ca="1"/>
        <v>#NAME?</v>
      </c>
      <c r="S372" t="e">
        <f ca="1"/>
        <v>#NAME?</v>
      </c>
      <c r="T372" t="e">
        <f ca="1"/>
        <v>#NAME?</v>
      </c>
      <c r="U372" t="e">
        <f ca="1"/>
        <v>#NAME?</v>
      </c>
      <c r="V372" t="e">
        <f ca="1"/>
        <v>#NAME?</v>
      </c>
      <c r="W372" t="e">
        <f ca="1"/>
        <v>#NAME?</v>
      </c>
      <c r="X372" t="e">
        <f ca="1"/>
        <v>#NAME?</v>
      </c>
      <c r="Y372" t="e">
        <f ca="1"/>
        <v>#NAME?</v>
      </c>
      <c r="Z372" t="e">
        <f ca="1"/>
        <v>#NAME?</v>
      </c>
      <c r="AA372" t="e">
        <f ca="1"/>
        <v>#NAME?</v>
      </c>
      <c r="AB372" t="e">
        <f ca="1"/>
        <v>#NAME?</v>
      </c>
      <c r="AD372" s="2">
        <f t="shared" ca="1" si="52"/>
        <v>0</v>
      </c>
      <c r="AE372" s="46">
        <f t="shared" ca="1" si="53"/>
        <v>0</v>
      </c>
      <c r="AG372" s="72" t="e">
        <f t="shared" ca="1" si="57"/>
        <v>#NAME?</v>
      </c>
      <c r="AH372" s="72" t="e">
        <f t="shared" ca="1" si="58"/>
        <v>#NAME?</v>
      </c>
      <c r="AI372" s="3" t="e">
        <f t="shared" ca="1" si="59"/>
        <v>#NAME?</v>
      </c>
    </row>
    <row r="373" spans="7:35" x14ac:dyDescent="0.25">
      <c r="G373" s="3">
        <f t="shared" ca="1" si="54"/>
        <v>354</v>
      </c>
      <c r="H373" s="105">
        <f t="shared" ca="1" si="56"/>
        <v>45279</v>
      </c>
      <c r="I373" s="132" t="e">
        <f>HLOOKUP($H$4,'Met Data'!$A$2:$F$368,G373,FALSE)</f>
        <v>#N/A</v>
      </c>
      <c r="J373" s="132" t="e">
        <f ca="1">HLOOKUP($H$4,'Met Data'!$H$2:$M$368,G373,FALSE)*L373</f>
        <v>#N/A</v>
      </c>
      <c r="K373" s="106" t="e">
        <f>HLOOKUP($H$4,'Met Data'!$O$2:$T$368,G373,FALSE)</f>
        <v>#N/A</v>
      </c>
      <c r="L373">
        <f t="shared" ca="1" si="50"/>
        <v>1</v>
      </c>
      <c r="N373" t="e">
        <f t="shared" ca="1" si="55"/>
        <v>#NAME?</v>
      </c>
      <c r="O373" t="e">
        <f t="shared" ca="1" si="51"/>
        <v>#NAME?</v>
      </c>
      <c r="P373" s="2" t="e">
        <f ca="1"/>
        <v>#NAME?</v>
      </c>
      <c r="Q373" t="e">
        <f ca="1"/>
        <v>#NAME?</v>
      </c>
      <c r="R373" t="e">
        <f ca="1"/>
        <v>#NAME?</v>
      </c>
      <c r="S373" t="e">
        <f ca="1"/>
        <v>#NAME?</v>
      </c>
      <c r="T373" t="e">
        <f ca="1"/>
        <v>#NAME?</v>
      </c>
      <c r="U373" t="e">
        <f ca="1"/>
        <v>#NAME?</v>
      </c>
      <c r="V373" t="e">
        <f ca="1"/>
        <v>#NAME?</v>
      </c>
      <c r="W373" t="e">
        <f ca="1"/>
        <v>#NAME?</v>
      </c>
      <c r="X373" t="e">
        <f ca="1"/>
        <v>#NAME?</v>
      </c>
      <c r="Y373" t="e">
        <f ca="1"/>
        <v>#NAME?</v>
      </c>
      <c r="Z373" t="e">
        <f ca="1"/>
        <v>#NAME?</v>
      </c>
      <c r="AA373" t="e">
        <f ca="1"/>
        <v>#NAME?</v>
      </c>
      <c r="AB373" t="e">
        <f ca="1"/>
        <v>#NAME?</v>
      </c>
      <c r="AD373" s="2">
        <f t="shared" ca="1" si="52"/>
        <v>0</v>
      </c>
      <c r="AE373" s="46">
        <f t="shared" ca="1" si="53"/>
        <v>0</v>
      </c>
      <c r="AG373" s="72" t="e">
        <f t="shared" ca="1" si="57"/>
        <v>#NAME?</v>
      </c>
      <c r="AH373" s="72" t="e">
        <f t="shared" ca="1" si="58"/>
        <v>#NAME?</v>
      </c>
      <c r="AI373" s="3" t="e">
        <f t="shared" ca="1" si="59"/>
        <v>#NAME?</v>
      </c>
    </row>
    <row r="374" spans="7:35" x14ac:dyDescent="0.25">
      <c r="G374" s="3">
        <f t="shared" ca="1" si="54"/>
        <v>355</v>
      </c>
      <c r="H374" s="105">
        <f t="shared" ca="1" si="56"/>
        <v>45280</v>
      </c>
      <c r="I374" s="132" t="e">
        <f>HLOOKUP($H$4,'Met Data'!$A$2:$F$368,G374,FALSE)</f>
        <v>#N/A</v>
      </c>
      <c r="J374" s="132" t="e">
        <f ca="1">HLOOKUP($H$4,'Met Data'!$H$2:$M$368,G374,FALSE)*L374</f>
        <v>#N/A</v>
      </c>
      <c r="K374" s="106" t="e">
        <f>HLOOKUP($H$4,'Met Data'!$O$2:$T$368,G374,FALSE)</f>
        <v>#N/A</v>
      </c>
      <c r="L374">
        <f t="shared" ca="1" si="50"/>
        <v>1</v>
      </c>
      <c r="N374" t="e">
        <f t="shared" ca="1" si="55"/>
        <v>#NAME?</v>
      </c>
      <c r="O374" t="e">
        <f t="shared" ca="1" si="51"/>
        <v>#NAME?</v>
      </c>
      <c r="P374" s="2" t="e">
        <f ca="1"/>
        <v>#NAME?</v>
      </c>
      <c r="Q374" t="e">
        <f ca="1"/>
        <v>#NAME?</v>
      </c>
      <c r="R374" t="e">
        <f ca="1"/>
        <v>#NAME?</v>
      </c>
      <c r="S374" t="e">
        <f ca="1"/>
        <v>#NAME?</v>
      </c>
      <c r="T374" t="e">
        <f ca="1"/>
        <v>#NAME?</v>
      </c>
      <c r="U374" t="e">
        <f ca="1"/>
        <v>#NAME?</v>
      </c>
      <c r="V374" t="e">
        <f ca="1"/>
        <v>#NAME?</v>
      </c>
      <c r="W374" t="e">
        <f ca="1"/>
        <v>#NAME?</v>
      </c>
      <c r="X374" t="e">
        <f ca="1"/>
        <v>#NAME?</v>
      </c>
      <c r="Y374" t="e">
        <f ca="1"/>
        <v>#NAME?</v>
      </c>
      <c r="Z374" t="e">
        <f ca="1"/>
        <v>#NAME?</v>
      </c>
      <c r="AA374" t="e">
        <f ca="1"/>
        <v>#NAME?</v>
      </c>
      <c r="AB374" t="e">
        <f ca="1"/>
        <v>#NAME?</v>
      </c>
      <c r="AD374" s="2">
        <f t="shared" ca="1" si="52"/>
        <v>0</v>
      </c>
      <c r="AE374" s="46">
        <f t="shared" ca="1" si="53"/>
        <v>0</v>
      </c>
      <c r="AG374" s="72" t="e">
        <f t="shared" ca="1" si="57"/>
        <v>#NAME?</v>
      </c>
      <c r="AH374" s="72" t="e">
        <f t="shared" ca="1" si="58"/>
        <v>#NAME?</v>
      </c>
      <c r="AI374" s="3" t="e">
        <f t="shared" ca="1" si="59"/>
        <v>#NAME?</v>
      </c>
    </row>
    <row r="375" spans="7:35" x14ac:dyDescent="0.25">
      <c r="G375" s="3">
        <f t="shared" ca="1" si="54"/>
        <v>356</v>
      </c>
      <c r="H375" s="105">
        <f t="shared" ca="1" si="56"/>
        <v>45281</v>
      </c>
      <c r="I375" s="132" t="e">
        <f>HLOOKUP($H$4,'Met Data'!$A$2:$F$368,G375,FALSE)</f>
        <v>#N/A</v>
      </c>
      <c r="J375" s="132" t="e">
        <f ca="1">HLOOKUP($H$4,'Met Data'!$H$2:$M$368,G375,FALSE)*L375</f>
        <v>#N/A</v>
      </c>
      <c r="K375" s="106" t="e">
        <f>HLOOKUP($H$4,'Met Data'!$O$2:$T$368,G375,FALSE)</f>
        <v>#N/A</v>
      </c>
      <c r="L375">
        <f t="shared" ca="1" si="50"/>
        <v>1</v>
      </c>
      <c r="N375" t="e">
        <f t="shared" ca="1" si="55"/>
        <v>#NAME?</v>
      </c>
      <c r="O375" t="e">
        <f t="shared" ca="1" si="51"/>
        <v>#NAME?</v>
      </c>
      <c r="P375" s="2" t="e">
        <f ca="1"/>
        <v>#NAME?</v>
      </c>
      <c r="Q375" t="e">
        <f ca="1"/>
        <v>#NAME?</v>
      </c>
      <c r="R375" t="e">
        <f ca="1"/>
        <v>#NAME?</v>
      </c>
      <c r="S375" t="e">
        <f ca="1"/>
        <v>#NAME?</v>
      </c>
      <c r="T375" t="e">
        <f ca="1"/>
        <v>#NAME?</v>
      </c>
      <c r="U375" t="e">
        <f ca="1"/>
        <v>#NAME?</v>
      </c>
      <c r="V375" t="e">
        <f ca="1"/>
        <v>#NAME?</v>
      </c>
      <c r="W375" t="e">
        <f ca="1"/>
        <v>#NAME?</v>
      </c>
      <c r="X375" t="e">
        <f ca="1"/>
        <v>#NAME?</v>
      </c>
      <c r="Y375" t="e">
        <f ca="1"/>
        <v>#NAME?</v>
      </c>
      <c r="Z375" t="e">
        <f ca="1"/>
        <v>#NAME?</v>
      </c>
      <c r="AA375" t="e">
        <f ca="1"/>
        <v>#NAME?</v>
      </c>
      <c r="AB375" t="e">
        <f ca="1"/>
        <v>#NAME?</v>
      </c>
      <c r="AD375" s="2">
        <f t="shared" ca="1" si="52"/>
        <v>0</v>
      </c>
      <c r="AE375" s="46">
        <f t="shared" ca="1" si="53"/>
        <v>0</v>
      </c>
      <c r="AG375" s="72" t="e">
        <f t="shared" ca="1" si="57"/>
        <v>#NAME?</v>
      </c>
      <c r="AH375" s="72" t="e">
        <f t="shared" ca="1" si="58"/>
        <v>#NAME?</v>
      </c>
      <c r="AI375" s="3" t="e">
        <f t="shared" ca="1" si="59"/>
        <v>#NAME?</v>
      </c>
    </row>
    <row r="376" spans="7:35" x14ac:dyDescent="0.25">
      <c r="G376" s="3">
        <f t="shared" ca="1" si="54"/>
        <v>357</v>
      </c>
      <c r="H376" s="105">
        <f t="shared" ca="1" si="56"/>
        <v>45282</v>
      </c>
      <c r="I376" s="132" t="e">
        <f>HLOOKUP($H$4,'Met Data'!$A$2:$F$368,G376,FALSE)</f>
        <v>#N/A</v>
      </c>
      <c r="J376" s="132" t="e">
        <f ca="1">HLOOKUP($H$4,'Met Data'!$H$2:$M$368,G376,FALSE)*L376</f>
        <v>#N/A</v>
      </c>
      <c r="K376" s="106" t="e">
        <f>HLOOKUP($H$4,'Met Data'!$O$2:$T$368,G376,FALSE)</f>
        <v>#N/A</v>
      </c>
      <c r="L376">
        <f t="shared" ca="1" si="50"/>
        <v>1</v>
      </c>
      <c r="N376" t="e">
        <f t="shared" ca="1" si="55"/>
        <v>#NAME?</v>
      </c>
      <c r="O376" t="e">
        <f t="shared" ca="1" si="51"/>
        <v>#NAME?</v>
      </c>
      <c r="P376" s="2" t="e">
        <f ca="1"/>
        <v>#NAME?</v>
      </c>
      <c r="Q376" t="e">
        <f ca="1"/>
        <v>#NAME?</v>
      </c>
      <c r="R376" t="e">
        <f ca="1"/>
        <v>#NAME?</v>
      </c>
      <c r="S376" t="e">
        <f ca="1"/>
        <v>#NAME?</v>
      </c>
      <c r="T376" t="e">
        <f ca="1"/>
        <v>#NAME?</v>
      </c>
      <c r="U376" t="e">
        <f ca="1"/>
        <v>#NAME?</v>
      </c>
      <c r="V376" t="e">
        <f ca="1"/>
        <v>#NAME?</v>
      </c>
      <c r="W376" t="e">
        <f ca="1"/>
        <v>#NAME?</v>
      </c>
      <c r="X376" t="e">
        <f ca="1"/>
        <v>#NAME?</v>
      </c>
      <c r="Y376" t="e">
        <f ca="1"/>
        <v>#NAME?</v>
      </c>
      <c r="Z376" t="e">
        <f ca="1"/>
        <v>#NAME?</v>
      </c>
      <c r="AA376" t="e">
        <f ca="1"/>
        <v>#NAME?</v>
      </c>
      <c r="AB376" t="e">
        <f ca="1"/>
        <v>#NAME?</v>
      </c>
      <c r="AD376" s="2">
        <f t="shared" ca="1" si="52"/>
        <v>0</v>
      </c>
      <c r="AE376" s="46">
        <f t="shared" ca="1" si="53"/>
        <v>0</v>
      </c>
      <c r="AG376" s="72" t="e">
        <f t="shared" ca="1" si="57"/>
        <v>#NAME?</v>
      </c>
      <c r="AH376" s="72" t="e">
        <f t="shared" ca="1" si="58"/>
        <v>#NAME?</v>
      </c>
      <c r="AI376" s="3" t="e">
        <f t="shared" ca="1" si="59"/>
        <v>#NAME?</v>
      </c>
    </row>
    <row r="377" spans="7:35" x14ac:dyDescent="0.25">
      <c r="G377" s="3">
        <f t="shared" ca="1" si="54"/>
        <v>358</v>
      </c>
      <c r="H377" s="105">
        <f t="shared" ca="1" si="56"/>
        <v>45283</v>
      </c>
      <c r="I377" s="132" t="e">
        <f>HLOOKUP($H$4,'Met Data'!$A$2:$F$368,G377,FALSE)</f>
        <v>#N/A</v>
      </c>
      <c r="J377" s="132" t="e">
        <f ca="1">HLOOKUP($H$4,'Met Data'!$H$2:$M$368,G377,FALSE)*L377</f>
        <v>#N/A</v>
      </c>
      <c r="K377" s="106" t="e">
        <f>HLOOKUP($H$4,'Met Data'!$O$2:$T$368,G377,FALSE)</f>
        <v>#N/A</v>
      </c>
      <c r="L377">
        <f t="shared" ca="1" si="50"/>
        <v>1</v>
      </c>
      <c r="N377" t="e">
        <f t="shared" ca="1" si="55"/>
        <v>#NAME?</v>
      </c>
      <c r="O377" t="e">
        <f t="shared" ca="1" si="51"/>
        <v>#NAME?</v>
      </c>
      <c r="P377" s="2" t="e">
        <f ca="1"/>
        <v>#NAME?</v>
      </c>
      <c r="Q377" t="e">
        <f ca="1"/>
        <v>#NAME?</v>
      </c>
      <c r="R377" t="e">
        <f ca="1"/>
        <v>#NAME?</v>
      </c>
      <c r="S377" t="e">
        <f ca="1"/>
        <v>#NAME?</v>
      </c>
      <c r="T377" t="e">
        <f ca="1"/>
        <v>#NAME?</v>
      </c>
      <c r="U377" t="e">
        <f ca="1"/>
        <v>#NAME?</v>
      </c>
      <c r="V377" t="e">
        <f ca="1"/>
        <v>#NAME?</v>
      </c>
      <c r="W377" t="e">
        <f ca="1"/>
        <v>#NAME?</v>
      </c>
      <c r="X377" t="e">
        <f ca="1"/>
        <v>#NAME?</v>
      </c>
      <c r="Y377" t="e">
        <f ca="1"/>
        <v>#NAME?</v>
      </c>
      <c r="Z377" t="e">
        <f ca="1"/>
        <v>#NAME?</v>
      </c>
      <c r="AA377" t="e">
        <f ca="1"/>
        <v>#NAME?</v>
      </c>
      <c r="AB377" t="e">
        <f ca="1"/>
        <v>#NAME?</v>
      </c>
      <c r="AD377" s="2">
        <f t="shared" ca="1" si="52"/>
        <v>0</v>
      </c>
      <c r="AE377" s="46">
        <f t="shared" ca="1" si="53"/>
        <v>0</v>
      </c>
      <c r="AG377" s="72" t="e">
        <f t="shared" ca="1" si="57"/>
        <v>#NAME?</v>
      </c>
      <c r="AH377" s="72" t="e">
        <f t="shared" ca="1" si="58"/>
        <v>#NAME?</v>
      </c>
      <c r="AI377" s="3" t="e">
        <f t="shared" ca="1" si="59"/>
        <v>#NAME?</v>
      </c>
    </row>
    <row r="378" spans="7:35" x14ac:dyDescent="0.25">
      <c r="G378" s="3">
        <f t="shared" ca="1" si="54"/>
        <v>359</v>
      </c>
      <c r="H378" s="105">
        <f t="shared" ca="1" si="56"/>
        <v>45284</v>
      </c>
      <c r="I378" s="132" t="e">
        <f>HLOOKUP($H$4,'Met Data'!$A$2:$F$368,G378,FALSE)</f>
        <v>#N/A</v>
      </c>
      <c r="J378" s="132" t="e">
        <f ca="1">HLOOKUP($H$4,'Met Data'!$H$2:$M$368,G378,FALSE)*L378</f>
        <v>#N/A</v>
      </c>
      <c r="K378" s="106" t="e">
        <f>HLOOKUP($H$4,'Met Data'!$O$2:$T$368,G378,FALSE)</f>
        <v>#N/A</v>
      </c>
      <c r="L378">
        <f t="shared" ca="1" si="50"/>
        <v>1</v>
      </c>
      <c r="N378" t="e">
        <f t="shared" ca="1" si="55"/>
        <v>#NAME?</v>
      </c>
      <c r="O378" t="e">
        <f t="shared" ca="1" si="51"/>
        <v>#NAME?</v>
      </c>
      <c r="P378" s="2" t="e">
        <f ca="1"/>
        <v>#NAME?</v>
      </c>
      <c r="Q378" t="e">
        <f ca="1"/>
        <v>#NAME?</v>
      </c>
      <c r="R378" t="e">
        <f ca="1"/>
        <v>#NAME?</v>
      </c>
      <c r="S378" t="e">
        <f ca="1"/>
        <v>#NAME?</v>
      </c>
      <c r="T378" t="e">
        <f ca="1"/>
        <v>#NAME?</v>
      </c>
      <c r="U378" t="e">
        <f ca="1"/>
        <v>#NAME?</v>
      </c>
      <c r="V378" t="e">
        <f ca="1"/>
        <v>#NAME?</v>
      </c>
      <c r="W378" t="e">
        <f ca="1"/>
        <v>#NAME?</v>
      </c>
      <c r="X378" t="e">
        <f ca="1"/>
        <v>#NAME?</v>
      </c>
      <c r="Y378" t="e">
        <f ca="1"/>
        <v>#NAME?</v>
      </c>
      <c r="Z378" t="e">
        <f ca="1"/>
        <v>#NAME?</v>
      </c>
      <c r="AA378" t="e">
        <f ca="1"/>
        <v>#NAME?</v>
      </c>
      <c r="AB378" t="e">
        <f ca="1"/>
        <v>#NAME?</v>
      </c>
      <c r="AD378" s="2">
        <f t="shared" ca="1" si="52"/>
        <v>0</v>
      </c>
      <c r="AE378" s="46">
        <f t="shared" ca="1" si="53"/>
        <v>0</v>
      </c>
      <c r="AG378" s="72" t="e">
        <f t="shared" ca="1" si="57"/>
        <v>#NAME?</v>
      </c>
      <c r="AH378" s="72" t="e">
        <f t="shared" ca="1" si="58"/>
        <v>#NAME?</v>
      </c>
      <c r="AI378" s="3" t="e">
        <f t="shared" ca="1" si="59"/>
        <v>#NAME?</v>
      </c>
    </row>
    <row r="379" spans="7:35" x14ac:dyDescent="0.25">
      <c r="G379" s="3">
        <f t="shared" ca="1" si="54"/>
        <v>360</v>
      </c>
      <c r="H379" s="105">
        <f t="shared" ca="1" si="56"/>
        <v>45285</v>
      </c>
      <c r="I379" s="132" t="e">
        <f>HLOOKUP($H$4,'Met Data'!$A$2:$F$368,G379,FALSE)</f>
        <v>#N/A</v>
      </c>
      <c r="J379" s="132" t="e">
        <f ca="1">HLOOKUP($H$4,'Met Data'!$H$2:$M$368,G379,FALSE)*L379</f>
        <v>#N/A</v>
      </c>
      <c r="K379" s="106" t="e">
        <f>HLOOKUP($H$4,'Met Data'!$O$2:$T$368,G379,FALSE)</f>
        <v>#N/A</v>
      </c>
      <c r="L379">
        <f t="shared" ca="1" si="50"/>
        <v>1</v>
      </c>
      <c r="N379" t="e">
        <f t="shared" ca="1" si="55"/>
        <v>#NAME?</v>
      </c>
      <c r="O379" t="e">
        <f t="shared" ca="1" si="51"/>
        <v>#NAME?</v>
      </c>
      <c r="P379" s="2" t="e">
        <f ca="1"/>
        <v>#NAME?</v>
      </c>
      <c r="Q379" t="e">
        <f ca="1"/>
        <v>#NAME?</v>
      </c>
      <c r="R379" t="e">
        <f ca="1"/>
        <v>#NAME?</v>
      </c>
      <c r="S379" t="e">
        <f ca="1"/>
        <v>#NAME?</v>
      </c>
      <c r="T379" t="e">
        <f ca="1"/>
        <v>#NAME?</v>
      </c>
      <c r="U379" t="e">
        <f ca="1"/>
        <v>#NAME?</v>
      </c>
      <c r="V379" t="e">
        <f ca="1"/>
        <v>#NAME?</v>
      </c>
      <c r="W379" t="e">
        <f ca="1"/>
        <v>#NAME?</v>
      </c>
      <c r="X379" t="e">
        <f ca="1"/>
        <v>#NAME?</v>
      </c>
      <c r="Y379" t="e">
        <f ca="1"/>
        <v>#NAME?</v>
      </c>
      <c r="Z379" t="e">
        <f ca="1"/>
        <v>#NAME?</v>
      </c>
      <c r="AA379" t="e">
        <f ca="1"/>
        <v>#NAME?</v>
      </c>
      <c r="AB379" t="e">
        <f ca="1"/>
        <v>#NAME?</v>
      </c>
      <c r="AD379" s="2">
        <f t="shared" ca="1" si="52"/>
        <v>0</v>
      </c>
      <c r="AE379" s="46">
        <f t="shared" ca="1" si="53"/>
        <v>0</v>
      </c>
      <c r="AG379" s="72" t="e">
        <f t="shared" ca="1" si="57"/>
        <v>#NAME?</v>
      </c>
      <c r="AH379" s="72" t="e">
        <f t="shared" ca="1" si="58"/>
        <v>#NAME?</v>
      </c>
      <c r="AI379" s="3" t="e">
        <f t="shared" ca="1" si="59"/>
        <v>#NAME?</v>
      </c>
    </row>
    <row r="380" spans="7:35" x14ac:dyDescent="0.25">
      <c r="G380" s="3">
        <f t="shared" ca="1" si="54"/>
        <v>361</v>
      </c>
      <c r="H380" s="105">
        <f t="shared" ca="1" si="56"/>
        <v>45286</v>
      </c>
      <c r="I380" s="132" t="e">
        <f>HLOOKUP($H$4,'Met Data'!$A$2:$F$368,G380,FALSE)</f>
        <v>#N/A</v>
      </c>
      <c r="J380" s="132" t="e">
        <f ca="1">HLOOKUP($H$4,'Met Data'!$H$2:$M$368,G380,FALSE)*L380</f>
        <v>#N/A</v>
      </c>
      <c r="K380" s="106" t="e">
        <f>HLOOKUP($H$4,'Met Data'!$O$2:$T$368,G380,FALSE)</f>
        <v>#N/A</v>
      </c>
      <c r="L380">
        <f t="shared" ca="1" si="50"/>
        <v>1</v>
      </c>
      <c r="N380" t="e">
        <f t="shared" ca="1" si="55"/>
        <v>#NAME?</v>
      </c>
      <c r="O380" t="e">
        <f t="shared" ca="1" si="51"/>
        <v>#NAME?</v>
      </c>
      <c r="P380" s="2" t="e">
        <f ca="1"/>
        <v>#NAME?</v>
      </c>
      <c r="Q380" t="e">
        <f ca="1"/>
        <v>#NAME?</v>
      </c>
      <c r="R380" t="e">
        <f ca="1"/>
        <v>#NAME?</v>
      </c>
      <c r="S380" t="e">
        <f ca="1"/>
        <v>#NAME?</v>
      </c>
      <c r="T380" t="e">
        <f ca="1"/>
        <v>#NAME?</v>
      </c>
      <c r="U380" t="e">
        <f ca="1"/>
        <v>#NAME?</v>
      </c>
      <c r="V380" t="e">
        <f ca="1"/>
        <v>#NAME?</v>
      </c>
      <c r="W380" t="e">
        <f ca="1"/>
        <v>#NAME?</v>
      </c>
      <c r="X380" t="e">
        <f ca="1"/>
        <v>#NAME?</v>
      </c>
      <c r="Y380" t="e">
        <f ca="1"/>
        <v>#NAME?</v>
      </c>
      <c r="Z380" t="e">
        <f ca="1"/>
        <v>#NAME?</v>
      </c>
      <c r="AA380" t="e">
        <f ca="1"/>
        <v>#NAME?</v>
      </c>
      <c r="AB380" t="e">
        <f ca="1"/>
        <v>#NAME?</v>
      </c>
      <c r="AD380" s="2">
        <f t="shared" ca="1" si="52"/>
        <v>0</v>
      </c>
      <c r="AE380" s="46">
        <f t="shared" ca="1" si="53"/>
        <v>0</v>
      </c>
      <c r="AG380" s="72" t="e">
        <f t="shared" ca="1" si="57"/>
        <v>#NAME?</v>
      </c>
      <c r="AH380" s="72" t="e">
        <f t="shared" ca="1" si="58"/>
        <v>#NAME?</v>
      </c>
      <c r="AI380" s="3" t="e">
        <f t="shared" ca="1" si="59"/>
        <v>#NAME?</v>
      </c>
    </row>
    <row r="381" spans="7:35" x14ac:dyDescent="0.25">
      <c r="G381" s="3">
        <f t="shared" ca="1" si="54"/>
        <v>362</v>
      </c>
      <c r="H381" s="105">
        <f t="shared" ca="1" si="56"/>
        <v>45287</v>
      </c>
      <c r="I381" s="132" t="e">
        <f>HLOOKUP($H$4,'Met Data'!$A$2:$F$368,G381,FALSE)</f>
        <v>#N/A</v>
      </c>
      <c r="J381" s="132" t="e">
        <f ca="1">HLOOKUP($H$4,'Met Data'!$H$2:$M$368,G381,FALSE)*L381</f>
        <v>#N/A</v>
      </c>
      <c r="K381" s="106" t="e">
        <f>HLOOKUP($H$4,'Met Data'!$O$2:$T$368,G381,FALSE)</f>
        <v>#N/A</v>
      </c>
      <c r="L381">
        <f t="shared" ca="1" si="50"/>
        <v>1</v>
      </c>
      <c r="N381" t="e">
        <f t="shared" ca="1" si="55"/>
        <v>#NAME?</v>
      </c>
      <c r="O381" t="e">
        <f t="shared" ca="1" si="51"/>
        <v>#NAME?</v>
      </c>
      <c r="P381" s="2" t="e">
        <f ca="1"/>
        <v>#NAME?</v>
      </c>
      <c r="Q381" t="e">
        <f ca="1"/>
        <v>#NAME?</v>
      </c>
      <c r="R381" t="e">
        <f ca="1"/>
        <v>#NAME?</v>
      </c>
      <c r="S381" t="e">
        <f ca="1"/>
        <v>#NAME?</v>
      </c>
      <c r="T381" t="e">
        <f ca="1"/>
        <v>#NAME?</v>
      </c>
      <c r="U381" t="e">
        <f ca="1"/>
        <v>#NAME?</v>
      </c>
      <c r="V381" t="e">
        <f ca="1"/>
        <v>#NAME?</v>
      </c>
      <c r="W381" t="e">
        <f ca="1"/>
        <v>#NAME?</v>
      </c>
      <c r="X381" t="e">
        <f ca="1"/>
        <v>#NAME?</v>
      </c>
      <c r="Y381" t="e">
        <f ca="1"/>
        <v>#NAME?</v>
      </c>
      <c r="Z381" t="e">
        <f ca="1"/>
        <v>#NAME?</v>
      </c>
      <c r="AA381" t="e">
        <f ca="1"/>
        <v>#NAME?</v>
      </c>
      <c r="AB381" t="e">
        <f ca="1"/>
        <v>#NAME?</v>
      </c>
      <c r="AD381" s="2">
        <f t="shared" ca="1" si="52"/>
        <v>0</v>
      </c>
      <c r="AE381" s="46">
        <f t="shared" ca="1" si="53"/>
        <v>0</v>
      </c>
      <c r="AG381" s="72" t="e">
        <f t="shared" ca="1" si="57"/>
        <v>#NAME?</v>
      </c>
      <c r="AH381" s="72" t="e">
        <f t="shared" ca="1" si="58"/>
        <v>#NAME?</v>
      </c>
      <c r="AI381" s="3" t="e">
        <f t="shared" ca="1" si="59"/>
        <v>#NAME?</v>
      </c>
    </row>
    <row r="382" spans="7:35" x14ac:dyDescent="0.25">
      <c r="G382" s="3">
        <f t="shared" ca="1" si="54"/>
        <v>363</v>
      </c>
      <c r="H382" s="105">
        <f t="shared" ca="1" si="56"/>
        <v>45288</v>
      </c>
      <c r="I382" s="132" t="e">
        <f>HLOOKUP($H$4,'Met Data'!$A$2:$F$368,G382,FALSE)</f>
        <v>#N/A</v>
      </c>
      <c r="J382" s="132" t="e">
        <f ca="1">HLOOKUP($H$4,'Met Data'!$H$2:$M$368,G382,FALSE)*L382</f>
        <v>#N/A</v>
      </c>
      <c r="K382" s="106" t="e">
        <f>HLOOKUP($H$4,'Met Data'!$O$2:$T$368,G382,FALSE)</f>
        <v>#N/A</v>
      </c>
      <c r="L382">
        <f t="shared" ca="1" si="50"/>
        <v>1</v>
      </c>
      <c r="N382" t="e">
        <f t="shared" ca="1" si="55"/>
        <v>#NAME?</v>
      </c>
      <c r="O382" t="e">
        <f t="shared" ca="1" si="51"/>
        <v>#NAME?</v>
      </c>
      <c r="P382" s="2" t="e">
        <f ca="1"/>
        <v>#NAME?</v>
      </c>
      <c r="Q382" t="e">
        <f ca="1"/>
        <v>#NAME?</v>
      </c>
      <c r="R382" t="e">
        <f ca="1"/>
        <v>#NAME?</v>
      </c>
      <c r="S382" t="e">
        <f ca="1"/>
        <v>#NAME?</v>
      </c>
      <c r="T382" t="e">
        <f ca="1"/>
        <v>#NAME?</v>
      </c>
      <c r="U382" t="e">
        <f ca="1"/>
        <v>#NAME?</v>
      </c>
      <c r="V382" t="e">
        <f ca="1"/>
        <v>#NAME?</v>
      </c>
      <c r="W382" t="e">
        <f ca="1"/>
        <v>#NAME?</v>
      </c>
      <c r="X382" t="e">
        <f ca="1"/>
        <v>#NAME?</v>
      </c>
      <c r="Y382" t="e">
        <f ca="1"/>
        <v>#NAME?</v>
      </c>
      <c r="Z382" t="e">
        <f ca="1"/>
        <v>#NAME?</v>
      </c>
      <c r="AA382" t="e">
        <f ca="1"/>
        <v>#NAME?</v>
      </c>
      <c r="AB382" t="e">
        <f ca="1"/>
        <v>#NAME?</v>
      </c>
      <c r="AD382" s="2">
        <f t="shared" ca="1" si="52"/>
        <v>0</v>
      </c>
      <c r="AE382" s="46">
        <f t="shared" ca="1" si="53"/>
        <v>0</v>
      </c>
      <c r="AG382" s="72" t="e">
        <f t="shared" ca="1" si="57"/>
        <v>#NAME?</v>
      </c>
      <c r="AH382" s="72" t="e">
        <f t="shared" ca="1" si="58"/>
        <v>#NAME?</v>
      </c>
      <c r="AI382" s="3" t="e">
        <f t="shared" ca="1" si="59"/>
        <v>#NAME?</v>
      </c>
    </row>
    <row r="383" spans="7:35" x14ac:dyDescent="0.25">
      <c r="G383" s="3">
        <f t="shared" ca="1" si="54"/>
        <v>364</v>
      </c>
      <c r="H383" s="105">
        <f t="shared" ca="1" si="56"/>
        <v>45289</v>
      </c>
      <c r="I383" s="132" t="e">
        <f>HLOOKUP($H$4,'Met Data'!$A$2:$F$368,G383,FALSE)</f>
        <v>#N/A</v>
      </c>
      <c r="J383" s="132" t="e">
        <f ca="1">HLOOKUP($H$4,'Met Data'!$H$2:$M$368,G383,FALSE)*L383</f>
        <v>#N/A</v>
      </c>
      <c r="K383" s="106" t="e">
        <f>HLOOKUP($H$4,'Met Data'!$O$2:$T$368,G383,FALSE)</f>
        <v>#N/A</v>
      </c>
      <c r="L383">
        <f t="shared" ca="1" si="50"/>
        <v>1</v>
      </c>
      <c r="N383" t="e">
        <f t="shared" ca="1" si="55"/>
        <v>#NAME?</v>
      </c>
      <c r="O383" t="e">
        <f t="shared" ca="1" si="51"/>
        <v>#NAME?</v>
      </c>
      <c r="P383" s="2" t="e">
        <f ca="1"/>
        <v>#NAME?</v>
      </c>
      <c r="Q383" t="e">
        <f ca="1"/>
        <v>#NAME?</v>
      </c>
      <c r="R383" t="e">
        <f ca="1"/>
        <v>#NAME?</v>
      </c>
      <c r="S383" t="e">
        <f ca="1"/>
        <v>#NAME?</v>
      </c>
      <c r="T383" t="e">
        <f ca="1"/>
        <v>#NAME?</v>
      </c>
      <c r="U383" t="e">
        <f ca="1"/>
        <v>#NAME?</v>
      </c>
      <c r="V383" t="e">
        <f ca="1"/>
        <v>#NAME?</v>
      </c>
      <c r="W383" t="e">
        <f ca="1"/>
        <v>#NAME?</v>
      </c>
      <c r="X383" t="e">
        <f ca="1"/>
        <v>#NAME?</v>
      </c>
      <c r="Y383" t="e">
        <f ca="1"/>
        <v>#NAME?</v>
      </c>
      <c r="Z383" t="e">
        <f ca="1"/>
        <v>#NAME?</v>
      </c>
      <c r="AA383" t="e">
        <f ca="1"/>
        <v>#NAME?</v>
      </c>
      <c r="AB383" t="e">
        <f ca="1"/>
        <v>#NAME?</v>
      </c>
      <c r="AD383" s="2">
        <f t="shared" ca="1" si="52"/>
        <v>0</v>
      </c>
      <c r="AE383" s="46">
        <f t="shared" ca="1" si="53"/>
        <v>0</v>
      </c>
      <c r="AG383" s="72" t="e">
        <f t="shared" ca="1" si="57"/>
        <v>#NAME?</v>
      </c>
      <c r="AH383" s="72" t="e">
        <f t="shared" ca="1" si="58"/>
        <v>#NAME?</v>
      </c>
      <c r="AI383" s="3" t="e">
        <f t="shared" ca="1" si="59"/>
        <v>#NAME?</v>
      </c>
    </row>
    <row r="384" spans="7:35" x14ac:dyDescent="0.25">
      <c r="G384" s="3">
        <f t="shared" ca="1" si="54"/>
        <v>365</v>
      </c>
      <c r="H384" s="105">
        <f t="shared" ca="1" si="56"/>
        <v>45290</v>
      </c>
      <c r="I384" s="132" t="e">
        <f>HLOOKUP($H$4,'Met Data'!$A$2:$F$368,G384,FALSE)</f>
        <v>#N/A</v>
      </c>
      <c r="J384" s="132" t="e">
        <f ca="1">HLOOKUP($H$4,'Met Data'!$H$2:$M$368,G384,FALSE)*L384</f>
        <v>#N/A</v>
      </c>
      <c r="K384" s="106" t="e">
        <f>HLOOKUP($H$4,'Met Data'!$O$2:$T$368,G384,FALSE)</f>
        <v>#N/A</v>
      </c>
      <c r="L384">
        <f t="shared" ca="1" si="50"/>
        <v>1</v>
      </c>
      <c r="N384" t="e">
        <f t="shared" ca="1" si="55"/>
        <v>#NAME?</v>
      </c>
      <c r="O384" t="e">
        <f t="shared" ca="1" si="51"/>
        <v>#NAME?</v>
      </c>
      <c r="P384" s="2" t="e">
        <f ca="1"/>
        <v>#NAME?</v>
      </c>
      <c r="Q384" t="e">
        <f ca="1"/>
        <v>#NAME?</v>
      </c>
      <c r="R384" t="e">
        <f ca="1"/>
        <v>#NAME?</v>
      </c>
      <c r="S384" t="e">
        <f ca="1"/>
        <v>#NAME?</v>
      </c>
      <c r="T384" t="e">
        <f ca="1"/>
        <v>#NAME?</v>
      </c>
      <c r="U384" t="e">
        <f ca="1"/>
        <v>#NAME?</v>
      </c>
      <c r="V384" t="e">
        <f ca="1"/>
        <v>#NAME?</v>
      </c>
      <c r="W384" t="e">
        <f ca="1"/>
        <v>#NAME?</v>
      </c>
      <c r="X384" t="e">
        <f ca="1"/>
        <v>#NAME?</v>
      </c>
      <c r="Y384" t="e">
        <f ca="1"/>
        <v>#NAME?</v>
      </c>
      <c r="Z384" t="e">
        <f ca="1"/>
        <v>#NAME?</v>
      </c>
      <c r="AA384" t="e">
        <f ca="1"/>
        <v>#NAME?</v>
      </c>
      <c r="AB384" t="e">
        <f ca="1"/>
        <v>#NAME?</v>
      </c>
      <c r="AD384" s="2">
        <f t="shared" ca="1" si="52"/>
        <v>0</v>
      </c>
      <c r="AE384" s="46">
        <f t="shared" ca="1" si="53"/>
        <v>0</v>
      </c>
      <c r="AG384" s="72" t="e">
        <f t="shared" ca="1" si="57"/>
        <v>#NAME?</v>
      </c>
      <c r="AH384" s="72" t="e">
        <f t="shared" ca="1" si="58"/>
        <v>#NAME?</v>
      </c>
      <c r="AI384" s="3" t="e">
        <f t="shared" ca="1" si="59"/>
        <v>#NAME?</v>
      </c>
    </row>
    <row r="385" spans="7:35" x14ac:dyDescent="0.25">
      <c r="G385" s="3">
        <f t="shared" ca="1" si="54"/>
        <v>366</v>
      </c>
      <c r="H385" s="105">
        <f t="shared" ca="1" si="56"/>
        <v>45291</v>
      </c>
      <c r="I385" s="132" t="e">
        <f>HLOOKUP($H$4,'Met Data'!$A$2:$F$368,G385,FALSE)</f>
        <v>#N/A</v>
      </c>
      <c r="J385" s="132" t="e">
        <f ca="1">HLOOKUP($H$4,'Met Data'!$H$2:$M$368,G385,FALSE)*L385</f>
        <v>#N/A</v>
      </c>
      <c r="K385" s="106" t="e">
        <f>HLOOKUP($H$4,'Met Data'!$O$2:$T$368,G385,FALSE)</f>
        <v>#N/A</v>
      </c>
      <c r="L385">
        <f t="shared" ca="1" si="50"/>
        <v>1</v>
      </c>
      <c r="N385" t="e">
        <f t="shared" ca="1" si="55"/>
        <v>#NAME?</v>
      </c>
      <c r="O385" t="e">
        <f t="shared" ca="1" si="51"/>
        <v>#NAME?</v>
      </c>
      <c r="P385" s="2" t="e">
        <f ca="1"/>
        <v>#NAME?</v>
      </c>
      <c r="Q385" t="e">
        <f ca="1"/>
        <v>#NAME?</v>
      </c>
      <c r="R385" t="e">
        <f ca="1"/>
        <v>#NAME?</v>
      </c>
      <c r="S385" t="e">
        <f ca="1"/>
        <v>#NAME?</v>
      </c>
      <c r="T385" t="e">
        <f ca="1"/>
        <v>#NAME?</v>
      </c>
      <c r="U385" t="e">
        <f ca="1"/>
        <v>#NAME?</v>
      </c>
      <c r="V385" t="e">
        <f ca="1"/>
        <v>#NAME?</v>
      </c>
      <c r="W385" t="e">
        <f ca="1"/>
        <v>#NAME?</v>
      </c>
      <c r="X385" t="e">
        <f ca="1"/>
        <v>#NAME?</v>
      </c>
      <c r="Y385" t="e">
        <f ca="1"/>
        <v>#NAME?</v>
      </c>
      <c r="Z385" t="e">
        <f ca="1"/>
        <v>#NAME?</v>
      </c>
      <c r="AA385" t="e">
        <f ca="1"/>
        <v>#NAME?</v>
      </c>
      <c r="AB385" t="e">
        <f ca="1"/>
        <v>#NAME?</v>
      </c>
      <c r="AD385" s="2">
        <f t="shared" ca="1" si="52"/>
        <v>0</v>
      </c>
      <c r="AE385" s="46">
        <f t="shared" ca="1" si="53"/>
        <v>0</v>
      </c>
      <c r="AG385" s="72" t="e">
        <f t="shared" ca="1" si="57"/>
        <v>#NAME?</v>
      </c>
      <c r="AH385" s="72" t="e">
        <f t="shared" ca="1" si="58"/>
        <v>#NAME?</v>
      </c>
      <c r="AI385" s="3" t="e">
        <f t="shared" ca="1" si="59"/>
        <v>#NAME?</v>
      </c>
    </row>
    <row r="386" spans="7:35" x14ac:dyDescent="0.25">
      <c r="G386" s="3">
        <f t="shared" ca="1" si="54"/>
        <v>2</v>
      </c>
      <c r="H386" s="105">
        <f t="shared" ca="1" si="56"/>
        <v>45292</v>
      </c>
      <c r="I386" s="132" t="e">
        <f>HLOOKUP($H$4,'Met Data'!$A$2:$F$368,G386,FALSE)</f>
        <v>#N/A</v>
      </c>
      <c r="J386" s="132" t="e">
        <f ca="1">HLOOKUP($H$4,'Met Data'!$H$2:$M$368,G386,FALSE)*L386</f>
        <v>#N/A</v>
      </c>
      <c r="K386" s="106" t="e">
        <f>HLOOKUP($H$4,'Met Data'!$O$2:$T$368,G386,FALSE)</f>
        <v>#N/A</v>
      </c>
      <c r="L386">
        <f t="shared" ca="1" si="50"/>
        <v>1</v>
      </c>
      <c r="N386" t="e">
        <f t="shared" ca="1" si="55"/>
        <v>#NAME?</v>
      </c>
      <c r="O386" t="e">
        <f t="shared" ca="1" si="51"/>
        <v>#NAME?</v>
      </c>
      <c r="P386" s="2" t="e">
        <f ca="1"/>
        <v>#NAME?</v>
      </c>
      <c r="Q386" t="e">
        <f ca="1"/>
        <v>#NAME?</v>
      </c>
      <c r="R386" t="e">
        <f ca="1"/>
        <v>#NAME?</v>
      </c>
      <c r="S386" t="e">
        <f ca="1"/>
        <v>#NAME?</v>
      </c>
      <c r="T386" t="e">
        <f ca="1"/>
        <v>#NAME?</v>
      </c>
      <c r="U386" t="e">
        <f ca="1"/>
        <v>#NAME?</v>
      </c>
      <c r="V386" t="e">
        <f ca="1"/>
        <v>#NAME?</v>
      </c>
      <c r="W386" t="e">
        <f ca="1"/>
        <v>#NAME?</v>
      </c>
      <c r="X386" t="e">
        <f ca="1"/>
        <v>#NAME?</v>
      </c>
      <c r="Y386" t="e">
        <f ca="1"/>
        <v>#NAME?</v>
      </c>
      <c r="Z386" t="e">
        <f ca="1"/>
        <v>#NAME?</v>
      </c>
      <c r="AA386" t="e">
        <f ca="1"/>
        <v>#NAME?</v>
      </c>
      <c r="AB386" t="e">
        <f ca="1"/>
        <v>#NAME?</v>
      </c>
      <c r="AD386" s="2">
        <f t="shared" ca="1" si="52"/>
        <v>0</v>
      </c>
      <c r="AE386" s="46">
        <f t="shared" ca="1" si="53"/>
        <v>0</v>
      </c>
      <c r="AG386" s="72" t="e">
        <f t="shared" ca="1" si="57"/>
        <v>#NAME?</v>
      </c>
      <c r="AH386" s="72" t="e">
        <f t="shared" ca="1" si="58"/>
        <v>#NAME?</v>
      </c>
      <c r="AI386" s="3" t="e">
        <f t="shared" ca="1" si="59"/>
        <v>#NAME?</v>
      </c>
    </row>
    <row r="387" spans="7:35" x14ac:dyDescent="0.25">
      <c r="G387" s="3">
        <f t="shared" ca="1" si="54"/>
        <v>3</v>
      </c>
      <c r="H387" s="105">
        <f t="shared" ca="1" si="56"/>
        <v>45293</v>
      </c>
      <c r="I387" s="132" t="e">
        <f>HLOOKUP($H$4,'Met Data'!$A$2:$F$368,G387,FALSE)</f>
        <v>#N/A</v>
      </c>
      <c r="J387" s="132" t="e">
        <f ca="1">HLOOKUP($H$4,'Met Data'!$H$2:$M$368,G387,FALSE)*L387</f>
        <v>#N/A</v>
      </c>
      <c r="K387" s="106" t="e">
        <f>HLOOKUP($H$4,'Met Data'!$O$2:$T$368,G387,FALSE)</f>
        <v>#N/A</v>
      </c>
      <c r="L387">
        <f t="shared" ca="1" si="50"/>
        <v>1</v>
      </c>
      <c r="N387" t="e">
        <f t="shared" ca="1" si="55"/>
        <v>#NAME?</v>
      </c>
      <c r="O387" t="e">
        <f t="shared" ca="1" si="51"/>
        <v>#NAME?</v>
      </c>
      <c r="P387" s="2" t="e">
        <f ca="1"/>
        <v>#NAME?</v>
      </c>
      <c r="Q387" t="e">
        <f ca="1"/>
        <v>#NAME?</v>
      </c>
      <c r="R387" t="e">
        <f ca="1"/>
        <v>#NAME?</v>
      </c>
      <c r="S387" t="e">
        <f ca="1"/>
        <v>#NAME?</v>
      </c>
      <c r="T387" t="e">
        <f ca="1"/>
        <v>#NAME?</v>
      </c>
      <c r="U387" t="e">
        <f ca="1"/>
        <v>#NAME?</v>
      </c>
      <c r="V387" t="e">
        <f ca="1"/>
        <v>#NAME?</v>
      </c>
      <c r="W387" t="e">
        <f ca="1"/>
        <v>#NAME?</v>
      </c>
      <c r="X387" t="e">
        <f ca="1"/>
        <v>#NAME?</v>
      </c>
      <c r="Y387" t="e">
        <f ca="1"/>
        <v>#NAME?</v>
      </c>
      <c r="Z387" t="e">
        <f ca="1"/>
        <v>#NAME?</v>
      </c>
      <c r="AA387" t="e">
        <f ca="1"/>
        <v>#NAME?</v>
      </c>
      <c r="AB387" t="e">
        <f ca="1"/>
        <v>#NAME?</v>
      </c>
      <c r="AD387" s="2">
        <f t="shared" ca="1" si="52"/>
        <v>0</v>
      </c>
      <c r="AE387" s="46">
        <f t="shared" ca="1" si="53"/>
        <v>0</v>
      </c>
      <c r="AG387" s="72" t="e">
        <f t="shared" ca="1" si="57"/>
        <v>#NAME?</v>
      </c>
      <c r="AH387" s="72" t="e">
        <f t="shared" ca="1" si="58"/>
        <v>#NAME?</v>
      </c>
      <c r="AI387" s="3" t="e">
        <f t="shared" ca="1" si="59"/>
        <v>#NAME?</v>
      </c>
    </row>
    <row r="388" spans="7:35" x14ac:dyDescent="0.25">
      <c r="G388" s="3">
        <f t="shared" ca="1" si="54"/>
        <v>4</v>
      </c>
      <c r="H388" s="105">
        <f t="shared" ca="1" si="56"/>
        <v>45294</v>
      </c>
      <c r="I388" s="132" t="e">
        <f>HLOOKUP($H$4,'Met Data'!$A$2:$F$368,G388,FALSE)</f>
        <v>#N/A</v>
      </c>
      <c r="J388" s="132" t="e">
        <f ca="1">HLOOKUP($H$4,'Met Data'!$H$2:$M$368,G388,FALSE)*L388</f>
        <v>#N/A</v>
      </c>
      <c r="K388" s="106" t="e">
        <f>HLOOKUP($H$4,'Met Data'!$O$2:$T$368,G388,FALSE)</f>
        <v>#N/A</v>
      </c>
      <c r="L388">
        <f t="shared" ca="1" si="50"/>
        <v>1</v>
      </c>
      <c r="N388" t="e">
        <f t="shared" ca="1" si="55"/>
        <v>#NAME?</v>
      </c>
      <c r="O388" t="e">
        <f t="shared" ca="1" si="51"/>
        <v>#NAME?</v>
      </c>
      <c r="P388" s="2" t="e">
        <f ca="1"/>
        <v>#NAME?</v>
      </c>
      <c r="Q388" t="e">
        <f ca="1"/>
        <v>#NAME?</v>
      </c>
      <c r="R388" t="e">
        <f ca="1"/>
        <v>#NAME?</v>
      </c>
      <c r="S388" t="e">
        <f ca="1"/>
        <v>#NAME?</v>
      </c>
      <c r="T388" t="e">
        <f ca="1"/>
        <v>#NAME?</v>
      </c>
      <c r="U388" t="e">
        <f ca="1"/>
        <v>#NAME?</v>
      </c>
      <c r="V388" t="e">
        <f ca="1"/>
        <v>#NAME?</v>
      </c>
      <c r="W388" t="e">
        <f ca="1"/>
        <v>#NAME?</v>
      </c>
      <c r="X388" t="e">
        <f ca="1"/>
        <v>#NAME?</v>
      </c>
      <c r="Y388" t="e">
        <f ca="1"/>
        <v>#NAME?</v>
      </c>
      <c r="Z388" t="e">
        <f ca="1"/>
        <v>#NAME?</v>
      </c>
      <c r="AA388" t="e">
        <f ca="1"/>
        <v>#NAME?</v>
      </c>
      <c r="AB388" t="e">
        <f ca="1"/>
        <v>#NAME?</v>
      </c>
      <c r="AD388" s="2">
        <f t="shared" ca="1" si="52"/>
        <v>0</v>
      </c>
      <c r="AE388" s="46">
        <f t="shared" ca="1" si="53"/>
        <v>0</v>
      </c>
      <c r="AG388" s="72" t="e">
        <f t="shared" ca="1" si="57"/>
        <v>#NAME?</v>
      </c>
      <c r="AH388" s="72" t="e">
        <f t="shared" ca="1" si="58"/>
        <v>#NAME?</v>
      </c>
      <c r="AI388" s="3" t="e">
        <f t="shared" ca="1" si="59"/>
        <v>#NAME?</v>
      </c>
    </row>
    <row r="389" spans="7:35" x14ac:dyDescent="0.25">
      <c r="G389" s="3">
        <f t="shared" ca="1" si="54"/>
        <v>5</v>
      </c>
      <c r="H389" s="105">
        <f t="shared" ca="1" si="56"/>
        <v>45295</v>
      </c>
      <c r="I389" s="132" t="e">
        <f>HLOOKUP($H$4,'Met Data'!$A$2:$F$368,G389,FALSE)</f>
        <v>#N/A</v>
      </c>
      <c r="J389" s="132" t="e">
        <f ca="1">HLOOKUP($H$4,'Met Data'!$H$2:$M$368,G389,FALSE)*L389</f>
        <v>#N/A</v>
      </c>
      <c r="K389" s="106" t="e">
        <f>HLOOKUP($H$4,'Met Data'!$O$2:$T$368,G389,FALSE)</f>
        <v>#N/A</v>
      </c>
      <c r="L389">
        <f t="shared" ca="1" si="50"/>
        <v>1</v>
      </c>
      <c r="N389" t="e">
        <f t="shared" ca="1" si="55"/>
        <v>#NAME?</v>
      </c>
      <c r="O389" t="e">
        <f t="shared" ca="1" si="51"/>
        <v>#NAME?</v>
      </c>
      <c r="P389" s="2" t="e">
        <f ca="1"/>
        <v>#NAME?</v>
      </c>
      <c r="Q389" t="e">
        <f ca="1"/>
        <v>#NAME?</v>
      </c>
      <c r="R389" t="e">
        <f ca="1"/>
        <v>#NAME?</v>
      </c>
      <c r="S389" t="e">
        <f ca="1"/>
        <v>#NAME?</v>
      </c>
      <c r="T389" t="e">
        <f ca="1"/>
        <v>#NAME?</v>
      </c>
      <c r="U389" t="e">
        <f ca="1"/>
        <v>#NAME?</v>
      </c>
      <c r="V389" t="e">
        <f ca="1"/>
        <v>#NAME?</v>
      </c>
      <c r="W389" t="e">
        <f ca="1"/>
        <v>#NAME?</v>
      </c>
      <c r="X389" t="e">
        <f ca="1"/>
        <v>#NAME?</v>
      </c>
      <c r="Y389" t="e">
        <f ca="1"/>
        <v>#NAME?</v>
      </c>
      <c r="Z389" t="e">
        <f ca="1"/>
        <v>#NAME?</v>
      </c>
      <c r="AA389" t="e">
        <f ca="1"/>
        <v>#NAME?</v>
      </c>
      <c r="AB389" t="e">
        <f ca="1"/>
        <v>#NAME?</v>
      </c>
      <c r="AD389" s="2">
        <f t="shared" ca="1" si="52"/>
        <v>0</v>
      </c>
      <c r="AE389" s="46">
        <f t="shared" ca="1" si="53"/>
        <v>0</v>
      </c>
      <c r="AG389" s="72" t="e">
        <f t="shared" ca="1" si="57"/>
        <v>#NAME?</v>
      </c>
      <c r="AH389" s="72" t="e">
        <f t="shared" ca="1" si="58"/>
        <v>#NAME?</v>
      </c>
      <c r="AI389" s="3" t="e">
        <f t="shared" ca="1" si="59"/>
        <v>#NAME?</v>
      </c>
    </row>
    <row r="390" spans="7:35" x14ac:dyDescent="0.25">
      <c r="G390" s="3">
        <f t="shared" ca="1" si="54"/>
        <v>6</v>
      </c>
      <c r="H390" s="105">
        <f t="shared" ca="1" si="56"/>
        <v>45296</v>
      </c>
      <c r="I390" s="132" t="e">
        <f>HLOOKUP($H$4,'Met Data'!$A$2:$F$368,G390,FALSE)</f>
        <v>#N/A</v>
      </c>
      <c r="J390" s="132" t="e">
        <f ca="1">HLOOKUP($H$4,'Met Data'!$H$2:$M$368,G390,FALSE)*L390</f>
        <v>#N/A</v>
      </c>
      <c r="K390" s="106" t="e">
        <f>HLOOKUP($H$4,'Met Data'!$O$2:$T$368,G390,FALSE)</f>
        <v>#N/A</v>
      </c>
      <c r="L390">
        <f t="shared" ref="L390:L453" ca="1" si="60">IF(H390&lt;$B$31,$J$3,$J$4)</f>
        <v>1</v>
      </c>
      <c r="N390" t="e">
        <f t="shared" ca="1" si="55"/>
        <v>#NAME?</v>
      </c>
      <c r="O390" t="e">
        <f t="shared" ref="O390:O453" ca="1" si="61">AND(IF(P390&gt;($P$2-1),TRUE,FALSE),IF(P390&lt;($P$3+1),TRUE,FALSE))</f>
        <v>#NAME?</v>
      </c>
      <c r="P390" s="2" t="e">
        <f ca="1"/>
        <v>#NAME?</v>
      </c>
      <c r="Q390" t="e">
        <f ca="1"/>
        <v>#NAME?</v>
      </c>
      <c r="R390" t="e">
        <f ca="1"/>
        <v>#NAME?</v>
      </c>
      <c r="S390" t="e">
        <f ca="1"/>
        <v>#NAME?</v>
      </c>
      <c r="T390" t="e">
        <f ca="1"/>
        <v>#NAME?</v>
      </c>
      <c r="U390" t="e">
        <f ca="1"/>
        <v>#NAME?</v>
      </c>
      <c r="V390" t="e">
        <f ca="1"/>
        <v>#NAME?</v>
      </c>
      <c r="W390" t="e">
        <f ca="1"/>
        <v>#NAME?</v>
      </c>
      <c r="X390" t="e">
        <f ca="1"/>
        <v>#NAME?</v>
      </c>
      <c r="Y390" t="e">
        <f ca="1"/>
        <v>#NAME?</v>
      </c>
      <c r="Z390" t="e">
        <f ca="1"/>
        <v>#NAME?</v>
      </c>
      <c r="AA390" t="e">
        <f ca="1"/>
        <v>#NAME?</v>
      </c>
      <c r="AB390" t="e">
        <f ca="1"/>
        <v>#NAME?</v>
      </c>
      <c r="AD390" s="2">
        <f t="shared" ref="AD390:AD453" ca="1" si="62">IFERROR(P390,$AD$4)</f>
        <v>0</v>
      </c>
      <c r="AE390" s="46">
        <f t="shared" ref="AE390:AE453" ca="1" si="63">IFERROR(U390,0)</f>
        <v>0</v>
      </c>
      <c r="AG390" s="72" t="e">
        <f t="shared" ca="1" si="57"/>
        <v>#NAME?</v>
      </c>
      <c r="AH390" s="72" t="e">
        <f t="shared" ca="1" si="58"/>
        <v>#NAME?</v>
      </c>
      <c r="AI390" s="3" t="e">
        <f t="shared" ca="1" si="59"/>
        <v>#NAME?</v>
      </c>
    </row>
    <row r="391" spans="7:35" x14ac:dyDescent="0.25">
      <c r="G391" s="3">
        <f t="shared" ref="G391:G454" ca="1" si="64">H391-DATE(YEAR(H391),1,0)+1</f>
        <v>7</v>
      </c>
      <c r="H391" s="105">
        <f t="shared" ca="1" si="56"/>
        <v>45297</v>
      </c>
      <c r="I391" s="132" t="e">
        <f>HLOOKUP($H$4,'Met Data'!$A$2:$F$368,G391,FALSE)</f>
        <v>#N/A</v>
      </c>
      <c r="J391" s="132" t="e">
        <f ca="1">HLOOKUP($H$4,'Met Data'!$H$2:$M$368,G391,FALSE)*L391</f>
        <v>#N/A</v>
      </c>
      <c r="K391" s="106" t="e">
        <f>HLOOKUP($H$4,'Met Data'!$O$2:$T$368,G391,FALSE)</f>
        <v>#N/A</v>
      </c>
      <c r="L391">
        <f t="shared" ca="1" si="60"/>
        <v>1</v>
      </c>
      <c r="N391" t="e">
        <f t="shared" ref="N391:N454" ca="1" si="65">IF(P391&lt;$P$3,TRUE,FALSE)</f>
        <v>#NAME?</v>
      </c>
      <c r="O391" t="e">
        <f t="shared" ca="1" si="61"/>
        <v>#NAME?</v>
      </c>
      <c r="P391" s="2" t="e">
        <f ca="1"/>
        <v>#NAME?</v>
      </c>
      <c r="Q391" t="e">
        <f ca="1"/>
        <v>#NAME?</v>
      </c>
      <c r="R391" t="e">
        <f ca="1"/>
        <v>#NAME?</v>
      </c>
      <c r="S391" t="e">
        <f ca="1"/>
        <v>#NAME?</v>
      </c>
      <c r="T391" t="e">
        <f ca="1"/>
        <v>#NAME?</v>
      </c>
      <c r="U391" t="e">
        <f ca="1"/>
        <v>#NAME?</v>
      </c>
      <c r="V391" t="e">
        <f ca="1"/>
        <v>#NAME?</v>
      </c>
      <c r="W391" t="e">
        <f ca="1"/>
        <v>#NAME?</v>
      </c>
      <c r="X391" t="e">
        <f ca="1"/>
        <v>#NAME?</v>
      </c>
      <c r="Y391" t="e">
        <f ca="1"/>
        <v>#NAME?</v>
      </c>
      <c r="Z391" t="e">
        <f ca="1"/>
        <v>#NAME?</v>
      </c>
      <c r="AA391" t="e">
        <f ca="1"/>
        <v>#NAME?</v>
      </c>
      <c r="AB391" t="e">
        <f ca="1"/>
        <v>#NAME?</v>
      </c>
      <c r="AD391" s="2">
        <f t="shared" ca="1" si="62"/>
        <v>0</v>
      </c>
      <c r="AE391" s="46">
        <f t="shared" ca="1" si="63"/>
        <v>0</v>
      </c>
      <c r="AG391" s="72" t="e">
        <f t="shared" ca="1" si="57"/>
        <v>#NAME?</v>
      </c>
      <c r="AH391" s="72" t="e">
        <f t="shared" ca="1" si="58"/>
        <v>#NAME?</v>
      </c>
      <c r="AI391" s="3" t="e">
        <f t="shared" ca="1" si="59"/>
        <v>#NAME?</v>
      </c>
    </row>
    <row r="392" spans="7:35" x14ac:dyDescent="0.25">
      <c r="G392" s="3">
        <f t="shared" ca="1" si="64"/>
        <v>8</v>
      </c>
      <c r="H392" s="105">
        <f t="shared" ref="H392:H455" ca="1" si="66">H391+1</f>
        <v>45298</v>
      </c>
      <c r="I392" s="132" t="e">
        <f>HLOOKUP($H$4,'Met Data'!$A$2:$F$368,G392,FALSE)</f>
        <v>#N/A</v>
      </c>
      <c r="J392" s="132" t="e">
        <f ca="1">HLOOKUP($H$4,'Met Data'!$H$2:$M$368,G392,FALSE)*L392</f>
        <v>#N/A</v>
      </c>
      <c r="K392" s="106" t="e">
        <f>HLOOKUP($H$4,'Met Data'!$O$2:$T$368,G392,FALSE)</f>
        <v>#N/A</v>
      </c>
      <c r="L392">
        <f t="shared" ca="1" si="60"/>
        <v>1</v>
      </c>
      <c r="N392" t="e">
        <f t="shared" ca="1" si="65"/>
        <v>#NAME?</v>
      </c>
      <c r="O392" t="e">
        <f t="shared" ca="1" si="61"/>
        <v>#NAME?</v>
      </c>
      <c r="P392" s="2" t="e">
        <f ca="1"/>
        <v>#NAME?</v>
      </c>
      <c r="Q392" t="e">
        <f ca="1"/>
        <v>#NAME?</v>
      </c>
      <c r="R392" t="e">
        <f ca="1"/>
        <v>#NAME?</v>
      </c>
      <c r="S392" t="e">
        <f ca="1"/>
        <v>#NAME?</v>
      </c>
      <c r="T392" t="e">
        <f ca="1"/>
        <v>#NAME?</v>
      </c>
      <c r="U392" t="e">
        <f ca="1"/>
        <v>#NAME?</v>
      </c>
      <c r="V392" t="e">
        <f ca="1"/>
        <v>#NAME?</v>
      </c>
      <c r="W392" t="e">
        <f ca="1"/>
        <v>#NAME?</v>
      </c>
      <c r="X392" t="e">
        <f ca="1"/>
        <v>#NAME?</v>
      </c>
      <c r="Y392" t="e">
        <f ca="1"/>
        <v>#NAME?</v>
      </c>
      <c r="Z392" t="e">
        <f ca="1"/>
        <v>#NAME?</v>
      </c>
      <c r="AA392" t="e">
        <f ca="1"/>
        <v>#NAME?</v>
      </c>
      <c r="AB392" t="e">
        <f ca="1"/>
        <v>#NAME?</v>
      </c>
      <c r="AD392" s="2">
        <f t="shared" ca="1" si="62"/>
        <v>0</v>
      </c>
      <c r="AE392" s="46">
        <f t="shared" ca="1" si="63"/>
        <v>0</v>
      </c>
      <c r="AG392" s="72" t="e">
        <f t="shared" ca="1" si="57"/>
        <v>#NAME?</v>
      </c>
      <c r="AH392" s="72" t="e">
        <f t="shared" ca="1" si="58"/>
        <v>#NAME?</v>
      </c>
      <c r="AI392" s="3" t="e">
        <f t="shared" ca="1" si="59"/>
        <v>#NAME?</v>
      </c>
    </row>
    <row r="393" spans="7:35" x14ac:dyDescent="0.25">
      <c r="G393" s="3">
        <f t="shared" ca="1" si="64"/>
        <v>9</v>
      </c>
      <c r="H393" s="105">
        <f t="shared" ca="1" si="66"/>
        <v>45299</v>
      </c>
      <c r="I393" s="132" t="e">
        <f>HLOOKUP($H$4,'Met Data'!$A$2:$F$368,G393,FALSE)</f>
        <v>#N/A</v>
      </c>
      <c r="J393" s="132" t="e">
        <f ca="1">HLOOKUP($H$4,'Met Data'!$H$2:$M$368,G393,FALSE)*L393</f>
        <v>#N/A</v>
      </c>
      <c r="K393" s="106" t="e">
        <f>HLOOKUP($H$4,'Met Data'!$O$2:$T$368,G393,FALSE)</f>
        <v>#N/A</v>
      </c>
      <c r="L393">
        <f t="shared" ca="1" si="60"/>
        <v>1</v>
      </c>
      <c r="N393" t="e">
        <f t="shared" ca="1" si="65"/>
        <v>#NAME?</v>
      </c>
      <c r="O393" t="e">
        <f t="shared" ca="1" si="61"/>
        <v>#NAME?</v>
      </c>
      <c r="P393" s="2" t="e">
        <f ca="1"/>
        <v>#NAME?</v>
      </c>
      <c r="Q393" t="e">
        <f ca="1"/>
        <v>#NAME?</v>
      </c>
      <c r="R393" t="e">
        <f ca="1"/>
        <v>#NAME?</v>
      </c>
      <c r="S393" t="e">
        <f ca="1"/>
        <v>#NAME?</v>
      </c>
      <c r="T393" t="e">
        <f ca="1"/>
        <v>#NAME?</v>
      </c>
      <c r="U393" t="e">
        <f ca="1"/>
        <v>#NAME?</v>
      </c>
      <c r="V393" t="e">
        <f ca="1"/>
        <v>#NAME?</v>
      </c>
      <c r="W393" t="e">
        <f ca="1"/>
        <v>#NAME?</v>
      </c>
      <c r="X393" t="e">
        <f ca="1"/>
        <v>#NAME?</v>
      </c>
      <c r="Y393" t="e">
        <f ca="1"/>
        <v>#NAME?</v>
      </c>
      <c r="Z393" t="e">
        <f ca="1"/>
        <v>#NAME?</v>
      </c>
      <c r="AA393" t="e">
        <f ca="1"/>
        <v>#NAME?</v>
      </c>
      <c r="AB393" t="e">
        <f ca="1"/>
        <v>#NAME?</v>
      </c>
      <c r="AD393" s="2">
        <f t="shared" ca="1" si="62"/>
        <v>0</v>
      </c>
      <c r="AE393" s="46">
        <f t="shared" ca="1" si="63"/>
        <v>0</v>
      </c>
      <c r="AG393" s="72" t="e">
        <f t="shared" ca="1" si="57"/>
        <v>#NAME?</v>
      </c>
      <c r="AH393" s="72" t="e">
        <f t="shared" ca="1" si="58"/>
        <v>#NAME?</v>
      </c>
      <c r="AI393" s="3" t="e">
        <f t="shared" ca="1" si="59"/>
        <v>#NAME?</v>
      </c>
    </row>
    <row r="394" spans="7:35" x14ac:dyDescent="0.25">
      <c r="G394" s="3">
        <f t="shared" ca="1" si="64"/>
        <v>10</v>
      </c>
      <c r="H394" s="105">
        <f t="shared" ca="1" si="66"/>
        <v>45300</v>
      </c>
      <c r="I394" s="132" t="e">
        <f>HLOOKUP($H$4,'Met Data'!$A$2:$F$368,G394,FALSE)</f>
        <v>#N/A</v>
      </c>
      <c r="J394" s="132" t="e">
        <f ca="1">HLOOKUP($H$4,'Met Data'!$H$2:$M$368,G394,FALSE)*L394</f>
        <v>#N/A</v>
      </c>
      <c r="K394" s="106" t="e">
        <f>HLOOKUP($H$4,'Met Data'!$O$2:$T$368,G394,FALSE)</f>
        <v>#N/A</v>
      </c>
      <c r="L394">
        <f t="shared" ca="1" si="60"/>
        <v>1</v>
      </c>
      <c r="N394" t="e">
        <f t="shared" ca="1" si="65"/>
        <v>#NAME?</v>
      </c>
      <c r="O394" t="e">
        <f t="shared" ca="1" si="61"/>
        <v>#NAME?</v>
      </c>
      <c r="P394" s="2" t="e">
        <f ca="1"/>
        <v>#NAME?</v>
      </c>
      <c r="Q394" t="e">
        <f ca="1"/>
        <v>#NAME?</v>
      </c>
      <c r="R394" t="e">
        <f ca="1"/>
        <v>#NAME?</v>
      </c>
      <c r="S394" t="e">
        <f ca="1"/>
        <v>#NAME?</v>
      </c>
      <c r="T394" t="e">
        <f ca="1"/>
        <v>#NAME?</v>
      </c>
      <c r="U394" t="e">
        <f ca="1"/>
        <v>#NAME?</v>
      </c>
      <c r="V394" t="e">
        <f ca="1"/>
        <v>#NAME?</v>
      </c>
      <c r="W394" t="e">
        <f ca="1"/>
        <v>#NAME?</v>
      </c>
      <c r="X394" t="e">
        <f ca="1"/>
        <v>#NAME?</v>
      </c>
      <c r="Y394" t="e">
        <f ca="1"/>
        <v>#NAME?</v>
      </c>
      <c r="Z394" t="e">
        <f ca="1"/>
        <v>#NAME?</v>
      </c>
      <c r="AA394" t="e">
        <f ca="1"/>
        <v>#NAME?</v>
      </c>
      <c r="AB394" t="e">
        <f ca="1"/>
        <v>#NAME?</v>
      </c>
      <c r="AD394" s="2">
        <f t="shared" ca="1" si="62"/>
        <v>0</v>
      </c>
      <c r="AE394" s="46">
        <f t="shared" ca="1" si="63"/>
        <v>0</v>
      </c>
      <c r="AG394" s="72" t="e">
        <f t="shared" ca="1" si="57"/>
        <v>#NAME?</v>
      </c>
      <c r="AH394" s="72" t="e">
        <f t="shared" ca="1" si="58"/>
        <v>#NAME?</v>
      </c>
      <c r="AI394" s="3" t="e">
        <f t="shared" ca="1" si="59"/>
        <v>#NAME?</v>
      </c>
    </row>
    <row r="395" spans="7:35" x14ac:dyDescent="0.25">
      <c r="G395" s="3">
        <f t="shared" ca="1" si="64"/>
        <v>11</v>
      </c>
      <c r="H395" s="105">
        <f t="shared" ca="1" si="66"/>
        <v>45301</v>
      </c>
      <c r="I395" s="132" t="e">
        <f>HLOOKUP($H$4,'Met Data'!$A$2:$F$368,G395,FALSE)</f>
        <v>#N/A</v>
      </c>
      <c r="J395" s="132" t="e">
        <f ca="1">HLOOKUP($H$4,'Met Data'!$H$2:$M$368,G395,FALSE)*L395</f>
        <v>#N/A</v>
      </c>
      <c r="K395" s="106" t="e">
        <f>HLOOKUP($H$4,'Met Data'!$O$2:$T$368,G395,FALSE)</f>
        <v>#N/A</v>
      </c>
      <c r="L395">
        <f t="shared" ca="1" si="60"/>
        <v>1</v>
      </c>
      <c r="N395" t="e">
        <f t="shared" ca="1" si="65"/>
        <v>#NAME?</v>
      </c>
      <c r="O395" t="e">
        <f t="shared" ca="1" si="61"/>
        <v>#NAME?</v>
      </c>
      <c r="P395" s="2" t="e">
        <f ca="1"/>
        <v>#NAME?</v>
      </c>
      <c r="Q395" t="e">
        <f ca="1"/>
        <v>#NAME?</v>
      </c>
      <c r="R395" t="e">
        <f ca="1"/>
        <v>#NAME?</v>
      </c>
      <c r="S395" t="e">
        <f ca="1"/>
        <v>#NAME?</v>
      </c>
      <c r="T395" t="e">
        <f ca="1"/>
        <v>#NAME?</v>
      </c>
      <c r="U395" t="e">
        <f ca="1"/>
        <v>#NAME?</v>
      </c>
      <c r="V395" t="e">
        <f ca="1"/>
        <v>#NAME?</v>
      </c>
      <c r="W395" t="e">
        <f ca="1"/>
        <v>#NAME?</v>
      </c>
      <c r="X395" t="e">
        <f ca="1"/>
        <v>#NAME?</v>
      </c>
      <c r="Y395" t="e">
        <f ca="1"/>
        <v>#NAME?</v>
      </c>
      <c r="Z395" t="e">
        <f ca="1"/>
        <v>#NAME?</v>
      </c>
      <c r="AA395" t="e">
        <f ca="1"/>
        <v>#NAME?</v>
      </c>
      <c r="AB395" t="e">
        <f ca="1"/>
        <v>#NAME?</v>
      </c>
      <c r="AD395" s="2">
        <f t="shared" ca="1" si="62"/>
        <v>0</v>
      </c>
      <c r="AE395" s="46">
        <f t="shared" ca="1" si="63"/>
        <v>0</v>
      </c>
      <c r="AG395" s="72" t="e">
        <f t="shared" ref="AG395:AG458" ca="1" si="67">Q394+S395+T395+U395</f>
        <v>#NAME?</v>
      </c>
      <c r="AH395" s="72" t="e">
        <f t="shared" ref="AH395:AH458" ca="1" si="68">Q395+R395+X395</f>
        <v>#NAME?</v>
      </c>
      <c r="AI395" s="3" t="e">
        <f t="shared" ref="AI395:AI458" ca="1" si="69">AH395-AG395</f>
        <v>#NAME?</v>
      </c>
    </row>
    <row r="396" spans="7:35" x14ac:dyDescent="0.25">
      <c r="G396" s="3">
        <f t="shared" ca="1" si="64"/>
        <v>12</v>
      </c>
      <c r="H396" s="105">
        <f t="shared" ca="1" si="66"/>
        <v>45302</v>
      </c>
      <c r="I396" s="132" t="e">
        <f>HLOOKUP($H$4,'Met Data'!$A$2:$F$368,G396,FALSE)</f>
        <v>#N/A</v>
      </c>
      <c r="J396" s="132" t="e">
        <f ca="1">HLOOKUP($H$4,'Met Data'!$H$2:$M$368,G396,FALSE)*L396</f>
        <v>#N/A</v>
      </c>
      <c r="K396" s="106" t="e">
        <f>HLOOKUP($H$4,'Met Data'!$O$2:$T$368,G396,FALSE)</f>
        <v>#N/A</v>
      </c>
      <c r="L396">
        <f t="shared" ca="1" si="60"/>
        <v>1</v>
      </c>
      <c r="N396" t="e">
        <f t="shared" ca="1" si="65"/>
        <v>#NAME?</v>
      </c>
      <c r="O396" t="e">
        <f t="shared" ca="1" si="61"/>
        <v>#NAME?</v>
      </c>
      <c r="P396" s="2" t="e">
        <f ca="1"/>
        <v>#NAME?</v>
      </c>
      <c r="Q396" t="e">
        <f ca="1"/>
        <v>#NAME?</v>
      </c>
      <c r="R396" t="e">
        <f ca="1"/>
        <v>#NAME?</v>
      </c>
      <c r="S396" t="e">
        <f ca="1"/>
        <v>#NAME?</v>
      </c>
      <c r="T396" t="e">
        <f ca="1"/>
        <v>#NAME?</v>
      </c>
      <c r="U396" t="e">
        <f ca="1"/>
        <v>#NAME?</v>
      </c>
      <c r="V396" t="e">
        <f ca="1"/>
        <v>#NAME?</v>
      </c>
      <c r="W396" t="e">
        <f ca="1"/>
        <v>#NAME?</v>
      </c>
      <c r="X396" t="e">
        <f ca="1"/>
        <v>#NAME?</v>
      </c>
      <c r="Y396" t="e">
        <f ca="1"/>
        <v>#NAME?</v>
      </c>
      <c r="Z396" t="e">
        <f ca="1"/>
        <v>#NAME?</v>
      </c>
      <c r="AA396" t="e">
        <f ca="1"/>
        <v>#NAME?</v>
      </c>
      <c r="AB396" t="e">
        <f ca="1"/>
        <v>#NAME?</v>
      </c>
      <c r="AD396" s="2">
        <f t="shared" ca="1" si="62"/>
        <v>0</v>
      </c>
      <c r="AE396" s="46">
        <f t="shared" ca="1" si="63"/>
        <v>0</v>
      </c>
      <c r="AG396" s="72" t="e">
        <f t="shared" ca="1" si="67"/>
        <v>#NAME?</v>
      </c>
      <c r="AH396" s="72" t="e">
        <f t="shared" ca="1" si="68"/>
        <v>#NAME?</v>
      </c>
      <c r="AI396" s="3" t="e">
        <f t="shared" ca="1" si="69"/>
        <v>#NAME?</v>
      </c>
    </row>
    <row r="397" spans="7:35" x14ac:dyDescent="0.25">
      <c r="G397" s="3">
        <f t="shared" ca="1" si="64"/>
        <v>13</v>
      </c>
      <c r="H397" s="105">
        <f t="shared" ca="1" si="66"/>
        <v>45303</v>
      </c>
      <c r="I397" s="132" t="e">
        <f>HLOOKUP($H$4,'Met Data'!$A$2:$F$368,G397,FALSE)</f>
        <v>#N/A</v>
      </c>
      <c r="J397" s="132" t="e">
        <f ca="1">HLOOKUP($H$4,'Met Data'!$H$2:$M$368,G397,FALSE)*L397</f>
        <v>#N/A</v>
      </c>
      <c r="K397" s="106" t="e">
        <f>HLOOKUP($H$4,'Met Data'!$O$2:$T$368,G397,FALSE)</f>
        <v>#N/A</v>
      </c>
      <c r="L397">
        <f t="shared" ca="1" si="60"/>
        <v>1</v>
      </c>
      <c r="N397" t="e">
        <f t="shared" ca="1" si="65"/>
        <v>#NAME?</v>
      </c>
      <c r="O397" t="e">
        <f t="shared" ca="1" si="61"/>
        <v>#NAME?</v>
      </c>
      <c r="P397" s="2" t="e">
        <f ca="1"/>
        <v>#NAME?</v>
      </c>
      <c r="Q397" t="e">
        <f ca="1"/>
        <v>#NAME?</v>
      </c>
      <c r="R397" t="e">
        <f ca="1"/>
        <v>#NAME?</v>
      </c>
      <c r="S397" t="e">
        <f ca="1"/>
        <v>#NAME?</v>
      </c>
      <c r="T397" t="e">
        <f ca="1"/>
        <v>#NAME?</v>
      </c>
      <c r="U397" t="e">
        <f ca="1"/>
        <v>#NAME?</v>
      </c>
      <c r="V397" t="e">
        <f ca="1"/>
        <v>#NAME?</v>
      </c>
      <c r="W397" t="e">
        <f ca="1"/>
        <v>#NAME?</v>
      </c>
      <c r="X397" t="e">
        <f ca="1"/>
        <v>#NAME?</v>
      </c>
      <c r="Y397" t="e">
        <f ca="1"/>
        <v>#NAME?</v>
      </c>
      <c r="Z397" t="e">
        <f ca="1"/>
        <v>#NAME?</v>
      </c>
      <c r="AA397" t="e">
        <f ca="1"/>
        <v>#NAME?</v>
      </c>
      <c r="AB397" t="e">
        <f ca="1"/>
        <v>#NAME?</v>
      </c>
      <c r="AD397" s="2">
        <f t="shared" ca="1" si="62"/>
        <v>0</v>
      </c>
      <c r="AE397" s="46">
        <f t="shared" ca="1" si="63"/>
        <v>0</v>
      </c>
      <c r="AG397" s="72" t="e">
        <f t="shared" ca="1" si="67"/>
        <v>#NAME?</v>
      </c>
      <c r="AH397" s="72" t="e">
        <f t="shared" ca="1" si="68"/>
        <v>#NAME?</v>
      </c>
      <c r="AI397" s="3" t="e">
        <f t="shared" ca="1" si="69"/>
        <v>#NAME?</v>
      </c>
    </row>
    <row r="398" spans="7:35" x14ac:dyDescent="0.25">
      <c r="G398" s="3">
        <f t="shared" ca="1" si="64"/>
        <v>14</v>
      </c>
      <c r="H398" s="105">
        <f t="shared" ca="1" si="66"/>
        <v>45304</v>
      </c>
      <c r="I398" s="132" t="e">
        <f>HLOOKUP($H$4,'Met Data'!$A$2:$F$368,G398,FALSE)</f>
        <v>#N/A</v>
      </c>
      <c r="J398" s="132" t="e">
        <f ca="1">HLOOKUP($H$4,'Met Data'!$H$2:$M$368,G398,FALSE)*L398</f>
        <v>#N/A</v>
      </c>
      <c r="K398" s="106" t="e">
        <f>HLOOKUP($H$4,'Met Data'!$O$2:$T$368,G398,FALSE)</f>
        <v>#N/A</v>
      </c>
      <c r="L398">
        <f t="shared" ca="1" si="60"/>
        <v>1</v>
      </c>
      <c r="N398" t="e">
        <f t="shared" ca="1" si="65"/>
        <v>#NAME?</v>
      </c>
      <c r="O398" t="e">
        <f t="shared" ca="1" si="61"/>
        <v>#NAME?</v>
      </c>
      <c r="P398" s="2" t="e">
        <f ca="1"/>
        <v>#NAME?</v>
      </c>
      <c r="Q398" t="e">
        <f ca="1"/>
        <v>#NAME?</v>
      </c>
      <c r="R398" t="e">
        <f ca="1"/>
        <v>#NAME?</v>
      </c>
      <c r="S398" t="e">
        <f ca="1"/>
        <v>#NAME?</v>
      </c>
      <c r="T398" t="e">
        <f ca="1"/>
        <v>#NAME?</v>
      </c>
      <c r="U398" t="e">
        <f ca="1"/>
        <v>#NAME?</v>
      </c>
      <c r="V398" t="e">
        <f ca="1"/>
        <v>#NAME?</v>
      </c>
      <c r="W398" t="e">
        <f ca="1"/>
        <v>#NAME?</v>
      </c>
      <c r="X398" t="e">
        <f ca="1"/>
        <v>#NAME?</v>
      </c>
      <c r="Y398" t="e">
        <f ca="1"/>
        <v>#NAME?</v>
      </c>
      <c r="Z398" t="e">
        <f ca="1"/>
        <v>#NAME?</v>
      </c>
      <c r="AA398" t="e">
        <f ca="1"/>
        <v>#NAME?</v>
      </c>
      <c r="AB398" t="e">
        <f ca="1"/>
        <v>#NAME?</v>
      </c>
      <c r="AD398" s="2">
        <f t="shared" ca="1" si="62"/>
        <v>0</v>
      </c>
      <c r="AE398" s="46">
        <f t="shared" ca="1" si="63"/>
        <v>0</v>
      </c>
      <c r="AG398" s="72" t="e">
        <f t="shared" ca="1" si="67"/>
        <v>#NAME?</v>
      </c>
      <c r="AH398" s="72" t="e">
        <f t="shared" ca="1" si="68"/>
        <v>#NAME?</v>
      </c>
      <c r="AI398" s="3" t="e">
        <f t="shared" ca="1" si="69"/>
        <v>#NAME?</v>
      </c>
    </row>
    <row r="399" spans="7:35" x14ac:dyDescent="0.25">
      <c r="G399" s="3">
        <f t="shared" ca="1" si="64"/>
        <v>15</v>
      </c>
      <c r="H399" s="105">
        <f t="shared" ca="1" si="66"/>
        <v>45305</v>
      </c>
      <c r="I399" s="132" t="e">
        <f>HLOOKUP($H$4,'Met Data'!$A$2:$F$368,G399,FALSE)</f>
        <v>#N/A</v>
      </c>
      <c r="J399" s="132" t="e">
        <f ca="1">HLOOKUP($H$4,'Met Data'!$H$2:$M$368,G399,FALSE)*L399</f>
        <v>#N/A</v>
      </c>
      <c r="K399" s="106" t="e">
        <f>HLOOKUP($H$4,'Met Data'!$O$2:$T$368,G399,FALSE)</f>
        <v>#N/A</v>
      </c>
      <c r="L399">
        <f t="shared" ca="1" si="60"/>
        <v>1</v>
      </c>
      <c r="N399" t="e">
        <f t="shared" ca="1" si="65"/>
        <v>#NAME?</v>
      </c>
      <c r="O399" t="e">
        <f t="shared" ca="1" si="61"/>
        <v>#NAME?</v>
      </c>
      <c r="P399" s="2" t="e">
        <f ca="1"/>
        <v>#NAME?</v>
      </c>
      <c r="Q399" t="e">
        <f ca="1"/>
        <v>#NAME?</v>
      </c>
      <c r="R399" t="e">
        <f ca="1"/>
        <v>#NAME?</v>
      </c>
      <c r="S399" t="e">
        <f ca="1"/>
        <v>#NAME?</v>
      </c>
      <c r="T399" t="e">
        <f ca="1"/>
        <v>#NAME?</v>
      </c>
      <c r="U399" t="e">
        <f ca="1"/>
        <v>#NAME?</v>
      </c>
      <c r="V399" t="e">
        <f ca="1"/>
        <v>#NAME?</v>
      </c>
      <c r="W399" t="e">
        <f ca="1"/>
        <v>#NAME?</v>
      </c>
      <c r="X399" t="e">
        <f ca="1"/>
        <v>#NAME?</v>
      </c>
      <c r="Y399" t="e">
        <f ca="1"/>
        <v>#NAME?</v>
      </c>
      <c r="Z399" t="e">
        <f ca="1"/>
        <v>#NAME?</v>
      </c>
      <c r="AA399" t="e">
        <f ca="1"/>
        <v>#NAME?</v>
      </c>
      <c r="AB399" t="e">
        <f ca="1"/>
        <v>#NAME?</v>
      </c>
      <c r="AD399" s="2">
        <f t="shared" ca="1" si="62"/>
        <v>0</v>
      </c>
      <c r="AE399" s="46">
        <f t="shared" ca="1" si="63"/>
        <v>0</v>
      </c>
      <c r="AG399" s="72" t="e">
        <f t="shared" ca="1" si="67"/>
        <v>#NAME?</v>
      </c>
      <c r="AH399" s="72" t="e">
        <f t="shared" ca="1" si="68"/>
        <v>#NAME?</v>
      </c>
      <c r="AI399" s="3" t="e">
        <f t="shared" ca="1" si="69"/>
        <v>#NAME?</v>
      </c>
    </row>
    <row r="400" spans="7:35" x14ac:dyDescent="0.25">
      <c r="G400" s="3">
        <f t="shared" ca="1" si="64"/>
        <v>16</v>
      </c>
      <c r="H400" s="105">
        <f t="shared" ca="1" si="66"/>
        <v>45306</v>
      </c>
      <c r="I400" s="132" t="e">
        <f>HLOOKUP($H$4,'Met Data'!$A$2:$F$368,G400,FALSE)</f>
        <v>#N/A</v>
      </c>
      <c r="J400" s="132" t="e">
        <f ca="1">HLOOKUP($H$4,'Met Data'!$H$2:$M$368,G400,FALSE)*L400</f>
        <v>#N/A</v>
      </c>
      <c r="K400" s="106" t="e">
        <f>HLOOKUP($H$4,'Met Data'!$O$2:$T$368,G400,FALSE)</f>
        <v>#N/A</v>
      </c>
      <c r="L400">
        <f t="shared" ca="1" si="60"/>
        <v>1</v>
      </c>
      <c r="N400" t="e">
        <f t="shared" ca="1" si="65"/>
        <v>#NAME?</v>
      </c>
      <c r="O400" t="e">
        <f t="shared" ca="1" si="61"/>
        <v>#NAME?</v>
      </c>
      <c r="P400" s="2" t="e">
        <f ca="1"/>
        <v>#NAME?</v>
      </c>
      <c r="Q400" t="e">
        <f ca="1"/>
        <v>#NAME?</v>
      </c>
      <c r="R400" t="e">
        <f ca="1"/>
        <v>#NAME?</v>
      </c>
      <c r="S400" t="e">
        <f ca="1"/>
        <v>#NAME?</v>
      </c>
      <c r="T400" t="e">
        <f ca="1"/>
        <v>#NAME?</v>
      </c>
      <c r="U400" t="e">
        <f ca="1"/>
        <v>#NAME?</v>
      </c>
      <c r="V400" t="e">
        <f ca="1"/>
        <v>#NAME?</v>
      </c>
      <c r="W400" t="e">
        <f ca="1"/>
        <v>#NAME?</v>
      </c>
      <c r="X400" t="e">
        <f ca="1"/>
        <v>#NAME?</v>
      </c>
      <c r="Y400" t="e">
        <f ca="1"/>
        <v>#NAME?</v>
      </c>
      <c r="Z400" t="e">
        <f ca="1"/>
        <v>#NAME?</v>
      </c>
      <c r="AA400" t="e">
        <f ca="1"/>
        <v>#NAME?</v>
      </c>
      <c r="AB400" t="e">
        <f ca="1"/>
        <v>#NAME?</v>
      </c>
      <c r="AD400" s="2">
        <f t="shared" ca="1" si="62"/>
        <v>0</v>
      </c>
      <c r="AE400" s="46">
        <f t="shared" ca="1" si="63"/>
        <v>0</v>
      </c>
      <c r="AG400" s="72" t="e">
        <f t="shared" ca="1" si="67"/>
        <v>#NAME?</v>
      </c>
      <c r="AH400" s="72" t="e">
        <f t="shared" ca="1" si="68"/>
        <v>#NAME?</v>
      </c>
      <c r="AI400" s="3" t="e">
        <f t="shared" ca="1" si="69"/>
        <v>#NAME?</v>
      </c>
    </row>
    <row r="401" spans="7:35" x14ac:dyDescent="0.25">
      <c r="G401" s="3">
        <f t="shared" ca="1" si="64"/>
        <v>17</v>
      </c>
      <c r="H401" s="105">
        <f t="shared" ca="1" si="66"/>
        <v>45307</v>
      </c>
      <c r="I401" s="132" t="e">
        <f>HLOOKUP($H$4,'Met Data'!$A$2:$F$368,G401,FALSE)</f>
        <v>#N/A</v>
      </c>
      <c r="J401" s="132" t="e">
        <f ca="1">HLOOKUP($H$4,'Met Data'!$H$2:$M$368,G401,FALSE)*L401</f>
        <v>#N/A</v>
      </c>
      <c r="K401" s="106" t="e">
        <f>HLOOKUP($H$4,'Met Data'!$O$2:$T$368,G401,FALSE)</f>
        <v>#N/A</v>
      </c>
      <c r="L401">
        <f t="shared" ca="1" si="60"/>
        <v>1</v>
      </c>
      <c r="N401" t="e">
        <f t="shared" ca="1" si="65"/>
        <v>#NAME?</v>
      </c>
      <c r="O401" t="e">
        <f t="shared" ca="1" si="61"/>
        <v>#NAME?</v>
      </c>
      <c r="P401" s="2" t="e">
        <f ca="1"/>
        <v>#NAME?</v>
      </c>
      <c r="Q401" t="e">
        <f ca="1"/>
        <v>#NAME?</v>
      </c>
      <c r="R401" t="e">
        <f ca="1"/>
        <v>#NAME?</v>
      </c>
      <c r="S401" t="e">
        <f ca="1"/>
        <v>#NAME?</v>
      </c>
      <c r="T401" t="e">
        <f ca="1"/>
        <v>#NAME?</v>
      </c>
      <c r="U401" t="e">
        <f ca="1"/>
        <v>#NAME?</v>
      </c>
      <c r="V401" t="e">
        <f ca="1"/>
        <v>#NAME?</v>
      </c>
      <c r="W401" t="e">
        <f ca="1"/>
        <v>#NAME?</v>
      </c>
      <c r="X401" t="e">
        <f ca="1"/>
        <v>#NAME?</v>
      </c>
      <c r="Y401" t="e">
        <f ca="1"/>
        <v>#NAME?</v>
      </c>
      <c r="Z401" t="e">
        <f ca="1"/>
        <v>#NAME?</v>
      </c>
      <c r="AA401" t="e">
        <f ca="1"/>
        <v>#NAME?</v>
      </c>
      <c r="AB401" t="e">
        <f ca="1"/>
        <v>#NAME?</v>
      </c>
      <c r="AD401" s="2">
        <f t="shared" ca="1" si="62"/>
        <v>0</v>
      </c>
      <c r="AE401" s="46">
        <f t="shared" ca="1" si="63"/>
        <v>0</v>
      </c>
      <c r="AG401" s="72" t="e">
        <f t="shared" ca="1" si="67"/>
        <v>#NAME?</v>
      </c>
      <c r="AH401" s="72" t="e">
        <f t="shared" ca="1" si="68"/>
        <v>#NAME?</v>
      </c>
      <c r="AI401" s="3" t="e">
        <f t="shared" ca="1" si="69"/>
        <v>#NAME?</v>
      </c>
    </row>
    <row r="402" spans="7:35" x14ac:dyDescent="0.25">
      <c r="G402" s="3">
        <f t="shared" ca="1" si="64"/>
        <v>18</v>
      </c>
      <c r="H402" s="105">
        <f t="shared" ca="1" si="66"/>
        <v>45308</v>
      </c>
      <c r="I402" s="132" t="e">
        <f>HLOOKUP($H$4,'Met Data'!$A$2:$F$368,G402,FALSE)</f>
        <v>#N/A</v>
      </c>
      <c r="J402" s="132" t="e">
        <f ca="1">HLOOKUP($H$4,'Met Data'!$H$2:$M$368,G402,FALSE)*L402</f>
        <v>#N/A</v>
      </c>
      <c r="K402" s="106" t="e">
        <f>HLOOKUP($H$4,'Met Data'!$O$2:$T$368,G402,FALSE)</f>
        <v>#N/A</v>
      </c>
      <c r="L402">
        <f t="shared" ca="1" si="60"/>
        <v>1</v>
      </c>
      <c r="N402" t="e">
        <f t="shared" ca="1" si="65"/>
        <v>#NAME?</v>
      </c>
      <c r="O402" t="e">
        <f t="shared" ca="1" si="61"/>
        <v>#NAME?</v>
      </c>
      <c r="P402" s="2" t="e">
        <f ca="1"/>
        <v>#NAME?</v>
      </c>
      <c r="Q402" t="e">
        <f ca="1"/>
        <v>#NAME?</v>
      </c>
      <c r="R402" t="e">
        <f ca="1"/>
        <v>#NAME?</v>
      </c>
      <c r="S402" t="e">
        <f ca="1"/>
        <v>#NAME?</v>
      </c>
      <c r="T402" t="e">
        <f ca="1"/>
        <v>#NAME?</v>
      </c>
      <c r="U402" t="e">
        <f ca="1"/>
        <v>#NAME?</v>
      </c>
      <c r="V402" t="e">
        <f ca="1"/>
        <v>#NAME?</v>
      </c>
      <c r="W402" t="e">
        <f ca="1"/>
        <v>#NAME?</v>
      </c>
      <c r="X402" t="e">
        <f ca="1"/>
        <v>#NAME?</v>
      </c>
      <c r="Y402" t="e">
        <f ca="1"/>
        <v>#NAME?</v>
      </c>
      <c r="Z402" t="e">
        <f ca="1"/>
        <v>#NAME?</v>
      </c>
      <c r="AA402" t="e">
        <f ca="1"/>
        <v>#NAME?</v>
      </c>
      <c r="AB402" t="e">
        <f ca="1"/>
        <v>#NAME?</v>
      </c>
      <c r="AD402" s="2">
        <f t="shared" ca="1" si="62"/>
        <v>0</v>
      </c>
      <c r="AE402" s="46">
        <f t="shared" ca="1" si="63"/>
        <v>0</v>
      </c>
      <c r="AG402" s="72" t="e">
        <f t="shared" ca="1" si="67"/>
        <v>#NAME?</v>
      </c>
      <c r="AH402" s="72" t="e">
        <f t="shared" ca="1" si="68"/>
        <v>#NAME?</v>
      </c>
      <c r="AI402" s="3" t="e">
        <f t="shared" ca="1" si="69"/>
        <v>#NAME?</v>
      </c>
    </row>
    <row r="403" spans="7:35" x14ac:dyDescent="0.25">
      <c r="G403" s="3">
        <f t="shared" ca="1" si="64"/>
        <v>19</v>
      </c>
      <c r="H403" s="105">
        <f t="shared" ca="1" si="66"/>
        <v>45309</v>
      </c>
      <c r="I403" s="132" t="e">
        <f>HLOOKUP($H$4,'Met Data'!$A$2:$F$368,G403,FALSE)</f>
        <v>#N/A</v>
      </c>
      <c r="J403" s="132" t="e">
        <f ca="1">HLOOKUP($H$4,'Met Data'!$H$2:$M$368,G403,FALSE)*L403</f>
        <v>#N/A</v>
      </c>
      <c r="K403" s="106" t="e">
        <f>HLOOKUP($H$4,'Met Data'!$O$2:$T$368,G403,FALSE)</f>
        <v>#N/A</v>
      </c>
      <c r="L403">
        <f t="shared" ca="1" si="60"/>
        <v>1</v>
      </c>
      <c r="N403" t="e">
        <f t="shared" ca="1" si="65"/>
        <v>#NAME?</v>
      </c>
      <c r="O403" t="e">
        <f t="shared" ca="1" si="61"/>
        <v>#NAME?</v>
      </c>
      <c r="P403" s="2" t="e">
        <f ca="1"/>
        <v>#NAME?</v>
      </c>
      <c r="Q403" t="e">
        <f ca="1"/>
        <v>#NAME?</v>
      </c>
      <c r="R403" t="e">
        <f ca="1"/>
        <v>#NAME?</v>
      </c>
      <c r="S403" t="e">
        <f ca="1"/>
        <v>#NAME?</v>
      </c>
      <c r="T403" t="e">
        <f ca="1"/>
        <v>#NAME?</v>
      </c>
      <c r="U403" t="e">
        <f ca="1"/>
        <v>#NAME?</v>
      </c>
      <c r="V403" t="e">
        <f ca="1"/>
        <v>#NAME?</v>
      </c>
      <c r="W403" t="e">
        <f ca="1"/>
        <v>#NAME?</v>
      </c>
      <c r="X403" t="e">
        <f ca="1"/>
        <v>#NAME?</v>
      </c>
      <c r="Y403" t="e">
        <f ca="1"/>
        <v>#NAME?</v>
      </c>
      <c r="Z403" t="e">
        <f ca="1"/>
        <v>#NAME?</v>
      </c>
      <c r="AA403" t="e">
        <f ca="1"/>
        <v>#NAME?</v>
      </c>
      <c r="AB403" t="e">
        <f ca="1"/>
        <v>#NAME?</v>
      </c>
      <c r="AD403" s="2">
        <f t="shared" ca="1" si="62"/>
        <v>0</v>
      </c>
      <c r="AE403" s="46">
        <f t="shared" ca="1" si="63"/>
        <v>0</v>
      </c>
      <c r="AG403" s="72" t="e">
        <f t="shared" ca="1" si="67"/>
        <v>#NAME?</v>
      </c>
      <c r="AH403" s="72" t="e">
        <f t="shared" ca="1" si="68"/>
        <v>#NAME?</v>
      </c>
      <c r="AI403" s="3" t="e">
        <f t="shared" ca="1" si="69"/>
        <v>#NAME?</v>
      </c>
    </row>
    <row r="404" spans="7:35" x14ac:dyDescent="0.25">
      <c r="G404" s="3">
        <f t="shared" ca="1" si="64"/>
        <v>20</v>
      </c>
      <c r="H404" s="105">
        <f t="shared" ca="1" si="66"/>
        <v>45310</v>
      </c>
      <c r="I404" s="132" t="e">
        <f>HLOOKUP($H$4,'Met Data'!$A$2:$F$368,G404,FALSE)</f>
        <v>#N/A</v>
      </c>
      <c r="J404" s="132" t="e">
        <f ca="1">HLOOKUP($H$4,'Met Data'!$H$2:$M$368,G404,FALSE)*L404</f>
        <v>#N/A</v>
      </c>
      <c r="K404" s="106" t="e">
        <f>HLOOKUP($H$4,'Met Data'!$O$2:$T$368,G404,FALSE)</f>
        <v>#N/A</v>
      </c>
      <c r="L404">
        <f t="shared" ca="1" si="60"/>
        <v>1</v>
      </c>
      <c r="N404" t="e">
        <f t="shared" ca="1" si="65"/>
        <v>#NAME?</v>
      </c>
      <c r="O404" t="e">
        <f t="shared" ca="1" si="61"/>
        <v>#NAME?</v>
      </c>
      <c r="P404" s="2" t="e">
        <f ca="1"/>
        <v>#NAME?</v>
      </c>
      <c r="Q404" t="e">
        <f ca="1"/>
        <v>#NAME?</v>
      </c>
      <c r="R404" t="e">
        <f ca="1"/>
        <v>#NAME?</v>
      </c>
      <c r="S404" t="e">
        <f ca="1"/>
        <v>#NAME?</v>
      </c>
      <c r="T404" t="e">
        <f ca="1"/>
        <v>#NAME?</v>
      </c>
      <c r="U404" t="e">
        <f ca="1"/>
        <v>#NAME?</v>
      </c>
      <c r="V404" t="e">
        <f ca="1"/>
        <v>#NAME?</v>
      </c>
      <c r="W404" t="e">
        <f ca="1"/>
        <v>#NAME?</v>
      </c>
      <c r="X404" t="e">
        <f ca="1"/>
        <v>#NAME?</v>
      </c>
      <c r="Y404" t="e">
        <f ca="1"/>
        <v>#NAME?</v>
      </c>
      <c r="Z404" t="e">
        <f ca="1"/>
        <v>#NAME?</v>
      </c>
      <c r="AA404" t="e">
        <f ca="1"/>
        <v>#NAME?</v>
      </c>
      <c r="AB404" t="e">
        <f ca="1"/>
        <v>#NAME?</v>
      </c>
      <c r="AD404" s="2">
        <f t="shared" ca="1" si="62"/>
        <v>0</v>
      </c>
      <c r="AE404" s="46">
        <f t="shared" ca="1" si="63"/>
        <v>0</v>
      </c>
      <c r="AG404" s="72" t="e">
        <f t="shared" ca="1" si="67"/>
        <v>#NAME?</v>
      </c>
      <c r="AH404" s="72" t="e">
        <f t="shared" ca="1" si="68"/>
        <v>#NAME?</v>
      </c>
      <c r="AI404" s="3" t="e">
        <f t="shared" ca="1" si="69"/>
        <v>#NAME?</v>
      </c>
    </row>
    <row r="405" spans="7:35" x14ac:dyDescent="0.25">
      <c r="G405" s="3">
        <f t="shared" ca="1" si="64"/>
        <v>21</v>
      </c>
      <c r="H405" s="105">
        <f t="shared" ca="1" si="66"/>
        <v>45311</v>
      </c>
      <c r="I405" s="132" t="e">
        <f>HLOOKUP($H$4,'Met Data'!$A$2:$F$368,G405,FALSE)</f>
        <v>#N/A</v>
      </c>
      <c r="J405" s="132" t="e">
        <f ca="1">HLOOKUP($H$4,'Met Data'!$H$2:$M$368,G405,FALSE)*L405</f>
        <v>#N/A</v>
      </c>
      <c r="K405" s="106" t="e">
        <f>HLOOKUP($H$4,'Met Data'!$O$2:$T$368,G405,FALSE)</f>
        <v>#N/A</v>
      </c>
      <c r="L405">
        <f t="shared" ca="1" si="60"/>
        <v>1</v>
      </c>
      <c r="N405" t="e">
        <f t="shared" ca="1" si="65"/>
        <v>#NAME?</v>
      </c>
      <c r="O405" t="e">
        <f t="shared" ca="1" si="61"/>
        <v>#NAME?</v>
      </c>
      <c r="P405" s="2" t="e">
        <f ca="1"/>
        <v>#NAME?</v>
      </c>
      <c r="Q405" t="e">
        <f ca="1"/>
        <v>#NAME?</v>
      </c>
      <c r="R405" t="e">
        <f ca="1"/>
        <v>#NAME?</v>
      </c>
      <c r="S405" t="e">
        <f ca="1"/>
        <v>#NAME?</v>
      </c>
      <c r="T405" t="e">
        <f ca="1"/>
        <v>#NAME?</v>
      </c>
      <c r="U405" t="e">
        <f ca="1"/>
        <v>#NAME?</v>
      </c>
      <c r="V405" t="e">
        <f ca="1"/>
        <v>#NAME?</v>
      </c>
      <c r="W405" t="e">
        <f ca="1"/>
        <v>#NAME?</v>
      </c>
      <c r="X405" t="e">
        <f ca="1"/>
        <v>#NAME?</v>
      </c>
      <c r="Y405" t="e">
        <f ca="1"/>
        <v>#NAME?</v>
      </c>
      <c r="Z405" t="e">
        <f ca="1"/>
        <v>#NAME?</v>
      </c>
      <c r="AA405" t="e">
        <f ca="1"/>
        <v>#NAME?</v>
      </c>
      <c r="AB405" t="e">
        <f ca="1"/>
        <v>#NAME?</v>
      </c>
      <c r="AD405" s="2">
        <f t="shared" ca="1" si="62"/>
        <v>0</v>
      </c>
      <c r="AE405" s="46">
        <f t="shared" ca="1" si="63"/>
        <v>0</v>
      </c>
      <c r="AG405" s="72" t="e">
        <f t="shared" ca="1" si="67"/>
        <v>#NAME?</v>
      </c>
      <c r="AH405" s="72" t="e">
        <f t="shared" ca="1" si="68"/>
        <v>#NAME?</v>
      </c>
      <c r="AI405" s="3" t="e">
        <f t="shared" ca="1" si="69"/>
        <v>#NAME?</v>
      </c>
    </row>
    <row r="406" spans="7:35" x14ac:dyDescent="0.25">
      <c r="G406" s="3">
        <f t="shared" ca="1" si="64"/>
        <v>22</v>
      </c>
      <c r="H406" s="105">
        <f t="shared" ca="1" si="66"/>
        <v>45312</v>
      </c>
      <c r="I406" s="132" t="e">
        <f>HLOOKUP($H$4,'Met Data'!$A$2:$F$368,G406,FALSE)</f>
        <v>#N/A</v>
      </c>
      <c r="J406" s="132" t="e">
        <f ca="1">HLOOKUP($H$4,'Met Data'!$H$2:$M$368,G406,FALSE)*L406</f>
        <v>#N/A</v>
      </c>
      <c r="K406" s="106" t="e">
        <f>HLOOKUP($H$4,'Met Data'!$O$2:$T$368,G406,FALSE)</f>
        <v>#N/A</v>
      </c>
      <c r="L406">
        <f t="shared" ca="1" si="60"/>
        <v>1</v>
      </c>
      <c r="N406" t="e">
        <f t="shared" ca="1" si="65"/>
        <v>#NAME?</v>
      </c>
      <c r="O406" t="e">
        <f t="shared" ca="1" si="61"/>
        <v>#NAME?</v>
      </c>
      <c r="P406" s="2" t="e">
        <f ca="1"/>
        <v>#NAME?</v>
      </c>
      <c r="Q406" t="e">
        <f ca="1"/>
        <v>#NAME?</v>
      </c>
      <c r="R406" t="e">
        <f ca="1"/>
        <v>#NAME?</v>
      </c>
      <c r="S406" t="e">
        <f ca="1"/>
        <v>#NAME?</v>
      </c>
      <c r="T406" t="e">
        <f ca="1"/>
        <v>#NAME?</v>
      </c>
      <c r="U406" t="e">
        <f ca="1"/>
        <v>#NAME?</v>
      </c>
      <c r="V406" t="e">
        <f ca="1"/>
        <v>#NAME?</v>
      </c>
      <c r="W406" t="e">
        <f ca="1"/>
        <v>#NAME?</v>
      </c>
      <c r="X406" t="e">
        <f ca="1"/>
        <v>#NAME?</v>
      </c>
      <c r="Y406" t="e">
        <f ca="1"/>
        <v>#NAME?</v>
      </c>
      <c r="Z406" t="e">
        <f ca="1"/>
        <v>#NAME?</v>
      </c>
      <c r="AA406" t="e">
        <f ca="1"/>
        <v>#NAME?</v>
      </c>
      <c r="AB406" t="e">
        <f ca="1"/>
        <v>#NAME?</v>
      </c>
      <c r="AD406" s="2">
        <f t="shared" ca="1" si="62"/>
        <v>0</v>
      </c>
      <c r="AE406" s="46">
        <f t="shared" ca="1" si="63"/>
        <v>0</v>
      </c>
      <c r="AG406" s="72" t="e">
        <f t="shared" ca="1" si="67"/>
        <v>#NAME?</v>
      </c>
      <c r="AH406" s="72" t="e">
        <f t="shared" ca="1" si="68"/>
        <v>#NAME?</v>
      </c>
      <c r="AI406" s="3" t="e">
        <f t="shared" ca="1" si="69"/>
        <v>#NAME?</v>
      </c>
    </row>
    <row r="407" spans="7:35" x14ac:dyDescent="0.25">
      <c r="G407" s="3">
        <f t="shared" ca="1" si="64"/>
        <v>23</v>
      </c>
      <c r="H407" s="105">
        <f t="shared" ca="1" si="66"/>
        <v>45313</v>
      </c>
      <c r="I407" s="132" t="e">
        <f>HLOOKUP($H$4,'Met Data'!$A$2:$F$368,G407,FALSE)</f>
        <v>#N/A</v>
      </c>
      <c r="J407" s="132" t="e">
        <f ca="1">HLOOKUP($H$4,'Met Data'!$H$2:$M$368,G407,FALSE)*L407</f>
        <v>#N/A</v>
      </c>
      <c r="K407" s="106" t="e">
        <f>HLOOKUP($H$4,'Met Data'!$O$2:$T$368,G407,FALSE)</f>
        <v>#N/A</v>
      </c>
      <c r="L407">
        <f t="shared" ca="1" si="60"/>
        <v>1</v>
      </c>
      <c r="N407" t="e">
        <f t="shared" ca="1" si="65"/>
        <v>#NAME?</v>
      </c>
      <c r="O407" t="e">
        <f t="shared" ca="1" si="61"/>
        <v>#NAME?</v>
      </c>
      <c r="P407" s="2" t="e">
        <f ca="1"/>
        <v>#NAME?</v>
      </c>
      <c r="Q407" t="e">
        <f ca="1"/>
        <v>#NAME?</v>
      </c>
      <c r="R407" t="e">
        <f ca="1"/>
        <v>#NAME?</v>
      </c>
      <c r="S407" t="e">
        <f ca="1"/>
        <v>#NAME?</v>
      </c>
      <c r="T407" t="e">
        <f ca="1"/>
        <v>#NAME?</v>
      </c>
      <c r="U407" t="e">
        <f ca="1"/>
        <v>#NAME?</v>
      </c>
      <c r="V407" t="e">
        <f ca="1"/>
        <v>#NAME?</v>
      </c>
      <c r="W407" t="e">
        <f ca="1"/>
        <v>#NAME?</v>
      </c>
      <c r="X407" t="e">
        <f ca="1"/>
        <v>#NAME?</v>
      </c>
      <c r="Y407" t="e">
        <f ca="1"/>
        <v>#NAME?</v>
      </c>
      <c r="Z407" t="e">
        <f ca="1"/>
        <v>#NAME?</v>
      </c>
      <c r="AA407" t="e">
        <f ca="1"/>
        <v>#NAME?</v>
      </c>
      <c r="AB407" t="e">
        <f ca="1"/>
        <v>#NAME?</v>
      </c>
      <c r="AD407" s="2">
        <f t="shared" ca="1" si="62"/>
        <v>0</v>
      </c>
      <c r="AE407" s="46">
        <f t="shared" ca="1" si="63"/>
        <v>0</v>
      </c>
      <c r="AG407" s="72" t="e">
        <f t="shared" ca="1" si="67"/>
        <v>#NAME?</v>
      </c>
      <c r="AH407" s="72" t="e">
        <f t="shared" ca="1" si="68"/>
        <v>#NAME?</v>
      </c>
      <c r="AI407" s="3" t="e">
        <f t="shared" ca="1" si="69"/>
        <v>#NAME?</v>
      </c>
    </row>
    <row r="408" spans="7:35" x14ac:dyDescent="0.25">
      <c r="G408" s="3">
        <f t="shared" ca="1" si="64"/>
        <v>24</v>
      </c>
      <c r="H408" s="105">
        <f t="shared" ca="1" si="66"/>
        <v>45314</v>
      </c>
      <c r="I408" s="132" t="e">
        <f>HLOOKUP($H$4,'Met Data'!$A$2:$F$368,G408,FALSE)</f>
        <v>#N/A</v>
      </c>
      <c r="J408" s="132" t="e">
        <f ca="1">HLOOKUP($H$4,'Met Data'!$H$2:$M$368,G408,FALSE)*L408</f>
        <v>#N/A</v>
      </c>
      <c r="K408" s="106" t="e">
        <f>HLOOKUP($H$4,'Met Data'!$O$2:$T$368,G408,FALSE)</f>
        <v>#N/A</v>
      </c>
      <c r="L408">
        <f t="shared" ca="1" si="60"/>
        <v>1</v>
      </c>
      <c r="N408" t="e">
        <f t="shared" ca="1" si="65"/>
        <v>#NAME?</v>
      </c>
      <c r="O408" t="e">
        <f t="shared" ca="1" si="61"/>
        <v>#NAME?</v>
      </c>
      <c r="P408" s="2" t="e">
        <f ca="1"/>
        <v>#NAME?</v>
      </c>
      <c r="Q408" t="e">
        <f ca="1"/>
        <v>#NAME?</v>
      </c>
      <c r="R408" t="e">
        <f ca="1"/>
        <v>#NAME?</v>
      </c>
      <c r="S408" t="e">
        <f ca="1"/>
        <v>#NAME?</v>
      </c>
      <c r="T408" t="e">
        <f ca="1"/>
        <v>#NAME?</v>
      </c>
      <c r="U408" t="e">
        <f ca="1"/>
        <v>#NAME?</v>
      </c>
      <c r="V408" t="e">
        <f ca="1"/>
        <v>#NAME?</v>
      </c>
      <c r="W408" t="e">
        <f ca="1"/>
        <v>#NAME?</v>
      </c>
      <c r="X408" t="e">
        <f ca="1"/>
        <v>#NAME?</v>
      </c>
      <c r="Y408" t="e">
        <f ca="1"/>
        <v>#NAME?</v>
      </c>
      <c r="Z408" t="e">
        <f ca="1"/>
        <v>#NAME?</v>
      </c>
      <c r="AA408" t="e">
        <f ca="1"/>
        <v>#NAME?</v>
      </c>
      <c r="AB408" t="e">
        <f ca="1"/>
        <v>#NAME?</v>
      </c>
      <c r="AD408" s="2">
        <f t="shared" ca="1" si="62"/>
        <v>0</v>
      </c>
      <c r="AE408" s="46">
        <f t="shared" ca="1" si="63"/>
        <v>0</v>
      </c>
      <c r="AG408" s="72" t="e">
        <f t="shared" ca="1" si="67"/>
        <v>#NAME?</v>
      </c>
      <c r="AH408" s="72" t="e">
        <f t="shared" ca="1" si="68"/>
        <v>#NAME?</v>
      </c>
      <c r="AI408" s="3" t="e">
        <f t="shared" ca="1" si="69"/>
        <v>#NAME?</v>
      </c>
    </row>
    <row r="409" spans="7:35" x14ac:dyDescent="0.25">
      <c r="G409" s="3">
        <f t="shared" ca="1" si="64"/>
        <v>25</v>
      </c>
      <c r="H409" s="105">
        <f t="shared" ca="1" si="66"/>
        <v>45315</v>
      </c>
      <c r="I409" s="132" t="e">
        <f>HLOOKUP($H$4,'Met Data'!$A$2:$F$368,G409,FALSE)</f>
        <v>#N/A</v>
      </c>
      <c r="J409" s="132" t="e">
        <f ca="1">HLOOKUP($H$4,'Met Data'!$H$2:$M$368,G409,FALSE)*L409</f>
        <v>#N/A</v>
      </c>
      <c r="K409" s="106" t="e">
        <f>HLOOKUP($H$4,'Met Data'!$O$2:$T$368,G409,FALSE)</f>
        <v>#N/A</v>
      </c>
      <c r="L409">
        <f t="shared" ca="1" si="60"/>
        <v>1</v>
      </c>
      <c r="N409" t="e">
        <f t="shared" ca="1" si="65"/>
        <v>#NAME?</v>
      </c>
      <c r="O409" t="e">
        <f t="shared" ca="1" si="61"/>
        <v>#NAME?</v>
      </c>
      <c r="P409" s="2" t="e">
        <f ca="1"/>
        <v>#NAME?</v>
      </c>
      <c r="Q409" t="e">
        <f ca="1"/>
        <v>#NAME?</v>
      </c>
      <c r="R409" t="e">
        <f ca="1"/>
        <v>#NAME?</v>
      </c>
      <c r="S409" t="e">
        <f ca="1"/>
        <v>#NAME?</v>
      </c>
      <c r="T409" t="e">
        <f ca="1"/>
        <v>#NAME?</v>
      </c>
      <c r="U409" t="e">
        <f ca="1"/>
        <v>#NAME?</v>
      </c>
      <c r="V409" t="e">
        <f ca="1"/>
        <v>#NAME?</v>
      </c>
      <c r="W409" t="e">
        <f ca="1"/>
        <v>#NAME?</v>
      </c>
      <c r="X409" t="e">
        <f ca="1"/>
        <v>#NAME?</v>
      </c>
      <c r="Y409" t="e">
        <f ca="1"/>
        <v>#NAME?</v>
      </c>
      <c r="Z409" t="e">
        <f ca="1"/>
        <v>#NAME?</v>
      </c>
      <c r="AA409" t="e">
        <f ca="1"/>
        <v>#NAME?</v>
      </c>
      <c r="AB409" t="e">
        <f ca="1"/>
        <v>#NAME?</v>
      </c>
      <c r="AD409" s="2">
        <f t="shared" ca="1" si="62"/>
        <v>0</v>
      </c>
      <c r="AE409" s="46">
        <f t="shared" ca="1" si="63"/>
        <v>0</v>
      </c>
      <c r="AG409" s="72" t="e">
        <f t="shared" ca="1" si="67"/>
        <v>#NAME?</v>
      </c>
      <c r="AH409" s="72" t="e">
        <f t="shared" ca="1" si="68"/>
        <v>#NAME?</v>
      </c>
      <c r="AI409" s="3" t="e">
        <f t="shared" ca="1" si="69"/>
        <v>#NAME?</v>
      </c>
    </row>
    <row r="410" spans="7:35" x14ac:dyDescent="0.25">
      <c r="G410" s="3">
        <f t="shared" ca="1" si="64"/>
        <v>26</v>
      </c>
      <c r="H410" s="105">
        <f t="shared" ca="1" si="66"/>
        <v>45316</v>
      </c>
      <c r="I410" s="132" t="e">
        <f>HLOOKUP($H$4,'Met Data'!$A$2:$F$368,G410,FALSE)</f>
        <v>#N/A</v>
      </c>
      <c r="J410" s="132" t="e">
        <f ca="1">HLOOKUP($H$4,'Met Data'!$H$2:$M$368,G410,FALSE)*L410</f>
        <v>#N/A</v>
      </c>
      <c r="K410" s="106" t="e">
        <f>HLOOKUP($H$4,'Met Data'!$O$2:$T$368,G410,FALSE)</f>
        <v>#N/A</v>
      </c>
      <c r="L410">
        <f t="shared" ca="1" si="60"/>
        <v>1</v>
      </c>
      <c r="N410" t="e">
        <f t="shared" ca="1" si="65"/>
        <v>#NAME?</v>
      </c>
      <c r="O410" t="e">
        <f t="shared" ca="1" si="61"/>
        <v>#NAME?</v>
      </c>
      <c r="P410" s="2" t="e">
        <f ca="1"/>
        <v>#NAME?</v>
      </c>
      <c r="Q410" t="e">
        <f ca="1"/>
        <v>#NAME?</v>
      </c>
      <c r="R410" t="e">
        <f ca="1"/>
        <v>#NAME?</v>
      </c>
      <c r="S410" t="e">
        <f ca="1"/>
        <v>#NAME?</v>
      </c>
      <c r="T410" t="e">
        <f ca="1"/>
        <v>#NAME?</v>
      </c>
      <c r="U410" t="e">
        <f ca="1"/>
        <v>#NAME?</v>
      </c>
      <c r="V410" t="e">
        <f ca="1"/>
        <v>#NAME?</v>
      </c>
      <c r="W410" t="e">
        <f ca="1"/>
        <v>#NAME?</v>
      </c>
      <c r="X410" t="e">
        <f ca="1"/>
        <v>#NAME?</v>
      </c>
      <c r="Y410" t="e">
        <f ca="1"/>
        <v>#NAME?</v>
      </c>
      <c r="Z410" t="e">
        <f ca="1"/>
        <v>#NAME?</v>
      </c>
      <c r="AA410" t="e">
        <f ca="1"/>
        <v>#NAME?</v>
      </c>
      <c r="AB410" t="e">
        <f ca="1"/>
        <v>#NAME?</v>
      </c>
      <c r="AD410" s="2">
        <f t="shared" ca="1" si="62"/>
        <v>0</v>
      </c>
      <c r="AE410" s="46">
        <f t="shared" ca="1" si="63"/>
        <v>0</v>
      </c>
      <c r="AG410" s="72" t="e">
        <f t="shared" ca="1" si="67"/>
        <v>#NAME?</v>
      </c>
      <c r="AH410" s="72" t="e">
        <f t="shared" ca="1" si="68"/>
        <v>#NAME?</v>
      </c>
      <c r="AI410" s="3" t="e">
        <f t="shared" ca="1" si="69"/>
        <v>#NAME?</v>
      </c>
    </row>
    <row r="411" spans="7:35" x14ac:dyDescent="0.25">
      <c r="G411" s="3">
        <f t="shared" ca="1" si="64"/>
        <v>27</v>
      </c>
      <c r="H411" s="105">
        <f t="shared" ca="1" si="66"/>
        <v>45317</v>
      </c>
      <c r="I411" s="132" t="e">
        <f>HLOOKUP($H$4,'Met Data'!$A$2:$F$368,G411,FALSE)</f>
        <v>#N/A</v>
      </c>
      <c r="J411" s="132" t="e">
        <f ca="1">HLOOKUP($H$4,'Met Data'!$H$2:$M$368,G411,FALSE)*L411</f>
        <v>#N/A</v>
      </c>
      <c r="K411" s="106" t="e">
        <f>HLOOKUP($H$4,'Met Data'!$O$2:$T$368,G411,FALSE)</f>
        <v>#N/A</v>
      </c>
      <c r="L411">
        <f t="shared" ca="1" si="60"/>
        <v>1</v>
      </c>
      <c r="N411" t="e">
        <f t="shared" ca="1" si="65"/>
        <v>#NAME?</v>
      </c>
      <c r="O411" t="e">
        <f t="shared" ca="1" si="61"/>
        <v>#NAME?</v>
      </c>
      <c r="P411" s="2" t="e">
        <f ca="1"/>
        <v>#NAME?</v>
      </c>
      <c r="Q411" t="e">
        <f ca="1"/>
        <v>#NAME?</v>
      </c>
      <c r="R411" t="e">
        <f ca="1"/>
        <v>#NAME?</v>
      </c>
      <c r="S411" t="e">
        <f ca="1"/>
        <v>#NAME?</v>
      </c>
      <c r="T411" t="e">
        <f ca="1"/>
        <v>#NAME?</v>
      </c>
      <c r="U411" t="e">
        <f ca="1"/>
        <v>#NAME?</v>
      </c>
      <c r="V411" t="e">
        <f ca="1"/>
        <v>#NAME?</v>
      </c>
      <c r="W411" t="e">
        <f ca="1"/>
        <v>#NAME?</v>
      </c>
      <c r="X411" t="e">
        <f ca="1"/>
        <v>#NAME?</v>
      </c>
      <c r="Y411" t="e">
        <f ca="1"/>
        <v>#NAME?</v>
      </c>
      <c r="Z411" t="e">
        <f ca="1"/>
        <v>#NAME?</v>
      </c>
      <c r="AA411" t="e">
        <f ca="1"/>
        <v>#NAME?</v>
      </c>
      <c r="AB411" t="e">
        <f ca="1"/>
        <v>#NAME?</v>
      </c>
      <c r="AD411" s="2">
        <f t="shared" ca="1" si="62"/>
        <v>0</v>
      </c>
      <c r="AE411" s="46">
        <f t="shared" ca="1" si="63"/>
        <v>0</v>
      </c>
      <c r="AG411" s="72" t="e">
        <f t="shared" ca="1" si="67"/>
        <v>#NAME?</v>
      </c>
      <c r="AH411" s="72" t="e">
        <f t="shared" ca="1" si="68"/>
        <v>#NAME?</v>
      </c>
      <c r="AI411" s="3" t="e">
        <f t="shared" ca="1" si="69"/>
        <v>#NAME?</v>
      </c>
    </row>
    <row r="412" spans="7:35" x14ac:dyDescent="0.25">
      <c r="G412" s="3">
        <f t="shared" ca="1" si="64"/>
        <v>28</v>
      </c>
      <c r="H412" s="105">
        <f t="shared" ca="1" si="66"/>
        <v>45318</v>
      </c>
      <c r="I412" s="132" t="e">
        <f>HLOOKUP($H$4,'Met Data'!$A$2:$F$368,G412,FALSE)</f>
        <v>#N/A</v>
      </c>
      <c r="J412" s="132" t="e">
        <f ca="1">HLOOKUP($H$4,'Met Data'!$H$2:$M$368,G412,FALSE)*L412</f>
        <v>#N/A</v>
      </c>
      <c r="K412" s="106" t="e">
        <f>HLOOKUP($H$4,'Met Data'!$O$2:$T$368,G412,FALSE)</f>
        <v>#N/A</v>
      </c>
      <c r="L412">
        <f t="shared" ca="1" si="60"/>
        <v>1</v>
      </c>
      <c r="N412" t="e">
        <f t="shared" ca="1" si="65"/>
        <v>#NAME?</v>
      </c>
      <c r="O412" t="e">
        <f t="shared" ca="1" si="61"/>
        <v>#NAME?</v>
      </c>
      <c r="P412" s="2" t="e">
        <f ca="1"/>
        <v>#NAME?</v>
      </c>
      <c r="Q412" t="e">
        <f ca="1"/>
        <v>#NAME?</v>
      </c>
      <c r="R412" t="e">
        <f ca="1"/>
        <v>#NAME?</v>
      </c>
      <c r="S412" t="e">
        <f ca="1"/>
        <v>#NAME?</v>
      </c>
      <c r="T412" t="e">
        <f ca="1"/>
        <v>#NAME?</v>
      </c>
      <c r="U412" t="e">
        <f ca="1"/>
        <v>#NAME?</v>
      </c>
      <c r="V412" t="e">
        <f ca="1"/>
        <v>#NAME?</v>
      </c>
      <c r="W412" t="e">
        <f ca="1"/>
        <v>#NAME?</v>
      </c>
      <c r="X412" t="e">
        <f ca="1"/>
        <v>#NAME?</v>
      </c>
      <c r="Y412" t="e">
        <f ca="1"/>
        <v>#NAME?</v>
      </c>
      <c r="Z412" t="e">
        <f ca="1"/>
        <v>#NAME?</v>
      </c>
      <c r="AA412" t="e">
        <f ca="1"/>
        <v>#NAME?</v>
      </c>
      <c r="AB412" t="e">
        <f ca="1"/>
        <v>#NAME?</v>
      </c>
      <c r="AD412" s="2">
        <f t="shared" ca="1" si="62"/>
        <v>0</v>
      </c>
      <c r="AE412" s="46">
        <f t="shared" ca="1" si="63"/>
        <v>0</v>
      </c>
      <c r="AG412" s="72" t="e">
        <f t="shared" ca="1" si="67"/>
        <v>#NAME?</v>
      </c>
      <c r="AH412" s="72" t="e">
        <f t="shared" ca="1" si="68"/>
        <v>#NAME?</v>
      </c>
      <c r="AI412" s="3" t="e">
        <f t="shared" ca="1" si="69"/>
        <v>#NAME?</v>
      </c>
    </row>
    <row r="413" spans="7:35" x14ac:dyDescent="0.25">
      <c r="G413" s="3">
        <f t="shared" ca="1" si="64"/>
        <v>29</v>
      </c>
      <c r="H413" s="105">
        <f t="shared" ca="1" si="66"/>
        <v>45319</v>
      </c>
      <c r="I413" s="132" t="e">
        <f>HLOOKUP($H$4,'Met Data'!$A$2:$F$368,G413,FALSE)</f>
        <v>#N/A</v>
      </c>
      <c r="J413" s="132" t="e">
        <f ca="1">HLOOKUP($H$4,'Met Data'!$H$2:$M$368,G413,FALSE)*L413</f>
        <v>#N/A</v>
      </c>
      <c r="K413" s="106" t="e">
        <f>HLOOKUP($H$4,'Met Data'!$O$2:$T$368,G413,FALSE)</f>
        <v>#N/A</v>
      </c>
      <c r="L413">
        <f t="shared" ca="1" si="60"/>
        <v>1</v>
      </c>
      <c r="N413" t="e">
        <f t="shared" ca="1" si="65"/>
        <v>#NAME?</v>
      </c>
      <c r="O413" t="e">
        <f t="shared" ca="1" si="61"/>
        <v>#NAME?</v>
      </c>
      <c r="P413" s="2" t="e">
        <f ca="1"/>
        <v>#NAME?</v>
      </c>
      <c r="Q413" t="e">
        <f ca="1"/>
        <v>#NAME?</v>
      </c>
      <c r="R413" t="e">
        <f ca="1"/>
        <v>#NAME?</v>
      </c>
      <c r="S413" t="e">
        <f ca="1"/>
        <v>#NAME?</v>
      </c>
      <c r="T413" t="e">
        <f ca="1"/>
        <v>#NAME?</v>
      </c>
      <c r="U413" t="e">
        <f ca="1"/>
        <v>#NAME?</v>
      </c>
      <c r="V413" t="e">
        <f ca="1"/>
        <v>#NAME?</v>
      </c>
      <c r="W413" t="e">
        <f ca="1"/>
        <v>#NAME?</v>
      </c>
      <c r="X413" t="e">
        <f ca="1"/>
        <v>#NAME?</v>
      </c>
      <c r="Y413" t="e">
        <f ca="1"/>
        <v>#NAME?</v>
      </c>
      <c r="Z413" t="e">
        <f ca="1"/>
        <v>#NAME?</v>
      </c>
      <c r="AA413" t="e">
        <f ca="1"/>
        <v>#NAME?</v>
      </c>
      <c r="AB413" t="e">
        <f ca="1"/>
        <v>#NAME?</v>
      </c>
      <c r="AD413" s="2">
        <f t="shared" ca="1" si="62"/>
        <v>0</v>
      </c>
      <c r="AE413" s="46">
        <f t="shared" ca="1" si="63"/>
        <v>0</v>
      </c>
      <c r="AG413" s="72" t="e">
        <f t="shared" ca="1" si="67"/>
        <v>#NAME?</v>
      </c>
      <c r="AH413" s="72" t="e">
        <f t="shared" ca="1" si="68"/>
        <v>#NAME?</v>
      </c>
      <c r="AI413" s="3" t="e">
        <f t="shared" ca="1" si="69"/>
        <v>#NAME?</v>
      </c>
    </row>
    <row r="414" spans="7:35" x14ac:dyDescent="0.25">
      <c r="G414" s="3">
        <f t="shared" ca="1" si="64"/>
        <v>30</v>
      </c>
      <c r="H414" s="105">
        <f t="shared" ca="1" si="66"/>
        <v>45320</v>
      </c>
      <c r="I414" s="132" t="e">
        <f>HLOOKUP($H$4,'Met Data'!$A$2:$F$368,G414,FALSE)</f>
        <v>#N/A</v>
      </c>
      <c r="J414" s="132" t="e">
        <f ca="1">HLOOKUP($H$4,'Met Data'!$H$2:$M$368,G414,FALSE)*L414</f>
        <v>#N/A</v>
      </c>
      <c r="K414" s="106" t="e">
        <f>HLOOKUP($H$4,'Met Data'!$O$2:$T$368,G414,FALSE)</f>
        <v>#N/A</v>
      </c>
      <c r="L414">
        <f t="shared" ca="1" si="60"/>
        <v>1</v>
      </c>
      <c r="N414" t="e">
        <f t="shared" ca="1" si="65"/>
        <v>#NAME?</v>
      </c>
      <c r="O414" t="e">
        <f t="shared" ca="1" si="61"/>
        <v>#NAME?</v>
      </c>
      <c r="P414" s="2" t="e">
        <f ca="1"/>
        <v>#NAME?</v>
      </c>
      <c r="Q414" t="e">
        <f ca="1"/>
        <v>#NAME?</v>
      </c>
      <c r="R414" t="e">
        <f ca="1"/>
        <v>#NAME?</v>
      </c>
      <c r="S414" t="e">
        <f ca="1"/>
        <v>#NAME?</v>
      </c>
      <c r="T414" t="e">
        <f ca="1"/>
        <v>#NAME?</v>
      </c>
      <c r="U414" t="e">
        <f ca="1"/>
        <v>#NAME?</v>
      </c>
      <c r="V414" t="e">
        <f ca="1"/>
        <v>#NAME?</v>
      </c>
      <c r="W414" t="e">
        <f ca="1"/>
        <v>#NAME?</v>
      </c>
      <c r="X414" t="e">
        <f ca="1"/>
        <v>#NAME?</v>
      </c>
      <c r="Y414" t="e">
        <f ca="1"/>
        <v>#NAME?</v>
      </c>
      <c r="Z414" t="e">
        <f ca="1"/>
        <v>#NAME?</v>
      </c>
      <c r="AA414" t="e">
        <f ca="1"/>
        <v>#NAME?</v>
      </c>
      <c r="AB414" t="e">
        <f ca="1"/>
        <v>#NAME?</v>
      </c>
      <c r="AD414" s="2">
        <f t="shared" ca="1" si="62"/>
        <v>0</v>
      </c>
      <c r="AE414" s="46">
        <f t="shared" ca="1" si="63"/>
        <v>0</v>
      </c>
      <c r="AG414" s="72" t="e">
        <f t="shared" ca="1" si="67"/>
        <v>#NAME?</v>
      </c>
      <c r="AH414" s="72" t="e">
        <f t="shared" ca="1" si="68"/>
        <v>#NAME?</v>
      </c>
      <c r="AI414" s="3" t="e">
        <f t="shared" ca="1" si="69"/>
        <v>#NAME?</v>
      </c>
    </row>
    <row r="415" spans="7:35" x14ac:dyDescent="0.25">
      <c r="G415" s="3">
        <f t="shared" ca="1" si="64"/>
        <v>31</v>
      </c>
      <c r="H415" s="105">
        <f t="shared" ca="1" si="66"/>
        <v>45321</v>
      </c>
      <c r="I415" s="132" t="e">
        <f>HLOOKUP($H$4,'Met Data'!$A$2:$F$368,G415,FALSE)</f>
        <v>#N/A</v>
      </c>
      <c r="J415" s="132" t="e">
        <f ca="1">HLOOKUP($H$4,'Met Data'!$H$2:$M$368,G415,FALSE)*L415</f>
        <v>#N/A</v>
      </c>
      <c r="K415" s="106" t="e">
        <f>HLOOKUP($H$4,'Met Data'!$O$2:$T$368,G415,FALSE)</f>
        <v>#N/A</v>
      </c>
      <c r="L415">
        <f t="shared" ca="1" si="60"/>
        <v>1</v>
      </c>
      <c r="N415" t="e">
        <f t="shared" ca="1" si="65"/>
        <v>#NAME?</v>
      </c>
      <c r="O415" t="e">
        <f t="shared" ca="1" si="61"/>
        <v>#NAME?</v>
      </c>
      <c r="P415" s="2" t="e">
        <f ca="1"/>
        <v>#NAME?</v>
      </c>
      <c r="Q415" t="e">
        <f ca="1"/>
        <v>#NAME?</v>
      </c>
      <c r="R415" t="e">
        <f ca="1"/>
        <v>#NAME?</v>
      </c>
      <c r="S415" t="e">
        <f ca="1"/>
        <v>#NAME?</v>
      </c>
      <c r="T415" t="e">
        <f ca="1"/>
        <v>#NAME?</v>
      </c>
      <c r="U415" t="e">
        <f ca="1"/>
        <v>#NAME?</v>
      </c>
      <c r="V415" t="e">
        <f ca="1"/>
        <v>#NAME?</v>
      </c>
      <c r="W415" t="e">
        <f ca="1"/>
        <v>#NAME?</v>
      </c>
      <c r="X415" t="e">
        <f ca="1"/>
        <v>#NAME?</v>
      </c>
      <c r="Y415" t="e">
        <f ca="1"/>
        <v>#NAME?</v>
      </c>
      <c r="Z415" t="e">
        <f ca="1"/>
        <v>#NAME?</v>
      </c>
      <c r="AA415" t="e">
        <f ca="1"/>
        <v>#NAME?</v>
      </c>
      <c r="AB415" t="e">
        <f ca="1"/>
        <v>#NAME?</v>
      </c>
      <c r="AD415" s="2">
        <f t="shared" ca="1" si="62"/>
        <v>0</v>
      </c>
      <c r="AE415" s="46">
        <f t="shared" ca="1" si="63"/>
        <v>0</v>
      </c>
      <c r="AG415" s="72" t="e">
        <f t="shared" ca="1" si="67"/>
        <v>#NAME?</v>
      </c>
      <c r="AH415" s="72" t="e">
        <f t="shared" ca="1" si="68"/>
        <v>#NAME?</v>
      </c>
      <c r="AI415" s="3" t="e">
        <f t="shared" ca="1" si="69"/>
        <v>#NAME?</v>
      </c>
    </row>
    <row r="416" spans="7:35" x14ac:dyDescent="0.25">
      <c r="G416" s="3">
        <f t="shared" ca="1" si="64"/>
        <v>32</v>
      </c>
      <c r="H416" s="105">
        <f t="shared" ca="1" si="66"/>
        <v>45322</v>
      </c>
      <c r="I416" s="132" t="e">
        <f>HLOOKUP($H$4,'Met Data'!$A$2:$F$368,G416,FALSE)</f>
        <v>#N/A</v>
      </c>
      <c r="J416" s="132" t="e">
        <f ca="1">HLOOKUP($H$4,'Met Data'!$H$2:$M$368,G416,FALSE)*L416</f>
        <v>#N/A</v>
      </c>
      <c r="K416" s="106" t="e">
        <f>HLOOKUP($H$4,'Met Data'!$O$2:$T$368,G416,FALSE)</f>
        <v>#N/A</v>
      </c>
      <c r="L416">
        <f t="shared" ca="1" si="60"/>
        <v>1</v>
      </c>
      <c r="N416" t="e">
        <f t="shared" ca="1" si="65"/>
        <v>#NAME?</v>
      </c>
      <c r="O416" t="e">
        <f t="shared" ca="1" si="61"/>
        <v>#NAME?</v>
      </c>
      <c r="P416" s="2" t="e">
        <f ca="1"/>
        <v>#NAME?</v>
      </c>
      <c r="Q416" t="e">
        <f ca="1"/>
        <v>#NAME?</v>
      </c>
      <c r="R416" t="e">
        <f ca="1"/>
        <v>#NAME?</v>
      </c>
      <c r="S416" t="e">
        <f ca="1"/>
        <v>#NAME?</v>
      </c>
      <c r="T416" t="e">
        <f ca="1"/>
        <v>#NAME?</v>
      </c>
      <c r="U416" t="e">
        <f ca="1"/>
        <v>#NAME?</v>
      </c>
      <c r="V416" t="e">
        <f ca="1"/>
        <v>#NAME?</v>
      </c>
      <c r="W416" t="e">
        <f ca="1"/>
        <v>#NAME?</v>
      </c>
      <c r="X416" t="e">
        <f ca="1"/>
        <v>#NAME?</v>
      </c>
      <c r="Y416" t="e">
        <f ca="1"/>
        <v>#NAME?</v>
      </c>
      <c r="Z416" t="e">
        <f ca="1"/>
        <v>#NAME?</v>
      </c>
      <c r="AA416" t="e">
        <f ca="1"/>
        <v>#NAME?</v>
      </c>
      <c r="AB416" t="e">
        <f ca="1"/>
        <v>#NAME?</v>
      </c>
      <c r="AD416" s="2">
        <f t="shared" ca="1" si="62"/>
        <v>0</v>
      </c>
      <c r="AE416" s="46">
        <f t="shared" ca="1" si="63"/>
        <v>0</v>
      </c>
      <c r="AG416" s="72" t="e">
        <f t="shared" ca="1" si="67"/>
        <v>#NAME?</v>
      </c>
      <c r="AH416" s="72" t="e">
        <f t="shared" ca="1" si="68"/>
        <v>#NAME?</v>
      </c>
      <c r="AI416" s="3" t="e">
        <f t="shared" ca="1" si="69"/>
        <v>#NAME?</v>
      </c>
    </row>
    <row r="417" spans="7:35" x14ac:dyDescent="0.25">
      <c r="G417" s="3">
        <f t="shared" ca="1" si="64"/>
        <v>33</v>
      </c>
      <c r="H417" s="105">
        <f t="shared" ca="1" si="66"/>
        <v>45323</v>
      </c>
      <c r="I417" s="132" t="e">
        <f>HLOOKUP($H$4,'Met Data'!$A$2:$F$368,G417,FALSE)</f>
        <v>#N/A</v>
      </c>
      <c r="J417" s="132" t="e">
        <f ca="1">HLOOKUP($H$4,'Met Data'!$H$2:$M$368,G417,FALSE)*L417</f>
        <v>#N/A</v>
      </c>
      <c r="K417" s="106" t="e">
        <f>HLOOKUP($H$4,'Met Data'!$O$2:$T$368,G417,FALSE)</f>
        <v>#N/A</v>
      </c>
      <c r="L417">
        <f t="shared" ca="1" si="60"/>
        <v>1</v>
      </c>
      <c r="N417" t="e">
        <f t="shared" ca="1" si="65"/>
        <v>#NAME?</v>
      </c>
      <c r="O417" t="e">
        <f t="shared" ca="1" si="61"/>
        <v>#NAME?</v>
      </c>
      <c r="P417" s="2" t="e">
        <f ca="1"/>
        <v>#NAME?</v>
      </c>
      <c r="Q417" t="e">
        <f ca="1"/>
        <v>#NAME?</v>
      </c>
      <c r="R417" t="e">
        <f ca="1"/>
        <v>#NAME?</v>
      </c>
      <c r="S417" t="e">
        <f ca="1"/>
        <v>#NAME?</v>
      </c>
      <c r="T417" t="e">
        <f ca="1"/>
        <v>#NAME?</v>
      </c>
      <c r="U417" t="e">
        <f ca="1"/>
        <v>#NAME?</v>
      </c>
      <c r="V417" t="e">
        <f ca="1"/>
        <v>#NAME?</v>
      </c>
      <c r="W417" t="e">
        <f ca="1"/>
        <v>#NAME?</v>
      </c>
      <c r="X417" t="e">
        <f ca="1"/>
        <v>#NAME?</v>
      </c>
      <c r="Y417" t="e">
        <f ca="1"/>
        <v>#NAME?</v>
      </c>
      <c r="Z417" t="e">
        <f ca="1"/>
        <v>#NAME?</v>
      </c>
      <c r="AA417" t="e">
        <f ca="1"/>
        <v>#NAME?</v>
      </c>
      <c r="AB417" t="e">
        <f ca="1"/>
        <v>#NAME?</v>
      </c>
      <c r="AD417" s="2">
        <f t="shared" ca="1" si="62"/>
        <v>0</v>
      </c>
      <c r="AE417" s="46">
        <f t="shared" ca="1" si="63"/>
        <v>0</v>
      </c>
      <c r="AG417" s="72" t="e">
        <f t="shared" ca="1" si="67"/>
        <v>#NAME?</v>
      </c>
      <c r="AH417" s="72" t="e">
        <f t="shared" ca="1" si="68"/>
        <v>#NAME?</v>
      </c>
      <c r="AI417" s="3" t="e">
        <f t="shared" ca="1" si="69"/>
        <v>#NAME?</v>
      </c>
    </row>
    <row r="418" spans="7:35" x14ac:dyDescent="0.25">
      <c r="G418" s="3">
        <f t="shared" ca="1" si="64"/>
        <v>34</v>
      </c>
      <c r="H418" s="105">
        <f t="shared" ca="1" si="66"/>
        <v>45324</v>
      </c>
      <c r="I418" s="132" t="e">
        <f>HLOOKUP($H$4,'Met Data'!$A$2:$F$368,G418,FALSE)</f>
        <v>#N/A</v>
      </c>
      <c r="J418" s="132" t="e">
        <f ca="1">HLOOKUP($H$4,'Met Data'!$H$2:$M$368,G418,FALSE)*L418</f>
        <v>#N/A</v>
      </c>
      <c r="K418" s="106" t="e">
        <f>HLOOKUP($H$4,'Met Data'!$O$2:$T$368,G418,FALSE)</f>
        <v>#N/A</v>
      </c>
      <c r="L418">
        <f t="shared" ca="1" si="60"/>
        <v>1</v>
      </c>
      <c r="N418" t="e">
        <f t="shared" ca="1" si="65"/>
        <v>#NAME?</v>
      </c>
      <c r="O418" t="e">
        <f t="shared" ca="1" si="61"/>
        <v>#NAME?</v>
      </c>
      <c r="P418" s="2" t="e">
        <f ca="1"/>
        <v>#NAME?</v>
      </c>
      <c r="Q418" t="e">
        <f ca="1"/>
        <v>#NAME?</v>
      </c>
      <c r="R418" t="e">
        <f ca="1"/>
        <v>#NAME?</v>
      </c>
      <c r="S418" t="e">
        <f ca="1"/>
        <v>#NAME?</v>
      </c>
      <c r="T418" t="e">
        <f ca="1"/>
        <v>#NAME?</v>
      </c>
      <c r="U418" t="e">
        <f ca="1"/>
        <v>#NAME?</v>
      </c>
      <c r="V418" t="e">
        <f ca="1"/>
        <v>#NAME?</v>
      </c>
      <c r="W418" t="e">
        <f ca="1"/>
        <v>#NAME?</v>
      </c>
      <c r="X418" t="e">
        <f ca="1"/>
        <v>#NAME?</v>
      </c>
      <c r="Y418" t="e">
        <f ca="1"/>
        <v>#NAME?</v>
      </c>
      <c r="Z418" t="e">
        <f ca="1"/>
        <v>#NAME?</v>
      </c>
      <c r="AA418" t="e">
        <f ca="1"/>
        <v>#NAME?</v>
      </c>
      <c r="AB418" t="e">
        <f ca="1"/>
        <v>#NAME?</v>
      </c>
      <c r="AD418" s="2">
        <f t="shared" ca="1" si="62"/>
        <v>0</v>
      </c>
      <c r="AE418" s="46">
        <f t="shared" ca="1" si="63"/>
        <v>0</v>
      </c>
      <c r="AG418" s="72" t="e">
        <f t="shared" ca="1" si="67"/>
        <v>#NAME?</v>
      </c>
      <c r="AH418" s="72" t="e">
        <f t="shared" ca="1" si="68"/>
        <v>#NAME?</v>
      </c>
      <c r="AI418" s="3" t="e">
        <f t="shared" ca="1" si="69"/>
        <v>#NAME?</v>
      </c>
    </row>
    <row r="419" spans="7:35" x14ac:dyDescent="0.25">
      <c r="G419" s="3">
        <f t="shared" ca="1" si="64"/>
        <v>35</v>
      </c>
      <c r="H419" s="105">
        <f t="shared" ca="1" si="66"/>
        <v>45325</v>
      </c>
      <c r="I419" s="132" t="e">
        <f>HLOOKUP($H$4,'Met Data'!$A$2:$F$368,G419,FALSE)</f>
        <v>#N/A</v>
      </c>
      <c r="J419" s="132" t="e">
        <f ca="1">HLOOKUP($H$4,'Met Data'!$H$2:$M$368,G419,FALSE)*L419</f>
        <v>#N/A</v>
      </c>
      <c r="K419" s="106" t="e">
        <f>HLOOKUP($H$4,'Met Data'!$O$2:$T$368,G419,FALSE)</f>
        <v>#N/A</v>
      </c>
      <c r="L419">
        <f t="shared" ca="1" si="60"/>
        <v>1</v>
      </c>
      <c r="N419" t="e">
        <f t="shared" ca="1" si="65"/>
        <v>#NAME?</v>
      </c>
      <c r="O419" t="e">
        <f t="shared" ca="1" si="61"/>
        <v>#NAME?</v>
      </c>
      <c r="P419" s="2" t="e">
        <f ca="1"/>
        <v>#NAME?</v>
      </c>
      <c r="Q419" t="e">
        <f ca="1"/>
        <v>#NAME?</v>
      </c>
      <c r="R419" t="e">
        <f ca="1"/>
        <v>#NAME?</v>
      </c>
      <c r="S419" t="e">
        <f ca="1"/>
        <v>#NAME?</v>
      </c>
      <c r="T419" t="e">
        <f ca="1"/>
        <v>#NAME?</v>
      </c>
      <c r="U419" t="e">
        <f ca="1"/>
        <v>#NAME?</v>
      </c>
      <c r="V419" t="e">
        <f ca="1"/>
        <v>#NAME?</v>
      </c>
      <c r="W419" t="e">
        <f ca="1"/>
        <v>#NAME?</v>
      </c>
      <c r="X419" t="e">
        <f ca="1"/>
        <v>#NAME?</v>
      </c>
      <c r="Y419" t="e">
        <f ca="1"/>
        <v>#NAME?</v>
      </c>
      <c r="Z419" t="e">
        <f ca="1"/>
        <v>#NAME?</v>
      </c>
      <c r="AA419" t="e">
        <f ca="1"/>
        <v>#NAME?</v>
      </c>
      <c r="AB419" t="e">
        <f ca="1"/>
        <v>#NAME?</v>
      </c>
      <c r="AD419" s="2">
        <f t="shared" ca="1" si="62"/>
        <v>0</v>
      </c>
      <c r="AE419" s="46">
        <f t="shared" ca="1" si="63"/>
        <v>0</v>
      </c>
      <c r="AG419" s="72" t="e">
        <f t="shared" ca="1" si="67"/>
        <v>#NAME?</v>
      </c>
      <c r="AH419" s="72" t="e">
        <f t="shared" ca="1" si="68"/>
        <v>#NAME?</v>
      </c>
      <c r="AI419" s="3" t="e">
        <f t="shared" ca="1" si="69"/>
        <v>#NAME?</v>
      </c>
    </row>
    <row r="420" spans="7:35" x14ac:dyDescent="0.25">
      <c r="G420" s="3">
        <f t="shared" ca="1" si="64"/>
        <v>36</v>
      </c>
      <c r="H420" s="105">
        <f t="shared" ca="1" si="66"/>
        <v>45326</v>
      </c>
      <c r="I420" s="132" t="e">
        <f>HLOOKUP($H$4,'Met Data'!$A$2:$F$368,G420,FALSE)</f>
        <v>#N/A</v>
      </c>
      <c r="J420" s="132" t="e">
        <f ca="1">HLOOKUP($H$4,'Met Data'!$H$2:$M$368,G420,FALSE)*L420</f>
        <v>#N/A</v>
      </c>
      <c r="K420" s="106" t="e">
        <f>HLOOKUP($H$4,'Met Data'!$O$2:$T$368,G420,FALSE)</f>
        <v>#N/A</v>
      </c>
      <c r="L420">
        <f t="shared" ca="1" si="60"/>
        <v>1</v>
      </c>
      <c r="N420" t="e">
        <f t="shared" ca="1" si="65"/>
        <v>#NAME?</v>
      </c>
      <c r="O420" t="e">
        <f t="shared" ca="1" si="61"/>
        <v>#NAME?</v>
      </c>
      <c r="P420" s="2" t="e">
        <f ca="1"/>
        <v>#NAME?</v>
      </c>
      <c r="Q420" t="e">
        <f ca="1"/>
        <v>#NAME?</v>
      </c>
      <c r="R420" t="e">
        <f ca="1"/>
        <v>#NAME?</v>
      </c>
      <c r="S420" t="e">
        <f ca="1"/>
        <v>#NAME?</v>
      </c>
      <c r="T420" t="e">
        <f ca="1"/>
        <v>#NAME?</v>
      </c>
      <c r="U420" t="e">
        <f ca="1"/>
        <v>#NAME?</v>
      </c>
      <c r="V420" t="e">
        <f ca="1"/>
        <v>#NAME?</v>
      </c>
      <c r="W420" t="e">
        <f ca="1"/>
        <v>#NAME?</v>
      </c>
      <c r="X420" t="e">
        <f ca="1"/>
        <v>#NAME?</v>
      </c>
      <c r="Y420" t="e">
        <f ca="1"/>
        <v>#NAME?</v>
      </c>
      <c r="Z420" t="e">
        <f ca="1"/>
        <v>#NAME?</v>
      </c>
      <c r="AA420" t="e">
        <f ca="1"/>
        <v>#NAME?</v>
      </c>
      <c r="AB420" t="e">
        <f ca="1"/>
        <v>#NAME?</v>
      </c>
      <c r="AD420" s="2">
        <f t="shared" ca="1" si="62"/>
        <v>0</v>
      </c>
      <c r="AE420" s="46">
        <f t="shared" ca="1" si="63"/>
        <v>0</v>
      </c>
      <c r="AG420" s="72" t="e">
        <f t="shared" ca="1" si="67"/>
        <v>#NAME?</v>
      </c>
      <c r="AH420" s="72" t="e">
        <f t="shared" ca="1" si="68"/>
        <v>#NAME?</v>
      </c>
      <c r="AI420" s="3" t="e">
        <f t="shared" ca="1" si="69"/>
        <v>#NAME?</v>
      </c>
    </row>
    <row r="421" spans="7:35" x14ac:dyDescent="0.25">
      <c r="G421" s="3">
        <f t="shared" ca="1" si="64"/>
        <v>37</v>
      </c>
      <c r="H421" s="105">
        <f t="shared" ca="1" si="66"/>
        <v>45327</v>
      </c>
      <c r="I421" s="132" t="e">
        <f>HLOOKUP($H$4,'Met Data'!$A$2:$F$368,G421,FALSE)</f>
        <v>#N/A</v>
      </c>
      <c r="J421" s="132" t="e">
        <f ca="1">HLOOKUP($H$4,'Met Data'!$H$2:$M$368,G421,FALSE)*L421</f>
        <v>#N/A</v>
      </c>
      <c r="K421" s="106" t="e">
        <f>HLOOKUP($H$4,'Met Data'!$O$2:$T$368,G421,FALSE)</f>
        <v>#N/A</v>
      </c>
      <c r="L421">
        <f t="shared" ca="1" si="60"/>
        <v>1</v>
      </c>
      <c r="N421" t="e">
        <f t="shared" ca="1" si="65"/>
        <v>#NAME?</v>
      </c>
      <c r="O421" t="e">
        <f t="shared" ca="1" si="61"/>
        <v>#NAME?</v>
      </c>
      <c r="P421" s="2" t="e">
        <f ca="1"/>
        <v>#NAME?</v>
      </c>
      <c r="Q421" t="e">
        <f ca="1"/>
        <v>#NAME?</v>
      </c>
      <c r="R421" t="e">
        <f ca="1"/>
        <v>#NAME?</v>
      </c>
      <c r="S421" t="e">
        <f ca="1"/>
        <v>#NAME?</v>
      </c>
      <c r="T421" t="e">
        <f ca="1"/>
        <v>#NAME?</v>
      </c>
      <c r="U421" t="e">
        <f ca="1"/>
        <v>#NAME?</v>
      </c>
      <c r="V421" t="e">
        <f ca="1"/>
        <v>#NAME?</v>
      </c>
      <c r="W421" t="e">
        <f ca="1"/>
        <v>#NAME?</v>
      </c>
      <c r="X421" t="e">
        <f ca="1"/>
        <v>#NAME?</v>
      </c>
      <c r="Y421" t="e">
        <f ca="1"/>
        <v>#NAME?</v>
      </c>
      <c r="Z421" t="e">
        <f ca="1"/>
        <v>#NAME?</v>
      </c>
      <c r="AA421" t="e">
        <f ca="1"/>
        <v>#NAME?</v>
      </c>
      <c r="AB421" t="e">
        <f ca="1"/>
        <v>#NAME?</v>
      </c>
      <c r="AD421" s="2">
        <f t="shared" ca="1" si="62"/>
        <v>0</v>
      </c>
      <c r="AE421" s="46">
        <f t="shared" ca="1" si="63"/>
        <v>0</v>
      </c>
      <c r="AG421" s="72" t="e">
        <f t="shared" ca="1" si="67"/>
        <v>#NAME?</v>
      </c>
      <c r="AH421" s="72" t="e">
        <f t="shared" ca="1" si="68"/>
        <v>#NAME?</v>
      </c>
      <c r="AI421" s="3" t="e">
        <f t="shared" ca="1" si="69"/>
        <v>#NAME?</v>
      </c>
    </row>
    <row r="422" spans="7:35" x14ac:dyDescent="0.25">
      <c r="G422" s="3">
        <f t="shared" ca="1" si="64"/>
        <v>38</v>
      </c>
      <c r="H422" s="105">
        <f t="shared" ca="1" si="66"/>
        <v>45328</v>
      </c>
      <c r="I422" s="132" t="e">
        <f>HLOOKUP($H$4,'Met Data'!$A$2:$F$368,G422,FALSE)</f>
        <v>#N/A</v>
      </c>
      <c r="J422" s="132" t="e">
        <f ca="1">HLOOKUP($H$4,'Met Data'!$H$2:$M$368,G422,FALSE)*L422</f>
        <v>#N/A</v>
      </c>
      <c r="K422" s="106" t="e">
        <f>HLOOKUP($H$4,'Met Data'!$O$2:$T$368,G422,FALSE)</f>
        <v>#N/A</v>
      </c>
      <c r="L422">
        <f t="shared" ca="1" si="60"/>
        <v>1</v>
      </c>
      <c r="N422" t="e">
        <f t="shared" ca="1" si="65"/>
        <v>#NAME?</v>
      </c>
      <c r="O422" t="e">
        <f t="shared" ca="1" si="61"/>
        <v>#NAME?</v>
      </c>
      <c r="P422" s="2" t="e">
        <f ca="1"/>
        <v>#NAME?</v>
      </c>
      <c r="Q422" t="e">
        <f ca="1"/>
        <v>#NAME?</v>
      </c>
      <c r="R422" t="e">
        <f ca="1"/>
        <v>#NAME?</v>
      </c>
      <c r="S422" t="e">
        <f ca="1"/>
        <v>#NAME?</v>
      </c>
      <c r="T422" t="e">
        <f ca="1"/>
        <v>#NAME?</v>
      </c>
      <c r="U422" t="e">
        <f ca="1"/>
        <v>#NAME?</v>
      </c>
      <c r="V422" t="e">
        <f ca="1"/>
        <v>#NAME?</v>
      </c>
      <c r="W422" t="e">
        <f ca="1"/>
        <v>#NAME?</v>
      </c>
      <c r="X422" t="e">
        <f ca="1"/>
        <v>#NAME?</v>
      </c>
      <c r="Y422" t="e">
        <f ca="1"/>
        <v>#NAME?</v>
      </c>
      <c r="Z422" t="e">
        <f ca="1"/>
        <v>#NAME?</v>
      </c>
      <c r="AA422" t="e">
        <f ca="1"/>
        <v>#NAME?</v>
      </c>
      <c r="AB422" t="e">
        <f ca="1"/>
        <v>#NAME?</v>
      </c>
      <c r="AD422" s="2">
        <f t="shared" ca="1" si="62"/>
        <v>0</v>
      </c>
      <c r="AE422" s="46">
        <f t="shared" ca="1" si="63"/>
        <v>0</v>
      </c>
      <c r="AG422" s="72" t="e">
        <f t="shared" ca="1" si="67"/>
        <v>#NAME?</v>
      </c>
      <c r="AH422" s="72" t="e">
        <f t="shared" ca="1" si="68"/>
        <v>#NAME?</v>
      </c>
      <c r="AI422" s="3" t="e">
        <f t="shared" ca="1" si="69"/>
        <v>#NAME?</v>
      </c>
    </row>
    <row r="423" spans="7:35" x14ac:dyDescent="0.25">
      <c r="G423" s="3">
        <f t="shared" ca="1" si="64"/>
        <v>39</v>
      </c>
      <c r="H423" s="105">
        <f t="shared" ca="1" si="66"/>
        <v>45329</v>
      </c>
      <c r="I423" s="132" t="e">
        <f>HLOOKUP($H$4,'Met Data'!$A$2:$F$368,G423,FALSE)</f>
        <v>#N/A</v>
      </c>
      <c r="J423" s="132" t="e">
        <f ca="1">HLOOKUP($H$4,'Met Data'!$H$2:$M$368,G423,FALSE)*L423</f>
        <v>#N/A</v>
      </c>
      <c r="K423" s="106" t="e">
        <f>HLOOKUP($H$4,'Met Data'!$O$2:$T$368,G423,FALSE)</f>
        <v>#N/A</v>
      </c>
      <c r="L423">
        <f t="shared" ca="1" si="60"/>
        <v>1</v>
      </c>
      <c r="N423" t="e">
        <f t="shared" ca="1" si="65"/>
        <v>#NAME?</v>
      </c>
      <c r="O423" t="e">
        <f t="shared" ca="1" si="61"/>
        <v>#NAME?</v>
      </c>
      <c r="P423" s="2" t="e">
        <f ca="1"/>
        <v>#NAME?</v>
      </c>
      <c r="Q423" t="e">
        <f ca="1"/>
        <v>#NAME?</v>
      </c>
      <c r="R423" t="e">
        <f ca="1"/>
        <v>#NAME?</v>
      </c>
      <c r="S423" t="e">
        <f ca="1"/>
        <v>#NAME?</v>
      </c>
      <c r="T423" t="e">
        <f ca="1"/>
        <v>#NAME?</v>
      </c>
      <c r="U423" t="e">
        <f ca="1"/>
        <v>#NAME?</v>
      </c>
      <c r="V423" t="e">
        <f ca="1"/>
        <v>#NAME?</v>
      </c>
      <c r="W423" t="e">
        <f ca="1"/>
        <v>#NAME?</v>
      </c>
      <c r="X423" t="e">
        <f ca="1"/>
        <v>#NAME?</v>
      </c>
      <c r="Y423" t="e">
        <f ca="1"/>
        <v>#NAME?</v>
      </c>
      <c r="Z423" t="e">
        <f ca="1"/>
        <v>#NAME?</v>
      </c>
      <c r="AA423" t="e">
        <f ca="1"/>
        <v>#NAME?</v>
      </c>
      <c r="AB423" t="e">
        <f ca="1"/>
        <v>#NAME?</v>
      </c>
      <c r="AD423" s="2">
        <f t="shared" ca="1" si="62"/>
        <v>0</v>
      </c>
      <c r="AE423" s="46">
        <f t="shared" ca="1" si="63"/>
        <v>0</v>
      </c>
      <c r="AG423" s="72" t="e">
        <f t="shared" ca="1" si="67"/>
        <v>#NAME?</v>
      </c>
      <c r="AH423" s="72" t="e">
        <f t="shared" ca="1" si="68"/>
        <v>#NAME?</v>
      </c>
      <c r="AI423" s="3" t="e">
        <f t="shared" ca="1" si="69"/>
        <v>#NAME?</v>
      </c>
    </row>
    <row r="424" spans="7:35" x14ac:dyDescent="0.25">
      <c r="G424" s="3">
        <f t="shared" ca="1" si="64"/>
        <v>40</v>
      </c>
      <c r="H424" s="105">
        <f t="shared" ca="1" si="66"/>
        <v>45330</v>
      </c>
      <c r="I424" s="132" t="e">
        <f>HLOOKUP($H$4,'Met Data'!$A$2:$F$368,G424,FALSE)</f>
        <v>#N/A</v>
      </c>
      <c r="J424" s="132" t="e">
        <f ca="1">HLOOKUP($H$4,'Met Data'!$H$2:$M$368,G424,FALSE)*L424</f>
        <v>#N/A</v>
      </c>
      <c r="K424" s="106" t="e">
        <f>HLOOKUP($H$4,'Met Data'!$O$2:$T$368,G424,FALSE)</f>
        <v>#N/A</v>
      </c>
      <c r="L424">
        <f t="shared" ca="1" si="60"/>
        <v>1</v>
      </c>
      <c r="N424" t="e">
        <f t="shared" ca="1" si="65"/>
        <v>#NAME?</v>
      </c>
      <c r="O424" t="e">
        <f t="shared" ca="1" si="61"/>
        <v>#NAME?</v>
      </c>
      <c r="P424" s="2" t="e">
        <f ca="1"/>
        <v>#NAME?</v>
      </c>
      <c r="Q424" t="e">
        <f ca="1"/>
        <v>#NAME?</v>
      </c>
      <c r="R424" t="e">
        <f ca="1"/>
        <v>#NAME?</v>
      </c>
      <c r="S424" t="e">
        <f ca="1"/>
        <v>#NAME?</v>
      </c>
      <c r="T424" t="e">
        <f ca="1"/>
        <v>#NAME?</v>
      </c>
      <c r="U424" t="e">
        <f ca="1"/>
        <v>#NAME?</v>
      </c>
      <c r="V424" t="e">
        <f ca="1"/>
        <v>#NAME?</v>
      </c>
      <c r="W424" t="e">
        <f ca="1"/>
        <v>#NAME?</v>
      </c>
      <c r="X424" t="e">
        <f ca="1"/>
        <v>#NAME?</v>
      </c>
      <c r="Y424" t="e">
        <f ca="1"/>
        <v>#NAME?</v>
      </c>
      <c r="Z424" t="e">
        <f ca="1"/>
        <v>#NAME?</v>
      </c>
      <c r="AA424" t="e">
        <f ca="1"/>
        <v>#NAME?</v>
      </c>
      <c r="AB424" t="e">
        <f ca="1"/>
        <v>#NAME?</v>
      </c>
      <c r="AD424" s="2">
        <f t="shared" ca="1" si="62"/>
        <v>0</v>
      </c>
      <c r="AE424" s="46">
        <f t="shared" ca="1" si="63"/>
        <v>0</v>
      </c>
      <c r="AG424" s="72" t="e">
        <f t="shared" ca="1" si="67"/>
        <v>#NAME?</v>
      </c>
      <c r="AH424" s="72" t="e">
        <f t="shared" ca="1" si="68"/>
        <v>#NAME?</v>
      </c>
      <c r="AI424" s="3" t="e">
        <f t="shared" ca="1" si="69"/>
        <v>#NAME?</v>
      </c>
    </row>
    <row r="425" spans="7:35" x14ac:dyDescent="0.25">
      <c r="G425" s="3">
        <f t="shared" ca="1" si="64"/>
        <v>41</v>
      </c>
      <c r="H425" s="105">
        <f t="shared" ca="1" si="66"/>
        <v>45331</v>
      </c>
      <c r="I425" s="132" t="e">
        <f>HLOOKUP($H$4,'Met Data'!$A$2:$F$368,G425,FALSE)</f>
        <v>#N/A</v>
      </c>
      <c r="J425" s="132" t="e">
        <f ca="1">HLOOKUP($H$4,'Met Data'!$H$2:$M$368,G425,FALSE)*L425</f>
        <v>#N/A</v>
      </c>
      <c r="K425" s="106" t="e">
        <f>HLOOKUP($H$4,'Met Data'!$O$2:$T$368,G425,FALSE)</f>
        <v>#N/A</v>
      </c>
      <c r="L425">
        <f t="shared" ca="1" si="60"/>
        <v>1</v>
      </c>
      <c r="N425" t="e">
        <f t="shared" ca="1" si="65"/>
        <v>#NAME?</v>
      </c>
      <c r="O425" t="e">
        <f t="shared" ca="1" si="61"/>
        <v>#NAME?</v>
      </c>
      <c r="P425" s="2" t="e">
        <f ca="1"/>
        <v>#NAME?</v>
      </c>
      <c r="Q425" t="e">
        <f ca="1"/>
        <v>#NAME?</v>
      </c>
      <c r="R425" t="e">
        <f ca="1"/>
        <v>#NAME?</v>
      </c>
      <c r="S425" t="e">
        <f ca="1"/>
        <v>#NAME?</v>
      </c>
      <c r="T425" t="e">
        <f ca="1"/>
        <v>#NAME?</v>
      </c>
      <c r="U425" t="e">
        <f ca="1"/>
        <v>#NAME?</v>
      </c>
      <c r="V425" t="e">
        <f ca="1"/>
        <v>#NAME?</v>
      </c>
      <c r="W425" t="e">
        <f ca="1"/>
        <v>#NAME?</v>
      </c>
      <c r="X425" t="e">
        <f ca="1"/>
        <v>#NAME?</v>
      </c>
      <c r="Y425" t="e">
        <f ca="1"/>
        <v>#NAME?</v>
      </c>
      <c r="Z425" t="e">
        <f ca="1"/>
        <v>#NAME?</v>
      </c>
      <c r="AA425" t="e">
        <f ca="1"/>
        <v>#NAME?</v>
      </c>
      <c r="AB425" t="e">
        <f ca="1"/>
        <v>#NAME?</v>
      </c>
      <c r="AD425" s="2">
        <f t="shared" ca="1" si="62"/>
        <v>0</v>
      </c>
      <c r="AE425" s="46">
        <f t="shared" ca="1" si="63"/>
        <v>0</v>
      </c>
      <c r="AG425" s="72" t="e">
        <f t="shared" ca="1" si="67"/>
        <v>#NAME?</v>
      </c>
      <c r="AH425" s="72" t="e">
        <f t="shared" ca="1" si="68"/>
        <v>#NAME?</v>
      </c>
      <c r="AI425" s="3" t="e">
        <f t="shared" ca="1" si="69"/>
        <v>#NAME?</v>
      </c>
    </row>
    <row r="426" spans="7:35" x14ac:dyDescent="0.25">
      <c r="G426" s="3">
        <f t="shared" ca="1" si="64"/>
        <v>42</v>
      </c>
      <c r="H426" s="105">
        <f t="shared" ca="1" si="66"/>
        <v>45332</v>
      </c>
      <c r="I426" s="132" t="e">
        <f>HLOOKUP($H$4,'Met Data'!$A$2:$F$368,G426,FALSE)</f>
        <v>#N/A</v>
      </c>
      <c r="J426" s="132" t="e">
        <f ca="1">HLOOKUP($H$4,'Met Data'!$H$2:$M$368,G426,FALSE)*L426</f>
        <v>#N/A</v>
      </c>
      <c r="K426" s="106" t="e">
        <f>HLOOKUP($H$4,'Met Data'!$O$2:$T$368,G426,FALSE)</f>
        <v>#N/A</v>
      </c>
      <c r="L426">
        <f t="shared" ca="1" si="60"/>
        <v>1</v>
      </c>
      <c r="N426" t="e">
        <f t="shared" ca="1" si="65"/>
        <v>#NAME?</v>
      </c>
      <c r="O426" t="e">
        <f t="shared" ca="1" si="61"/>
        <v>#NAME?</v>
      </c>
      <c r="P426" s="2" t="e">
        <f ca="1"/>
        <v>#NAME?</v>
      </c>
      <c r="Q426" t="e">
        <f ca="1"/>
        <v>#NAME?</v>
      </c>
      <c r="R426" t="e">
        <f ca="1"/>
        <v>#NAME?</v>
      </c>
      <c r="S426" t="e">
        <f ca="1"/>
        <v>#NAME?</v>
      </c>
      <c r="T426" t="e">
        <f ca="1"/>
        <v>#NAME?</v>
      </c>
      <c r="U426" t="e">
        <f ca="1"/>
        <v>#NAME?</v>
      </c>
      <c r="V426" t="e">
        <f ca="1"/>
        <v>#NAME?</v>
      </c>
      <c r="W426" t="e">
        <f ca="1"/>
        <v>#NAME?</v>
      </c>
      <c r="X426" t="e">
        <f ca="1"/>
        <v>#NAME?</v>
      </c>
      <c r="Y426" t="e">
        <f ca="1"/>
        <v>#NAME?</v>
      </c>
      <c r="Z426" t="e">
        <f ca="1"/>
        <v>#NAME?</v>
      </c>
      <c r="AA426" t="e">
        <f ca="1"/>
        <v>#NAME?</v>
      </c>
      <c r="AB426" t="e">
        <f ca="1"/>
        <v>#NAME?</v>
      </c>
      <c r="AD426" s="2">
        <f t="shared" ca="1" si="62"/>
        <v>0</v>
      </c>
      <c r="AE426" s="46">
        <f t="shared" ca="1" si="63"/>
        <v>0</v>
      </c>
      <c r="AG426" s="72" t="e">
        <f t="shared" ca="1" si="67"/>
        <v>#NAME?</v>
      </c>
      <c r="AH426" s="72" t="e">
        <f t="shared" ca="1" si="68"/>
        <v>#NAME?</v>
      </c>
      <c r="AI426" s="3" t="e">
        <f t="shared" ca="1" si="69"/>
        <v>#NAME?</v>
      </c>
    </row>
    <row r="427" spans="7:35" x14ac:dyDescent="0.25">
      <c r="G427" s="3">
        <f t="shared" ca="1" si="64"/>
        <v>43</v>
      </c>
      <c r="H427" s="105">
        <f t="shared" ca="1" si="66"/>
        <v>45333</v>
      </c>
      <c r="I427" s="132" t="e">
        <f>HLOOKUP($H$4,'Met Data'!$A$2:$F$368,G427,FALSE)</f>
        <v>#N/A</v>
      </c>
      <c r="J427" s="132" t="e">
        <f ca="1">HLOOKUP($H$4,'Met Data'!$H$2:$M$368,G427,FALSE)*L427</f>
        <v>#N/A</v>
      </c>
      <c r="K427" s="106" t="e">
        <f>HLOOKUP($H$4,'Met Data'!$O$2:$T$368,G427,FALSE)</f>
        <v>#N/A</v>
      </c>
      <c r="L427">
        <f t="shared" ca="1" si="60"/>
        <v>1</v>
      </c>
      <c r="N427" t="e">
        <f t="shared" ca="1" si="65"/>
        <v>#NAME?</v>
      </c>
      <c r="O427" t="e">
        <f t="shared" ca="1" si="61"/>
        <v>#NAME?</v>
      </c>
      <c r="P427" s="2" t="e">
        <f ca="1"/>
        <v>#NAME?</v>
      </c>
      <c r="Q427" t="e">
        <f ca="1"/>
        <v>#NAME?</v>
      </c>
      <c r="R427" t="e">
        <f ca="1"/>
        <v>#NAME?</v>
      </c>
      <c r="S427" t="e">
        <f ca="1"/>
        <v>#NAME?</v>
      </c>
      <c r="T427" t="e">
        <f ca="1"/>
        <v>#NAME?</v>
      </c>
      <c r="U427" t="e">
        <f ca="1"/>
        <v>#NAME?</v>
      </c>
      <c r="V427" t="e">
        <f ca="1"/>
        <v>#NAME?</v>
      </c>
      <c r="W427" t="e">
        <f ca="1"/>
        <v>#NAME?</v>
      </c>
      <c r="X427" t="e">
        <f ca="1"/>
        <v>#NAME?</v>
      </c>
      <c r="Y427" t="e">
        <f ca="1"/>
        <v>#NAME?</v>
      </c>
      <c r="Z427" t="e">
        <f ca="1"/>
        <v>#NAME?</v>
      </c>
      <c r="AA427" t="e">
        <f ca="1"/>
        <v>#NAME?</v>
      </c>
      <c r="AB427" t="e">
        <f ca="1"/>
        <v>#NAME?</v>
      </c>
      <c r="AD427" s="2">
        <f t="shared" ca="1" si="62"/>
        <v>0</v>
      </c>
      <c r="AE427" s="46">
        <f t="shared" ca="1" si="63"/>
        <v>0</v>
      </c>
      <c r="AG427" s="72" t="e">
        <f t="shared" ca="1" si="67"/>
        <v>#NAME?</v>
      </c>
      <c r="AH427" s="72" t="e">
        <f t="shared" ca="1" si="68"/>
        <v>#NAME?</v>
      </c>
      <c r="AI427" s="3" t="e">
        <f t="shared" ca="1" si="69"/>
        <v>#NAME?</v>
      </c>
    </row>
    <row r="428" spans="7:35" x14ac:dyDescent="0.25">
      <c r="G428" s="3">
        <f t="shared" ca="1" si="64"/>
        <v>44</v>
      </c>
      <c r="H428" s="105">
        <f t="shared" ca="1" si="66"/>
        <v>45334</v>
      </c>
      <c r="I428" s="132" t="e">
        <f>HLOOKUP($H$4,'Met Data'!$A$2:$F$368,G428,FALSE)</f>
        <v>#N/A</v>
      </c>
      <c r="J428" s="132" t="e">
        <f ca="1">HLOOKUP($H$4,'Met Data'!$H$2:$M$368,G428,FALSE)*L428</f>
        <v>#N/A</v>
      </c>
      <c r="K428" s="106" t="e">
        <f>HLOOKUP($H$4,'Met Data'!$O$2:$T$368,G428,FALSE)</f>
        <v>#N/A</v>
      </c>
      <c r="L428">
        <f t="shared" ca="1" si="60"/>
        <v>1</v>
      </c>
      <c r="N428" t="e">
        <f t="shared" ca="1" si="65"/>
        <v>#NAME?</v>
      </c>
      <c r="O428" t="e">
        <f t="shared" ca="1" si="61"/>
        <v>#NAME?</v>
      </c>
      <c r="P428" s="2" t="e">
        <f ca="1"/>
        <v>#NAME?</v>
      </c>
      <c r="Q428" t="e">
        <f ca="1"/>
        <v>#NAME?</v>
      </c>
      <c r="R428" t="e">
        <f ca="1"/>
        <v>#NAME?</v>
      </c>
      <c r="S428" t="e">
        <f ca="1"/>
        <v>#NAME?</v>
      </c>
      <c r="T428" t="e">
        <f ca="1"/>
        <v>#NAME?</v>
      </c>
      <c r="U428" t="e">
        <f ca="1"/>
        <v>#NAME?</v>
      </c>
      <c r="V428" t="e">
        <f ca="1"/>
        <v>#NAME?</v>
      </c>
      <c r="W428" t="e">
        <f ca="1"/>
        <v>#NAME?</v>
      </c>
      <c r="X428" t="e">
        <f ca="1"/>
        <v>#NAME?</v>
      </c>
      <c r="Y428" t="e">
        <f ca="1"/>
        <v>#NAME?</v>
      </c>
      <c r="Z428" t="e">
        <f ca="1"/>
        <v>#NAME?</v>
      </c>
      <c r="AA428" t="e">
        <f ca="1"/>
        <v>#NAME?</v>
      </c>
      <c r="AB428" t="e">
        <f ca="1"/>
        <v>#NAME?</v>
      </c>
      <c r="AD428" s="2">
        <f t="shared" ca="1" si="62"/>
        <v>0</v>
      </c>
      <c r="AE428" s="46">
        <f t="shared" ca="1" si="63"/>
        <v>0</v>
      </c>
      <c r="AG428" s="72" t="e">
        <f t="shared" ca="1" si="67"/>
        <v>#NAME?</v>
      </c>
      <c r="AH428" s="72" t="e">
        <f t="shared" ca="1" si="68"/>
        <v>#NAME?</v>
      </c>
      <c r="AI428" s="3" t="e">
        <f t="shared" ca="1" si="69"/>
        <v>#NAME?</v>
      </c>
    </row>
    <row r="429" spans="7:35" x14ac:dyDescent="0.25">
      <c r="G429" s="3">
        <f t="shared" ca="1" si="64"/>
        <v>45</v>
      </c>
      <c r="H429" s="105">
        <f t="shared" ca="1" si="66"/>
        <v>45335</v>
      </c>
      <c r="I429" s="132" t="e">
        <f>HLOOKUP($H$4,'Met Data'!$A$2:$F$368,G429,FALSE)</f>
        <v>#N/A</v>
      </c>
      <c r="J429" s="132" t="e">
        <f ca="1">HLOOKUP($H$4,'Met Data'!$H$2:$M$368,G429,FALSE)*L429</f>
        <v>#N/A</v>
      </c>
      <c r="K429" s="106" t="e">
        <f>HLOOKUP($H$4,'Met Data'!$O$2:$T$368,G429,FALSE)</f>
        <v>#N/A</v>
      </c>
      <c r="L429">
        <f t="shared" ca="1" si="60"/>
        <v>1</v>
      </c>
      <c r="N429" t="e">
        <f t="shared" ca="1" si="65"/>
        <v>#NAME?</v>
      </c>
      <c r="O429" t="e">
        <f t="shared" ca="1" si="61"/>
        <v>#NAME?</v>
      </c>
      <c r="P429" s="2" t="e">
        <f ca="1"/>
        <v>#NAME?</v>
      </c>
      <c r="Q429" t="e">
        <f ca="1"/>
        <v>#NAME?</v>
      </c>
      <c r="R429" t="e">
        <f ca="1"/>
        <v>#NAME?</v>
      </c>
      <c r="S429" t="e">
        <f ca="1"/>
        <v>#NAME?</v>
      </c>
      <c r="T429" t="e">
        <f ca="1"/>
        <v>#NAME?</v>
      </c>
      <c r="U429" t="e">
        <f ca="1"/>
        <v>#NAME?</v>
      </c>
      <c r="V429" t="e">
        <f ca="1"/>
        <v>#NAME?</v>
      </c>
      <c r="W429" t="e">
        <f ca="1"/>
        <v>#NAME?</v>
      </c>
      <c r="X429" t="e">
        <f ca="1"/>
        <v>#NAME?</v>
      </c>
      <c r="Y429" t="e">
        <f ca="1"/>
        <v>#NAME?</v>
      </c>
      <c r="Z429" t="e">
        <f ca="1"/>
        <v>#NAME?</v>
      </c>
      <c r="AA429" t="e">
        <f ca="1"/>
        <v>#NAME?</v>
      </c>
      <c r="AB429" t="e">
        <f ca="1"/>
        <v>#NAME?</v>
      </c>
      <c r="AD429" s="2">
        <f t="shared" ca="1" si="62"/>
        <v>0</v>
      </c>
      <c r="AE429" s="46">
        <f t="shared" ca="1" si="63"/>
        <v>0</v>
      </c>
      <c r="AG429" s="72" t="e">
        <f t="shared" ca="1" si="67"/>
        <v>#NAME?</v>
      </c>
      <c r="AH429" s="72" t="e">
        <f t="shared" ca="1" si="68"/>
        <v>#NAME?</v>
      </c>
      <c r="AI429" s="3" t="e">
        <f t="shared" ca="1" si="69"/>
        <v>#NAME?</v>
      </c>
    </row>
    <row r="430" spans="7:35" x14ac:dyDescent="0.25">
      <c r="G430" s="3">
        <f t="shared" ca="1" si="64"/>
        <v>46</v>
      </c>
      <c r="H430" s="105">
        <f t="shared" ca="1" si="66"/>
        <v>45336</v>
      </c>
      <c r="I430" s="132" t="e">
        <f>HLOOKUP($H$4,'Met Data'!$A$2:$F$368,G430,FALSE)</f>
        <v>#N/A</v>
      </c>
      <c r="J430" s="132" t="e">
        <f ca="1">HLOOKUP($H$4,'Met Data'!$H$2:$M$368,G430,FALSE)*L430</f>
        <v>#N/A</v>
      </c>
      <c r="K430" s="106" t="e">
        <f>HLOOKUP($H$4,'Met Data'!$O$2:$T$368,G430,FALSE)</f>
        <v>#N/A</v>
      </c>
      <c r="L430">
        <f t="shared" ca="1" si="60"/>
        <v>1</v>
      </c>
      <c r="N430" t="e">
        <f t="shared" ca="1" si="65"/>
        <v>#NAME?</v>
      </c>
      <c r="O430" t="e">
        <f t="shared" ca="1" si="61"/>
        <v>#NAME?</v>
      </c>
      <c r="P430" s="2" t="e">
        <f ca="1"/>
        <v>#NAME?</v>
      </c>
      <c r="Q430" t="e">
        <f ca="1"/>
        <v>#NAME?</v>
      </c>
      <c r="R430" t="e">
        <f ca="1"/>
        <v>#NAME?</v>
      </c>
      <c r="S430" t="e">
        <f ca="1"/>
        <v>#NAME?</v>
      </c>
      <c r="T430" t="e">
        <f ca="1"/>
        <v>#NAME?</v>
      </c>
      <c r="U430" t="e">
        <f ca="1"/>
        <v>#NAME?</v>
      </c>
      <c r="V430" t="e">
        <f ca="1"/>
        <v>#NAME?</v>
      </c>
      <c r="W430" t="e">
        <f ca="1"/>
        <v>#NAME?</v>
      </c>
      <c r="X430" t="e">
        <f ca="1"/>
        <v>#NAME?</v>
      </c>
      <c r="Y430" t="e">
        <f ca="1"/>
        <v>#NAME?</v>
      </c>
      <c r="Z430" t="e">
        <f ca="1"/>
        <v>#NAME?</v>
      </c>
      <c r="AA430" t="e">
        <f ca="1"/>
        <v>#NAME?</v>
      </c>
      <c r="AB430" t="e">
        <f ca="1"/>
        <v>#NAME?</v>
      </c>
      <c r="AD430" s="2">
        <f t="shared" ca="1" si="62"/>
        <v>0</v>
      </c>
      <c r="AE430" s="46">
        <f t="shared" ca="1" si="63"/>
        <v>0</v>
      </c>
      <c r="AG430" s="72" t="e">
        <f t="shared" ca="1" si="67"/>
        <v>#NAME?</v>
      </c>
      <c r="AH430" s="72" t="e">
        <f t="shared" ca="1" si="68"/>
        <v>#NAME?</v>
      </c>
      <c r="AI430" s="3" t="e">
        <f t="shared" ca="1" si="69"/>
        <v>#NAME?</v>
      </c>
    </row>
    <row r="431" spans="7:35" x14ac:dyDescent="0.25">
      <c r="G431" s="3">
        <f t="shared" ca="1" si="64"/>
        <v>47</v>
      </c>
      <c r="H431" s="105">
        <f t="shared" ca="1" si="66"/>
        <v>45337</v>
      </c>
      <c r="I431" s="132" t="e">
        <f>HLOOKUP($H$4,'Met Data'!$A$2:$F$368,G431,FALSE)</f>
        <v>#N/A</v>
      </c>
      <c r="J431" s="132" t="e">
        <f ca="1">HLOOKUP($H$4,'Met Data'!$H$2:$M$368,G431,FALSE)*L431</f>
        <v>#N/A</v>
      </c>
      <c r="K431" s="106" t="e">
        <f>HLOOKUP($H$4,'Met Data'!$O$2:$T$368,G431,FALSE)</f>
        <v>#N/A</v>
      </c>
      <c r="L431">
        <f t="shared" ca="1" si="60"/>
        <v>1</v>
      </c>
      <c r="N431" t="e">
        <f t="shared" ca="1" si="65"/>
        <v>#NAME?</v>
      </c>
      <c r="O431" t="e">
        <f t="shared" ca="1" si="61"/>
        <v>#NAME?</v>
      </c>
      <c r="P431" s="2" t="e">
        <f ca="1"/>
        <v>#NAME?</v>
      </c>
      <c r="Q431" t="e">
        <f ca="1"/>
        <v>#NAME?</v>
      </c>
      <c r="R431" t="e">
        <f ca="1"/>
        <v>#NAME?</v>
      </c>
      <c r="S431" t="e">
        <f ca="1"/>
        <v>#NAME?</v>
      </c>
      <c r="T431" t="e">
        <f ca="1"/>
        <v>#NAME?</v>
      </c>
      <c r="U431" t="e">
        <f ca="1"/>
        <v>#NAME?</v>
      </c>
      <c r="V431" t="e">
        <f ca="1"/>
        <v>#NAME?</v>
      </c>
      <c r="W431" t="e">
        <f ca="1"/>
        <v>#NAME?</v>
      </c>
      <c r="X431" t="e">
        <f ca="1"/>
        <v>#NAME?</v>
      </c>
      <c r="Y431" t="e">
        <f ca="1"/>
        <v>#NAME?</v>
      </c>
      <c r="Z431" t="e">
        <f ca="1"/>
        <v>#NAME?</v>
      </c>
      <c r="AA431" t="e">
        <f ca="1"/>
        <v>#NAME?</v>
      </c>
      <c r="AB431" t="e">
        <f ca="1"/>
        <v>#NAME?</v>
      </c>
      <c r="AD431" s="2">
        <f t="shared" ca="1" si="62"/>
        <v>0</v>
      </c>
      <c r="AE431" s="46">
        <f t="shared" ca="1" si="63"/>
        <v>0</v>
      </c>
      <c r="AG431" s="72" t="e">
        <f t="shared" ca="1" si="67"/>
        <v>#NAME?</v>
      </c>
      <c r="AH431" s="72" t="e">
        <f t="shared" ca="1" si="68"/>
        <v>#NAME?</v>
      </c>
      <c r="AI431" s="3" t="e">
        <f t="shared" ca="1" si="69"/>
        <v>#NAME?</v>
      </c>
    </row>
    <row r="432" spans="7:35" x14ac:dyDescent="0.25">
      <c r="G432" s="3">
        <f t="shared" ca="1" si="64"/>
        <v>48</v>
      </c>
      <c r="H432" s="105">
        <f t="shared" ca="1" si="66"/>
        <v>45338</v>
      </c>
      <c r="I432" s="132" t="e">
        <f>HLOOKUP($H$4,'Met Data'!$A$2:$F$368,G432,FALSE)</f>
        <v>#N/A</v>
      </c>
      <c r="J432" s="132" t="e">
        <f ca="1">HLOOKUP($H$4,'Met Data'!$H$2:$M$368,G432,FALSE)*L432</f>
        <v>#N/A</v>
      </c>
      <c r="K432" s="106" t="e">
        <f>HLOOKUP($H$4,'Met Data'!$O$2:$T$368,G432,FALSE)</f>
        <v>#N/A</v>
      </c>
      <c r="L432">
        <f t="shared" ca="1" si="60"/>
        <v>1</v>
      </c>
      <c r="N432" t="e">
        <f t="shared" ca="1" si="65"/>
        <v>#NAME?</v>
      </c>
      <c r="O432" t="e">
        <f t="shared" ca="1" si="61"/>
        <v>#NAME?</v>
      </c>
      <c r="P432" s="2" t="e">
        <f ca="1"/>
        <v>#NAME?</v>
      </c>
      <c r="Q432" t="e">
        <f ca="1"/>
        <v>#NAME?</v>
      </c>
      <c r="R432" t="e">
        <f ca="1"/>
        <v>#NAME?</v>
      </c>
      <c r="S432" t="e">
        <f ca="1"/>
        <v>#NAME?</v>
      </c>
      <c r="T432" t="e">
        <f ca="1"/>
        <v>#NAME?</v>
      </c>
      <c r="U432" t="e">
        <f ca="1"/>
        <v>#NAME?</v>
      </c>
      <c r="V432" t="e">
        <f ca="1"/>
        <v>#NAME?</v>
      </c>
      <c r="W432" t="e">
        <f ca="1"/>
        <v>#NAME?</v>
      </c>
      <c r="X432" t="e">
        <f ca="1"/>
        <v>#NAME?</v>
      </c>
      <c r="Y432" t="e">
        <f ca="1"/>
        <v>#NAME?</v>
      </c>
      <c r="Z432" t="e">
        <f ca="1"/>
        <v>#NAME?</v>
      </c>
      <c r="AA432" t="e">
        <f ca="1"/>
        <v>#NAME?</v>
      </c>
      <c r="AB432" t="e">
        <f ca="1"/>
        <v>#NAME?</v>
      </c>
      <c r="AD432" s="2">
        <f t="shared" ca="1" si="62"/>
        <v>0</v>
      </c>
      <c r="AE432" s="46">
        <f t="shared" ca="1" si="63"/>
        <v>0</v>
      </c>
      <c r="AG432" s="72" t="e">
        <f t="shared" ca="1" si="67"/>
        <v>#NAME?</v>
      </c>
      <c r="AH432" s="72" t="e">
        <f t="shared" ca="1" si="68"/>
        <v>#NAME?</v>
      </c>
      <c r="AI432" s="3" t="e">
        <f t="shared" ca="1" si="69"/>
        <v>#NAME?</v>
      </c>
    </row>
    <row r="433" spans="7:35" x14ac:dyDescent="0.25">
      <c r="G433" s="3">
        <f t="shared" ca="1" si="64"/>
        <v>49</v>
      </c>
      <c r="H433" s="105">
        <f t="shared" ca="1" si="66"/>
        <v>45339</v>
      </c>
      <c r="I433" s="132" t="e">
        <f>HLOOKUP($H$4,'Met Data'!$A$2:$F$368,G433,FALSE)</f>
        <v>#N/A</v>
      </c>
      <c r="J433" s="132" t="e">
        <f ca="1">HLOOKUP($H$4,'Met Data'!$H$2:$M$368,G433,FALSE)*L433</f>
        <v>#N/A</v>
      </c>
      <c r="K433" s="106" t="e">
        <f>HLOOKUP($H$4,'Met Data'!$O$2:$T$368,G433,FALSE)</f>
        <v>#N/A</v>
      </c>
      <c r="L433">
        <f t="shared" ca="1" si="60"/>
        <v>1</v>
      </c>
      <c r="N433" t="e">
        <f t="shared" ca="1" si="65"/>
        <v>#NAME?</v>
      </c>
      <c r="O433" t="e">
        <f t="shared" ca="1" si="61"/>
        <v>#NAME?</v>
      </c>
      <c r="P433" s="2" t="e">
        <f ca="1"/>
        <v>#NAME?</v>
      </c>
      <c r="Q433" t="e">
        <f ca="1"/>
        <v>#NAME?</v>
      </c>
      <c r="R433" t="e">
        <f ca="1"/>
        <v>#NAME?</v>
      </c>
      <c r="S433" t="e">
        <f ca="1"/>
        <v>#NAME?</v>
      </c>
      <c r="T433" t="e">
        <f ca="1"/>
        <v>#NAME?</v>
      </c>
      <c r="U433" t="e">
        <f ca="1"/>
        <v>#NAME?</v>
      </c>
      <c r="V433" t="e">
        <f ca="1"/>
        <v>#NAME?</v>
      </c>
      <c r="W433" t="e">
        <f ca="1"/>
        <v>#NAME?</v>
      </c>
      <c r="X433" t="e">
        <f ca="1"/>
        <v>#NAME?</v>
      </c>
      <c r="Y433" t="e">
        <f ca="1"/>
        <v>#NAME?</v>
      </c>
      <c r="Z433" t="e">
        <f ca="1"/>
        <v>#NAME?</v>
      </c>
      <c r="AA433" t="e">
        <f ca="1"/>
        <v>#NAME?</v>
      </c>
      <c r="AB433" t="e">
        <f ca="1"/>
        <v>#NAME?</v>
      </c>
      <c r="AD433" s="2">
        <f t="shared" ca="1" si="62"/>
        <v>0</v>
      </c>
      <c r="AE433" s="46">
        <f t="shared" ca="1" si="63"/>
        <v>0</v>
      </c>
      <c r="AG433" s="72" t="e">
        <f t="shared" ca="1" si="67"/>
        <v>#NAME?</v>
      </c>
      <c r="AH433" s="72" t="e">
        <f t="shared" ca="1" si="68"/>
        <v>#NAME?</v>
      </c>
      <c r="AI433" s="3" t="e">
        <f t="shared" ca="1" si="69"/>
        <v>#NAME?</v>
      </c>
    </row>
    <row r="434" spans="7:35" x14ac:dyDescent="0.25">
      <c r="G434" s="3">
        <f t="shared" ca="1" si="64"/>
        <v>50</v>
      </c>
      <c r="H434" s="105">
        <f t="shared" ca="1" si="66"/>
        <v>45340</v>
      </c>
      <c r="I434" s="132" t="e">
        <f>HLOOKUP($H$4,'Met Data'!$A$2:$F$368,G434,FALSE)</f>
        <v>#N/A</v>
      </c>
      <c r="J434" s="132" t="e">
        <f ca="1">HLOOKUP($H$4,'Met Data'!$H$2:$M$368,G434,FALSE)*L434</f>
        <v>#N/A</v>
      </c>
      <c r="K434" s="106" t="e">
        <f>HLOOKUP($H$4,'Met Data'!$O$2:$T$368,G434,FALSE)</f>
        <v>#N/A</v>
      </c>
      <c r="L434">
        <f t="shared" ca="1" si="60"/>
        <v>1</v>
      </c>
      <c r="N434" t="e">
        <f t="shared" ca="1" si="65"/>
        <v>#NAME?</v>
      </c>
      <c r="O434" t="e">
        <f t="shared" ca="1" si="61"/>
        <v>#NAME?</v>
      </c>
      <c r="P434" s="2" t="e">
        <f ca="1"/>
        <v>#NAME?</v>
      </c>
      <c r="Q434" t="e">
        <f ca="1"/>
        <v>#NAME?</v>
      </c>
      <c r="R434" t="e">
        <f ca="1"/>
        <v>#NAME?</v>
      </c>
      <c r="S434" t="e">
        <f ca="1"/>
        <v>#NAME?</v>
      </c>
      <c r="T434" t="e">
        <f ca="1"/>
        <v>#NAME?</v>
      </c>
      <c r="U434" t="e">
        <f ca="1"/>
        <v>#NAME?</v>
      </c>
      <c r="V434" t="e">
        <f ca="1"/>
        <v>#NAME?</v>
      </c>
      <c r="W434" t="e">
        <f ca="1"/>
        <v>#NAME?</v>
      </c>
      <c r="X434" t="e">
        <f ca="1"/>
        <v>#NAME?</v>
      </c>
      <c r="Y434" t="e">
        <f ca="1"/>
        <v>#NAME?</v>
      </c>
      <c r="Z434" t="e">
        <f ca="1"/>
        <v>#NAME?</v>
      </c>
      <c r="AA434" t="e">
        <f ca="1"/>
        <v>#NAME?</v>
      </c>
      <c r="AB434" t="e">
        <f ca="1"/>
        <v>#NAME?</v>
      </c>
      <c r="AD434" s="2">
        <f t="shared" ca="1" si="62"/>
        <v>0</v>
      </c>
      <c r="AE434" s="46">
        <f t="shared" ca="1" si="63"/>
        <v>0</v>
      </c>
      <c r="AG434" s="72" t="e">
        <f t="shared" ca="1" si="67"/>
        <v>#NAME?</v>
      </c>
      <c r="AH434" s="72" t="e">
        <f t="shared" ca="1" si="68"/>
        <v>#NAME?</v>
      </c>
      <c r="AI434" s="3" t="e">
        <f t="shared" ca="1" si="69"/>
        <v>#NAME?</v>
      </c>
    </row>
    <row r="435" spans="7:35" x14ac:dyDescent="0.25">
      <c r="G435" s="3">
        <f t="shared" ca="1" si="64"/>
        <v>51</v>
      </c>
      <c r="H435" s="105">
        <f t="shared" ca="1" si="66"/>
        <v>45341</v>
      </c>
      <c r="I435" s="132" t="e">
        <f>HLOOKUP($H$4,'Met Data'!$A$2:$F$368,G435,FALSE)</f>
        <v>#N/A</v>
      </c>
      <c r="J435" s="132" t="e">
        <f ca="1">HLOOKUP($H$4,'Met Data'!$H$2:$M$368,G435,FALSE)*L435</f>
        <v>#N/A</v>
      </c>
      <c r="K435" s="106" t="e">
        <f>HLOOKUP($H$4,'Met Data'!$O$2:$T$368,G435,FALSE)</f>
        <v>#N/A</v>
      </c>
      <c r="L435">
        <f t="shared" ca="1" si="60"/>
        <v>1</v>
      </c>
      <c r="N435" t="e">
        <f t="shared" ca="1" si="65"/>
        <v>#NAME?</v>
      </c>
      <c r="O435" t="e">
        <f t="shared" ca="1" si="61"/>
        <v>#NAME?</v>
      </c>
      <c r="P435" s="2" t="e">
        <f ca="1"/>
        <v>#NAME?</v>
      </c>
      <c r="Q435" t="e">
        <f ca="1"/>
        <v>#NAME?</v>
      </c>
      <c r="R435" t="e">
        <f ca="1"/>
        <v>#NAME?</v>
      </c>
      <c r="S435" t="e">
        <f ca="1"/>
        <v>#NAME?</v>
      </c>
      <c r="T435" t="e">
        <f ca="1"/>
        <v>#NAME?</v>
      </c>
      <c r="U435" t="e">
        <f ca="1"/>
        <v>#NAME?</v>
      </c>
      <c r="V435" t="e">
        <f ca="1"/>
        <v>#NAME?</v>
      </c>
      <c r="W435" t="e">
        <f ca="1"/>
        <v>#NAME?</v>
      </c>
      <c r="X435" t="e">
        <f ca="1"/>
        <v>#NAME?</v>
      </c>
      <c r="Y435" t="e">
        <f ca="1"/>
        <v>#NAME?</v>
      </c>
      <c r="Z435" t="e">
        <f ca="1"/>
        <v>#NAME?</v>
      </c>
      <c r="AA435" t="e">
        <f ca="1"/>
        <v>#NAME?</v>
      </c>
      <c r="AB435" t="e">
        <f ca="1"/>
        <v>#NAME?</v>
      </c>
      <c r="AD435" s="2">
        <f t="shared" ca="1" si="62"/>
        <v>0</v>
      </c>
      <c r="AE435" s="46">
        <f t="shared" ca="1" si="63"/>
        <v>0</v>
      </c>
      <c r="AG435" s="72" t="e">
        <f t="shared" ca="1" si="67"/>
        <v>#NAME?</v>
      </c>
      <c r="AH435" s="72" t="e">
        <f t="shared" ca="1" si="68"/>
        <v>#NAME?</v>
      </c>
      <c r="AI435" s="3" t="e">
        <f t="shared" ca="1" si="69"/>
        <v>#NAME?</v>
      </c>
    </row>
    <row r="436" spans="7:35" x14ac:dyDescent="0.25">
      <c r="G436" s="3">
        <f t="shared" ca="1" si="64"/>
        <v>52</v>
      </c>
      <c r="H436" s="105">
        <f t="shared" ca="1" si="66"/>
        <v>45342</v>
      </c>
      <c r="I436" s="132" t="e">
        <f>HLOOKUP($H$4,'Met Data'!$A$2:$F$368,G436,FALSE)</f>
        <v>#N/A</v>
      </c>
      <c r="J436" s="132" t="e">
        <f ca="1">HLOOKUP($H$4,'Met Data'!$H$2:$M$368,G436,FALSE)*L436</f>
        <v>#N/A</v>
      </c>
      <c r="K436" s="106" t="e">
        <f>HLOOKUP($H$4,'Met Data'!$O$2:$T$368,G436,FALSE)</f>
        <v>#N/A</v>
      </c>
      <c r="L436">
        <f t="shared" ca="1" si="60"/>
        <v>1</v>
      </c>
      <c r="N436" t="e">
        <f t="shared" ca="1" si="65"/>
        <v>#NAME?</v>
      </c>
      <c r="O436" t="e">
        <f t="shared" ca="1" si="61"/>
        <v>#NAME?</v>
      </c>
      <c r="P436" s="2" t="e">
        <f ca="1"/>
        <v>#NAME?</v>
      </c>
      <c r="Q436" t="e">
        <f ca="1"/>
        <v>#NAME?</v>
      </c>
      <c r="R436" t="e">
        <f ca="1"/>
        <v>#NAME?</v>
      </c>
      <c r="S436" t="e">
        <f ca="1"/>
        <v>#NAME?</v>
      </c>
      <c r="T436" t="e">
        <f ca="1"/>
        <v>#NAME?</v>
      </c>
      <c r="U436" t="e">
        <f ca="1"/>
        <v>#NAME?</v>
      </c>
      <c r="V436" t="e">
        <f ca="1"/>
        <v>#NAME?</v>
      </c>
      <c r="W436" t="e">
        <f ca="1"/>
        <v>#NAME?</v>
      </c>
      <c r="X436" t="e">
        <f ca="1"/>
        <v>#NAME?</v>
      </c>
      <c r="Y436" t="e">
        <f ca="1"/>
        <v>#NAME?</v>
      </c>
      <c r="Z436" t="e">
        <f ca="1"/>
        <v>#NAME?</v>
      </c>
      <c r="AA436" t="e">
        <f ca="1"/>
        <v>#NAME?</v>
      </c>
      <c r="AB436" t="e">
        <f ca="1"/>
        <v>#NAME?</v>
      </c>
      <c r="AD436" s="2">
        <f t="shared" ca="1" si="62"/>
        <v>0</v>
      </c>
      <c r="AE436" s="46">
        <f t="shared" ca="1" si="63"/>
        <v>0</v>
      </c>
      <c r="AG436" s="72" t="e">
        <f t="shared" ca="1" si="67"/>
        <v>#NAME?</v>
      </c>
      <c r="AH436" s="72" t="e">
        <f t="shared" ca="1" si="68"/>
        <v>#NAME?</v>
      </c>
      <c r="AI436" s="3" t="e">
        <f t="shared" ca="1" si="69"/>
        <v>#NAME?</v>
      </c>
    </row>
    <row r="437" spans="7:35" x14ac:dyDescent="0.25">
      <c r="G437" s="3">
        <f t="shared" ca="1" si="64"/>
        <v>53</v>
      </c>
      <c r="H437" s="105">
        <f t="shared" ca="1" si="66"/>
        <v>45343</v>
      </c>
      <c r="I437" s="132" t="e">
        <f>HLOOKUP($H$4,'Met Data'!$A$2:$F$368,G437,FALSE)</f>
        <v>#N/A</v>
      </c>
      <c r="J437" s="132" t="e">
        <f ca="1">HLOOKUP($H$4,'Met Data'!$H$2:$M$368,G437,FALSE)*L437</f>
        <v>#N/A</v>
      </c>
      <c r="K437" s="106" t="e">
        <f>HLOOKUP($H$4,'Met Data'!$O$2:$T$368,G437,FALSE)</f>
        <v>#N/A</v>
      </c>
      <c r="L437">
        <f t="shared" ca="1" si="60"/>
        <v>1</v>
      </c>
      <c r="N437" t="e">
        <f t="shared" ca="1" si="65"/>
        <v>#NAME?</v>
      </c>
      <c r="O437" t="e">
        <f t="shared" ca="1" si="61"/>
        <v>#NAME?</v>
      </c>
      <c r="P437" s="2" t="e">
        <f ca="1"/>
        <v>#NAME?</v>
      </c>
      <c r="Q437" t="e">
        <f ca="1"/>
        <v>#NAME?</v>
      </c>
      <c r="R437" t="e">
        <f ca="1"/>
        <v>#NAME?</v>
      </c>
      <c r="S437" t="e">
        <f ca="1"/>
        <v>#NAME?</v>
      </c>
      <c r="T437" t="e">
        <f ca="1"/>
        <v>#NAME?</v>
      </c>
      <c r="U437" t="e">
        <f ca="1"/>
        <v>#NAME?</v>
      </c>
      <c r="V437" t="e">
        <f ca="1"/>
        <v>#NAME?</v>
      </c>
      <c r="W437" t="e">
        <f ca="1"/>
        <v>#NAME?</v>
      </c>
      <c r="X437" t="e">
        <f ca="1"/>
        <v>#NAME?</v>
      </c>
      <c r="Y437" t="e">
        <f ca="1"/>
        <v>#NAME?</v>
      </c>
      <c r="Z437" t="e">
        <f ca="1"/>
        <v>#NAME?</v>
      </c>
      <c r="AA437" t="e">
        <f ca="1"/>
        <v>#NAME?</v>
      </c>
      <c r="AB437" t="e">
        <f ca="1"/>
        <v>#NAME?</v>
      </c>
      <c r="AD437" s="2">
        <f t="shared" ca="1" si="62"/>
        <v>0</v>
      </c>
      <c r="AE437" s="46">
        <f t="shared" ca="1" si="63"/>
        <v>0</v>
      </c>
      <c r="AG437" s="72" t="e">
        <f t="shared" ca="1" si="67"/>
        <v>#NAME?</v>
      </c>
      <c r="AH437" s="72" t="e">
        <f t="shared" ca="1" si="68"/>
        <v>#NAME?</v>
      </c>
      <c r="AI437" s="3" t="e">
        <f t="shared" ca="1" si="69"/>
        <v>#NAME?</v>
      </c>
    </row>
    <row r="438" spans="7:35" x14ac:dyDescent="0.25">
      <c r="G438" s="3">
        <f t="shared" ca="1" si="64"/>
        <v>54</v>
      </c>
      <c r="H438" s="105">
        <f t="shared" ca="1" si="66"/>
        <v>45344</v>
      </c>
      <c r="I438" s="132" t="e">
        <f>HLOOKUP($H$4,'Met Data'!$A$2:$F$368,G438,FALSE)</f>
        <v>#N/A</v>
      </c>
      <c r="J438" s="132" t="e">
        <f ca="1">HLOOKUP($H$4,'Met Data'!$H$2:$M$368,G438,FALSE)*L438</f>
        <v>#N/A</v>
      </c>
      <c r="K438" s="106" t="e">
        <f>HLOOKUP($H$4,'Met Data'!$O$2:$T$368,G438,FALSE)</f>
        <v>#N/A</v>
      </c>
      <c r="L438">
        <f t="shared" ca="1" si="60"/>
        <v>1</v>
      </c>
      <c r="N438" t="e">
        <f t="shared" ca="1" si="65"/>
        <v>#NAME?</v>
      </c>
      <c r="O438" t="e">
        <f t="shared" ca="1" si="61"/>
        <v>#NAME?</v>
      </c>
      <c r="P438" s="2" t="e">
        <f ca="1"/>
        <v>#NAME?</v>
      </c>
      <c r="Q438" t="e">
        <f ca="1"/>
        <v>#NAME?</v>
      </c>
      <c r="R438" t="e">
        <f ca="1"/>
        <v>#NAME?</v>
      </c>
      <c r="S438" t="e">
        <f ca="1"/>
        <v>#NAME?</v>
      </c>
      <c r="T438" t="e">
        <f ca="1"/>
        <v>#NAME?</v>
      </c>
      <c r="U438" t="e">
        <f ca="1"/>
        <v>#NAME?</v>
      </c>
      <c r="V438" t="e">
        <f ca="1"/>
        <v>#NAME?</v>
      </c>
      <c r="W438" t="e">
        <f ca="1"/>
        <v>#NAME?</v>
      </c>
      <c r="X438" t="e">
        <f ca="1"/>
        <v>#NAME?</v>
      </c>
      <c r="Y438" t="e">
        <f ca="1"/>
        <v>#NAME?</v>
      </c>
      <c r="Z438" t="e">
        <f ca="1"/>
        <v>#NAME?</v>
      </c>
      <c r="AA438" t="e">
        <f ca="1"/>
        <v>#NAME?</v>
      </c>
      <c r="AB438" t="e">
        <f ca="1"/>
        <v>#NAME?</v>
      </c>
      <c r="AD438" s="2">
        <f t="shared" ca="1" si="62"/>
        <v>0</v>
      </c>
      <c r="AE438" s="46">
        <f t="shared" ca="1" si="63"/>
        <v>0</v>
      </c>
      <c r="AG438" s="72" t="e">
        <f t="shared" ca="1" si="67"/>
        <v>#NAME?</v>
      </c>
      <c r="AH438" s="72" t="e">
        <f t="shared" ca="1" si="68"/>
        <v>#NAME?</v>
      </c>
      <c r="AI438" s="3" t="e">
        <f t="shared" ca="1" si="69"/>
        <v>#NAME?</v>
      </c>
    </row>
    <row r="439" spans="7:35" x14ac:dyDescent="0.25">
      <c r="G439" s="3">
        <f t="shared" ca="1" si="64"/>
        <v>55</v>
      </c>
      <c r="H439" s="105">
        <f t="shared" ca="1" si="66"/>
        <v>45345</v>
      </c>
      <c r="I439" s="132" t="e">
        <f>HLOOKUP($H$4,'Met Data'!$A$2:$F$368,G439,FALSE)</f>
        <v>#N/A</v>
      </c>
      <c r="J439" s="132" t="e">
        <f ca="1">HLOOKUP($H$4,'Met Data'!$H$2:$M$368,G439,FALSE)*L439</f>
        <v>#N/A</v>
      </c>
      <c r="K439" s="106" t="e">
        <f>HLOOKUP($H$4,'Met Data'!$O$2:$T$368,G439,FALSE)</f>
        <v>#N/A</v>
      </c>
      <c r="L439">
        <f t="shared" ca="1" si="60"/>
        <v>1</v>
      </c>
      <c r="N439" t="e">
        <f t="shared" ca="1" si="65"/>
        <v>#NAME?</v>
      </c>
      <c r="O439" t="e">
        <f t="shared" ca="1" si="61"/>
        <v>#NAME?</v>
      </c>
      <c r="P439" s="2" t="e">
        <f ca="1"/>
        <v>#NAME?</v>
      </c>
      <c r="Q439" t="e">
        <f ca="1"/>
        <v>#NAME?</v>
      </c>
      <c r="R439" t="e">
        <f ca="1"/>
        <v>#NAME?</v>
      </c>
      <c r="S439" t="e">
        <f ca="1"/>
        <v>#NAME?</v>
      </c>
      <c r="T439" t="e">
        <f ca="1"/>
        <v>#NAME?</v>
      </c>
      <c r="U439" t="e">
        <f ca="1"/>
        <v>#NAME?</v>
      </c>
      <c r="V439" t="e">
        <f ca="1"/>
        <v>#NAME?</v>
      </c>
      <c r="W439" t="e">
        <f ca="1"/>
        <v>#NAME?</v>
      </c>
      <c r="X439" t="e">
        <f ca="1"/>
        <v>#NAME?</v>
      </c>
      <c r="Y439" t="e">
        <f ca="1"/>
        <v>#NAME?</v>
      </c>
      <c r="Z439" t="e">
        <f ca="1"/>
        <v>#NAME?</v>
      </c>
      <c r="AA439" t="e">
        <f ca="1"/>
        <v>#NAME?</v>
      </c>
      <c r="AB439" t="e">
        <f ca="1"/>
        <v>#NAME?</v>
      </c>
      <c r="AD439" s="2">
        <f t="shared" ca="1" si="62"/>
        <v>0</v>
      </c>
      <c r="AE439" s="46">
        <f t="shared" ca="1" si="63"/>
        <v>0</v>
      </c>
      <c r="AG439" s="72" t="e">
        <f t="shared" ca="1" si="67"/>
        <v>#NAME?</v>
      </c>
      <c r="AH439" s="72" t="e">
        <f t="shared" ca="1" si="68"/>
        <v>#NAME?</v>
      </c>
      <c r="AI439" s="3" t="e">
        <f t="shared" ca="1" si="69"/>
        <v>#NAME?</v>
      </c>
    </row>
    <row r="440" spans="7:35" x14ac:dyDescent="0.25">
      <c r="G440" s="3">
        <f t="shared" ca="1" si="64"/>
        <v>56</v>
      </c>
      <c r="H440" s="105">
        <f t="shared" ca="1" si="66"/>
        <v>45346</v>
      </c>
      <c r="I440" s="132" t="e">
        <f>HLOOKUP($H$4,'Met Data'!$A$2:$F$368,G440,FALSE)</f>
        <v>#N/A</v>
      </c>
      <c r="J440" s="132" t="e">
        <f ca="1">HLOOKUP($H$4,'Met Data'!$H$2:$M$368,G440,FALSE)*L440</f>
        <v>#N/A</v>
      </c>
      <c r="K440" s="106" t="e">
        <f>HLOOKUP($H$4,'Met Data'!$O$2:$T$368,G440,FALSE)</f>
        <v>#N/A</v>
      </c>
      <c r="L440">
        <f t="shared" ca="1" si="60"/>
        <v>1</v>
      </c>
      <c r="N440" t="e">
        <f t="shared" ca="1" si="65"/>
        <v>#NAME?</v>
      </c>
      <c r="O440" t="e">
        <f t="shared" ca="1" si="61"/>
        <v>#NAME?</v>
      </c>
      <c r="P440" s="2" t="e">
        <f ca="1"/>
        <v>#NAME?</v>
      </c>
      <c r="Q440" t="e">
        <f ca="1"/>
        <v>#NAME?</v>
      </c>
      <c r="R440" t="e">
        <f ca="1"/>
        <v>#NAME?</v>
      </c>
      <c r="S440" t="e">
        <f ca="1"/>
        <v>#NAME?</v>
      </c>
      <c r="T440" t="e">
        <f ca="1"/>
        <v>#NAME?</v>
      </c>
      <c r="U440" t="e">
        <f ca="1"/>
        <v>#NAME?</v>
      </c>
      <c r="V440" t="e">
        <f ca="1"/>
        <v>#NAME?</v>
      </c>
      <c r="W440" t="e">
        <f ca="1"/>
        <v>#NAME?</v>
      </c>
      <c r="X440" t="e">
        <f ca="1"/>
        <v>#NAME?</v>
      </c>
      <c r="Y440" t="e">
        <f ca="1"/>
        <v>#NAME?</v>
      </c>
      <c r="Z440" t="e">
        <f ca="1"/>
        <v>#NAME?</v>
      </c>
      <c r="AA440" t="e">
        <f ca="1"/>
        <v>#NAME?</v>
      </c>
      <c r="AB440" t="e">
        <f ca="1"/>
        <v>#NAME?</v>
      </c>
      <c r="AD440" s="2">
        <f t="shared" ca="1" si="62"/>
        <v>0</v>
      </c>
      <c r="AE440" s="46">
        <f t="shared" ca="1" si="63"/>
        <v>0</v>
      </c>
      <c r="AG440" s="72" t="e">
        <f t="shared" ca="1" si="67"/>
        <v>#NAME?</v>
      </c>
      <c r="AH440" s="72" t="e">
        <f t="shared" ca="1" si="68"/>
        <v>#NAME?</v>
      </c>
      <c r="AI440" s="3" t="e">
        <f t="shared" ca="1" si="69"/>
        <v>#NAME?</v>
      </c>
    </row>
    <row r="441" spans="7:35" x14ac:dyDescent="0.25">
      <c r="G441" s="3">
        <f t="shared" ca="1" si="64"/>
        <v>57</v>
      </c>
      <c r="H441" s="105">
        <f t="shared" ca="1" si="66"/>
        <v>45347</v>
      </c>
      <c r="I441" s="132" t="e">
        <f>HLOOKUP($H$4,'Met Data'!$A$2:$F$368,G441,FALSE)</f>
        <v>#N/A</v>
      </c>
      <c r="J441" s="132" t="e">
        <f ca="1">HLOOKUP($H$4,'Met Data'!$H$2:$M$368,G441,FALSE)*L441</f>
        <v>#N/A</v>
      </c>
      <c r="K441" s="106" t="e">
        <f>HLOOKUP($H$4,'Met Data'!$O$2:$T$368,G441,FALSE)</f>
        <v>#N/A</v>
      </c>
      <c r="L441">
        <f t="shared" ca="1" si="60"/>
        <v>1</v>
      </c>
      <c r="N441" t="e">
        <f t="shared" ca="1" si="65"/>
        <v>#NAME?</v>
      </c>
      <c r="O441" t="e">
        <f t="shared" ca="1" si="61"/>
        <v>#NAME?</v>
      </c>
      <c r="P441" s="2" t="e">
        <f ca="1"/>
        <v>#NAME?</v>
      </c>
      <c r="Q441" t="e">
        <f ca="1"/>
        <v>#NAME?</v>
      </c>
      <c r="R441" t="e">
        <f ca="1"/>
        <v>#NAME?</v>
      </c>
      <c r="S441" t="e">
        <f ca="1"/>
        <v>#NAME?</v>
      </c>
      <c r="T441" t="e">
        <f ca="1"/>
        <v>#NAME?</v>
      </c>
      <c r="U441" t="e">
        <f ca="1"/>
        <v>#NAME?</v>
      </c>
      <c r="V441" t="e">
        <f ca="1"/>
        <v>#NAME?</v>
      </c>
      <c r="W441" t="e">
        <f ca="1"/>
        <v>#NAME?</v>
      </c>
      <c r="X441" t="e">
        <f ca="1"/>
        <v>#NAME?</v>
      </c>
      <c r="Y441" t="e">
        <f ca="1"/>
        <v>#NAME?</v>
      </c>
      <c r="Z441" t="e">
        <f ca="1"/>
        <v>#NAME?</v>
      </c>
      <c r="AA441" t="e">
        <f ca="1"/>
        <v>#NAME?</v>
      </c>
      <c r="AB441" t="e">
        <f ca="1"/>
        <v>#NAME?</v>
      </c>
      <c r="AD441" s="2">
        <f t="shared" ca="1" si="62"/>
        <v>0</v>
      </c>
      <c r="AE441" s="46">
        <f t="shared" ca="1" si="63"/>
        <v>0</v>
      </c>
      <c r="AG441" s="72" t="e">
        <f t="shared" ca="1" si="67"/>
        <v>#NAME?</v>
      </c>
      <c r="AH441" s="72" t="e">
        <f t="shared" ca="1" si="68"/>
        <v>#NAME?</v>
      </c>
      <c r="AI441" s="3" t="e">
        <f t="shared" ca="1" si="69"/>
        <v>#NAME?</v>
      </c>
    </row>
    <row r="442" spans="7:35" x14ac:dyDescent="0.25">
      <c r="G442" s="3">
        <f t="shared" ca="1" si="64"/>
        <v>58</v>
      </c>
      <c r="H442" s="105">
        <f t="shared" ca="1" si="66"/>
        <v>45348</v>
      </c>
      <c r="I442" s="132" t="e">
        <f>HLOOKUP($H$4,'Met Data'!$A$2:$F$368,G442,FALSE)</f>
        <v>#N/A</v>
      </c>
      <c r="J442" s="132" t="e">
        <f ca="1">HLOOKUP($H$4,'Met Data'!$H$2:$M$368,G442,FALSE)*L442</f>
        <v>#N/A</v>
      </c>
      <c r="K442" s="106" t="e">
        <f>HLOOKUP($H$4,'Met Data'!$O$2:$T$368,G442,FALSE)</f>
        <v>#N/A</v>
      </c>
      <c r="L442">
        <f t="shared" ca="1" si="60"/>
        <v>1</v>
      </c>
      <c r="N442" t="e">
        <f t="shared" ca="1" si="65"/>
        <v>#NAME?</v>
      </c>
      <c r="O442" t="e">
        <f t="shared" ca="1" si="61"/>
        <v>#NAME?</v>
      </c>
      <c r="P442" s="2" t="e">
        <f ca="1"/>
        <v>#NAME?</v>
      </c>
      <c r="Q442" t="e">
        <f ca="1"/>
        <v>#NAME?</v>
      </c>
      <c r="R442" t="e">
        <f ca="1"/>
        <v>#NAME?</v>
      </c>
      <c r="S442" t="e">
        <f ca="1"/>
        <v>#NAME?</v>
      </c>
      <c r="T442" t="e">
        <f ca="1"/>
        <v>#NAME?</v>
      </c>
      <c r="U442" t="e">
        <f ca="1"/>
        <v>#NAME?</v>
      </c>
      <c r="V442" t="e">
        <f ca="1"/>
        <v>#NAME?</v>
      </c>
      <c r="W442" t="e">
        <f ca="1"/>
        <v>#NAME?</v>
      </c>
      <c r="X442" t="e">
        <f ca="1"/>
        <v>#NAME?</v>
      </c>
      <c r="Y442" t="e">
        <f ca="1"/>
        <v>#NAME?</v>
      </c>
      <c r="Z442" t="e">
        <f ca="1"/>
        <v>#NAME?</v>
      </c>
      <c r="AA442" t="e">
        <f ca="1"/>
        <v>#NAME?</v>
      </c>
      <c r="AB442" t="e">
        <f ca="1"/>
        <v>#NAME?</v>
      </c>
      <c r="AD442" s="2">
        <f t="shared" ca="1" si="62"/>
        <v>0</v>
      </c>
      <c r="AE442" s="46">
        <f t="shared" ca="1" si="63"/>
        <v>0</v>
      </c>
      <c r="AG442" s="72" t="e">
        <f t="shared" ca="1" si="67"/>
        <v>#NAME?</v>
      </c>
      <c r="AH442" s="72" t="e">
        <f t="shared" ca="1" si="68"/>
        <v>#NAME?</v>
      </c>
      <c r="AI442" s="3" t="e">
        <f t="shared" ca="1" si="69"/>
        <v>#NAME?</v>
      </c>
    </row>
    <row r="443" spans="7:35" x14ac:dyDescent="0.25">
      <c r="G443" s="3">
        <f t="shared" ca="1" si="64"/>
        <v>59</v>
      </c>
      <c r="H443" s="105">
        <f t="shared" ca="1" si="66"/>
        <v>45349</v>
      </c>
      <c r="I443" s="132" t="e">
        <f>HLOOKUP($H$4,'Met Data'!$A$2:$F$368,G443,FALSE)</f>
        <v>#N/A</v>
      </c>
      <c r="J443" s="132" t="e">
        <f ca="1">HLOOKUP($H$4,'Met Data'!$H$2:$M$368,G443,FALSE)*L443</f>
        <v>#N/A</v>
      </c>
      <c r="K443" s="106" t="e">
        <f>HLOOKUP($H$4,'Met Data'!$O$2:$T$368,G443,FALSE)</f>
        <v>#N/A</v>
      </c>
      <c r="L443">
        <f t="shared" ca="1" si="60"/>
        <v>1</v>
      </c>
      <c r="N443" t="e">
        <f t="shared" ca="1" si="65"/>
        <v>#NAME?</v>
      </c>
      <c r="O443" t="e">
        <f t="shared" ca="1" si="61"/>
        <v>#NAME?</v>
      </c>
      <c r="P443" s="2" t="e">
        <f ca="1"/>
        <v>#NAME?</v>
      </c>
      <c r="Q443" t="e">
        <f ca="1"/>
        <v>#NAME?</v>
      </c>
      <c r="R443" t="e">
        <f ca="1"/>
        <v>#NAME?</v>
      </c>
      <c r="S443" t="e">
        <f ca="1"/>
        <v>#NAME?</v>
      </c>
      <c r="T443" t="e">
        <f ca="1"/>
        <v>#NAME?</v>
      </c>
      <c r="U443" t="e">
        <f ca="1"/>
        <v>#NAME?</v>
      </c>
      <c r="V443" t="e">
        <f ca="1"/>
        <v>#NAME?</v>
      </c>
      <c r="W443" t="e">
        <f ca="1"/>
        <v>#NAME?</v>
      </c>
      <c r="X443" t="e">
        <f ca="1"/>
        <v>#NAME?</v>
      </c>
      <c r="Y443" t="e">
        <f ca="1"/>
        <v>#NAME?</v>
      </c>
      <c r="Z443" t="e">
        <f ca="1"/>
        <v>#NAME?</v>
      </c>
      <c r="AA443" t="e">
        <f ca="1"/>
        <v>#NAME?</v>
      </c>
      <c r="AB443" t="e">
        <f ca="1"/>
        <v>#NAME?</v>
      </c>
      <c r="AD443" s="2">
        <f t="shared" ca="1" si="62"/>
        <v>0</v>
      </c>
      <c r="AE443" s="46">
        <f t="shared" ca="1" si="63"/>
        <v>0</v>
      </c>
      <c r="AG443" s="72" t="e">
        <f t="shared" ca="1" si="67"/>
        <v>#NAME?</v>
      </c>
      <c r="AH443" s="72" t="e">
        <f t="shared" ca="1" si="68"/>
        <v>#NAME?</v>
      </c>
      <c r="AI443" s="3" t="e">
        <f t="shared" ca="1" si="69"/>
        <v>#NAME?</v>
      </c>
    </row>
    <row r="444" spans="7:35" x14ac:dyDescent="0.25">
      <c r="G444" s="3">
        <f t="shared" ca="1" si="64"/>
        <v>60</v>
      </c>
      <c r="H444" s="105">
        <f t="shared" ca="1" si="66"/>
        <v>45350</v>
      </c>
      <c r="I444" s="132" t="e">
        <f>HLOOKUP($H$4,'Met Data'!$A$2:$F$368,G444,FALSE)</f>
        <v>#N/A</v>
      </c>
      <c r="J444" s="132" t="e">
        <f ca="1">HLOOKUP($H$4,'Met Data'!$H$2:$M$368,G444,FALSE)*L444</f>
        <v>#N/A</v>
      </c>
      <c r="K444" s="106" t="e">
        <f>HLOOKUP($H$4,'Met Data'!$O$2:$T$368,G444,FALSE)</f>
        <v>#N/A</v>
      </c>
      <c r="L444">
        <f t="shared" ca="1" si="60"/>
        <v>1</v>
      </c>
      <c r="N444" t="e">
        <f t="shared" ca="1" si="65"/>
        <v>#NAME?</v>
      </c>
      <c r="O444" t="e">
        <f t="shared" ca="1" si="61"/>
        <v>#NAME?</v>
      </c>
      <c r="P444" s="2" t="e">
        <f ca="1"/>
        <v>#NAME?</v>
      </c>
      <c r="Q444" t="e">
        <f ca="1"/>
        <v>#NAME?</v>
      </c>
      <c r="R444" t="e">
        <f ca="1"/>
        <v>#NAME?</v>
      </c>
      <c r="S444" t="e">
        <f ca="1"/>
        <v>#NAME?</v>
      </c>
      <c r="T444" t="e">
        <f ca="1"/>
        <v>#NAME?</v>
      </c>
      <c r="U444" t="e">
        <f ca="1"/>
        <v>#NAME?</v>
      </c>
      <c r="V444" t="e">
        <f ca="1"/>
        <v>#NAME?</v>
      </c>
      <c r="W444" t="e">
        <f ca="1"/>
        <v>#NAME?</v>
      </c>
      <c r="X444" t="e">
        <f ca="1"/>
        <v>#NAME?</v>
      </c>
      <c r="Y444" t="e">
        <f ca="1"/>
        <v>#NAME?</v>
      </c>
      <c r="Z444" t="e">
        <f ca="1"/>
        <v>#NAME?</v>
      </c>
      <c r="AA444" t="e">
        <f ca="1"/>
        <v>#NAME?</v>
      </c>
      <c r="AB444" t="e">
        <f ca="1"/>
        <v>#NAME?</v>
      </c>
      <c r="AD444" s="2">
        <f t="shared" ca="1" si="62"/>
        <v>0</v>
      </c>
      <c r="AE444" s="46">
        <f t="shared" ca="1" si="63"/>
        <v>0</v>
      </c>
      <c r="AG444" s="72" t="e">
        <f t="shared" ca="1" si="67"/>
        <v>#NAME?</v>
      </c>
      <c r="AH444" s="72" t="e">
        <f t="shared" ca="1" si="68"/>
        <v>#NAME?</v>
      </c>
      <c r="AI444" s="3" t="e">
        <f t="shared" ca="1" si="69"/>
        <v>#NAME?</v>
      </c>
    </row>
    <row r="445" spans="7:35" x14ac:dyDescent="0.25">
      <c r="G445" s="3">
        <f t="shared" ca="1" si="64"/>
        <v>61</v>
      </c>
      <c r="H445" s="105">
        <f t="shared" ca="1" si="66"/>
        <v>45351</v>
      </c>
      <c r="I445" s="132" t="e">
        <f>HLOOKUP($H$4,'Met Data'!$A$2:$F$368,G445,FALSE)</f>
        <v>#N/A</v>
      </c>
      <c r="J445" s="132" t="e">
        <f ca="1">HLOOKUP($H$4,'Met Data'!$H$2:$M$368,G445,FALSE)*L445</f>
        <v>#N/A</v>
      </c>
      <c r="K445" s="106" t="e">
        <f>HLOOKUP($H$4,'Met Data'!$O$2:$T$368,G445,FALSE)</f>
        <v>#N/A</v>
      </c>
      <c r="L445">
        <f t="shared" ca="1" si="60"/>
        <v>1</v>
      </c>
      <c r="N445" t="e">
        <f t="shared" ca="1" si="65"/>
        <v>#NAME?</v>
      </c>
      <c r="O445" t="e">
        <f t="shared" ca="1" si="61"/>
        <v>#NAME?</v>
      </c>
      <c r="P445" s="2" t="e">
        <f ca="1"/>
        <v>#NAME?</v>
      </c>
      <c r="Q445" t="e">
        <f ca="1"/>
        <v>#NAME?</v>
      </c>
      <c r="R445" t="e">
        <f ca="1"/>
        <v>#NAME?</v>
      </c>
      <c r="S445" t="e">
        <f ca="1"/>
        <v>#NAME?</v>
      </c>
      <c r="T445" t="e">
        <f ca="1"/>
        <v>#NAME?</v>
      </c>
      <c r="U445" t="e">
        <f ca="1"/>
        <v>#NAME?</v>
      </c>
      <c r="V445" t="e">
        <f ca="1"/>
        <v>#NAME?</v>
      </c>
      <c r="W445" t="e">
        <f ca="1"/>
        <v>#NAME?</v>
      </c>
      <c r="X445" t="e">
        <f ca="1"/>
        <v>#NAME?</v>
      </c>
      <c r="Y445" t="e">
        <f ca="1"/>
        <v>#NAME?</v>
      </c>
      <c r="Z445" t="e">
        <f ca="1"/>
        <v>#NAME?</v>
      </c>
      <c r="AA445" t="e">
        <f ca="1"/>
        <v>#NAME?</v>
      </c>
      <c r="AB445" t="e">
        <f ca="1"/>
        <v>#NAME?</v>
      </c>
      <c r="AD445" s="2">
        <f t="shared" ca="1" si="62"/>
        <v>0</v>
      </c>
      <c r="AE445" s="46">
        <f t="shared" ca="1" si="63"/>
        <v>0</v>
      </c>
      <c r="AG445" s="72" t="e">
        <f t="shared" ca="1" si="67"/>
        <v>#NAME?</v>
      </c>
      <c r="AH445" s="72" t="e">
        <f t="shared" ca="1" si="68"/>
        <v>#NAME?</v>
      </c>
      <c r="AI445" s="3" t="e">
        <f t="shared" ca="1" si="69"/>
        <v>#NAME?</v>
      </c>
    </row>
    <row r="446" spans="7:35" x14ac:dyDescent="0.25">
      <c r="G446" s="3">
        <f t="shared" ca="1" si="64"/>
        <v>62</v>
      </c>
      <c r="H446" s="105">
        <f t="shared" ca="1" si="66"/>
        <v>45352</v>
      </c>
      <c r="I446" s="132" t="e">
        <f>HLOOKUP($H$4,'Met Data'!$A$2:$F$368,G446,FALSE)</f>
        <v>#N/A</v>
      </c>
      <c r="J446" s="132" t="e">
        <f ca="1">HLOOKUP($H$4,'Met Data'!$H$2:$M$368,G446,FALSE)*L446</f>
        <v>#N/A</v>
      </c>
      <c r="K446" s="106" t="e">
        <f>HLOOKUP($H$4,'Met Data'!$O$2:$T$368,G446,FALSE)</f>
        <v>#N/A</v>
      </c>
      <c r="L446">
        <f t="shared" ca="1" si="60"/>
        <v>1</v>
      </c>
      <c r="N446" t="e">
        <f t="shared" ca="1" si="65"/>
        <v>#NAME?</v>
      </c>
      <c r="O446" t="e">
        <f t="shared" ca="1" si="61"/>
        <v>#NAME?</v>
      </c>
      <c r="P446" s="2" t="e">
        <f ca="1"/>
        <v>#NAME?</v>
      </c>
      <c r="Q446" t="e">
        <f ca="1"/>
        <v>#NAME?</v>
      </c>
      <c r="R446" t="e">
        <f ca="1"/>
        <v>#NAME?</v>
      </c>
      <c r="S446" t="e">
        <f ca="1"/>
        <v>#NAME?</v>
      </c>
      <c r="T446" t="e">
        <f ca="1"/>
        <v>#NAME?</v>
      </c>
      <c r="U446" t="e">
        <f ca="1"/>
        <v>#NAME?</v>
      </c>
      <c r="V446" t="e">
        <f ca="1"/>
        <v>#NAME?</v>
      </c>
      <c r="W446" t="e">
        <f ca="1"/>
        <v>#NAME?</v>
      </c>
      <c r="X446" t="e">
        <f ca="1"/>
        <v>#NAME?</v>
      </c>
      <c r="Y446" t="e">
        <f ca="1"/>
        <v>#NAME?</v>
      </c>
      <c r="Z446" t="e">
        <f ca="1"/>
        <v>#NAME?</v>
      </c>
      <c r="AA446" t="e">
        <f ca="1"/>
        <v>#NAME?</v>
      </c>
      <c r="AB446" t="e">
        <f ca="1"/>
        <v>#NAME?</v>
      </c>
      <c r="AD446" s="2">
        <f t="shared" ca="1" si="62"/>
        <v>0</v>
      </c>
      <c r="AE446" s="46">
        <f t="shared" ca="1" si="63"/>
        <v>0</v>
      </c>
      <c r="AG446" s="72" t="e">
        <f t="shared" ca="1" si="67"/>
        <v>#NAME?</v>
      </c>
      <c r="AH446" s="72" t="e">
        <f t="shared" ca="1" si="68"/>
        <v>#NAME?</v>
      </c>
      <c r="AI446" s="3" t="e">
        <f t="shared" ca="1" si="69"/>
        <v>#NAME?</v>
      </c>
    </row>
    <row r="447" spans="7:35" x14ac:dyDescent="0.25">
      <c r="G447" s="3">
        <f t="shared" ca="1" si="64"/>
        <v>63</v>
      </c>
      <c r="H447" s="105">
        <f t="shared" ca="1" si="66"/>
        <v>45353</v>
      </c>
      <c r="I447" s="132" t="e">
        <f>HLOOKUP($H$4,'Met Data'!$A$2:$F$368,G447,FALSE)</f>
        <v>#N/A</v>
      </c>
      <c r="J447" s="132" t="e">
        <f ca="1">HLOOKUP($H$4,'Met Data'!$H$2:$M$368,G447,FALSE)*L447</f>
        <v>#N/A</v>
      </c>
      <c r="K447" s="106" t="e">
        <f>HLOOKUP($H$4,'Met Data'!$O$2:$T$368,G447,FALSE)</f>
        <v>#N/A</v>
      </c>
      <c r="L447">
        <f t="shared" ca="1" si="60"/>
        <v>1</v>
      </c>
      <c r="N447" t="e">
        <f t="shared" ca="1" si="65"/>
        <v>#NAME?</v>
      </c>
      <c r="O447" t="e">
        <f t="shared" ca="1" si="61"/>
        <v>#NAME?</v>
      </c>
      <c r="P447" s="2" t="e">
        <f ca="1"/>
        <v>#NAME?</v>
      </c>
      <c r="Q447" t="e">
        <f ca="1"/>
        <v>#NAME?</v>
      </c>
      <c r="R447" t="e">
        <f ca="1"/>
        <v>#NAME?</v>
      </c>
      <c r="S447" t="e">
        <f ca="1"/>
        <v>#NAME?</v>
      </c>
      <c r="T447" t="e">
        <f ca="1"/>
        <v>#NAME?</v>
      </c>
      <c r="U447" t="e">
        <f ca="1"/>
        <v>#NAME?</v>
      </c>
      <c r="V447" t="e">
        <f ca="1"/>
        <v>#NAME?</v>
      </c>
      <c r="W447" t="e">
        <f ca="1"/>
        <v>#NAME?</v>
      </c>
      <c r="X447" t="e">
        <f ca="1"/>
        <v>#NAME?</v>
      </c>
      <c r="Y447" t="e">
        <f ca="1"/>
        <v>#NAME?</v>
      </c>
      <c r="Z447" t="e">
        <f ca="1"/>
        <v>#NAME?</v>
      </c>
      <c r="AA447" t="e">
        <f ca="1"/>
        <v>#NAME?</v>
      </c>
      <c r="AB447" t="e">
        <f ca="1"/>
        <v>#NAME?</v>
      </c>
      <c r="AD447" s="2">
        <f t="shared" ca="1" si="62"/>
        <v>0</v>
      </c>
      <c r="AE447" s="46">
        <f t="shared" ca="1" si="63"/>
        <v>0</v>
      </c>
      <c r="AG447" s="72" t="e">
        <f t="shared" ca="1" si="67"/>
        <v>#NAME?</v>
      </c>
      <c r="AH447" s="72" t="e">
        <f t="shared" ca="1" si="68"/>
        <v>#NAME?</v>
      </c>
      <c r="AI447" s="3" t="e">
        <f t="shared" ca="1" si="69"/>
        <v>#NAME?</v>
      </c>
    </row>
    <row r="448" spans="7:35" x14ac:dyDescent="0.25">
      <c r="G448" s="3">
        <f t="shared" ca="1" si="64"/>
        <v>64</v>
      </c>
      <c r="H448" s="105">
        <f t="shared" ca="1" si="66"/>
        <v>45354</v>
      </c>
      <c r="I448" s="132" t="e">
        <f>HLOOKUP($H$4,'Met Data'!$A$2:$F$368,G448,FALSE)</f>
        <v>#N/A</v>
      </c>
      <c r="J448" s="132" t="e">
        <f ca="1">HLOOKUP($H$4,'Met Data'!$H$2:$M$368,G448,FALSE)*L448</f>
        <v>#N/A</v>
      </c>
      <c r="K448" s="106" t="e">
        <f>HLOOKUP($H$4,'Met Data'!$O$2:$T$368,G448,FALSE)</f>
        <v>#N/A</v>
      </c>
      <c r="L448">
        <f t="shared" ca="1" si="60"/>
        <v>1</v>
      </c>
      <c r="N448" t="e">
        <f t="shared" ca="1" si="65"/>
        <v>#NAME?</v>
      </c>
      <c r="O448" t="e">
        <f t="shared" ca="1" si="61"/>
        <v>#NAME?</v>
      </c>
      <c r="P448" s="2" t="e">
        <f ca="1"/>
        <v>#NAME?</v>
      </c>
      <c r="Q448" t="e">
        <f ca="1"/>
        <v>#NAME?</v>
      </c>
      <c r="R448" t="e">
        <f ca="1"/>
        <v>#NAME?</v>
      </c>
      <c r="S448" t="e">
        <f ca="1"/>
        <v>#NAME?</v>
      </c>
      <c r="T448" t="e">
        <f ca="1"/>
        <v>#NAME?</v>
      </c>
      <c r="U448" t="e">
        <f ca="1"/>
        <v>#NAME?</v>
      </c>
      <c r="V448" t="e">
        <f ca="1"/>
        <v>#NAME?</v>
      </c>
      <c r="W448" t="e">
        <f ca="1"/>
        <v>#NAME?</v>
      </c>
      <c r="X448" t="e">
        <f ca="1"/>
        <v>#NAME?</v>
      </c>
      <c r="Y448" t="e">
        <f ca="1"/>
        <v>#NAME?</v>
      </c>
      <c r="Z448" t="e">
        <f ca="1"/>
        <v>#NAME?</v>
      </c>
      <c r="AA448" t="e">
        <f ca="1"/>
        <v>#NAME?</v>
      </c>
      <c r="AB448" t="e">
        <f ca="1"/>
        <v>#NAME?</v>
      </c>
      <c r="AD448" s="2">
        <f t="shared" ca="1" si="62"/>
        <v>0</v>
      </c>
      <c r="AE448" s="46">
        <f t="shared" ca="1" si="63"/>
        <v>0</v>
      </c>
      <c r="AG448" s="72" t="e">
        <f t="shared" ca="1" si="67"/>
        <v>#NAME?</v>
      </c>
      <c r="AH448" s="72" t="e">
        <f t="shared" ca="1" si="68"/>
        <v>#NAME?</v>
      </c>
      <c r="AI448" s="3" t="e">
        <f t="shared" ca="1" si="69"/>
        <v>#NAME?</v>
      </c>
    </row>
    <row r="449" spans="7:35" x14ac:dyDescent="0.25">
      <c r="G449" s="3">
        <f t="shared" ca="1" si="64"/>
        <v>65</v>
      </c>
      <c r="H449" s="105">
        <f t="shared" ca="1" si="66"/>
        <v>45355</v>
      </c>
      <c r="I449" s="132" t="e">
        <f>HLOOKUP($H$4,'Met Data'!$A$2:$F$368,G449,FALSE)</f>
        <v>#N/A</v>
      </c>
      <c r="J449" s="132" t="e">
        <f ca="1">HLOOKUP($H$4,'Met Data'!$H$2:$M$368,G449,FALSE)*L449</f>
        <v>#N/A</v>
      </c>
      <c r="K449" s="106" t="e">
        <f>HLOOKUP($H$4,'Met Data'!$O$2:$T$368,G449,FALSE)</f>
        <v>#N/A</v>
      </c>
      <c r="L449">
        <f t="shared" ca="1" si="60"/>
        <v>1</v>
      </c>
      <c r="N449" t="e">
        <f t="shared" ca="1" si="65"/>
        <v>#NAME?</v>
      </c>
      <c r="O449" t="e">
        <f t="shared" ca="1" si="61"/>
        <v>#NAME?</v>
      </c>
      <c r="P449" s="2" t="e">
        <f ca="1"/>
        <v>#NAME?</v>
      </c>
      <c r="Q449" t="e">
        <f ca="1"/>
        <v>#NAME?</v>
      </c>
      <c r="R449" t="e">
        <f ca="1"/>
        <v>#NAME?</v>
      </c>
      <c r="S449" t="e">
        <f ca="1"/>
        <v>#NAME?</v>
      </c>
      <c r="T449" t="e">
        <f ca="1"/>
        <v>#NAME?</v>
      </c>
      <c r="U449" t="e">
        <f ca="1"/>
        <v>#NAME?</v>
      </c>
      <c r="V449" t="e">
        <f ca="1"/>
        <v>#NAME?</v>
      </c>
      <c r="W449" t="e">
        <f ca="1"/>
        <v>#NAME?</v>
      </c>
      <c r="X449" t="e">
        <f ca="1"/>
        <v>#NAME?</v>
      </c>
      <c r="Y449" t="e">
        <f ca="1"/>
        <v>#NAME?</v>
      </c>
      <c r="Z449" t="e">
        <f ca="1"/>
        <v>#NAME?</v>
      </c>
      <c r="AA449" t="e">
        <f ca="1"/>
        <v>#NAME?</v>
      </c>
      <c r="AB449" t="e">
        <f ca="1"/>
        <v>#NAME?</v>
      </c>
      <c r="AD449" s="2">
        <f t="shared" ca="1" si="62"/>
        <v>0</v>
      </c>
      <c r="AE449" s="46">
        <f t="shared" ca="1" si="63"/>
        <v>0</v>
      </c>
      <c r="AG449" s="72" t="e">
        <f t="shared" ca="1" si="67"/>
        <v>#NAME?</v>
      </c>
      <c r="AH449" s="72" t="e">
        <f t="shared" ca="1" si="68"/>
        <v>#NAME?</v>
      </c>
      <c r="AI449" s="3" t="e">
        <f t="shared" ca="1" si="69"/>
        <v>#NAME?</v>
      </c>
    </row>
    <row r="450" spans="7:35" x14ac:dyDescent="0.25">
      <c r="G450" s="3">
        <f t="shared" ca="1" si="64"/>
        <v>66</v>
      </c>
      <c r="H450" s="105">
        <f t="shared" ca="1" si="66"/>
        <v>45356</v>
      </c>
      <c r="I450" s="132" t="e">
        <f>HLOOKUP($H$4,'Met Data'!$A$2:$F$368,G450,FALSE)</f>
        <v>#N/A</v>
      </c>
      <c r="J450" s="132" t="e">
        <f ca="1">HLOOKUP($H$4,'Met Data'!$H$2:$M$368,G450,FALSE)*L450</f>
        <v>#N/A</v>
      </c>
      <c r="K450" s="106" t="e">
        <f>HLOOKUP($H$4,'Met Data'!$O$2:$T$368,G450,FALSE)</f>
        <v>#N/A</v>
      </c>
      <c r="L450">
        <f t="shared" ca="1" si="60"/>
        <v>1</v>
      </c>
      <c r="N450" t="e">
        <f t="shared" ca="1" si="65"/>
        <v>#NAME?</v>
      </c>
      <c r="O450" t="e">
        <f t="shared" ca="1" si="61"/>
        <v>#NAME?</v>
      </c>
      <c r="P450" s="2" t="e">
        <f ca="1"/>
        <v>#NAME?</v>
      </c>
      <c r="Q450" t="e">
        <f ca="1"/>
        <v>#NAME?</v>
      </c>
      <c r="R450" t="e">
        <f ca="1"/>
        <v>#NAME?</v>
      </c>
      <c r="S450" t="e">
        <f ca="1"/>
        <v>#NAME?</v>
      </c>
      <c r="T450" t="e">
        <f ca="1"/>
        <v>#NAME?</v>
      </c>
      <c r="U450" t="e">
        <f ca="1"/>
        <v>#NAME?</v>
      </c>
      <c r="V450" t="e">
        <f ca="1"/>
        <v>#NAME?</v>
      </c>
      <c r="W450" t="e">
        <f ca="1"/>
        <v>#NAME?</v>
      </c>
      <c r="X450" t="e">
        <f ca="1"/>
        <v>#NAME?</v>
      </c>
      <c r="Y450" t="e">
        <f ca="1"/>
        <v>#NAME?</v>
      </c>
      <c r="Z450" t="e">
        <f ca="1"/>
        <v>#NAME?</v>
      </c>
      <c r="AA450" t="e">
        <f ca="1"/>
        <v>#NAME?</v>
      </c>
      <c r="AB450" t="e">
        <f ca="1"/>
        <v>#NAME?</v>
      </c>
      <c r="AD450" s="2">
        <f t="shared" ca="1" si="62"/>
        <v>0</v>
      </c>
      <c r="AE450" s="46">
        <f t="shared" ca="1" si="63"/>
        <v>0</v>
      </c>
      <c r="AG450" s="72" t="e">
        <f t="shared" ca="1" si="67"/>
        <v>#NAME?</v>
      </c>
      <c r="AH450" s="72" t="e">
        <f t="shared" ca="1" si="68"/>
        <v>#NAME?</v>
      </c>
      <c r="AI450" s="3" t="e">
        <f t="shared" ca="1" si="69"/>
        <v>#NAME?</v>
      </c>
    </row>
    <row r="451" spans="7:35" x14ac:dyDescent="0.25">
      <c r="G451" s="3">
        <f t="shared" ca="1" si="64"/>
        <v>67</v>
      </c>
      <c r="H451" s="105">
        <f t="shared" ca="1" si="66"/>
        <v>45357</v>
      </c>
      <c r="I451" s="132" t="e">
        <f>HLOOKUP($H$4,'Met Data'!$A$2:$F$368,G451,FALSE)</f>
        <v>#N/A</v>
      </c>
      <c r="J451" s="132" t="e">
        <f ca="1">HLOOKUP($H$4,'Met Data'!$H$2:$M$368,G451,FALSE)*L451</f>
        <v>#N/A</v>
      </c>
      <c r="K451" s="106" t="e">
        <f>HLOOKUP($H$4,'Met Data'!$O$2:$T$368,G451,FALSE)</f>
        <v>#N/A</v>
      </c>
      <c r="L451">
        <f t="shared" ca="1" si="60"/>
        <v>1</v>
      </c>
      <c r="N451" t="e">
        <f t="shared" ca="1" si="65"/>
        <v>#NAME?</v>
      </c>
      <c r="O451" t="e">
        <f t="shared" ca="1" si="61"/>
        <v>#NAME?</v>
      </c>
      <c r="P451" s="2" t="e">
        <f ca="1"/>
        <v>#NAME?</v>
      </c>
      <c r="Q451" t="e">
        <f ca="1"/>
        <v>#NAME?</v>
      </c>
      <c r="R451" t="e">
        <f ca="1"/>
        <v>#NAME?</v>
      </c>
      <c r="S451" t="e">
        <f ca="1"/>
        <v>#NAME?</v>
      </c>
      <c r="T451" t="e">
        <f ca="1"/>
        <v>#NAME?</v>
      </c>
      <c r="U451" t="e">
        <f ca="1"/>
        <v>#NAME?</v>
      </c>
      <c r="V451" t="e">
        <f ca="1"/>
        <v>#NAME?</v>
      </c>
      <c r="W451" t="e">
        <f ca="1"/>
        <v>#NAME?</v>
      </c>
      <c r="X451" t="e">
        <f ca="1"/>
        <v>#NAME?</v>
      </c>
      <c r="Y451" t="e">
        <f ca="1"/>
        <v>#NAME?</v>
      </c>
      <c r="Z451" t="e">
        <f ca="1"/>
        <v>#NAME?</v>
      </c>
      <c r="AA451" t="e">
        <f ca="1"/>
        <v>#NAME?</v>
      </c>
      <c r="AB451" t="e">
        <f ca="1"/>
        <v>#NAME?</v>
      </c>
      <c r="AD451" s="2">
        <f t="shared" ca="1" si="62"/>
        <v>0</v>
      </c>
      <c r="AE451" s="46">
        <f t="shared" ca="1" si="63"/>
        <v>0</v>
      </c>
      <c r="AG451" s="72" t="e">
        <f t="shared" ca="1" si="67"/>
        <v>#NAME?</v>
      </c>
      <c r="AH451" s="72" t="e">
        <f t="shared" ca="1" si="68"/>
        <v>#NAME?</v>
      </c>
      <c r="AI451" s="3" t="e">
        <f t="shared" ca="1" si="69"/>
        <v>#NAME?</v>
      </c>
    </row>
    <row r="452" spans="7:35" x14ac:dyDescent="0.25">
      <c r="G452" s="3">
        <f t="shared" ca="1" si="64"/>
        <v>68</v>
      </c>
      <c r="H452" s="105">
        <f t="shared" ca="1" si="66"/>
        <v>45358</v>
      </c>
      <c r="I452" s="132" t="e">
        <f>HLOOKUP($H$4,'Met Data'!$A$2:$F$368,G452,FALSE)</f>
        <v>#N/A</v>
      </c>
      <c r="J452" s="132" t="e">
        <f ca="1">HLOOKUP($H$4,'Met Data'!$H$2:$M$368,G452,FALSE)*L452</f>
        <v>#N/A</v>
      </c>
      <c r="K452" s="106" t="e">
        <f>HLOOKUP($H$4,'Met Data'!$O$2:$T$368,G452,FALSE)</f>
        <v>#N/A</v>
      </c>
      <c r="L452">
        <f t="shared" ca="1" si="60"/>
        <v>1</v>
      </c>
      <c r="N452" t="e">
        <f t="shared" ca="1" si="65"/>
        <v>#NAME?</v>
      </c>
      <c r="O452" t="e">
        <f t="shared" ca="1" si="61"/>
        <v>#NAME?</v>
      </c>
      <c r="P452" s="2" t="e">
        <f ca="1"/>
        <v>#NAME?</v>
      </c>
      <c r="Q452" t="e">
        <f ca="1"/>
        <v>#NAME?</v>
      </c>
      <c r="R452" t="e">
        <f ca="1"/>
        <v>#NAME?</v>
      </c>
      <c r="S452" t="e">
        <f ca="1"/>
        <v>#NAME?</v>
      </c>
      <c r="T452" t="e">
        <f ca="1"/>
        <v>#NAME?</v>
      </c>
      <c r="U452" t="e">
        <f ca="1"/>
        <v>#NAME?</v>
      </c>
      <c r="V452" t="e">
        <f ca="1"/>
        <v>#NAME?</v>
      </c>
      <c r="W452" t="e">
        <f ca="1"/>
        <v>#NAME?</v>
      </c>
      <c r="X452" t="e">
        <f ca="1"/>
        <v>#NAME?</v>
      </c>
      <c r="Y452" t="e">
        <f ca="1"/>
        <v>#NAME?</v>
      </c>
      <c r="Z452" t="e">
        <f ca="1"/>
        <v>#NAME?</v>
      </c>
      <c r="AA452" t="e">
        <f ca="1"/>
        <v>#NAME?</v>
      </c>
      <c r="AB452" t="e">
        <f ca="1"/>
        <v>#NAME?</v>
      </c>
      <c r="AD452" s="2">
        <f t="shared" ca="1" si="62"/>
        <v>0</v>
      </c>
      <c r="AE452" s="46">
        <f t="shared" ca="1" si="63"/>
        <v>0</v>
      </c>
      <c r="AG452" s="72" t="e">
        <f t="shared" ca="1" si="67"/>
        <v>#NAME?</v>
      </c>
      <c r="AH452" s="72" t="e">
        <f t="shared" ca="1" si="68"/>
        <v>#NAME?</v>
      </c>
      <c r="AI452" s="3" t="e">
        <f t="shared" ca="1" si="69"/>
        <v>#NAME?</v>
      </c>
    </row>
    <row r="453" spans="7:35" x14ac:dyDescent="0.25">
      <c r="G453" s="3">
        <f t="shared" ca="1" si="64"/>
        <v>69</v>
      </c>
      <c r="H453" s="105">
        <f t="shared" ca="1" si="66"/>
        <v>45359</v>
      </c>
      <c r="I453" s="132" t="e">
        <f>HLOOKUP($H$4,'Met Data'!$A$2:$F$368,G453,FALSE)</f>
        <v>#N/A</v>
      </c>
      <c r="J453" s="132" t="e">
        <f ca="1">HLOOKUP($H$4,'Met Data'!$H$2:$M$368,G453,FALSE)*L453</f>
        <v>#N/A</v>
      </c>
      <c r="K453" s="106" t="e">
        <f>HLOOKUP($H$4,'Met Data'!$O$2:$T$368,G453,FALSE)</f>
        <v>#N/A</v>
      </c>
      <c r="L453">
        <f t="shared" ca="1" si="60"/>
        <v>1</v>
      </c>
      <c r="N453" t="e">
        <f t="shared" ca="1" si="65"/>
        <v>#NAME?</v>
      </c>
      <c r="O453" t="e">
        <f t="shared" ca="1" si="61"/>
        <v>#NAME?</v>
      </c>
      <c r="P453" s="2" t="e">
        <f ca="1"/>
        <v>#NAME?</v>
      </c>
      <c r="Q453" t="e">
        <f ca="1"/>
        <v>#NAME?</v>
      </c>
      <c r="R453" t="e">
        <f ca="1"/>
        <v>#NAME?</v>
      </c>
      <c r="S453" t="e">
        <f ca="1"/>
        <v>#NAME?</v>
      </c>
      <c r="T453" t="e">
        <f ca="1"/>
        <v>#NAME?</v>
      </c>
      <c r="U453" t="e">
        <f ca="1"/>
        <v>#NAME?</v>
      </c>
      <c r="V453" t="e">
        <f ca="1"/>
        <v>#NAME?</v>
      </c>
      <c r="W453" t="e">
        <f ca="1"/>
        <v>#NAME?</v>
      </c>
      <c r="X453" t="e">
        <f ca="1"/>
        <v>#NAME?</v>
      </c>
      <c r="Y453" t="e">
        <f ca="1"/>
        <v>#NAME?</v>
      </c>
      <c r="Z453" t="e">
        <f ca="1"/>
        <v>#NAME?</v>
      </c>
      <c r="AA453" t="e">
        <f ca="1"/>
        <v>#NAME?</v>
      </c>
      <c r="AB453" t="e">
        <f ca="1"/>
        <v>#NAME?</v>
      </c>
      <c r="AD453" s="2">
        <f t="shared" ca="1" si="62"/>
        <v>0</v>
      </c>
      <c r="AE453" s="46">
        <f t="shared" ca="1" si="63"/>
        <v>0</v>
      </c>
      <c r="AG453" s="72" t="e">
        <f t="shared" ca="1" si="67"/>
        <v>#NAME?</v>
      </c>
      <c r="AH453" s="72" t="e">
        <f t="shared" ca="1" si="68"/>
        <v>#NAME?</v>
      </c>
      <c r="AI453" s="3" t="e">
        <f t="shared" ca="1" si="69"/>
        <v>#NAME?</v>
      </c>
    </row>
    <row r="454" spans="7:35" x14ac:dyDescent="0.25">
      <c r="G454" s="3">
        <f t="shared" ca="1" si="64"/>
        <v>70</v>
      </c>
      <c r="H454" s="105">
        <f t="shared" ca="1" si="66"/>
        <v>45360</v>
      </c>
      <c r="I454" s="132" t="e">
        <f>HLOOKUP($H$4,'Met Data'!$A$2:$F$368,G454,FALSE)</f>
        <v>#N/A</v>
      </c>
      <c r="J454" s="132" t="e">
        <f ca="1">HLOOKUP($H$4,'Met Data'!$H$2:$M$368,G454,FALSE)*L454</f>
        <v>#N/A</v>
      </c>
      <c r="K454" s="106" t="e">
        <f>HLOOKUP($H$4,'Met Data'!$O$2:$T$368,G454,FALSE)</f>
        <v>#N/A</v>
      </c>
      <c r="L454">
        <f t="shared" ref="L454:L495" ca="1" si="70">IF(H454&lt;$B$31,$J$3,$J$4)</f>
        <v>1</v>
      </c>
      <c r="N454" t="e">
        <f t="shared" ca="1" si="65"/>
        <v>#NAME?</v>
      </c>
      <c r="O454" t="e">
        <f t="shared" ref="O454:O495" ca="1" si="71">AND(IF(P454&gt;($P$2-1),TRUE,FALSE),IF(P454&lt;($P$3+1),TRUE,FALSE))</f>
        <v>#NAME?</v>
      </c>
      <c r="P454" s="2" t="e">
        <f ca="1"/>
        <v>#NAME?</v>
      </c>
      <c r="Q454" t="e">
        <f ca="1"/>
        <v>#NAME?</v>
      </c>
      <c r="R454" t="e">
        <f ca="1"/>
        <v>#NAME?</v>
      </c>
      <c r="S454" t="e">
        <f ca="1"/>
        <v>#NAME?</v>
      </c>
      <c r="T454" t="e">
        <f ca="1"/>
        <v>#NAME?</v>
      </c>
      <c r="U454" t="e">
        <f ca="1"/>
        <v>#NAME?</v>
      </c>
      <c r="V454" t="e">
        <f ca="1"/>
        <v>#NAME?</v>
      </c>
      <c r="W454" t="e">
        <f ca="1"/>
        <v>#NAME?</v>
      </c>
      <c r="X454" t="e">
        <f ca="1"/>
        <v>#NAME?</v>
      </c>
      <c r="Y454" t="e">
        <f ca="1"/>
        <v>#NAME?</v>
      </c>
      <c r="Z454" t="e">
        <f ca="1"/>
        <v>#NAME?</v>
      </c>
      <c r="AA454" t="e">
        <f ca="1"/>
        <v>#NAME?</v>
      </c>
      <c r="AB454" t="e">
        <f ca="1"/>
        <v>#NAME?</v>
      </c>
      <c r="AD454" s="2">
        <f t="shared" ref="AD454:AD495" ca="1" si="72">IFERROR(P454,$AD$4)</f>
        <v>0</v>
      </c>
      <c r="AE454" s="46">
        <f t="shared" ref="AE454:AE495" ca="1" si="73">IFERROR(U454,0)</f>
        <v>0</v>
      </c>
      <c r="AG454" s="72" t="e">
        <f t="shared" ca="1" si="67"/>
        <v>#NAME?</v>
      </c>
      <c r="AH454" s="72" t="e">
        <f t="shared" ca="1" si="68"/>
        <v>#NAME?</v>
      </c>
      <c r="AI454" s="3" t="e">
        <f t="shared" ca="1" si="69"/>
        <v>#NAME?</v>
      </c>
    </row>
    <row r="455" spans="7:35" x14ac:dyDescent="0.25">
      <c r="G455" s="3">
        <f t="shared" ref="G455:G495" ca="1" si="74">H455-DATE(YEAR(H455),1,0)+1</f>
        <v>71</v>
      </c>
      <c r="H455" s="105">
        <f t="shared" ca="1" si="66"/>
        <v>45361</v>
      </c>
      <c r="I455" s="132" t="e">
        <f>HLOOKUP($H$4,'Met Data'!$A$2:$F$368,G455,FALSE)</f>
        <v>#N/A</v>
      </c>
      <c r="J455" s="132" t="e">
        <f ca="1">HLOOKUP($H$4,'Met Data'!$H$2:$M$368,G455,FALSE)*L455</f>
        <v>#N/A</v>
      </c>
      <c r="K455" s="106" t="e">
        <f>HLOOKUP($H$4,'Met Data'!$O$2:$T$368,G455,FALSE)</f>
        <v>#N/A</v>
      </c>
      <c r="L455">
        <f t="shared" ca="1" si="70"/>
        <v>1</v>
      </c>
      <c r="N455" t="e">
        <f t="shared" ref="N455:N495" ca="1" si="75">IF(P455&lt;$P$3,TRUE,FALSE)</f>
        <v>#NAME?</v>
      </c>
      <c r="O455" t="e">
        <f t="shared" ca="1" si="71"/>
        <v>#NAME?</v>
      </c>
      <c r="P455" s="2" t="e">
        <f ca="1"/>
        <v>#NAME?</v>
      </c>
      <c r="Q455" t="e">
        <f ca="1"/>
        <v>#NAME?</v>
      </c>
      <c r="R455" t="e">
        <f ca="1"/>
        <v>#NAME?</v>
      </c>
      <c r="S455" t="e">
        <f ca="1"/>
        <v>#NAME?</v>
      </c>
      <c r="T455" t="e">
        <f ca="1"/>
        <v>#NAME?</v>
      </c>
      <c r="U455" t="e">
        <f ca="1"/>
        <v>#NAME?</v>
      </c>
      <c r="V455" t="e">
        <f ca="1"/>
        <v>#NAME?</v>
      </c>
      <c r="W455" t="e">
        <f ca="1"/>
        <v>#NAME?</v>
      </c>
      <c r="X455" t="e">
        <f ca="1"/>
        <v>#NAME?</v>
      </c>
      <c r="Y455" t="e">
        <f ca="1"/>
        <v>#NAME?</v>
      </c>
      <c r="Z455" t="e">
        <f ca="1"/>
        <v>#NAME?</v>
      </c>
      <c r="AA455" t="e">
        <f ca="1"/>
        <v>#NAME?</v>
      </c>
      <c r="AB455" t="e">
        <f ca="1"/>
        <v>#NAME?</v>
      </c>
      <c r="AD455" s="2">
        <f t="shared" ca="1" si="72"/>
        <v>0</v>
      </c>
      <c r="AE455" s="46">
        <f t="shared" ca="1" si="73"/>
        <v>0</v>
      </c>
      <c r="AG455" s="72" t="e">
        <f t="shared" ca="1" si="67"/>
        <v>#NAME?</v>
      </c>
      <c r="AH455" s="72" t="e">
        <f t="shared" ca="1" si="68"/>
        <v>#NAME?</v>
      </c>
      <c r="AI455" s="3" t="e">
        <f t="shared" ca="1" si="69"/>
        <v>#NAME?</v>
      </c>
    </row>
    <row r="456" spans="7:35" x14ac:dyDescent="0.25">
      <c r="G456" s="3">
        <f t="shared" ca="1" si="74"/>
        <v>72</v>
      </c>
      <c r="H456" s="105">
        <f t="shared" ref="H456:H495" ca="1" si="76">H455+1</f>
        <v>45362</v>
      </c>
      <c r="I456" s="132" t="e">
        <f>HLOOKUP($H$4,'Met Data'!$A$2:$F$368,G456,FALSE)</f>
        <v>#N/A</v>
      </c>
      <c r="J456" s="132" t="e">
        <f ca="1">HLOOKUP($H$4,'Met Data'!$H$2:$M$368,G456,FALSE)*L456</f>
        <v>#N/A</v>
      </c>
      <c r="K456" s="106" t="e">
        <f>HLOOKUP($H$4,'Met Data'!$O$2:$T$368,G456,FALSE)</f>
        <v>#N/A</v>
      </c>
      <c r="L456">
        <f t="shared" ca="1" si="70"/>
        <v>1</v>
      </c>
      <c r="N456" t="e">
        <f t="shared" ca="1" si="75"/>
        <v>#NAME?</v>
      </c>
      <c r="O456" t="e">
        <f t="shared" ca="1" si="71"/>
        <v>#NAME?</v>
      </c>
      <c r="P456" s="2" t="e">
        <f ca="1"/>
        <v>#NAME?</v>
      </c>
      <c r="Q456" t="e">
        <f ca="1"/>
        <v>#NAME?</v>
      </c>
      <c r="R456" t="e">
        <f ca="1"/>
        <v>#NAME?</v>
      </c>
      <c r="S456" t="e">
        <f ca="1"/>
        <v>#NAME?</v>
      </c>
      <c r="T456" t="e">
        <f ca="1"/>
        <v>#NAME?</v>
      </c>
      <c r="U456" t="e">
        <f ca="1"/>
        <v>#NAME?</v>
      </c>
      <c r="V456" t="e">
        <f ca="1"/>
        <v>#NAME?</v>
      </c>
      <c r="W456" t="e">
        <f ca="1"/>
        <v>#NAME?</v>
      </c>
      <c r="X456" t="e">
        <f ca="1"/>
        <v>#NAME?</v>
      </c>
      <c r="Y456" t="e">
        <f ca="1"/>
        <v>#NAME?</v>
      </c>
      <c r="Z456" t="e">
        <f ca="1"/>
        <v>#NAME?</v>
      </c>
      <c r="AA456" t="e">
        <f ca="1"/>
        <v>#NAME?</v>
      </c>
      <c r="AB456" t="e">
        <f ca="1"/>
        <v>#NAME?</v>
      </c>
      <c r="AD456" s="2">
        <f t="shared" ca="1" si="72"/>
        <v>0</v>
      </c>
      <c r="AE456" s="46">
        <f t="shared" ca="1" si="73"/>
        <v>0</v>
      </c>
      <c r="AG456" s="72" t="e">
        <f t="shared" ca="1" si="67"/>
        <v>#NAME?</v>
      </c>
      <c r="AH456" s="72" t="e">
        <f t="shared" ca="1" si="68"/>
        <v>#NAME?</v>
      </c>
      <c r="AI456" s="3" t="e">
        <f t="shared" ca="1" si="69"/>
        <v>#NAME?</v>
      </c>
    </row>
    <row r="457" spans="7:35" x14ac:dyDescent="0.25">
      <c r="G457" s="3">
        <f t="shared" ca="1" si="74"/>
        <v>73</v>
      </c>
      <c r="H457" s="105">
        <f t="shared" ca="1" si="76"/>
        <v>45363</v>
      </c>
      <c r="I457" s="132" t="e">
        <f>HLOOKUP($H$4,'Met Data'!$A$2:$F$368,G457,FALSE)</f>
        <v>#N/A</v>
      </c>
      <c r="J457" s="132" t="e">
        <f ca="1">HLOOKUP($H$4,'Met Data'!$H$2:$M$368,G457,FALSE)*L457</f>
        <v>#N/A</v>
      </c>
      <c r="K457" s="106" t="e">
        <f>HLOOKUP($H$4,'Met Data'!$O$2:$T$368,G457,FALSE)</f>
        <v>#N/A</v>
      </c>
      <c r="L457">
        <f t="shared" ca="1" si="70"/>
        <v>1</v>
      </c>
      <c r="N457" t="e">
        <f t="shared" ca="1" si="75"/>
        <v>#NAME?</v>
      </c>
      <c r="O457" t="e">
        <f t="shared" ca="1" si="71"/>
        <v>#NAME?</v>
      </c>
      <c r="P457" s="2" t="e">
        <f ca="1"/>
        <v>#NAME?</v>
      </c>
      <c r="Q457" t="e">
        <f ca="1"/>
        <v>#NAME?</v>
      </c>
      <c r="R457" t="e">
        <f ca="1"/>
        <v>#NAME?</v>
      </c>
      <c r="S457" t="e">
        <f ca="1"/>
        <v>#NAME?</v>
      </c>
      <c r="T457" t="e">
        <f ca="1"/>
        <v>#NAME?</v>
      </c>
      <c r="U457" t="e">
        <f ca="1"/>
        <v>#NAME?</v>
      </c>
      <c r="V457" t="e">
        <f ca="1"/>
        <v>#NAME?</v>
      </c>
      <c r="W457" t="e">
        <f ca="1"/>
        <v>#NAME?</v>
      </c>
      <c r="X457" t="e">
        <f ca="1"/>
        <v>#NAME?</v>
      </c>
      <c r="Y457" t="e">
        <f ca="1"/>
        <v>#NAME?</v>
      </c>
      <c r="Z457" t="e">
        <f ca="1"/>
        <v>#NAME?</v>
      </c>
      <c r="AA457" t="e">
        <f ca="1"/>
        <v>#NAME?</v>
      </c>
      <c r="AB457" t="e">
        <f ca="1"/>
        <v>#NAME?</v>
      </c>
      <c r="AD457" s="2">
        <f t="shared" ca="1" si="72"/>
        <v>0</v>
      </c>
      <c r="AE457" s="46">
        <f t="shared" ca="1" si="73"/>
        <v>0</v>
      </c>
      <c r="AG457" s="72" t="e">
        <f t="shared" ca="1" si="67"/>
        <v>#NAME?</v>
      </c>
      <c r="AH457" s="72" t="e">
        <f t="shared" ca="1" si="68"/>
        <v>#NAME?</v>
      </c>
      <c r="AI457" s="3" t="e">
        <f t="shared" ca="1" si="69"/>
        <v>#NAME?</v>
      </c>
    </row>
    <row r="458" spans="7:35" x14ac:dyDescent="0.25">
      <c r="G458" s="3">
        <f t="shared" ca="1" si="74"/>
        <v>74</v>
      </c>
      <c r="H458" s="105">
        <f t="shared" ca="1" si="76"/>
        <v>45364</v>
      </c>
      <c r="I458" s="132" t="e">
        <f>HLOOKUP($H$4,'Met Data'!$A$2:$F$368,G458,FALSE)</f>
        <v>#N/A</v>
      </c>
      <c r="J458" s="132" t="e">
        <f ca="1">HLOOKUP($H$4,'Met Data'!$H$2:$M$368,G458,FALSE)*L458</f>
        <v>#N/A</v>
      </c>
      <c r="K458" s="106" t="e">
        <f>HLOOKUP($H$4,'Met Data'!$O$2:$T$368,G458,FALSE)</f>
        <v>#N/A</v>
      </c>
      <c r="L458">
        <f t="shared" ca="1" si="70"/>
        <v>1</v>
      </c>
      <c r="N458" t="e">
        <f t="shared" ca="1" si="75"/>
        <v>#NAME?</v>
      </c>
      <c r="O458" t="e">
        <f t="shared" ca="1" si="71"/>
        <v>#NAME?</v>
      </c>
      <c r="P458" s="2" t="e">
        <f ca="1"/>
        <v>#NAME?</v>
      </c>
      <c r="Q458" t="e">
        <f ca="1"/>
        <v>#NAME?</v>
      </c>
      <c r="R458" t="e">
        <f ca="1"/>
        <v>#NAME?</v>
      </c>
      <c r="S458" t="e">
        <f ca="1"/>
        <v>#NAME?</v>
      </c>
      <c r="T458" t="e">
        <f ca="1"/>
        <v>#NAME?</v>
      </c>
      <c r="U458" t="e">
        <f ca="1"/>
        <v>#NAME?</v>
      </c>
      <c r="V458" t="e">
        <f ca="1"/>
        <v>#NAME?</v>
      </c>
      <c r="W458" t="e">
        <f ca="1"/>
        <v>#NAME?</v>
      </c>
      <c r="X458" t="e">
        <f ca="1"/>
        <v>#NAME?</v>
      </c>
      <c r="Y458" t="e">
        <f ca="1"/>
        <v>#NAME?</v>
      </c>
      <c r="Z458" t="e">
        <f ca="1"/>
        <v>#NAME?</v>
      </c>
      <c r="AA458" t="e">
        <f ca="1"/>
        <v>#NAME?</v>
      </c>
      <c r="AB458" t="e">
        <f ca="1"/>
        <v>#NAME?</v>
      </c>
      <c r="AD458" s="2">
        <f t="shared" ca="1" si="72"/>
        <v>0</v>
      </c>
      <c r="AE458" s="46">
        <f t="shared" ca="1" si="73"/>
        <v>0</v>
      </c>
      <c r="AG458" s="72" t="e">
        <f t="shared" ca="1" si="67"/>
        <v>#NAME?</v>
      </c>
      <c r="AH458" s="72" t="e">
        <f t="shared" ca="1" si="68"/>
        <v>#NAME?</v>
      </c>
      <c r="AI458" s="3" t="e">
        <f t="shared" ca="1" si="69"/>
        <v>#NAME?</v>
      </c>
    </row>
    <row r="459" spans="7:35" x14ac:dyDescent="0.25">
      <c r="G459" s="3">
        <f t="shared" ca="1" si="74"/>
        <v>75</v>
      </c>
      <c r="H459" s="105">
        <f t="shared" ca="1" si="76"/>
        <v>45365</v>
      </c>
      <c r="I459" s="132" t="e">
        <f>HLOOKUP($H$4,'Met Data'!$A$2:$F$368,G459,FALSE)</f>
        <v>#N/A</v>
      </c>
      <c r="J459" s="132" t="e">
        <f ca="1">HLOOKUP($H$4,'Met Data'!$H$2:$M$368,G459,FALSE)*L459</f>
        <v>#N/A</v>
      </c>
      <c r="K459" s="106" t="e">
        <f>HLOOKUP($H$4,'Met Data'!$O$2:$T$368,G459,FALSE)</f>
        <v>#N/A</v>
      </c>
      <c r="L459">
        <f t="shared" ca="1" si="70"/>
        <v>1</v>
      </c>
      <c r="N459" t="e">
        <f t="shared" ca="1" si="75"/>
        <v>#NAME?</v>
      </c>
      <c r="O459" t="e">
        <f t="shared" ca="1" si="71"/>
        <v>#NAME?</v>
      </c>
      <c r="P459" s="2" t="e">
        <f ca="1"/>
        <v>#NAME?</v>
      </c>
      <c r="Q459" t="e">
        <f ca="1"/>
        <v>#NAME?</v>
      </c>
      <c r="R459" t="e">
        <f ca="1"/>
        <v>#NAME?</v>
      </c>
      <c r="S459" t="e">
        <f ca="1"/>
        <v>#NAME?</v>
      </c>
      <c r="T459" t="e">
        <f ca="1"/>
        <v>#NAME?</v>
      </c>
      <c r="U459" t="e">
        <f ca="1"/>
        <v>#NAME?</v>
      </c>
      <c r="V459" t="e">
        <f ca="1"/>
        <v>#NAME?</v>
      </c>
      <c r="W459" t="e">
        <f ca="1"/>
        <v>#NAME?</v>
      </c>
      <c r="X459" t="e">
        <f ca="1"/>
        <v>#NAME?</v>
      </c>
      <c r="Y459" t="e">
        <f ca="1"/>
        <v>#NAME?</v>
      </c>
      <c r="Z459" t="e">
        <f ca="1"/>
        <v>#NAME?</v>
      </c>
      <c r="AA459" t="e">
        <f ca="1"/>
        <v>#NAME?</v>
      </c>
      <c r="AB459" t="e">
        <f ca="1"/>
        <v>#NAME?</v>
      </c>
      <c r="AD459" s="2">
        <f t="shared" ca="1" si="72"/>
        <v>0</v>
      </c>
      <c r="AE459" s="46">
        <f t="shared" ca="1" si="73"/>
        <v>0</v>
      </c>
      <c r="AG459" s="72" t="e">
        <f t="shared" ref="AG459:AG495" ca="1" si="77">Q458+S459+T459+U459</f>
        <v>#NAME?</v>
      </c>
      <c r="AH459" s="72" t="e">
        <f t="shared" ref="AH459:AH495" ca="1" si="78">Q459+R459+X459</f>
        <v>#NAME?</v>
      </c>
      <c r="AI459" s="3" t="e">
        <f t="shared" ref="AI459:AI495" ca="1" si="79">AH459-AG459</f>
        <v>#NAME?</v>
      </c>
    </row>
    <row r="460" spans="7:35" x14ac:dyDescent="0.25">
      <c r="G460" s="3">
        <f t="shared" ca="1" si="74"/>
        <v>76</v>
      </c>
      <c r="H460" s="105">
        <f t="shared" ca="1" si="76"/>
        <v>45366</v>
      </c>
      <c r="I460" s="132" t="e">
        <f>HLOOKUP($H$4,'Met Data'!$A$2:$F$368,G460,FALSE)</f>
        <v>#N/A</v>
      </c>
      <c r="J460" s="132" t="e">
        <f ca="1">HLOOKUP($H$4,'Met Data'!$H$2:$M$368,G460,FALSE)*L460</f>
        <v>#N/A</v>
      </c>
      <c r="K460" s="106" t="e">
        <f>HLOOKUP($H$4,'Met Data'!$O$2:$T$368,G460,FALSE)</f>
        <v>#N/A</v>
      </c>
      <c r="L460">
        <f t="shared" ca="1" si="70"/>
        <v>1</v>
      </c>
      <c r="N460" t="e">
        <f t="shared" ca="1" si="75"/>
        <v>#NAME?</v>
      </c>
      <c r="O460" t="e">
        <f t="shared" ca="1" si="71"/>
        <v>#NAME?</v>
      </c>
      <c r="P460" s="2" t="e">
        <f ca="1"/>
        <v>#NAME?</v>
      </c>
      <c r="Q460" t="e">
        <f ca="1"/>
        <v>#NAME?</v>
      </c>
      <c r="R460" t="e">
        <f ca="1"/>
        <v>#NAME?</v>
      </c>
      <c r="S460" t="e">
        <f ca="1"/>
        <v>#NAME?</v>
      </c>
      <c r="T460" t="e">
        <f ca="1"/>
        <v>#NAME?</v>
      </c>
      <c r="U460" t="e">
        <f ca="1"/>
        <v>#NAME?</v>
      </c>
      <c r="V460" t="e">
        <f ca="1"/>
        <v>#NAME?</v>
      </c>
      <c r="W460" t="e">
        <f ca="1"/>
        <v>#NAME?</v>
      </c>
      <c r="X460" t="e">
        <f ca="1"/>
        <v>#NAME?</v>
      </c>
      <c r="Y460" t="e">
        <f ca="1"/>
        <v>#NAME?</v>
      </c>
      <c r="Z460" t="e">
        <f ca="1"/>
        <v>#NAME?</v>
      </c>
      <c r="AA460" t="e">
        <f ca="1"/>
        <v>#NAME?</v>
      </c>
      <c r="AB460" t="e">
        <f ca="1"/>
        <v>#NAME?</v>
      </c>
      <c r="AD460" s="2">
        <f t="shared" ca="1" si="72"/>
        <v>0</v>
      </c>
      <c r="AE460" s="46">
        <f t="shared" ca="1" si="73"/>
        <v>0</v>
      </c>
      <c r="AG460" s="72" t="e">
        <f t="shared" ca="1" si="77"/>
        <v>#NAME?</v>
      </c>
      <c r="AH460" s="72" t="e">
        <f t="shared" ca="1" si="78"/>
        <v>#NAME?</v>
      </c>
      <c r="AI460" s="3" t="e">
        <f t="shared" ca="1" si="79"/>
        <v>#NAME?</v>
      </c>
    </row>
    <row r="461" spans="7:35" x14ac:dyDescent="0.25">
      <c r="G461" s="3">
        <f t="shared" ca="1" si="74"/>
        <v>77</v>
      </c>
      <c r="H461" s="105">
        <f t="shared" ca="1" si="76"/>
        <v>45367</v>
      </c>
      <c r="I461" s="132" t="e">
        <f>HLOOKUP($H$4,'Met Data'!$A$2:$F$368,G461,FALSE)</f>
        <v>#N/A</v>
      </c>
      <c r="J461" s="132" t="e">
        <f ca="1">HLOOKUP($H$4,'Met Data'!$H$2:$M$368,G461,FALSE)*L461</f>
        <v>#N/A</v>
      </c>
      <c r="K461" s="106" t="e">
        <f>HLOOKUP($H$4,'Met Data'!$O$2:$T$368,G461,FALSE)</f>
        <v>#N/A</v>
      </c>
      <c r="L461">
        <f t="shared" ca="1" si="70"/>
        <v>1</v>
      </c>
      <c r="N461" t="e">
        <f t="shared" ca="1" si="75"/>
        <v>#NAME?</v>
      </c>
      <c r="O461" t="e">
        <f t="shared" ca="1" si="71"/>
        <v>#NAME?</v>
      </c>
      <c r="P461" s="2" t="e">
        <f ca="1"/>
        <v>#NAME?</v>
      </c>
      <c r="Q461" t="e">
        <f ca="1"/>
        <v>#NAME?</v>
      </c>
      <c r="R461" t="e">
        <f ca="1"/>
        <v>#NAME?</v>
      </c>
      <c r="S461" t="e">
        <f ca="1"/>
        <v>#NAME?</v>
      </c>
      <c r="T461" t="e">
        <f ca="1"/>
        <v>#NAME?</v>
      </c>
      <c r="U461" t="e">
        <f ca="1"/>
        <v>#NAME?</v>
      </c>
      <c r="V461" t="e">
        <f ca="1"/>
        <v>#NAME?</v>
      </c>
      <c r="W461" t="e">
        <f ca="1"/>
        <v>#NAME?</v>
      </c>
      <c r="X461" t="e">
        <f ca="1"/>
        <v>#NAME?</v>
      </c>
      <c r="Y461" t="e">
        <f ca="1"/>
        <v>#NAME?</v>
      </c>
      <c r="Z461" t="e">
        <f ca="1"/>
        <v>#NAME?</v>
      </c>
      <c r="AA461" t="e">
        <f ca="1"/>
        <v>#NAME?</v>
      </c>
      <c r="AB461" t="e">
        <f ca="1"/>
        <v>#NAME?</v>
      </c>
      <c r="AD461" s="2">
        <f t="shared" ca="1" si="72"/>
        <v>0</v>
      </c>
      <c r="AE461" s="46">
        <f t="shared" ca="1" si="73"/>
        <v>0</v>
      </c>
      <c r="AG461" s="72" t="e">
        <f t="shared" ca="1" si="77"/>
        <v>#NAME?</v>
      </c>
      <c r="AH461" s="72" t="e">
        <f t="shared" ca="1" si="78"/>
        <v>#NAME?</v>
      </c>
      <c r="AI461" s="3" t="e">
        <f t="shared" ca="1" si="79"/>
        <v>#NAME?</v>
      </c>
    </row>
    <row r="462" spans="7:35" x14ac:dyDescent="0.25">
      <c r="G462" s="3">
        <f t="shared" ca="1" si="74"/>
        <v>78</v>
      </c>
      <c r="H462" s="105">
        <f t="shared" ca="1" si="76"/>
        <v>45368</v>
      </c>
      <c r="I462" s="132" t="e">
        <f>HLOOKUP($H$4,'Met Data'!$A$2:$F$368,G462,FALSE)</f>
        <v>#N/A</v>
      </c>
      <c r="J462" s="132" t="e">
        <f ca="1">HLOOKUP($H$4,'Met Data'!$H$2:$M$368,G462,FALSE)*L462</f>
        <v>#N/A</v>
      </c>
      <c r="K462" s="106" t="e">
        <f>HLOOKUP($H$4,'Met Data'!$O$2:$T$368,G462,FALSE)</f>
        <v>#N/A</v>
      </c>
      <c r="L462">
        <f t="shared" ca="1" si="70"/>
        <v>1</v>
      </c>
      <c r="N462" t="e">
        <f t="shared" ca="1" si="75"/>
        <v>#NAME?</v>
      </c>
      <c r="O462" t="e">
        <f t="shared" ca="1" si="71"/>
        <v>#NAME?</v>
      </c>
      <c r="P462" s="2" t="e">
        <f ca="1"/>
        <v>#NAME?</v>
      </c>
      <c r="Q462" t="e">
        <f ca="1"/>
        <v>#NAME?</v>
      </c>
      <c r="R462" t="e">
        <f ca="1"/>
        <v>#NAME?</v>
      </c>
      <c r="S462" t="e">
        <f ca="1"/>
        <v>#NAME?</v>
      </c>
      <c r="T462" t="e">
        <f ca="1"/>
        <v>#NAME?</v>
      </c>
      <c r="U462" t="e">
        <f ca="1"/>
        <v>#NAME?</v>
      </c>
      <c r="V462" t="e">
        <f ca="1"/>
        <v>#NAME?</v>
      </c>
      <c r="W462" t="e">
        <f ca="1"/>
        <v>#NAME?</v>
      </c>
      <c r="X462" t="e">
        <f ca="1"/>
        <v>#NAME?</v>
      </c>
      <c r="Y462" t="e">
        <f ca="1"/>
        <v>#NAME?</v>
      </c>
      <c r="Z462" t="e">
        <f ca="1"/>
        <v>#NAME?</v>
      </c>
      <c r="AA462" t="e">
        <f ca="1"/>
        <v>#NAME?</v>
      </c>
      <c r="AB462" t="e">
        <f ca="1"/>
        <v>#NAME?</v>
      </c>
      <c r="AD462" s="2">
        <f t="shared" ca="1" si="72"/>
        <v>0</v>
      </c>
      <c r="AE462" s="46">
        <f t="shared" ca="1" si="73"/>
        <v>0</v>
      </c>
      <c r="AG462" s="72" t="e">
        <f t="shared" ca="1" si="77"/>
        <v>#NAME?</v>
      </c>
      <c r="AH462" s="72" t="e">
        <f t="shared" ca="1" si="78"/>
        <v>#NAME?</v>
      </c>
      <c r="AI462" s="3" t="e">
        <f t="shared" ca="1" si="79"/>
        <v>#NAME?</v>
      </c>
    </row>
    <row r="463" spans="7:35" x14ac:dyDescent="0.25">
      <c r="G463" s="3">
        <f t="shared" ca="1" si="74"/>
        <v>79</v>
      </c>
      <c r="H463" s="105">
        <f t="shared" ca="1" si="76"/>
        <v>45369</v>
      </c>
      <c r="I463" s="132" t="e">
        <f>HLOOKUP($H$4,'Met Data'!$A$2:$F$368,G463,FALSE)</f>
        <v>#N/A</v>
      </c>
      <c r="J463" s="132" t="e">
        <f ca="1">HLOOKUP($H$4,'Met Data'!$H$2:$M$368,G463,FALSE)*L463</f>
        <v>#N/A</v>
      </c>
      <c r="K463" s="106" t="e">
        <f>HLOOKUP($H$4,'Met Data'!$O$2:$T$368,G463,FALSE)</f>
        <v>#N/A</v>
      </c>
      <c r="L463">
        <f t="shared" ca="1" si="70"/>
        <v>1</v>
      </c>
      <c r="N463" t="e">
        <f t="shared" ca="1" si="75"/>
        <v>#NAME?</v>
      </c>
      <c r="O463" t="e">
        <f t="shared" ca="1" si="71"/>
        <v>#NAME?</v>
      </c>
      <c r="P463" s="2" t="e">
        <f ca="1"/>
        <v>#NAME?</v>
      </c>
      <c r="Q463" t="e">
        <f ca="1"/>
        <v>#NAME?</v>
      </c>
      <c r="R463" t="e">
        <f ca="1"/>
        <v>#NAME?</v>
      </c>
      <c r="S463" t="e">
        <f ca="1"/>
        <v>#NAME?</v>
      </c>
      <c r="T463" t="e">
        <f ca="1"/>
        <v>#NAME?</v>
      </c>
      <c r="U463" t="e">
        <f ca="1"/>
        <v>#NAME?</v>
      </c>
      <c r="V463" t="e">
        <f ca="1"/>
        <v>#NAME?</v>
      </c>
      <c r="W463" t="e">
        <f ca="1"/>
        <v>#NAME?</v>
      </c>
      <c r="X463" t="e">
        <f ca="1"/>
        <v>#NAME?</v>
      </c>
      <c r="Y463" t="e">
        <f ca="1"/>
        <v>#NAME?</v>
      </c>
      <c r="Z463" t="e">
        <f ca="1"/>
        <v>#NAME?</v>
      </c>
      <c r="AA463" t="e">
        <f ca="1"/>
        <v>#NAME?</v>
      </c>
      <c r="AB463" t="e">
        <f ca="1"/>
        <v>#NAME?</v>
      </c>
      <c r="AD463" s="2">
        <f t="shared" ca="1" si="72"/>
        <v>0</v>
      </c>
      <c r="AE463" s="46">
        <f t="shared" ca="1" si="73"/>
        <v>0</v>
      </c>
      <c r="AG463" s="72" t="e">
        <f t="shared" ca="1" si="77"/>
        <v>#NAME?</v>
      </c>
      <c r="AH463" s="72" t="e">
        <f t="shared" ca="1" si="78"/>
        <v>#NAME?</v>
      </c>
      <c r="AI463" s="3" t="e">
        <f t="shared" ca="1" si="79"/>
        <v>#NAME?</v>
      </c>
    </row>
    <row r="464" spans="7:35" x14ac:dyDescent="0.25">
      <c r="G464" s="3">
        <f t="shared" ca="1" si="74"/>
        <v>80</v>
      </c>
      <c r="H464" s="105">
        <f t="shared" ca="1" si="76"/>
        <v>45370</v>
      </c>
      <c r="I464" s="132" t="e">
        <f>HLOOKUP($H$4,'Met Data'!$A$2:$F$368,G464,FALSE)</f>
        <v>#N/A</v>
      </c>
      <c r="J464" s="132" t="e">
        <f ca="1">HLOOKUP($H$4,'Met Data'!$H$2:$M$368,G464,FALSE)*L464</f>
        <v>#N/A</v>
      </c>
      <c r="K464" s="106" t="e">
        <f>HLOOKUP($H$4,'Met Data'!$O$2:$T$368,G464,FALSE)</f>
        <v>#N/A</v>
      </c>
      <c r="L464">
        <f t="shared" ca="1" si="70"/>
        <v>1</v>
      </c>
      <c r="N464" t="e">
        <f t="shared" ca="1" si="75"/>
        <v>#NAME?</v>
      </c>
      <c r="O464" t="e">
        <f t="shared" ca="1" si="71"/>
        <v>#NAME?</v>
      </c>
      <c r="P464" s="2" t="e">
        <f ca="1"/>
        <v>#NAME?</v>
      </c>
      <c r="Q464" t="e">
        <f ca="1"/>
        <v>#NAME?</v>
      </c>
      <c r="R464" t="e">
        <f ca="1"/>
        <v>#NAME?</v>
      </c>
      <c r="S464" t="e">
        <f ca="1"/>
        <v>#NAME?</v>
      </c>
      <c r="T464" t="e">
        <f ca="1"/>
        <v>#NAME?</v>
      </c>
      <c r="U464" t="e">
        <f ca="1"/>
        <v>#NAME?</v>
      </c>
      <c r="V464" t="e">
        <f ca="1"/>
        <v>#NAME?</v>
      </c>
      <c r="W464" t="e">
        <f ca="1"/>
        <v>#NAME?</v>
      </c>
      <c r="X464" t="e">
        <f ca="1"/>
        <v>#NAME?</v>
      </c>
      <c r="Y464" t="e">
        <f ca="1"/>
        <v>#NAME?</v>
      </c>
      <c r="Z464" t="e">
        <f ca="1"/>
        <v>#NAME?</v>
      </c>
      <c r="AA464" t="e">
        <f ca="1"/>
        <v>#NAME?</v>
      </c>
      <c r="AB464" t="e">
        <f ca="1"/>
        <v>#NAME?</v>
      </c>
      <c r="AD464" s="2">
        <f t="shared" ca="1" si="72"/>
        <v>0</v>
      </c>
      <c r="AE464" s="46">
        <f t="shared" ca="1" si="73"/>
        <v>0</v>
      </c>
      <c r="AG464" s="72" t="e">
        <f t="shared" ca="1" si="77"/>
        <v>#NAME?</v>
      </c>
      <c r="AH464" s="72" t="e">
        <f t="shared" ca="1" si="78"/>
        <v>#NAME?</v>
      </c>
      <c r="AI464" s="3" t="e">
        <f t="shared" ca="1" si="79"/>
        <v>#NAME?</v>
      </c>
    </row>
    <row r="465" spans="7:35" x14ac:dyDescent="0.25">
      <c r="G465" s="3">
        <f t="shared" ca="1" si="74"/>
        <v>81</v>
      </c>
      <c r="H465" s="105">
        <f t="shared" ca="1" si="76"/>
        <v>45371</v>
      </c>
      <c r="I465" s="132" t="e">
        <f>HLOOKUP($H$4,'Met Data'!$A$2:$F$368,G465,FALSE)</f>
        <v>#N/A</v>
      </c>
      <c r="J465" s="132" t="e">
        <f ca="1">HLOOKUP($H$4,'Met Data'!$H$2:$M$368,G465,FALSE)*L465</f>
        <v>#N/A</v>
      </c>
      <c r="K465" s="106" t="e">
        <f>HLOOKUP($H$4,'Met Data'!$O$2:$T$368,G465,FALSE)</f>
        <v>#N/A</v>
      </c>
      <c r="L465">
        <f t="shared" ca="1" si="70"/>
        <v>1</v>
      </c>
      <c r="N465" t="e">
        <f t="shared" ca="1" si="75"/>
        <v>#NAME?</v>
      </c>
      <c r="O465" t="e">
        <f t="shared" ca="1" si="71"/>
        <v>#NAME?</v>
      </c>
      <c r="P465" s="2" t="e">
        <f ca="1"/>
        <v>#NAME?</v>
      </c>
      <c r="Q465" t="e">
        <f ca="1"/>
        <v>#NAME?</v>
      </c>
      <c r="R465" t="e">
        <f ca="1"/>
        <v>#NAME?</v>
      </c>
      <c r="S465" t="e">
        <f ca="1"/>
        <v>#NAME?</v>
      </c>
      <c r="T465" t="e">
        <f ca="1"/>
        <v>#NAME?</v>
      </c>
      <c r="U465" t="e">
        <f ca="1"/>
        <v>#NAME?</v>
      </c>
      <c r="V465" t="e">
        <f ca="1"/>
        <v>#NAME?</v>
      </c>
      <c r="W465" t="e">
        <f ca="1"/>
        <v>#NAME?</v>
      </c>
      <c r="X465" t="e">
        <f ca="1"/>
        <v>#NAME?</v>
      </c>
      <c r="Y465" t="e">
        <f ca="1"/>
        <v>#NAME?</v>
      </c>
      <c r="Z465" t="e">
        <f ca="1"/>
        <v>#NAME?</v>
      </c>
      <c r="AA465" t="e">
        <f ca="1"/>
        <v>#NAME?</v>
      </c>
      <c r="AB465" t="e">
        <f ca="1"/>
        <v>#NAME?</v>
      </c>
      <c r="AD465" s="2">
        <f t="shared" ca="1" si="72"/>
        <v>0</v>
      </c>
      <c r="AE465" s="46">
        <f t="shared" ca="1" si="73"/>
        <v>0</v>
      </c>
      <c r="AG465" s="72" t="e">
        <f t="shared" ca="1" si="77"/>
        <v>#NAME?</v>
      </c>
      <c r="AH465" s="72" t="e">
        <f t="shared" ca="1" si="78"/>
        <v>#NAME?</v>
      </c>
      <c r="AI465" s="3" t="e">
        <f t="shared" ca="1" si="79"/>
        <v>#NAME?</v>
      </c>
    </row>
    <row r="466" spans="7:35" x14ac:dyDescent="0.25">
      <c r="G466" s="3">
        <f t="shared" ca="1" si="74"/>
        <v>82</v>
      </c>
      <c r="H466" s="105">
        <f t="shared" ca="1" si="76"/>
        <v>45372</v>
      </c>
      <c r="I466" s="132" t="e">
        <f>HLOOKUP($H$4,'Met Data'!$A$2:$F$368,G466,FALSE)</f>
        <v>#N/A</v>
      </c>
      <c r="J466" s="132" t="e">
        <f ca="1">HLOOKUP($H$4,'Met Data'!$H$2:$M$368,G466,FALSE)*L466</f>
        <v>#N/A</v>
      </c>
      <c r="K466" s="106" t="e">
        <f>HLOOKUP($H$4,'Met Data'!$O$2:$T$368,G466,FALSE)</f>
        <v>#N/A</v>
      </c>
      <c r="L466">
        <f t="shared" ca="1" si="70"/>
        <v>1</v>
      </c>
      <c r="N466" t="e">
        <f t="shared" ca="1" si="75"/>
        <v>#NAME?</v>
      </c>
      <c r="O466" t="e">
        <f t="shared" ca="1" si="71"/>
        <v>#NAME?</v>
      </c>
      <c r="P466" s="2" t="e">
        <f ca="1"/>
        <v>#NAME?</v>
      </c>
      <c r="Q466" t="e">
        <f ca="1"/>
        <v>#NAME?</v>
      </c>
      <c r="R466" t="e">
        <f ca="1"/>
        <v>#NAME?</v>
      </c>
      <c r="S466" t="e">
        <f ca="1"/>
        <v>#NAME?</v>
      </c>
      <c r="T466" t="e">
        <f ca="1"/>
        <v>#NAME?</v>
      </c>
      <c r="U466" t="e">
        <f ca="1"/>
        <v>#NAME?</v>
      </c>
      <c r="V466" t="e">
        <f ca="1"/>
        <v>#NAME?</v>
      </c>
      <c r="W466" t="e">
        <f ca="1"/>
        <v>#NAME?</v>
      </c>
      <c r="X466" t="e">
        <f ca="1"/>
        <v>#NAME?</v>
      </c>
      <c r="Y466" t="e">
        <f ca="1"/>
        <v>#NAME?</v>
      </c>
      <c r="Z466" t="e">
        <f ca="1"/>
        <v>#NAME?</v>
      </c>
      <c r="AA466" t="e">
        <f ca="1"/>
        <v>#NAME?</v>
      </c>
      <c r="AB466" t="e">
        <f ca="1"/>
        <v>#NAME?</v>
      </c>
      <c r="AD466" s="2">
        <f t="shared" ca="1" si="72"/>
        <v>0</v>
      </c>
      <c r="AE466" s="46">
        <f t="shared" ca="1" si="73"/>
        <v>0</v>
      </c>
      <c r="AG466" s="72" t="e">
        <f t="shared" ca="1" si="77"/>
        <v>#NAME?</v>
      </c>
      <c r="AH466" s="72" t="e">
        <f t="shared" ca="1" si="78"/>
        <v>#NAME?</v>
      </c>
      <c r="AI466" s="3" t="e">
        <f t="shared" ca="1" si="79"/>
        <v>#NAME?</v>
      </c>
    </row>
    <row r="467" spans="7:35" x14ac:dyDescent="0.25">
      <c r="G467" s="3">
        <f t="shared" ca="1" si="74"/>
        <v>83</v>
      </c>
      <c r="H467" s="105">
        <f t="shared" ca="1" si="76"/>
        <v>45373</v>
      </c>
      <c r="I467" s="132" t="e">
        <f>HLOOKUP($H$4,'Met Data'!$A$2:$F$368,G467,FALSE)</f>
        <v>#N/A</v>
      </c>
      <c r="J467" s="132" t="e">
        <f ca="1">HLOOKUP($H$4,'Met Data'!$H$2:$M$368,G467,FALSE)*L467</f>
        <v>#N/A</v>
      </c>
      <c r="K467" s="106" t="e">
        <f>HLOOKUP($H$4,'Met Data'!$O$2:$T$368,G467,FALSE)</f>
        <v>#N/A</v>
      </c>
      <c r="L467">
        <f t="shared" ca="1" si="70"/>
        <v>1</v>
      </c>
      <c r="N467" t="e">
        <f t="shared" ca="1" si="75"/>
        <v>#NAME?</v>
      </c>
      <c r="O467" t="e">
        <f t="shared" ca="1" si="71"/>
        <v>#NAME?</v>
      </c>
      <c r="P467" s="2" t="e">
        <f ca="1"/>
        <v>#NAME?</v>
      </c>
      <c r="Q467" t="e">
        <f ca="1"/>
        <v>#NAME?</v>
      </c>
      <c r="R467" t="e">
        <f ca="1"/>
        <v>#NAME?</v>
      </c>
      <c r="S467" t="e">
        <f ca="1"/>
        <v>#NAME?</v>
      </c>
      <c r="T467" t="e">
        <f ca="1"/>
        <v>#NAME?</v>
      </c>
      <c r="U467" t="e">
        <f ca="1"/>
        <v>#NAME?</v>
      </c>
      <c r="V467" t="e">
        <f ca="1"/>
        <v>#NAME?</v>
      </c>
      <c r="W467" t="e">
        <f ca="1"/>
        <v>#NAME?</v>
      </c>
      <c r="X467" t="e">
        <f ca="1"/>
        <v>#NAME?</v>
      </c>
      <c r="Y467" t="e">
        <f ca="1"/>
        <v>#NAME?</v>
      </c>
      <c r="Z467" t="e">
        <f ca="1"/>
        <v>#NAME?</v>
      </c>
      <c r="AA467" t="e">
        <f ca="1"/>
        <v>#NAME?</v>
      </c>
      <c r="AB467" t="e">
        <f ca="1"/>
        <v>#NAME?</v>
      </c>
      <c r="AD467" s="2">
        <f t="shared" ca="1" si="72"/>
        <v>0</v>
      </c>
      <c r="AE467" s="46">
        <f t="shared" ca="1" si="73"/>
        <v>0</v>
      </c>
      <c r="AG467" s="72" t="e">
        <f t="shared" ca="1" si="77"/>
        <v>#NAME?</v>
      </c>
      <c r="AH467" s="72" t="e">
        <f t="shared" ca="1" si="78"/>
        <v>#NAME?</v>
      </c>
      <c r="AI467" s="3" t="e">
        <f t="shared" ca="1" si="79"/>
        <v>#NAME?</v>
      </c>
    </row>
    <row r="468" spans="7:35" x14ac:dyDescent="0.25">
      <c r="G468" s="3">
        <f t="shared" ca="1" si="74"/>
        <v>84</v>
      </c>
      <c r="H468" s="105">
        <f t="shared" ca="1" si="76"/>
        <v>45374</v>
      </c>
      <c r="I468" s="132" t="e">
        <f>HLOOKUP($H$4,'Met Data'!$A$2:$F$368,G468,FALSE)</f>
        <v>#N/A</v>
      </c>
      <c r="J468" s="132" t="e">
        <f ca="1">HLOOKUP($H$4,'Met Data'!$H$2:$M$368,G468,FALSE)*L468</f>
        <v>#N/A</v>
      </c>
      <c r="K468" s="106" t="e">
        <f>HLOOKUP($H$4,'Met Data'!$O$2:$T$368,G468,FALSE)</f>
        <v>#N/A</v>
      </c>
      <c r="L468">
        <f t="shared" ca="1" si="70"/>
        <v>1</v>
      </c>
      <c r="N468" t="e">
        <f t="shared" ca="1" si="75"/>
        <v>#NAME?</v>
      </c>
      <c r="O468" t="e">
        <f t="shared" ca="1" si="71"/>
        <v>#NAME?</v>
      </c>
      <c r="P468" s="2" t="e">
        <f ca="1"/>
        <v>#NAME?</v>
      </c>
      <c r="Q468" t="e">
        <f ca="1"/>
        <v>#NAME?</v>
      </c>
      <c r="R468" t="e">
        <f ca="1"/>
        <v>#NAME?</v>
      </c>
      <c r="S468" t="e">
        <f ca="1"/>
        <v>#NAME?</v>
      </c>
      <c r="T468" t="e">
        <f ca="1"/>
        <v>#NAME?</v>
      </c>
      <c r="U468" t="e">
        <f ca="1"/>
        <v>#NAME?</v>
      </c>
      <c r="V468" t="e">
        <f ca="1"/>
        <v>#NAME?</v>
      </c>
      <c r="W468" t="e">
        <f ca="1"/>
        <v>#NAME?</v>
      </c>
      <c r="X468" t="e">
        <f ca="1"/>
        <v>#NAME?</v>
      </c>
      <c r="Y468" t="e">
        <f ca="1"/>
        <v>#NAME?</v>
      </c>
      <c r="Z468" t="e">
        <f ca="1"/>
        <v>#NAME?</v>
      </c>
      <c r="AA468" t="e">
        <f ca="1"/>
        <v>#NAME?</v>
      </c>
      <c r="AB468" t="e">
        <f ca="1"/>
        <v>#NAME?</v>
      </c>
      <c r="AD468" s="2">
        <f t="shared" ca="1" si="72"/>
        <v>0</v>
      </c>
      <c r="AE468" s="46">
        <f t="shared" ca="1" si="73"/>
        <v>0</v>
      </c>
      <c r="AG468" s="72" t="e">
        <f t="shared" ca="1" si="77"/>
        <v>#NAME?</v>
      </c>
      <c r="AH468" s="72" t="e">
        <f t="shared" ca="1" si="78"/>
        <v>#NAME?</v>
      </c>
      <c r="AI468" s="3" t="e">
        <f t="shared" ca="1" si="79"/>
        <v>#NAME?</v>
      </c>
    </row>
    <row r="469" spans="7:35" x14ac:dyDescent="0.25">
      <c r="G469" s="3">
        <f t="shared" ca="1" si="74"/>
        <v>85</v>
      </c>
      <c r="H469" s="105">
        <f t="shared" ca="1" si="76"/>
        <v>45375</v>
      </c>
      <c r="I469" s="132" t="e">
        <f>HLOOKUP($H$4,'Met Data'!$A$2:$F$368,G469,FALSE)</f>
        <v>#N/A</v>
      </c>
      <c r="J469" s="132" t="e">
        <f ca="1">HLOOKUP($H$4,'Met Data'!$H$2:$M$368,G469,FALSE)*L469</f>
        <v>#N/A</v>
      </c>
      <c r="K469" s="106" t="e">
        <f>HLOOKUP($H$4,'Met Data'!$O$2:$T$368,G469,FALSE)</f>
        <v>#N/A</v>
      </c>
      <c r="L469">
        <f t="shared" ca="1" si="70"/>
        <v>1</v>
      </c>
      <c r="N469" t="e">
        <f t="shared" ca="1" si="75"/>
        <v>#NAME?</v>
      </c>
      <c r="O469" t="e">
        <f t="shared" ca="1" si="71"/>
        <v>#NAME?</v>
      </c>
      <c r="P469" s="2" t="e">
        <f ca="1"/>
        <v>#NAME?</v>
      </c>
      <c r="Q469" t="e">
        <f ca="1"/>
        <v>#NAME?</v>
      </c>
      <c r="R469" t="e">
        <f ca="1"/>
        <v>#NAME?</v>
      </c>
      <c r="S469" t="e">
        <f ca="1"/>
        <v>#NAME?</v>
      </c>
      <c r="T469" t="e">
        <f ca="1"/>
        <v>#NAME?</v>
      </c>
      <c r="U469" t="e">
        <f ca="1"/>
        <v>#NAME?</v>
      </c>
      <c r="V469" t="e">
        <f ca="1"/>
        <v>#NAME?</v>
      </c>
      <c r="W469" t="e">
        <f ca="1"/>
        <v>#NAME?</v>
      </c>
      <c r="X469" t="e">
        <f ca="1"/>
        <v>#NAME?</v>
      </c>
      <c r="Y469" t="e">
        <f ca="1"/>
        <v>#NAME?</v>
      </c>
      <c r="Z469" t="e">
        <f ca="1"/>
        <v>#NAME?</v>
      </c>
      <c r="AA469" t="e">
        <f ca="1"/>
        <v>#NAME?</v>
      </c>
      <c r="AB469" t="e">
        <f ca="1"/>
        <v>#NAME?</v>
      </c>
      <c r="AD469" s="2">
        <f t="shared" ca="1" si="72"/>
        <v>0</v>
      </c>
      <c r="AE469" s="46">
        <f t="shared" ca="1" si="73"/>
        <v>0</v>
      </c>
      <c r="AG469" s="72" t="e">
        <f t="shared" ca="1" si="77"/>
        <v>#NAME?</v>
      </c>
      <c r="AH469" s="72" t="e">
        <f t="shared" ca="1" si="78"/>
        <v>#NAME?</v>
      </c>
      <c r="AI469" s="3" t="e">
        <f t="shared" ca="1" si="79"/>
        <v>#NAME?</v>
      </c>
    </row>
    <row r="470" spans="7:35" x14ac:dyDescent="0.25">
      <c r="G470" s="3">
        <f t="shared" ca="1" si="74"/>
        <v>86</v>
      </c>
      <c r="H470" s="105">
        <f t="shared" ca="1" si="76"/>
        <v>45376</v>
      </c>
      <c r="I470" s="132" t="e">
        <f>HLOOKUP($H$4,'Met Data'!$A$2:$F$368,G470,FALSE)</f>
        <v>#N/A</v>
      </c>
      <c r="J470" s="132" t="e">
        <f ca="1">HLOOKUP($H$4,'Met Data'!$H$2:$M$368,G470,FALSE)*L470</f>
        <v>#N/A</v>
      </c>
      <c r="K470" s="106" t="e">
        <f>HLOOKUP($H$4,'Met Data'!$O$2:$T$368,G470,FALSE)</f>
        <v>#N/A</v>
      </c>
      <c r="L470">
        <f t="shared" ca="1" si="70"/>
        <v>1</v>
      </c>
      <c r="N470" t="e">
        <f t="shared" ca="1" si="75"/>
        <v>#NAME?</v>
      </c>
      <c r="O470" t="e">
        <f t="shared" ca="1" si="71"/>
        <v>#NAME?</v>
      </c>
      <c r="P470" s="2" t="e">
        <f ca="1"/>
        <v>#NAME?</v>
      </c>
      <c r="Q470" t="e">
        <f ca="1"/>
        <v>#NAME?</v>
      </c>
      <c r="R470" t="e">
        <f ca="1"/>
        <v>#NAME?</v>
      </c>
      <c r="S470" t="e">
        <f ca="1"/>
        <v>#NAME?</v>
      </c>
      <c r="T470" t="e">
        <f ca="1"/>
        <v>#NAME?</v>
      </c>
      <c r="U470" t="e">
        <f ca="1"/>
        <v>#NAME?</v>
      </c>
      <c r="V470" t="e">
        <f ca="1"/>
        <v>#NAME?</v>
      </c>
      <c r="W470" t="e">
        <f ca="1"/>
        <v>#NAME?</v>
      </c>
      <c r="X470" t="e">
        <f ca="1"/>
        <v>#NAME?</v>
      </c>
      <c r="Y470" t="e">
        <f ca="1"/>
        <v>#NAME?</v>
      </c>
      <c r="Z470" t="e">
        <f ca="1"/>
        <v>#NAME?</v>
      </c>
      <c r="AA470" t="e">
        <f ca="1"/>
        <v>#NAME?</v>
      </c>
      <c r="AB470" t="e">
        <f ca="1"/>
        <v>#NAME?</v>
      </c>
      <c r="AD470" s="2">
        <f t="shared" ca="1" si="72"/>
        <v>0</v>
      </c>
      <c r="AE470" s="46">
        <f t="shared" ca="1" si="73"/>
        <v>0</v>
      </c>
      <c r="AG470" s="72" t="e">
        <f t="shared" ca="1" si="77"/>
        <v>#NAME?</v>
      </c>
      <c r="AH470" s="72" t="e">
        <f t="shared" ca="1" si="78"/>
        <v>#NAME?</v>
      </c>
      <c r="AI470" s="3" t="e">
        <f t="shared" ca="1" si="79"/>
        <v>#NAME?</v>
      </c>
    </row>
    <row r="471" spans="7:35" x14ac:dyDescent="0.25">
      <c r="G471" s="3">
        <f t="shared" ca="1" si="74"/>
        <v>87</v>
      </c>
      <c r="H471" s="105">
        <f t="shared" ca="1" si="76"/>
        <v>45377</v>
      </c>
      <c r="I471" s="132" t="e">
        <f>HLOOKUP($H$4,'Met Data'!$A$2:$F$368,G471,FALSE)</f>
        <v>#N/A</v>
      </c>
      <c r="J471" s="132" t="e">
        <f ca="1">HLOOKUP($H$4,'Met Data'!$H$2:$M$368,G471,FALSE)*L471</f>
        <v>#N/A</v>
      </c>
      <c r="K471" s="106" t="e">
        <f>HLOOKUP($H$4,'Met Data'!$O$2:$T$368,G471,FALSE)</f>
        <v>#N/A</v>
      </c>
      <c r="L471">
        <f t="shared" ca="1" si="70"/>
        <v>1</v>
      </c>
      <c r="N471" t="e">
        <f t="shared" ca="1" si="75"/>
        <v>#NAME?</v>
      </c>
      <c r="O471" t="e">
        <f t="shared" ca="1" si="71"/>
        <v>#NAME?</v>
      </c>
      <c r="P471" s="2" t="e">
        <f ca="1"/>
        <v>#NAME?</v>
      </c>
      <c r="Q471" t="e">
        <f ca="1"/>
        <v>#NAME?</v>
      </c>
      <c r="R471" t="e">
        <f ca="1"/>
        <v>#NAME?</v>
      </c>
      <c r="S471" t="e">
        <f ca="1"/>
        <v>#NAME?</v>
      </c>
      <c r="T471" t="e">
        <f ca="1"/>
        <v>#NAME?</v>
      </c>
      <c r="U471" t="e">
        <f ca="1"/>
        <v>#NAME?</v>
      </c>
      <c r="V471" t="e">
        <f ca="1"/>
        <v>#NAME?</v>
      </c>
      <c r="W471" t="e">
        <f ca="1"/>
        <v>#NAME?</v>
      </c>
      <c r="X471" t="e">
        <f ca="1"/>
        <v>#NAME?</v>
      </c>
      <c r="Y471" t="e">
        <f ca="1"/>
        <v>#NAME?</v>
      </c>
      <c r="Z471" t="e">
        <f ca="1"/>
        <v>#NAME?</v>
      </c>
      <c r="AA471" t="e">
        <f ca="1"/>
        <v>#NAME?</v>
      </c>
      <c r="AB471" t="e">
        <f ca="1"/>
        <v>#NAME?</v>
      </c>
      <c r="AD471" s="2">
        <f t="shared" ca="1" si="72"/>
        <v>0</v>
      </c>
      <c r="AE471" s="46">
        <f t="shared" ca="1" si="73"/>
        <v>0</v>
      </c>
      <c r="AG471" s="72" t="e">
        <f t="shared" ca="1" si="77"/>
        <v>#NAME?</v>
      </c>
      <c r="AH471" s="72" t="e">
        <f t="shared" ca="1" si="78"/>
        <v>#NAME?</v>
      </c>
      <c r="AI471" s="3" t="e">
        <f t="shared" ca="1" si="79"/>
        <v>#NAME?</v>
      </c>
    </row>
    <row r="472" spans="7:35" x14ac:dyDescent="0.25">
      <c r="G472" s="3">
        <f t="shared" ca="1" si="74"/>
        <v>88</v>
      </c>
      <c r="H472" s="105">
        <f t="shared" ca="1" si="76"/>
        <v>45378</v>
      </c>
      <c r="I472" s="132" t="e">
        <f>HLOOKUP($H$4,'Met Data'!$A$2:$F$368,G472,FALSE)</f>
        <v>#N/A</v>
      </c>
      <c r="J472" s="132" t="e">
        <f ca="1">HLOOKUP($H$4,'Met Data'!$H$2:$M$368,G472,FALSE)*L472</f>
        <v>#N/A</v>
      </c>
      <c r="K472" s="106" t="e">
        <f>HLOOKUP($H$4,'Met Data'!$O$2:$T$368,G472,FALSE)</f>
        <v>#N/A</v>
      </c>
      <c r="L472">
        <f t="shared" ca="1" si="70"/>
        <v>1</v>
      </c>
      <c r="N472" t="e">
        <f t="shared" ca="1" si="75"/>
        <v>#NAME?</v>
      </c>
      <c r="O472" t="e">
        <f t="shared" ca="1" si="71"/>
        <v>#NAME?</v>
      </c>
      <c r="P472" s="2" t="e">
        <f ca="1"/>
        <v>#NAME?</v>
      </c>
      <c r="Q472" t="e">
        <f ca="1"/>
        <v>#NAME?</v>
      </c>
      <c r="R472" t="e">
        <f ca="1"/>
        <v>#NAME?</v>
      </c>
      <c r="S472" t="e">
        <f ca="1"/>
        <v>#NAME?</v>
      </c>
      <c r="T472" t="e">
        <f ca="1"/>
        <v>#NAME?</v>
      </c>
      <c r="U472" t="e">
        <f ca="1"/>
        <v>#NAME?</v>
      </c>
      <c r="V472" t="e">
        <f ca="1"/>
        <v>#NAME?</v>
      </c>
      <c r="W472" t="e">
        <f ca="1"/>
        <v>#NAME?</v>
      </c>
      <c r="X472" t="e">
        <f ca="1"/>
        <v>#NAME?</v>
      </c>
      <c r="Y472" t="e">
        <f ca="1"/>
        <v>#NAME?</v>
      </c>
      <c r="Z472" t="e">
        <f ca="1"/>
        <v>#NAME?</v>
      </c>
      <c r="AA472" t="e">
        <f ca="1"/>
        <v>#NAME?</v>
      </c>
      <c r="AB472" t="e">
        <f ca="1"/>
        <v>#NAME?</v>
      </c>
      <c r="AD472" s="2">
        <f t="shared" ca="1" si="72"/>
        <v>0</v>
      </c>
      <c r="AE472" s="46">
        <f t="shared" ca="1" si="73"/>
        <v>0</v>
      </c>
      <c r="AG472" s="72" t="e">
        <f t="shared" ca="1" si="77"/>
        <v>#NAME?</v>
      </c>
      <c r="AH472" s="72" t="e">
        <f t="shared" ca="1" si="78"/>
        <v>#NAME?</v>
      </c>
      <c r="AI472" s="3" t="e">
        <f t="shared" ca="1" si="79"/>
        <v>#NAME?</v>
      </c>
    </row>
    <row r="473" spans="7:35" x14ac:dyDescent="0.25">
      <c r="G473" s="3">
        <f t="shared" ca="1" si="74"/>
        <v>89</v>
      </c>
      <c r="H473" s="105">
        <f t="shared" ca="1" si="76"/>
        <v>45379</v>
      </c>
      <c r="I473" s="132" t="e">
        <f>HLOOKUP($H$4,'Met Data'!$A$2:$F$368,G473,FALSE)</f>
        <v>#N/A</v>
      </c>
      <c r="J473" s="132" t="e">
        <f ca="1">HLOOKUP($H$4,'Met Data'!$H$2:$M$368,G473,FALSE)*L473</f>
        <v>#N/A</v>
      </c>
      <c r="K473" s="106" t="e">
        <f>HLOOKUP($H$4,'Met Data'!$O$2:$T$368,G473,FALSE)</f>
        <v>#N/A</v>
      </c>
      <c r="L473">
        <f t="shared" ca="1" si="70"/>
        <v>1</v>
      </c>
      <c r="N473" t="e">
        <f t="shared" ca="1" si="75"/>
        <v>#NAME?</v>
      </c>
      <c r="O473" t="e">
        <f t="shared" ca="1" si="71"/>
        <v>#NAME?</v>
      </c>
      <c r="P473" s="2" t="e">
        <f ca="1"/>
        <v>#NAME?</v>
      </c>
      <c r="Q473" t="e">
        <f ca="1"/>
        <v>#NAME?</v>
      </c>
      <c r="R473" t="e">
        <f ca="1"/>
        <v>#NAME?</v>
      </c>
      <c r="S473" t="e">
        <f ca="1"/>
        <v>#NAME?</v>
      </c>
      <c r="T473" t="e">
        <f ca="1"/>
        <v>#NAME?</v>
      </c>
      <c r="U473" t="e">
        <f ca="1"/>
        <v>#NAME?</v>
      </c>
      <c r="V473" t="e">
        <f ca="1"/>
        <v>#NAME?</v>
      </c>
      <c r="W473" t="e">
        <f ca="1"/>
        <v>#NAME?</v>
      </c>
      <c r="X473" t="e">
        <f ca="1"/>
        <v>#NAME?</v>
      </c>
      <c r="Y473" t="e">
        <f ca="1"/>
        <v>#NAME?</v>
      </c>
      <c r="Z473" t="e">
        <f ca="1"/>
        <v>#NAME?</v>
      </c>
      <c r="AA473" t="e">
        <f ca="1"/>
        <v>#NAME?</v>
      </c>
      <c r="AB473" t="e">
        <f ca="1"/>
        <v>#NAME?</v>
      </c>
      <c r="AD473" s="2">
        <f t="shared" ca="1" si="72"/>
        <v>0</v>
      </c>
      <c r="AE473" s="46">
        <f t="shared" ca="1" si="73"/>
        <v>0</v>
      </c>
      <c r="AG473" s="72" t="e">
        <f t="shared" ca="1" si="77"/>
        <v>#NAME?</v>
      </c>
      <c r="AH473" s="72" t="e">
        <f t="shared" ca="1" si="78"/>
        <v>#NAME?</v>
      </c>
      <c r="AI473" s="3" t="e">
        <f t="shared" ca="1" si="79"/>
        <v>#NAME?</v>
      </c>
    </row>
    <row r="474" spans="7:35" x14ac:dyDescent="0.25">
      <c r="G474" s="3">
        <f t="shared" ca="1" si="74"/>
        <v>90</v>
      </c>
      <c r="H474" s="105">
        <f t="shared" ca="1" si="76"/>
        <v>45380</v>
      </c>
      <c r="I474" s="132" t="e">
        <f>HLOOKUP($H$4,'Met Data'!$A$2:$F$368,G474,FALSE)</f>
        <v>#N/A</v>
      </c>
      <c r="J474" s="132" t="e">
        <f ca="1">HLOOKUP($H$4,'Met Data'!$H$2:$M$368,G474,FALSE)*L474</f>
        <v>#N/A</v>
      </c>
      <c r="K474" s="106" t="e">
        <f>HLOOKUP($H$4,'Met Data'!$O$2:$T$368,G474,FALSE)</f>
        <v>#N/A</v>
      </c>
      <c r="L474">
        <f t="shared" ca="1" si="70"/>
        <v>1</v>
      </c>
      <c r="N474" t="e">
        <f t="shared" ca="1" si="75"/>
        <v>#NAME?</v>
      </c>
      <c r="O474" t="e">
        <f t="shared" ca="1" si="71"/>
        <v>#NAME?</v>
      </c>
      <c r="P474" s="2" t="e">
        <f ca="1"/>
        <v>#NAME?</v>
      </c>
      <c r="Q474" t="e">
        <f ca="1"/>
        <v>#NAME?</v>
      </c>
      <c r="R474" t="e">
        <f ca="1"/>
        <v>#NAME?</v>
      </c>
      <c r="S474" t="e">
        <f ca="1"/>
        <v>#NAME?</v>
      </c>
      <c r="T474" t="e">
        <f ca="1"/>
        <v>#NAME?</v>
      </c>
      <c r="U474" t="e">
        <f ca="1"/>
        <v>#NAME?</v>
      </c>
      <c r="V474" t="e">
        <f ca="1"/>
        <v>#NAME?</v>
      </c>
      <c r="W474" t="e">
        <f ca="1"/>
        <v>#NAME?</v>
      </c>
      <c r="X474" t="e">
        <f ca="1"/>
        <v>#NAME?</v>
      </c>
      <c r="Y474" t="e">
        <f ca="1"/>
        <v>#NAME?</v>
      </c>
      <c r="Z474" t="e">
        <f ca="1"/>
        <v>#NAME?</v>
      </c>
      <c r="AA474" t="e">
        <f ca="1"/>
        <v>#NAME?</v>
      </c>
      <c r="AB474" t="e">
        <f ca="1"/>
        <v>#NAME?</v>
      </c>
      <c r="AD474" s="2">
        <f t="shared" ca="1" si="72"/>
        <v>0</v>
      </c>
      <c r="AE474" s="46">
        <f t="shared" ca="1" si="73"/>
        <v>0</v>
      </c>
      <c r="AG474" s="72" t="e">
        <f t="shared" ca="1" si="77"/>
        <v>#NAME?</v>
      </c>
      <c r="AH474" s="72" t="e">
        <f t="shared" ca="1" si="78"/>
        <v>#NAME?</v>
      </c>
      <c r="AI474" s="3" t="e">
        <f t="shared" ca="1" si="79"/>
        <v>#NAME?</v>
      </c>
    </row>
    <row r="475" spans="7:35" x14ac:dyDescent="0.25">
      <c r="G475" s="3">
        <f t="shared" ca="1" si="74"/>
        <v>91</v>
      </c>
      <c r="H475" s="105">
        <f t="shared" ca="1" si="76"/>
        <v>45381</v>
      </c>
      <c r="I475" s="132" t="e">
        <f>HLOOKUP($H$4,'Met Data'!$A$2:$F$368,G475,FALSE)</f>
        <v>#N/A</v>
      </c>
      <c r="J475" s="132" t="e">
        <f ca="1">HLOOKUP($H$4,'Met Data'!$H$2:$M$368,G475,FALSE)*L475</f>
        <v>#N/A</v>
      </c>
      <c r="K475" s="106" t="e">
        <f>HLOOKUP($H$4,'Met Data'!$O$2:$T$368,G475,FALSE)</f>
        <v>#N/A</v>
      </c>
      <c r="L475">
        <f t="shared" ca="1" si="70"/>
        <v>1</v>
      </c>
      <c r="N475" t="e">
        <f t="shared" ca="1" si="75"/>
        <v>#NAME?</v>
      </c>
      <c r="O475" t="e">
        <f t="shared" ca="1" si="71"/>
        <v>#NAME?</v>
      </c>
      <c r="P475" s="2" t="e">
        <f ca="1"/>
        <v>#NAME?</v>
      </c>
      <c r="Q475" t="e">
        <f ca="1"/>
        <v>#NAME?</v>
      </c>
      <c r="R475" t="e">
        <f ca="1"/>
        <v>#NAME?</v>
      </c>
      <c r="S475" t="e">
        <f ca="1"/>
        <v>#NAME?</v>
      </c>
      <c r="T475" t="e">
        <f ca="1"/>
        <v>#NAME?</v>
      </c>
      <c r="U475" t="e">
        <f ca="1"/>
        <v>#NAME?</v>
      </c>
      <c r="V475" t="e">
        <f ca="1"/>
        <v>#NAME?</v>
      </c>
      <c r="W475" t="e">
        <f ca="1"/>
        <v>#NAME?</v>
      </c>
      <c r="X475" t="e">
        <f ca="1"/>
        <v>#NAME?</v>
      </c>
      <c r="Y475" t="e">
        <f ca="1"/>
        <v>#NAME?</v>
      </c>
      <c r="Z475" t="e">
        <f ca="1"/>
        <v>#NAME?</v>
      </c>
      <c r="AA475" t="e">
        <f ca="1"/>
        <v>#NAME?</v>
      </c>
      <c r="AB475" t="e">
        <f ca="1"/>
        <v>#NAME?</v>
      </c>
      <c r="AD475" s="2">
        <f t="shared" ca="1" si="72"/>
        <v>0</v>
      </c>
      <c r="AE475" s="46">
        <f t="shared" ca="1" si="73"/>
        <v>0</v>
      </c>
      <c r="AG475" s="72" t="e">
        <f t="shared" ca="1" si="77"/>
        <v>#NAME?</v>
      </c>
      <c r="AH475" s="72" t="e">
        <f t="shared" ca="1" si="78"/>
        <v>#NAME?</v>
      </c>
      <c r="AI475" s="3" t="e">
        <f t="shared" ca="1" si="79"/>
        <v>#NAME?</v>
      </c>
    </row>
    <row r="476" spans="7:35" x14ac:dyDescent="0.25">
      <c r="G476" s="3">
        <f t="shared" ca="1" si="74"/>
        <v>92</v>
      </c>
      <c r="H476" s="105">
        <f t="shared" ca="1" si="76"/>
        <v>45382</v>
      </c>
      <c r="I476" s="132" t="e">
        <f>HLOOKUP($H$4,'Met Data'!$A$2:$F$368,G476,FALSE)</f>
        <v>#N/A</v>
      </c>
      <c r="J476" s="132" t="e">
        <f ca="1">HLOOKUP($H$4,'Met Data'!$H$2:$M$368,G476,FALSE)*L476</f>
        <v>#N/A</v>
      </c>
      <c r="K476" s="106" t="e">
        <f>HLOOKUP($H$4,'Met Data'!$O$2:$T$368,G476,FALSE)</f>
        <v>#N/A</v>
      </c>
      <c r="L476">
        <f t="shared" ca="1" si="70"/>
        <v>1</v>
      </c>
      <c r="N476" t="e">
        <f t="shared" ca="1" si="75"/>
        <v>#NAME?</v>
      </c>
      <c r="O476" t="e">
        <f t="shared" ca="1" si="71"/>
        <v>#NAME?</v>
      </c>
      <c r="P476" s="2" t="e">
        <f ca="1"/>
        <v>#NAME?</v>
      </c>
      <c r="Q476" t="e">
        <f ca="1"/>
        <v>#NAME?</v>
      </c>
      <c r="R476" t="e">
        <f ca="1"/>
        <v>#NAME?</v>
      </c>
      <c r="S476" t="e">
        <f ca="1"/>
        <v>#NAME?</v>
      </c>
      <c r="T476" t="e">
        <f ca="1"/>
        <v>#NAME?</v>
      </c>
      <c r="U476" t="e">
        <f ca="1"/>
        <v>#NAME?</v>
      </c>
      <c r="V476" t="e">
        <f ca="1"/>
        <v>#NAME?</v>
      </c>
      <c r="W476" t="e">
        <f ca="1"/>
        <v>#NAME?</v>
      </c>
      <c r="X476" t="e">
        <f ca="1"/>
        <v>#NAME?</v>
      </c>
      <c r="Y476" t="e">
        <f ca="1"/>
        <v>#NAME?</v>
      </c>
      <c r="Z476" t="e">
        <f ca="1"/>
        <v>#NAME?</v>
      </c>
      <c r="AA476" t="e">
        <f ca="1"/>
        <v>#NAME?</v>
      </c>
      <c r="AB476" t="e">
        <f ca="1"/>
        <v>#NAME?</v>
      </c>
      <c r="AD476" s="2">
        <f t="shared" ca="1" si="72"/>
        <v>0</v>
      </c>
      <c r="AE476" s="46">
        <f t="shared" ca="1" si="73"/>
        <v>0</v>
      </c>
      <c r="AG476" s="72" t="e">
        <f t="shared" ca="1" si="77"/>
        <v>#NAME?</v>
      </c>
      <c r="AH476" s="72" t="e">
        <f t="shared" ca="1" si="78"/>
        <v>#NAME?</v>
      </c>
      <c r="AI476" s="3" t="e">
        <f t="shared" ca="1" si="79"/>
        <v>#NAME?</v>
      </c>
    </row>
    <row r="477" spans="7:35" x14ac:dyDescent="0.25">
      <c r="G477" s="3">
        <f t="shared" ca="1" si="74"/>
        <v>93</v>
      </c>
      <c r="H477" s="105">
        <f t="shared" ca="1" si="76"/>
        <v>45383</v>
      </c>
      <c r="I477" s="132" t="e">
        <f>HLOOKUP($H$4,'Met Data'!$A$2:$F$368,G477,FALSE)</f>
        <v>#N/A</v>
      </c>
      <c r="J477" s="132" t="e">
        <f ca="1">HLOOKUP($H$4,'Met Data'!$H$2:$M$368,G477,FALSE)*L477</f>
        <v>#N/A</v>
      </c>
      <c r="K477" s="106" t="e">
        <f>HLOOKUP($H$4,'Met Data'!$O$2:$T$368,G477,FALSE)</f>
        <v>#N/A</v>
      </c>
      <c r="L477">
        <f t="shared" ca="1" si="70"/>
        <v>1</v>
      </c>
      <c r="N477" t="e">
        <f t="shared" ca="1" si="75"/>
        <v>#NAME?</v>
      </c>
      <c r="O477" t="e">
        <f t="shared" ca="1" si="71"/>
        <v>#NAME?</v>
      </c>
      <c r="P477" s="2" t="e">
        <f ca="1"/>
        <v>#NAME?</v>
      </c>
      <c r="Q477" t="e">
        <f ca="1"/>
        <v>#NAME?</v>
      </c>
      <c r="R477" t="e">
        <f ca="1"/>
        <v>#NAME?</v>
      </c>
      <c r="S477" t="e">
        <f ca="1"/>
        <v>#NAME?</v>
      </c>
      <c r="T477" t="e">
        <f ca="1"/>
        <v>#NAME?</v>
      </c>
      <c r="U477" t="e">
        <f ca="1"/>
        <v>#NAME?</v>
      </c>
      <c r="V477" t="e">
        <f ca="1"/>
        <v>#NAME?</v>
      </c>
      <c r="W477" t="e">
        <f ca="1"/>
        <v>#NAME?</v>
      </c>
      <c r="X477" t="e">
        <f ca="1"/>
        <v>#NAME?</v>
      </c>
      <c r="Y477" t="e">
        <f ca="1"/>
        <v>#NAME?</v>
      </c>
      <c r="Z477" t="e">
        <f ca="1"/>
        <v>#NAME?</v>
      </c>
      <c r="AA477" t="e">
        <f ca="1"/>
        <v>#NAME?</v>
      </c>
      <c r="AB477" t="e">
        <f ca="1"/>
        <v>#NAME?</v>
      </c>
      <c r="AD477" s="2">
        <f t="shared" ca="1" si="72"/>
        <v>0</v>
      </c>
      <c r="AE477" s="46">
        <f t="shared" ca="1" si="73"/>
        <v>0</v>
      </c>
      <c r="AG477" s="72" t="e">
        <f t="shared" ca="1" si="77"/>
        <v>#NAME?</v>
      </c>
      <c r="AH477" s="72" t="e">
        <f t="shared" ca="1" si="78"/>
        <v>#NAME?</v>
      </c>
      <c r="AI477" s="3" t="e">
        <f t="shared" ca="1" si="79"/>
        <v>#NAME?</v>
      </c>
    </row>
    <row r="478" spans="7:35" x14ac:dyDescent="0.25">
      <c r="G478" s="3">
        <f t="shared" ca="1" si="74"/>
        <v>94</v>
      </c>
      <c r="H478" s="105">
        <f t="shared" ca="1" si="76"/>
        <v>45384</v>
      </c>
      <c r="I478" s="132" t="e">
        <f>HLOOKUP($H$4,'Met Data'!$A$2:$F$368,G478,FALSE)</f>
        <v>#N/A</v>
      </c>
      <c r="J478" s="132" t="e">
        <f ca="1">HLOOKUP($H$4,'Met Data'!$H$2:$M$368,G478,FALSE)*L478</f>
        <v>#N/A</v>
      </c>
      <c r="K478" s="106" t="e">
        <f>HLOOKUP($H$4,'Met Data'!$O$2:$T$368,G478,FALSE)</f>
        <v>#N/A</v>
      </c>
      <c r="L478">
        <f t="shared" ca="1" si="70"/>
        <v>1</v>
      </c>
      <c r="N478" t="e">
        <f t="shared" ca="1" si="75"/>
        <v>#NAME?</v>
      </c>
      <c r="O478" t="e">
        <f t="shared" ca="1" si="71"/>
        <v>#NAME?</v>
      </c>
      <c r="P478" s="2" t="e">
        <f ca="1"/>
        <v>#NAME?</v>
      </c>
      <c r="Q478" t="e">
        <f ca="1"/>
        <v>#NAME?</v>
      </c>
      <c r="R478" t="e">
        <f ca="1"/>
        <v>#NAME?</v>
      </c>
      <c r="S478" t="e">
        <f ca="1"/>
        <v>#NAME?</v>
      </c>
      <c r="T478" t="e">
        <f ca="1"/>
        <v>#NAME?</v>
      </c>
      <c r="U478" t="e">
        <f ca="1"/>
        <v>#NAME?</v>
      </c>
      <c r="V478" t="e">
        <f ca="1"/>
        <v>#NAME?</v>
      </c>
      <c r="W478" t="e">
        <f ca="1"/>
        <v>#NAME?</v>
      </c>
      <c r="X478" t="e">
        <f ca="1"/>
        <v>#NAME?</v>
      </c>
      <c r="Y478" t="e">
        <f ca="1"/>
        <v>#NAME?</v>
      </c>
      <c r="Z478" t="e">
        <f ca="1"/>
        <v>#NAME?</v>
      </c>
      <c r="AA478" t="e">
        <f ca="1"/>
        <v>#NAME?</v>
      </c>
      <c r="AB478" t="e">
        <f ca="1"/>
        <v>#NAME?</v>
      </c>
      <c r="AD478" s="2">
        <f t="shared" ca="1" si="72"/>
        <v>0</v>
      </c>
      <c r="AE478" s="46">
        <f t="shared" ca="1" si="73"/>
        <v>0</v>
      </c>
      <c r="AG478" s="72" t="e">
        <f t="shared" ca="1" si="77"/>
        <v>#NAME?</v>
      </c>
      <c r="AH478" s="72" t="e">
        <f t="shared" ca="1" si="78"/>
        <v>#NAME?</v>
      </c>
      <c r="AI478" s="3" t="e">
        <f t="shared" ca="1" si="79"/>
        <v>#NAME?</v>
      </c>
    </row>
    <row r="479" spans="7:35" x14ac:dyDescent="0.25">
      <c r="G479" s="3">
        <f t="shared" ca="1" si="74"/>
        <v>95</v>
      </c>
      <c r="H479" s="105">
        <f t="shared" ca="1" si="76"/>
        <v>45385</v>
      </c>
      <c r="I479" s="132" t="e">
        <f>HLOOKUP($H$4,'Met Data'!$A$2:$F$368,G479,FALSE)</f>
        <v>#N/A</v>
      </c>
      <c r="J479" s="132" t="e">
        <f ca="1">HLOOKUP($H$4,'Met Data'!$H$2:$M$368,G479,FALSE)*L479</f>
        <v>#N/A</v>
      </c>
      <c r="K479" s="106" t="e">
        <f>HLOOKUP($H$4,'Met Data'!$O$2:$T$368,G479,FALSE)</f>
        <v>#N/A</v>
      </c>
      <c r="L479">
        <f t="shared" ca="1" si="70"/>
        <v>1</v>
      </c>
      <c r="N479" t="e">
        <f t="shared" ca="1" si="75"/>
        <v>#NAME?</v>
      </c>
      <c r="O479" t="e">
        <f t="shared" ca="1" si="71"/>
        <v>#NAME?</v>
      </c>
      <c r="P479" s="2" t="e">
        <f ca="1"/>
        <v>#NAME?</v>
      </c>
      <c r="Q479" t="e">
        <f ca="1"/>
        <v>#NAME?</v>
      </c>
      <c r="R479" t="e">
        <f ca="1"/>
        <v>#NAME?</v>
      </c>
      <c r="S479" t="e">
        <f ca="1"/>
        <v>#NAME?</v>
      </c>
      <c r="T479" t="e">
        <f ca="1"/>
        <v>#NAME?</v>
      </c>
      <c r="U479" t="e">
        <f ca="1"/>
        <v>#NAME?</v>
      </c>
      <c r="V479" t="e">
        <f ca="1"/>
        <v>#NAME?</v>
      </c>
      <c r="W479" t="e">
        <f ca="1"/>
        <v>#NAME?</v>
      </c>
      <c r="X479" t="e">
        <f ca="1"/>
        <v>#NAME?</v>
      </c>
      <c r="Y479" t="e">
        <f ca="1"/>
        <v>#NAME?</v>
      </c>
      <c r="Z479" t="e">
        <f ca="1"/>
        <v>#NAME?</v>
      </c>
      <c r="AA479" t="e">
        <f ca="1"/>
        <v>#NAME?</v>
      </c>
      <c r="AB479" t="e">
        <f ca="1"/>
        <v>#NAME?</v>
      </c>
      <c r="AD479" s="2">
        <f t="shared" ca="1" si="72"/>
        <v>0</v>
      </c>
      <c r="AE479" s="46">
        <f t="shared" ca="1" si="73"/>
        <v>0</v>
      </c>
      <c r="AG479" s="72" t="e">
        <f t="shared" ca="1" si="77"/>
        <v>#NAME?</v>
      </c>
      <c r="AH479" s="72" t="e">
        <f t="shared" ca="1" si="78"/>
        <v>#NAME?</v>
      </c>
      <c r="AI479" s="3" t="e">
        <f t="shared" ca="1" si="79"/>
        <v>#NAME?</v>
      </c>
    </row>
    <row r="480" spans="7:35" x14ac:dyDescent="0.25">
      <c r="G480" s="3">
        <f t="shared" ca="1" si="74"/>
        <v>96</v>
      </c>
      <c r="H480" s="105">
        <f t="shared" ca="1" si="76"/>
        <v>45386</v>
      </c>
      <c r="I480" s="132" t="e">
        <f>HLOOKUP($H$4,'Met Data'!$A$2:$F$368,G480,FALSE)</f>
        <v>#N/A</v>
      </c>
      <c r="J480" s="132" t="e">
        <f ca="1">HLOOKUP($H$4,'Met Data'!$H$2:$M$368,G480,FALSE)*L480</f>
        <v>#N/A</v>
      </c>
      <c r="K480" s="106" t="e">
        <f>HLOOKUP($H$4,'Met Data'!$O$2:$T$368,G480,FALSE)</f>
        <v>#N/A</v>
      </c>
      <c r="L480">
        <f t="shared" ca="1" si="70"/>
        <v>1</v>
      </c>
      <c r="N480" t="e">
        <f t="shared" ca="1" si="75"/>
        <v>#NAME?</v>
      </c>
      <c r="O480" t="e">
        <f t="shared" ca="1" si="71"/>
        <v>#NAME?</v>
      </c>
      <c r="P480" s="2" t="e">
        <f ca="1"/>
        <v>#NAME?</v>
      </c>
      <c r="Q480" t="e">
        <f ca="1"/>
        <v>#NAME?</v>
      </c>
      <c r="R480" t="e">
        <f ca="1"/>
        <v>#NAME?</v>
      </c>
      <c r="S480" t="e">
        <f ca="1"/>
        <v>#NAME?</v>
      </c>
      <c r="T480" t="e">
        <f ca="1"/>
        <v>#NAME?</v>
      </c>
      <c r="U480" t="e">
        <f ca="1"/>
        <v>#NAME?</v>
      </c>
      <c r="V480" t="e">
        <f ca="1"/>
        <v>#NAME?</v>
      </c>
      <c r="W480" t="e">
        <f ca="1"/>
        <v>#NAME?</v>
      </c>
      <c r="X480" t="e">
        <f ca="1"/>
        <v>#NAME?</v>
      </c>
      <c r="Y480" t="e">
        <f ca="1"/>
        <v>#NAME?</v>
      </c>
      <c r="Z480" t="e">
        <f ca="1"/>
        <v>#NAME?</v>
      </c>
      <c r="AA480" t="e">
        <f ca="1"/>
        <v>#NAME?</v>
      </c>
      <c r="AB480" t="e">
        <f ca="1"/>
        <v>#NAME?</v>
      </c>
      <c r="AD480" s="2">
        <f t="shared" ca="1" si="72"/>
        <v>0</v>
      </c>
      <c r="AE480" s="46">
        <f t="shared" ca="1" si="73"/>
        <v>0</v>
      </c>
      <c r="AG480" s="72" t="e">
        <f t="shared" ca="1" si="77"/>
        <v>#NAME?</v>
      </c>
      <c r="AH480" s="72" t="e">
        <f t="shared" ca="1" si="78"/>
        <v>#NAME?</v>
      </c>
      <c r="AI480" s="3" t="e">
        <f t="shared" ca="1" si="79"/>
        <v>#NAME?</v>
      </c>
    </row>
    <row r="481" spans="7:35" x14ac:dyDescent="0.25">
      <c r="G481" s="3">
        <f t="shared" ca="1" si="74"/>
        <v>97</v>
      </c>
      <c r="H481" s="105">
        <f t="shared" ca="1" si="76"/>
        <v>45387</v>
      </c>
      <c r="I481" s="132" t="e">
        <f>HLOOKUP($H$4,'Met Data'!$A$2:$F$368,G481,FALSE)</f>
        <v>#N/A</v>
      </c>
      <c r="J481" s="132" t="e">
        <f ca="1">HLOOKUP($H$4,'Met Data'!$H$2:$M$368,G481,FALSE)*L481</f>
        <v>#N/A</v>
      </c>
      <c r="K481" s="106" t="e">
        <f>HLOOKUP($H$4,'Met Data'!$O$2:$T$368,G481,FALSE)</f>
        <v>#N/A</v>
      </c>
      <c r="L481">
        <f t="shared" ca="1" si="70"/>
        <v>1</v>
      </c>
      <c r="N481" t="e">
        <f t="shared" ca="1" si="75"/>
        <v>#NAME?</v>
      </c>
      <c r="O481" t="e">
        <f t="shared" ca="1" si="71"/>
        <v>#NAME?</v>
      </c>
      <c r="P481" s="2" t="e">
        <f ca="1"/>
        <v>#NAME?</v>
      </c>
      <c r="Q481" t="e">
        <f ca="1"/>
        <v>#NAME?</v>
      </c>
      <c r="R481" t="e">
        <f ca="1"/>
        <v>#NAME?</v>
      </c>
      <c r="S481" t="e">
        <f ca="1"/>
        <v>#NAME?</v>
      </c>
      <c r="T481" t="e">
        <f ca="1"/>
        <v>#NAME?</v>
      </c>
      <c r="U481" t="e">
        <f ca="1"/>
        <v>#NAME?</v>
      </c>
      <c r="V481" t="e">
        <f ca="1"/>
        <v>#NAME?</v>
      </c>
      <c r="W481" t="e">
        <f ca="1"/>
        <v>#NAME?</v>
      </c>
      <c r="X481" t="e">
        <f ca="1"/>
        <v>#NAME?</v>
      </c>
      <c r="Y481" t="e">
        <f ca="1"/>
        <v>#NAME?</v>
      </c>
      <c r="Z481" t="e">
        <f ca="1"/>
        <v>#NAME?</v>
      </c>
      <c r="AA481" t="e">
        <f ca="1"/>
        <v>#NAME?</v>
      </c>
      <c r="AB481" t="e">
        <f ca="1"/>
        <v>#NAME?</v>
      </c>
      <c r="AD481" s="2">
        <f t="shared" ca="1" si="72"/>
        <v>0</v>
      </c>
      <c r="AE481" s="46">
        <f t="shared" ca="1" si="73"/>
        <v>0</v>
      </c>
      <c r="AG481" s="72" t="e">
        <f t="shared" ca="1" si="77"/>
        <v>#NAME?</v>
      </c>
      <c r="AH481" s="72" t="e">
        <f t="shared" ca="1" si="78"/>
        <v>#NAME?</v>
      </c>
      <c r="AI481" s="3" t="e">
        <f t="shared" ca="1" si="79"/>
        <v>#NAME?</v>
      </c>
    </row>
    <row r="482" spans="7:35" x14ac:dyDescent="0.25">
      <c r="G482" s="3">
        <f t="shared" ca="1" si="74"/>
        <v>98</v>
      </c>
      <c r="H482" s="105">
        <f t="shared" ca="1" si="76"/>
        <v>45388</v>
      </c>
      <c r="I482" s="132" t="e">
        <f>HLOOKUP($H$4,'Met Data'!$A$2:$F$368,G482,FALSE)</f>
        <v>#N/A</v>
      </c>
      <c r="J482" s="132" t="e">
        <f ca="1">HLOOKUP($H$4,'Met Data'!$H$2:$M$368,G482,FALSE)*L482</f>
        <v>#N/A</v>
      </c>
      <c r="K482" s="106" t="e">
        <f>HLOOKUP($H$4,'Met Data'!$O$2:$T$368,G482,FALSE)</f>
        <v>#N/A</v>
      </c>
      <c r="L482">
        <f t="shared" ca="1" si="70"/>
        <v>1</v>
      </c>
      <c r="N482" t="e">
        <f t="shared" ca="1" si="75"/>
        <v>#NAME?</v>
      </c>
      <c r="O482" t="e">
        <f t="shared" ca="1" si="71"/>
        <v>#NAME?</v>
      </c>
      <c r="P482" s="2" t="e">
        <f ca="1"/>
        <v>#NAME?</v>
      </c>
      <c r="Q482" t="e">
        <f ca="1"/>
        <v>#NAME?</v>
      </c>
      <c r="R482" t="e">
        <f ca="1"/>
        <v>#NAME?</v>
      </c>
      <c r="S482" t="e">
        <f ca="1"/>
        <v>#NAME?</v>
      </c>
      <c r="T482" t="e">
        <f ca="1"/>
        <v>#NAME?</v>
      </c>
      <c r="U482" t="e">
        <f ca="1"/>
        <v>#NAME?</v>
      </c>
      <c r="V482" t="e">
        <f ca="1"/>
        <v>#NAME?</v>
      </c>
      <c r="W482" t="e">
        <f ca="1"/>
        <v>#NAME?</v>
      </c>
      <c r="X482" t="e">
        <f ca="1"/>
        <v>#NAME?</v>
      </c>
      <c r="Y482" t="e">
        <f ca="1"/>
        <v>#NAME?</v>
      </c>
      <c r="Z482" t="e">
        <f ca="1"/>
        <v>#NAME?</v>
      </c>
      <c r="AA482" t="e">
        <f ca="1"/>
        <v>#NAME?</v>
      </c>
      <c r="AB482" t="e">
        <f ca="1"/>
        <v>#NAME?</v>
      </c>
      <c r="AD482" s="2">
        <f t="shared" ca="1" si="72"/>
        <v>0</v>
      </c>
      <c r="AE482" s="46">
        <f t="shared" ca="1" si="73"/>
        <v>0</v>
      </c>
      <c r="AG482" s="72" t="e">
        <f t="shared" ca="1" si="77"/>
        <v>#NAME?</v>
      </c>
      <c r="AH482" s="72" t="e">
        <f t="shared" ca="1" si="78"/>
        <v>#NAME?</v>
      </c>
      <c r="AI482" s="3" t="e">
        <f t="shared" ca="1" si="79"/>
        <v>#NAME?</v>
      </c>
    </row>
    <row r="483" spans="7:35" x14ac:dyDescent="0.25">
      <c r="G483" s="3">
        <f t="shared" ca="1" si="74"/>
        <v>99</v>
      </c>
      <c r="H483" s="105">
        <f t="shared" ca="1" si="76"/>
        <v>45389</v>
      </c>
      <c r="I483" s="132" t="e">
        <f>HLOOKUP($H$4,'Met Data'!$A$2:$F$368,G483,FALSE)</f>
        <v>#N/A</v>
      </c>
      <c r="J483" s="132" t="e">
        <f ca="1">HLOOKUP($H$4,'Met Data'!$H$2:$M$368,G483,FALSE)*L483</f>
        <v>#N/A</v>
      </c>
      <c r="K483" s="106" t="e">
        <f>HLOOKUP($H$4,'Met Data'!$O$2:$T$368,G483,FALSE)</f>
        <v>#N/A</v>
      </c>
      <c r="L483">
        <f t="shared" ca="1" si="70"/>
        <v>1</v>
      </c>
      <c r="N483" t="e">
        <f t="shared" ca="1" si="75"/>
        <v>#NAME?</v>
      </c>
      <c r="O483" t="e">
        <f t="shared" ca="1" si="71"/>
        <v>#NAME?</v>
      </c>
      <c r="P483" s="2" t="e">
        <f ca="1"/>
        <v>#NAME?</v>
      </c>
      <c r="Q483" t="e">
        <f ca="1"/>
        <v>#NAME?</v>
      </c>
      <c r="R483" t="e">
        <f ca="1"/>
        <v>#NAME?</v>
      </c>
      <c r="S483" t="e">
        <f ca="1"/>
        <v>#NAME?</v>
      </c>
      <c r="T483" t="e">
        <f ca="1"/>
        <v>#NAME?</v>
      </c>
      <c r="U483" t="e">
        <f ca="1"/>
        <v>#NAME?</v>
      </c>
      <c r="V483" t="e">
        <f ca="1"/>
        <v>#NAME?</v>
      </c>
      <c r="W483" t="e">
        <f ca="1"/>
        <v>#NAME?</v>
      </c>
      <c r="X483" t="e">
        <f ca="1"/>
        <v>#NAME?</v>
      </c>
      <c r="Y483" t="e">
        <f ca="1"/>
        <v>#NAME?</v>
      </c>
      <c r="Z483" t="e">
        <f ca="1"/>
        <v>#NAME?</v>
      </c>
      <c r="AA483" t="e">
        <f ca="1"/>
        <v>#NAME?</v>
      </c>
      <c r="AB483" t="e">
        <f ca="1"/>
        <v>#NAME?</v>
      </c>
      <c r="AD483" s="2">
        <f t="shared" ca="1" si="72"/>
        <v>0</v>
      </c>
      <c r="AE483" s="46">
        <f t="shared" ca="1" si="73"/>
        <v>0</v>
      </c>
      <c r="AG483" s="72" t="e">
        <f t="shared" ca="1" si="77"/>
        <v>#NAME?</v>
      </c>
      <c r="AH483" s="72" t="e">
        <f t="shared" ca="1" si="78"/>
        <v>#NAME?</v>
      </c>
      <c r="AI483" s="3" t="e">
        <f t="shared" ca="1" si="79"/>
        <v>#NAME?</v>
      </c>
    </row>
    <row r="484" spans="7:35" x14ac:dyDescent="0.25">
      <c r="G484" s="3">
        <f t="shared" ca="1" si="74"/>
        <v>100</v>
      </c>
      <c r="H484" s="105">
        <f t="shared" ca="1" si="76"/>
        <v>45390</v>
      </c>
      <c r="I484" s="132" t="e">
        <f>HLOOKUP($H$4,'Met Data'!$A$2:$F$368,G484,FALSE)</f>
        <v>#N/A</v>
      </c>
      <c r="J484" s="132" t="e">
        <f ca="1">HLOOKUP($H$4,'Met Data'!$H$2:$M$368,G484,FALSE)*L484</f>
        <v>#N/A</v>
      </c>
      <c r="K484" s="106" t="e">
        <f>HLOOKUP($H$4,'Met Data'!$O$2:$T$368,G484,FALSE)</f>
        <v>#N/A</v>
      </c>
      <c r="L484">
        <f t="shared" ca="1" si="70"/>
        <v>1</v>
      </c>
      <c r="N484" t="e">
        <f t="shared" ca="1" si="75"/>
        <v>#NAME?</v>
      </c>
      <c r="O484" t="e">
        <f t="shared" ca="1" si="71"/>
        <v>#NAME?</v>
      </c>
      <c r="P484" s="2" t="e">
        <f ca="1"/>
        <v>#NAME?</v>
      </c>
      <c r="Q484" t="e">
        <f ca="1"/>
        <v>#NAME?</v>
      </c>
      <c r="R484" t="e">
        <f ca="1"/>
        <v>#NAME?</v>
      </c>
      <c r="S484" t="e">
        <f ca="1"/>
        <v>#NAME?</v>
      </c>
      <c r="T484" t="e">
        <f ca="1"/>
        <v>#NAME?</v>
      </c>
      <c r="U484" t="e">
        <f ca="1"/>
        <v>#NAME?</v>
      </c>
      <c r="V484" t="e">
        <f ca="1"/>
        <v>#NAME?</v>
      </c>
      <c r="W484" t="e">
        <f ca="1"/>
        <v>#NAME?</v>
      </c>
      <c r="X484" t="e">
        <f ca="1"/>
        <v>#NAME?</v>
      </c>
      <c r="Y484" t="e">
        <f ca="1"/>
        <v>#NAME?</v>
      </c>
      <c r="Z484" t="e">
        <f ca="1"/>
        <v>#NAME?</v>
      </c>
      <c r="AA484" t="e">
        <f ca="1"/>
        <v>#NAME?</v>
      </c>
      <c r="AB484" t="e">
        <f ca="1"/>
        <v>#NAME?</v>
      </c>
      <c r="AD484" s="2">
        <f t="shared" ca="1" si="72"/>
        <v>0</v>
      </c>
      <c r="AE484" s="46">
        <f t="shared" ca="1" si="73"/>
        <v>0</v>
      </c>
      <c r="AG484" s="72" t="e">
        <f t="shared" ca="1" si="77"/>
        <v>#NAME?</v>
      </c>
      <c r="AH484" s="72" t="e">
        <f t="shared" ca="1" si="78"/>
        <v>#NAME?</v>
      </c>
      <c r="AI484" s="3" t="e">
        <f t="shared" ca="1" si="79"/>
        <v>#NAME?</v>
      </c>
    </row>
    <row r="485" spans="7:35" x14ac:dyDescent="0.25">
      <c r="G485" s="3">
        <f t="shared" ca="1" si="74"/>
        <v>101</v>
      </c>
      <c r="H485" s="105">
        <f t="shared" ca="1" si="76"/>
        <v>45391</v>
      </c>
      <c r="I485" s="132" t="e">
        <f>HLOOKUP($H$4,'Met Data'!$A$2:$F$368,G485,FALSE)</f>
        <v>#N/A</v>
      </c>
      <c r="J485" s="132" t="e">
        <f ca="1">HLOOKUP($H$4,'Met Data'!$H$2:$M$368,G485,FALSE)*L485</f>
        <v>#N/A</v>
      </c>
      <c r="K485" s="106" t="e">
        <f>HLOOKUP($H$4,'Met Data'!$O$2:$T$368,G485,FALSE)</f>
        <v>#N/A</v>
      </c>
      <c r="L485">
        <f t="shared" ca="1" si="70"/>
        <v>1</v>
      </c>
      <c r="N485" t="e">
        <f t="shared" ca="1" si="75"/>
        <v>#NAME?</v>
      </c>
      <c r="O485" t="e">
        <f t="shared" ca="1" si="71"/>
        <v>#NAME?</v>
      </c>
      <c r="P485" s="2" t="e">
        <f ca="1"/>
        <v>#NAME?</v>
      </c>
      <c r="Q485" t="e">
        <f ca="1"/>
        <v>#NAME?</v>
      </c>
      <c r="R485" t="e">
        <f ca="1"/>
        <v>#NAME?</v>
      </c>
      <c r="S485" t="e">
        <f ca="1"/>
        <v>#NAME?</v>
      </c>
      <c r="T485" t="e">
        <f ca="1"/>
        <v>#NAME?</v>
      </c>
      <c r="U485" t="e">
        <f ca="1"/>
        <v>#NAME?</v>
      </c>
      <c r="V485" t="e">
        <f ca="1"/>
        <v>#NAME?</v>
      </c>
      <c r="W485" t="e">
        <f ca="1"/>
        <v>#NAME?</v>
      </c>
      <c r="X485" t="e">
        <f ca="1"/>
        <v>#NAME?</v>
      </c>
      <c r="Y485" t="e">
        <f ca="1"/>
        <v>#NAME?</v>
      </c>
      <c r="Z485" t="e">
        <f ca="1"/>
        <v>#NAME?</v>
      </c>
      <c r="AA485" t="e">
        <f ca="1"/>
        <v>#NAME?</v>
      </c>
      <c r="AB485" t="e">
        <f ca="1"/>
        <v>#NAME?</v>
      </c>
      <c r="AD485" s="2">
        <f t="shared" ca="1" si="72"/>
        <v>0</v>
      </c>
      <c r="AE485" s="46">
        <f t="shared" ca="1" si="73"/>
        <v>0</v>
      </c>
      <c r="AG485" s="72" t="e">
        <f t="shared" ca="1" si="77"/>
        <v>#NAME?</v>
      </c>
      <c r="AH485" s="72" t="e">
        <f t="shared" ca="1" si="78"/>
        <v>#NAME?</v>
      </c>
      <c r="AI485" s="3" t="e">
        <f t="shared" ca="1" si="79"/>
        <v>#NAME?</v>
      </c>
    </row>
    <row r="486" spans="7:35" x14ac:dyDescent="0.25">
      <c r="G486" s="3">
        <f t="shared" ca="1" si="74"/>
        <v>102</v>
      </c>
      <c r="H486" s="105">
        <f t="shared" ca="1" si="76"/>
        <v>45392</v>
      </c>
      <c r="I486" s="132" t="e">
        <f>HLOOKUP($H$4,'Met Data'!$A$2:$F$368,G486,FALSE)</f>
        <v>#N/A</v>
      </c>
      <c r="J486" s="132" t="e">
        <f ca="1">HLOOKUP($H$4,'Met Data'!$H$2:$M$368,G486,FALSE)*L486</f>
        <v>#N/A</v>
      </c>
      <c r="K486" s="106" t="e">
        <f>HLOOKUP($H$4,'Met Data'!$O$2:$T$368,G486,FALSE)</f>
        <v>#N/A</v>
      </c>
      <c r="L486">
        <f t="shared" ca="1" si="70"/>
        <v>1</v>
      </c>
      <c r="N486" t="e">
        <f t="shared" ca="1" si="75"/>
        <v>#NAME?</v>
      </c>
      <c r="O486" t="e">
        <f t="shared" ca="1" si="71"/>
        <v>#NAME?</v>
      </c>
      <c r="P486" s="2" t="e">
        <f ca="1"/>
        <v>#NAME?</v>
      </c>
      <c r="Q486" t="e">
        <f ca="1"/>
        <v>#NAME?</v>
      </c>
      <c r="R486" t="e">
        <f ca="1"/>
        <v>#NAME?</v>
      </c>
      <c r="S486" t="e">
        <f ca="1"/>
        <v>#NAME?</v>
      </c>
      <c r="T486" t="e">
        <f ca="1"/>
        <v>#NAME?</v>
      </c>
      <c r="U486" t="e">
        <f ca="1"/>
        <v>#NAME?</v>
      </c>
      <c r="V486" t="e">
        <f ca="1"/>
        <v>#NAME?</v>
      </c>
      <c r="W486" t="e">
        <f ca="1"/>
        <v>#NAME?</v>
      </c>
      <c r="X486" t="e">
        <f ca="1"/>
        <v>#NAME?</v>
      </c>
      <c r="Y486" t="e">
        <f ca="1"/>
        <v>#NAME?</v>
      </c>
      <c r="Z486" t="e">
        <f ca="1"/>
        <v>#NAME?</v>
      </c>
      <c r="AA486" t="e">
        <f ca="1"/>
        <v>#NAME?</v>
      </c>
      <c r="AB486" t="e">
        <f ca="1"/>
        <v>#NAME?</v>
      </c>
      <c r="AD486" s="2">
        <f t="shared" ca="1" si="72"/>
        <v>0</v>
      </c>
      <c r="AE486" s="46">
        <f t="shared" ca="1" si="73"/>
        <v>0</v>
      </c>
      <c r="AG486" s="72" t="e">
        <f t="shared" ca="1" si="77"/>
        <v>#NAME?</v>
      </c>
      <c r="AH486" s="72" t="e">
        <f t="shared" ca="1" si="78"/>
        <v>#NAME?</v>
      </c>
      <c r="AI486" s="3" t="e">
        <f t="shared" ca="1" si="79"/>
        <v>#NAME?</v>
      </c>
    </row>
    <row r="487" spans="7:35" x14ac:dyDescent="0.25">
      <c r="G487" s="3">
        <f t="shared" ca="1" si="74"/>
        <v>103</v>
      </c>
      <c r="H487" s="105">
        <f t="shared" ca="1" si="76"/>
        <v>45393</v>
      </c>
      <c r="I487" s="132" t="e">
        <f>HLOOKUP($H$4,'Met Data'!$A$2:$F$368,G487,FALSE)</f>
        <v>#N/A</v>
      </c>
      <c r="J487" s="132" t="e">
        <f ca="1">HLOOKUP($H$4,'Met Data'!$H$2:$M$368,G487,FALSE)*L487</f>
        <v>#N/A</v>
      </c>
      <c r="K487" s="106" t="e">
        <f>HLOOKUP($H$4,'Met Data'!$O$2:$T$368,G487,FALSE)</f>
        <v>#N/A</v>
      </c>
      <c r="L487">
        <f t="shared" ca="1" si="70"/>
        <v>1</v>
      </c>
      <c r="N487" t="e">
        <f t="shared" ca="1" si="75"/>
        <v>#NAME?</v>
      </c>
      <c r="O487" t="e">
        <f t="shared" ca="1" si="71"/>
        <v>#NAME?</v>
      </c>
      <c r="P487" s="2" t="e">
        <f ca="1"/>
        <v>#NAME?</v>
      </c>
      <c r="Q487" t="e">
        <f ca="1"/>
        <v>#NAME?</v>
      </c>
      <c r="R487" t="e">
        <f ca="1"/>
        <v>#NAME?</v>
      </c>
      <c r="S487" t="e">
        <f ca="1"/>
        <v>#NAME?</v>
      </c>
      <c r="T487" t="e">
        <f ca="1"/>
        <v>#NAME?</v>
      </c>
      <c r="U487" t="e">
        <f ca="1"/>
        <v>#NAME?</v>
      </c>
      <c r="V487" t="e">
        <f ca="1"/>
        <v>#NAME?</v>
      </c>
      <c r="W487" t="e">
        <f ca="1"/>
        <v>#NAME?</v>
      </c>
      <c r="X487" t="e">
        <f ca="1"/>
        <v>#NAME?</v>
      </c>
      <c r="Y487" t="e">
        <f ca="1"/>
        <v>#NAME?</v>
      </c>
      <c r="Z487" t="e">
        <f ca="1"/>
        <v>#NAME?</v>
      </c>
      <c r="AA487" t="e">
        <f ca="1"/>
        <v>#NAME?</v>
      </c>
      <c r="AB487" t="e">
        <f ca="1"/>
        <v>#NAME?</v>
      </c>
      <c r="AD487" s="2">
        <f t="shared" ca="1" si="72"/>
        <v>0</v>
      </c>
      <c r="AE487" s="46">
        <f t="shared" ca="1" si="73"/>
        <v>0</v>
      </c>
      <c r="AG487" s="72" t="e">
        <f t="shared" ca="1" si="77"/>
        <v>#NAME?</v>
      </c>
      <c r="AH487" s="72" t="e">
        <f t="shared" ca="1" si="78"/>
        <v>#NAME?</v>
      </c>
      <c r="AI487" s="3" t="e">
        <f t="shared" ca="1" si="79"/>
        <v>#NAME?</v>
      </c>
    </row>
    <row r="488" spans="7:35" x14ac:dyDescent="0.25">
      <c r="G488" s="3">
        <f t="shared" ca="1" si="74"/>
        <v>104</v>
      </c>
      <c r="H488" s="105">
        <f t="shared" ca="1" si="76"/>
        <v>45394</v>
      </c>
      <c r="I488" s="132" t="e">
        <f>HLOOKUP($H$4,'Met Data'!$A$2:$F$368,G488,FALSE)</f>
        <v>#N/A</v>
      </c>
      <c r="J488" s="132" t="e">
        <f ca="1">HLOOKUP($H$4,'Met Data'!$H$2:$M$368,G488,FALSE)*L488</f>
        <v>#N/A</v>
      </c>
      <c r="K488" s="106" t="e">
        <f>HLOOKUP($H$4,'Met Data'!$O$2:$T$368,G488,FALSE)</f>
        <v>#N/A</v>
      </c>
      <c r="L488">
        <f t="shared" ca="1" si="70"/>
        <v>1</v>
      </c>
      <c r="N488" t="e">
        <f t="shared" ca="1" si="75"/>
        <v>#NAME?</v>
      </c>
      <c r="O488" t="e">
        <f t="shared" ca="1" si="71"/>
        <v>#NAME?</v>
      </c>
      <c r="P488" s="2" t="e">
        <f ca="1"/>
        <v>#NAME?</v>
      </c>
      <c r="Q488" t="e">
        <f ca="1"/>
        <v>#NAME?</v>
      </c>
      <c r="R488" t="e">
        <f ca="1"/>
        <v>#NAME?</v>
      </c>
      <c r="S488" t="e">
        <f ca="1"/>
        <v>#NAME?</v>
      </c>
      <c r="T488" t="e">
        <f ca="1"/>
        <v>#NAME?</v>
      </c>
      <c r="U488" t="e">
        <f ca="1"/>
        <v>#NAME?</v>
      </c>
      <c r="V488" t="e">
        <f ca="1"/>
        <v>#NAME?</v>
      </c>
      <c r="W488" t="e">
        <f ca="1"/>
        <v>#NAME?</v>
      </c>
      <c r="X488" t="e">
        <f ca="1"/>
        <v>#NAME?</v>
      </c>
      <c r="Y488" t="e">
        <f ca="1"/>
        <v>#NAME?</v>
      </c>
      <c r="Z488" t="e">
        <f ca="1"/>
        <v>#NAME?</v>
      </c>
      <c r="AA488" t="e">
        <f ca="1"/>
        <v>#NAME?</v>
      </c>
      <c r="AB488" t="e">
        <f ca="1"/>
        <v>#NAME?</v>
      </c>
      <c r="AD488" s="2">
        <f t="shared" ca="1" si="72"/>
        <v>0</v>
      </c>
      <c r="AE488" s="46">
        <f t="shared" ca="1" si="73"/>
        <v>0</v>
      </c>
      <c r="AG488" s="72" t="e">
        <f t="shared" ca="1" si="77"/>
        <v>#NAME?</v>
      </c>
      <c r="AH488" s="72" t="e">
        <f t="shared" ca="1" si="78"/>
        <v>#NAME?</v>
      </c>
      <c r="AI488" s="3" t="e">
        <f t="shared" ca="1" si="79"/>
        <v>#NAME?</v>
      </c>
    </row>
    <row r="489" spans="7:35" x14ac:dyDescent="0.25">
      <c r="G489" s="3">
        <f t="shared" ca="1" si="74"/>
        <v>105</v>
      </c>
      <c r="H489" s="105">
        <f t="shared" ca="1" si="76"/>
        <v>45395</v>
      </c>
      <c r="I489" s="132" t="e">
        <f>HLOOKUP($H$4,'Met Data'!$A$2:$F$368,G489,FALSE)</f>
        <v>#N/A</v>
      </c>
      <c r="J489" s="132" t="e">
        <f ca="1">HLOOKUP($H$4,'Met Data'!$H$2:$M$368,G489,FALSE)*L489</f>
        <v>#N/A</v>
      </c>
      <c r="K489" s="106" t="e">
        <f>HLOOKUP($H$4,'Met Data'!$O$2:$T$368,G489,FALSE)</f>
        <v>#N/A</v>
      </c>
      <c r="L489">
        <f t="shared" ca="1" si="70"/>
        <v>1</v>
      </c>
      <c r="N489" t="e">
        <f t="shared" ca="1" si="75"/>
        <v>#NAME?</v>
      </c>
      <c r="O489" t="e">
        <f t="shared" ca="1" si="71"/>
        <v>#NAME?</v>
      </c>
      <c r="P489" s="2" t="e">
        <f ca="1"/>
        <v>#NAME?</v>
      </c>
      <c r="Q489" t="e">
        <f ca="1"/>
        <v>#NAME?</v>
      </c>
      <c r="R489" t="e">
        <f ca="1"/>
        <v>#NAME?</v>
      </c>
      <c r="S489" t="e">
        <f ca="1"/>
        <v>#NAME?</v>
      </c>
      <c r="T489" t="e">
        <f ca="1"/>
        <v>#NAME?</v>
      </c>
      <c r="U489" t="e">
        <f ca="1"/>
        <v>#NAME?</v>
      </c>
      <c r="V489" t="e">
        <f ca="1"/>
        <v>#NAME?</v>
      </c>
      <c r="W489" t="e">
        <f ca="1"/>
        <v>#NAME?</v>
      </c>
      <c r="X489" t="e">
        <f ca="1"/>
        <v>#NAME?</v>
      </c>
      <c r="Y489" t="e">
        <f ca="1"/>
        <v>#NAME?</v>
      </c>
      <c r="Z489" t="e">
        <f ca="1"/>
        <v>#NAME?</v>
      </c>
      <c r="AA489" t="e">
        <f ca="1"/>
        <v>#NAME?</v>
      </c>
      <c r="AB489" t="e">
        <f ca="1"/>
        <v>#NAME?</v>
      </c>
      <c r="AD489" s="2">
        <f t="shared" ca="1" si="72"/>
        <v>0</v>
      </c>
      <c r="AE489" s="46">
        <f t="shared" ca="1" si="73"/>
        <v>0</v>
      </c>
      <c r="AG489" s="72" t="e">
        <f t="shared" ca="1" si="77"/>
        <v>#NAME?</v>
      </c>
      <c r="AH489" s="72" t="e">
        <f t="shared" ca="1" si="78"/>
        <v>#NAME?</v>
      </c>
      <c r="AI489" s="3" t="e">
        <f t="shared" ca="1" si="79"/>
        <v>#NAME?</v>
      </c>
    </row>
    <row r="490" spans="7:35" x14ac:dyDescent="0.25">
      <c r="G490" s="3">
        <f t="shared" ca="1" si="74"/>
        <v>106</v>
      </c>
      <c r="H490" s="105">
        <f t="shared" ca="1" si="76"/>
        <v>45396</v>
      </c>
      <c r="I490" s="132" t="e">
        <f>HLOOKUP($H$4,'Met Data'!$A$2:$F$368,G490,FALSE)</f>
        <v>#N/A</v>
      </c>
      <c r="J490" s="132" t="e">
        <f ca="1">HLOOKUP($H$4,'Met Data'!$H$2:$M$368,G490,FALSE)*L490</f>
        <v>#N/A</v>
      </c>
      <c r="K490" s="106" t="e">
        <f>HLOOKUP($H$4,'Met Data'!$O$2:$T$368,G490,FALSE)</f>
        <v>#N/A</v>
      </c>
      <c r="L490">
        <f t="shared" ca="1" si="70"/>
        <v>1</v>
      </c>
      <c r="N490" t="e">
        <f t="shared" ca="1" si="75"/>
        <v>#NAME?</v>
      </c>
      <c r="O490" t="e">
        <f t="shared" ca="1" si="71"/>
        <v>#NAME?</v>
      </c>
      <c r="P490" s="2" t="e">
        <f ca="1"/>
        <v>#NAME?</v>
      </c>
      <c r="Q490" t="e">
        <f ca="1"/>
        <v>#NAME?</v>
      </c>
      <c r="R490" t="e">
        <f ca="1"/>
        <v>#NAME?</v>
      </c>
      <c r="S490" t="e">
        <f ca="1"/>
        <v>#NAME?</v>
      </c>
      <c r="T490" t="e">
        <f ca="1"/>
        <v>#NAME?</v>
      </c>
      <c r="U490" t="e">
        <f ca="1"/>
        <v>#NAME?</v>
      </c>
      <c r="V490" t="e">
        <f ca="1"/>
        <v>#NAME?</v>
      </c>
      <c r="W490" t="e">
        <f ca="1"/>
        <v>#NAME?</v>
      </c>
      <c r="X490" t="e">
        <f ca="1"/>
        <v>#NAME?</v>
      </c>
      <c r="Y490" t="e">
        <f ca="1"/>
        <v>#NAME?</v>
      </c>
      <c r="Z490" t="e">
        <f ca="1"/>
        <v>#NAME?</v>
      </c>
      <c r="AA490" t="e">
        <f ca="1"/>
        <v>#NAME?</v>
      </c>
      <c r="AB490" t="e">
        <f ca="1"/>
        <v>#NAME?</v>
      </c>
      <c r="AD490" s="2">
        <f t="shared" ca="1" si="72"/>
        <v>0</v>
      </c>
      <c r="AE490" s="46">
        <f t="shared" ca="1" si="73"/>
        <v>0</v>
      </c>
      <c r="AG490" s="72" t="e">
        <f t="shared" ca="1" si="77"/>
        <v>#NAME?</v>
      </c>
      <c r="AH490" s="72" t="e">
        <f t="shared" ca="1" si="78"/>
        <v>#NAME?</v>
      </c>
      <c r="AI490" s="3" t="e">
        <f t="shared" ca="1" si="79"/>
        <v>#NAME?</v>
      </c>
    </row>
    <row r="491" spans="7:35" x14ac:dyDescent="0.25">
      <c r="G491" s="3">
        <f t="shared" ca="1" si="74"/>
        <v>107</v>
      </c>
      <c r="H491" s="105">
        <f t="shared" ca="1" si="76"/>
        <v>45397</v>
      </c>
      <c r="I491" s="132" t="e">
        <f>HLOOKUP($H$4,'Met Data'!$A$2:$F$368,G491,FALSE)</f>
        <v>#N/A</v>
      </c>
      <c r="J491" s="132" t="e">
        <f ca="1">HLOOKUP($H$4,'Met Data'!$H$2:$M$368,G491,FALSE)*L491</f>
        <v>#N/A</v>
      </c>
      <c r="K491" s="106" t="e">
        <f>HLOOKUP($H$4,'Met Data'!$O$2:$T$368,G491,FALSE)</f>
        <v>#N/A</v>
      </c>
      <c r="L491">
        <f t="shared" ca="1" si="70"/>
        <v>1</v>
      </c>
      <c r="N491" t="e">
        <f t="shared" ca="1" si="75"/>
        <v>#NAME?</v>
      </c>
      <c r="O491" t="e">
        <f t="shared" ca="1" si="71"/>
        <v>#NAME?</v>
      </c>
      <c r="P491" s="2" t="e">
        <f ca="1"/>
        <v>#NAME?</v>
      </c>
      <c r="Q491" t="e">
        <f ca="1"/>
        <v>#NAME?</v>
      </c>
      <c r="R491" t="e">
        <f ca="1"/>
        <v>#NAME?</v>
      </c>
      <c r="S491" t="e">
        <f ca="1"/>
        <v>#NAME?</v>
      </c>
      <c r="T491" t="e">
        <f ca="1"/>
        <v>#NAME?</v>
      </c>
      <c r="U491" t="e">
        <f ca="1"/>
        <v>#NAME?</v>
      </c>
      <c r="V491" t="e">
        <f ca="1"/>
        <v>#NAME?</v>
      </c>
      <c r="W491" t="e">
        <f ca="1"/>
        <v>#NAME?</v>
      </c>
      <c r="X491" t="e">
        <f ca="1"/>
        <v>#NAME?</v>
      </c>
      <c r="Y491" t="e">
        <f ca="1"/>
        <v>#NAME?</v>
      </c>
      <c r="Z491" t="e">
        <f ca="1"/>
        <v>#NAME?</v>
      </c>
      <c r="AA491" t="e">
        <f ca="1"/>
        <v>#NAME?</v>
      </c>
      <c r="AB491" t="e">
        <f ca="1"/>
        <v>#NAME?</v>
      </c>
      <c r="AD491" s="2">
        <f t="shared" ca="1" si="72"/>
        <v>0</v>
      </c>
      <c r="AE491" s="46">
        <f t="shared" ca="1" si="73"/>
        <v>0</v>
      </c>
      <c r="AG491" s="72" t="e">
        <f t="shared" ca="1" si="77"/>
        <v>#NAME?</v>
      </c>
      <c r="AH491" s="72" t="e">
        <f t="shared" ca="1" si="78"/>
        <v>#NAME?</v>
      </c>
      <c r="AI491" s="3" t="e">
        <f t="shared" ca="1" si="79"/>
        <v>#NAME?</v>
      </c>
    </row>
    <row r="492" spans="7:35" x14ac:dyDescent="0.25">
      <c r="G492" s="3">
        <f t="shared" ca="1" si="74"/>
        <v>108</v>
      </c>
      <c r="H492" s="105">
        <f t="shared" ca="1" si="76"/>
        <v>45398</v>
      </c>
      <c r="I492" s="132" t="e">
        <f>HLOOKUP($H$4,'Met Data'!$A$2:$F$368,G492,FALSE)</f>
        <v>#N/A</v>
      </c>
      <c r="J492" s="132" t="e">
        <f ca="1">HLOOKUP($H$4,'Met Data'!$H$2:$M$368,G492,FALSE)*L492</f>
        <v>#N/A</v>
      </c>
      <c r="K492" s="106" t="e">
        <f>HLOOKUP($H$4,'Met Data'!$O$2:$T$368,G492,FALSE)</f>
        <v>#N/A</v>
      </c>
      <c r="L492">
        <f t="shared" ca="1" si="70"/>
        <v>1</v>
      </c>
      <c r="N492" t="e">
        <f t="shared" ca="1" si="75"/>
        <v>#NAME?</v>
      </c>
      <c r="O492" t="e">
        <f t="shared" ca="1" si="71"/>
        <v>#NAME?</v>
      </c>
      <c r="P492" s="2" t="e">
        <f ca="1"/>
        <v>#NAME?</v>
      </c>
      <c r="Q492" t="e">
        <f ca="1"/>
        <v>#NAME?</v>
      </c>
      <c r="R492" t="e">
        <f ca="1"/>
        <v>#NAME?</v>
      </c>
      <c r="S492" t="e">
        <f ca="1"/>
        <v>#NAME?</v>
      </c>
      <c r="T492" t="e">
        <f ca="1"/>
        <v>#NAME?</v>
      </c>
      <c r="U492" t="e">
        <f ca="1"/>
        <v>#NAME?</v>
      </c>
      <c r="V492" t="e">
        <f ca="1"/>
        <v>#NAME?</v>
      </c>
      <c r="W492" t="e">
        <f ca="1"/>
        <v>#NAME?</v>
      </c>
      <c r="X492" t="e">
        <f ca="1"/>
        <v>#NAME?</v>
      </c>
      <c r="Y492" t="e">
        <f ca="1"/>
        <v>#NAME?</v>
      </c>
      <c r="Z492" t="e">
        <f ca="1"/>
        <v>#NAME?</v>
      </c>
      <c r="AA492" t="e">
        <f ca="1"/>
        <v>#NAME?</v>
      </c>
      <c r="AB492" t="e">
        <f ca="1"/>
        <v>#NAME?</v>
      </c>
      <c r="AD492" s="2">
        <f t="shared" ca="1" si="72"/>
        <v>0</v>
      </c>
      <c r="AE492" s="46">
        <f t="shared" ca="1" si="73"/>
        <v>0</v>
      </c>
      <c r="AG492" s="72" t="e">
        <f t="shared" ca="1" si="77"/>
        <v>#NAME?</v>
      </c>
      <c r="AH492" s="72" t="e">
        <f t="shared" ca="1" si="78"/>
        <v>#NAME?</v>
      </c>
      <c r="AI492" s="3" t="e">
        <f t="shared" ca="1" si="79"/>
        <v>#NAME?</v>
      </c>
    </row>
    <row r="493" spans="7:35" x14ac:dyDescent="0.25">
      <c r="G493" s="3">
        <f t="shared" ca="1" si="74"/>
        <v>109</v>
      </c>
      <c r="H493" s="105">
        <f t="shared" ca="1" si="76"/>
        <v>45399</v>
      </c>
      <c r="I493" s="132" t="e">
        <f>HLOOKUP($H$4,'Met Data'!$A$2:$F$368,G493,FALSE)</f>
        <v>#N/A</v>
      </c>
      <c r="J493" s="132" t="e">
        <f ca="1">HLOOKUP($H$4,'Met Data'!$H$2:$M$368,G493,FALSE)*L493</f>
        <v>#N/A</v>
      </c>
      <c r="K493" s="106" t="e">
        <f>HLOOKUP($H$4,'Met Data'!$O$2:$T$368,G493,FALSE)</f>
        <v>#N/A</v>
      </c>
      <c r="L493">
        <f t="shared" ca="1" si="70"/>
        <v>1</v>
      </c>
      <c r="N493" t="e">
        <f t="shared" ca="1" si="75"/>
        <v>#NAME?</v>
      </c>
      <c r="O493" t="e">
        <f t="shared" ca="1" si="71"/>
        <v>#NAME?</v>
      </c>
      <c r="P493" s="2" t="e">
        <f ca="1"/>
        <v>#NAME?</v>
      </c>
      <c r="Q493" t="e">
        <f ca="1"/>
        <v>#NAME?</v>
      </c>
      <c r="R493" t="e">
        <f ca="1"/>
        <v>#NAME?</v>
      </c>
      <c r="S493" t="e">
        <f ca="1"/>
        <v>#NAME?</v>
      </c>
      <c r="T493" t="e">
        <f ca="1"/>
        <v>#NAME?</v>
      </c>
      <c r="U493" t="e">
        <f ca="1"/>
        <v>#NAME?</v>
      </c>
      <c r="V493" t="e">
        <f ca="1"/>
        <v>#NAME?</v>
      </c>
      <c r="W493" t="e">
        <f ca="1"/>
        <v>#NAME?</v>
      </c>
      <c r="X493" t="e">
        <f ca="1"/>
        <v>#NAME?</v>
      </c>
      <c r="Y493" t="e">
        <f ca="1"/>
        <v>#NAME?</v>
      </c>
      <c r="Z493" t="e">
        <f ca="1"/>
        <v>#NAME?</v>
      </c>
      <c r="AA493" t="e">
        <f ca="1"/>
        <v>#NAME?</v>
      </c>
      <c r="AB493" t="e">
        <f ca="1"/>
        <v>#NAME?</v>
      </c>
      <c r="AD493" s="2">
        <f t="shared" ca="1" si="72"/>
        <v>0</v>
      </c>
      <c r="AE493" s="46">
        <f t="shared" ca="1" si="73"/>
        <v>0</v>
      </c>
      <c r="AG493" s="72" t="e">
        <f t="shared" ca="1" si="77"/>
        <v>#NAME?</v>
      </c>
      <c r="AH493" s="72" t="e">
        <f t="shared" ca="1" si="78"/>
        <v>#NAME?</v>
      </c>
      <c r="AI493" s="3" t="e">
        <f t="shared" ca="1" si="79"/>
        <v>#NAME?</v>
      </c>
    </row>
    <row r="494" spans="7:35" x14ac:dyDescent="0.25">
      <c r="G494" s="3">
        <f t="shared" ca="1" si="74"/>
        <v>110</v>
      </c>
      <c r="H494" s="105">
        <f t="shared" ca="1" si="76"/>
        <v>45400</v>
      </c>
      <c r="I494" s="132" t="e">
        <f>HLOOKUP($H$4,'Met Data'!$A$2:$F$368,G494,FALSE)</f>
        <v>#N/A</v>
      </c>
      <c r="J494" s="132" t="e">
        <f ca="1">HLOOKUP($H$4,'Met Data'!$H$2:$M$368,G494,FALSE)*L494</f>
        <v>#N/A</v>
      </c>
      <c r="K494" s="106" t="e">
        <f>HLOOKUP($H$4,'Met Data'!$O$2:$T$368,G494,FALSE)</f>
        <v>#N/A</v>
      </c>
      <c r="L494">
        <f t="shared" ca="1" si="70"/>
        <v>1</v>
      </c>
      <c r="N494" t="e">
        <f t="shared" ca="1" si="75"/>
        <v>#NAME?</v>
      </c>
      <c r="O494" t="e">
        <f t="shared" ca="1" si="71"/>
        <v>#NAME?</v>
      </c>
      <c r="P494" s="2" t="e">
        <f ca="1"/>
        <v>#NAME?</v>
      </c>
      <c r="Q494" t="e">
        <f ca="1"/>
        <v>#NAME?</v>
      </c>
      <c r="R494" t="e">
        <f ca="1"/>
        <v>#NAME?</v>
      </c>
      <c r="S494" t="e">
        <f ca="1"/>
        <v>#NAME?</v>
      </c>
      <c r="T494" t="e">
        <f ca="1"/>
        <v>#NAME?</v>
      </c>
      <c r="U494" t="e">
        <f ca="1"/>
        <v>#NAME?</v>
      </c>
      <c r="V494" t="e">
        <f ca="1"/>
        <v>#NAME?</v>
      </c>
      <c r="W494" t="e">
        <f ca="1"/>
        <v>#NAME?</v>
      </c>
      <c r="X494" t="e">
        <f ca="1"/>
        <v>#NAME?</v>
      </c>
      <c r="Y494" t="e">
        <f ca="1"/>
        <v>#NAME?</v>
      </c>
      <c r="Z494" t="e">
        <f ca="1"/>
        <v>#NAME?</v>
      </c>
      <c r="AA494" t="e">
        <f ca="1"/>
        <v>#NAME?</v>
      </c>
      <c r="AB494" t="e">
        <f ca="1"/>
        <v>#NAME?</v>
      </c>
      <c r="AD494" s="2">
        <f t="shared" ca="1" si="72"/>
        <v>0</v>
      </c>
      <c r="AE494" s="46">
        <f t="shared" ca="1" si="73"/>
        <v>0</v>
      </c>
      <c r="AG494" s="72" t="e">
        <f t="shared" ca="1" si="77"/>
        <v>#NAME?</v>
      </c>
      <c r="AH494" s="72" t="e">
        <f t="shared" ca="1" si="78"/>
        <v>#NAME?</v>
      </c>
      <c r="AI494" s="3" t="e">
        <f t="shared" ca="1" si="79"/>
        <v>#NAME?</v>
      </c>
    </row>
    <row r="495" spans="7:35" ht="15.75" thickBot="1" x14ac:dyDescent="0.3">
      <c r="G495" s="3">
        <f t="shared" ca="1" si="74"/>
        <v>111</v>
      </c>
      <c r="H495" s="107">
        <f t="shared" ca="1" si="76"/>
        <v>45401</v>
      </c>
      <c r="I495" s="134" t="e">
        <f>HLOOKUP($H$4,'Met Data'!$A$2:$F$368,G495,FALSE)</f>
        <v>#N/A</v>
      </c>
      <c r="J495" s="132" t="e">
        <f ca="1">HLOOKUP($H$4,'Met Data'!$H$2:$M$368,G495,FALSE)*L495</f>
        <v>#N/A</v>
      </c>
      <c r="K495" s="108" t="e">
        <f>HLOOKUP($H$4,'Met Data'!$O$2:$T$368,G495,FALSE)</f>
        <v>#N/A</v>
      </c>
      <c r="L495">
        <f t="shared" ca="1" si="70"/>
        <v>1</v>
      </c>
      <c r="N495" t="e">
        <f t="shared" ca="1" si="75"/>
        <v>#NAME?</v>
      </c>
      <c r="O495" t="e">
        <f t="shared" ca="1" si="71"/>
        <v>#NAME?</v>
      </c>
      <c r="P495" s="2" t="e">
        <f ca="1"/>
        <v>#NAME?</v>
      </c>
      <c r="Q495" t="e">
        <f ca="1"/>
        <v>#NAME?</v>
      </c>
      <c r="R495" t="e">
        <f ca="1"/>
        <v>#NAME?</v>
      </c>
      <c r="S495" t="e">
        <f ca="1"/>
        <v>#NAME?</v>
      </c>
      <c r="T495" t="e">
        <f ca="1"/>
        <v>#NAME?</v>
      </c>
      <c r="U495" t="e">
        <f ca="1"/>
        <v>#NAME?</v>
      </c>
      <c r="V495" t="e">
        <f ca="1"/>
        <v>#NAME?</v>
      </c>
      <c r="W495" t="e">
        <f ca="1"/>
        <v>#NAME?</v>
      </c>
      <c r="X495" t="e">
        <f ca="1"/>
        <v>#NAME?</v>
      </c>
      <c r="Y495" t="e">
        <f ca="1"/>
        <v>#NAME?</v>
      </c>
      <c r="Z495" t="e">
        <f ca="1"/>
        <v>#NAME?</v>
      </c>
      <c r="AA495" t="e">
        <f ca="1"/>
        <v>#NAME?</v>
      </c>
      <c r="AB495" t="e">
        <f ca="1"/>
        <v>#NAME?</v>
      </c>
      <c r="AD495" s="2">
        <f t="shared" ca="1" si="72"/>
        <v>0</v>
      </c>
      <c r="AE495" s="46">
        <f t="shared" ca="1" si="73"/>
        <v>0</v>
      </c>
      <c r="AG495" s="72" t="e">
        <f t="shared" ca="1" si="77"/>
        <v>#NAME?</v>
      </c>
      <c r="AH495" s="72" t="e">
        <f t="shared" ca="1" si="78"/>
        <v>#NAME?</v>
      </c>
      <c r="AI495" s="3" t="e">
        <f t="shared" ca="1" si="79"/>
        <v>#NAME?</v>
      </c>
    </row>
  </sheetData>
  <mergeCells count="2">
    <mergeCell ref="D11:E11"/>
    <mergeCell ref="A1:B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BA38"/>
  <sheetViews>
    <sheetView topLeftCell="T1" workbookViewId="0">
      <selection activeCell="AH14" sqref="AH14"/>
    </sheetView>
  </sheetViews>
  <sheetFormatPr defaultRowHeight="15" x14ac:dyDescent="0.25"/>
  <cols>
    <col min="1" max="1" width="15.140625" bestFit="1" customWidth="1"/>
    <col min="2" max="2" width="18.85546875" bestFit="1" customWidth="1"/>
    <col min="3" max="3" width="16.28515625" bestFit="1" customWidth="1"/>
    <col min="4" max="4" width="5.5703125" bestFit="1" customWidth="1"/>
    <col min="5" max="5" width="7.28515625" bestFit="1" customWidth="1"/>
    <col min="6" max="6" width="5.85546875" bestFit="1" customWidth="1"/>
    <col min="7" max="7" width="14" bestFit="1" customWidth="1"/>
    <col min="8" max="8" width="5.42578125" bestFit="1" customWidth="1"/>
    <col min="9" max="9" width="10.140625" bestFit="1" customWidth="1"/>
    <col min="10" max="10" width="7.28515625" bestFit="1" customWidth="1"/>
    <col min="11" max="11" width="11.28515625" bestFit="1" customWidth="1"/>
    <col min="12" max="12" width="15.5703125" bestFit="1" customWidth="1"/>
    <col min="20" max="20" width="13.85546875" bestFit="1" customWidth="1"/>
  </cols>
  <sheetData>
    <row r="1" spans="1:53" x14ac:dyDescent="0.25">
      <c r="A1" s="35" t="s">
        <v>45</v>
      </c>
      <c r="B1" s="58" t="s">
        <v>44</v>
      </c>
      <c r="C1" s="58" t="s">
        <v>56</v>
      </c>
      <c r="D1" s="58" t="s">
        <v>98</v>
      </c>
      <c r="E1" s="58" t="s">
        <v>81</v>
      </c>
      <c r="F1" s="58" t="s">
        <v>80</v>
      </c>
      <c r="G1" s="58" t="s">
        <v>79</v>
      </c>
      <c r="H1" s="58" t="s">
        <v>51</v>
      </c>
      <c r="I1" s="58" t="s">
        <v>65</v>
      </c>
      <c r="J1" s="58" t="s">
        <v>11</v>
      </c>
      <c r="K1" s="58" t="s">
        <v>77</v>
      </c>
      <c r="L1" s="58" t="s">
        <v>52</v>
      </c>
      <c r="M1" s="58" t="s">
        <v>84</v>
      </c>
      <c r="N1" s="58" t="s">
        <v>64</v>
      </c>
      <c r="O1" s="58" t="s">
        <v>86</v>
      </c>
      <c r="P1" s="58" t="s">
        <v>38</v>
      </c>
      <c r="Q1" s="58" t="s">
        <v>76</v>
      </c>
      <c r="R1" s="58" t="s">
        <v>35</v>
      </c>
      <c r="S1" s="58" t="s">
        <v>41</v>
      </c>
      <c r="T1" s="58" t="s">
        <v>92</v>
      </c>
      <c r="U1" s="58" t="s">
        <v>71</v>
      </c>
      <c r="V1" s="58" t="s">
        <v>54</v>
      </c>
      <c r="W1" s="58" t="s">
        <v>6</v>
      </c>
      <c r="X1" s="58" t="s">
        <v>55</v>
      </c>
      <c r="Y1" s="58" t="s">
        <v>59</v>
      </c>
      <c r="Z1" s="58" t="s">
        <v>49</v>
      </c>
      <c r="AA1" s="58" t="s">
        <v>61</v>
      </c>
      <c r="AB1" s="58" t="s">
        <v>37</v>
      </c>
      <c r="AC1" s="58" t="s">
        <v>7</v>
      </c>
      <c r="AD1" s="58" t="s">
        <v>63</v>
      </c>
      <c r="AE1" s="58" t="s">
        <v>95</v>
      </c>
      <c r="AF1" s="58" t="s">
        <v>57</v>
      </c>
      <c r="AG1" s="58" t="s">
        <v>60</v>
      </c>
      <c r="AH1" s="58" t="s">
        <v>8</v>
      </c>
      <c r="AI1" s="58" t="s">
        <v>90</v>
      </c>
      <c r="AJ1" s="58" t="s">
        <v>67</v>
      </c>
      <c r="AK1" s="58" t="s">
        <v>40</v>
      </c>
      <c r="AL1" s="58" t="s">
        <v>62</v>
      </c>
      <c r="AM1" s="58" t="s">
        <v>88</v>
      </c>
      <c r="AN1" s="58" t="s">
        <v>46</v>
      </c>
      <c r="AO1" s="58" t="s">
        <v>66</v>
      </c>
      <c r="AP1" s="58" t="s">
        <v>78</v>
      </c>
      <c r="AQ1" s="58" t="s">
        <v>97</v>
      </c>
      <c r="AR1" s="58" t="s">
        <v>75</v>
      </c>
      <c r="AS1" s="58" t="s">
        <v>89</v>
      </c>
      <c r="AT1" s="58" t="s">
        <v>53</v>
      </c>
      <c r="AU1" s="58" t="s">
        <v>39</v>
      </c>
      <c r="AV1" s="58" t="s">
        <v>99</v>
      </c>
      <c r="AW1" s="58" t="s">
        <v>96</v>
      </c>
      <c r="AX1" s="58" t="s">
        <v>48</v>
      </c>
      <c r="AY1" s="58" t="s">
        <v>32</v>
      </c>
      <c r="AZ1" s="59" t="s">
        <v>42</v>
      </c>
      <c r="BA1" s="1"/>
    </row>
    <row r="2" spans="1:53" x14ac:dyDescent="0.25">
      <c r="A2" s="14" t="s">
        <v>33</v>
      </c>
      <c r="B2" s="28" t="s">
        <v>33</v>
      </c>
      <c r="C2" s="28" t="s">
        <v>33</v>
      </c>
      <c r="D2" s="28" t="s">
        <v>33</v>
      </c>
      <c r="E2" s="28" t="s">
        <v>82</v>
      </c>
      <c r="F2" s="28" t="s">
        <v>33</v>
      </c>
      <c r="G2" s="28" t="s">
        <v>33</v>
      </c>
      <c r="H2" s="28" t="s">
        <v>33</v>
      </c>
      <c r="I2" s="28" t="s">
        <v>33</v>
      </c>
      <c r="J2" s="28" t="s">
        <v>33</v>
      </c>
      <c r="K2" s="28" t="s">
        <v>33</v>
      </c>
      <c r="L2" s="28" t="s">
        <v>33</v>
      </c>
      <c r="M2" s="28" t="s">
        <v>33</v>
      </c>
      <c r="N2" s="28" t="s">
        <v>33</v>
      </c>
      <c r="O2" s="28" t="s">
        <v>33</v>
      </c>
      <c r="P2" s="28" t="s">
        <v>33</v>
      </c>
      <c r="Q2" s="28" t="s">
        <v>33</v>
      </c>
      <c r="R2" s="28" t="s">
        <v>33</v>
      </c>
      <c r="S2" s="28" t="s">
        <v>33</v>
      </c>
      <c r="T2" s="28" t="s">
        <v>33</v>
      </c>
      <c r="U2" s="28" t="s">
        <v>33</v>
      </c>
      <c r="V2" s="28" t="s">
        <v>33</v>
      </c>
      <c r="W2" s="28" t="s">
        <v>93</v>
      </c>
      <c r="X2" s="28" t="s">
        <v>33</v>
      </c>
      <c r="Y2" s="28" t="s">
        <v>33</v>
      </c>
      <c r="Z2" s="28" t="s">
        <v>33</v>
      </c>
      <c r="AA2" s="28" t="s">
        <v>33</v>
      </c>
      <c r="AB2" s="28" t="s">
        <v>33</v>
      </c>
      <c r="AC2" s="28" t="s">
        <v>72</v>
      </c>
      <c r="AD2" s="28" t="s">
        <v>33</v>
      </c>
      <c r="AE2" s="28" t="s">
        <v>33</v>
      </c>
      <c r="AF2" s="28" t="s">
        <v>33</v>
      </c>
      <c r="AG2" s="28" t="s">
        <v>33</v>
      </c>
      <c r="AH2" s="28" t="s">
        <v>33</v>
      </c>
      <c r="AI2" s="28" t="s">
        <v>33</v>
      </c>
      <c r="AJ2" s="28" t="s">
        <v>68</v>
      </c>
      <c r="AK2" s="28" t="s">
        <v>33</v>
      </c>
      <c r="AL2" s="28" t="s">
        <v>33</v>
      </c>
      <c r="AM2" s="28" t="s">
        <v>33</v>
      </c>
      <c r="AN2" s="28" t="s">
        <v>33</v>
      </c>
      <c r="AO2" s="28" t="s">
        <v>33</v>
      </c>
      <c r="AP2" s="28" t="s">
        <v>33</v>
      </c>
      <c r="AQ2" s="28" t="s">
        <v>33</v>
      </c>
      <c r="AR2" s="28" t="s">
        <v>33</v>
      </c>
      <c r="AS2" s="28" t="s">
        <v>33</v>
      </c>
      <c r="AT2" s="28" t="s">
        <v>33</v>
      </c>
      <c r="AU2" s="28" t="s">
        <v>33</v>
      </c>
      <c r="AV2" s="28" t="s">
        <v>33</v>
      </c>
      <c r="AW2" s="28" t="s">
        <v>33</v>
      </c>
      <c r="AX2" s="28" t="s">
        <v>33</v>
      </c>
      <c r="AY2" s="28" t="s">
        <v>33</v>
      </c>
      <c r="AZ2" s="15" t="s">
        <v>31</v>
      </c>
    </row>
    <row r="3" spans="1:53" x14ac:dyDescent="0.25">
      <c r="A3" s="14"/>
      <c r="B3" s="28"/>
      <c r="C3" s="28"/>
      <c r="D3" s="28"/>
      <c r="E3" s="28" t="s">
        <v>83</v>
      </c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 t="s">
        <v>94</v>
      </c>
      <c r="X3" s="28"/>
      <c r="Y3" s="28"/>
      <c r="Z3" s="28"/>
      <c r="AA3" s="28"/>
      <c r="AB3" s="28"/>
      <c r="AC3" s="28" t="s">
        <v>73</v>
      </c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15" t="s">
        <v>43</v>
      </c>
    </row>
    <row r="4" spans="1:53" x14ac:dyDescent="0.25">
      <c r="A4" s="14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 t="s">
        <v>74</v>
      </c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15"/>
    </row>
    <row r="5" spans="1:53" ht="15.75" thickBot="1" x14ac:dyDescent="0.3">
      <c r="A5" s="16"/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  <c r="AP5" s="30"/>
      <c r="AQ5" s="30"/>
      <c r="AR5" s="30"/>
      <c r="AS5" s="30"/>
      <c r="AT5" s="30"/>
      <c r="AU5" s="30"/>
      <c r="AV5" s="30"/>
      <c r="AW5" s="30"/>
      <c r="AX5" s="30"/>
      <c r="AY5" s="30"/>
      <c r="AZ5" s="17"/>
    </row>
    <row r="6" spans="1:53" ht="15.75" thickBot="1" x14ac:dyDescent="0.3">
      <c r="AI6" t="s">
        <v>239</v>
      </c>
      <c r="AJ6" t="s">
        <v>241</v>
      </c>
    </row>
    <row r="7" spans="1:53" x14ac:dyDescent="0.25">
      <c r="A7" s="51" t="s">
        <v>31</v>
      </c>
      <c r="B7" s="52" t="s">
        <v>34</v>
      </c>
      <c r="C7" s="52" t="s">
        <v>36</v>
      </c>
      <c r="D7" s="52" t="s">
        <v>50</v>
      </c>
      <c r="E7" s="52" t="s">
        <v>58</v>
      </c>
      <c r="F7" s="52" t="s">
        <v>20</v>
      </c>
      <c r="G7" s="53" t="s">
        <v>70</v>
      </c>
      <c r="J7" s="35" t="s">
        <v>107</v>
      </c>
      <c r="L7" s="50" t="s">
        <v>108</v>
      </c>
      <c r="N7" s="47" t="s">
        <v>173</v>
      </c>
      <c r="P7" s="47" t="s">
        <v>174</v>
      </c>
      <c r="R7" s="47" t="s">
        <v>1</v>
      </c>
      <c r="U7" s="47" t="s">
        <v>3</v>
      </c>
      <c r="X7" s="129" t="s">
        <v>201</v>
      </c>
      <c r="Z7" s="129" t="s">
        <v>220</v>
      </c>
      <c r="AA7">
        <v>1.7</v>
      </c>
      <c r="AC7" t="s">
        <v>223</v>
      </c>
      <c r="AE7" t="s">
        <v>232</v>
      </c>
      <c r="AF7">
        <v>2</v>
      </c>
      <c r="AH7" t="s">
        <v>234</v>
      </c>
      <c r="AI7">
        <v>0.7</v>
      </c>
      <c r="AJ7">
        <v>0.76</v>
      </c>
    </row>
    <row r="8" spans="1:53" x14ac:dyDescent="0.25">
      <c r="A8" s="54" t="s">
        <v>32</v>
      </c>
      <c r="B8" s="55" t="s">
        <v>35</v>
      </c>
      <c r="C8" s="55" t="s">
        <v>45</v>
      </c>
      <c r="D8" s="55" t="s">
        <v>44</v>
      </c>
      <c r="E8" s="55" t="s">
        <v>59</v>
      </c>
      <c r="F8" s="55" t="s">
        <v>65</v>
      </c>
      <c r="G8" s="56" t="s">
        <v>56</v>
      </c>
      <c r="J8" s="14" t="s">
        <v>20</v>
      </c>
      <c r="L8" s="48" t="s">
        <v>21</v>
      </c>
      <c r="N8" s="48" t="s">
        <v>172</v>
      </c>
      <c r="P8" s="48" t="s">
        <v>181</v>
      </c>
      <c r="R8" s="48" t="s">
        <v>2</v>
      </c>
      <c r="S8">
        <v>1000</v>
      </c>
      <c r="U8" s="48" t="s">
        <v>194</v>
      </c>
      <c r="V8">
        <v>1</v>
      </c>
      <c r="X8" s="48" t="s">
        <v>202</v>
      </c>
      <c r="Z8" s="48" t="s">
        <v>208</v>
      </c>
      <c r="AA8">
        <v>1.35</v>
      </c>
      <c r="AC8" t="s">
        <v>231</v>
      </c>
      <c r="AE8" t="s">
        <v>233</v>
      </c>
      <c r="AF8">
        <v>3</v>
      </c>
      <c r="AH8" t="s">
        <v>72</v>
      </c>
      <c r="AI8">
        <v>1.1499999999999999</v>
      </c>
      <c r="AJ8">
        <v>1.22</v>
      </c>
    </row>
    <row r="9" spans="1:53" ht="15.75" thickBot="1" x14ac:dyDescent="0.3">
      <c r="A9" s="14"/>
      <c r="B9" s="28"/>
      <c r="C9" s="55" t="s">
        <v>44</v>
      </c>
      <c r="D9" s="55" t="s">
        <v>56</v>
      </c>
      <c r="E9" s="55" t="s">
        <v>61</v>
      </c>
      <c r="F9" s="55" t="s">
        <v>64</v>
      </c>
      <c r="G9" s="56" t="s">
        <v>98</v>
      </c>
      <c r="J9" s="16" t="s">
        <v>22</v>
      </c>
      <c r="L9" s="48" t="s">
        <v>23</v>
      </c>
      <c r="N9" s="48" t="s">
        <v>109</v>
      </c>
      <c r="P9" s="48" t="s">
        <v>183</v>
      </c>
      <c r="R9" s="48" t="s">
        <v>110</v>
      </c>
      <c r="S9">
        <v>1</v>
      </c>
      <c r="U9" s="48" t="s">
        <v>195</v>
      </c>
      <c r="V9">
        <v>2</v>
      </c>
      <c r="X9" s="48" t="s">
        <v>204</v>
      </c>
      <c r="Z9" s="48" t="s">
        <v>207</v>
      </c>
      <c r="AA9">
        <v>1</v>
      </c>
      <c r="AH9" t="s">
        <v>235</v>
      </c>
      <c r="AI9">
        <v>1.1499999999999999</v>
      </c>
      <c r="AJ9">
        <v>1.2</v>
      </c>
    </row>
    <row r="10" spans="1:53" ht="15.75" thickBot="1" x14ac:dyDescent="0.3">
      <c r="A10" s="14"/>
      <c r="B10" s="28"/>
      <c r="C10" s="55" t="s">
        <v>38</v>
      </c>
      <c r="D10" s="55" t="s">
        <v>51</v>
      </c>
      <c r="E10" s="55" t="s">
        <v>60</v>
      </c>
      <c r="F10" s="55" t="s">
        <v>63</v>
      </c>
      <c r="G10" s="56" t="s">
        <v>81</v>
      </c>
      <c r="L10" s="48" t="s">
        <v>24</v>
      </c>
      <c r="N10" s="48" t="s">
        <v>111</v>
      </c>
      <c r="P10" s="49" t="s">
        <v>182</v>
      </c>
      <c r="R10" s="49" t="s">
        <v>16</v>
      </c>
      <c r="S10">
        <v>1</v>
      </c>
      <c r="U10" s="49" t="s">
        <v>196</v>
      </c>
      <c r="V10">
        <v>3</v>
      </c>
      <c r="X10" s="49" t="s">
        <v>203</v>
      </c>
      <c r="Z10" s="48" t="s">
        <v>209</v>
      </c>
      <c r="AA10">
        <v>0.65</v>
      </c>
      <c r="AH10" t="s">
        <v>236</v>
      </c>
      <c r="AI10">
        <v>0.8</v>
      </c>
      <c r="AJ10">
        <v>0.83</v>
      </c>
    </row>
    <row r="11" spans="1:53" ht="15.75" thickBot="1" x14ac:dyDescent="0.3">
      <c r="A11" s="14"/>
      <c r="B11" s="28"/>
      <c r="C11" s="55" t="s">
        <v>41</v>
      </c>
      <c r="D11" s="55" t="s">
        <v>52</v>
      </c>
      <c r="E11" s="55" t="s">
        <v>40</v>
      </c>
      <c r="F11" s="55" t="s">
        <v>67</v>
      </c>
      <c r="G11" s="56" t="s">
        <v>80</v>
      </c>
      <c r="L11" s="48" t="s">
        <v>25</v>
      </c>
      <c r="N11" s="48" t="s">
        <v>112</v>
      </c>
      <c r="Z11" s="49" t="s">
        <v>221</v>
      </c>
      <c r="AA11">
        <v>0.3</v>
      </c>
      <c r="AH11" t="s">
        <v>237</v>
      </c>
      <c r="AI11">
        <v>1.17</v>
      </c>
      <c r="AJ11">
        <v>1.24</v>
      </c>
    </row>
    <row r="12" spans="1:53" x14ac:dyDescent="0.25">
      <c r="A12" s="14"/>
      <c r="B12" s="28"/>
      <c r="C12" s="55" t="s">
        <v>49</v>
      </c>
      <c r="D12" s="55" t="s">
        <v>35</v>
      </c>
      <c r="E12" s="55" t="s">
        <v>42</v>
      </c>
      <c r="F12" s="55" t="s">
        <v>40</v>
      </c>
      <c r="G12" s="56" t="s">
        <v>79</v>
      </c>
      <c r="L12" s="48" t="s">
        <v>26</v>
      </c>
      <c r="N12" s="48" t="s">
        <v>156</v>
      </c>
      <c r="AH12" t="s">
        <v>238</v>
      </c>
      <c r="AI12">
        <v>1.1599999999999999</v>
      </c>
      <c r="AJ12">
        <v>1.19</v>
      </c>
    </row>
    <row r="13" spans="1:53" ht="15.75" thickBot="1" x14ac:dyDescent="0.3">
      <c r="A13" s="14"/>
      <c r="B13" s="28"/>
      <c r="C13" s="55" t="s">
        <v>37</v>
      </c>
      <c r="D13" s="55" t="s">
        <v>54</v>
      </c>
      <c r="E13" s="28"/>
      <c r="F13" s="55" t="s">
        <v>62</v>
      </c>
      <c r="G13" s="56" t="s">
        <v>65</v>
      </c>
      <c r="L13" s="49" t="s">
        <v>113</v>
      </c>
      <c r="N13" s="49"/>
      <c r="AH13" t="s">
        <v>242</v>
      </c>
    </row>
    <row r="14" spans="1:53" x14ac:dyDescent="0.25">
      <c r="A14" s="14"/>
      <c r="B14" s="28"/>
      <c r="C14" s="55" t="s">
        <v>40</v>
      </c>
      <c r="D14" s="55" t="s">
        <v>55</v>
      </c>
      <c r="E14" s="28"/>
      <c r="F14" s="55" t="s">
        <v>66</v>
      </c>
      <c r="G14" s="56" t="s">
        <v>11</v>
      </c>
    </row>
    <row r="15" spans="1:53" x14ac:dyDescent="0.25">
      <c r="A15" s="14"/>
      <c r="B15" s="28"/>
      <c r="C15" s="55" t="s">
        <v>46</v>
      </c>
      <c r="D15" s="55" t="s">
        <v>49</v>
      </c>
      <c r="E15" s="28"/>
      <c r="F15" s="55" t="s">
        <v>69</v>
      </c>
      <c r="G15" s="56" t="s">
        <v>77</v>
      </c>
    </row>
    <row r="16" spans="1:53" x14ac:dyDescent="0.25">
      <c r="A16" s="14"/>
      <c r="B16" s="28"/>
      <c r="C16" s="55" t="s">
        <v>39</v>
      </c>
      <c r="D16" s="55" t="s">
        <v>37</v>
      </c>
      <c r="E16" s="28"/>
      <c r="F16" s="28"/>
      <c r="G16" s="56" t="s">
        <v>84</v>
      </c>
    </row>
    <row r="17" spans="1:7" x14ac:dyDescent="0.25">
      <c r="A17" s="14"/>
      <c r="B17" s="28"/>
      <c r="C17" s="55" t="s">
        <v>48</v>
      </c>
      <c r="D17" s="55" t="s">
        <v>57</v>
      </c>
      <c r="E17" s="28"/>
      <c r="F17" s="28"/>
      <c r="G17" s="56" t="s">
        <v>86</v>
      </c>
    </row>
    <row r="18" spans="1:7" x14ac:dyDescent="0.25">
      <c r="A18" s="14"/>
      <c r="B18" s="28"/>
      <c r="C18" s="55" t="s">
        <v>42</v>
      </c>
      <c r="D18" s="55" t="s">
        <v>53</v>
      </c>
      <c r="E18" s="28"/>
      <c r="F18" s="28"/>
      <c r="G18" s="56" t="s">
        <v>76</v>
      </c>
    </row>
    <row r="19" spans="1:7" x14ac:dyDescent="0.25">
      <c r="A19" s="14"/>
      <c r="B19" s="28"/>
      <c r="C19" s="55" t="s">
        <v>47</v>
      </c>
      <c r="D19" s="55" t="s">
        <v>47</v>
      </c>
      <c r="E19" s="28"/>
      <c r="F19" s="28"/>
      <c r="G19" s="56" t="s">
        <v>92</v>
      </c>
    </row>
    <row r="20" spans="1:7" x14ac:dyDescent="0.25">
      <c r="A20" s="14"/>
      <c r="B20" s="28"/>
      <c r="C20" s="28"/>
      <c r="D20" s="28"/>
      <c r="E20" s="28"/>
      <c r="F20" s="28"/>
      <c r="G20" s="56" t="s">
        <v>71</v>
      </c>
    </row>
    <row r="21" spans="1:7" x14ac:dyDescent="0.25">
      <c r="A21" s="14"/>
      <c r="B21" s="28"/>
      <c r="C21" s="28"/>
      <c r="D21" s="28"/>
      <c r="E21" s="28"/>
      <c r="F21" s="28"/>
      <c r="G21" s="56" t="s">
        <v>6</v>
      </c>
    </row>
    <row r="22" spans="1:7" x14ac:dyDescent="0.25">
      <c r="A22" s="14"/>
      <c r="B22" s="28"/>
      <c r="C22" s="28"/>
      <c r="D22" s="28"/>
      <c r="E22" s="28"/>
      <c r="F22" s="28"/>
      <c r="G22" s="56" t="s">
        <v>7</v>
      </c>
    </row>
    <row r="23" spans="1:7" x14ac:dyDescent="0.25">
      <c r="A23" s="14"/>
      <c r="B23" s="28"/>
      <c r="C23" s="28"/>
      <c r="D23" s="28"/>
      <c r="E23" s="28"/>
      <c r="F23" s="28"/>
      <c r="G23" s="56" t="s">
        <v>63</v>
      </c>
    </row>
    <row r="24" spans="1:7" x14ac:dyDescent="0.25">
      <c r="A24" s="14"/>
      <c r="B24" s="28"/>
      <c r="C24" s="28"/>
      <c r="D24" s="28"/>
      <c r="E24" s="28"/>
      <c r="F24" s="28"/>
      <c r="G24" s="56" t="s">
        <v>95</v>
      </c>
    </row>
    <row r="25" spans="1:7" x14ac:dyDescent="0.25">
      <c r="A25" s="14"/>
      <c r="B25" s="28"/>
      <c r="C25" s="28"/>
      <c r="D25" s="28"/>
      <c r="E25" s="28"/>
      <c r="F25" s="28"/>
      <c r="G25" s="56" t="s">
        <v>57</v>
      </c>
    </row>
    <row r="26" spans="1:7" x14ac:dyDescent="0.25">
      <c r="A26" s="14"/>
      <c r="B26" s="28"/>
      <c r="C26" s="28"/>
      <c r="D26" s="28"/>
      <c r="E26" s="28"/>
      <c r="F26" s="28"/>
      <c r="G26" s="56" t="s">
        <v>8</v>
      </c>
    </row>
    <row r="27" spans="1:7" x14ac:dyDescent="0.25">
      <c r="A27" s="14"/>
      <c r="B27" s="28"/>
      <c r="C27" s="28"/>
      <c r="D27" s="28"/>
      <c r="E27" s="28"/>
      <c r="F27" s="28"/>
      <c r="G27" s="56" t="s">
        <v>90</v>
      </c>
    </row>
    <row r="28" spans="1:7" x14ac:dyDescent="0.25">
      <c r="A28" s="14"/>
      <c r="B28" s="28"/>
      <c r="C28" s="28"/>
      <c r="D28" s="28"/>
      <c r="E28" s="28"/>
      <c r="F28" s="28"/>
      <c r="G28" s="56" t="s">
        <v>62</v>
      </c>
    </row>
    <row r="29" spans="1:7" x14ac:dyDescent="0.25">
      <c r="A29" s="14"/>
      <c r="B29" s="28"/>
      <c r="C29" s="28"/>
      <c r="D29" s="28"/>
      <c r="E29" s="28"/>
      <c r="F29" s="28"/>
      <c r="G29" s="56" t="s">
        <v>88</v>
      </c>
    </row>
    <row r="30" spans="1:7" x14ac:dyDescent="0.25">
      <c r="A30" s="14"/>
      <c r="B30" s="28"/>
      <c r="C30" s="28"/>
      <c r="D30" s="28"/>
      <c r="E30" s="28"/>
      <c r="F30" s="28"/>
      <c r="G30" s="56" t="s">
        <v>78</v>
      </c>
    </row>
    <row r="31" spans="1:7" x14ac:dyDescent="0.25">
      <c r="A31" s="14"/>
      <c r="B31" s="28"/>
      <c r="C31" s="28"/>
      <c r="D31" s="28"/>
      <c r="E31" s="28"/>
      <c r="F31" s="28"/>
      <c r="G31" s="56" t="s">
        <v>97</v>
      </c>
    </row>
    <row r="32" spans="1:7" x14ac:dyDescent="0.25">
      <c r="A32" s="14"/>
      <c r="B32" s="28"/>
      <c r="C32" s="28"/>
      <c r="D32" s="28"/>
      <c r="E32" s="28"/>
      <c r="F32" s="28"/>
      <c r="G32" s="56" t="s">
        <v>75</v>
      </c>
    </row>
    <row r="33" spans="1:7" x14ac:dyDescent="0.25">
      <c r="A33" s="14"/>
      <c r="B33" s="28"/>
      <c r="C33" s="28"/>
      <c r="D33" s="28"/>
      <c r="E33" s="28"/>
      <c r="F33" s="28"/>
      <c r="G33" s="56" t="s">
        <v>89</v>
      </c>
    </row>
    <row r="34" spans="1:7" x14ac:dyDescent="0.25">
      <c r="A34" s="14"/>
      <c r="B34" s="28"/>
      <c r="C34" s="28"/>
      <c r="D34" s="28"/>
      <c r="E34" s="28"/>
      <c r="F34" s="28"/>
      <c r="G34" s="56" t="s">
        <v>99</v>
      </c>
    </row>
    <row r="35" spans="1:7" x14ac:dyDescent="0.25">
      <c r="A35" s="14"/>
      <c r="B35" s="28"/>
      <c r="C35" s="28"/>
      <c r="D35" s="28"/>
      <c r="E35" s="28"/>
      <c r="F35" s="28"/>
      <c r="G35" s="56" t="s">
        <v>96</v>
      </c>
    </row>
    <row r="36" spans="1:7" x14ac:dyDescent="0.25">
      <c r="A36" s="14"/>
      <c r="B36" s="28"/>
      <c r="C36" s="28"/>
      <c r="D36" s="28"/>
      <c r="E36" s="28"/>
      <c r="F36" s="28"/>
      <c r="G36" s="56" t="s">
        <v>87</v>
      </c>
    </row>
    <row r="37" spans="1:7" x14ac:dyDescent="0.25">
      <c r="A37" s="14"/>
      <c r="B37" s="28"/>
      <c r="C37" s="28"/>
      <c r="D37" s="28"/>
      <c r="E37" s="28"/>
      <c r="F37" s="28"/>
      <c r="G37" s="56" t="s">
        <v>85</v>
      </c>
    </row>
    <row r="38" spans="1:7" ht="15.75" thickBot="1" x14ac:dyDescent="0.3">
      <c r="A38" s="16"/>
      <c r="B38" s="30"/>
      <c r="C38" s="30"/>
      <c r="D38" s="30"/>
      <c r="E38" s="30"/>
      <c r="F38" s="30"/>
      <c r="G38" s="57" t="s">
        <v>91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workbookViewId="0">
      <selection activeCell="D17" sqref="D17"/>
    </sheetView>
  </sheetViews>
  <sheetFormatPr defaultRowHeight="15" x14ac:dyDescent="0.25"/>
  <cols>
    <col min="1" max="1" width="31.7109375" bestFit="1" customWidth="1"/>
    <col min="11" max="11" width="16.28515625" customWidth="1"/>
    <col min="13" max="13" width="21" bestFit="1" customWidth="1"/>
  </cols>
  <sheetData>
    <row r="1" spans="1:33" x14ac:dyDescent="0.25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 x14ac:dyDescent="0.25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 x14ac:dyDescent="0.25">
      <c r="A3" t="str">
        <v>Oat Fodder General</v>
      </c>
      <c r="B3">
        <v>0</v>
      </c>
      <c r="C3" t="str">
        <v>Fodder</v>
      </c>
      <c r="D3" t="str">
        <v>Cereal</v>
      </c>
      <c r="E3" t="str">
        <v>Oat</v>
      </c>
      <c r="F3" t="str">
        <v>General</v>
      </c>
      <c r="G3" t="str">
        <v>Poaceae</v>
      </c>
      <c r="H3" t="str">
        <v>Avena</v>
      </c>
      <c r="I3" t="str">
        <v>sativa</v>
      </c>
      <c r="J3" t="str">
        <v/>
      </c>
      <c r="K3" t="str">
        <v>Avena sativa</v>
      </c>
      <c r="L3" t="str">
        <v>sativa</v>
      </c>
      <c r="M3" t="str">
        <v>Seed</v>
      </c>
      <c r="N3" t="str">
        <v>Jul</v>
      </c>
      <c r="O3" t="str">
        <v>EarlyReproductive</v>
      </c>
      <c r="P3" t="str">
        <v>Nov</v>
      </c>
      <c r="Q3">
        <v>10</v>
      </c>
      <c r="R3" t="str">
        <v>t/ha</v>
      </c>
      <c r="S3" t="str">
        <v>Standing DM</v>
      </c>
      <c r="T3">
        <v>50000</v>
      </c>
      <c r="U3" t="str">
        <v>Dry</v>
      </c>
      <c r="V3">
        <v>0</v>
      </c>
      <c r="W3">
        <v>0</v>
      </c>
      <c r="X3">
        <v>0.94999998807907104</v>
      </c>
      <c r="Y3">
        <v>0</v>
      </c>
      <c r="Z3">
        <v>80</v>
      </c>
      <c r="AA3">
        <v>0.10000000149011612</v>
      </c>
      <c r="AB3">
        <v>1.5</v>
      </c>
      <c r="AC3">
        <v>1</v>
      </c>
      <c r="AD3">
        <v>1</v>
      </c>
      <c r="AE3">
        <v>0.89999997615814209</v>
      </c>
      <c r="AF3">
        <v>0.5</v>
      </c>
      <c r="AG3">
        <v>1.2999999523162842</v>
      </c>
    </row>
    <row r="4" spans="1:33" x14ac:dyDescent="0.25">
      <c r="A4" t="str">
        <v>Fodder beet Fodder General</v>
      </c>
      <c r="B4">
        <v>1</v>
      </c>
      <c r="C4" t="str">
        <v>Fodder</v>
      </c>
      <c r="D4" t="str">
        <v>Bulb</v>
      </c>
      <c r="E4" t="str">
        <v>Fodder beet</v>
      </c>
      <c r="F4" t="str">
        <v>General</v>
      </c>
      <c r="G4" t="str">
        <v>Amaranthaceae</v>
      </c>
      <c r="H4" t="str">
        <v>Beta</v>
      </c>
      <c r="I4" t="str">
        <v>vulgaris</v>
      </c>
      <c r="J4" t="str">
        <v>crassa</v>
      </c>
      <c r="K4" t="str">
        <v>Beta vulgaris crassa</v>
      </c>
      <c r="L4" t="str">
        <v>vulgaris crassa</v>
      </c>
      <c r="M4" t="str">
        <v>Seed</v>
      </c>
      <c r="N4" t="str">
        <v>Nov</v>
      </c>
      <c r="O4" t="str">
        <v>EarlyReproductive</v>
      </c>
      <c r="P4" t="str">
        <v>Jul</v>
      </c>
      <c r="Q4">
        <v>20</v>
      </c>
      <c r="R4" t="str">
        <v>t/ha</v>
      </c>
      <c r="S4" t="str">
        <v>Standing DM</v>
      </c>
      <c r="T4">
        <v>50000</v>
      </c>
      <c r="U4" t="str">
        <v>Dry</v>
      </c>
      <c r="V4">
        <v>0</v>
      </c>
      <c r="W4">
        <v>0</v>
      </c>
      <c r="X4">
        <v>0.88950002193450928</v>
      </c>
      <c r="Y4">
        <v>-0.11050000041723251</v>
      </c>
      <c r="Z4">
        <v>17</v>
      </c>
      <c r="AA4">
        <v>0.10000000149011612</v>
      </c>
      <c r="AB4">
        <v>1.5</v>
      </c>
      <c r="AC4">
        <v>1</v>
      </c>
      <c r="AD4">
        <v>1</v>
      </c>
      <c r="AE4">
        <v>0.80000001192092896</v>
      </c>
      <c r="AF4">
        <v>1.5</v>
      </c>
      <c r="AG4">
        <v>1</v>
      </c>
    </row>
    <row r="5" spans="1:33" x14ac:dyDescent="0.25">
      <c r="A5" t="str">
        <v>Swede Fodder General</v>
      </c>
      <c r="B5">
        <v>2</v>
      </c>
      <c r="C5" t="str">
        <v>Fodder</v>
      </c>
      <c r="D5" t="str">
        <v>Bulb</v>
      </c>
      <c r="E5" t="str">
        <v>Swede</v>
      </c>
      <c r="F5" t="str">
        <v>General</v>
      </c>
      <c r="G5" t="str">
        <v>Brassicaceae</v>
      </c>
      <c r="H5" t="str">
        <v>Brassica</v>
      </c>
      <c r="I5" t="str">
        <v>napus</v>
      </c>
      <c r="J5" t="str">
        <v>napobrassica</v>
      </c>
      <c r="K5" t="str">
        <v>Brassica napus napobrassica</v>
      </c>
      <c r="L5" t="str">
        <v>napus napobrassica</v>
      </c>
      <c r="M5" t="str">
        <v>Seed</v>
      </c>
      <c r="N5" t="str">
        <v>Nov</v>
      </c>
      <c r="O5" t="str">
        <v>LateReproductive</v>
      </c>
      <c r="P5" t="str">
        <v>Jul</v>
      </c>
      <c r="Q5">
        <v>12</v>
      </c>
      <c r="R5" t="str">
        <v>t/ha</v>
      </c>
      <c r="S5" t="str">
        <v>Standing DM</v>
      </c>
      <c r="T5">
        <v>50000</v>
      </c>
      <c r="U5" t="str">
        <v>Dry</v>
      </c>
      <c r="V5">
        <v>0</v>
      </c>
      <c r="W5">
        <v>0</v>
      </c>
      <c r="X5">
        <v>0.83399999141693115</v>
      </c>
      <c r="Y5">
        <v>-0.15600000321865082</v>
      </c>
      <c r="Z5">
        <v>12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 x14ac:dyDescent="0.25">
      <c r="A6" t="str">
        <v>Rape Fodder General</v>
      </c>
      <c r="B6">
        <v>3</v>
      </c>
      <c r="C6" t="str">
        <v>Fodder</v>
      </c>
      <c r="D6" t="str">
        <v>Leafy brassica</v>
      </c>
      <c r="E6" t="str">
        <v>Rape</v>
      </c>
      <c r="F6" t="str">
        <v>General</v>
      </c>
      <c r="G6" t="str">
        <v>Brassicaceae</v>
      </c>
      <c r="H6" t="str">
        <v>Brassica</v>
      </c>
      <c r="I6" t="str">
        <v>napus</v>
      </c>
      <c r="J6" t="str">
        <v>napus</v>
      </c>
      <c r="K6" t="str">
        <v>Brassica napus napus</v>
      </c>
      <c r="L6" t="str">
        <v>napus napus</v>
      </c>
      <c r="M6" t="str">
        <v>Seed</v>
      </c>
      <c r="N6" t="str">
        <v>Oct</v>
      </c>
      <c r="O6" t="str">
        <v>EarlyReproductive</v>
      </c>
      <c r="P6" t="str">
        <v>Jan</v>
      </c>
      <c r="Q6">
        <v>6</v>
      </c>
      <c r="R6" t="str">
        <v>t/ha</v>
      </c>
      <c r="S6" t="str">
        <v>Standing DM</v>
      </c>
      <c r="T6">
        <v>50000</v>
      </c>
      <c r="U6" t="str">
        <v>Dry</v>
      </c>
      <c r="V6">
        <v>0</v>
      </c>
      <c r="W6">
        <v>0</v>
      </c>
      <c r="X6">
        <v>0.77799999713897705</v>
      </c>
      <c r="Y6">
        <v>-0.12200000137090683</v>
      </c>
      <c r="Z6">
        <v>10</v>
      </c>
      <c r="AA6">
        <v>0.10000000149011612</v>
      </c>
      <c r="AB6">
        <v>1.2000000476837158</v>
      </c>
      <c r="AC6">
        <v>1</v>
      </c>
      <c r="AD6">
        <v>2</v>
      </c>
      <c r="AE6">
        <v>0.80000001192092896</v>
      </c>
      <c r="AF6">
        <v>1</v>
      </c>
      <c r="AG6">
        <v>3</v>
      </c>
    </row>
    <row r="7" spans="1:33" x14ac:dyDescent="0.25">
      <c r="A7" t="str">
        <v>Kale Fodder General</v>
      </c>
      <c r="B7">
        <v>4</v>
      </c>
      <c r="C7" t="str">
        <v>Fodder</v>
      </c>
      <c r="D7" t="str">
        <v>Leafy brassica</v>
      </c>
      <c r="E7" t="str">
        <v>Kale</v>
      </c>
      <c r="F7" t="str">
        <v>General</v>
      </c>
      <c r="G7" t="str">
        <v>Brassicaceae</v>
      </c>
      <c r="H7" t="str">
        <v>Brassica</v>
      </c>
      <c r="I7" t="str">
        <v>oleracea</v>
      </c>
      <c r="J7" t="str">
        <v>acephala</v>
      </c>
      <c r="K7" t="str">
        <v>Brassica oleracea acephala</v>
      </c>
      <c r="L7" t="str">
        <v>oleracea acephala</v>
      </c>
      <c r="M7" t="str">
        <v>Seed</v>
      </c>
      <c r="N7" t="str">
        <v>Oct</v>
      </c>
      <c r="O7" t="str">
        <v>LateReproductive</v>
      </c>
      <c r="P7" t="str">
        <v>Jul</v>
      </c>
      <c r="Q7">
        <v>12</v>
      </c>
      <c r="R7" t="str">
        <v>t/ha</v>
      </c>
      <c r="S7" t="str">
        <v>Standing DM</v>
      </c>
      <c r="T7">
        <v>50000</v>
      </c>
      <c r="U7" t="str">
        <v>Dry</v>
      </c>
      <c r="V7">
        <v>0</v>
      </c>
      <c r="W7">
        <v>0</v>
      </c>
      <c r="X7">
        <v>0.57999998331069946</v>
      </c>
      <c r="Y7">
        <v>-0.31999999284744263</v>
      </c>
      <c r="Z7">
        <v>13</v>
      </c>
      <c r="AA7">
        <v>0.10000000149011612</v>
      </c>
      <c r="AB7">
        <v>1.2000000476837158</v>
      </c>
      <c r="AC7">
        <v>1</v>
      </c>
      <c r="AD7">
        <v>2</v>
      </c>
      <c r="AE7">
        <v>0.80000001192092896</v>
      </c>
      <c r="AF7">
        <v>1</v>
      </c>
      <c r="AG7">
        <v>3</v>
      </c>
    </row>
    <row r="8" spans="1:33" x14ac:dyDescent="0.25">
      <c r="A8" t="str">
        <v>Turnip Fodder Bulb</v>
      </c>
      <c r="B8">
        <v>5</v>
      </c>
      <c r="C8" t="str">
        <v>Fodder</v>
      </c>
      <c r="D8" t="str">
        <v>Bulb</v>
      </c>
      <c r="E8" t="str">
        <v>Turnip</v>
      </c>
      <c r="F8" t="str">
        <v>Bulb</v>
      </c>
      <c r="G8" t="str">
        <v>Brassicaceae</v>
      </c>
      <c r="H8" t="str">
        <v>Brassica</v>
      </c>
      <c r="I8" t="str">
        <v>rapa</v>
      </c>
      <c r="J8" t="str">
        <v>rapa</v>
      </c>
      <c r="K8" t="str">
        <v>Brassica rapa rapa</v>
      </c>
      <c r="L8" t="str">
        <v>rapa rapa</v>
      </c>
      <c r="M8" t="str">
        <v>Seed</v>
      </c>
      <c r="N8" t="str">
        <v>Dec</v>
      </c>
      <c r="O8" t="str">
        <v>EarlyReproductive</v>
      </c>
      <c r="P8" t="str">
        <v>Jul</v>
      </c>
      <c r="Q8">
        <v>8</v>
      </c>
      <c r="R8" t="str">
        <v>t/ha</v>
      </c>
      <c r="S8" t="str">
        <v>Standing DM</v>
      </c>
      <c r="T8">
        <v>50000</v>
      </c>
      <c r="U8" t="str">
        <v>Dry</v>
      </c>
      <c r="V8">
        <v>0</v>
      </c>
      <c r="W8">
        <v>0</v>
      </c>
      <c r="X8">
        <v>0.87199997901916504</v>
      </c>
      <c r="Y8">
        <v>-0.12800000607967377</v>
      </c>
      <c r="Z8">
        <v>10</v>
      </c>
      <c r="AA8">
        <v>0.10000000149011612</v>
      </c>
      <c r="AB8">
        <v>1.2000000476837158</v>
      </c>
      <c r="AC8">
        <v>1</v>
      </c>
      <c r="AD8">
        <v>2</v>
      </c>
      <c r="AE8">
        <v>0.80000001192092896</v>
      </c>
      <c r="AF8">
        <v>0.60000002384185791</v>
      </c>
      <c r="AG8">
        <v>2.5</v>
      </c>
    </row>
    <row r="9" spans="1:33" x14ac:dyDescent="0.25">
      <c r="A9" t="str">
        <v>Turnip Fodder Leafy</v>
      </c>
      <c r="B9">
        <v>6</v>
      </c>
      <c r="C9" t="str">
        <v>Fodder</v>
      </c>
      <c r="D9" t="str">
        <v>Leafy brassica</v>
      </c>
      <c r="E9" t="str">
        <v>Turnip</v>
      </c>
      <c r="F9" t="str">
        <v>Leafy</v>
      </c>
      <c r="G9" t="str">
        <v>Brassicaceae</v>
      </c>
      <c r="H9" t="str">
        <v>Brassica</v>
      </c>
      <c r="I9" t="str">
        <v>rapa x napus</v>
      </c>
      <c r="J9" t="str">
        <v/>
      </c>
      <c r="K9" t="str">
        <v>Brassica rapa x napus</v>
      </c>
      <c r="L9" t="str">
        <v>rapa x napus</v>
      </c>
      <c r="M9" t="str">
        <v>Seed</v>
      </c>
      <c r="N9" t="str">
        <v>Oct</v>
      </c>
      <c r="O9" t="str">
        <v>Vegetative</v>
      </c>
      <c r="P9" t="str">
        <v>Mar</v>
      </c>
      <c r="Q9">
        <v>6</v>
      </c>
      <c r="R9" t="str">
        <v>t/ha</v>
      </c>
      <c r="S9" t="str">
        <v>Standing DM</v>
      </c>
      <c r="T9">
        <v>50000</v>
      </c>
      <c r="U9" t="str">
        <v>Dry</v>
      </c>
      <c r="V9">
        <v>0</v>
      </c>
      <c r="W9">
        <v>0</v>
      </c>
      <c r="X9">
        <v>0.49000000953674316</v>
      </c>
      <c r="Y9">
        <v>-0.20999999344348907</v>
      </c>
      <c r="Z9">
        <v>17</v>
      </c>
      <c r="AA9">
        <v>0.10000000149011612</v>
      </c>
      <c r="AB9">
        <v>1.2000000476837158</v>
      </c>
      <c r="AC9">
        <v>1</v>
      </c>
      <c r="AD9">
        <v>2</v>
      </c>
      <c r="AE9">
        <v>0.80000001192092896</v>
      </c>
      <c r="AF9">
        <v>1.5</v>
      </c>
      <c r="AG9">
        <v>3.5</v>
      </c>
    </row>
    <row r="10" spans="1:33" x14ac:dyDescent="0.25">
      <c r="A10" t="str">
        <v>Turnip Fodder General</v>
      </c>
      <c r="B10">
        <v>6</v>
      </c>
      <c r="C10" t="str">
        <v>Fodder</v>
      </c>
      <c r="D10" t="str">
        <v>Leafy brassica</v>
      </c>
      <c r="E10" t="str">
        <v>Turnip</v>
      </c>
      <c r="F10" t="str">
        <v>General</v>
      </c>
      <c r="G10" t="str">
        <v>Brassicaceae</v>
      </c>
      <c r="H10" t="str">
        <v>Brassica</v>
      </c>
      <c r="I10" t="str">
        <v>rapa x napus</v>
      </c>
      <c r="J10" t="str">
        <v/>
      </c>
      <c r="K10" t="str">
        <v>Brassica rapa x napus</v>
      </c>
      <c r="L10" t="str">
        <v>rapa x napus</v>
      </c>
      <c r="M10" t="str">
        <v>Seed</v>
      </c>
      <c r="N10" t="str">
        <v>Oct</v>
      </c>
      <c r="O10" t="str">
        <v>Vegetative</v>
      </c>
      <c r="P10" t="str">
        <v>Mar</v>
      </c>
      <c r="Q10">
        <v>6</v>
      </c>
      <c r="R10" t="str">
        <v>t/ha</v>
      </c>
      <c r="S10" t="str">
        <v>Standing DM</v>
      </c>
      <c r="T10">
        <v>50000</v>
      </c>
      <c r="U10" t="str">
        <v>Dry</v>
      </c>
      <c r="V10">
        <v>0</v>
      </c>
      <c r="W10">
        <v>0</v>
      </c>
      <c r="X10">
        <v>0.49000000953674316</v>
      </c>
      <c r="Y10">
        <v>-0.20999999344348907</v>
      </c>
      <c r="Z10">
        <v>17</v>
      </c>
      <c r="AA10">
        <v>0.10000000149011612</v>
      </c>
      <c r="AB10">
        <v>1.2000000476837158</v>
      </c>
      <c r="AC10">
        <v>1</v>
      </c>
      <c r="AD10">
        <v>2</v>
      </c>
      <c r="AE10">
        <v>0.80000001192092896</v>
      </c>
      <c r="AF10">
        <v>1.5</v>
      </c>
      <c r="AG10">
        <v>3.5</v>
      </c>
    </row>
    <row r="11" spans="1:33" x14ac:dyDescent="0.25">
      <c r="A11" t="str">
        <v>Barley Fodder General</v>
      </c>
      <c r="B11">
        <v>7</v>
      </c>
      <c r="C11" t="str">
        <v>Fodder</v>
      </c>
      <c r="D11" t="str">
        <v>Cereal</v>
      </c>
      <c r="E11" t="str">
        <v>Barley</v>
      </c>
      <c r="F11" t="str">
        <v>General</v>
      </c>
      <c r="G11" t="str">
        <v>Poaceae</v>
      </c>
      <c r="H11" t="str">
        <v>Hordeum</v>
      </c>
      <c r="I11" t="str">
        <v>vulgure</v>
      </c>
      <c r="J11" t="str">
        <v/>
      </c>
      <c r="K11" t="str">
        <v>Hordeum vulgure</v>
      </c>
      <c r="L11" t="str">
        <v>vulgure</v>
      </c>
      <c r="M11" t="str">
        <v>Seed</v>
      </c>
      <c r="N11" t="str">
        <v>Jul</v>
      </c>
      <c r="O11" t="str">
        <v>EarlyReproductive</v>
      </c>
      <c r="P11" t="str">
        <v>Nov</v>
      </c>
      <c r="Q11">
        <v>8</v>
      </c>
      <c r="R11" t="str">
        <v>t/ha</v>
      </c>
      <c r="S11" t="str">
        <v>Standing DM</v>
      </c>
      <c r="T11">
        <v>50000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80</v>
      </c>
      <c r="AA11">
        <v>0.10000000149011612</v>
      </c>
      <c r="AB11">
        <v>1.2000000476837158</v>
      </c>
      <c r="AC11">
        <v>1</v>
      </c>
      <c r="AD11">
        <v>1</v>
      </c>
      <c r="AE11">
        <v>0.89999997615814209</v>
      </c>
      <c r="AF11">
        <v>0.5</v>
      </c>
      <c r="AG11">
        <v>1.2999999523162842</v>
      </c>
    </row>
    <row r="12" spans="1:33" x14ac:dyDescent="0.25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5</v>
      </c>
      <c r="R12" t="str">
        <v>t/ha</v>
      </c>
      <c r="S12" t="str">
        <v>Standing DM</v>
      </c>
      <c r="T12">
        <v>50000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80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</v>
      </c>
      <c r="AG12">
        <v>2.5</v>
      </c>
    </row>
    <row r="13" spans="1:33" x14ac:dyDescent="0.25">
      <c r="A13" t="str">
        <v>Rye corn Fodder General</v>
      </c>
      <c r="B13">
        <v>9</v>
      </c>
      <c r="C13" t="str">
        <v>Fodder</v>
      </c>
      <c r="D13" t="str">
        <v>Cereal</v>
      </c>
      <c r="E13" t="str">
        <v>Rye corn</v>
      </c>
      <c r="F13" t="str">
        <v>General</v>
      </c>
      <c r="G13" t="str">
        <v>Poaceae</v>
      </c>
      <c r="H13" t="str">
        <v>Secale</v>
      </c>
      <c r="I13" t="str">
        <v>cereale</v>
      </c>
      <c r="J13" t="str">
        <v/>
      </c>
      <c r="K13" t="str">
        <v>Secale cereale</v>
      </c>
      <c r="L13" t="str">
        <v>cereale</v>
      </c>
      <c r="M13" t="str">
        <v>Seed</v>
      </c>
      <c r="N13" t="str">
        <v>Feb</v>
      </c>
      <c r="O13" t="str">
        <v>EarlyReproductive</v>
      </c>
      <c r="P13" t="str">
        <v>Sep</v>
      </c>
      <c r="Q13">
        <v>8</v>
      </c>
      <c r="R13" t="str">
        <v>t/ha</v>
      </c>
      <c r="S13" t="str">
        <v>Standing DM</v>
      </c>
      <c r="T13">
        <v>50000</v>
      </c>
      <c r="U13" t="str">
        <v>Dry</v>
      </c>
      <c r="V13">
        <v>0</v>
      </c>
      <c r="W13">
        <v>0</v>
      </c>
      <c r="X13">
        <v>0.94999998807907104</v>
      </c>
      <c r="Y13">
        <v>0</v>
      </c>
      <c r="Z13">
        <v>80</v>
      </c>
      <c r="AA13">
        <v>0.10000000149011612</v>
      </c>
      <c r="AB13">
        <v>1.5</v>
      </c>
      <c r="AC13">
        <v>1</v>
      </c>
      <c r="AD13">
        <v>1</v>
      </c>
      <c r="AE13">
        <v>0.89999997615814209</v>
      </c>
      <c r="AF13">
        <v>0.5</v>
      </c>
      <c r="AG13">
        <v>1.2999999523162842</v>
      </c>
    </row>
    <row r="14" spans="1:33" x14ac:dyDescent="0.25">
      <c r="A14" t="str">
        <v>Wheat Fodder General</v>
      </c>
      <c r="B14">
        <v>10</v>
      </c>
      <c r="C14" t="str">
        <v>Fodder</v>
      </c>
      <c r="D14" t="str">
        <v>Cereal</v>
      </c>
      <c r="E14" t="str">
        <v>Wheat</v>
      </c>
      <c r="F14" t="str">
        <v>General</v>
      </c>
      <c r="G14" t="str">
        <v>Poaceae</v>
      </c>
      <c r="H14" t="str">
        <v>Triticum</v>
      </c>
      <c r="I14" t="str">
        <v>astevium</v>
      </c>
      <c r="J14" t="str">
        <v/>
      </c>
      <c r="K14" t="str">
        <v>Triticum astevium</v>
      </c>
      <c r="L14" t="str">
        <v>astevium</v>
      </c>
      <c r="M14" t="str">
        <v>Seed</v>
      </c>
      <c r="N14" t="str">
        <v>Jul</v>
      </c>
      <c r="O14" t="str">
        <v>EarlyReproductive</v>
      </c>
      <c r="P14" t="str">
        <v>Nov</v>
      </c>
      <c r="Q14">
        <v>8</v>
      </c>
      <c r="R14" t="str">
        <v>t/ha</v>
      </c>
      <c r="S14" t="str">
        <v>Standing DM</v>
      </c>
      <c r="T14">
        <v>50000</v>
      </c>
      <c r="U14" t="str">
        <v>Dry</v>
      </c>
      <c r="V14">
        <v>0</v>
      </c>
      <c r="W14">
        <v>0</v>
      </c>
      <c r="X14">
        <v>0.94999998807907104</v>
      </c>
      <c r="Y14">
        <v>0</v>
      </c>
      <c r="Z14">
        <v>80</v>
      </c>
      <c r="AA14">
        <v>0.10000000149011612</v>
      </c>
      <c r="AB14">
        <v>1.5</v>
      </c>
      <c r="AC14">
        <v>1</v>
      </c>
      <c r="AD14">
        <v>1</v>
      </c>
      <c r="AE14">
        <v>0.89999997615814209</v>
      </c>
      <c r="AF14">
        <v>0.5</v>
      </c>
      <c r="AG14">
        <v>1.2999999523162842</v>
      </c>
    </row>
    <row r="15" spans="1:33" x14ac:dyDescent="0.25">
      <c r="A15" t="str">
        <v>Triticale Fodder General</v>
      </c>
      <c r="B15">
        <v>11</v>
      </c>
      <c r="C15" t="str">
        <v>Fodder</v>
      </c>
      <c r="D15" t="str">
        <v>Cereal</v>
      </c>
      <c r="E15" t="str">
        <v>Triticale</v>
      </c>
      <c r="F15" t="str">
        <v>General</v>
      </c>
      <c r="G15" t="str">
        <v>Poaceae</v>
      </c>
      <c r="H15" t="str">
        <v>Triticum x Secale</v>
      </c>
      <c r="I15" t="str">
        <v/>
      </c>
      <c r="J15" t="str">
        <v/>
      </c>
      <c r="K15" t="str">
        <v>Triticum x Secale</v>
      </c>
      <c r="L15" t="str">
        <v/>
      </c>
      <c r="M15" t="str">
        <v>Seed</v>
      </c>
      <c r="N15" t="str">
        <v>Jul</v>
      </c>
      <c r="O15" t="str">
        <v>EarlyReproductive</v>
      </c>
      <c r="P15" t="str">
        <v>Nov</v>
      </c>
      <c r="Q15">
        <v>12</v>
      </c>
      <c r="R15" t="str">
        <v>t/ha</v>
      </c>
      <c r="S15" t="str">
        <v>Standing DM</v>
      </c>
      <c r="T15">
        <v>50000</v>
      </c>
      <c r="U15" t="str">
        <v>Dry</v>
      </c>
      <c r="V15">
        <v>0</v>
      </c>
      <c r="W15">
        <v>0</v>
      </c>
      <c r="X15">
        <v>0.94999998807907104</v>
      </c>
      <c r="Y15">
        <v>0</v>
      </c>
      <c r="Z15">
        <v>80</v>
      </c>
      <c r="AA15">
        <v>0.10000000149011612</v>
      </c>
      <c r="AB15">
        <v>1.5</v>
      </c>
      <c r="AC15">
        <v>1</v>
      </c>
      <c r="AD15">
        <v>1</v>
      </c>
      <c r="AE15">
        <v>0.89999997615814209</v>
      </c>
      <c r="AF15">
        <v>0.5</v>
      </c>
      <c r="AG15">
        <v>1.2999999523162842</v>
      </c>
    </row>
    <row r="16" spans="1:33" x14ac:dyDescent="0.25">
      <c r="A16" t="str">
        <v>Maize Fodder General</v>
      </c>
      <c r="B16">
        <v>12</v>
      </c>
      <c r="C16" t="str">
        <v>Fodder</v>
      </c>
      <c r="D16" t="str">
        <v>Cereal</v>
      </c>
      <c r="E16" t="str">
        <v>Maize</v>
      </c>
      <c r="F16" t="str">
        <v>General</v>
      </c>
      <c r="G16" t="str">
        <v>Poaceae</v>
      </c>
      <c r="H16" t="str">
        <v>Zea</v>
      </c>
      <c r="I16" t="str">
        <v>mays</v>
      </c>
      <c r="J16" t="str">
        <v/>
      </c>
      <c r="K16" t="str">
        <v>Zea mays</v>
      </c>
      <c r="L16" t="str">
        <v>mays</v>
      </c>
      <c r="M16" t="str">
        <v>Seed</v>
      </c>
      <c r="N16" t="str">
        <v>Nov</v>
      </c>
      <c r="O16" t="str">
        <v>EarlyReproductive</v>
      </c>
      <c r="P16" t="str">
        <v>Feb</v>
      </c>
      <c r="Q16">
        <v>17.5</v>
      </c>
      <c r="R16" t="str">
        <v>t/ha</v>
      </c>
      <c r="S16" t="str">
        <v>Standing DM</v>
      </c>
      <c r="T16">
        <v>50000</v>
      </c>
      <c r="U16" t="str">
        <v>Dry</v>
      </c>
      <c r="V16">
        <v>0</v>
      </c>
      <c r="W16">
        <v>0</v>
      </c>
      <c r="X16">
        <v>0.94999998807907104</v>
      </c>
      <c r="Y16">
        <v>0</v>
      </c>
      <c r="Z16">
        <v>33</v>
      </c>
      <c r="AA16">
        <v>0.10000000149011612</v>
      </c>
      <c r="AB16">
        <v>1.5</v>
      </c>
      <c r="AC16">
        <v>0.85000002384185791</v>
      </c>
      <c r="AD16">
        <v>1</v>
      </c>
      <c r="AE16">
        <v>0.89999997615814209</v>
      </c>
      <c r="AF16">
        <v>0.69999998807907104</v>
      </c>
      <c r="AG16">
        <v>1.3999999761581421</v>
      </c>
    </row>
    <row r="17" spans="1:33" x14ac:dyDescent="0.25">
      <c r="A17" t="str">
        <v>Oat Grain General</v>
      </c>
      <c r="B17">
        <v>13</v>
      </c>
      <c r="C17" t="str">
        <v>Grain</v>
      </c>
      <c r="D17" t="str">
        <v>Cereal</v>
      </c>
      <c r="E17" t="str">
        <v>Oat</v>
      </c>
      <c r="F17" t="str">
        <v>General</v>
      </c>
      <c r="G17" t="str">
        <v>Poaceae</v>
      </c>
      <c r="H17" t="str">
        <v>Avena</v>
      </c>
      <c r="I17" t="str">
        <v>sativa</v>
      </c>
      <c r="J17" t="str">
        <v/>
      </c>
      <c r="K17" t="str">
        <v>Avena sativa</v>
      </c>
      <c r="L17" t="str">
        <v>sativa</v>
      </c>
      <c r="M17" t="str">
        <v>Seed</v>
      </c>
      <c r="N17" t="str">
        <v>May</v>
      </c>
      <c r="O17" t="str">
        <v>Maturity</v>
      </c>
      <c r="P17" t="str">
        <v>Feb</v>
      </c>
      <c r="Q17">
        <v>6</v>
      </c>
      <c r="R17" t="str">
        <v>t/ha</v>
      </c>
      <c r="S17" t="str">
        <v>Saleable grain</v>
      </c>
      <c r="T17">
        <v>50000</v>
      </c>
      <c r="U17" t="str">
        <v>Total</v>
      </c>
      <c r="V17">
        <v>0</v>
      </c>
      <c r="W17">
        <v>0</v>
      </c>
      <c r="X17">
        <v>0.40000000596046448</v>
      </c>
      <c r="Y17">
        <v>0.10000000149011612</v>
      </c>
      <c r="Z17">
        <v>13</v>
      </c>
      <c r="AA17">
        <v>0.10000000149011612</v>
      </c>
      <c r="AB17">
        <v>1.5</v>
      </c>
      <c r="AC17">
        <v>1</v>
      </c>
      <c r="AD17">
        <v>1</v>
      </c>
      <c r="AE17">
        <v>0.89999997615814209</v>
      </c>
      <c r="AF17">
        <v>0.5</v>
      </c>
      <c r="AG17">
        <v>1.2999999523162842</v>
      </c>
    </row>
    <row r="18" spans="1:33" x14ac:dyDescent="0.25">
      <c r="A18" t="str">
        <v>Canola Grain General</v>
      </c>
      <c r="B18">
        <v>14</v>
      </c>
      <c r="C18" t="str">
        <v>Grain</v>
      </c>
      <c r="D18" t="str">
        <v>Oilseed</v>
      </c>
      <c r="E18" t="str">
        <v>Canola</v>
      </c>
      <c r="F18" t="str">
        <v>General</v>
      </c>
      <c r="G18" t="str">
        <v>Brassicaceae</v>
      </c>
      <c r="H18" t="str">
        <v>Brassica</v>
      </c>
      <c r="I18" t="str">
        <v>napus</v>
      </c>
      <c r="J18" t="str">
        <v>napus</v>
      </c>
      <c r="K18" t="str">
        <v>Brassica napus napus</v>
      </c>
      <c r="L18" t="str">
        <v>napus napus</v>
      </c>
      <c r="M18" t="str">
        <v>Seed</v>
      </c>
      <c r="N18" t="str">
        <v>Apr</v>
      </c>
      <c r="O18" t="str">
        <v>LateReproductive</v>
      </c>
      <c r="P18" t="str">
        <v>Jan</v>
      </c>
      <c r="Q18">
        <v>4</v>
      </c>
      <c r="R18" t="str">
        <v>t/ha</v>
      </c>
      <c r="S18" t="str">
        <v>Saleable grain</v>
      </c>
      <c r="T18">
        <v>50000</v>
      </c>
      <c r="U18" t="str">
        <v>Total</v>
      </c>
      <c r="V18">
        <v>0</v>
      </c>
      <c r="W18">
        <v>0</v>
      </c>
      <c r="X18">
        <v>0.27000001072883606</v>
      </c>
      <c r="Y18">
        <v>1.3000000268220901E-2</v>
      </c>
      <c r="Z18">
        <v>9</v>
      </c>
      <c r="AA18">
        <v>0.10000000149011612</v>
      </c>
      <c r="AB18">
        <v>1.2000000476837158</v>
      </c>
      <c r="AC18">
        <v>1</v>
      </c>
      <c r="AD18">
        <v>2</v>
      </c>
      <c r="AE18">
        <v>0.80000001192092896</v>
      </c>
      <c r="AF18">
        <v>1.1499999761581421</v>
      </c>
      <c r="AG18">
        <v>3.2200000286102295</v>
      </c>
    </row>
    <row r="19" spans="1:33" x14ac:dyDescent="0.25">
      <c r="A19" t="str">
        <v>Hemp Grain General</v>
      </c>
      <c r="B19">
        <v>15</v>
      </c>
      <c r="C19" t="str">
        <v>Grain</v>
      </c>
      <c r="D19" t="str">
        <v>Oilseed</v>
      </c>
      <c r="E19" t="str">
        <v>Hemp</v>
      </c>
      <c r="F19" t="str">
        <v>General</v>
      </c>
      <c r="G19" t="str">
        <v>Cannabaceae</v>
      </c>
      <c r="H19" t="str">
        <v>Cannabis</v>
      </c>
      <c r="I19" t="str">
        <v>x</v>
      </c>
      <c r="J19" t="str">
        <v/>
      </c>
      <c r="K19" t="str">
        <v>Cannabis x</v>
      </c>
      <c r="L19" t="str">
        <v>x</v>
      </c>
      <c r="M19" t="str">
        <v>Seed</v>
      </c>
      <c r="N19" t="str">
        <v>Nov</v>
      </c>
      <c r="O19" t="str">
        <v>Maturity</v>
      </c>
      <c r="P19" t="str">
        <v>Mar</v>
      </c>
      <c r="Q19">
        <v>1.1499999761581421</v>
      </c>
      <c r="R19" t="str">
        <v>t/ha</v>
      </c>
      <c r="S19" t="str">
        <v>Saleable grain</v>
      </c>
      <c r="T19">
        <v>50000</v>
      </c>
      <c r="U19" t="str">
        <v>Total</v>
      </c>
      <c r="V19">
        <v>0</v>
      </c>
      <c r="W19">
        <v>0</v>
      </c>
      <c r="X19">
        <v>0.10000000149011612</v>
      </c>
      <c r="Y19">
        <v>5.000000074505806E-2</v>
      </c>
      <c r="Z19">
        <v>9</v>
      </c>
      <c r="AA19">
        <v>0.10000000149011612</v>
      </c>
      <c r="AB19">
        <v>1.5</v>
      </c>
      <c r="AC19">
        <v>1</v>
      </c>
      <c r="AD19">
        <v>1</v>
      </c>
      <c r="AE19">
        <v>1</v>
      </c>
      <c r="AF19">
        <v>1</v>
      </c>
      <c r="AG19">
        <v>4</v>
      </c>
    </row>
    <row r="20" spans="1:33" x14ac:dyDescent="0.25">
      <c r="A20" t="str">
        <v>Chickpea Grain General</v>
      </c>
      <c r="B20">
        <v>16</v>
      </c>
      <c r="C20" t="str">
        <v>Grain</v>
      </c>
      <c r="D20" t="str">
        <v>Pulse</v>
      </c>
      <c r="E20" t="str">
        <v>Chickpea</v>
      </c>
      <c r="F20" t="str">
        <v>General</v>
      </c>
      <c r="G20" t="str">
        <v>Fabaceae</v>
      </c>
      <c r="H20" t="str">
        <v>Cicer</v>
      </c>
      <c r="I20" t="str">
        <v>arietinum</v>
      </c>
      <c r="J20" t="str">
        <v/>
      </c>
      <c r="K20" t="str">
        <v>Cicer arietinum</v>
      </c>
      <c r="L20" t="str">
        <v>arietinum</v>
      </c>
      <c r="M20" t="str">
        <v>Seed</v>
      </c>
      <c r="N20" t="str">
        <v>Oct</v>
      </c>
      <c r="O20" t="str">
        <v>LateReproductive</v>
      </c>
      <c r="P20" t="str">
        <v>Mar</v>
      </c>
      <c r="Q20">
        <v>4</v>
      </c>
      <c r="R20" t="str">
        <v>t/ha</v>
      </c>
      <c r="S20" t="str">
        <v>Saleable grain</v>
      </c>
      <c r="T20">
        <v>50000</v>
      </c>
      <c r="U20" t="str">
        <v>Total</v>
      </c>
      <c r="V20">
        <v>0</v>
      </c>
      <c r="W20">
        <v>0</v>
      </c>
      <c r="X20">
        <v>0.30000001192092896</v>
      </c>
      <c r="Y20">
        <v>0</v>
      </c>
      <c r="Z20">
        <v>15</v>
      </c>
      <c r="AA20">
        <v>0.10000000149011612</v>
      </c>
      <c r="AB20">
        <v>1</v>
      </c>
      <c r="AC20">
        <v>1</v>
      </c>
      <c r="AD20">
        <v>1</v>
      </c>
      <c r="AE20">
        <v>1.5</v>
      </c>
      <c r="AF20">
        <v>1.6000000238418579</v>
      </c>
      <c r="AG20">
        <v>4.6999998092651367</v>
      </c>
    </row>
    <row r="21" spans="1:33" x14ac:dyDescent="0.25">
      <c r="A21" t="str">
        <v>Sunflower Grain General</v>
      </c>
      <c r="B21">
        <v>17</v>
      </c>
      <c r="C21" t="str">
        <v>Grain</v>
      </c>
      <c r="D21" t="str">
        <v>Cereal</v>
      </c>
      <c r="E21" t="str">
        <v>Sunflower</v>
      </c>
      <c r="F21" t="str">
        <v>General</v>
      </c>
      <c r="G21" t="str">
        <v>Asteraceae</v>
      </c>
      <c r="H21" t="str">
        <v>Helianthus</v>
      </c>
      <c r="I21" t="str">
        <v>annus</v>
      </c>
      <c r="J21" t="str">
        <v/>
      </c>
      <c r="K21" t="str">
        <v>Helianthus annus</v>
      </c>
      <c r="L21" t="str">
        <v>annus</v>
      </c>
      <c r="M21" t="str">
        <v>Seed</v>
      </c>
      <c r="N21" t="str">
        <v>Oct</v>
      </c>
      <c r="O21" t="str">
        <v>Maturity</v>
      </c>
      <c r="P21" t="str">
        <v>Mar</v>
      </c>
      <c r="Q21">
        <v>3</v>
      </c>
      <c r="R21" t="str">
        <v>t/ha</v>
      </c>
      <c r="S21" t="str">
        <v>Saleable grain</v>
      </c>
      <c r="T21">
        <v>50000</v>
      </c>
      <c r="U21" t="str">
        <v>Total</v>
      </c>
      <c r="V21">
        <v>0</v>
      </c>
      <c r="W21">
        <v>0</v>
      </c>
      <c r="X21">
        <v>0.30000001192092896</v>
      </c>
      <c r="Y21">
        <v>0.10000000149011612</v>
      </c>
      <c r="Z21">
        <v>8</v>
      </c>
      <c r="AA21">
        <v>0.10000000149011612</v>
      </c>
      <c r="AB21">
        <v>1.5</v>
      </c>
      <c r="AC21">
        <v>1</v>
      </c>
      <c r="AD21">
        <v>1</v>
      </c>
      <c r="AE21">
        <v>0.89999997615814209</v>
      </c>
      <c r="AF21">
        <v>1.2999999523162842</v>
      </c>
      <c r="AG21">
        <v>2.4000000953674316</v>
      </c>
    </row>
    <row r="22" spans="1:33" x14ac:dyDescent="0.25">
      <c r="A22" t="str">
        <v>Barley Grain General</v>
      </c>
      <c r="B22">
        <v>18</v>
      </c>
      <c r="C22" t="str">
        <v>Grain</v>
      </c>
      <c r="D22" t="str">
        <v>Cereal</v>
      </c>
      <c r="E22" t="str">
        <v>Barley</v>
      </c>
      <c r="F22" t="str">
        <v>General</v>
      </c>
      <c r="G22" t="str">
        <v>Poaceae</v>
      </c>
      <c r="H22" t="str">
        <v>Hordeum</v>
      </c>
      <c r="I22" t="str">
        <v>vulgure</v>
      </c>
      <c r="J22" t="str">
        <v/>
      </c>
      <c r="K22" t="str">
        <v>Hordeum vulgure</v>
      </c>
      <c r="L22" t="str">
        <v>vulgure</v>
      </c>
      <c r="M22" t="str">
        <v>Seed</v>
      </c>
      <c r="N22" t="str">
        <v>Sep</v>
      </c>
      <c r="O22" t="str">
        <v>Maturity</v>
      </c>
      <c r="P22" t="str">
        <v>Feb</v>
      </c>
      <c r="Q22">
        <v>8</v>
      </c>
      <c r="R22" t="str">
        <v>t/ha</v>
      </c>
      <c r="S22" t="str">
        <v>Saleable grain</v>
      </c>
      <c r="T22">
        <v>50000</v>
      </c>
      <c r="U22" t="str">
        <v>Total</v>
      </c>
      <c r="V22">
        <v>0</v>
      </c>
      <c r="W22">
        <v>0</v>
      </c>
      <c r="X22">
        <v>0.46299999952316284</v>
      </c>
      <c r="Y22">
        <v>0.10000000149011612</v>
      </c>
      <c r="Z22">
        <v>13</v>
      </c>
      <c r="AA22">
        <v>0.10000000149011612</v>
      </c>
      <c r="AB22">
        <v>1.2000000476837158</v>
      </c>
      <c r="AC22">
        <v>1</v>
      </c>
      <c r="AD22">
        <v>1</v>
      </c>
      <c r="AE22">
        <v>0.89999997615814209</v>
      </c>
      <c r="AF22">
        <v>0.5</v>
      </c>
      <c r="AG22">
        <v>1.2000000476837158</v>
      </c>
    </row>
    <row r="23" spans="1:33" x14ac:dyDescent="0.25">
      <c r="A23" t="str">
        <v>Lentil Grain General</v>
      </c>
      <c r="B23">
        <v>19</v>
      </c>
      <c r="C23" t="str">
        <v>Grain</v>
      </c>
      <c r="D23" t="str">
        <v>Pulse</v>
      </c>
      <c r="E23" t="str">
        <v>Lentil</v>
      </c>
      <c r="F23" t="str">
        <v>General</v>
      </c>
      <c r="G23" t="str">
        <v>Fabaceae</v>
      </c>
      <c r="H23" t="str">
        <v>Lens</v>
      </c>
      <c r="I23" t="str">
        <v>culinaris</v>
      </c>
      <c r="J23" t="str">
        <v/>
      </c>
      <c r="K23" t="str">
        <v>Lens culinaris</v>
      </c>
      <c r="L23" t="str">
        <v>culinaris</v>
      </c>
      <c r="M23" t="str">
        <v>Seed</v>
      </c>
      <c r="N23" t="str">
        <v>Oct</v>
      </c>
      <c r="O23" t="str">
        <v>Maturity</v>
      </c>
      <c r="P23" t="str">
        <v>Mar</v>
      </c>
      <c r="Q23">
        <v>3.5</v>
      </c>
      <c r="R23" t="str">
        <v>t/ha</v>
      </c>
      <c r="S23" t="str">
        <v>Saleable grain</v>
      </c>
      <c r="T23">
        <v>50000</v>
      </c>
      <c r="U23" t="str">
        <v>Total</v>
      </c>
      <c r="V23">
        <v>0</v>
      </c>
      <c r="W23">
        <v>0</v>
      </c>
      <c r="X23">
        <v>0.5</v>
      </c>
      <c r="Y23">
        <v>0</v>
      </c>
      <c r="Z23">
        <v>14</v>
      </c>
      <c r="AA23">
        <v>0.10000000149011612</v>
      </c>
      <c r="AB23">
        <v>1</v>
      </c>
      <c r="AC23">
        <v>1</v>
      </c>
      <c r="AD23">
        <v>1</v>
      </c>
      <c r="AE23">
        <v>1.5</v>
      </c>
      <c r="AF23">
        <v>1.6000000238418579</v>
      </c>
      <c r="AG23">
        <v>3.5</v>
      </c>
    </row>
    <row r="24" spans="1:33" x14ac:dyDescent="0.25">
      <c r="A24" t="str">
        <v>Linseed Grain General</v>
      </c>
      <c r="B24">
        <v>20</v>
      </c>
      <c r="C24" t="str">
        <v>Grain</v>
      </c>
      <c r="D24" t="str">
        <v>Oilseed</v>
      </c>
      <c r="E24" t="str">
        <v>Linseed</v>
      </c>
      <c r="F24" t="str">
        <v>General</v>
      </c>
      <c r="G24" t="str">
        <v>Linaceae</v>
      </c>
      <c r="H24" t="str">
        <v>Linum</v>
      </c>
      <c r="I24" t="str">
        <v>usitatissimum</v>
      </c>
      <c r="J24" t="str">
        <v/>
      </c>
      <c r="K24" t="str">
        <v>Linum usitatissimum</v>
      </c>
      <c r="L24" t="str">
        <v>usitatissimum</v>
      </c>
      <c r="M24" t="str">
        <v>Seed</v>
      </c>
      <c r="N24" t="str">
        <v>Sep</v>
      </c>
      <c r="O24" t="str">
        <v>LateReproductive</v>
      </c>
      <c r="P24" t="str">
        <v>Mar</v>
      </c>
      <c r="Q24">
        <v>2.5</v>
      </c>
      <c r="R24" t="str">
        <v>t/ha</v>
      </c>
      <c r="S24" t="str">
        <v>Saleable grain</v>
      </c>
      <c r="T24">
        <v>50000</v>
      </c>
      <c r="U24" t="str">
        <v>Total</v>
      </c>
      <c r="V24">
        <v>0</v>
      </c>
      <c r="W24">
        <v>0</v>
      </c>
      <c r="X24">
        <v>0.2083333283662796</v>
      </c>
      <c r="Y24">
        <v>0</v>
      </c>
      <c r="Z24">
        <v>9</v>
      </c>
      <c r="AA24">
        <v>0.10000000149011612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4.3000001907348633</v>
      </c>
    </row>
    <row r="25" spans="1:33" x14ac:dyDescent="0.25">
      <c r="A25" t="str">
        <v>Bean Grain General</v>
      </c>
      <c r="B25">
        <v>21</v>
      </c>
      <c r="C25" t="str">
        <v>Grain</v>
      </c>
      <c r="D25" t="str">
        <v>Pulse</v>
      </c>
      <c r="E25" t="str">
        <v>Bean</v>
      </c>
      <c r="F25" t="str">
        <v>General</v>
      </c>
      <c r="G25" t="str">
        <v>Fabaceae</v>
      </c>
      <c r="H25" t="str">
        <v>Phaseolus</v>
      </c>
      <c r="I25" t="str">
        <v>vulgaris</v>
      </c>
      <c r="J25" t="str">
        <v/>
      </c>
      <c r="K25" t="str">
        <v>Phaseolus vulgaris</v>
      </c>
      <c r="L25" t="str">
        <v>vulgaris</v>
      </c>
      <c r="M25" t="str">
        <v>Seed</v>
      </c>
      <c r="N25" t="str">
        <v>Oct</v>
      </c>
      <c r="O25" t="str">
        <v>Maturity</v>
      </c>
      <c r="P25" t="str">
        <v>Mar</v>
      </c>
      <c r="Q25">
        <v>3.5</v>
      </c>
      <c r="R25" t="str">
        <v>t/ha</v>
      </c>
      <c r="S25" t="str">
        <v>Saleable grain</v>
      </c>
      <c r="T25">
        <v>50000</v>
      </c>
      <c r="U25" t="str">
        <v>Total</v>
      </c>
      <c r="V25">
        <v>0</v>
      </c>
      <c r="W25">
        <v>0</v>
      </c>
      <c r="X25">
        <v>0.5</v>
      </c>
      <c r="Y25">
        <v>0</v>
      </c>
      <c r="Z25">
        <v>14</v>
      </c>
      <c r="AA25">
        <v>0.10000000149011612</v>
      </c>
      <c r="AB25">
        <v>1</v>
      </c>
      <c r="AC25">
        <v>1</v>
      </c>
      <c r="AD25">
        <v>1</v>
      </c>
      <c r="AE25">
        <v>1.5</v>
      </c>
      <c r="AF25">
        <v>1.6000000238418579</v>
      </c>
      <c r="AG25">
        <v>3.5</v>
      </c>
    </row>
    <row r="26" spans="1:33" x14ac:dyDescent="0.25">
      <c r="A26" t="str">
        <v>Pea Grain General</v>
      </c>
      <c r="B26">
        <v>22</v>
      </c>
      <c r="C26" t="str">
        <v>Grain</v>
      </c>
      <c r="D26" t="str">
        <v>Pulse</v>
      </c>
      <c r="E26" t="str">
        <v>Pea</v>
      </c>
      <c r="F26" t="str">
        <v>General</v>
      </c>
      <c r="G26" t="str">
        <v>Fabaceae</v>
      </c>
      <c r="H26" t="str">
        <v>Pisum</v>
      </c>
      <c r="I26" t="str">
        <v>sativum</v>
      </c>
      <c r="J26" t="str">
        <v/>
      </c>
      <c r="K26" t="str">
        <v>Pisum sativum</v>
      </c>
      <c r="L26" t="str">
        <v>sativum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50000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0.69999998807907104</v>
      </c>
      <c r="AC26">
        <v>1</v>
      </c>
      <c r="AD26">
        <v>1</v>
      </c>
      <c r="AE26">
        <v>1.5</v>
      </c>
      <c r="AF26">
        <v>1.6000000238418579</v>
      </c>
      <c r="AG26">
        <v>4.6999998092651367</v>
      </c>
    </row>
    <row r="27" spans="1:33" x14ac:dyDescent="0.25">
      <c r="A27" t="str">
        <v>Wheat Grain Breed</v>
      </c>
      <c r="B27">
        <v>23</v>
      </c>
      <c r="C27" t="str">
        <v>Grain</v>
      </c>
      <c r="D27" t="str">
        <v>Cereal</v>
      </c>
      <c r="E27" t="str">
        <v>Wheat</v>
      </c>
      <c r="F27" t="str">
        <v>Breed</v>
      </c>
      <c r="G27" t="str">
        <v>Poaceae</v>
      </c>
      <c r="H27" t="str">
        <v>Triticum</v>
      </c>
      <c r="I27" t="str">
        <v>astevium</v>
      </c>
      <c r="J27" t="str">
        <v/>
      </c>
      <c r="K27" t="str">
        <v>Triticum astevium</v>
      </c>
      <c r="L27" t="str">
        <v>astevium</v>
      </c>
      <c r="M27" t="str">
        <v>Seed</v>
      </c>
      <c r="N27" t="str">
        <v>Apr</v>
      </c>
      <c r="O27" t="str">
        <v>Maturity</v>
      </c>
      <c r="P27" t="str">
        <v>Feb</v>
      </c>
      <c r="Q27">
        <v>10</v>
      </c>
      <c r="R27" t="str">
        <v>t/ha</v>
      </c>
      <c r="S27" t="str">
        <v>Saleable grain</v>
      </c>
      <c r="T27">
        <v>50000</v>
      </c>
      <c r="U27" t="str">
        <v>Total</v>
      </c>
      <c r="V27">
        <v>0</v>
      </c>
      <c r="W27">
        <v>0</v>
      </c>
      <c r="X27">
        <v>0.41170001029968262</v>
      </c>
      <c r="Y27">
        <v>0.10000000149011612</v>
      </c>
      <c r="Z27">
        <v>13</v>
      </c>
      <c r="AA27">
        <v>0.10000000149011612</v>
      </c>
      <c r="AB27">
        <v>1.5</v>
      </c>
      <c r="AC27">
        <v>1</v>
      </c>
      <c r="AD27">
        <v>1</v>
      </c>
      <c r="AE27">
        <v>0.89999997615814209</v>
      </c>
      <c r="AF27">
        <v>0.5</v>
      </c>
      <c r="AG27">
        <v>1.5</v>
      </c>
    </row>
    <row r="28" spans="1:33" x14ac:dyDescent="0.25">
      <c r="A28" t="str">
        <v>Wheat Grain Feed</v>
      </c>
      <c r="B28">
        <v>24</v>
      </c>
      <c r="C28" t="str">
        <v>Grain</v>
      </c>
      <c r="D28" t="str">
        <v>Cereal</v>
      </c>
      <c r="E28" t="str">
        <v>Wheat</v>
      </c>
      <c r="F28" t="str">
        <v>Feed</v>
      </c>
      <c r="G28" t="str">
        <v>Poaceae</v>
      </c>
      <c r="H28" t="str">
        <v>Triticum</v>
      </c>
      <c r="I28" t="str">
        <v>astevium</v>
      </c>
      <c r="J28" t="str">
        <v/>
      </c>
      <c r="K28" t="str">
        <v>Triticum astevium</v>
      </c>
      <c r="L28" t="str">
        <v>astevium</v>
      </c>
      <c r="M28" t="str">
        <v>Seed</v>
      </c>
      <c r="N28" t="str">
        <v>Apr</v>
      </c>
      <c r="O28" t="str">
        <v>Maturity</v>
      </c>
      <c r="P28" t="str">
        <v>Feb</v>
      </c>
      <c r="Q28">
        <v>12</v>
      </c>
      <c r="R28" t="str">
        <v>t/ha</v>
      </c>
      <c r="S28" t="str">
        <v>Saleable grain</v>
      </c>
      <c r="T28">
        <v>50000</v>
      </c>
      <c r="U28" t="str">
        <v>Total</v>
      </c>
      <c r="V28">
        <v>0</v>
      </c>
      <c r="W28">
        <v>0</v>
      </c>
      <c r="X28">
        <v>0.41170001029968262</v>
      </c>
      <c r="Y28">
        <v>0.10000000149011612</v>
      </c>
      <c r="Z28">
        <v>13</v>
      </c>
      <c r="AA28">
        <v>0.10000000149011612</v>
      </c>
      <c r="AB28">
        <v>1.5</v>
      </c>
      <c r="AC28">
        <v>1</v>
      </c>
      <c r="AD28">
        <v>1</v>
      </c>
      <c r="AE28">
        <v>0.89999997615814209</v>
      </c>
      <c r="AF28">
        <v>0.5</v>
      </c>
      <c r="AG28">
        <v>1.2000000476837158</v>
      </c>
    </row>
    <row r="29" spans="1:33" x14ac:dyDescent="0.25">
      <c r="A29" t="str">
        <v>Wheat Grain General</v>
      </c>
      <c r="B29">
        <v>24</v>
      </c>
      <c r="C29" t="str">
        <v>Grain</v>
      </c>
      <c r="D29" t="str">
        <v>Cereal</v>
      </c>
      <c r="E29" t="str">
        <v>Wheat</v>
      </c>
      <c r="F29" t="str">
        <v>General</v>
      </c>
      <c r="G29" t="str">
        <v>Poaceae</v>
      </c>
      <c r="H29" t="str">
        <v>Triticum</v>
      </c>
      <c r="I29" t="str">
        <v>astevium</v>
      </c>
      <c r="J29" t="str">
        <v/>
      </c>
      <c r="K29" t="str">
        <v>Triticum astevium</v>
      </c>
      <c r="L29" t="str">
        <v>astevium</v>
      </c>
      <c r="M29" t="str">
        <v>Seed</v>
      </c>
      <c r="N29" t="str">
        <v>Apr</v>
      </c>
      <c r="O29" t="str">
        <v>Maturity</v>
      </c>
      <c r="P29" t="str">
        <v>Feb</v>
      </c>
      <c r="Q29">
        <v>12</v>
      </c>
      <c r="R29" t="str">
        <v>t/ha</v>
      </c>
      <c r="S29" t="str">
        <v>Saleable grain</v>
      </c>
      <c r="T29">
        <v>50000</v>
      </c>
      <c r="U29" t="str">
        <v>Total</v>
      </c>
      <c r="V29">
        <v>0</v>
      </c>
      <c r="W29">
        <v>0</v>
      </c>
      <c r="X29">
        <v>0.41170001029968262</v>
      </c>
      <c r="Y29">
        <v>0.10000000149011612</v>
      </c>
      <c r="Z29">
        <v>13</v>
      </c>
      <c r="AA29">
        <v>0.10000000149011612</v>
      </c>
      <c r="AB29">
        <v>1.5</v>
      </c>
      <c r="AC29">
        <v>1</v>
      </c>
      <c r="AD29">
        <v>1</v>
      </c>
      <c r="AE29">
        <v>0.89999997615814209</v>
      </c>
      <c r="AF29">
        <v>0.5</v>
      </c>
      <c r="AG29">
        <v>1.2000000476837158</v>
      </c>
    </row>
    <row r="30" spans="1:33" x14ac:dyDescent="0.25">
      <c r="A30" t="str">
        <v>Maize Grain General</v>
      </c>
      <c r="B30">
        <v>25</v>
      </c>
      <c r="C30" t="str">
        <v>Grain</v>
      </c>
      <c r="D30" t="str">
        <v>Cereal</v>
      </c>
      <c r="E30" t="str">
        <v>Maize</v>
      </c>
      <c r="F30" t="str">
        <v>General</v>
      </c>
      <c r="G30" t="str">
        <v>Poaceae</v>
      </c>
      <c r="H30" t="str">
        <v>Zea</v>
      </c>
      <c r="I30" t="str">
        <v>mays</v>
      </c>
      <c r="J30" t="str">
        <v/>
      </c>
      <c r="K30" t="str">
        <v>Zea mays</v>
      </c>
      <c r="L30" t="str">
        <v>mays</v>
      </c>
      <c r="M30" t="str">
        <v>Seed</v>
      </c>
      <c r="N30" t="str">
        <v>Oct</v>
      </c>
      <c r="O30" t="str">
        <v>Maturity</v>
      </c>
      <c r="P30" t="str">
        <v>Apr</v>
      </c>
      <c r="Q30">
        <v>13.300000190734863</v>
      </c>
      <c r="R30" t="str">
        <v>t/ha</v>
      </c>
      <c r="S30" t="str">
        <v>Saleable grain</v>
      </c>
      <c r="T30">
        <v>50000</v>
      </c>
      <c r="U30" t="str">
        <v>Total</v>
      </c>
      <c r="V30">
        <v>0</v>
      </c>
      <c r="W30">
        <v>0</v>
      </c>
      <c r="X30">
        <v>0.5</v>
      </c>
      <c r="Y30">
        <v>0</v>
      </c>
      <c r="Z30">
        <v>13</v>
      </c>
      <c r="AA30">
        <v>0.10000000149011612</v>
      </c>
      <c r="AB30">
        <v>1.5</v>
      </c>
      <c r="AC30">
        <v>0.85000002384185791</v>
      </c>
      <c r="AD30">
        <v>1</v>
      </c>
      <c r="AE30">
        <v>0.89999997615814209</v>
      </c>
      <c r="AF30">
        <v>0.69999998807907104</v>
      </c>
      <c r="AG30">
        <v>1.3999999761581421</v>
      </c>
    </row>
    <row r="31" spans="1:33" x14ac:dyDescent="0.25">
      <c r="A31" t="str">
        <v>Red beet Seed General</v>
      </c>
      <c r="B31">
        <v>26</v>
      </c>
      <c r="C31" t="str">
        <v>Seed</v>
      </c>
      <c r="D31" t="str">
        <v>Vegetable, root</v>
      </c>
      <c r="E31" t="str">
        <v>Red beet</v>
      </c>
      <c r="F31" t="str">
        <v>General</v>
      </c>
      <c r="G31" t="str">
        <v>Amaranthaceae</v>
      </c>
      <c r="H31" t="str">
        <v>Beta</v>
      </c>
      <c r="I31" t="str">
        <v>vulgaris</v>
      </c>
      <c r="J31" t="str">
        <v>conditiva</v>
      </c>
      <c r="K31" t="str">
        <v>Beta vulgaris conditiva</v>
      </c>
      <c r="L31" t="str">
        <v>vulgaris conditiva</v>
      </c>
      <c r="M31" t="str">
        <v>Seed</v>
      </c>
      <c r="N31" t="str">
        <v>Apr</v>
      </c>
      <c r="O31" t="str">
        <v>LateReproductive</v>
      </c>
      <c r="P31" t="str">
        <v>Mar</v>
      </c>
      <c r="Q31">
        <v>1.2000000476837158</v>
      </c>
      <c r="R31" t="str">
        <v>t/ha</v>
      </c>
      <c r="S31" t="str">
        <v>Saleable seed</v>
      </c>
      <c r="T31">
        <v>50000</v>
      </c>
      <c r="U31" t="str">
        <v>Total</v>
      </c>
      <c r="V31">
        <v>15</v>
      </c>
      <c r="W31">
        <v>0</v>
      </c>
      <c r="X31">
        <v>0.17000000178813934</v>
      </c>
      <c r="Y31">
        <v>7.0000000298023224E-2</v>
      </c>
      <c r="Z31">
        <v>15</v>
      </c>
      <c r="AA31">
        <v>0.10000000149011612</v>
      </c>
      <c r="AB31">
        <v>1.5</v>
      </c>
      <c r="AC31">
        <v>0.85000002384185791</v>
      </c>
      <c r="AD31">
        <v>0.80000001192092896</v>
      </c>
      <c r="AE31">
        <v>0.80000001192092896</v>
      </c>
      <c r="AF31">
        <v>1.7999999523162842</v>
      </c>
      <c r="AG31">
        <v>2.0999999046325684</v>
      </c>
    </row>
    <row r="32" spans="1:33" x14ac:dyDescent="0.25">
      <c r="A32" t="str">
        <v>Rape Seed General</v>
      </c>
      <c r="B32">
        <v>27</v>
      </c>
      <c r="C32" t="str">
        <v>Seed</v>
      </c>
      <c r="D32" t="str">
        <v>Fodder</v>
      </c>
      <c r="E32" t="str">
        <v>Rape</v>
      </c>
      <c r="F32" t="str">
        <v>General</v>
      </c>
      <c r="G32" t="str">
        <v>Brassicaceae</v>
      </c>
      <c r="H32" t="str">
        <v>Brassica</v>
      </c>
      <c r="I32" t="str">
        <v>napus</v>
      </c>
      <c r="J32" t="str">
        <v>napus</v>
      </c>
      <c r="K32" t="str">
        <v>Brassica napus napus</v>
      </c>
      <c r="L32" t="str">
        <v>napus napus</v>
      </c>
      <c r="M32" t="str">
        <v>Seed</v>
      </c>
      <c r="N32" t="str">
        <v>Apr</v>
      </c>
      <c r="O32" t="str">
        <v>LateReproductive</v>
      </c>
      <c r="P32" t="str">
        <v>Feb</v>
      </c>
      <c r="Q32">
        <v>4</v>
      </c>
      <c r="R32" t="str">
        <v>t/ha</v>
      </c>
      <c r="S32" t="str">
        <v>Saleable seed</v>
      </c>
      <c r="T32">
        <v>50000</v>
      </c>
      <c r="U32" t="str">
        <v>Total</v>
      </c>
      <c r="V32">
        <v>3</v>
      </c>
      <c r="W32">
        <v>0</v>
      </c>
      <c r="X32">
        <v>0.33000001311302185</v>
      </c>
      <c r="Y32">
        <v>7.9999998211860657E-2</v>
      </c>
      <c r="Z32">
        <v>10</v>
      </c>
      <c r="AA32">
        <v>0.10000000149011612</v>
      </c>
      <c r="AB32">
        <v>1.2000000476837158</v>
      </c>
      <c r="AC32">
        <v>1</v>
      </c>
      <c r="AD32">
        <v>1.6000000238418579</v>
      </c>
      <c r="AE32">
        <v>0.80000001192092896</v>
      </c>
      <c r="AF32">
        <v>1.7999999523162842</v>
      </c>
      <c r="AG32">
        <v>5</v>
      </c>
    </row>
    <row r="33" spans="1:33" x14ac:dyDescent="0.25">
      <c r="A33" t="str">
        <v>Pak choi Seed General</v>
      </c>
      <c r="B33">
        <v>28</v>
      </c>
      <c r="C33" t="str">
        <v>Seed</v>
      </c>
      <c r="D33" t="str">
        <v>Vegetable, green</v>
      </c>
      <c r="E33" t="str">
        <v>Pak choi</v>
      </c>
      <c r="F33" t="str">
        <v>General</v>
      </c>
      <c r="G33" t="str">
        <v>Brassicaceae</v>
      </c>
      <c r="H33" t="str">
        <v>Brassica</v>
      </c>
      <c r="I33" t="str">
        <v>rapa</v>
      </c>
      <c r="J33" t="str">
        <v>chinensis</v>
      </c>
      <c r="K33" t="str">
        <v>Brassica rapa chinensis</v>
      </c>
      <c r="L33" t="str">
        <v>rapa chinensis</v>
      </c>
      <c r="M33" t="str">
        <v>Seed</v>
      </c>
      <c r="N33" t="str">
        <v>Sep</v>
      </c>
      <c r="O33" t="str">
        <v>LateReproductive</v>
      </c>
      <c r="P33" t="str">
        <v>Feb</v>
      </c>
      <c r="Q33">
        <v>1.2999999523162842</v>
      </c>
      <c r="R33" t="str">
        <v>t/ha</v>
      </c>
      <c r="S33" t="str">
        <v>Saleable seed</v>
      </c>
      <c r="T33">
        <v>50000</v>
      </c>
      <c r="U33" t="str">
        <v>Total</v>
      </c>
      <c r="V33">
        <v>0</v>
      </c>
      <c r="W33">
        <v>0</v>
      </c>
      <c r="X33">
        <v>0.24500000476837158</v>
      </c>
      <c r="Y33">
        <v>0.14000000059604645</v>
      </c>
      <c r="Z33">
        <v>8</v>
      </c>
      <c r="AA33">
        <v>0.10000000149011612</v>
      </c>
      <c r="AB33">
        <v>1.2000000476837158</v>
      </c>
      <c r="AC33">
        <v>0.85000002384185791</v>
      </c>
      <c r="AD33">
        <v>1.5</v>
      </c>
      <c r="AE33">
        <v>0.80000001192092896</v>
      </c>
      <c r="AF33">
        <v>1.1000000238418579</v>
      </c>
      <c r="AG33">
        <v>3.2000000476837158</v>
      </c>
    </row>
    <row r="34" spans="1:33" x14ac:dyDescent="0.25">
      <c r="A34" t="str">
        <v>Cocksfoot Seed General</v>
      </c>
      <c r="B34">
        <v>29</v>
      </c>
      <c r="C34" t="str">
        <v>Seed</v>
      </c>
      <c r="D34" t="str">
        <v>Forage</v>
      </c>
      <c r="E34" t="str">
        <v>Cocksfoot</v>
      </c>
      <c r="F34" t="str">
        <v>General</v>
      </c>
      <c r="G34" t="str">
        <v>Poaceae</v>
      </c>
      <c r="H34" t="str">
        <v>Dactylus</v>
      </c>
      <c r="I34" t="str">
        <v>glomerata</v>
      </c>
      <c r="J34" t="str">
        <v/>
      </c>
      <c r="K34" t="str">
        <v>Dactylus glomerata</v>
      </c>
      <c r="L34" t="str">
        <v>glomerata</v>
      </c>
      <c r="M34" t="str">
        <v>Seed</v>
      </c>
      <c r="N34" t="str">
        <v>Feb</v>
      </c>
      <c r="O34" t="str">
        <v>LateReproductive</v>
      </c>
      <c r="P34" t="str">
        <v>Jan</v>
      </c>
      <c r="Q34">
        <v>1</v>
      </c>
      <c r="R34" t="str">
        <v>t/ha</v>
      </c>
      <c r="S34" t="str">
        <v>Saleable seed</v>
      </c>
      <c r="T34">
        <v>50000</v>
      </c>
      <c r="U34" t="str">
        <v>Total</v>
      </c>
      <c r="V34">
        <v>10</v>
      </c>
      <c r="W34">
        <v>0</v>
      </c>
      <c r="X34">
        <v>9.0000003576278687E-2</v>
      </c>
      <c r="Y34">
        <v>2.9999999329447746E-2</v>
      </c>
      <c r="Z34">
        <v>15</v>
      </c>
      <c r="AA34">
        <v>0.10000000149011612</v>
      </c>
      <c r="AB34">
        <v>1</v>
      </c>
      <c r="AC34">
        <v>1</v>
      </c>
      <c r="AD34">
        <v>0.80000001192092896</v>
      </c>
      <c r="AE34">
        <v>0.89999997615814209</v>
      </c>
      <c r="AF34">
        <v>1.2000000476837158</v>
      </c>
      <c r="AG34">
        <v>2</v>
      </c>
    </row>
    <row r="35" spans="1:33" x14ac:dyDescent="0.25">
      <c r="A35" t="str">
        <v>Carrot Seed General</v>
      </c>
      <c r="B35">
        <v>30</v>
      </c>
      <c r="C35" t="str">
        <v>Seed</v>
      </c>
      <c r="D35" t="str">
        <v>Vegetable, root</v>
      </c>
      <c r="E35" t="str">
        <v>Carrot</v>
      </c>
      <c r="F35" t="str">
        <v>General</v>
      </c>
      <c r="G35" t="str">
        <v>Apiaceae</v>
      </c>
      <c r="H35" t="str">
        <v>Daucus</v>
      </c>
      <c r="I35" t="str">
        <v>carota</v>
      </c>
      <c r="J35" t="str">
        <v/>
      </c>
      <c r="K35" t="str">
        <v>Daucus carota</v>
      </c>
      <c r="L35" t="str">
        <v>carota</v>
      </c>
      <c r="M35" t="str">
        <v>Seed</v>
      </c>
      <c r="N35" t="str">
        <v>Feb</v>
      </c>
      <c r="O35" t="str">
        <v>LateReproductive</v>
      </c>
      <c r="P35" t="str">
        <v>Feb</v>
      </c>
      <c r="Q35">
        <v>0.69999998807907104</v>
      </c>
      <c r="R35" t="str">
        <v>t/ha</v>
      </c>
      <c r="S35" t="str">
        <v>Saleable seed</v>
      </c>
      <c r="T35">
        <v>50000</v>
      </c>
      <c r="U35" t="str">
        <v>Total</v>
      </c>
      <c r="V35">
        <v>0</v>
      </c>
      <c r="W35">
        <v>0</v>
      </c>
      <c r="X35">
        <v>0.11999999731779099</v>
      </c>
      <c r="Y35">
        <v>7.9999998211860657E-2</v>
      </c>
      <c r="Z35">
        <v>15</v>
      </c>
      <c r="AA35">
        <v>0.10000000149011612</v>
      </c>
      <c r="AB35">
        <v>1.2000000476837158</v>
      </c>
      <c r="AC35">
        <v>0.85000002384185791</v>
      </c>
      <c r="AD35">
        <v>0.69999998807907104</v>
      </c>
      <c r="AE35">
        <v>0.89999997615814209</v>
      </c>
      <c r="AF35">
        <v>1.2000000476837158</v>
      </c>
      <c r="AG35">
        <v>3.4000000953674316</v>
      </c>
    </row>
    <row r="36" spans="1:33" x14ac:dyDescent="0.25">
      <c r="A36" t="str">
        <v>Ryegrass Seed General</v>
      </c>
      <c r="B36">
        <v>31</v>
      </c>
      <c r="C36" t="str">
        <v>Seed</v>
      </c>
      <c r="D36" t="str">
        <v>Forage</v>
      </c>
      <c r="E36" t="str">
        <v>Ryegrass</v>
      </c>
      <c r="F36" t="str">
        <v>General</v>
      </c>
      <c r="G36" t="str">
        <v>Poaceae</v>
      </c>
      <c r="H36" t="str">
        <v>Lolium</v>
      </c>
      <c r="I36" t="str">
        <v>perenne</v>
      </c>
      <c r="J36" t="str">
        <v/>
      </c>
      <c r="K36" t="str">
        <v>Lolium perenne</v>
      </c>
      <c r="L36" t="str">
        <v>perenne</v>
      </c>
      <c r="M36" t="str">
        <v>Seed</v>
      </c>
      <c r="N36" t="str">
        <v>Apr</v>
      </c>
      <c r="O36" t="str">
        <v>LateReproductive</v>
      </c>
      <c r="P36" t="str">
        <v>Jan</v>
      </c>
      <c r="Q36">
        <v>2.0699999332427979</v>
      </c>
      <c r="R36" t="str">
        <v>t/ha</v>
      </c>
      <c r="S36" t="str">
        <v>Saleable seed</v>
      </c>
      <c r="T36">
        <v>50000</v>
      </c>
      <c r="U36" t="str">
        <v>Total</v>
      </c>
      <c r="V36">
        <v>15</v>
      </c>
      <c r="W36">
        <v>0</v>
      </c>
      <c r="X36">
        <v>0.20350000262260437</v>
      </c>
      <c r="Y36">
        <v>0.10350000113248825</v>
      </c>
      <c r="Z36">
        <v>14</v>
      </c>
      <c r="AA36">
        <v>0.10000000149011612</v>
      </c>
      <c r="AB36">
        <v>0.89999997615814209</v>
      </c>
      <c r="AC36">
        <v>1</v>
      </c>
      <c r="AD36">
        <v>1.5</v>
      </c>
      <c r="AE36">
        <v>0.89999997615814209</v>
      </c>
      <c r="AF36">
        <v>1.1000000238418579</v>
      </c>
      <c r="AG36">
        <v>2</v>
      </c>
    </row>
    <row r="37" spans="1:33" x14ac:dyDescent="0.25">
      <c r="A37" t="str">
        <v>Radish Seed Open pollinated</v>
      </c>
      <c r="B37">
        <v>32</v>
      </c>
      <c r="C37" t="str">
        <v>Seed</v>
      </c>
      <c r="D37" t="str">
        <v>Vegetable, root</v>
      </c>
      <c r="E37" t="str">
        <v>Radish</v>
      </c>
      <c r="F37" t="str">
        <v>Open pollinated</v>
      </c>
      <c r="G37" t="str">
        <v>Brassicaceae</v>
      </c>
      <c r="H37" t="str">
        <v>Raphanus</v>
      </c>
      <c r="I37" t="str">
        <v>raphanistrum</v>
      </c>
      <c r="J37" t="str">
        <v>sativa</v>
      </c>
      <c r="K37" t="str">
        <v>Raphanus raphanistrum sativa</v>
      </c>
      <c r="L37" t="str">
        <v>raphanistrum sativa</v>
      </c>
      <c r="M37" t="str">
        <v>Seed</v>
      </c>
      <c r="N37" t="str">
        <v>Sep</v>
      </c>
      <c r="O37" t="str">
        <v>LateReproductive</v>
      </c>
      <c r="P37" t="str">
        <v>Feb</v>
      </c>
      <c r="Q37">
        <v>1.7999999523162842</v>
      </c>
      <c r="R37" t="str">
        <v>t/ha</v>
      </c>
      <c r="S37" t="str">
        <v>Saleable seed</v>
      </c>
      <c r="T37">
        <v>50000</v>
      </c>
      <c r="U37" t="str">
        <v>Total</v>
      </c>
      <c r="V37">
        <v>30</v>
      </c>
      <c r="W37">
        <v>0</v>
      </c>
      <c r="X37">
        <v>0.17800000309944153</v>
      </c>
      <c r="Y37">
        <v>0.1080000028014183</v>
      </c>
      <c r="Z37">
        <v>10</v>
      </c>
      <c r="AA37">
        <v>0.10000000149011612</v>
      </c>
      <c r="AB37">
        <v>1.2000000476837158</v>
      </c>
      <c r="AC37">
        <v>0.85000002384185791</v>
      </c>
      <c r="AD37">
        <v>1.1000000238418579</v>
      </c>
      <c r="AE37">
        <v>0.80000001192092896</v>
      </c>
      <c r="AF37">
        <v>1.6000000238418579</v>
      </c>
      <c r="AG37">
        <v>4.5</v>
      </c>
    </row>
    <row r="38" spans="1:33" x14ac:dyDescent="0.25">
      <c r="A38" t="str">
        <v>White clover Seed General</v>
      </c>
      <c r="B38">
        <v>33</v>
      </c>
      <c r="C38" t="str">
        <v>Seed</v>
      </c>
      <c r="D38" t="str">
        <v>Forage</v>
      </c>
      <c r="E38" t="str">
        <v>White clover</v>
      </c>
      <c r="F38" t="str">
        <v>General</v>
      </c>
      <c r="G38" t="str">
        <v>Fabaceae</v>
      </c>
      <c r="H38" t="str">
        <v>Trifolium</v>
      </c>
      <c r="I38" t="str">
        <v>repens</v>
      </c>
      <c r="J38" t="str">
        <v/>
      </c>
      <c r="K38" t="str">
        <v>Trifolium repens</v>
      </c>
      <c r="L38" t="str">
        <v>repens</v>
      </c>
      <c r="M38" t="str">
        <v>Seed</v>
      </c>
      <c r="N38" t="str">
        <v>Mar</v>
      </c>
      <c r="O38" t="str">
        <v>LateReproductive</v>
      </c>
      <c r="P38" t="str">
        <v>Feb</v>
      </c>
      <c r="Q38">
        <v>0.60000002384185791</v>
      </c>
      <c r="R38" t="str">
        <v>t/ha</v>
      </c>
      <c r="S38" t="str">
        <v>Saleable seed</v>
      </c>
      <c r="T38">
        <v>50000</v>
      </c>
      <c r="U38" t="str">
        <v>Total</v>
      </c>
      <c r="V38">
        <v>20</v>
      </c>
      <c r="W38">
        <v>0</v>
      </c>
      <c r="X38">
        <v>0.15000000596046448</v>
      </c>
      <c r="Y38">
        <v>9.0000003576278687E-2</v>
      </c>
      <c r="Z38">
        <v>14</v>
      </c>
      <c r="AA38">
        <v>0.10000000149011612</v>
      </c>
      <c r="AB38">
        <v>0.89999997615814209</v>
      </c>
      <c r="AC38">
        <v>1</v>
      </c>
      <c r="AD38">
        <v>0.60000002384185791</v>
      </c>
      <c r="AE38">
        <v>1.5</v>
      </c>
      <c r="AF38">
        <v>4</v>
      </c>
      <c r="AG38">
        <v>3</v>
      </c>
    </row>
    <row r="39" spans="1:33" x14ac:dyDescent="0.25">
      <c r="A39" t="str">
        <v>Leek Vegetable General</v>
      </c>
      <c r="B39">
        <v>34</v>
      </c>
      <c r="C39" t="str">
        <v>Vegetable</v>
      </c>
      <c r="D39" t="str">
        <v>Green</v>
      </c>
      <c r="E39" t="str">
        <v>Leek</v>
      </c>
      <c r="F39" t="str">
        <v>General</v>
      </c>
      <c r="G39" t="str">
        <v>Amaryllidaceae</v>
      </c>
      <c r="H39" t="str">
        <v>Allium</v>
      </c>
      <c r="I39" t="str">
        <v>ampeloprasum</v>
      </c>
      <c r="J39" t="str">
        <v/>
      </c>
      <c r="K39" t="str">
        <v>Allium ampeloprasum</v>
      </c>
      <c r="L39" t="str">
        <v>ampeloprasum</v>
      </c>
      <c r="M39" t="str">
        <v>Seedling</v>
      </c>
      <c r="N39" t="str">
        <v>Nov</v>
      </c>
      <c r="O39" t="str">
        <v>Vegetative</v>
      </c>
      <c r="P39" t="str">
        <v>May</v>
      </c>
      <c r="Q39">
        <v>63</v>
      </c>
      <c r="R39" t="str">
        <v>t/ha</v>
      </c>
      <c r="S39" t="str">
        <v>Saleable product</v>
      </c>
      <c r="T39">
        <v>50000</v>
      </c>
      <c r="U39" t="str">
        <v>Total</v>
      </c>
      <c r="V39">
        <v>0</v>
      </c>
      <c r="W39">
        <v>0</v>
      </c>
      <c r="X39">
        <v>0.89999997615814209</v>
      </c>
      <c r="Y39">
        <v>0</v>
      </c>
      <c r="Z39">
        <v>89</v>
      </c>
      <c r="AA39">
        <v>0.10000000149011612</v>
      </c>
      <c r="AB39">
        <v>0.60000002384185791</v>
      </c>
      <c r="AC39">
        <v>0.75</v>
      </c>
      <c r="AD39">
        <v>0.60000002384185791</v>
      </c>
      <c r="AE39">
        <v>1</v>
      </c>
      <c r="AF39">
        <v>3.5</v>
      </c>
      <c r="AG39">
        <v>2</v>
      </c>
    </row>
    <row r="40" spans="1:33" x14ac:dyDescent="0.25">
      <c r="A40" t="str">
        <v>Onion Vegetable Brown</v>
      </c>
      <c r="B40">
        <v>35</v>
      </c>
      <c r="C40" t="str">
        <v>Vegetable</v>
      </c>
      <c r="D40" t="str">
        <v>Root</v>
      </c>
      <c r="E40" t="str">
        <v>Onion</v>
      </c>
      <c r="F40" t="str">
        <v>Brown</v>
      </c>
      <c r="G40" t="str">
        <v>Amaryllidaceae</v>
      </c>
      <c r="H40" t="str">
        <v>Allium</v>
      </c>
      <c r="I40" t="str">
        <v>cepa</v>
      </c>
      <c r="J40" t="str">
        <v/>
      </c>
      <c r="K40" t="str">
        <v>Allium cepa</v>
      </c>
      <c r="L40" t="str">
        <v>cepa</v>
      </c>
      <c r="M40" t="str">
        <v>Seed</v>
      </c>
      <c r="N40" t="str">
        <v>May</v>
      </c>
      <c r="O40" t="str">
        <v>Maturity</v>
      </c>
      <c r="P40" t="str">
        <v>Feb</v>
      </c>
      <c r="Q40">
        <v>70</v>
      </c>
      <c r="R40" t="str">
        <v>t/ha</v>
      </c>
      <c r="S40" t="str">
        <v>Saleable product</v>
      </c>
      <c r="T40">
        <v>50000</v>
      </c>
      <c r="U40" t="str">
        <v>Total</v>
      </c>
      <c r="V40">
        <v>0</v>
      </c>
      <c r="W40">
        <v>0</v>
      </c>
      <c r="X40">
        <v>0.80000001192092896</v>
      </c>
      <c r="Y40">
        <v>0</v>
      </c>
      <c r="Z40">
        <v>89</v>
      </c>
      <c r="AA40">
        <v>0.10000000149011612</v>
      </c>
      <c r="AB40">
        <v>0.60000002384185791</v>
      </c>
      <c r="AC40">
        <v>0.80000001192092896</v>
      </c>
      <c r="AD40">
        <v>0.60000002384185791</v>
      </c>
      <c r="AE40">
        <v>1</v>
      </c>
      <c r="AF40">
        <v>2</v>
      </c>
      <c r="AG40">
        <v>1.3999999761581421</v>
      </c>
    </row>
    <row r="41" spans="1:33" x14ac:dyDescent="0.25">
      <c r="A41" t="str">
        <v>Onion Vegetable Red</v>
      </c>
      <c r="B41">
        <v>36</v>
      </c>
      <c r="C41" t="str">
        <v>Vegetable</v>
      </c>
      <c r="D41" t="str">
        <v>Root</v>
      </c>
      <c r="E41" t="str">
        <v>Onion</v>
      </c>
      <c r="F41" t="str">
        <v>Red</v>
      </c>
      <c r="G41" t="str">
        <v>Amaryllidaceae</v>
      </c>
      <c r="H41" t="str">
        <v>Allium</v>
      </c>
      <c r="I41" t="str">
        <v>cepa</v>
      </c>
      <c r="J41" t="str">
        <v/>
      </c>
      <c r="K41" t="str">
        <v>Allium cepa</v>
      </c>
      <c r="L41" t="str">
        <v>cepa</v>
      </c>
      <c r="M41" t="str">
        <v>Seed</v>
      </c>
      <c r="N41" t="str">
        <v>May</v>
      </c>
      <c r="O41" t="str">
        <v>LateReproductive</v>
      </c>
      <c r="P41" t="str">
        <v>Apr</v>
      </c>
      <c r="Q41">
        <v>80</v>
      </c>
      <c r="R41" t="str">
        <v>t/ha</v>
      </c>
      <c r="S41" t="str">
        <v>Saleable product</v>
      </c>
      <c r="T41">
        <v>50000</v>
      </c>
      <c r="U41" t="str">
        <v>Total</v>
      </c>
      <c r="V41">
        <v>0</v>
      </c>
      <c r="W41">
        <v>0</v>
      </c>
      <c r="X41">
        <v>0.80000001192092896</v>
      </c>
      <c r="Y41">
        <v>0</v>
      </c>
      <c r="Z41">
        <v>90</v>
      </c>
      <c r="AA41">
        <v>0.10000000149011612</v>
      </c>
      <c r="AB41">
        <v>0.60000002384185791</v>
      </c>
      <c r="AC41">
        <v>0.80000001192092896</v>
      </c>
      <c r="AD41">
        <v>0.60000002384185791</v>
      </c>
      <c r="AE41">
        <v>1</v>
      </c>
      <c r="AF41">
        <v>2</v>
      </c>
      <c r="AG41">
        <v>1.3999999761581421</v>
      </c>
    </row>
    <row r="42" spans="1:33" x14ac:dyDescent="0.25">
      <c r="A42" t="str">
        <v>Onion Vegetable Shallot</v>
      </c>
      <c r="B42">
        <v>37</v>
      </c>
      <c r="C42" t="str">
        <v>Vegetable</v>
      </c>
      <c r="D42" t="str">
        <v>Root</v>
      </c>
      <c r="E42" t="str">
        <v>Onion</v>
      </c>
      <c r="F42" t="str">
        <v>Shallot</v>
      </c>
      <c r="G42" t="str">
        <v>Amaryllidaceae</v>
      </c>
      <c r="H42" t="str">
        <v>Allium</v>
      </c>
      <c r="I42" t="str">
        <v>cepa</v>
      </c>
      <c r="J42" t="str">
        <v/>
      </c>
      <c r="K42" t="str">
        <v>Allium cepa</v>
      </c>
      <c r="L42" t="str">
        <v>cepa</v>
      </c>
      <c r="M42" t="str">
        <v>Seed</v>
      </c>
      <c r="N42" t="str">
        <v>Apr</v>
      </c>
      <c r="O42" t="str">
        <v>Vegetative</v>
      </c>
      <c r="P42" t="str">
        <v>Dec</v>
      </c>
      <c r="Q42">
        <v>60</v>
      </c>
      <c r="R42" t="str">
        <v>t/ha</v>
      </c>
      <c r="S42" t="str">
        <v>Saleable product</v>
      </c>
      <c r="T42">
        <v>50000</v>
      </c>
      <c r="U42" t="str">
        <v>Total</v>
      </c>
      <c r="V42">
        <v>0</v>
      </c>
      <c r="W42">
        <v>0</v>
      </c>
      <c r="X42">
        <v>0.80000001192092896</v>
      </c>
      <c r="Y42">
        <v>0</v>
      </c>
      <c r="Z42">
        <v>90</v>
      </c>
      <c r="AA42">
        <v>0.10000000149011612</v>
      </c>
      <c r="AB42">
        <v>0.60000002384185791</v>
      </c>
      <c r="AC42">
        <v>0.80000001192092896</v>
      </c>
      <c r="AD42">
        <v>0.60000002384185791</v>
      </c>
      <c r="AE42">
        <v>1</v>
      </c>
      <c r="AF42">
        <v>2</v>
      </c>
      <c r="AG42">
        <v>1.3999999761581421</v>
      </c>
    </row>
    <row r="43" spans="1:33" x14ac:dyDescent="0.25">
      <c r="A43" t="str">
        <v>Onion Vegetable General</v>
      </c>
      <c r="B43">
        <v>35</v>
      </c>
      <c r="C43" t="str">
        <v>Vegetable</v>
      </c>
      <c r="D43" t="str">
        <v>Root</v>
      </c>
      <c r="E43" t="str">
        <v>Onion</v>
      </c>
      <c r="F43" t="str">
        <v>General</v>
      </c>
      <c r="G43" t="str">
        <v>Amaryllidaceae</v>
      </c>
      <c r="H43" t="str">
        <v>Allium</v>
      </c>
      <c r="I43" t="str">
        <v>cepa</v>
      </c>
      <c r="J43" t="str">
        <v/>
      </c>
      <c r="K43" t="str">
        <v>Allium cepa</v>
      </c>
      <c r="L43" t="str">
        <v>cepa</v>
      </c>
      <c r="M43" t="str">
        <v>Seed</v>
      </c>
      <c r="N43" t="str">
        <v>May</v>
      </c>
      <c r="O43" t="str">
        <v>Maturity</v>
      </c>
      <c r="P43" t="str">
        <v>Feb</v>
      </c>
      <c r="Q43">
        <v>70</v>
      </c>
      <c r="R43" t="str">
        <v>t/ha</v>
      </c>
      <c r="S43" t="str">
        <v>Saleable product</v>
      </c>
      <c r="T43">
        <v>50000</v>
      </c>
      <c r="U43" t="str">
        <v>Total</v>
      </c>
      <c r="V43">
        <v>0</v>
      </c>
      <c r="W43">
        <v>0</v>
      </c>
      <c r="X43">
        <v>0.80000001192092896</v>
      </c>
      <c r="Y43">
        <v>0</v>
      </c>
      <c r="Z43">
        <v>89</v>
      </c>
      <c r="AA43">
        <v>0.10000000149011612</v>
      </c>
      <c r="AB43">
        <v>0.60000002384185791</v>
      </c>
      <c r="AC43">
        <v>0.80000001192092896</v>
      </c>
      <c r="AD43">
        <v>0.60000002384185791</v>
      </c>
      <c r="AE43">
        <v>1</v>
      </c>
      <c r="AF43">
        <v>2</v>
      </c>
      <c r="AG43">
        <v>1.3999999761581421</v>
      </c>
    </row>
    <row r="44" spans="1:33" x14ac:dyDescent="0.25">
      <c r="A44" t="str">
        <v>Spring onion Vegetable General</v>
      </c>
      <c r="B44">
        <v>38</v>
      </c>
      <c r="C44" t="str">
        <v>Vegetable</v>
      </c>
      <c r="D44" t="str">
        <v>Green</v>
      </c>
      <c r="E44" t="str">
        <v>Spring onion</v>
      </c>
      <c r="F44" t="str">
        <v>General</v>
      </c>
      <c r="G44" t="str">
        <v>Amaryllidaceae</v>
      </c>
      <c r="H44" t="str">
        <v>Allium</v>
      </c>
      <c r="I44" t="str">
        <v>fistulosum</v>
      </c>
      <c r="J44" t="str">
        <v/>
      </c>
      <c r="K44" t="str">
        <v>Allium fistulosum</v>
      </c>
      <c r="L44" t="str">
        <v>fistulosum</v>
      </c>
      <c r="M44" t="str">
        <v>Seed</v>
      </c>
      <c r="N44" t="str">
        <v>Feb</v>
      </c>
      <c r="O44" t="str">
        <v>Vegetative</v>
      </c>
      <c r="P44" t="str">
        <v>Sep</v>
      </c>
      <c r="Q44">
        <v>60</v>
      </c>
      <c r="R44" t="str">
        <v>t/ha</v>
      </c>
      <c r="S44" t="str">
        <v>Saleable product</v>
      </c>
      <c r="T44">
        <v>50000</v>
      </c>
      <c r="U44" t="str">
        <v>Total</v>
      </c>
      <c r="V44">
        <v>0</v>
      </c>
      <c r="W44">
        <v>0</v>
      </c>
      <c r="X44">
        <v>1</v>
      </c>
      <c r="Y44">
        <v>0</v>
      </c>
      <c r="Z44">
        <v>95</v>
      </c>
      <c r="AA44">
        <v>0.10000000149011612</v>
      </c>
      <c r="AB44">
        <v>0.60000002384185791</v>
      </c>
      <c r="AC44">
        <v>0.75</v>
      </c>
      <c r="AD44">
        <v>0.60000002384185791</v>
      </c>
      <c r="AE44">
        <v>1</v>
      </c>
      <c r="AF44">
        <v>2.2000000476837158</v>
      </c>
      <c r="AG44">
        <v>2.2000000476837158</v>
      </c>
    </row>
    <row r="45" spans="1:33" x14ac:dyDescent="0.25">
      <c r="A45" t="str">
        <v>Garlic Vegetable General</v>
      </c>
      <c r="B45">
        <v>39</v>
      </c>
      <c r="C45" t="str">
        <v>Vegetable</v>
      </c>
      <c r="D45" t="str">
        <v>Root</v>
      </c>
      <c r="E45" t="str">
        <v>Garlic</v>
      </c>
      <c r="F45" t="str">
        <v>General</v>
      </c>
      <c r="G45" t="str">
        <v>Amaryllidaceae</v>
      </c>
      <c r="H45" t="str">
        <v>Allium</v>
      </c>
      <c r="I45" t="str">
        <v>sativum</v>
      </c>
      <c r="J45" t="str">
        <v/>
      </c>
      <c r="K45" t="str">
        <v>Allium sativum</v>
      </c>
      <c r="L45" t="str">
        <v>sativum</v>
      </c>
      <c r="M45" t="str">
        <v>Seed</v>
      </c>
      <c r="N45" t="str">
        <v>Jun</v>
      </c>
      <c r="O45" t="str">
        <v>Vegetative</v>
      </c>
      <c r="P45" t="str">
        <v>Dec</v>
      </c>
      <c r="Q45">
        <v>50</v>
      </c>
      <c r="R45" t="str">
        <v>t/ha</v>
      </c>
      <c r="S45" t="str">
        <v>Saleable product</v>
      </c>
      <c r="T45">
        <v>50000</v>
      </c>
      <c r="U45" t="str">
        <v>Total</v>
      </c>
      <c r="V45">
        <v>0</v>
      </c>
      <c r="W45">
        <v>0</v>
      </c>
      <c r="X45">
        <v>0.80000001192092896</v>
      </c>
      <c r="Y45">
        <v>0</v>
      </c>
      <c r="Z45">
        <v>90</v>
      </c>
      <c r="AA45">
        <v>0.10000000149011612</v>
      </c>
      <c r="AB45">
        <v>0.60000002384185791</v>
      </c>
      <c r="AC45">
        <v>0.69999998807907104</v>
      </c>
      <c r="AD45">
        <v>0.60000002384185791</v>
      </c>
      <c r="AE45">
        <v>1</v>
      </c>
      <c r="AF45">
        <v>2</v>
      </c>
      <c r="AG45">
        <v>1.3999999761581421</v>
      </c>
    </row>
    <row r="46" spans="1:33" x14ac:dyDescent="0.25">
      <c r="A46" t="str">
        <v>Celery Vegetable General</v>
      </c>
      <c r="B46">
        <v>40</v>
      </c>
      <c r="C46" t="str">
        <v>Vegetable</v>
      </c>
      <c r="D46" t="str">
        <v>Green</v>
      </c>
      <c r="E46" t="str">
        <v>Celery</v>
      </c>
      <c r="F46" t="str">
        <v>General</v>
      </c>
      <c r="G46" t="str">
        <v>Apiaceae</v>
      </c>
      <c r="H46" t="str">
        <v>Apium</v>
      </c>
      <c r="I46" t="str">
        <v>graveolens</v>
      </c>
      <c r="J46" t="str">
        <v/>
      </c>
      <c r="K46" t="str">
        <v>Apium graveolens</v>
      </c>
      <c r="L46" t="str">
        <v>graveolens</v>
      </c>
      <c r="M46" t="str">
        <v>Seedling</v>
      </c>
      <c r="N46" t="str">
        <v>Oct</v>
      </c>
      <c r="O46" t="str">
        <v>Vegetative</v>
      </c>
      <c r="P46" t="str">
        <v>Jan</v>
      </c>
      <c r="Q46">
        <v>60</v>
      </c>
      <c r="R46" t="str">
        <v>t/ha</v>
      </c>
      <c r="S46" t="str">
        <v>Saleable product</v>
      </c>
      <c r="T46">
        <v>50000</v>
      </c>
      <c r="U46" t="str">
        <v>Total</v>
      </c>
      <c r="V46">
        <v>0</v>
      </c>
      <c r="W46">
        <v>0</v>
      </c>
      <c r="X46">
        <v>0.85000002384185791</v>
      </c>
      <c r="Y46">
        <v>0</v>
      </c>
      <c r="Z46">
        <v>88</v>
      </c>
      <c r="AA46">
        <v>0.10000000149011612</v>
      </c>
      <c r="AB46">
        <v>1.2000000476837158</v>
      </c>
      <c r="AC46">
        <v>1</v>
      </c>
      <c r="AD46">
        <v>0.80000001192092896</v>
      </c>
      <c r="AE46">
        <v>0.89999997615814209</v>
      </c>
      <c r="AF46">
        <v>2.5</v>
      </c>
      <c r="AG46">
        <v>2.5</v>
      </c>
    </row>
    <row r="47" spans="1:33" x14ac:dyDescent="0.25">
      <c r="A47" t="str">
        <v>Silver beet Vegetable General</v>
      </c>
      <c r="B47">
        <v>41</v>
      </c>
      <c r="C47" t="str">
        <v>Vegetable</v>
      </c>
      <c r="D47" t="str">
        <v>Green</v>
      </c>
      <c r="E47" t="str">
        <v>Silver beet</v>
      </c>
      <c r="F47" t="str">
        <v>General</v>
      </c>
      <c r="G47" t="str">
        <v>Amaranthaceae</v>
      </c>
      <c r="H47" t="str">
        <v>Beta</v>
      </c>
      <c r="I47" t="str">
        <v>vulgaris</v>
      </c>
      <c r="J47" t="str">
        <v>cicla</v>
      </c>
      <c r="K47" t="str">
        <v>Beta vulgaris cicla</v>
      </c>
      <c r="L47" t="str">
        <v>vulgaris cicla</v>
      </c>
      <c r="M47" t="str">
        <v>Seedling</v>
      </c>
      <c r="N47" t="str">
        <v>Nov</v>
      </c>
      <c r="O47" t="str">
        <v>Vegetative</v>
      </c>
      <c r="P47" t="str">
        <v>May</v>
      </c>
      <c r="Q47">
        <v>156</v>
      </c>
      <c r="R47" t="str">
        <v>t/ha</v>
      </c>
      <c r="S47" t="str">
        <v>Saleable product</v>
      </c>
      <c r="T47">
        <v>50000</v>
      </c>
      <c r="U47" t="str">
        <v>Total</v>
      </c>
      <c r="V47">
        <v>0</v>
      </c>
      <c r="W47">
        <v>0</v>
      </c>
      <c r="X47">
        <v>0.80000001192092896</v>
      </c>
      <c r="Y47">
        <v>0</v>
      </c>
      <c r="Z47">
        <v>93</v>
      </c>
      <c r="AA47">
        <v>0.10000000149011612</v>
      </c>
      <c r="AB47">
        <v>1.5</v>
      </c>
      <c r="AC47">
        <v>0.75999999046325684</v>
      </c>
      <c r="AD47">
        <v>1</v>
      </c>
      <c r="AE47">
        <v>0.80000001192092896</v>
      </c>
      <c r="AF47">
        <v>2.5</v>
      </c>
      <c r="AG47">
        <v>3</v>
      </c>
    </row>
    <row r="48" spans="1:33" x14ac:dyDescent="0.25">
      <c r="A48" t="str">
        <v>Red beet Vegetable General</v>
      </c>
      <c r="B48">
        <v>42</v>
      </c>
      <c r="C48" t="str">
        <v>Vegetable</v>
      </c>
      <c r="D48" t="str">
        <v>Root</v>
      </c>
      <c r="E48" t="str">
        <v>Red beet</v>
      </c>
      <c r="F48" t="str">
        <v>General</v>
      </c>
      <c r="G48" t="str">
        <v>Amaranthaceae</v>
      </c>
      <c r="H48" t="str">
        <v>Beta</v>
      </c>
      <c r="I48" t="str">
        <v>vulgaris</v>
      </c>
      <c r="J48" t="str">
        <v>conditiva</v>
      </c>
      <c r="K48" t="str">
        <v>Beta vulgaris conditiva</v>
      </c>
      <c r="L48" t="str">
        <v>vulgaris conditiva</v>
      </c>
      <c r="M48" t="str">
        <v>Seed</v>
      </c>
      <c r="N48" t="str">
        <v>Sep</v>
      </c>
      <c r="O48" t="str">
        <v>EarlyReproductive</v>
      </c>
      <c r="P48" t="str">
        <v>May</v>
      </c>
      <c r="Q48">
        <v>55</v>
      </c>
      <c r="R48" t="str">
        <v>t/ha</v>
      </c>
      <c r="S48" t="str">
        <v>Saleable product</v>
      </c>
      <c r="T48">
        <v>50000</v>
      </c>
      <c r="U48" t="str">
        <v>Total</v>
      </c>
      <c r="V48">
        <v>0</v>
      </c>
      <c r="W48">
        <v>0</v>
      </c>
      <c r="X48">
        <v>0.81499999761581421</v>
      </c>
      <c r="Y48">
        <v>5.4999999701976776E-2</v>
      </c>
      <c r="Z48">
        <v>86</v>
      </c>
      <c r="AA48">
        <v>0.10000000149011612</v>
      </c>
      <c r="AB48">
        <v>1.5</v>
      </c>
      <c r="AC48">
        <v>0.94999998807907104</v>
      </c>
      <c r="AD48">
        <v>0.80000001192092896</v>
      </c>
      <c r="AE48">
        <v>0.80000001192092896</v>
      </c>
      <c r="AF48">
        <v>2</v>
      </c>
      <c r="AG48">
        <v>1.5</v>
      </c>
    </row>
    <row r="49" spans="1:33" x14ac:dyDescent="0.25">
      <c r="A49" t="str">
        <v>Cauliflower Vegetable General</v>
      </c>
      <c r="B49">
        <v>43</v>
      </c>
      <c r="C49" t="str">
        <v>Vegetable</v>
      </c>
      <c r="D49" t="str">
        <v>Green</v>
      </c>
      <c r="E49" t="str">
        <v>Cauliflower</v>
      </c>
      <c r="F49" t="str">
        <v>General</v>
      </c>
      <c r="G49" t="str">
        <v>Brassicaceae</v>
      </c>
      <c r="H49" t="str">
        <v>Brassica</v>
      </c>
      <c r="I49" t="str">
        <v>oleracea</v>
      </c>
      <c r="J49" t="str">
        <v>botrytis</v>
      </c>
      <c r="K49" t="str">
        <v>Brassica oleracea botrytis</v>
      </c>
      <c r="L49" t="str">
        <v>oleracea botrytis</v>
      </c>
      <c r="M49" t="str">
        <v>Seedling</v>
      </c>
      <c r="N49" t="str">
        <v>Sep</v>
      </c>
      <c r="O49" t="str">
        <v>EarlyReproductive</v>
      </c>
      <c r="P49" t="str">
        <v>Jan</v>
      </c>
      <c r="Q49">
        <v>40</v>
      </c>
      <c r="R49" t="str">
        <v>t/ha</v>
      </c>
      <c r="S49" t="str">
        <v>Saleable product</v>
      </c>
      <c r="T49">
        <v>50000</v>
      </c>
      <c r="U49" t="str">
        <v>Total</v>
      </c>
      <c r="V49">
        <v>0</v>
      </c>
      <c r="W49">
        <v>0</v>
      </c>
      <c r="X49">
        <v>0.40000000596046448</v>
      </c>
      <c r="Y49">
        <v>0</v>
      </c>
      <c r="Z49">
        <v>93</v>
      </c>
      <c r="AA49">
        <v>0.10000000149011612</v>
      </c>
      <c r="AB49">
        <v>1.2000000476837158</v>
      </c>
      <c r="AC49">
        <v>1</v>
      </c>
      <c r="AD49">
        <v>2</v>
      </c>
      <c r="AE49">
        <v>0.80000001192092896</v>
      </c>
      <c r="AF49">
        <v>3.7999999523162842</v>
      </c>
      <c r="AG49">
        <v>3.5</v>
      </c>
    </row>
    <row r="50" spans="1:33" x14ac:dyDescent="0.25">
      <c r="A50" t="str">
        <v>Cabbage Vegetable General</v>
      </c>
      <c r="B50">
        <v>44</v>
      </c>
      <c r="C50" t="str">
        <v>Vegetable</v>
      </c>
      <c r="D50" t="str">
        <v>Green</v>
      </c>
      <c r="E50" t="str">
        <v>Cabbage</v>
      </c>
      <c r="F50" t="str">
        <v>General</v>
      </c>
      <c r="G50" t="str">
        <v>Brassicaceae</v>
      </c>
      <c r="H50" t="str">
        <v>Brassica</v>
      </c>
      <c r="I50" t="str">
        <v>oleracea</v>
      </c>
      <c r="J50" t="str">
        <v>capitata</v>
      </c>
      <c r="K50" t="str">
        <v>Brassica oleracea capitata</v>
      </c>
      <c r="L50" t="str">
        <v>oleracea capitata</v>
      </c>
      <c r="M50" t="str">
        <v>Seedling</v>
      </c>
      <c r="N50" t="str">
        <v>Sep</v>
      </c>
      <c r="O50" t="str">
        <v>Vegetative</v>
      </c>
      <c r="P50" t="str">
        <v>Jan</v>
      </c>
      <c r="Q50">
        <v>60</v>
      </c>
      <c r="R50" t="str">
        <v>t/ha</v>
      </c>
      <c r="S50" t="str">
        <v>Saleable product</v>
      </c>
      <c r="T50">
        <v>50000</v>
      </c>
      <c r="U50" t="str">
        <v>Total</v>
      </c>
      <c r="V50">
        <v>0</v>
      </c>
      <c r="W50">
        <v>0</v>
      </c>
      <c r="X50">
        <v>0.69999998807907104</v>
      </c>
      <c r="Y50">
        <v>0</v>
      </c>
      <c r="Z50">
        <v>90</v>
      </c>
      <c r="AA50">
        <v>0.10000000149011612</v>
      </c>
      <c r="AB50">
        <v>1.2000000476837158</v>
      </c>
      <c r="AC50">
        <v>1</v>
      </c>
      <c r="AD50">
        <v>2</v>
      </c>
      <c r="AE50">
        <v>0.80000001192092896</v>
      </c>
      <c r="AF50">
        <v>3</v>
      </c>
      <c r="AG50">
        <v>2.5999999046325684</v>
      </c>
    </row>
    <row r="51" spans="1:33" x14ac:dyDescent="0.25">
      <c r="A51" t="str">
        <v>Brussel sprout  Vegetable General</v>
      </c>
      <c r="B51">
        <v>45</v>
      </c>
      <c r="C51" t="str">
        <v>Vegetable</v>
      </c>
      <c r="D51" t="str">
        <v>Green</v>
      </c>
      <c r="E51" t="str">
        <v>Brussel sprout</v>
      </c>
      <c r="F51" t="str">
        <v>General</v>
      </c>
      <c r="G51" t="str">
        <v>Brassicaceae</v>
      </c>
      <c r="H51" t="str">
        <v>Brassica</v>
      </c>
      <c r="I51" t="str">
        <v>oleracea</v>
      </c>
      <c r="J51" t="str">
        <v>gemmifera</v>
      </c>
      <c r="K51" t="str">
        <v>Brassica oleracea gemmifera</v>
      </c>
      <c r="L51" t="str">
        <v>oleracea gemmifera</v>
      </c>
      <c r="M51" t="str">
        <v>Seedling</v>
      </c>
      <c r="N51" t="str">
        <v>Nov</v>
      </c>
      <c r="O51" t="str">
        <v>EarlyReproductive</v>
      </c>
      <c r="P51" t="str">
        <v>Jun</v>
      </c>
      <c r="Q51">
        <v>15</v>
      </c>
      <c r="R51" t="str">
        <v>t/ha</v>
      </c>
      <c r="S51" t="str">
        <v>Saleable product</v>
      </c>
      <c r="T51">
        <v>50000</v>
      </c>
      <c r="U51" t="str">
        <v>Total</v>
      </c>
      <c r="V51">
        <v>0</v>
      </c>
      <c r="W51">
        <v>0</v>
      </c>
      <c r="X51">
        <v>0.40000000596046448</v>
      </c>
      <c r="Y51">
        <v>0</v>
      </c>
      <c r="Z51">
        <v>80</v>
      </c>
      <c r="AA51">
        <v>0.10000000149011612</v>
      </c>
      <c r="AB51">
        <v>1.2000000476837158</v>
      </c>
      <c r="AC51">
        <v>1</v>
      </c>
      <c r="AD51">
        <v>2</v>
      </c>
      <c r="AE51">
        <v>0.80000001192092896</v>
      </c>
      <c r="AF51">
        <v>3.7999999523162842</v>
      </c>
      <c r="AG51">
        <v>3.5</v>
      </c>
    </row>
    <row r="52" spans="1:33" x14ac:dyDescent="0.25">
      <c r="A52" t="str">
        <v>Broccoli Vegetable Head only</v>
      </c>
      <c r="B52">
        <v>46</v>
      </c>
      <c r="C52" t="str">
        <v>Vegetable</v>
      </c>
      <c r="D52" t="str">
        <v>Green</v>
      </c>
      <c r="E52" t="str">
        <v>Broccoli</v>
      </c>
      <c r="F52" t="str">
        <v>Head only</v>
      </c>
      <c r="G52" t="str">
        <v>Brassicaceae</v>
      </c>
      <c r="H52" t="str">
        <v>Brassica</v>
      </c>
      <c r="I52" t="str">
        <v>oleracea</v>
      </c>
      <c r="J52" t="str">
        <v>italica</v>
      </c>
      <c r="K52" t="str">
        <v>Brassica oleracea italica</v>
      </c>
      <c r="L52" t="str">
        <v>oleracea italica</v>
      </c>
      <c r="M52" t="str">
        <v>Seedling</v>
      </c>
      <c r="N52" t="str">
        <v>May</v>
      </c>
      <c r="O52" t="str">
        <v>EarlyReproductive</v>
      </c>
      <c r="P52" t="str">
        <v>Sep</v>
      </c>
      <c r="Q52">
        <v>10</v>
      </c>
      <c r="R52" t="str">
        <v>t/ha</v>
      </c>
      <c r="S52" t="str">
        <v>Saleable product</v>
      </c>
      <c r="T52">
        <v>50000</v>
      </c>
      <c r="U52" t="str">
        <v>Total</v>
      </c>
      <c r="V52">
        <v>0</v>
      </c>
      <c r="W52">
        <v>0</v>
      </c>
      <c r="X52">
        <v>0.12999999523162842</v>
      </c>
      <c r="Y52">
        <v>0</v>
      </c>
      <c r="Z52">
        <v>89</v>
      </c>
      <c r="AA52">
        <v>0.10000000149011612</v>
      </c>
      <c r="AB52">
        <v>1.2000000476837158</v>
      </c>
      <c r="AC52">
        <v>1</v>
      </c>
      <c r="AD52">
        <v>2</v>
      </c>
      <c r="AE52">
        <v>0.80000001192092896</v>
      </c>
      <c r="AF52">
        <v>3.7999999523162842</v>
      </c>
      <c r="AG52">
        <v>3.5</v>
      </c>
    </row>
    <row r="53" spans="1:33" x14ac:dyDescent="0.25">
      <c r="A53" t="str">
        <v>Broccoli Vegetable Head only</v>
      </c>
      <c r="B53">
        <v>46</v>
      </c>
      <c r="C53" t="str">
        <v>Vegetable</v>
      </c>
      <c r="D53" t="str">
        <v>Green</v>
      </c>
      <c r="E53" t="str">
        <v>Broccoli</v>
      </c>
      <c r="F53" t="str">
        <v>Head only</v>
      </c>
      <c r="G53" t="str">
        <v>Brassicaceae</v>
      </c>
      <c r="H53" t="str">
        <v>Brassica</v>
      </c>
      <c r="I53" t="str">
        <v>oleracea</v>
      </c>
      <c r="J53" t="str">
        <v>italica</v>
      </c>
      <c r="K53" t="str">
        <v>Brassica oleracea italica</v>
      </c>
      <c r="L53" t="str">
        <v>oleracea italica</v>
      </c>
      <c r="M53" t="str">
        <v>Seedling</v>
      </c>
      <c r="N53" t="str">
        <v>May</v>
      </c>
      <c r="O53" t="str">
        <v>EarlyReproductive</v>
      </c>
      <c r="P53" t="str">
        <v>Sep</v>
      </c>
      <c r="Q53">
        <v>10</v>
      </c>
      <c r="R53" t="str">
        <v>t/ha</v>
      </c>
      <c r="S53" t="str">
        <v>Saleable product</v>
      </c>
      <c r="T53">
        <v>50000</v>
      </c>
      <c r="U53" t="str">
        <v>Total</v>
      </c>
      <c r="V53">
        <v>0</v>
      </c>
      <c r="W53">
        <v>0</v>
      </c>
      <c r="X53">
        <v>0.12999999523162842</v>
      </c>
      <c r="Y53">
        <v>0</v>
      </c>
      <c r="Z53">
        <v>89</v>
      </c>
      <c r="AA53">
        <v>0.10000000149011612</v>
      </c>
      <c r="AB53">
        <v>1.2000000476837158</v>
      </c>
      <c r="AC53">
        <v>1</v>
      </c>
      <c r="AD53">
        <v>2</v>
      </c>
      <c r="AE53">
        <v>0.80000001192092896</v>
      </c>
      <c r="AF53">
        <v>3.7999999523162842</v>
      </c>
      <c r="AG53">
        <v>3.5</v>
      </c>
    </row>
    <row r="54" spans="1:33" x14ac:dyDescent="0.25">
      <c r="A54" t="str">
        <v>Broccoli Vegetable General</v>
      </c>
      <c r="B54">
        <v>47</v>
      </c>
      <c r="C54" t="str">
        <v>Vegetable</v>
      </c>
      <c r="D54" t="str">
        <v>Green</v>
      </c>
      <c r="E54" t="str">
        <v>Broccoli</v>
      </c>
      <c r="F54" t="str">
        <v>General</v>
      </c>
      <c r="G54" t="str">
        <v>Brassicaceae</v>
      </c>
      <c r="H54" t="str">
        <v>Brassica</v>
      </c>
      <c r="I54" t="str">
        <v>oleracea</v>
      </c>
      <c r="J54" t="str">
        <v>italica</v>
      </c>
      <c r="K54" t="str">
        <v>Brassica oleracea italica</v>
      </c>
      <c r="L54" t="str">
        <v>oleracea italica</v>
      </c>
      <c r="M54" t="str">
        <v>Seedling</v>
      </c>
      <c r="N54" t="str">
        <v>May</v>
      </c>
      <c r="O54" t="str">
        <v>EarlyReproductive</v>
      </c>
      <c r="P54" t="str">
        <v>Sep</v>
      </c>
      <c r="Q54">
        <v>20</v>
      </c>
      <c r="R54" t="str">
        <v>t/ha</v>
      </c>
      <c r="S54" t="str">
        <v>Saleable product</v>
      </c>
      <c r="T54">
        <v>50000</v>
      </c>
      <c r="U54" t="str">
        <v>Total</v>
      </c>
      <c r="V54">
        <v>0</v>
      </c>
      <c r="W54">
        <v>0</v>
      </c>
      <c r="X54">
        <v>0.25999999046325684</v>
      </c>
      <c r="Y54">
        <v>0</v>
      </c>
      <c r="Z54">
        <v>89</v>
      </c>
      <c r="AA54">
        <v>0.10000000149011612</v>
      </c>
      <c r="AB54">
        <v>1.2000000476837158</v>
      </c>
      <c r="AC54">
        <v>1</v>
      </c>
      <c r="AD54">
        <v>2</v>
      </c>
      <c r="AE54">
        <v>0.80000001192092896</v>
      </c>
      <c r="AF54">
        <v>3.5999999046325684</v>
      </c>
      <c r="AG54">
        <v>3.5999999046325684</v>
      </c>
    </row>
    <row r="55" spans="1:33" x14ac:dyDescent="0.25">
      <c r="A55" t="str">
        <v>Pak choi Vegetable General</v>
      </c>
      <c r="B55">
        <v>48</v>
      </c>
      <c r="C55" t="str">
        <v>Vegetable</v>
      </c>
      <c r="D55" t="str">
        <v>Green</v>
      </c>
      <c r="E55" t="str">
        <v>Pak choi</v>
      </c>
      <c r="F55" t="str">
        <v>General</v>
      </c>
      <c r="G55" t="str">
        <v>Brassicaceae</v>
      </c>
      <c r="H55" t="str">
        <v>Brassica</v>
      </c>
      <c r="I55" t="str">
        <v>rapa</v>
      </c>
      <c r="J55" t="str">
        <v>chinensis</v>
      </c>
      <c r="K55" t="str">
        <v>Brassica rapa chinensis</v>
      </c>
      <c r="L55" t="str">
        <v>rapa chinensis</v>
      </c>
      <c r="M55" t="str">
        <v>Seedling</v>
      </c>
      <c r="N55" t="str">
        <v>May</v>
      </c>
      <c r="O55" t="str">
        <v>Vegetative</v>
      </c>
      <c r="P55" t="str">
        <v>Aug</v>
      </c>
      <c r="Q55">
        <v>45</v>
      </c>
      <c r="R55" t="str">
        <v>t/ha</v>
      </c>
      <c r="S55" t="str">
        <v>Saleable product</v>
      </c>
      <c r="T55">
        <v>50000</v>
      </c>
      <c r="U55" t="str">
        <v>Total</v>
      </c>
      <c r="V55">
        <v>0</v>
      </c>
      <c r="W55">
        <v>0</v>
      </c>
      <c r="X55">
        <v>0.62999999523162842</v>
      </c>
      <c r="Y55">
        <v>0</v>
      </c>
      <c r="Z55">
        <v>96</v>
      </c>
      <c r="AA55">
        <v>0.10000000149011612</v>
      </c>
      <c r="AB55">
        <v>1.2000000476837158</v>
      </c>
      <c r="AC55">
        <v>0.80000001192092896</v>
      </c>
      <c r="AD55">
        <v>1.5</v>
      </c>
      <c r="AE55">
        <v>0.80000001192092896</v>
      </c>
      <c r="AF55">
        <v>4.5</v>
      </c>
      <c r="AG55">
        <v>4.8000001907348633</v>
      </c>
    </row>
    <row r="56" spans="1:33" x14ac:dyDescent="0.25">
      <c r="A56" t="str">
        <v>Choy sum Vegetable General</v>
      </c>
      <c r="B56">
        <v>49</v>
      </c>
      <c r="C56" t="str">
        <v>Vegetable</v>
      </c>
      <c r="D56" t="str">
        <v>Green</v>
      </c>
      <c r="E56" t="str">
        <v>Choy sum</v>
      </c>
      <c r="F56" t="str">
        <v>General</v>
      </c>
      <c r="G56" t="str">
        <v>Brassicaceae</v>
      </c>
      <c r="H56" t="str">
        <v>Brassica</v>
      </c>
      <c r="I56" t="str">
        <v>rapa</v>
      </c>
      <c r="J56" t="str">
        <v>parachinensis</v>
      </c>
      <c r="K56" t="str">
        <v>Brassica rapa parachinensis</v>
      </c>
      <c r="L56" t="str">
        <v>rapa parachinensis</v>
      </c>
      <c r="M56" t="str">
        <v>Seedling</v>
      </c>
      <c r="N56" t="str">
        <v>May</v>
      </c>
      <c r="O56" t="str">
        <v>Vegetative</v>
      </c>
      <c r="P56" t="str">
        <v>Sep</v>
      </c>
      <c r="Q56">
        <v>40</v>
      </c>
      <c r="R56" t="str">
        <v>t/ha</v>
      </c>
      <c r="S56" t="str">
        <v>Saleable product</v>
      </c>
      <c r="T56">
        <v>50000</v>
      </c>
      <c r="U56" t="str">
        <v>Total</v>
      </c>
      <c r="V56">
        <v>0</v>
      </c>
      <c r="W56">
        <v>0</v>
      </c>
      <c r="X56">
        <v>0.85000002384185791</v>
      </c>
      <c r="Y56">
        <v>0</v>
      </c>
      <c r="Z56">
        <v>90</v>
      </c>
      <c r="AA56">
        <v>0.10000000149011612</v>
      </c>
      <c r="AB56">
        <v>1.2000000476837158</v>
      </c>
      <c r="AC56">
        <v>0.89999997615814209</v>
      </c>
      <c r="AD56">
        <v>2</v>
      </c>
      <c r="AE56">
        <v>0.80000001192092896</v>
      </c>
      <c r="AF56">
        <v>4.5</v>
      </c>
      <c r="AG56">
        <v>4.8000001907348633</v>
      </c>
    </row>
    <row r="57" spans="1:33" x14ac:dyDescent="0.25">
      <c r="A57" t="str">
        <v>Wong bok Vegetable General</v>
      </c>
      <c r="B57">
        <v>50</v>
      </c>
      <c r="C57" t="str">
        <v>Vegetable</v>
      </c>
      <c r="D57" t="str">
        <v>Green</v>
      </c>
      <c r="E57" t="str">
        <v>Wong bok</v>
      </c>
      <c r="F57" t="str">
        <v>General</v>
      </c>
      <c r="G57" t="str">
        <v>Brassicaceae</v>
      </c>
      <c r="H57" t="str">
        <v>Brassica</v>
      </c>
      <c r="I57" t="str">
        <v>rapa</v>
      </c>
      <c r="J57" t="str">
        <v>pekinensis</v>
      </c>
      <c r="K57" t="str">
        <v>Brassica rapa pekinensis</v>
      </c>
      <c r="L57" t="str">
        <v>rapa pekinensis</v>
      </c>
      <c r="M57" t="str">
        <v>Seedling</v>
      </c>
      <c r="N57" t="str">
        <v>Dec</v>
      </c>
      <c r="O57" t="str">
        <v>Vegetative</v>
      </c>
      <c r="P57" t="str">
        <v>Jun</v>
      </c>
      <c r="Q57">
        <v>53</v>
      </c>
      <c r="R57" t="str">
        <v>t/ha</v>
      </c>
      <c r="S57" t="str">
        <v>Saleable product</v>
      </c>
      <c r="T57">
        <v>50000</v>
      </c>
      <c r="U57" t="str">
        <v>Total</v>
      </c>
      <c r="V57">
        <v>0</v>
      </c>
      <c r="W57">
        <v>0</v>
      </c>
      <c r="X57">
        <v>0.80000001192092896</v>
      </c>
      <c r="Y57">
        <v>0</v>
      </c>
      <c r="Z57">
        <v>90</v>
      </c>
      <c r="AA57">
        <v>0.10000000149011612</v>
      </c>
      <c r="AB57">
        <v>1.2000000476837158</v>
      </c>
      <c r="AC57">
        <v>0.89999997615814209</v>
      </c>
      <c r="AD57">
        <v>2</v>
      </c>
      <c r="AE57">
        <v>0.80000001192092896</v>
      </c>
      <c r="AF57">
        <v>3</v>
      </c>
      <c r="AG57">
        <v>3</v>
      </c>
    </row>
    <row r="58" spans="1:33" x14ac:dyDescent="0.25">
      <c r="A58" t="str">
        <v>Coriander Vegetable General</v>
      </c>
      <c r="B58">
        <v>51</v>
      </c>
      <c r="C58" t="str">
        <v>Vegetable</v>
      </c>
      <c r="D58" t="str">
        <v>Green</v>
      </c>
      <c r="E58" t="str">
        <v>Coriander</v>
      </c>
      <c r="F58" t="str">
        <v>General</v>
      </c>
      <c r="G58" t="str">
        <v>Apiaceae</v>
      </c>
      <c r="H58" t="str">
        <v>Coriandrum</v>
      </c>
      <c r="I58" t="str">
        <v>sativum</v>
      </c>
      <c r="J58" t="str">
        <v/>
      </c>
      <c r="K58" t="str">
        <v>Coriandrum sativum</v>
      </c>
      <c r="L58" t="str">
        <v>sativum</v>
      </c>
      <c r="M58" t="str">
        <v>Seed</v>
      </c>
      <c r="N58" t="str">
        <v>May</v>
      </c>
      <c r="O58" t="str">
        <v>Vegetative</v>
      </c>
      <c r="P58" t="str">
        <v>Sep</v>
      </c>
      <c r="Q58">
        <v>20</v>
      </c>
      <c r="R58" t="str">
        <v>t/ha</v>
      </c>
      <c r="S58" t="str">
        <v>Saleable product</v>
      </c>
      <c r="T58">
        <v>50000</v>
      </c>
      <c r="U58" t="str">
        <v>Total</v>
      </c>
      <c r="V58">
        <v>0</v>
      </c>
      <c r="W58">
        <v>0</v>
      </c>
      <c r="X58">
        <v>1</v>
      </c>
      <c r="Y58">
        <v>0</v>
      </c>
      <c r="Z58">
        <v>95</v>
      </c>
      <c r="AA58">
        <v>0.10000000149011612</v>
      </c>
      <c r="AB58">
        <v>1.2000000476837158</v>
      </c>
      <c r="AC58">
        <v>0.89999997615814209</v>
      </c>
      <c r="AD58">
        <v>0.80000001192092896</v>
      </c>
      <c r="AE58">
        <v>0.89999997615814209</v>
      </c>
      <c r="AF58">
        <v>4.6999998092651367</v>
      </c>
      <c r="AG58">
        <v>4.6999998092651367</v>
      </c>
    </row>
    <row r="59" spans="1:33" x14ac:dyDescent="0.25">
      <c r="A59" t="str">
        <v>Water melon Vegetable General</v>
      </c>
      <c r="B59">
        <v>52</v>
      </c>
      <c r="C59" t="str">
        <v>Vegetable</v>
      </c>
      <c r="D59" t="str">
        <v>Fruit</v>
      </c>
      <c r="E59" t="str">
        <v>Water melon</v>
      </c>
      <c r="F59" t="str">
        <v>General</v>
      </c>
      <c r="G59" t="str">
        <v>Cucurbitaceae</v>
      </c>
      <c r="H59" t="str">
        <v>Cucumis</v>
      </c>
      <c r="I59" t="str">
        <v>lanatus</v>
      </c>
      <c r="J59" t="str">
        <v/>
      </c>
      <c r="K59" t="str">
        <v>Cucumis lanatus</v>
      </c>
      <c r="L59" t="str">
        <v>lanatus</v>
      </c>
      <c r="M59" t="str">
        <v>Seedling</v>
      </c>
      <c r="N59" t="str">
        <v>Oct</v>
      </c>
      <c r="O59" t="str">
        <v>LateReproductive</v>
      </c>
      <c r="P59" t="str">
        <v>Feb</v>
      </c>
      <c r="Q59">
        <v>180</v>
      </c>
      <c r="R59" t="str">
        <v>t/ha</v>
      </c>
      <c r="S59" t="str">
        <v>Saleable product</v>
      </c>
      <c r="T59">
        <v>50000</v>
      </c>
      <c r="U59" t="str">
        <v>Total</v>
      </c>
      <c r="V59">
        <v>0</v>
      </c>
      <c r="W59">
        <v>0</v>
      </c>
      <c r="X59">
        <v>0.85000002384185791</v>
      </c>
      <c r="Y59">
        <v>0</v>
      </c>
      <c r="Z59">
        <v>95</v>
      </c>
      <c r="AA59">
        <v>0.10000000149011612</v>
      </c>
      <c r="AB59">
        <v>0.80000001192092896</v>
      </c>
      <c r="AC59">
        <v>1</v>
      </c>
      <c r="AD59">
        <v>1</v>
      </c>
      <c r="AE59">
        <v>1</v>
      </c>
      <c r="AF59">
        <v>2</v>
      </c>
      <c r="AG59">
        <v>2</v>
      </c>
    </row>
    <row r="60" spans="1:33" x14ac:dyDescent="0.25">
      <c r="A60" t="str">
        <v>Rock melon Vegetable General</v>
      </c>
      <c r="B60">
        <v>53</v>
      </c>
      <c r="C60" t="str">
        <v>Vegetable</v>
      </c>
      <c r="D60" t="str">
        <v>Fruit</v>
      </c>
      <c r="E60" t="str">
        <v>Rock melon</v>
      </c>
      <c r="F60" t="str">
        <v>General</v>
      </c>
      <c r="G60" t="str">
        <v>Cucurbitaceae</v>
      </c>
      <c r="H60" t="str">
        <v>Cucumis</v>
      </c>
      <c r="I60" t="str">
        <v>melo</v>
      </c>
      <c r="J60" t="str">
        <v/>
      </c>
      <c r="K60" t="str">
        <v>Cucumis melo</v>
      </c>
      <c r="L60" t="str">
        <v>melo</v>
      </c>
      <c r="M60" t="str">
        <v>Seedling</v>
      </c>
      <c r="N60" t="str">
        <v>Oct</v>
      </c>
      <c r="O60" t="str">
        <v>LateReproductive</v>
      </c>
      <c r="P60" t="str">
        <v>Feb</v>
      </c>
      <c r="Q60">
        <v>80</v>
      </c>
      <c r="R60" t="str">
        <v>t/ha</v>
      </c>
      <c r="S60" t="str">
        <v>Saleable product</v>
      </c>
      <c r="T60">
        <v>50000</v>
      </c>
      <c r="U60" t="str">
        <v>Total</v>
      </c>
      <c r="V60">
        <v>0</v>
      </c>
      <c r="W60">
        <v>0</v>
      </c>
      <c r="X60">
        <v>0.69999998807907104</v>
      </c>
      <c r="Y60">
        <v>0</v>
      </c>
      <c r="Z60">
        <v>95</v>
      </c>
      <c r="AA60">
        <v>0.10000000149011612</v>
      </c>
      <c r="AB60">
        <v>0.80000001192092896</v>
      </c>
      <c r="AC60">
        <v>1</v>
      </c>
      <c r="AD60">
        <v>1</v>
      </c>
      <c r="AE60">
        <v>1</v>
      </c>
      <c r="AF60">
        <v>2</v>
      </c>
      <c r="AG60">
        <v>2</v>
      </c>
    </row>
    <row r="61" spans="1:33" x14ac:dyDescent="0.25">
      <c r="A61" t="str">
        <v>Squash Vegetable General</v>
      </c>
      <c r="B61">
        <v>54</v>
      </c>
      <c r="C61" t="str">
        <v>Vegetable</v>
      </c>
      <c r="D61" t="str">
        <v>Fruit</v>
      </c>
      <c r="E61" t="str">
        <v>Squash</v>
      </c>
      <c r="F61" t="str">
        <v>General</v>
      </c>
      <c r="G61" t="str">
        <v>Cucurbitaceae</v>
      </c>
      <c r="H61" t="str">
        <v>Cucurbita</v>
      </c>
      <c r="I61" t="str">
        <v>argyrosperma</v>
      </c>
      <c r="J61" t="str">
        <v/>
      </c>
      <c r="K61" t="str">
        <v>Cucurbita argyrosperma</v>
      </c>
      <c r="L61" t="str">
        <v>argyrosperma</v>
      </c>
      <c r="M61" t="str">
        <v>Seedling</v>
      </c>
      <c r="N61" t="str">
        <v>Oct</v>
      </c>
      <c r="O61" t="str">
        <v>Maturity</v>
      </c>
      <c r="P61" t="str">
        <v>Mar</v>
      </c>
      <c r="Q61">
        <v>25</v>
      </c>
      <c r="R61" t="str">
        <v>t/ha</v>
      </c>
      <c r="S61" t="str">
        <v>Saleable product</v>
      </c>
      <c r="T61">
        <v>50000</v>
      </c>
      <c r="U61" t="str">
        <v>Total</v>
      </c>
      <c r="V61">
        <v>0</v>
      </c>
      <c r="W61">
        <v>0</v>
      </c>
      <c r="X61">
        <v>0.80000001192092896</v>
      </c>
      <c r="Y61">
        <v>0</v>
      </c>
      <c r="Z61">
        <v>80</v>
      </c>
      <c r="AA61">
        <v>0.10000000149011612</v>
      </c>
      <c r="AB61">
        <v>0.80000001192092896</v>
      </c>
      <c r="AC61">
        <v>0.93999999761581421</v>
      </c>
      <c r="AD61">
        <v>1</v>
      </c>
      <c r="AE61">
        <v>1</v>
      </c>
      <c r="AF61">
        <v>2</v>
      </c>
      <c r="AG61">
        <v>2</v>
      </c>
    </row>
    <row r="62" spans="1:33" x14ac:dyDescent="0.25">
      <c r="A62" t="str">
        <v>Pumpkin Vegetable General</v>
      </c>
      <c r="B62">
        <v>55</v>
      </c>
      <c r="C62" t="str">
        <v>Vegetable</v>
      </c>
      <c r="D62" t="str">
        <v>Fruit</v>
      </c>
      <c r="E62" t="str">
        <v>Pumpkin</v>
      </c>
      <c r="F62" t="str">
        <v>General</v>
      </c>
      <c r="G62" t="str">
        <v>Cucurbitaceae</v>
      </c>
      <c r="H62" t="str">
        <v>Cucurbita</v>
      </c>
      <c r="I62" t="str">
        <v>pepo</v>
      </c>
      <c r="J62" t="str">
        <v/>
      </c>
      <c r="K62" t="str">
        <v>Cucurbita pepo</v>
      </c>
      <c r="L62" t="str">
        <v>pepo</v>
      </c>
      <c r="M62" t="str">
        <v>Seed</v>
      </c>
      <c r="N62" t="str">
        <v>Oct</v>
      </c>
      <c r="O62" t="str">
        <v>LateReproductive</v>
      </c>
      <c r="P62" t="str">
        <v>Mar</v>
      </c>
      <c r="Q62">
        <v>40</v>
      </c>
      <c r="R62" t="str">
        <v>t/ha</v>
      </c>
      <c r="S62" t="str">
        <v>Saleable product</v>
      </c>
      <c r="T62">
        <v>50000</v>
      </c>
      <c r="U62" t="str">
        <v>Total</v>
      </c>
      <c r="V62">
        <v>0</v>
      </c>
      <c r="W62">
        <v>0</v>
      </c>
      <c r="X62">
        <v>0.80000001192092896</v>
      </c>
      <c r="Y62">
        <v>0</v>
      </c>
      <c r="Z62">
        <v>88</v>
      </c>
      <c r="AA62">
        <v>0.10000000149011612</v>
      </c>
      <c r="AB62">
        <v>0.80000001192092896</v>
      </c>
      <c r="AC62">
        <v>1</v>
      </c>
      <c r="AD62">
        <v>1</v>
      </c>
      <c r="AE62">
        <v>1</v>
      </c>
      <c r="AF62">
        <v>1.3999999761581421</v>
      </c>
      <c r="AG62">
        <v>2</v>
      </c>
    </row>
    <row r="63" spans="1:33" x14ac:dyDescent="0.25">
      <c r="A63" t="str">
        <v>Zucchini Vegetable General</v>
      </c>
      <c r="B63">
        <v>56</v>
      </c>
      <c r="C63" t="str">
        <v>Vegetable</v>
      </c>
      <c r="D63" t="str">
        <v>Fruit</v>
      </c>
      <c r="E63" t="str">
        <v>Zucchini</v>
      </c>
      <c r="F63" t="str">
        <v>General</v>
      </c>
      <c r="G63" t="str">
        <v>Cucurbitaceae</v>
      </c>
      <c r="H63" t="str">
        <v>Cucurbita</v>
      </c>
      <c r="I63" t="str">
        <v>pepo</v>
      </c>
      <c r="J63" t="str">
        <v/>
      </c>
      <c r="K63" t="str">
        <v>Cucurbita pepo</v>
      </c>
      <c r="L63" t="str">
        <v>pepo</v>
      </c>
      <c r="M63" t="str">
        <v>Seed</v>
      </c>
      <c r="N63" t="str">
        <v>Oct</v>
      </c>
      <c r="O63" t="str">
        <v>EarlyReproductive</v>
      </c>
      <c r="P63" t="str">
        <v>Jan</v>
      </c>
      <c r="Q63">
        <v>40</v>
      </c>
      <c r="R63" t="str">
        <v>t/ha</v>
      </c>
      <c r="S63" t="str">
        <v>Saleable product</v>
      </c>
      <c r="T63">
        <v>50000</v>
      </c>
      <c r="U63" t="str">
        <v>Total</v>
      </c>
      <c r="V63">
        <v>0</v>
      </c>
      <c r="W63">
        <v>0</v>
      </c>
      <c r="X63">
        <v>0.40000000596046448</v>
      </c>
      <c r="Y63">
        <v>0</v>
      </c>
      <c r="Z63">
        <v>95</v>
      </c>
      <c r="AA63">
        <v>0.10000000149011612</v>
      </c>
      <c r="AB63">
        <v>0.80000001192092896</v>
      </c>
      <c r="AC63">
        <v>0.85000002384185791</v>
      </c>
      <c r="AD63">
        <v>1</v>
      </c>
      <c r="AE63">
        <v>1</v>
      </c>
      <c r="AF63">
        <v>3.7999999523162842</v>
      </c>
      <c r="AG63">
        <v>3.2000000476837158</v>
      </c>
    </row>
    <row r="64" spans="1:33" x14ac:dyDescent="0.25">
      <c r="A64" t="str">
        <v>Carrot Vegetable General</v>
      </c>
      <c r="B64">
        <v>57</v>
      </c>
      <c r="C64" t="str">
        <v>Vegetable</v>
      </c>
      <c r="D64" t="str">
        <v>Root</v>
      </c>
      <c r="E64" t="str">
        <v>Carrot</v>
      </c>
      <c r="F64" t="str">
        <v>General</v>
      </c>
      <c r="G64" t="str">
        <v>Apiaceae</v>
      </c>
      <c r="H64" t="str">
        <v>Daucus</v>
      </c>
      <c r="I64" t="str">
        <v>carota</v>
      </c>
      <c r="J64" t="str">
        <v/>
      </c>
      <c r="K64" t="str">
        <v>Daucus carota</v>
      </c>
      <c r="L64" t="str">
        <v>carota</v>
      </c>
      <c r="M64" t="str">
        <v>Seed</v>
      </c>
      <c r="N64" t="str">
        <v>Oct</v>
      </c>
      <c r="O64" t="str">
        <v>EarlyReproductive</v>
      </c>
      <c r="P64" t="str">
        <v>Jun</v>
      </c>
      <c r="Q64">
        <v>70</v>
      </c>
      <c r="R64" t="str">
        <v>t/ha</v>
      </c>
      <c r="S64" t="str">
        <v>Saleable product</v>
      </c>
      <c r="T64">
        <v>50000</v>
      </c>
      <c r="U64" t="str">
        <v>Total</v>
      </c>
      <c r="V64">
        <v>0</v>
      </c>
      <c r="W64">
        <v>0</v>
      </c>
      <c r="X64">
        <v>0.89999997615814209</v>
      </c>
      <c r="Y64">
        <v>7.0000000298023224E-2</v>
      </c>
      <c r="Z64">
        <v>88</v>
      </c>
      <c r="AA64">
        <v>0.10000000149011612</v>
      </c>
      <c r="AB64">
        <v>1.2000000476837158</v>
      </c>
      <c r="AC64">
        <v>0.89999997615814209</v>
      </c>
      <c r="AD64">
        <v>0.69999998807907104</v>
      </c>
      <c r="AE64">
        <v>0.89999997615814209</v>
      </c>
      <c r="AF64">
        <v>2</v>
      </c>
      <c r="AG64">
        <v>1</v>
      </c>
    </row>
    <row r="65" spans="1:33" x14ac:dyDescent="0.25">
      <c r="A65" t="str">
        <v>Kumara Vegetable General</v>
      </c>
      <c r="B65">
        <v>58</v>
      </c>
      <c r="C65" t="str">
        <v>Vegetable</v>
      </c>
      <c r="D65" t="str">
        <v>Root</v>
      </c>
      <c r="E65" t="str">
        <v>Kumara</v>
      </c>
      <c r="F65" t="str">
        <v>General</v>
      </c>
      <c r="G65" t="str">
        <v>Convolvulaceae</v>
      </c>
      <c r="H65" t="str">
        <v>Ipomoea</v>
      </c>
      <c r="I65" t="str">
        <v>batatas</v>
      </c>
      <c r="J65" t="str">
        <v/>
      </c>
      <c r="K65" t="str">
        <v>Ipomoea batatas</v>
      </c>
      <c r="L65" t="str">
        <v>batatas</v>
      </c>
      <c r="M65" t="str">
        <v>Seed</v>
      </c>
      <c r="N65" t="str">
        <v>Oct</v>
      </c>
      <c r="O65" t="str">
        <v>Maturity</v>
      </c>
      <c r="P65" t="str">
        <v>May</v>
      </c>
      <c r="Q65">
        <v>50</v>
      </c>
      <c r="R65" t="str">
        <v>t/ha</v>
      </c>
      <c r="S65" t="str">
        <v>Saleable product</v>
      </c>
      <c r="T65">
        <v>50000</v>
      </c>
      <c r="U65" t="str">
        <v>Total</v>
      </c>
      <c r="V65">
        <v>0</v>
      </c>
      <c r="W65">
        <v>0</v>
      </c>
      <c r="X65">
        <v>0.88999998569488525</v>
      </c>
      <c r="Y65">
        <v>0</v>
      </c>
      <c r="Z65">
        <v>77.400001525878906</v>
      </c>
      <c r="AA65">
        <v>0.10000000149011612</v>
      </c>
      <c r="AB65">
        <v>0.89999997615814209</v>
      </c>
      <c r="AC65">
        <v>1</v>
      </c>
      <c r="AD65">
        <v>1</v>
      </c>
      <c r="AE65">
        <v>1</v>
      </c>
      <c r="AF65">
        <v>2</v>
      </c>
      <c r="AG65">
        <v>1.7999999523162842</v>
      </c>
    </row>
    <row r="66" spans="1:33" x14ac:dyDescent="0.25">
      <c r="A66" t="str">
        <v>Lettuce Vegetable Ice berg</v>
      </c>
      <c r="B66">
        <v>59</v>
      </c>
      <c r="C66" t="str">
        <v>Vegetable</v>
      </c>
      <c r="D66" t="str">
        <v>Green</v>
      </c>
      <c r="E66" t="str">
        <v>Lettuce</v>
      </c>
      <c r="F66" t="str">
        <v>Ice berg</v>
      </c>
      <c r="G66" t="str">
        <v>Asteraceae</v>
      </c>
      <c r="H66" t="str">
        <v>Lactuca</v>
      </c>
      <c r="I66" t="str">
        <v>sativa</v>
      </c>
      <c r="J66" t="str">
        <v/>
      </c>
      <c r="K66" t="str">
        <v>Lactuca sativa</v>
      </c>
      <c r="L66" t="str">
        <v>sativa</v>
      </c>
      <c r="M66" t="str">
        <v>Seedling</v>
      </c>
      <c r="N66" t="str">
        <v>Sep</v>
      </c>
      <c r="O66" t="str">
        <v>Vegetative</v>
      </c>
      <c r="P66" t="str">
        <v>Dec</v>
      </c>
      <c r="Q66">
        <v>50</v>
      </c>
      <c r="R66" t="str">
        <v>t/ha</v>
      </c>
      <c r="S66" t="str">
        <v>Saleable product</v>
      </c>
      <c r="T66">
        <v>50000</v>
      </c>
      <c r="U66" t="str">
        <v>Total</v>
      </c>
      <c r="V66">
        <v>0</v>
      </c>
      <c r="W66">
        <v>0</v>
      </c>
      <c r="X66">
        <v>0.69999998807907104</v>
      </c>
      <c r="Y66">
        <v>0</v>
      </c>
      <c r="Z66">
        <v>95</v>
      </c>
      <c r="AA66">
        <v>0.10000000149011612</v>
      </c>
      <c r="AB66">
        <v>1</v>
      </c>
      <c r="AC66">
        <v>0.94999998807907104</v>
      </c>
      <c r="AD66">
        <v>1</v>
      </c>
      <c r="AE66">
        <v>0.89999997615814209</v>
      </c>
      <c r="AF66">
        <v>3</v>
      </c>
      <c r="AG66">
        <v>2.5999999046325684</v>
      </c>
    </row>
    <row r="67" spans="1:33" x14ac:dyDescent="0.25">
      <c r="A67" t="str">
        <v>Lettuce Vegetable Leafy-salad</v>
      </c>
      <c r="B67">
        <v>60</v>
      </c>
      <c r="C67" t="str">
        <v>Vegetable</v>
      </c>
      <c r="D67" t="str">
        <v>Green</v>
      </c>
      <c r="E67" t="str">
        <v>Lettuce</v>
      </c>
      <c r="F67" t="str">
        <v>Leafy-salad</v>
      </c>
      <c r="G67" t="str">
        <v>Asteraceae</v>
      </c>
      <c r="H67" t="str">
        <v>Lactuca</v>
      </c>
      <c r="I67" t="str">
        <v>sativa</v>
      </c>
      <c r="J67" t="str">
        <v/>
      </c>
      <c r="K67" t="str">
        <v>Lactuca sativa</v>
      </c>
      <c r="L67" t="str">
        <v>sativa</v>
      </c>
      <c r="M67" t="str">
        <v>Seedling</v>
      </c>
      <c r="N67" t="str">
        <v>Sep</v>
      </c>
      <c r="O67" t="str">
        <v>Vegetative</v>
      </c>
      <c r="P67" t="str">
        <v>Dec</v>
      </c>
      <c r="Q67">
        <v>40</v>
      </c>
      <c r="R67" t="str">
        <v>t/ha</v>
      </c>
      <c r="S67" t="str">
        <v>Saleable product</v>
      </c>
      <c r="T67">
        <v>50000</v>
      </c>
      <c r="U67" t="str">
        <v>Total</v>
      </c>
      <c r="V67">
        <v>0</v>
      </c>
      <c r="W67">
        <v>0</v>
      </c>
      <c r="X67">
        <v>0.80000001192092896</v>
      </c>
      <c r="Y67">
        <v>0</v>
      </c>
      <c r="Z67">
        <v>95</v>
      </c>
      <c r="AA67">
        <v>0.10000000149011612</v>
      </c>
      <c r="AB67">
        <v>1</v>
      </c>
      <c r="AC67">
        <v>0.89999997615814209</v>
      </c>
      <c r="AD67">
        <v>1</v>
      </c>
      <c r="AE67">
        <v>0.89999997615814209</v>
      </c>
      <c r="AF67">
        <v>3</v>
      </c>
      <c r="AG67">
        <v>3.5</v>
      </c>
    </row>
    <row r="68" spans="1:33" x14ac:dyDescent="0.25">
      <c r="A68" t="str">
        <v>Lettuce Vegetable General</v>
      </c>
      <c r="B68">
        <v>59</v>
      </c>
      <c r="C68" t="str">
        <v>Vegetable</v>
      </c>
      <c r="D68" t="str">
        <v>Green</v>
      </c>
      <c r="E68" t="str">
        <v>Lettuce</v>
      </c>
      <c r="F68" t="str">
        <v>General</v>
      </c>
      <c r="G68" t="str">
        <v>Asteraceae</v>
      </c>
      <c r="H68" t="str">
        <v>Lactuca</v>
      </c>
      <c r="I68" t="str">
        <v>sativa</v>
      </c>
      <c r="J68" t="str">
        <v/>
      </c>
      <c r="K68" t="str">
        <v>Lactuca sativa</v>
      </c>
      <c r="L68" t="str">
        <v>sativa</v>
      </c>
      <c r="M68" t="str">
        <v>Seedling</v>
      </c>
      <c r="N68" t="str">
        <v>Sep</v>
      </c>
      <c r="O68" t="str">
        <v>Vegetative</v>
      </c>
      <c r="P68" t="str">
        <v>Dec</v>
      </c>
      <c r="Q68">
        <v>50</v>
      </c>
      <c r="R68" t="str">
        <v>t/ha</v>
      </c>
      <c r="S68" t="str">
        <v>Saleable product</v>
      </c>
      <c r="T68">
        <v>50000</v>
      </c>
      <c r="U68" t="str">
        <v>Total</v>
      </c>
      <c r="V68">
        <v>0</v>
      </c>
      <c r="W68">
        <v>0</v>
      </c>
      <c r="X68">
        <v>0.69999998807907104</v>
      </c>
      <c r="Y68">
        <v>0</v>
      </c>
      <c r="Z68">
        <v>95</v>
      </c>
      <c r="AA68">
        <v>0.10000000149011612</v>
      </c>
      <c r="AB68">
        <v>1</v>
      </c>
      <c r="AC68">
        <v>0.94999998807907104</v>
      </c>
      <c r="AD68">
        <v>1</v>
      </c>
      <c r="AE68">
        <v>0.89999997615814209</v>
      </c>
      <c r="AF68">
        <v>3</v>
      </c>
      <c r="AG68">
        <v>2.5999999046325684</v>
      </c>
    </row>
    <row r="69" spans="1:33" x14ac:dyDescent="0.25">
      <c r="A69" t="str">
        <v>Parsnip Vegetable General</v>
      </c>
      <c r="B69">
        <v>61</v>
      </c>
      <c r="C69" t="str">
        <v>Vegetable</v>
      </c>
      <c r="D69" t="str">
        <v>Root</v>
      </c>
      <c r="E69" t="str">
        <v>Parsnip</v>
      </c>
      <c r="F69" t="str">
        <v>General</v>
      </c>
      <c r="G69" t="str">
        <v>Apiaceae</v>
      </c>
      <c r="H69" t="str">
        <v>Pastinaca</v>
      </c>
      <c r="I69" t="str">
        <v>sativa</v>
      </c>
      <c r="J69" t="str">
        <v/>
      </c>
      <c r="K69" t="str">
        <v>Pastinaca sativa</v>
      </c>
      <c r="L69" t="str">
        <v>sativa</v>
      </c>
      <c r="M69" t="str">
        <v>Seed</v>
      </c>
      <c r="N69" t="str">
        <v>Sep</v>
      </c>
      <c r="O69" t="str">
        <v>EarlyReproductive</v>
      </c>
      <c r="P69" t="str">
        <v>May</v>
      </c>
      <c r="Q69">
        <v>44</v>
      </c>
      <c r="R69" t="str">
        <v>t/ha</v>
      </c>
      <c r="S69" t="str">
        <v>Saleable product</v>
      </c>
      <c r="T69">
        <v>50000</v>
      </c>
      <c r="U69" t="str">
        <v>Total</v>
      </c>
      <c r="V69">
        <v>0</v>
      </c>
      <c r="W69">
        <v>0</v>
      </c>
      <c r="X69">
        <v>0.94999998807907104</v>
      </c>
      <c r="Y69">
        <v>0</v>
      </c>
      <c r="Z69">
        <v>83</v>
      </c>
      <c r="AA69">
        <v>0.10000000149011612</v>
      </c>
      <c r="AB69">
        <v>1.2000000476837158</v>
      </c>
      <c r="AC69">
        <v>0.94999998807907104</v>
      </c>
      <c r="AD69">
        <v>0.80000001192092896</v>
      </c>
      <c r="AE69">
        <v>0.89999997615814209</v>
      </c>
      <c r="AF69">
        <v>2</v>
      </c>
      <c r="AG69">
        <v>1.3500000238418579</v>
      </c>
    </row>
    <row r="70" spans="1:33" x14ac:dyDescent="0.25">
      <c r="A70" t="str">
        <v>Bean Vegetable General</v>
      </c>
      <c r="B70">
        <v>62</v>
      </c>
      <c r="C70" t="str">
        <v>Vegetable</v>
      </c>
      <c r="D70" t="str">
        <v>Pulse</v>
      </c>
      <c r="E70" t="str">
        <v>Bean</v>
      </c>
      <c r="F70" t="str">
        <v>General</v>
      </c>
      <c r="G70" t="str">
        <v>Fabaceae</v>
      </c>
      <c r="H70" t="str">
        <v>Phaseolus</v>
      </c>
      <c r="I70" t="str">
        <v>vulgaris</v>
      </c>
      <c r="J70" t="str">
        <v/>
      </c>
      <c r="K70" t="str">
        <v>Phaseolus vulgaris</v>
      </c>
      <c r="L70" t="str">
        <v>vulgaris</v>
      </c>
      <c r="M70" t="str">
        <v>Seed</v>
      </c>
      <c r="N70" t="str">
        <v>Nov</v>
      </c>
      <c r="O70" t="str">
        <v>EarlyReproductive</v>
      </c>
      <c r="P70" t="str">
        <v>Mar</v>
      </c>
      <c r="Q70">
        <v>18</v>
      </c>
      <c r="R70" t="str">
        <v>t/ha</v>
      </c>
      <c r="S70" t="str">
        <v>Saleable product</v>
      </c>
      <c r="T70">
        <v>50000</v>
      </c>
      <c r="U70" t="str">
        <v>Total</v>
      </c>
      <c r="V70">
        <v>0</v>
      </c>
      <c r="W70">
        <v>0</v>
      </c>
      <c r="X70">
        <v>0.43999999761581421</v>
      </c>
      <c r="Y70">
        <v>7.0000000298023224E-2</v>
      </c>
      <c r="Z70">
        <v>89</v>
      </c>
      <c r="AA70">
        <v>0.10000000149011612</v>
      </c>
      <c r="AB70">
        <v>1</v>
      </c>
      <c r="AC70">
        <v>0.89999997615814209</v>
      </c>
      <c r="AD70">
        <v>1</v>
      </c>
      <c r="AE70">
        <v>1.5</v>
      </c>
      <c r="AF70">
        <v>2.5</v>
      </c>
      <c r="AG70">
        <v>2.7999999523162842</v>
      </c>
    </row>
    <row r="71" spans="1:33" x14ac:dyDescent="0.25">
      <c r="A71" t="str">
        <v>Pea Vegetable General</v>
      </c>
      <c r="B71">
        <v>63</v>
      </c>
      <c r="C71" t="str">
        <v>Vegetable</v>
      </c>
      <c r="D71" t="str">
        <v>Pulse</v>
      </c>
      <c r="E71" t="str">
        <v>Pea</v>
      </c>
      <c r="F71" t="str">
        <v>General</v>
      </c>
      <c r="G71" t="str">
        <v>Fabaceae</v>
      </c>
      <c r="H71" t="str">
        <v>Pisum</v>
      </c>
      <c r="I71" t="str">
        <v>sativum</v>
      </c>
      <c r="J71" t="str">
        <v/>
      </c>
      <c r="K71" t="str">
        <v>Pisum sativum</v>
      </c>
      <c r="L71" t="str">
        <v>sativum</v>
      </c>
      <c r="M71" t="str">
        <v>Seed</v>
      </c>
      <c r="N71" t="str">
        <v>Aug</v>
      </c>
      <c r="O71" t="str">
        <v>EarlyReproductive</v>
      </c>
      <c r="P71" t="str">
        <v>Jan</v>
      </c>
      <c r="Q71">
        <v>9.5</v>
      </c>
      <c r="R71" t="str">
        <v>t/ha</v>
      </c>
      <c r="S71" t="str">
        <v>Saleable product</v>
      </c>
      <c r="T71">
        <v>50000</v>
      </c>
      <c r="U71" t="str">
        <v>Total</v>
      </c>
      <c r="V71">
        <v>0</v>
      </c>
      <c r="W71">
        <v>0</v>
      </c>
      <c r="X71">
        <v>0.34000000357627869</v>
      </c>
      <c r="Y71">
        <v>7.9999998211860657E-2</v>
      </c>
      <c r="Z71">
        <v>73</v>
      </c>
      <c r="AA71">
        <v>0.10000000149011612</v>
      </c>
      <c r="AB71">
        <v>0.69999998807907104</v>
      </c>
      <c r="AC71">
        <v>1</v>
      </c>
      <c r="AD71">
        <v>1</v>
      </c>
      <c r="AE71">
        <v>1.5</v>
      </c>
      <c r="AF71">
        <v>2.0999999046325684</v>
      </c>
      <c r="AG71">
        <v>4</v>
      </c>
    </row>
    <row r="72" spans="1:33" x14ac:dyDescent="0.25">
      <c r="A72" t="str">
        <v>Tomato Vegetable General</v>
      </c>
      <c r="B72">
        <v>64</v>
      </c>
      <c r="C72" t="str">
        <v>Vegetable</v>
      </c>
      <c r="D72" t="str">
        <v>Fruit</v>
      </c>
      <c r="E72" t="str">
        <v>Tomato</v>
      </c>
      <c r="F72" t="str">
        <v>General</v>
      </c>
      <c r="G72" t="str">
        <v>Solanaceae</v>
      </c>
      <c r="H72" t="str">
        <v>Solanum</v>
      </c>
      <c r="I72" t="str">
        <v>lycopersicum</v>
      </c>
      <c r="J72" t="str">
        <v/>
      </c>
      <c r="K72" t="str">
        <v>Solanum  lycopersicum</v>
      </c>
      <c r="L72" t="str">
        <v>lycopersicum</v>
      </c>
      <c r="M72" t="str">
        <v>Seedling</v>
      </c>
      <c r="N72" t="str">
        <v>Oct</v>
      </c>
      <c r="O72" t="str">
        <v>LateReproductive</v>
      </c>
      <c r="P72" t="str">
        <v>Apr</v>
      </c>
      <c r="Q72">
        <v>100</v>
      </c>
      <c r="R72" t="str">
        <v>t/ha</v>
      </c>
      <c r="S72" t="str">
        <v>Saleable product</v>
      </c>
      <c r="T72">
        <v>50000</v>
      </c>
      <c r="U72" t="str">
        <v>Total</v>
      </c>
      <c r="V72">
        <v>0</v>
      </c>
      <c r="W72">
        <v>0</v>
      </c>
      <c r="X72">
        <v>0.5</v>
      </c>
      <c r="Y72">
        <v>0</v>
      </c>
      <c r="Z72">
        <v>95</v>
      </c>
      <c r="AA72">
        <v>0.10000000149011612</v>
      </c>
      <c r="AB72">
        <v>0.60000002384185791</v>
      </c>
      <c r="AC72">
        <v>1</v>
      </c>
      <c r="AD72">
        <v>1.2000000476837158</v>
      </c>
      <c r="AE72">
        <v>0.89999997615814209</v>
      </c>
      <c r="AF72">
        <v>2</v>
      </c>
      <c r="AG72">
        <v>2</v>
      </c>
    </row>
    <row r="73" spans="1:33" x14ac:dyDescent="0.25">
      <c r="A73" t="str">
        <v>Potato Vegetable General</v>
      </c>
      <c r="B73">
        <v>65</v>
      </c>
      <c r="C73" t="str">
        <v>Vegetable</v>
      </c>
      <c r="D73" t="str">
        <v>Root</v>
      </c>
      <c r="E73" t="str">
        <v>Potato</v>
      </c>
      <c r="F73" t="str">
        <v>General</v>
      </c>
      <c r="G73" t="str">
        <v>Solanaceae</v>
      </c>
      <c r="H73" t="str">
        <v>Solanum</v>
      </c>
      <c r="I73" t="str">
        <v>tuberosum</v>
      </c>
      <c r="J73" t="str">
        <v/>
      </c>
      <c r="K73" t="str">
        <v>Solanum  tuberosum</v>
      </c>
      <c r="L73" t="str">
        <v>tuberosum</v>
      </c>
      <c r="M73" t="str">
        <v>Seed</v>
      </c>
      <c r="N73" t="str">
        <v>Oct</v>
      </c>
      <c r="O73" t="str">
        <v>LateReproductive</v>
      </c>
      <c r="P73" t="str">
        <v>May</v>
      </c>
      <c r="Q73">
        <v>64</v>
      </c>
      <c r="R73" t="str">
        <v>t/ha</v>
      </c>
      <c r="S73" t="str">
        <v>Saleable product</v>
      </c>
      <c r="T73">
        <v>50000</v>
      </c>
      <c r="U73" t="str">
        <v>Total</v>
      </c>
      <c r="V73">
        <v>0</v>
      </c>
      <c r="W73">
        <v>0</v>
      </c>
      <c r="X73">
        <v>0.89999997615814209</v>
      </c>
      <c r="Y73">
        <v>5.9999998658895493E-2</v>
      </c>
      <c r="Z73">
        <v>77.699996948242188</v>
      </c>
      <c r="AA73">
        <v>0.10000000149011612</v>
      </c>
      <c r="AB73">
        <v>0.60000002384185791</v>
      </c>
      <c r="AC73">
        <v>1</v>
      </c>
      <c r="AD73">
        <v>1.2000000476837158</v>
      </c>
      <c r="AE73">
        <v>0.89999997615814209</v>
      </c>
      <c r="AF73">
        <v>2</v>
      </c>
      <c r="AG73">
        <v>1.7999999523162842</v>
      </c>
    </row>
    <row r="74" spans="1:33" x14ac:dyDescent="0.25">
      <c r="A74" t="str">
        <v>Spinach Vegetable General</v>
      </c>
      <c r="B74">
        <v>66</v>
      </c>
      <c r="C74" t="str">
        <v>Vegetable</v>
      </c>
      <c r="D74" t="str">
        <v>Green</v>
      </c>
      <c r="E74" t="str">
        <v>Spinach</v>
      </c>
      <c r="F74" t="str">
        <v>General</v>
      </c>
      <c r="G74" t="str">
        <v>Amaranthaceae</v>
      </c>
      <c r="H74" t="str">
        <v>Spinacia</v>
      </c>
      <c r="I74" t="str">
        <v>loeracea</v>
      </c>
      <c r="J74" t="str">
        <v/>
      </c>
      <c r="K74" t="str">
        <v>Spinacia loeracea</v>
      </c>
      <c r="L74" t="str">
        <v>loeracea</v>
      </c>
      <c r="M74" t="str">
        <v>Seed</v>
      </c>
      <c r="N74" t="str">
        <v>May</v>
      </c>
      <c r="O74" t="str">
        <v>Vegetative</v>
      </c>
      <c r="P74" t="str">
        <v>Sep</v>
      </c>
      <c r="Q74">
        <v>22</v>
      </c>
      <c r="R74" t="str">
        <v>t/ha</v>
      </c>
      <c r="S74" t="str">
        <v>Saleable product</v>
      </c>
      <c r="T74">
        <v>50000</v>
      </c>
      <c r="U74" t="str">
        <v>Total</v>
      </c>
      <c r="V74">
        <v>0</v>
      </c>
      <c r="W74">
        <v>0</v>
      </c>
      <c r="X74">
        <v>0.69999998807907104</v>
      </c>
      <c r="Y74">
        <v>0</v>
      </c>
      <c r="Z74">
        <v>92</v>
      </c>
      <c r="AA74">
        <v>0.10000000149011612</v>
      </c>
      <c r="AB74">
        <v>1.5</v>
      </c>
      <c r="AC74">
        <v>0.80000001192092896</v>
      </c>
      <c r="AD74">
        <v>1</v>
      </c>
      <c r="AE74">
        <v>0.80000001192092896</v>
      </c>
      <c r="AF74">
        <v>4</v>
      </c>
      <c r="AG74">
        <v>4.5</v>
      </c>
    </row>
    <row r="75" spans="1:33" x14ac:dyDescent="0.25">
      <c r="A75" t="str">
        <v>Broad bean Vegetable General</v>
      </c>
      <c r="B75">
        <v>67</v>
      </c>
      <c r="C75" t="str">
        <v>Vegetable</v>
      </c>
      <c r="D75" t="str">
        <v>Pulse</v>
      </c>
      <c r="E75" t="str">
        <v>Broad bean</v>
      </c>
      <c r="F75" t="str">
        <v>General</v>
      </c>
      <c r="G75" t="str">
        <v>Fabaceae</v>
      </c>
      <c r="H75" t="str">
        <v>Vicia</v>
      </c>
      <c r="I75" t="str">
        <v>faba</v>
      </c>
      <c r="J75" t="str">
        <v/>
      </c>
      <c r="K75" t="str">
        <v>Vicia faba</v>
      </c>
      <c r="L75" t="str">
        <v>faba</v>
      </c>
      <c r="M75" t="str">
        <v>Seed</v>
      </c>
      <c r="N75" t="str">
        <v>May</v>
      </c>
      <c r="O75" t="str">
        <v>EarlyReproductive</v>
      </c>
      <c r="P75" t="str">
        <v>Nov</v>
      </c>
      <c r="Q75">
        <v>11</v>
      </c>
      <c r="R75" t="str">
        <v>t/ha</v>
      </c>
      <c r="S75" t="str">
        <v>Saleable product</v>
      </c>
      <c r="T75">
        <v>50000</v>
      </c>
      <c r="U75" t="str">
        <v>Total</v>
      </c>
      <c r="V75">
        <v>0</v>
      </c>
      <c r="W75">
        <v>0</v>
      </c>
      <c r="X75">
        <v>0.30000001192092896</v>
      </c>
      <c r="Y75">
        <v>5.000000074505806E-2</v>
      </c>
      <c r="Z75">
        <v>76</v>
      </c>
      <c r="AA75">
        <v>0.10000000149011612</v>
      </c>
      <c r="AB75">
        <v>1</v>
      </c>
      <c r="AC75">
        <v>0.89999997615814209</v>
      </c>
      <c r="AD75">
        <v>1</v>
      </c>
      <c r="AE75">
        <v>1.5</v>
      </c>
      <c r="AF75">
        <v>1.7000000476837158</v>
      </c>
      <c r="AG75">
        <v>4.4000000953674316</v>
      </c>
    </row>
    <row r="76" spans="1:33" x14ac:dyDescent="0.25">
      <c r="A76" t="str">
        <v>Sweetcorn Vegetable General</v>
      </c>
      <c r="B76">
        <v>68</v>
      </c>
      <c r="C76" t="str">
        <v>Vegetable</v>
      </c>
      <c r="D76" t="str">
        <v>Fruit</v>
      </c>
      <c r="E76" t="str">
        <v>Sweetcorn</v>
      </c>
      <c r="F76" t="str">
        <v>General</v>
      </c>
      <c r="G76" t="str">
        <v>Poaceae</v>
      </c>
      <c r="H76" t="str">
        <v>Zea</v>
      </c>
      <c r="I76" t="str">
        <v>mays</v>
      </c>
      <c r="J76" t="str">
        <v/>
      </c>
      <c r="K76" t="str">
        <v>Zea mays</v>
      </c>
      <c r="L76" t="str">
        <v>mays</v>
      </c>
      <c r="M76" t="str">
        <v>Seed</v>
      </c>
      <c r="N76" t="str">
        <v>Oct</v>
      </c>
      <c r="O76" t="str">
        <v>MidReproductive</v>
      </c>
      <c r="P76" t="str">
        <v>Feb</v>
      </c>
      <c r="Q76">
        <v>22</v>
      </c>
      <c r="R76" t="str">
        <v>t/ha</v>
      </c>
      <c r="S76" t="str">
        <v>Saleable product</v>
      </c>
      <c r="T76">
        <v>50000</v>
      </c>
      <c r="U76" t="str">
        <v>Total</v>
      </c>
      <c r="V76">
        <v>0</v>
      </c>
      <c r="W76">
        <v>0</v>
      </c>
      <c r="X76">
        <v>0.47999998927116394</v>
      </c>
      <c r="Y76">
        <v>1.9999999552965164E-2</v>
      </c>
      <c r="Z76">
        <v>78</v>
      </c>
      <c r="AA76">
        <v>0.10000000149011612</v>
      </c>
      <c r="AB76">
        <v>1.5</v>
      </c>
      <c r="AC76">
        <v>0.75</v>
      </c>
      <c r="AD76">
        <v>1</v>
      </c>
      <c r="AE76">
        <v>0.89999997615814209</v>
      </c>
      <c r="AF76">
        <v>0.89999997615814209</v>
      </c>
      <c r="AG76">
        <v>1.3999999761581421</v>
      </c>
    </row>
    <row r="77" spans="1:33" x14ac:dyDescent="0.25">
      <c r="A77" t="e">
        <v>#N/A</v>
      </c>
      <c r="B77" t="e">
        <v>#N/A</v>
      </c>
      <c r="C77" t="e">
        <v>#N/A</v>
      </c>
      <c r="D77" t="e">
        <v>#N/A</v>
      </c>
      <c r="E77" t="e">
        <v>#N/A</v>
      </c>
      <c r="F77" t="e">
        <v>#N/A</v>
      </c>
      <c r="G77" t="e">
        <v>#N/A</v>
      </c>
      <c r="H77" t="e">
        <v>#N/A</v>
      </c>
      <c r="I77" t="e">
        <v>#N/A</v>
      </c>
      <c r="J77" t="e">
        <v>#N/A</v>
      </c>
      <c r="K77" t="e">
        <v>#N/A</v>
      </c>
      <c r="L77" t="e">
        <v>#N/A</v>
      </c>
      <c r="M77" t="e">
        <v>#N/A</v>
      </c>
      <c r="N77" t="e">
        <v>#N/A</v>
      </c>
      <c r="O77" t="e">
        <v>#N/A</v>
      </c>
      <c r="P77" t="e">
        <v>#N/A</v>
      </c>
      <c r="Q77" t="e">
        <v>#N/A</v>
      </c>
      <c r="R77" t="e">
        <v>#N/A</v>
      </c>
      <c r="S77" t="e">
        <v>#N/A</v>
      </c>
      <c r="T77" t="e">
        <v>#N/A</v>
      </c>
      <c r="U77" t="e">
        <v>#N/A</v>
      </c>
      <c r="V77" t="e">
        <v>#N/A</v>
      </c>
      <c r="W77" t="e">
        <v>#N/A</v>
      </c>
      <c r="X77" t="e">
        <v>#N/A</v>
      </c>
      <c r="Y77" t="e">
        <v>#N/A</v>
      </c>
      <c r="Z77" t="e">
        <v>#N/A</v>
      </c>
      <c r="AA77" t="e">
        <v>#N/A</v>
      </c>
      <c r="AB77" t="e">
        <v>#N/A</v>
      </c>
      <c r="AC77" t="e">
        <v>#N/A</v>
      </c>
      <c r="AD77" t="e">
        <v>#N/A</v>
      </c>
      <c r="AE77" t="e">
        <v>#N/A</v>
      </c>
      <c r="AF77" t="e">
        <v>#N/A</v>
      </c>
      <c r="AG77" t="e">
        <v>#N/A</v>
      </c>
    </row>
    <row r="78" spans="1:33" x14ac:dyDescent="0.25">
      <c r="A78" t="e">
        <v>#N/A</v>
      </c>
      <c r="B78" t="e">
        <v>#N/A</v>
      </c>
      <c r="C78" t="e">
        <v>#N/A</v>
      </c>
      <c r="D78" t="e">
        <v>#N/A</v>
      </c>
      <c r="E78" t="e">
        <v>#N/A</v>
      </c>
      <c r="F78" t="e">
        <v>#N/A</v>
      </c>
      <c r="G78" t="e">
        <v>#N/A</v>
      </c>
      <c r="H78" t="e">
        <v>#N/A</v>
      </c>
      <c r="I78" t="e">
        <v>#N/A</v>
      </c>
      <c r="J78" t="e">
        <v>#N/A</v>
      </c>
      <c r="K78" t="e">
        <v>#N/A</v>
      </c>
      <c r="L78" t="e">
        <v>#N/A</v>
      </c>
      <c r="M78" t="e">
        <v>#N/A</v>
      </c>
      <c r="N78" t="e">
        <v>#N/A</v>
      </c>
      <c r="O78" t="e">
        <v>#N/A</v>
      </c>
      <c r="P78" t="e">
        <v>#N/A</v>
      </c>
      <c r="Q78" t="e">
        <v>#N/A</v>
      </c>
      <c r="R78" t="e">
        <v>#N/A</v>
      </c>
      <c r="S78" t="e">
        <v>#N/A</v>
      </c>
      <c r="T78" t="e">
        <v>#N/A</v>
      </c>
      <c r="U78" t="e">
        <v>#N/A</v>
      </c>
      <c r="V78" t="e">
        <v>#N/A</v>
      </c>
      <c r="W78" t="e">
        <v>#N/A</v>
      </c>
      <c r="X78" t="e">
        <v>#N/A</v>
      </c>
      <c r="Y78" t="e">
        <v>#N/A</v>
      </c>
      <c r="Z78" t="e">
        <v>#N/A</v>
      </c>
      <c r="AA78" t="e">
        <v>#N/A</v>
      </c>
      <c r="AB78" t="e">
        <v>#N/A</v>
      </c>
      <c r="AC78" t="e">
        <v>#N/A</v>
      </c>
      <c r="AD78" t="e">
        <v>#N/A</v>
      </c>
      <c r="AE78" t="e">
        <v>#N/A</v>
      </c>
      <c r="AF78" t="e">
        <v>#N/A</v>
      </c>
      <c r="AG78" t="e">
        <v>#N/A</v>
      </c>
    </row>
    <row r="79" spans="1:33" x14ac:dyDescent="0.25">
      <c r="A79" t="e">
        <v>#N/A</v>
      </c>
      <c r="B79" t="e">
        <v>#N/A</v>
      </c>
      <c r="C79" t="e">
        <v>#N/A</v>
      </c>
      <c r="D79" t="e">
        <v>#N/A</v>
      </c>
      <c r="E79" t="e">
        <v>#N/A</v>
      </c>
      <c r="F79" t="e">
        <v>#N/A</v>
      </c>
      <c r="G79" t="e">
        <v>#N/A</v>
      </c>
      <c r="H79" t="e">
        <v>#N/A</v>
      </c>
      <c r="I79" t="e">
        <v>#N/A</v>
      </c>
      <c r="J79" t="e">
        <v>#N/A</v>
      </c>
      <c r="K79" t="e">
        <v>#N/A</v>
      </c>
      <c r="L79" t="e">
        <v>#N/A</v>
      </c>
      <c r="M79" t="e">
        <v>#N/A</v>
      </c>
      <c r="N79" t="e">
        <v>#N/A</v>
      </c>
      <c r="O79" t="e">
        <v>#N/A</v>
      </c>
      <c r="P79" t="e">
        <v>#N/A</v>
      </c>
      <c r="Q79" t="e">
        <v>#N/A</v>
      </c>
      <c r="R79" t="e">
        <v>#N/A</v>
      </c>
      <c r="S79" t="e">
        <v>#N/A</v>
      </c>
      <c r="T79" t="e">
        <v>#N/A</v>
      </c>
      <c r="U79" t="e">
        <v>#N/A</v>
      </c>
      <c r="V79" t="e">
        <v>#N/A</v>
      </c>
      <c r="W79" t="e">
        <v>#N/A</v>
      </c>
      <c r="X79" t="e">
        <v>#N/A</v>
      </c>
      <c r="Y79" t="e">
        <v>#N/A</v>
      </c>
      <c r="Z79" t="e">
        <v>#N/A</v>
      </c>
      <c r="AA79" t="e">
        <v>#N/A</v>
      </c>
      <c r="AB79" t="e">
        <v>#N/A</v>
      </c>
      <c r="AC79" t="e">
        <v>#N/A</v>
      </c>
      <c r="AD79" t="e">
        <v>#N/A</v>
      </c>
      <c r="AE79" t="e">
        <v>#N/A</v>
      </c>
      <c r="AF79" t="e">
        <v>#N/A</v>
      </c>
      <c r="AG79" t="e">
        <v>#N/A</v>
      </c>
    </row>
    <row r="80" spans="1:33" x14ac:dyDescent="0.25">
      <c r="A80" t="e">
        <v>#N/A</v>
      </c>
      <c r="B80" t="e">
        <v>#N/A</v>
      </c>
      <c r="C80" t="e">
        <v>#N/A</v>
      </c>
      <c r="D80" t="e">
        <v>#N/A</v>
      </c>
      <c r="E80" t="e">
        <v>#N/A</v>
      </c>
      <c r="F80" t="e">
        <v>#N/A</v>
      </c>
      <c r="G80" t="e">
        <v>#N/A</v>
      </c>
      <c r="H80" t="e">
        <v>#N/A</v>
      </c>
      <c r="I80" t="e">
        <v>#N/A</v>
      </c>
      <c r="J80" t="e">
        <v>#N/A</v>
      </c>
      <c r="K80" t="e">
        <v>#N/A</v>
      </c>
      <c r="L80" t="e">
        <v>#N/A</v>
      </c>
      <c r="M80" t="e">
        <v>#N/A</v>
      </c>
      <c r="N80" t="e">
        <v>#N/A</v>
      </c>
      <c r="O80" t="e">
        <v>#N/A</v>
      </c>
      <c r="P80" t="e">
        <v>#N/A</v>
      </c>
      <c r="Q80" t="e">
        <v>#N/A</v>
      </c>
      <c r="R80" t="e">
        <v>#N/A</v>
      </c>
      <c r="S80" t="e">
        <v>#N/A</v>
      </c>
      <c r="T80" t="e">
        <v>#N/A</v>
      </c>
      <c r="U80" t="e">
        <v>#N/A</v>
      </c>
      <c r="V80" t="e">
        <v>#N/A</v>
      </c>
      <c r="W80" t="e">
        <v>#N/A</v>
      </c>
      <c r="X80" t="e">
        <v>#N/A</v>
      </c>
      <c r="Y80" t="e">
        <v>#N/A</v>
      </c>
      <c r="Z80" t="e">
        <v>#N/A</v>
      </c>
      <c r="AA80" t="e">
        <v>#N/A</v>
      </c>
      <c r="AB80" t="e">
        <v>#N/A</v>
      </c>
      <c r="AC80" t="e">
        <v>#N/A</v>
      </c>
      <c r="AD80" t="e">
        <v>#N/A</v>
      </c>
      <c r="AE80" t="e">
        <v>#N/A</v>
      </c>
      <c r="AF80" t="e">
        <v>#N/A</v>
      </c>
      <c r="AG80" t="e">
        <v>#N/A</v>
      </c>
    </row>
    <row r="81" spans="1:33" x14ac:dyDescent="0.25">
      <c r="A81" t="e">
        <v>#N/A</v>
      </c>
      <c r="B81" t="e">
        <v>#N/A</v>
      </c>
      <c r="C81" t="e">
        <v>#N/A</v>
      </c>
      <c r="D81" t="e">
        <v>#N/A</v>
      </c>
      <c r="E81" t="e">
        <v>#N/A</v>
      </c>
      <c r="F81" t="e">
        <v>#N/A</v>
      </c>
      <c r="G81" t="e">
        <v>#N/A</v>
      </c>
      <c r="H81" t="e">
        <v>#N/A</v>
      </c>
      <c r="I81" t="e">
        <v>#N/A</v>
      </c>
      <c r="J81" t="e">
        <v>#N/A</v>
      </c>
      <c r="K81" t="e">
        <v>#N/A</v>
      </c>
      <c r="L81" t="e">
        <v>#N/A</v>
      </c>
      <c r="M81" t="e">
        <v>#N/A</v>
      </c>
      <c r="N81" t="e">
        <v>#N/A</v>
      </c>
      <c r="O81" t="e">
        <v>#N/A</v>
      </c>
      <c r="P81" t="e">
        <v>#N/A</v>
      </c>
      <c r="Q81" t="e">
        <v>#N/A</v>
      </c>
      <c r="R81" t="e">
        <v>#N/A</v>
      </c>
      <c r="S81" t="e">
        <v>#N/A</v>
      </c>
      <c r="T81" t="e">
        <v>#N/A</v>
      </c>
      <c r="U81" t="e">
        <v>#N/A</v>
      </c>
      <c r="V81" t="e">
        <v>#N/A</v>
      </c>
      <c r="W81" t="e">
        <v>#N/A</v>
      </c>
      <c r="X81" t="e">
        <v>#N/A</v>
      </c>
      <c r="Y81" t="e">
        <v>#N/A</v>
      </c>
      <c r="Z81" t="e">
        <v>#N/A</v>
      </c>
      <c r="AA81" t="e">
        <v>#N/A</v>
      </c>
      <c r="AB81" t="e">
        <v>#N/A</v>
      </c>
      <c r="AC81" t="e">
        <v>#N/A</v>
      </c>
      <c r="AD81" t="e">
        <v>#N/A</v>
      </c>
      <c r="AE81" t="e">
        <v>#N/A</v>
      </c>
      <c r="AF81" t="e">
        <v>#N/A</v>
      </c>
      <c r="AG81" t="e">
        <v>#N/A</v>
      </c>
    </row>
    <row r="82" spans="1:33" x14ac:dyDescent="0.25">
      <c r="A82" t="e">
        <v>#N/A</v>
      </c>
      <c r="B82" t="e">
        <v>#N/A</v>
      </c>
      <c r="C82" t="e">
        <v>#N/A</v>
      </c>
      <c r="D82" t="e">
        <v>#N/A</v>
      </c>
      <c r="E82" t="e">
        <v>#N/A</v>
      </c>
      <c r="F82" t="e">
        <v>#N/A</v>
      </c>
      <c r="G82" t="e">
        <v>#N/A</v>
      </c>
      <c r="H82" t="e">
        <v>#N/A</v>
      </c>
      <c r="I82" t="e">
        <v>#N/A</v>
      </c>
      <c r="J82" t="e">
        <v>#N/A</v>
      </c>
      <c r="K82" t="e">
        <v>#N/A</v>
      </c>
      <c r="L82" t="e">
        <v>#N/A</v>
      </c>
      <c r="M82" t="e">
        <v>#N/A</v>
      </c>
      <c r="N82" t="e">
        <v>#N/A</v>
      </c>
      <c r="O82" t="e">
        <v>#N/A</v>
      </c>
      <c r="P82" t="e">
        <v>#N/A</v>
      </c>
      <c r="Q82" t="e">
        <v>#N/A</v>
      </c>
      <c r="R82" t="e">
        <v>#N/A</v>
      </c>
      <c r="S82" t="e">
        <v>#N/A</v>
      </c>
      <c r="T82" t="e">
        <v>#N/A</v>
      </c>
      <c r="U82" t="e">
        <v>#N/A</v>
      </c>
      <c r="V82" t="e">
        <v>#N/A</v>
      </c>
      <c r="W82" t="e">
        <v>#N/A</v>
      </c>
      <c r="X82" t="e">
        <v>#N/A</v>
      </c>
      <c r="Y82" t="e">
        <v>#N/A</v>
      </c>
      <c r="Z82" t="e">
        <v>#N/A</v>
      </c>
      <c r="AA82" t="e">
        <v>#N/A</v>
      </c>
      <c r="AB82" t="e">
        <v>#N/A</v>
      </c>
      <c r="AC82" t="e">
        <v>#N/A</v>
      </c>
      <c r="AD82" t="e">
        <v>#N/A</v>
      </c>
      <c r="AE82" t="e">
        <v>#N/A</v>
      </c>
      <c r="AF82" t="e">
        <v>#N/A</v>
      </c>
      <c r="AG82" t="e">
        <v>#N/A</v>
      </c>
    </row>
    <row r="83" spans="1:33" x14ac:dyDescent="0.25">
      <c r="A83" t="e">
        <v>#N/A</v>
      </c>
      <c r="B83" t="e">
        <v>#N/A</v>
      </c>
      <c r="C83" t="e">
        <v>#N/A</v>
      </c>
      <c r="D83" t="e">
        <v>#N/A</v>
      </c>
      <c r="E83" t="e">
        <v>#N/A</v>
      </c>
      <c r="F83" t="e">
        <v>#N/A</v>
      </c>
      <c r="G83" t="e">
        <v>#N/A</v>
      </c>
      <c r="H83" t="e">
        <v>#N/A</v>
      </c>
      <c r="I83" t="e">
        <v>#N/A</v>
      </c>
      <c r="J83" t="e">
        <v>#N/A</v>
      </c>
      <c r="K83" t="e">
        <v>#N/A</v>
      </c>
      <c r="L83" t="e">
        <v>#N/A</v>
      </c>
      <c r="M83" t="e">
        <v>#N/A</v>
      </c>
      <c r="N83" t="e">
        <v>#N/A</v>
      </c>
      <c r="O83" t="e">
        <v>#N/A</v>
      </c>
      <c r="P83" t="e">
        <v>#N/A</v>
      </c>
      <c r="Q83" t="e">
        <v>#N/A</v>
      </c>
      <c r="R83" t="e">
        <v>#N/A</v>
      </c>
      <c r="S83" t="e">
        <v>#N/A</v>
      </c>
      <c r="T83" t="e">
        <v>#N/A</v>
      </c>
      <c r="U83" t="e">
        <v>#N/A</v>
      </c>
      <c r="V83" t="e">
        <v>#N/A</v>
      </c>
      <c r="W83" t="e">
        <v>#N/A</v>
      </c>
      <c r="X83" t="e">
        <v>#N/A</v>
      </c>
      <c r="Y83" t="e">
        <v>#N/A</v>
      </c>
      <c r="Z83" t="e">
        <v>#N/A</v>
      </c>
      <c r="AA83" t="e">
        <v>#N/A</v>
      </c>
      <c r="AB83" t="e">
        <v>#N/A</v>
      </c>
      <c r="AC83" t="e">
        <v>#N/A</v>
      </c>
      <c r="AD83" t="e">
        <v>#N/A</v>
      </c>
      <c r="AE83" t="e">
        <v>#N/A</v>
      </c>
      <c r="AF83" t="e">
        <v>#N/A</v>
      </c>
      <c r="AG83" t="e">
        <v>#N/A</v>
      </c>
    </row>
    <row r="84" spans="1:33" x14ac:dyDescent="0.25">
      <c r="A84" t="e">
        <v>#N/A</v>
      </c>
      <c r="B84" t="e">
        <v>#N/A</v>
      </c>
      <c r="C84" t="e">
        <v>#N/A</v>
      </c>
      <c r="D84" t="e">
        <v>#N/A</v>
      </c>
      <c r="E84" t="e">
        <v>#N/A</v>
      </c>
      <c r="F84" t="e">
        <v>#N/A</v>
      </c>
      <c r="G84" t="e">
        <v>#N/A</v>
      </c>
      <c r="H84" t="e">
        <v>#N/A</v>
      </c>
      <c r="I84" t="e">
        <v>#N/A</v>
      </c>
      <c r="J84" t="e">
        <v>#N/A</v>
      </c>
      <c r="K84" t="e">
        <v>#N/A</v>
      </c>
      <c r="L84" t="e">
        <v>#N/A</v>
      </c>
      <c r="M84" t="e">
        <v>#N/A</v>
      </c>
      <c r="N84" t="e">
        <v>#N/A</v>
      </c>
      <c r="O84" t="e">
        <v>#N/A</v>
      </c>
      <c r="P84" t="e">
        <v>#N/A</v>
      </c>
      <c r="Q84" t="e">
        <v>#N/A</v>
      </c>
      <c r="R84" t="e">
        <v>#N/A</v>
      </c>
      <c r="S84" t="e">
        <v>#N/A</v>
      </c>
      <c r="T84" t="e">
        <v>#N/A</v>
      </c>
      <c r="U84" t="e">
        <v>#N/A</v>
      </c>
      <c r="V84" t="e">
        <v>#N/A</v>
      </c>
      <c r="W84" t="e">
        <v>#N/A</v>
      </c>
      <c r="X84" t="e">
        <v>#N/A</v>
      </c>
      <c r="Y84" t="e">
        <v>#N/A</v>
      </c>
      <c r="Z84" t="e">
        <v>#N/A</v>
      </c>
      <c r="AA84" t="e">
        <v>#N/A</v>
      </c>
      <c r="AB84" t="e">
        <v>#N/A</v>
      </c>
      <c r="AC84" t="e">
        <v>#N/A</v>
      </c>
      <c r="AD84" t="e">
        <v>#N/A</v>
      </c>
      <c r="AE84" t="e">
        <v>#N/A</v>
      </c>
      <c r="AF84" t="e">
        <v>#N/A</v>
      </c>
      <c r="AG84" t="e">
        <v>#N/A</v>
      </c>
    </row>
    <row r="85" spans="1:33" x14ac:dyDescent="0.25">
      <c r="A85" t="e">
        <v>#N/A</v>
      </c>
      <c r="B85" t="e">
        <v>#N/A</v>
      </c>
      <c r="C85" t="e">
        <v>#N/A</v>
      </c>
      <c r="D85" t="e">
        <v>#N/A</v>
      </c>
      <c r="E85" t="e">
        <v>#N/A</v>
      </c>
      <c r="F85" t="e">
        <v>#N/A</v>
      </c>
      <c r="G85" t="e">
        <v>#N/A</v>
      </c>
      <c r="H85" t="e">
        <v>#N/A</v>
      </c>
      <c r="I85" t="e">
        <v>#N/A</v>
      </c>
      <c r="J85" t="e">
        <v>#N/A</v>
      </c>
      <c r="K85" t="e">
        <v>#N/A</v>
      </c>
      <c r="L85" t="e">
        <v>#N/A</v>
      </c>
      <c r="M85" t="e">
        <v>#N/A</v>
      </c>
      <c r="N85" t="e">
        <v>#N/A</v>
      </c>
      <c r="O85" t="e">
        <v>#N/A</v>
      </c>
      <c r="P85" t="e">
        <v>#N/A</v>
      </c>
      <c r="Q85" t="e">
        <v>#N/A</v>
      </c>
      <c r="R85" t="e">
        <v>#N/A</v>
      </c>
      <c r="S85" t="e">
        <v>#N/A</v>
      </c>
      <c r="T85" t="e">
        <v>#N/A</v>
      </c>
      <c r="U85" t="e">
        <v>#N/A</v>
      </c>
      <c r="V85" t="e">
        <v>#N/A</v>
      </c>
      <c r="W85" t="e">
        <v>#N/A</v>
      </c>
      <c r="X85" t="e">
        <v>#N/A</v>
      </c>
      <c r="Y85" t="e">
        <v>#N/A</v>
      </c>
      <c r="Z85" t="e">
        <v>#N/A</v>
      </c>
      <c r="AA85" t="e">
        <v>#N/A</v>
      </c>
      <c r="AB85" t="e">
        <v>#N/A</v>
      </c>
      <c r="AC85" t="e">
        <v>#N/A</v>
      </c>
      <c r="AD85" t="e">
        <v>#N/A</v>
      </c>
      <c r="AE85" t="e">
        <v>#N/A</v>
      </c>
      <c r="AF85" t="e">
        <v>#N/A</v>
      </c>
      <c r="AG85" t="e">
        <v>#N/A</v>
      </c>
    </row>
    <row r="86" spans="1:33" x14ac:dyDescent="0.25">
      <c r="A86" t="e">
        <v>#N/A</v>
      </c>
      <c r="B86" t="e">
        <v>#N/A</v>
      </c>
      <c r="C86" t="e">
        <v>#N/A</v>
      </c>
      <c r="D86" t="e">
        <v>#N/A</v>
      </c>
      <c r="E86" t="e">
        <v>#N/A</v>
      </c>
      <c r="F86" t="e">
        <v>#N/A</v>
      </c>
      <c r="G86" t="e">
        <v>#N/A</v>
      </c>
      <c r="H86" t="e">
        <v>#N/A</v>
      </c>
      <c r="I86" t="e">
        <v>#N/A</v>
      </c>
      <c r="J86" t="e">
        <v>#N/A</v>
      </c>
      <c r="K86" t="e">
        <v>#N/A</v>
      </c>
      <c r="L86" t="e">
        <v>#N/A</v>
      </c>
      <c r="M86" t="e">
        <v>#N/A</v>
      </c>
      <c r="N86" t="e">
        <v>#N/A</v>
      </c>
      <c r="O86" t="e">
        <v>#N/A</v>
      </c>
      <c r="P86" t="e">
        <v>#N/A</v>
      </c>
      <c r="Q86" t="e">
        <v>#N/A</v>
      </c>
      <c r="R86" t="e">
        <v>#N/A</v>
      </c>
      <c r="S86" t="e">
        <v>#N/A</v>
      </c>
      <c r="T86" t="e">
        <v>#N/A</v>
      </c>
      <c r="U86" t="e">
        <v>#N/A</v>
      </c>
      <c r="V86" t="e">
        <v>#N/A</v>
      </c>
      <c r="W86" t="e">
        <v>#N/A</v>
      </c>
      <c r="X86" t="e">
        <v>#N/A</v>
      </c>
      <c r="Y86" t="e">
        <v>#N/A</v>
      </c>
      <c r="Z86" t="e">
        <v>#N/A</v>
      </c>
      <c r="AA86" t="e">
        <v>#N/A</v>
      </c>
      <c r="AB86" t="e">
        <v>#N/A</v>
      </c>
      <c r="AC86" t="e">
        <v>#N/A</v>
      </c>
      <c r="AD86" t="e">
        <v>#N/A</v>
      </c>
      <c r="AE86" t="e">
        <v>#N/A</v>
      </c>
      <c r="AF86" t="e">
        <v>#N/A</v>
      </c>
      <c r="AG86" t="e">
        <v>#N/A</v>
      </c>
    </row>
    <row r="87" spans="1:33" x14ac:dyDescent="0.25">
      <c r="A87" t="e">
        <v>#N/A</v>
      </c>
      <c r="B87" t="e">
        <v>#N/A</v>
      </c>
      <c r="C87" t="e">
        <v>#N/A</v>
      </c>
      <c r="D87" t="e">
        <v>#N/A</v>
      </c>
      <c r="E87" t="e">
        <v>#N/A</v>
      </c>
      <c r="F87" t="e">
        <v>#N/A</v>
      </c>
      <c r="G87" t="e">
        <v>#N/A</v>
      </c>
      <c r="H87" t="e">
        <v>#N/A</v>
      </c>
      <c r="I87" t="e">
        <v>#N/A</v>
      </c>
      <c r="J87" t="e">
        <v>#N/A</v>
      </c>
      <c r="K87" t="e">
        <v>#N/A</v>
      </c>
      <c r="L87" t="e">
        <v>#N/A</v>
      </c>
      <c r="M87" t="e">
        <v>#N/A</v>
      </c>
      <c r="N87" t="e">
        <v>#N/A</v>
      </c>
      <c r="O87" t="e">
        <v>#N/A</v>
      </c>
      <c r="P87" t="e">
        <v>#N/A</v>
      </c>
      <c r="Q87" t="e">
        <v>#N/A</v>
      </c>
      <c r="R87" t="e">
        <v>#N/A</v>
      </c>
      <c r="S87" t="e">
        <v>#N/A</v>
      </c>
      <c r="T87" t="e">
        <v>#N/A</v>
      </c>
      <c r="U87" t="e">
        <v>#N/A</v>
      </c>
      <c r="V87" t="e">
        <v>#N/A</v>
      </c>
      <c r="W87" t="e">
        <v>#N/A</v>
      </c>
      <c r="X87" t="e">
        <v>#N/A</v>
      </c>
      <c r="Y87" t="e">
        <v>#N/A</v>
      </c>
      <c r="Z87" t="e">
        <v>#N/A</v>
      </c>
      <c r="AA87" t="e">
        <v>#N/A</v>
      </c>
      <c r="AB87" t="e">
        <v>#N/A</v>
      </c>
      <c r="AC87" t="e">
        <v>#N/A</v>
      </c>
      <c r="AD87" t="e">
        <v>#N/A</v>
      </c>
      <c r="AE87" t="e">
        <v>#N/A</v>
      </c>
      <c r="AF87" t="e">
        <v>#N/A</v>
      </c>
      <c r="AG87" t="e">
        <v>#N/A</v>
      </c>
    </row>
    <row r="88" spans="1:33" x14ac:dyDescent="0.25">
      <c r="A88" t="e">
        <v>#N/A</v>
      </c>
      <c r="B88" t="e">
        <v>#N/A</v>
      </c>
      <c r="C88" t="e">
        <v>#N/A</v>
      </c>
      <c r="D88" t="e">
        <v>#N/A</v>
      </c>
      <c r="E88" t="e">
        <v>#N/A</v>
      </c>
      <c r="F88" t="e">
        <v>#N/A</v>
      </c>
      <c r="G88" t="e">
        <v>#N/A</v>
      </c>
      <c r="H88" t="e">
        <v>#N/A</v>
      </c>
      <c r="I88" t="e">
        <v>#N/A</v>
      </c>
      <c r="J88" t="e">
        <v>#N/A</v>
      </c>
      <c r="K88" t="e">
        <v>#N/A</v>
      </c>
      <c r="L88" t="e">
        <v>#N/A</v>
      </c>
      <c r="M88" t="e">
        <v>#N/A</v>
      </c>
      <c r="N88" t="e">
        <v>#N/A</v>
      </c>
      <c r="O88" t="e">
        <v>#N/A</v>
      </c>
      <c r="P88" t="e">
        <v>#N/A</v>
      </c>
      <c r="Q88" t="e">
        <v>#N/A</v>
      </c>
      <c r="R88" t="e">
        <v>#N/A</v>
      </c>
      <c r="S88" t="e">
        <v>#N/A</v>
      </c>
      <c r="T88" t="e">
        <v>#N/A</v>
      </c>
      <c r="U88" t="e">
        <v>#N/A</v>
      </c>
      <c r="V88" t="e">
        <v>#N/A</v>
      </c>
      <c r="W88" t="e">
        <v>#N/A</v>
      </c>
      <c r="X88" t="e">
        <v>#N/A</v>
      </c>
      <c r="Y88" t="e">
        <v>#N/A</v>
      </c>
      <c r="Z88" t="e">
        <v>#N/A</v>
      </c>
      <c r="AA88" t="e">
        <v>#N/A</v>
      </c>
      <c r="AB88" t="e">
        <v>#N/A</v>
      </c>
      <c r="AC88" t="e">
        <v>#N/A</v>
      </c>
      <c r="AD88" t="e">
        <v>#N/A</v>
      </c>
      <c r="AE88" t="e">
        <v>#N/A</v>
      </c>
      <c r="AF88" t="e">
        <v>#N/A</v>
      </c>
      <c r="AG88" t="e">
        <v>#N/A</v>
      </c>
    </row>
    <row r="89" spans="1:33" x14ac:dyDescent="0.25">
      <c r="A89" t="e">
        <v>#N/A</v>
      </c>
      <c r="B89" t="e">
        <v>#N/A</v>
      </c>
      <c r="C89" t="e">
        <v>#N/A</v>
      </c>
      <c r="D89" t="e">
        <v>#N/A</v>
      </c>
      <c r="E89" t="e">
        <v>#N/A</v>
      </c>
      <c r="F89" t="e">
        <v>#N/A</v>
      </c>
      <c r="G89" t="e">
        <v>#N/A</v>
      </c>
      <c r="H89" t="e">
        <v>#N/A</v>
      </c>
      <c r="I89" t="e">
        <v>#N/A</v>
      </c>
      <c r="J89" t="e">
        <v>#N/A</v>
      </c>
      <c r="K89" t="e">
        <v>#N/A</v>
      </c>
      <c r="L89" t="e">
        <v>#N/A</v>
      </c>
      <c r="M89" t="e">
        <v>#N/A</v>
      </c>
      <c r="N89" t="e">
        <v>#N/A</v>
      </c>
      <c r="O89" t="e">
        <v>#N/A</v>
      </c>
      <c r="P89" t="e">
        <v>#N/A</v>
      </c>
      <c r="Q89" t="e">
        <v>#N/A</v>
      </c>
      <c r="R89" t="e">
        <v>#N/A</v>
      </c>
      <c r="S89" t="e">
        <v>#N/A</v>
      </c>
      <c r="T89" t="e">
        <v>#N/A</v>
      </c>
      <c r="U89" t="e">
        <v>#N/A</v>
      </c>
      <c r="V89" t="e">
        <v>#N/A</v>
      </c>
      <c r="W89" t="e">
        <v>#N/A</v>
      </c>
      <c r="X89" t="e">
        <v>#N/A</v>
      </c>
      <c r="Y89" t="e">
        <v>#N/A</v>
      </c>
      <c r="Z89" t="e">
        <v>#N/A</v>
      </c>
      <c r="AA89" t="e">
        <v>#N/A</v>
      </c>
      <c r="AB89" t="e">
        <v>#N/A</v>
      </c>
      <c r="AC89" t="e">
        <v>#N/A</v>
      </c>
      <c r="AD89" t="e">
        <v>#N/A</v>
      </c>
      <c r="AE89" t="e">
        <v>#N/A</v>
      </c>
      <c r="AF89" t="e">
        <v>#N/A</v>
      </c>
      <c r="AG89" t="e">
        <v>#N/A</v>
      </c>
    </row>
    <row r="90" spans="1:33" x14ac:dyDescent="0.25">
      <c r="A90" t="e">
        <v>#N/A</v>
      </c>
      <c r="B90" t="e">
        <v>#N/A</v>
      </c>
      <c r="C90" t="e">
        <v>#N/A</v>
      </c>
      <c r="D90" t="e">
        <v>#N/A</v>
      </c>
      <c r="E90" t="e">
        <v>#N/A</v>
      </c>
      <c r="F90" t="e">
        <v>#N/A</v>
      </c>
      <c r="G90" t="e">
        <v>#N/A</v>
      </c>
      <c r="H90" t="e">
        <v>#N/A</v>
      </c>
      <c r="I90" t="e">
        <v>#N/A</v>
      </c>
      <c r="J90" t="e">
        <v>#N/A</v>
      </c>
      <c r="K90" t="e">
        <v>#N/A</v>
      </c>
      <c r="L90" t="e">
        <v>#N/A</v>
      </c>
      <c r="M90" t="e">
        <v>#N/A</v>
      </c>
      <c r="N90" t="e">
        <v>#N/A</v>
      </c>
      <c r="O90" t="e">
        <v>#N/A</v>
      </c>
      <c r="P90" t="e">
        <v>#N/A</v>
      </c>
      <c r="Q90" t="e">
        <v>#N/A</v>
      </c>
      <c r="R90" t="e">
        <v>#N/A</v>
      </c>
      <c r="S90" t="e">
        <v>#N/A</v>
      </c>
      <c r="T90" t="e">
        <v>#N/A</v>
      </c>
      <c r="U90" t="e">
        <v>#N/A</v>
      </c>
      <c r="V90" t="e">
        <v>#N/A</v>
      </c>
      <c r="W90" t="e">
        <v>#N/A</v>
      </c>
      <c r="X90" t="e">
        <v>#N/A</v>
      </c>
      <c r="Y90" t="e">
        <v>#N/A</v>
      </c>
      <c r="Z90" t="e">
        <v>#N/A</v>
      </c>
      <c r="AA90" t="e">
        <v>#N/A</v>
      </c>
      <c r="AB90" t="e">
        <v>#N/A</v>
      </c>
      <c r="AC90" t="e">
        <v>#N/A</v>
      </c>
      <c r="AD90" t="e">
        <v>#N/A</v>
      </c>
      <c r="AE90" t="e">
        <v>#N/A</v>
      </c>
      <c r="AF90" t="e">
        <v>#N/A</v>
      </c>
      <c r="AG90" t="e">
        <v>#N/A</v>
      </c>
    </row>
    <row r="91" spans="1:33" x14ac:dyDescent="0.25">
      <c r="A91" t="e">
        <v>#N/A</v>
      </c>
      <c r="B91" t="e">
        <v>#N/A</v>
      </c>
      <c r="C91" t="e">
        <v>#N/A</v>
      </c>
      <c r="D91" t="e">
        <v>#N/A</v>
      </c>
      <c r="E91" t="e">
        <v>#N/A</v>
      </c>
      <c r="F91" t="e">
        <v>#N/A</v>
      </c>
      <c r="G91" t="e">
        <v>#N/A</v>
      </c>
      <c r="H91" t="e">
        <v>#N/A</v>
      </c>
      <c r="I91" t="e">
        <v>#N/A</v>
      </c>
      <c r="J91" t="e">
        <v>#N/A</v>
      </c>
      <c r="K91" t="e">
        <v>#N/A</v>
      </c>
      <c r="L91" t="e">
        <v>#N/A</v>
      </c>
      <c r="M91" t="e">
        <v>#N/A</v>
      </c>
      <c r="N91" t="e">
        <v>#N/A</v>
      </c>
      <c r="O91" t="e">
        <v>#N/A</v>
      </c>
      <c r="P91" t="e">
        <v>#N/A</v>
      </c>
      <c r="Q91" t="e">
        <v>#N/A</v>
      </c>
      <c r="R91" t="e">
        <v>#N/A</v>
      </c>
      <c r="S91" t="e">
        <v>#N/A</v>
      </c>
      <c r="T91" t="e">
        <v>#N/A</v>
      </c>
      <c r="U91" t="e">
        <v>#N/A</v>
      </c>
      <c r="V91" t="e">
        <v>#N/A</v>
      </c>
      <c r="W91" t="e">
        <v>#N/A</v>
      </c>
      <c r="X91" t="e">
        <v>#N/A</v>
      </c>
      <c r="Y91" t="e">
        <v>#N/A</v>
      </c>
      <c r="Z91" t="e">
        <v>#N/A</v>
      </c>
      <c r="AA91" t="e">
        <v>#N/A</v>
      </c>
      <c r="AB91" t="e">
        <v>#N/A</v>
      </c>
      <c r="AC91" t="e">
        <v>#N/A</v>
      </c>
      <c r="AD91" t="e">
        <v>#N/A</v>
      </c>
      <c r="AE91" t="e">
        <v>#N/A</v>
      </c>
      <c r="AF91" t="e">
        <v>#N/A</v>
      </c>
      <c r="AG91" t="e">
        <v>#N/A</v>
      </c>
    </row>
    <row r="92" spans="1:33" x14ac:dyDescent="0.25">
      <c r="A92" t="e">
        <v>#N/A</v>
      </c>
      <c r="B92" t="e">
        <v>#N/A</v>
      </c>
      <c r="C92" t="e">
        <v>#N/A</v>
      </c>
      <c r="D92" t="e">
        <v>#N/A</v>
      </c>
      <c r="E92" t="e">
        <v>#N/A</v>
      </c>
      <c r="F92" t="e">
        <v>#N/A</v>
      </c>
      <c r="G92" t="e">
        <v>#N/A</v>
      </c>
      <c r="H92" t="e">
        <v>#N/A</v>
      </c>
      <c r="I92" t="e">
        <v>#N/A</v>
      </c>
      <c r="J92" t="e">
        <v>#N/A</v>
      </c>
      <c r="K92" t="e">
        <v>#N/A</v>
      </c>
      <c r="L92" t="e">
        <v>#N/A</v>
      </c>
      <c r="M92" t="e">
        <v>#N/A</v>
      </c>
      <c r="N92" t="e">
        <v>#N/A</v>
      </c>
      <c r="O92" t="e">
        <v>#N/A</v>
      </c>
      <c r="P92" t="e">
        <v>#N/A</v>
      </c>
      <c r="Q92" t="e">
        <v>#N/A</v>
      </c>
      <c r="R92" t="e">
        <v>#N/A</v>
      </c>
      <c r="S92" t="e">
        <v>#N/A</v>
      </c>
      <c r="T92" t="e">
        <v>#N/A</v>
      </c>
      <c r="U92" t="e">
        <v>#N/A</v>
      </c>
      <c r="V92" t="e">
        <v>#N/A</v>
      </c>
      <c r="W92" t="e">
        <v>#N/A</v>
      </c>
      <c r="X92" t="e">
        <v>#N/A</v>
      </c>
      <c r="Y92" t="e">
        <v>#N/A</v>
      </c>
      <c r="Z92" t="e">
        <v>#N/A</v>
      </c>
      <c r="AA92" t="e">
        <v>#N/A</v>
      </c>
      <c r="AB92" t="e">
        <v>#N/A</v>
      </c>
      <c r="AC92" t="e">
        <v>#N/A</v>
      </c>
      <c r="AD92" t="e">
        <v>#N/A</v>
      </c>
      <c r="AE92" t="e">
        <v>#N/A</v>
      </c>
      <c r="AF92" t="e">
        <v>#N/A</v>
      </c>
      <c r="AG92" t="e">
        <v>#N/A</v>
      </c>
    </row>
    <row r="93" spans="1:33" x14ac:dyDescent="0.25">
      <c r="A93" t="e">
        <v>#N/A</v>
      </c>
      <c r="B93" t="e">
        <v>#N/A</v>
      </c>
      <c r="C93" t="e">
        <v>#N/A</v>
      </c>
      <c r="D93" t="e">
        <v>#N/A</v>
      </c>
      <c r="E93" t="e">
        <v>#N/A</v>
      </c>
      <c r="F93" t="e">
        <v>#N/A</v>
      </c>
      <c r="G93" t="e">
        <v>#N/A</v>
      </c>
      <c r="H93" t="e">
        <v>#N/A</v>
      </c>
      <c r="I93" t="e">
        <v>#N/A</v>
      </c>
      <c r="J93" t="e">
        <v>#N/A</v>
      </c>
      <c r="K93" t="e">
        <v>#N/A</v>
      </c>
      <c r="L93" t="e">
        <v>#N/A</v>
      </c>
      <c r="M93" t="e">
        <v>#N/A</v>
      </c>
      <c r="N93" t="e">
        <v>#N/A</v>
      </c>
      <c r="O93" t="e">
        <v>#N/A</v>
      </c>
      <c r="P93" t="e">
        <v>#N/A</v>
      </c>
      <c r="Q93" t="e">
        <v>#N/A</v>
      </c>
      <c r="R93" t="e">
        <v>#N/A</v>
      </c>
      <c r="S93" t="e">
        <v>#N/A</v>
      </c>
      <c r="T93" t="e">
        <v>#N/A</v>
      </c>
      <c r="U93" t="e">
        <v>#N/A</v>
      </c>
      <c r="V93" t="e">
        <v>#N/A</v>
      </c>
      <c r="W93" t="e">
        <v>#N/A</v>
      </c>
      <c r="X93" t="e">
        <v>#N/A</v>
      </c>
      <c r="Y93" t="e">
        <v>#N/A</v>
      </c>
      <c r="Z93" t="e">
        <v>#N/A</v>
      </c>
      <c r="AA93" t="e">
        <v>#N/A</v>
      </c>
      <c r="AB93" t="e">
        <v>#N/A</v>
      </c>
      <c r="AC93" t="e">
        <v>#N/A</v>
      </c>
      <c r="AD93" t="e">
        <v>#N/A</v>
      </c>
      <c r="AE93" t="e">
        <v>#N/A</v>
      </c>
      <c r="AF93" t="e">
        <v>#N/A</v>
      </c>
      <c r="AG93" t="e">
        <v>#N/A</v>
      </c>
    </row>
    <row r="94" spans="1:33" x14ac:dyDescent="0.25">
      <c r="A94" t="e">
        <v>#N/A</v>
      </c>
      <c r="B94" t="e">
        <v>#N/A</v>
      </c>
      <c r="C94" t="e">
        <v>#N/A</v>
      </c>
      <c r="D94" t="e">
        <v>#N/A</v>
      </c>
      <c r="E94" t="e">
        <v>#N/A</v>
      </c>
      <c r="F94" t="e">
        <v>#N/A</v>
      </c>
      <c r="G94" t="e">
        <v>#N/A</v>
      </c>
      <c r="H94" t="e">
        <v>#N/A</v>
      </c>
      <c r="I94" t="e">
        <v>#N/A</v>
      </c>
      <c r="J94" t="e">
        <v>#N/A</v>
      </c>
      <c r="K94" t="e">
        <v>#N/A</v>
      </c>
      <c r="L94" t="e">
        <v>#N/A</v>
      </c>
      <c r="M94" t="e">
        <v>#N/A</v>
      </c>
      <c r="N94" t="e">
        <v>#N/A</v>
      </c>
      <c r="O94" t="e">
        <v>#N/A</v>
      </c>
      <c r="P94" t="e">
        <v>#N/A</v>
      </c>
      <c r="Q94" t="e">
        <v>#N/A</v>
      </c>
      <c r="R94" t="e">
        <v>#N/A</v>
      </c>
      <c r="S94" t="e">
        <v>#N/A</v>
      </c>
      <c r="T94" t="e">
        <v>#N/A</v>
      </c>
      <c r="U94" t="e">
        <v>#N/A</v>
      </c>
      <c r="V94" t="e">
        <v>#N/A</v>
      </c>
      <c r="W94" t="e">
        <v>#N/A</v>
      </c>
      <c r="X94" t="e">
        <v>#N/A</v>
      </c>
      <c r="Y94" t="e">
        <v>#N/A</v>
      </c>
      <c r="Z94" t="e">
        <v>#N/A</v>
      </c>
      <c r="AA94" t="e">
        <v>#N/A</v>
      </c>
      <c r="AB94" t="e">
        <v>#N/A</v>
      </c>
      <c r="AC94" t="e">
        <v>#N/A</v>
      </c>
      <c r="AD94" t="e">
        <v>#N/A</v>
      </c>
      <c r="AE94" t="e">
        <v>#N/A</v>
      </c>
      <c r="AF94" t="e">
        <v>#N/A</v>
      </c>
      <c r="AG94" t="e">
        <v>#N/A</v>
      </c>
    </row>
    <row r="95" spans="1:33" x14ac:dyDescent="0.25">
      <c r="A95" t="e">
        <v>#N/A</v>
      </c>
      <c r="B95" t="e">
        <v>#N/A</v>
      </c>
      <c r="C95" t="e">
        <v>#N/A</v>
      </c>
      <c r="D95" t="e">
        <v>#N/A</v>
      </c>
      <c r="E95" t="e">
        <v>#N/A</v>
      </c>
      <c r="F95" t="e">
        <v>#N/A</v>
      </c>
      <c r="G95" t="e">
        <v>#N/A</v>
      </c>
      <c r="H95" t="e">
        <v>#N/A</v>
      </c>
      <c r="I95" t="e">
        <v>#N/A</v>
      </c>
      <c r="J95" t="e">
        <v>#N/A</v>
      </c>
      <c r="K95" t="e">
        <v>#N/A</v>
      </c>
      <c r="L95" t="e">
        <v>#N/A</v>
      </c>
      <c r="M95" t="e">
        <v>#N/A</v>
      </c>
      <c r="N95" t="e">
        <v>#N/A</v>
      </c>
      <c r="O95" t="e">
        <v>#N/A</v>
      </c>
      <c r="P95" t="e">
        <v>#N/A</v>
      </c>
      <c r="Q95" t="e">
        <v>#N/A</v>
      </c>
      <c r="R95" t="e">
        <v>#N/A</v>
      </c>
      <c r="S95" t="e">
        <v>#N/A</v>
      </c>
      <c r="T95" t="e">
        <v>#N/A</v>
      </c>
      <c r="U95" t="e">
        <v>#N/A</v>
      </c>
      <c r="V95" t="e">
        <v>#N/A</v>
      </c>
      <c r="W95" t="e">
        <v>#N/A</v>
      </c>
      <c r="X95" t="e">
        <v>#N/A</v>
      </c>
      <c r="Y95" t="e">
        <v>#N/A</v>
      </c>
      <c r="Z95" t="e">
        <v>#N/A</v>
      </c>
      <c r="AA95" t="e">
        <v>#N/A</v>
      </c>
      <c r="AB95" t="e">
        <v>#N/A</v>
      </c>
      <c r="AC95" t="e">
        <v>#N/A</v>
      </c>
      <c r="AD95" t="e">
        <v>#N/A</v>
      </c>
      <c r="AE95" t="e">
        <v>#N/A</v>
      </c>
      <c r="AF95" t="e">
        <v>#N/A</v>
      </c>
      <c r="AG95" t="e">
        <v>#N/A</v>
      </c>
    </row>
    <row r="96" spans="1:33" x14ac:dyDescent="0.25">
      <c r="A96" t="e">
        <v>#N/A</v>
      </c>
      <c r="B96" t="e">
        <v>#N/A</v>
      </c>
      <c r="C96" t="e">
        <v>#N/A</v>
      </c>
      <c r="D96" t="e">
        <v>#N/A</v>
      </c>
      <c r="E96" t="e">
        <v>#N/A</v>
      </c>
      <c r="F96" t="e">
        <v>#N/A</v>
      </c>
      <c r="G96" t="e">
        <v>#N/A</v>
      </c>
      <c r="H96" t="e">
        <v>#N/A</v>
      </c>
      <c r="I96" t="e">
        <v>#N/A</v>
      </c>
      <c r="J96" t="e">
        <v>#N/A</v>
      </c>
      <c r="K96" t="e">
        <v>#N/A</v>
      </c>
      <c r="L96" t="e">
        <v>#N/A</v>
      </c>
      <c r="M96" t="e">
        <v>#N/A</v>
      </c>
      <c r="N96" t="e">
        <v>#N/A</v>
      </c>
      <c r="O96" t="e">
        <v>#N/A</v>
      </c>
      <c r="P96" t="e">
        <v>#N/A</v>
      </c>
      <c r="Q96" t="e">
        <v>#N/A</v>
      </c>
      <c r="R96" t="e">
        <v>#N/A</v>
      </c>
      <c r="S96" t="e">
        <v>#N/A</v>
      </c>
      <c r="T96" t="e">
        <v>#N/A</v>
      </c>
      <c r="U96" t="e">
        <v>#N/A</v>
      </c>
      <c r="V96" t="e">
        <v>#N/A</v>
      </c>
      <c r="W96" t="e">
        <v>#N/A</v>
      </c>
      <c r="X96" t="e">
        <v>#N/A</v>
      </c>
      <c r="Y96" t="e">
        <v>#N/A</v>
      </c>
      <c r="Z96" t="e">
        <v>#N/A</v>
      </c>
      <c r="AA96" t="e">
        <v>#N/A</v>
      </c>
      <c r="AB96" t="e">
        <v>#N/A</v>
      </c>
      <c r="AC96" t="e">
        <v>#N/A</v>
      </c>
      <c r="AD96" t="e">
        <v>#N/A</v>
      </c>
      <c r="AE96" t="e">
        <v>#N/A</v>
      </c>
      <c r="AF96" t="e">
        <v>#N/A</v>
      </c>
      <c r="AG96" t="e">
        <v>#N/A</v>
      </c>
    </row>
    <row r="97" spans="1:33" x14ac:dyDescent="0.25">
      <c r="A97" t="e">
        <v>#N/A</v>
      </c>
      <c r="B97" t="e">
        <v>#N/A</v>
      </c>
      <c r="C97" t="e">
        <v>#N/A</v>
      </c>
      <c r="D97" t="e">
        <v>#N/A</v>
      </c>
      <c r="E97" t="e">
        <v>#N/A</v>
      </c>
      <c r="F97" t="e">
        <v>#N/A</v>
      </c>
      <c r="G97" t="e">
        <v>#N/A</v>
      </c>
      <c r="H97" t="e">
        <v>#N/A</v>
      </c>
      <c r="I97" t="e">
        <v>#N/A</v>
      </c>
      <c r="J97" t="e">
        <v>#N/A</v>
      </c>
      <c r="K97" t="e">
        <v>#N/A</v>
      </c>
      <c r="L97" t="e">
        <v>#N/A</v>
      </c>
      <c r="M97" t="e">
        <v>#N/A</v>
      </c>
      <c r="N97" t="e">
        <v>#N/A</v>
      </c>
      <c r="O97" t="e">
        <v>#N/A</v>
      </c>
      <c r="P97" t="e">
        <v>#N/A</v>
      </c>
      <c r="Q97" t="e">
        <v>#N/A</v>
      </c>
      <c r="R97" t="e">
        <v>#N/A</v>
      </c>
      <c r="S97" t="e">
        <v>#N/A</v>
      </c>
      <c r="T97" t="e">
        <v>#N/A</v>
      </c>
      <c r="U97" t="e">
        <v>#N/A</v>
      </c>
      <c r="V97" t="e">
        <v>#N/A</v>
      </c>
      <c r="W97" t="e">
        <v>#N/A</v>
      </c>
      <c r="X97" t="e">
        <v>#N/A</v>
      </c>
      <c r="Y97" t="e">
        <v>#N/A</v>
      </c>
      <c r="Z97" t="e">
        <v>#N/A</v>
      </c>
      <c r="AA97" t="e">
        <v>#N/A</v>
      </c>
      <c r="AB97" t="e">
        <v>#N/A</v>
      </c>
      <c r="AC97" t="e">
        <v>#N/A</v>
      </c>
      <c r="AD97" t="e">
        <v>#N/A</v>
      </c>
      <c r="AE97" t="e">
        <v>#N/A</v>
      </c>
      <c r="AF97" t="e">
        <v>#N/A</v>
      </c>
      <c r="AG97" t="e">
        <v>#N/A</v>
      </c>
    </row>
    <row r="98" spans="1:33" x14ac:dyDescent="0.25">
      <c r="A98" t="e">
        <v>#N/A</v>
      </c>
      <c r="B98" t="e">
        <v>#N/A</v>
      </c>
      <c r="C98" t="e">
        <v>#N/A</v>
      </c>
      <c r="D98" t="e">
        <v>#N/A</v>
      </c>
      <c r="E98" t="e">
        <v>#N/A</v>
      </c>
      <c r="F98" t="e">
        <v>#N/A</v>
      </c>
      <c r="G98" t="e">
        <v>#N/A</v>
      </c>
      <c r="H98" t="e">
        <v>#N/A</v>
      </c>
      <c r="I98" t="e">
        <v>#N/A</v>
      </c>
      <c r="J98" t="e">
        <v>#N/A</v>
      </c>
      <c r="K98" t="e">
        <v>#N/A</v>
      </c>
      <c r="L98" t="e">
        <v>#N/A</v>
      </c>
      <c r="M98" t="e">
        <v>#N/A</v>
      </c>
      <c r="N98" t="e">
        <v>#N/A</v>
      </c>
      <c r="O98" t="e">
        <v>#N/A</v>
      </c>
      <c r="P98" t="e">
        <v>#N/A</v>
      </c>
      <c r="Q98" t="e">
        <v>#N/A</v>
      </c>
      <c r="R98" t="e">
        <v>#N/A</v>
      </c>
      <c r="S98" t="e">
        <v>#N/A</v>
      </c>
      <c r="T98" t="e">
        <v>#N/A</v>
      </c>
      <c r="U98" t="e">
        <v>#N/A</v>
      </c>
      <c r="V98" t="e">
        <v>#N/A</v>
      </c>
      <c r="W98" t="e">
        <v>#N/A</v>
      </c>
      <c r="X98" t="e">
        <v>#N/A</v>
      </c>
      <c r="Y98" t="e">
        <v>#N/A</v>
      </c>
      <c r="Z98" t="e">
        <v>#N/A</v>
      </c>
      <c r="AA98" t="e">
        <v>#N/A</v>
      </c>
      <c r="AB98" t="e">
        <v>#N/A</v>
      </c>
      <c r="AC98" t="e">
        <v>#N/A</v>
      </c>
      <c r="AD98" t="e">
        <v>#N/A</v>
      </c>
      <c r="AE98" t="e">
        <v>#N/A</v>
      </c>
      <c r="AF98" t="e">
        <v>#N/A</v>
      </c>
      <c r="AG98" t="e">
        <v>#N/A</v>
      </c>
    </row>
    <row r="99" spans="1:33" x14ac:dyDescent="0.25">
      <c r="A99" t="e">
        <v>#N/A</v>
      </c>
      <c r="B99" t="e">
        <v>#N/A</v>
      </c>
      <c r="C99" t="e">
        <v>#N/A</v>
      </c>
      <c r="D99" t="e">
        <v>#N/A</v>
      </c>
      <c r="E99" t="e">
        <v>#N/A</v>
      </c>
      <c r="F99" t="e">
        <v>#N/A</v>
      </c>
      <c r="G99" t="e">
        <v>#N/A</v>
      </c>
      <c r="H99" t="e">
        <v>#N/A</v>
      </c>
      <c r="I99" t="e">
        <v>#N/A</v>
      </c>
      <c r="J99" t="e">
        <v>#N/A</v>
      </c>
      <c r="K99" t="e">
        <v>#N/A</v>
      </c>
      <c r="L99" t="e">
        <v>#N/A</v>
      </c>
      <c r="M99" t="e">
        <v>#N/A</v>
      </c>
      <c r="N99" t="e">
        <v>#N/A</v>
      </c>
      <c r="O99" t="e">
        <v>#N/A</v>
      </c>
      <c r="P99" t="e">
        <v>#N/A</v>
      </c>
      <c r="Q99" t="e">
        <v>#N/A</v>
      </c>
      <c r="R99" t="e">
        <v>#N/A</v>
      </c>
      <c r="S99" t="e">
        <v>#N/A</v>
      </c>
      <c r="T99" t="e">
        <v>#N/A</v>
      </c>
      <c r="U99" t="e">
        <v>#N/A</v>
      </c>
      <c r="V99" t="e">
        <v>#N/A</v>
      </c>
      <c r="W99" t="e">
        <v>#N/A</v>
      </c>
      <c r="X99" t="e">
        <v>#N/A</v>
      </c>
      <c r="Y99" t="e">
        <v>#N/A</v>
      </c>
      <c r="Z99" t="e">
        <v>#N/A</v>
      </c>
      <c r="AA99" t="e">
        <v>#N/A</v>
      </c>
      <c r="AB99" t="e">
        <v>#N/A</v>
      </c>
      <c r="AC99" t="e">
        <v>#N/A</v>
      </c>
      <c r="AD99" t="e">
        <v>#N/A</v>
      </c>
      <c r="AE99" t="e">
        <v>#N/A</v>
      </c>
      <c r="AF99" t="e">
        <v>#N/A</v>
      </c>
      <c r="AG99" t="e">
        <v>#N/A</v>
      </c>
    </row>
    <row r="100" spans="1:33" x14ac:dyDescent="0.25">
      <c r="A100" t="e">
        <v>#N/A</v>
      </c>
      <c r="B100" t="e">
        <v>#N/A</v>
      </c>
      <c r="C100" t="e">
        <v>#N/A</v>
      </c>
      <c r="D100" t="e">
        <v>#N/A</v>
      </c>
      <c r="E100" t="e">
        <v>#N/A</v>
      </c>
      <c r="F100" t="e">
        <v>#N/A</v>
      </c>
      <c r="G100" t="e">
        <v>#N/A</v>
      </c>
      <c r="H100" t="e">
        <v>#N/A</v>
      </c>
      <c r="I100" t="e">
        <v>#N/A</v>
      </c>
      <c r="J100" t="e">
        <v>#N/A</v>
      </c>
      <c r="K100" t="e">
        <v>#N/A</v>
      </c>
      <c r="L100" t="e">
        <v>#N/A</v>
      </c>
      <c r="M100" t="e">
        <v>#N/A</v>
      </c>
      <c r="N100" t="e">
        <v>#N/A</v>
      </c>
      <c r="O100" t="e">
        <v>#N/A</v>
      </c>
      <c r="P100" t="e">
        <v>#N/A</v>
      </c>
      <c r="Q100" t="e">
        <v>#N/A</v>
      </c>
      <c r="R100" t="e">
        <v>#N/A</v>
      </c>
      <c r="S100" t="e">
        <v>#N/A</v>
      </c>
      <c r="T100" t="e">
        <v>#N/A</v>
      </c>
      <c r="U100" t="e">
        <v>#N/A</v>
      </c>
      <c r="V100" t="e">
        <v>#N/A</v>
      </c>
      <c r="W100" t="e">
        <v>#N/A</v>
      </c>
      <c r="X100" t="e">
        <v>#N/A</v>
      </c>
      <c r="Y100" t="e">
        <v>#N/A</v>
      </c>
      <c r="Z100" t="e">
        <v>#N/A</v>
      </c>
      <c r="AA100" t="e">
        <v>#N/A</v>
      </c>
      <c r="AB100" t="e">
        <v>#N/A</v>
      </c>
      <c r="AC100" t="e">
        <v>#N/A</v>
      </c>
      <c r="AD100" t="e">
        <v>#N/A</v>
      </c>
      <c r="AE100" t="e">
        <v>#N/A</v>
      </c>
      <c r="AF100" t="e">
        <v>#N/A</v>
      </c>
      <c r="AG100" t="e">
        <v>#N/A</v>
      </c>
    </row>
    <row r="101" spans="1:33" x14ac:dyDescent="0.25">
      <c r="A101" t="e">
        <v>#N/A</v>
      </c>
      <c r="B101" t="e">
        <v>#N/A</v>
      </c>
      <c r="C101" t="e">
        <v>#N/A</v>
      </c>
      <c r="D101" t="e">
        <v>#N/A</v>
      </c>
      <c r="E101" t="e">
        <v>#N/A</v>
      </c>
      <c r="F101" t="e">
        <v>#N/A</v>
      </c>
      <c r="G101" t="e">
        <v>#N/A</v>
      </c>
      <c r="H101" t="e">
        <v>#N/A</v>
      </c>
      <c r="I101" t="e">
        <v>#N/A</v>
      </c>
      <c r="J101" t="e">
        <v>#N/A</v>
      </c>
      <c r="K101" t="e">
        <v>#N/A</v>
      </c>
      <c r="L101" t="e">
        <v>#N/A</v>
      </c>
      <c r="M101" t="e">
        <v>#N/A</v>
      </c>
      <c r="N101" t="e">
        <v>#N/A</v>
      </c>
      <c r="O101" t="e">
        <v>#N/A</v>
      </c>
      <c r="P101" t="e">
        <v>#N/A</v>
      </c>
      <c r="Q101" t="e">
        <v>#N/A</v>
      </c>
      <c r="R101" t="e">
        <v>#N/A</v>
      </c>
      <c r="S101" t="e">
        <v>#N/A</v>
      </c>
      <c r="T101" t="e">
        <v>#N/A</v>
      </c>
      <c r="U101" t="e">
        <v>#N/A</v>
      </c>
      <c r="V101" t="e">
        <v>#N/A</v>
      </c>
      <c r="W101" t="e">
        <v>#N/A</v>
      </c>
      <c r="X101" t="e">
        <v>#N/A</v>
      </c>
      <c r="Y101" t="e">
        <v>#N/A</v>
      </c>
      <c r="Z101" t="e">
        <v>#N/A</v>
      </c>
      <c r="AA101" t="e">
        <v>#N/A</v>
      </c>
      <c r="AB101" t="e">
        <v>#N/A</v>
      </c>
      <c r="AC101" t="e">
        <v>#N/A</v>
      </c>
      <c r="AD101" t="e">
        <v>#N/A</v>
      </c>
      <c r="AE101" t="e">
        <v>#N/A</v>
      </c>
      <c r="AF101" t="e">
        <v>#N/A</v>
      </c>
      <c r="AG101" t="e">
        <v>#N/A</v>
      </c>
    </row>
    <row r="102" spans="1:33" x14ac:dyDescent="0.25">
      <c r="A102" t="e">
        <v>#N/A</v>
      </c>
      <c r="B102" t="e">
        <v>#N/A</v>
      </c>
      <c r="C102" t="e">
        <v>#N/A</v>
      </c>
      <c r="D102" t="e">
        <v>#N/A</v>
      </c>
      <c r="E102" t="e">
        <v>#N/A</v>
      </c>
      <c r="F102" t="e">
        <v>#N/A</v>
      </c>
      <c r="G102" t="e">
        <v>#N/A</v>
      </c>
      <c r="H102" t="e">
        <v>#N/A</v>
      </c>
      <c r="I102" t="e">
        <v>#N/A</v>
      </c>
      <c r="J102" t="e">
        <v>#N/A</v>
      </c>
      <c r="K102" t="e">
        <v>#N/A</v>
      </c>
      <c r="L102" t="e">
        <v>#N/A</v>
      </c>
      <c r="M102" t="e">
        <v>#N/A</v>
      </c>
      <c r="N102" t="e">
        <v>#N/A</v>
      </c>
      <c r="O102" t="e">
        <v>#N/A</v>
      </c>
      <c r="P102" t="e">
        <v>#N/A</v>
      </c>
      <c r="Q102" t="e">
        <v>#N/A</v>
      </c>
      <c r="R102" t="e">
        <v>#N/A</v>
      </c>
      <c r="S102" t="e">
        <v>#N/A</v>
      </c>
      <c r="T102" t="e">
        <v>#N/A</v>
      </c>
      <c r="U102" t="e">
        <v>#N/A</v>
      </c>
      <c r="V102" t="e">
        <v>#N/A</v>
      </c>
      <c r="W102" t="e">
        <v>#N/A</v>
      </c>
      <c r="X102" t="e">
        <v>#N/A</v>
      </c>
      <c r="Y102" t="e">
        <v>#N/A</v>
      </c>
      <c r="Z102" t="e">
        <v>#N/A</v>
      </c>
      <c r="AA102" t="e">
        <v>#N/A</v>
      </c>
      <c r="AB102" t="e">
        <v>#N/A</v>
      </c>
      <c r="AC102" t="e">
        <v>#N/A</v>
      </c>
      <c r="AD102" t="e">
        <v>#N/A</v>
      </c>
      <c r="AE102" t="e">
        <v>#N/A</v>
      </c>
      <c r="AF102" t="e">
        <v>#N/A</v>
      </c>
      <c r="AG102" t="e">
        <v>#N/A</v>
      </c>
    </row>
    <row r="103" spans="1:33" x14ac:dyDescent="0.25">
      <c r="A103" t="e">
        <v>#N/A</v>
      </c>
      <c r="B103" t="e">
        <v>#N/A</v>
      </c>
      <c r="C103" t="e">
        <v>#N/A</v>
      </c>
      <c r="D103" t="e">
        <v>#N/A</v>
      </c>
      <c r="E103" t="e">
        <v>#N/A</v>
      </c>
      <c r="F103" t="e">
        <v>#N/A</v>
      </c>
      <c r="G103" t="e">
        <v>#N/A</v>
      </c>
      <c r="H103" t="e">
        <v>#N/A</v>
      </c>
      <c r="I103" t="e">
        <v>#N/A</v>
      </c>
      <c r="J103" t="e">
        <v>#N/A</v>
      </c>
      <c r="K103" t="e">
        <v>#N/A</v>
      </c>
      <c r="L103" t="e">
        <v>#N/A</v>
      </c>
      <c r="M103" t="e">
        <v>#N/A</v>
      </c>
      <c r="N103" t="e">
        <v>#N/A</v>
      </c>
      <c r="O103" t="e">
        <v>#N/A</v>
      </c>
      <c r="P103" t="e">
        <v>#N/A</v>
      </c>
      <c r="Q103" t="e">
        <v>#N/A</v>
      </c>
      <c r="R103" t="e">
        <v>#N/A</v>
      </c>
      <c r="S103" t="e">
        <v>#N/A</v>
      </c>
      <c r="T103" t="e">
        <v>#N/A</v>
      </c>
      <c r="U103" t="e">
        <v>#N/A</v>
      </c>
      <c r="V103" t="e">
        <v>#N/A</v>
      </c>
      <c r="W103" t="e">
        <v>#N/A</v>
      </c>
      <c r="X103" t="e">
        <v>#N/A</v>
      </c>
      <c r="Y103" t="e">
        <v>#N/A</v>
      </c>
      <c r="Z103" t="e">
        <v>#N/A</v>
      </c>
      <c r="AA103" t="e">
        <v>#N/A</v>
      </c>
      <c r="AB103" t="e">
        <v>#N/A</v>
      </c>
      <c r="AC103" t="e">
        <v>#N/A</v>
      </c>
      <c r="AD103" t="e">
        <v>#N/A</v>
      </c>
      <c r="AE103" t="e">
        <v>#N/A</v>
      </c>
      <c r="AF103" t="e">
        <v>#N/A</v>
      </c>
      <c r="AG103" t="e">
        <v>#N/A</v>
      </c>
    </row>
    <row r="104" spans="1:33" x14ac:dyDescent="0.25">
      <c r="A104" t="e">
        <v>#N/A</v>
      </c>
      <c r="B104" t="e">
        <v>#N/A</v>
      </c>
      <c r="C104" t="e">
        <v>#N/A</v>
      </c>
      <c r="D104" t="e">
        <v>#N/A</v>
      </c>
      <c r="E104" t="e">
        <v>#N/A</v>
      </c>
      <c r="F104" t="e">
        <v>#N/A</v>
      </c>
      <c r="G104" t="e">
        <v>#N/A</v>
      </c>
      <c r="H104" t="e">
        <v>#N/A</v>
      </c>
      <c r="I104" t="e">
        <v>#N/A</v>
      </c>
      <c r="J104" t="e">
        <v>#N/A</v>
      </c>
      <c r="K104" t="e">
        <v>#N/A</v>
      </c>
      <c r="L104" t="e">
        <v>#N/A</v>
      </c>
      <c r="M104" t="e">
        <v>#N/A</v>
      </c>
      <c r="N104" t="e">
        <v>#N/A</v>
      </c>
      <c r="O104" t="e">
        <v>#N/A</v>
      </c>
      <c r="P104" t="e">
        <v>#N/A</v>
      </c>
      <c r="Q104" t="e">
        <v>#N/A</v>
      </c>
      <c r="R104" t="e">
        <v>#N/A</v>
      </c>
      <c r="S104" t="e">
        <v>#N/A</v>
      </c>
      <c r="T104" t="e">
        <v>#N/A</v>
      </c>
      <c r="U104" t="e">
        <v>#N/A</v>
      </c>
      <c r="V104" t="e">
        <v>#N/A</v>
      </c>
      <c r="W104" t="e">
        <v>#N/A</v>
      </c>
      <c r="X104" t="e">
        <v>#N/A</v>
      </c>
      <c r="Y104" t="e">
        <v>#N/A</v>
      </c>
      <c r="Z104" t="e">
        <v>#N/A</v>
      </c>
      <c r="AA104" t="e">
        <v>#N/A</v>
      </c>
      <c r="AB104" t="e">
        <v>#N/A</v>
      </c>
      <c r="AC104" t="e">
        <v>#N/A</v>
      </c>
      <c r="AD104" t="e">
        <v>#N/A</v>
      </c>
      <c r="AE104" t="e">
        <v>#N/A</v>
      </c>
      <c r="AF104" t="e">
        <v>#N/A</v>
      </c>
      <c r="AG104" t="e">
        <v>#N/A</v>
      </c>
    </row>
    <row r="105" spans="1:33" x14ac:dyDescent="0.25">
      <c r="A105" t="e">
        <v>#N/A</v>
      </c>
      <c r="B105" t="e">
        <v>#N/A</v>
      </c>
      <c r="C105" t="e">
        <v>#N/A</v>
      </c>
      <c r="D105" t="e">
        <v>#N/A</v>
      </c>
      <c r="E105" t="e">
        <v>#N/A</v>
      </c>
      <c r="F105" t="e">
        <v>#N/A</v>
      </c>
      <c r="G105" t="e">
        <v>#N/A</v>
      </c>
      <c r="H105" t="e">
        <v>#N/A</v>
      </c>
      <c r="I105" t="e">
        <v>#N/A</v>
      </c>
      <c r="J105" t="e">
        <v>#N/A</v>
      </c>
      <c r="K105" t="e">
        <v>#N/A</v>
      </c>
      <c r="L105" t="e">
        <v>#N/A</v>
      </c>
      <c r="M105" t="e">
        <v>#N/A</v>
      </c>
      <c r="N105" t="e">
        <v>#N/A</v>
      </c>
      <c r="O105" t="e">
        <v>#N/A</v>
      </c>
      <c r="P105" t="e">
        <v>#N/A</v>
      </c>
      <c r="Q105" t="e">
        <v>#N/A</v>
      </c>
      <c r="R105" t="e">
        <v>#N/A</v>
      </c>
      <c r="S105" t="e">
        <v>#N/A</v>
      </c>
      <c r="T105" t="e">
        <v>#N/A</v>
      </c>
      <c r="U105" t="e">
        <v>#N/A</v>
      </c>
      <c r="V105" t="e">
        <v>#N/A</v>
      </c>
      <c r="W105" t="e">
        <v>#N/A</v>
      </c>
      <c r="X105" t="e">
        <v>#N/A</v>
      </c>
      <c r="Y105" t="e">
        <v>#N/A</v>
      </c>
      <c r="Z105" t="e">
        <v>#N/A</v>
      </c>
      <c r="AA105" t="e">
        <v>#N/A</v>
      </c>
      <c r="AB105" t="e">
        <v>#N/A</v>
      </c>
      <c r="AC105" t="e">
        <v>#N/A</v>
      </c>
      <c r="AD105" t="e">
        <v>#N/A</v>
      </c>
      <c r="AE105" t="e">
        <v>#N/A</v>
      </c>
      <c r="AF105" t="e">
        <v>#N/A</v>
      </c>
      <c r="AG105" t="e">
        <v>#N/A</v>
      </c>
    </row>
    <row r="106" spans="1:33" x14ac:dyDescent="0.25">
      <c r="A106" t="e">
        <v>#N/A</v>
      </c>
      <c r="B106" t="e">
        <v>#N/A</v>
      </c>
      <c r="C106" t="e">
        <v>#N/A</v>
      </c>
      <c r="D106" t="e">
        <v>#N/A</v>
      </c>
      <c r="E106" t="e">
        <v>#N/A</v>
      </c>
      <c r="F106" t="e">
        <v>#N/A</v>
      </c>
      <c r="G106" t="e">
        <v>#N/A</v>
      </c>
      <c r="H106" t="e">
        <v>#N/A</v>
      </c>
      <c r="I106" t="e">
        <v>#N/A</v>
      </c>
      <c r="J106" t="e">
        <v>#N/A</v>
      </c>
      <c r="K106" t="e">
        <v>#N/A</v>
      </c>
      <c r="L106" t="e">
        <v>#N/A</v>
      </c>
      <c r="M106" t="e">
        <v>#N/A</v>
      </c>
      <c r="N106" t="e">
        <v>#N/A</v>
      </c>
      <c r="O106" t="e">
        <v>#N/A</v>
      </c>
      <c r="P106" t="e">
        <v>#N/A</v>
      </c>
      <c r="Q106" t="e">
        <v>#N/A</v>
      </c>
      <c r="R106" t="e">
        <v>#N/A</v>
      </c>
      <c r="S106" t="e">
        <v>#N/A</v>
      </c>
      <c r="T106" t="e">
        <v>#N/A</v>
      </c>
      <c r="U106" t="e">
        <v>#N/A</v>
      </c>
      <c r="V106" t="e">
        <v>#N/A</v>
      </c>
      <c r="W106" t="e">
        <v>#N/A</v>
      </c>
      <c r="X106" t="e">
        <v>#N/A</v>
      </c>
      <c r="Y106" t="e">
        <v>#N/A</v>
      </c>
      <c r="Z106" t="e">
        <v>#N/A</v>
      </c>
      <c r="AA106" t="e">
        <v>#N/A</v>
      </c>
      <c r="AB106" t="e">
        <v>#N/A</v>
      </c>
      <c r="AC106" t="e">
        <v>#N/A</v>
      </c>
      <c r="AD106" t="e">
        <v>#N/A</v>
      </c>
      <c r="AE106" t="e">
        <v>#N/A</v>
      </c>
      <c r="AF106" t="e">
        <v>#N/A</v>
      </c>
      <c r="AG106" t="e">
        <v>#N/A</v>
      </c>
    </row>
    <row r="107" spans="1:33" x14ac:dyDescent="0.25">
      <c r="A107" t="e">
        <v>#N/A</v>
      </c>
      <c r="B107" t="e">
        <v>#N/A</v>
      </c>
      <c r="C107" t="e">
        <v>#N/A</v>
      </c>
      <c r="D107" t="e">
        <v>#N/A</v>
      </c>
      <c r="E107" t="e">
        <v>#N/A</v>
      </c>
      <c r="F107" t="e">
        <v>#N/A</v>
      </c>
      <c r="G107" t="e">
        <v>#N/A</v>
      </c>
      <c r="H107" t="e">
        <v>#N/A</v>
      </c>
      <c r="I107" t="e">
        <v>#N/A</v>
      </c>
      <c r="J107" t="e">
        <v>#N/A</v>
      </c>
      <c r="K107" t="e">
        <v>#N/A</v>
      </c>
      <c r="L107" t="e">
        <v>#N/A</v>
      </c>
      <c r="M107" t="e">
        <v>#N/A</v>
      </c>
      <c r="N107" t="e">
        <v>#N/A</v>
      </c>
      <c r="O107" t="e">
        <v>#N/A</v>
      </c>
      <c r="P107" t="e">
        <v>#N/A</v>
      </c>
      <c r="Q107" t="e">
        <v>#N/A</v>
      </c>
      <c r="R107" t="e">
        <v>#N/A</v>
      </c>
      <c r="S107" t="e">
        <v>#N/A</v>
      </c>
      <c r="T107" t="e">
        <v>#N/A</v>
      </c>
      <c r="U107" t="e">
        <v>#N/A</v>
      </c>
      <c r="V107" t="e">
        <v>#N/A</v>
      </c>
      <c r="W107" t="e">
        <v>#N/A</v>
      </c>
      <c r="X107" t="e">
        <v>#N/A</v>
      </c>
      <c r="Y107" t="e">
        <v>#N/A</v>
      </c>
      <c r="Z107" t="e">
        <v>#N/A</v>
      </c>
      <c r="AA107" t="e">
        <v>#N/A</v>
      </c>
      <c r="AB107" t="e">
        <v>#N/A</v>
      </c>
      <c r="AC107" t="e">
        <v>#N/A</v>
      </c>
      <c r="AD107" t="e">
        <v>#N/A</v>
      </c>
      <c r="AE107" t="e">
        <v>#N/A</v>
      </c>
      <c r="AF107" t="e">
        <v>#N/A</v>
      </c>
      <c r="AG107" t="e">
        <v>#N/A</v>
      </c>
    </row>
    <row r="108" spans="1:33" x14ac:dyDescent="0.25">
      <c r="A108" t="e">
        <v>#N/A</v>
      </c>
      <c r="B108" t="e">
        <v>#N/A</v>
      </c>
      <c r="C108" t="e">
        <v>#N/A</v>
      </c>
      <c r="D108" t="e">
        <v>#N/A</v>
      </c>
      <c r="E108" t="e">
        <v>#N/A</v>
      </c>
      <c r="F108" t="e">
        <v>#N/A</v>
      </c>
      <c r="G108" t="e">
        <v>#N/A</v>
      </c>
      <c r="H108" t="e">
        <v>#N/A</v>
      </c>
      <c r="I108" t="e">
        <v>#N/A</v>
      </c>
      <c r="J108" t="e">
        <v>#N/A</v>
      </c>
      <c r="K108" t="e">
        <v>#N/A</v>
      </c>
      <c r="L108" t="e">
        <v>#N/A</v>
      </c>
      <c r="M108" t="e">
        <v>#N/A</v>
      </c>
      <c r="N108" t="e">
        <v>#N/A</v>
      </c>
      <c r="O108" t="e">
        <v>#N/A</v>
      </c>
      <c r="P108" t="e">
        <v>#N/A</v>
      </c>
      <c r="Q108" t="e">
        <v>#N/A</v>
      </c>
      <c r="R108" t="e">
        <v>#N/A</v>
      </c>
      <c r="S108" t="e">
        <v>#N/A</v>
      </c>
      <c r="T108" t="e">
        <v>#N/A</v>
      </c>
      <c r="U108" t="e">
        <v>#N/A</v>
      </c>
      <c r="V108" t="e">
        <v>#N/A</v>
      </c>
      <c r="W108" t="e">
        <v>#N/A</v>
      </c>
      <c r="X108" t="e">
        <v>#N/A</v>
      </c>
      <c r="Y108" t="e">
        <v>#N/A</v>
      </c>
      <c r="Z108" t="e">
        <v>#N/A</v>
      </c>
      <c r="AA108" t="e">
        <v>#N/A</v>
      </c>
      <c r="AB108" t="e">
        <v>#N/A</v>
      </c>
      <c r="AC108" t="e">
        <v>#N/A</v>
      </c>
      <c r="AD108" t="e">
        <v>#N/A</v>
      </c>
      <c r="AE108" t="e">
        <v>#N/A</v>
      </c>
      <c r="AF108" t="e">
        <v>#N/A</v>
      </c>
      <c r="AG108" t="e">
        <v>#N/A</v>
      </c>
    </row>
    <row r="109" spans="1:33" x14ac:dyDescent="0.25">
      <c r="A109" t="e">
        <v>#N/A</v>
      </c>
      <c r="B109" t="e">
        <v>#N/A</v>
      </c>
      <c r="C109" t="e">
        <v>#N/A</v>
      </c>
      <c r="D109" t="e">
        <v>#N/A</v>
      </c>
      <c r="E109" t="e">
        <v>#N/A</v>
      </c>
      <c r="F109" t="e">
        <v>#N/A</v>
      </c>
      <c r="G109" t="e">
        <v>#N/A</v>
      </c>
      <c r="H109" t="e">
        <v>#N/A</v>
      </c>
      <c r="I109" t="e">
        <v>#N/A</v>
      </c>
      <c r="J109" t="e">
        <v>#N/A</v>
      </c>
      <c r="K109" t="e">
        <v>#N/A</v>
      </c>
      <c r="L109" t="e">
        <v>#N/A</v>
      </c>
      <c r="M109" t="e">
        <v>#N/A</v>
      </c>
      <c r="N109" t="e">
        <v>#N/A</v>
      </c>
      <c r="O109" t="e">
        <v>#N/A</v>
      </c>
      <c r="P109" t="e">
        <v>#N/A</v>
      </c>
      <c r="Q109" t="e">
        <v>#N/A</v>
      </c>
      <c r="R109" t="e">
        <v>#N/A</v>
      </c>
      <c r="S109" t="e">
        <v>#N/A</v>
      </c>
      <c r="T109" t="e">
        <v>#N/A</v>
      </c>
      <c r="U109" t="e">
        <v>#N/A</v>
      </c>
      <c r="V109" t="e">
        <v>#N/A</v>
      </c>
      <c r="W109" t="e">
        <v>#N/A</v>
      </c>
      <c r="X109" t="e">
        <v>#N/A</v>
      </c>
      <c r="Y109" t="e">
        <v>#N/A</v>
      </c>
      <c r="Z109" t="e">
        <v>#N/A</v>
      </c>
      <c r="AA109" t="e">
        <v>#N/A</v>
      </c>
      <c r="AB109" t="e">
        <v>#N/A</v>
      </c>
      <c r="AC109" t="e">
        <v>#N/A</v>
      </c>
      <c r="AD109" t="e">
        <v>#N/A</v>
      </c>
      <c r="AE109" t="e">
        <v>#N/A</v>
      </c>
      <c r="AF109" t="e">
        <v>#N/A</v>
      </c>
      <c r="AG109" t="e">
        <v>#N/A</v>
      </c>
    </row>
    <row r="110" spans="1:33" x14ac:dyDescent="0.25">
      <c r="A110" t="e">
        <v>#N/A</v>
      </c>
      <c r="B110" t="e">
        <v>#N/A</v>
      </c>
      <c r="C110" t="e">
        <v>#N/A</v>
      </c>
      <c r="D110" t="e">
        <v>#N/A</v>
      </c>
      <c r="E110" t="e">
        <v>#N/A</v>
      </c>
      <c r="F110" t="e">
        <v>#N/A</v>
      </c>
      <c r="G110" t="e">
        <v>#N/A</v>
      </c>
      <c r="H110" t="e">
        <v>#N/A</v>
      </c>
      <c r="I110" t="e">
        <v>#N/A</v>
      </c>
      <c r="J110" t="e">
        <v>#N/A</v>
      </c>
      <c r="K110" t="e">
        <v>#N/A</v>
      </c>
      <c r="L110" t="e">
        <v>#N/A</v>
      </c>
      <c r="M110" t="e">
        <v>#N/A</v>
      </c>
      <c r="N110" t="e">
        <v>#N/A</v>
      </c>
      <c r="O110" t="e">
        <v>#N/A</v>
      </c>
      <c r="P110" t="e">
        <v>#N/A</v>
      </c>
      <c r="Q110" t="e">
        <v>#N/A</v>
      </c>
      <c r="R110" t="e">
        <v>#N/A</v>
      </c>
      <c r="S110" t="e">
        <v>#N/A</v>
      </c>
      <c r="T110" t="e">
        <v>#N/A</v>
      </c>
      <c r="U110" t="e">
        <v>#N/A</v>
      </c>
      <c r="V110" t="e">
        <v>#N/A</v>
      </c>
      <c r="W110" t="e">
        <v>#N/A</v>
      </c>
      <c r="X110" t="e">
        <v>#N/A</v>
      </c>
      <c r="Y110" t="e">
        <v>#N/A</v>
      </c>
      <c r="Z110" t="e">
        <v>#N/A</v>
      </c>
      <c r="AA110" t="e">
        <v>#N/A</v>
      </c>
      <c r="AB110" t="e">
        <v>#N/A</v>
      </c>
      <c r="AC110" t="e">
        <v>#N/A</v>
      </c>
      <c r="AD110" t="e">
        <v>#N/A</v>
      </c>
      <c r="AE110" t="e">
        <v>#N/A</v>
      </c>
      <c r="AF110" t="e">
        <v>#N/A</v>
      </c>
      <c r="AG110" t="e">
        <v>#N/A</v>
      </c>
    </row>
    <row r="111" spans="1:33" x14ac:dyDescent="0.25">
      <c r="A111" t="e">
        <v>#N/A</v>
      </c>
      <c r="B111" t="e">
        <v>#N/A</v>
      </c>
      <c r="C111" t="e">
        <v>#N/A</v>
      </c>
      <c r="D111" t="e">
        <v>#N/A</v>
      </c>
      <c r="E111" t="e">
        <v>#N/A</v>
      </c>
      <c r="F111" t="e">
        <v>#N/A</v>
      </c>
      <c r="G111" t="e">
        <v>#N/A</v>
      </c>
      <c r="H111" t="e">
        <v>#N/A</v>
      </c>
      <c r="I111" t="e">
        <v>#N/A</v>
      </c>
      <c r="J111" t="e">
        <v>#N/A</v>
      </c>
      <c r="K111" t="e">
        <v>#N/A</v>
      </c>
      <c r="L111" t="e">
        <v>#N/A</v>
      </c>
      <c r="M111" t="e">
        <v>#N/A</v>
      </c>
      <c r="N111" t="e">
        <v>#N/A</v>
      </c>
      <c r="O111" t="e">
        <v>#N/A</v>
      </c>
      <c r="P111" t="e">
        <v>#N/A</v>
      </c>
      <c r="Q111" t="e">
        <v>#N/A</v>
      </c>
      <c r="R111" t="e">
        <v>#N/A</v>
      </c>
      <c r="S111" t="e">
        <v>#N/A</v>
      </c>
      <c r="T111" t="e">
        <v>#N/A</v>
      </c>
      <c r="U111" t="e">
        <v>#N/A</v>
      </c>
      <c r="V111" t="e">
        <v>#N/A</v>
      </c>
      <c r="W111" t="e">
        <v>#N/A</v>
      </c>
      <c r="X111" t="e">
        <v>#N/A</v>
      </c>
      <c r="Y111" t="e">
        <v>#N/A</v>
      </c>
      <c r="Z111" t="e">
        <v>#N/A</v>
      </c>
      <c r="AA111" t="e">
        <v>#N/A</v>
      </c>
      <c r="AB111" t="e">
        <v>#N/A</v>
      </c>
      <c r="AC111" t="e">
        <v>#N/A</v>
      </c>
      <c r="AD111" t="e">
        <v>#N/A</v>
      </c>
      <c r="AE111" t="e">
        <v>#N/A</v>
      </c>
      <c r="AF111" t="e">
        <v>#N/A</v>
      </c>
      <c r="AG111" t="e">
        <v>#N/A</v>
      </c>
    </row>
    <row r="112" spans="1:33" x14ac:dyDescent="0.25">
      <c r="A112" t="e">
        <v>#N/A</v>
      </c>
      <c r="B112" t="e">
        <v>#N/A</v>
      </c>
      <c r="C112" t="e">
        <v>#N/A</v>
      </c>
      <c r="D112" t="e">
        <v>#N/A</v>
      </c>
      <c r="E112" t="e">
        <v>#N/A</v>
      </c>
      <c r="F112" t="e">
        <v>#N/A</v>
      </c>
      <c r="G112" t="e">
        <v>#N/A</v>
      </c>
      <c r="H112" t="e">
        <v>#N/A</v>
      </c>
      <c r="I112" t="e">
        <v>#N/A</v>
      </c>
      <c r="J112" t="e">
        <v>#N/A</v>
      </c>
      <c r="K112" t="e">
        <v>#N/A</v>
      </c>
      <c r="L112" t="e">
        <v>#N/A</v>
      </c>
      <c r="M112" t="e">
        <v>#N/A</v>
      </c>
      <c r="N112" t="e">
        <v>#N/A</v>
      </c>
      <c r="O112" t="e">
        <v>#N/A</v>
      </c>
      <c r="P112" t="e">
        <v>#N/A</v>
      </c>
      <c r="Q112" t="e">
        <v>#N/A</v>
      </c>
      <c r="R112" t="e">
        <v>#N/A</v>
      </c>
      <c r="S112" t="e">
        <v>#N/A</v>
      </c>
      <c r="T112" t="e">
        <v>#N/A</v>
      </c>
      <c r="U112" t="e">
        <v>#N/A</v>
      </c>
      <c r="V112" t="e">
        <v>#N/A</v>
      </c>
      <c r="W112" t="e">
        <v>#N/A</v>
      </c>
      <c r="X112" t="e">
        <v>#N/A</v>
      </c>
      <c r="Y112" t="e">
        <v>#N/A</v>
      </c>
      <c r="Z112" t="e">
        <v>#N/A</v>
      </c>
      <c r="AA112" t="e">
        <v>#N/A</v>
      </c>
      <c r="AB112" t="e">
        <v>#N/A</v>
      </c>
      <c r="AC112" t="e">
        <v>#N/A</v>
      </c>
      <c r="AD112" t="e">
        <v>#N/A</v>
      </c>
      <c r="AE112" t="e">
        <v>#N/A</v>
      </c>
      <c r="AF112" t="e">
        <v>#N/A</v>
      </c>
      <c r="AG112" t="e">
        <v>#N/A</v>
      </c>
    </row>
    <row r="113" spans="1:33" x14ac:dyDescent="0.25">
      <c r="A113" t="e">
        <v>#N/A</v>
      </c>
      <c r="B113" t="e">
        <v>#N/A</v>
      </c>
      <c r="C113" t="e">
        <v>#N/A</v>
      </c>
      <c r="D113" t="e">
        <v>#N/A</v>
      </c>
      <c r="E113" t="e">
        <v>#N/A</v>
      </c>
      <c r="F113" t="e">
        <v>#N/A</v>
      </c>
      <c r="G113" t="e">
        <v>#N/A</v>
      </c>
      <c r="H113" t="e">
        <v>#N/A</v>
      </c>
      <c r="I113" t="e">
        <v>#N/A</v>
      </c>
      <c r="J113" t="e">
        <v>#N/A</v>
      </c>
      <c r="K113" t="e">
        <v>#N/A</v>
      </c>
      <c r="L113" t="e">
        <v>#N/A</v>
      </c>
      <c r="M113" t="e">
        <v>#N/A</v>
      </c>
      <c r="N113" t="e">
        <v>#N/A</v>
      </c>
      <c r="O113" t="e">
        <v>#N/A</v>
      </c>
      <c r="P113" t="e">
        <v>#N/A</v>
      </c>
      <c r="Q113" t="e">
        <v>#N/A</v>
      </c>
      <c r="R113" t="e">
        <v>#N/A</v>
      </c>
      <c r="S113" t="e">
        <v>#N/A</v>
      </c>
      <c r="T113" t="e">
        <v>#N/A</v>
      </c>
      <c r="U113" t="e">
        <v>#N/A</v>
      </c>
      <c r="V113" t="e">
        <v>#N/A</v>
      </c>
      <c r="W113" t="e">
        <v>#N/A</v>
      </c>
      <c r="X113" t="e">
        <v>#N/A</v>
      </c>
      <c r="Y113" t="e">
        <v>#N/A</v>
      </c>
      <c r="Z113" t="e">
        <v>#N/A</v>
      </c>
      <c r="AA113" t="e">
        <v>#N/A</v>
      </c>
      <c r="AB113" t="e">
        <v>#N/A</v>
      </c>
      <c r="AC113" t="e">
        <v>#N/A</v>
      </c>
      <c r="AD113" t="e">
        <v>#N/A</v>
      </c>
      <c r="AE113" t="e">
        <v>#N/A</v>
      </c>
      <c r="AF113" t="e">
        <v>#N/A</v>
      </c>
      <c r="AG113" t="e">
        <v>#N/A</v>
      </c>
    </row>
    <row r="114" spans="1:33" x14ac:dyDescent="0.25">
      <c r="A114" t="e">
        <v>#N/A</v>
      </c>
      <c r="B114" t="e">
        <v>#N/A</v>
      </c>
      <c r="C114" t="e">
        <v>#N/A</v>
      </c>
      <c r="D114" t="e">
        <v>#N/A</v>
      </c>
      <c r="E114" t="e">
        <v>#N/A</v>
      </c>
      <c r="F114" t="e">
        <v>#N/A</v>
      </c>
      <c r="G114" t="e">
        <v>#N/A</v>
      </c>
      <c r="H114" t="e">
        <v>#N/A</v>
      </c>
      <c r="I114" t="e">
        <v>#N/A</v>
      </c>
      <c r="J114" t="e">
        <v>#N/A</v>
      </c>
      <c r="K114" t="e">
        <v>#N/A</v>
      </c>
      <c r="L114" t="e">
        <v>#N/A</v>
      </c>
      <c r="M114" t="e">
        <v>#N/A</v>
      </c>
      <c r="N114" t="e">
        <v>#N/A</v>
      </c>
      <c r="O114" t="e">
        <v>#N/A</v>
      </c>
      <c r="P114" t="e">
        <v>#N/A</v>
      </c>
      <c r="Q114" t="e">
        <v>#N/A</v>
      </c>
      <c r="R114" t="e">
        <v>#N/A</v>
      </c>
      <c r="S114" t="e">
        <v>#N/A</v>
      </c>
      <c r="T114" t="e">
        <v>#N/A</v>
      </c>
      <c r="U114" t="e">
        <v>#N/A</v>
      </c>
      <c r="V114" t="e">
        <v>#N/A</v>
      </c>
      <c r="W114" t="e">
        <v>#N/A</v>
      </c>
      <c r="X114" t="e">
        <v>#N/A</v>
      </c>
      <c r="Y114" t="e">
        <v>#N/A</v>
      </c>
      <c r="Z114" t="e">
        <v>#N/A</v>
      </c>
      <c r="AA114" t="e">
        <v>#N/A</v>
      </c>
      <c r="AB114" t="e">
        <v>#N/A</v>
      </c>
      <c r="AC114" t="e">
        <v>#N/A</v>
      </c>
      <c r="AD114" t="e">
        <v>#N/A</v>
      </c>
      <c r="AE114" t="e">
        <v>#N/A</v>
      </c>
      <c r="AF114" t="e">
        <v>#N/A</v>
      </c>
      <c r="AG114" t="e">
        <v>#N/A</v>
      </c>
    </row>
    <row r="115" spans="1:33" x14ac:dyDescent="0.25">
      <c r="A115" t="e">
        <v>#N/A</v>
      </c>
      <c r="B115" t="e">
        <v>#N/A</v>
      </c>
      <c r="C115" t="e">
        <v>#N/A</v>
      </c>
      <c r="D115" t="e">
        <v>#N/A</v>
      </c>
      <c r="E115" t="e">
        <v>#N/A</v>
      </c>
      <c r="F115" t="e">
        <v>#N/A</v>
      </c>
      <c r="G115" t="e">
        <v>#N/A</v>
      </c>
      <c r="H115" t="e">
        <v>#N/A</v>
      </c>
      <c r="I115" t="e">
        <v>#N/A</v>
      </c>
      <c r="J115" t="e">
        <v>#N/A</v>
      </c>
      <c r="K115" t="e">
        <v>#N/A</v>
      </c>
      <c r="L115" t="e">
        <v>#N/A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 t="e">
        <v>#N/A</v>
      </c>
      <c r="W115" t="e">
        <v>#N/A</v>
      </c>
      <c r="X115" t="e">
        <v>#N/A</v>
      </c>
      <c r="Y115" t="e">
        <v>#N/A</v>
      </c>
      <c r="Z115" t="e">
        <v>#N/A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</row>
    <row r="116" spans="1:33" x14ac:dyDescent="0.25">
      <c r="A116" t="e">
        <v>#N/A</v>
      </c>
      <c r="B116" t="e">
        <v>#N/A</v>
      </c>
      <c r="C116" t="e">
        <v>#N/A</v>
      </c>
      <c r="D116" t="e">
        <v>#N/A</v>
      </c>
      <c r="E116" t="e">
        <v>#N/A</v>
      </c>
      <c r="F116" t="e">
        <v>#N/A</v>
      </c>
      <c r="G116" t="e">
        <v>#N/A</v>
      </c>
      <c r="H116" t="e">
        <v>#N/A</v>
      </c>
      <c r="I116" t="e">
        <v>#N/A</v>
      </c>
      <c r="J116" t="e">
        <v>#N/A</v>
      </c>
      <c r="K116" t="e">
        <v>#N/A</v>
      </c>
      <c r="L116" t="e">
        <v>#N/A</v>
      </c>
      <c r="M116" t="e">
        <v>#N/A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 t="e">
        <v>#N/A</v>
      </c>
      <c r="W116" t="e">
        <v>#N/A</v>
      </c>
      <c r="X116" t="e">
        <v>#N/A</v>
      </c>
      <c r="Y116" t="e">
        <v>#N/A</v>
      </c>
      <c r="Z116" t="e">
        <v>#N/A</v>
      </c>
      <c r="AA116" t="e">
        <v>#N/A</v>
      </c>
      <c r="AB116" t="e">
        <v>#N/A</v>
      </c>
      <c r="AC116" t="e">
        <v>#N/A</v>
      </c>
      <c r="AD116" t="e">
        <v>#N/A</v>
      </c>
      <c r="AE116" t="e">
        <v>#N/A</v>
      </c>
      <c r="AF116" t="e">
        <v>#N/A</v>
      </c>
      <c r="AG116" t="e">
        <v>#N/A</v>
      </c>
    </row>
    <row r="117" spans="1:33" x14ac:dyDescent="0.25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 x14ac:dyDescent="0.25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 x14ac:dyDescent="0.25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 x14ac:dyDescent="0.25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 x14ac:dyDescent="0.25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 x14ac:dyDescent="0.25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 x14ac:dyDescent="0.25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 x14ac:dyDescent="0.25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 x14ac:dyDescent="0.25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 x14ac:dyDescent="0.25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 x14ac:dyDescent="0.25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 x14ac:dyDescent="0.25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 x14ac:dyDescent="0.25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 x14ac:dyDescent="0.25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 x14ac:dyDescent="0.25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 x14ac:dyDescent="0.25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 x14ac:dyDescent="0.25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 x14ac:dyDescent="0.25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 x14ac:dyDescent="0.25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 x14ac:dyDescent="0.25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 x14ac:dyDescent="0.25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 x14ac:dyDescent="0.25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 x14ac:dyDescent="0.25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 x14ac:dyDescent="0.25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 x14ac:dyDescent="0.25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topLeftCell="D334" workbookViewId="0">
      <selection activeCell="H2" sqref="H2"/>
    </sheetView>
  </sheetViews>
  <sheetFormatPr defaultRowHeight="15" x14ac:dyDescent="0.25"/>
  <cols>
    <col min="3" max="3" width="12" bestFit="1" customWidth="1"/>
    <col min="9" max="9" width="6.28515625" customWidth="1"/>
  </cols>
  <sheetData>
    <row r="1" spans="1:27" x14ac:dyDescent="0.25">
      <c r="A1" s="155" t="s">
        <v>210</v>
      </c>
      <c r="B1" s="155"/>
      <c r="C1" s="155"/>
      <c r="D1" s="155"/>
      <c r="E1" s="155"/>
      <c r="F1" s="155"/>
      <c r="H1" s="155" t="s">
        <v>211</v>
      </c>
      <c r="I1" s="155"/>
      <c r="J1" s="155"/>
      <c r="K1" s="155"/>
      <c r="L1" s="155"/>
      <c r="M1" s="155"/>
      <c r="O1" s="155" t="s">
        <v>212</v>
      </c>
      <c r="P1" s="155"/>
      <c r="Q1" s="155"/>
      <c r="R1" s="155"/>
      <c r="S1" s="155"/>
      <c r="T1" s="155"/>
      <c r="V1" s="155"/>
      <c r="W1" s="155"/>
      <c r="X1" s="155"/>
      <c r="Y1" s="155"/>
      <c r="Z1" s="155"/>
      <c r="AA1" s="155"/>
    </row>
    <row r="2" spans="1:27" x14ac:dyDescent="0.25">
      <c r="A2" t="s">
        <v>102</v>
      </c>
      <c r="B2" t="s">
        <v>103</v>
      </c>
      <c r="C2" t="s">
        <v>9</v>
      </c>
      <c r="D2" t="s">
        <v>104</v>
      </c>
      <c r="E2" t="s">
        <v>105</v>
      </c>
      <c r="F2" t="s">
        <v>10</v>
      </c>
      <c r="H2" t="s">
        <v>102</v>
      </c>
      <c r="I2" t="s">
        <v>103</v>
      </c>
      <c r="J2" t="s">
        <v>9</v>
      </c>
      <c r="K2" t="s">
        <v>104</v>
      </c>
      <c r="L2" t="s">
        <v>105</v>
      </c>
      <c r="M2" t="s">
        <v>10</v>
      </c>
      <c r="O2" t="s">
        <v>102</v>
      </c>
      <c r="P2" t="s">
        <v>103</v>
      </c>
      <c r="Q2" t="s">
        <v>9</v>
      </c>
      <c r="R2" t="s">
        <v>104</v>
      </c>
      <c r="S2" t="s">
        <v>105</v>
      </c>
      <c r="T2" t="s">
        <v>10</v>
      </c>
    </row>
    <row r="3" spans="1:27" x14ac:dyDescent="0.25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 x14ac:dyDescent="0.25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 x14ac:dyDescent="0.25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 x14ac:dyDescent="0.25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 x14ac:dyDescent="0.25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 x14ac:dyDescent="0.25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 x14ac:dyDescent="0.25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 x14ac:dyDescent="0.25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 x14ac:dyDescent="0.25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 x14ac:dyDescent="0.25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 x14ac:dyDescent="0.25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 x14ac:dyDescent="0.25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 x14ac:dyDescent="0.25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 x14ac:dyDescent="0.25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 x14ac:dyDescent="0.25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 x14ac:dyDescent="0.25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 x14ac:dyDescent="0.25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 x14ac:dyDescent="0.25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 x14ac:dyDescent="0.25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 x14ac:dyDescent="0.25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 x14ac:dyDescent="0.25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 x14ac:dyDescent="0.25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 x14ac:dyDescent="0.25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 x14ac:dyDescent="0.25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 x14ac:dyDescent="0.25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 x14ac:dyDescent="0.25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 x14ac:dyDescent="0.25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 x14ac:dyDescent="0.25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 x14ac:dyDescent="0.25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 x14ac:dyDescent="0.25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 x14ac:dyDescent="0.25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 x14ac:dyDescent="0.25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 x14ac:dyDescent="0.25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 x14ac:dyDescent="0.25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 x14ac:dyDescent="0.25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 x14ac:dyDescent="0.25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 x14ac:dyDescent="0.25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 x14ac:dyDescent="0.25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 x14ac:dyDescent="0.25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 x14ac:dyDescent="0.25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 x14ac:dyDescent="0.25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 x14ac:dyDescent="0.25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 x14ac:dyDescent="0.25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 x14ac:dyDescent="0.25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 x14ac:dyDescent="0.25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 x14ac:dyDescent="0.25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 x14ac:dyDescent="0.25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 x14ac:dyDescent="0.25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 x14ac:dyDescent="0.25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 x14ac:dyDescent="0.25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 x14ac:dyDescent="0.25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 x14ac:dyDescent="0.25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 x14ac:dyDescent="0.25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 x14ac:dyDescent="0.25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 x14ac:dyDescent="0.25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 x14ac:dyDescent="0.25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 x14ac:dyDescent="0.25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 x14ac:dyDescent="0.25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 x14ac:dyDescent="0.25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 x14ac:dyDescent="0.25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 x14ac:dyDescent="0.25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 x14ac:dyDescent="0.25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 x14ac:dyDescent="0.25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 x14ac:dyDescent="0.25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 x14ac:dyDescent="0.25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 x14ac:dyDescent="0.25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 x14ac:dyDescent="0.25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 x14ac:dyDescent="0.25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 x14ac:dyDescent="0.25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 x14ac:dyDescent="0.25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 x14ac:dyDescent="0.25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 x14ac:dyDescent="0.25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 x14ac:dyDescent="0.25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 x14ac:dyDescent="0.25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 x14ac:dyDescent="0.25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 x14ac:dyDescent="0.25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 x14ac:dyDescent="0.25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 x14ac:dyDescent="0.25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 x14ac:dyDescent="0.25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 x14ac:dyDescent="0.25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 x14ac:dyDescent="0.25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 x14ac:dyDescent="0.25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 x14ac:dyDescent="0.25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 x14ac:dyDescent="0.25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 x14ac:dyDescent="0.25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 x14ac:dyDescent="0.25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 x14ac:dyDescent="0.25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 x14ac:dyDescent="0.25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 x14ac:dyDescent="0.25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 x14ac:dyDescent="0.25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 x14ac:dyDescent="0.25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 x14ac:dyDescent="0.25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 x14ac:dyDescent="0.25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 x14ac:dyDescent="0.25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 x14ac:dyDescent="0.25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 x14ac:dyDescent="0.25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 x14ac:dyDescent="0.25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 x14ac:dyDescent="0.25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 x14ac:dyDescent="0.25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 x14ac:dyDescent="0.25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 x14ac:dyDescent="0.25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 x14ac:dyDescent="0.25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 x14ac:dyDescent="0.25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 x14ac:dyDescent="0.25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 x14ac:dyDescent="0.25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 x14ac:dyDescent="0.25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 x14ac:dyDescent="0.25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 x14ac:dyDescent="0.25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 x14ac:dyDescent="0.25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 x14ac:dyDescent="0.25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 x14ac:dyDescent="0.25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 x14ac:dyDescent="0.25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 x14ac:dyDescent="0.25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 x14ac:dyDescent="0.25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 x14ac:dyDescent="0.25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 x14ac:dyDescent="0.25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 x14ac:dyDescent="0.25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 x14ac:dyDescent="0.25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 x14ac:dyDescent="0.25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 x14ac:dyDescent="0.25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 x14ac:dyDescent="0.25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 x14ac:dyDescent="0.25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 x14ac:dyDescent="0.25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 x14ac:dyDescent="0.25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 x14ac:dyDescent="0.25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 x14ac:dyDescent="0.25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 x14ac:dyDescent="0.25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 x14ac:dyDescent="0.25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 x14ac:dyDescent="0.25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 x14ac:dyDescent="0.25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 x14ac:dyDescent="0.25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 x14ac:dyDescent="0.25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 x14ac:dyDescent="0.25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 x14ac:dyDescent="0.25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 x14ac:dyDescent="0.25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 x14ac:dyDescent="0.25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 x14ac:dyDescent="0.25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 x14ac:dyDescent="0.25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 x14ac:dyDescent="0.25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 x14ac:dyDescent="0.25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 x14ac:dyDescent="0.25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 x14ac:dyDescent="0.25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 x14ac:dyDescent="0.25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 x14ac:dyDescent="0.25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 x14ac:dyDescent="0.25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 x14ac:dyDescent="0.25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 x14ac:dyDescent="0.25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 x14ac:dyDescent="0.25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 x14ac:dyDescent="0.25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 x14ac:dyDescent="0.25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 x14ac:dyDescent="0.25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 x14ac:dyDescent="0.25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 x14ac:dyDescent="0.25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 x14ac:dyDescent="0.25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 x14ac:dyDescent="0.25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 x14ac:dyDescent="0.25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 x14ac:dyDescent="0.25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 x14ac:dyDescent="0.25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 x14ac:dyDescent="0.25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 x14ac:dyDescent="0.25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 x14ac:dyDescent="0.25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 x14ac:dyDescent="0.25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 x14ac:dyDescent="0.25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 x14ac:dyDescent="0.25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 x14ac:dyDescent="0.25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 x14ac:dyDescent="0.25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 x14ac:dyDescent="0.25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 x14ac:dyDescent="0.25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 x14ac:dyDescent="0.25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 x14ac:dyDescent="0.25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 x14ac:dyDescent="0.25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 x14ac:dyDescent="0.25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 x14ac:dyDescent="0.25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 x14ac:dyDescent="0.25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 x14ac:dyDescent="0.25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 x14ac:dyDescent="0.25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 x14ac:dyDescent="0.25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 x14ac:dyDescent="0.25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 x14ac:dyDescent="0.25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 x14ac:dyDescent="0.25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 x14ac:dyDescent="0.25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 x14ac:dyDescent="0.25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 x14ac:dyDescent="0.25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 x14ac:dyDescent="0.25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 x14ac:dyDescent="0.25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 x14ac:dyDescent="0.25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 x14ac:dyDescent="0.25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 x14ac:dyDescent="0.25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 x14ac:dyDescent="0.25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 x14ac:dyDescent="0.25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 x14ac:dyDescent="0.25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 x14ac:dyDescent="0.25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 x14ac:dyDescent="0.25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 x14ac:dyDescent="0.25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 x14ac:dyDescent="0.25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 x14ac:dyDescent="0.25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 x14ac:dyDescent="0.25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 x14ac:dyDescent="0.25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 x14ac:dyDescent="0.25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 x14ac:dyDescent="0.25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 x14ac:dyDescent="0.25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 x14ac:dyDescent="0.25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 x14ac:dyDescent="0.25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 x14ac:dyDescent="0.25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 x14ac:dyDescent="0.25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 x14ac:dyDescent="0.25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 x14ac:dyDescent="0.25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 x14ac:dyDescent="0.25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 x14ac:dyDescent="0.25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 x14ac:dyDescent="0.25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 x14ac:dyDescent="0.25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 x14ac:dyDescent="0.25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 x14ac:dyDescent="0.25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 x14ac:dyDescent="0.25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 x14ac:dyDescent="0.25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 x14ac:dyDescent="0.25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 x14ac:dyDescent="0.25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 x14ac:dyDescent="0.25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 x14ac:dyDescent="0.25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 x14ac:dyDescent="0.25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 x14ac:dyDescent="0.25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 x14ac:dyDescent="0.25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 x14ac:dyDescent="0.25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 x14ac:dyDescent="0.25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 x14ac:dyDescent="0.25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 x14ac:dyDescent="0.25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 x14ac:dyDescent="0.25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 x14ac:dyDescent="0.25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 x14ac:dyDescent="0.25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 x14ac:dyDescent="0.25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 x14ac:dyDescent="0.25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 x14ac:dyDescent="0.25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 x14ac:dyDescent="0.25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 x14ac:dyDescent="0.25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 x14ac:dyDescent="0.25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 x14ac:dyDescent="0.25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 x14ac:dyDescent="0.25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 x14ac:dyDescent="0.25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 x14ac:dyDescent="0.25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 x14ac:dyDescent="0.25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 x14ac:dyDescent="0.25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 x14ac:dyDescent="0.25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 x14ac:dyDescent="0.25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 x14ac:dyDescent="0.25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 x14ac:dyDescent="0.25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 x14ac:dyDescent="0.25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 x14ac:dyDescent="0.25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 x14ac:dyDescent="0.25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 x14ac:dyDescent="0.25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 x14ac:dyDescent="0.25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 x14ac:dyDescent="0.25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 x14ac:dyDescent="0.25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 x14ac:dyDescent="0.25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 x14ac:dyDescent="0.25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 x14ac:dyDescent="0.25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 x14ac:dyDescent="0.25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 x14ac:dyDescent="0.25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 x14ac:dyDescent="0.25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 x14ac:dyDescent="0.25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 x14ac:dyDescent="0.25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 x14ac:dyDescent="0.25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 x14ac:dyDescent="0.25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 x14ac:dyDescent="0.25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 x14ac:dyDescent="0.25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 x14ac:dyDescent="0.25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 x14ac:dyDescent="0.25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 x14ac:dyDescent="0.25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 x14ac:dyDescent="0.25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 x14ac:dyDescent="0.25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 x14ac:dyDescent="0.25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 x14ac:dyDescent="0.25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 x14ac:dyDescent="0.25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 x14ac:dyDescent="0.25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 x14ac:dyDescent="0.25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 x14ac:dyDescent="0.25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 x14ac:dyDescent="0.25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 x14ac:dyDescent="0.25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 x14ac:dyDescent="0.25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 x14ac:dyDescent="0.25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 x14ac:dyDescent="0.25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 x14ac:dyDescent="0.25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 x14ac:dyDescent="0.25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 x14ac:dyDescent="0.25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 x14ac:dyDescent="0.25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 x14ac:dyDescent="0.25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 x14ac:dyDescent="0.25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 x14ac:dyDescent="0.25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 x14ac:dyDescent="0.25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 x14ac:dyDescent="0.25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 x14ac:dyDescent="0.25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 x14ac:dyDescent="0.25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 x14ac:dyDescent="0.25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 x14ac:dyDescent="0.25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 x14ac:dyDescent="0.25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 x14ac:dyDescent="0.25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 x14ac:dyDescent="0.25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 x14ac:dyDescent="0.25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 x14ac:dyDescent="0.25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 x14ac:dyDescent="0.25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 x14ac:dyDescent="0.25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 x14ac:dyDescent="0.25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 x14ac:dyDescent="0.25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 x14ac:dyDescent="0.25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 x14ac:dyDescent="0.25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 x14ac:dyDescent="0.25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 x14ac:dyDescent="0.25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 x14ac:dyDescent="0.25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 x14ac:dyDescent="0.25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 x14ac:dyDescent="0.25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 x14ac:dyDescent="0.25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 x14ac:dyDescent="0.25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 x14ac:dyDescent="0.25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 x14ac:dyDescent="0.25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 x14ac:dyDescent="0.25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 x14ac:dyDescent="0.25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 x14ac:dyDescent="0.25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 x14ac:dyDescent="0.25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 x14ac:dyDescent="0.25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 x14ac:dyDescent="0.25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 x14ac:dyDescent="0.25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 x14ac:dyDescent="0.25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 x14ac:dyDescent="0.25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 x14ac:dyDescent="0.25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 x14ac:dyDescent="0.25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 x14ac:dyDescent="0.25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 x14ac:dyDescent="0.25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 x14ac:dyDescent="0.25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 x14ac:dyDescent="0.25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 x14ac:dyDescent="0.25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 x14ac:dyDescent="0.25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 x14ac:dyDescent="0.25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 x14ac:dyDescent="0.25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 x14ac:dyDescent="0.25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 x14ac:dyDescent="0.25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 x14ac:dyDescent="0.25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 x14ac:dyDescent="0.25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 x14ac:dyDescent="0.25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 x14ac:dyDescent="0.25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 x14ac:dyDescent="0.25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 x14ac:dyDescent="0.25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 x14ac:dyDescent="0.25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 x14ac:dyDescent="0.25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 x14ac:dyDescent="0.25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 x14ac:dyDescent="0.25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 x14ac:dyDescent="0.25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 x14ac:dyDescent="0.25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 x14ac:dyDescent="0.25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 x14ac:dyDescent="0.25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 x14ac:dyDescent="0.25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 x14ac:dyDescent="0.25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 x14ac:dyDescent="0.25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 x14ac:dyDescent="0.25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 x14ac:dyDescent="0.25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 x14ac:dyDescent="0.25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 x14ac:dyDescent="0.25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 x14ac:dyDescent="0.25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 x14ac:dyDescent="0.25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 x14ac:dyDescent="0.25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 x14ac:dyDescent="0.25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 x14ac:dyDescent="0.25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 x14ac:dyDescent="0.25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 x14ac:dyDescent="0.25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 x14ac:dyDescent="0.25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 x14ac:dyDescent="0.25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 x14ac:dyDescent="0.25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 x14ac:dyDescent="0.25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144</vt:i4>
      </vt:variant>
    </vt:vector>
  </HeadingPairs>
  <TitlesOfParts>
    <vt:vector size="149" baseType="lpstr">
      <vt:lpstr>ConceptDemo</vt:lpstr>
      <vt:lpstr>Model Interface</vt:lpstr>
      <vt:lpstr>ListMembers</vt:lpstr>
      <vt:lpstr>CropCoefficients</vt:lpstr>
      <vt:lpstr>Met Data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Bulb</vt:lpstr>
      <vt:lpstr>BulkDensity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Efficiency</vt:lpstr>
      <vt:lpstr>Fibre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Grain</vt:lpstr>
      <vt:lpstr>Green_manure</vt:lpstr>
      <vt:lpstr>Hemp</vt:lpstr>
      <vt:lpstr>HWEON</vt:lpstr>
      <vt:lpstr>InCropRain</vt:lpstr>
      <vt:lpstr>InitialDate</vt:lpstr>
      <vt:lpstr>InitialN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Lupin</vt:lpstr>
      <vt:lpstr>Maize</vt:lpstr>
      <vt:lpstr>ModelOutputs</vt:lpstr>
      <vt:lpstr>Mustard</vt:lpstr>
      <vt:lpstr>Oat</vt:lpstr>
      <vt:lpstr>Onion</vt:lpstr>
      <vt:lpstr>Pak_choi</vt:lpstr>
      <vt:lpstr>Parsnip</vt:lpstr>
      <vt:lpstr>Pea</vt:lpstr>
      <vt:lpstr>Phacelia</vt:lpstr>
      <vt:lpstr>PMN</vt:lpstr>
      <vt:lpstr>PMNtype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Rye_corn</vt:lpstr>
      <vt:lpstr>Ryegrass</vt:lpstr>
      <vt:lpstr>SampleDepth</vt:lpstr>
      <vt:lpstr>Seed</vt:lpstr>
      <vt:lpstr>Silver_beet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2023-02-15T20:47:09Z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